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D0580CE4-45E0-4CC5-B60E-ACE2741AC76F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check" sheetId="28" r:id="rId3"/>
    <sheet name="AnálisisAutores" sheetId="20" r:id="rId4"/>
    <sheet name="Autores" sheetId="16" r:id="rId5"/>
    <sheet name="secciones_html" sheetId="27" r:id="rId6"/>
    <sheet name="carpetas" sheetId="25" r:id="rId7"/>
    <sheet name="Resumen" sheetId="4" r:id="rId8"/>
    <sheet name="Categorías" sheetId="3" r:id="rId9"/>
    <sheet name="Taizé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A158" i="2"/>
  <c r="A1290" i="2"/>
  <c r="A14" i="2"/>
  <c r="A1456" i="2"/>
  <c r="A1573" i="2"/>
  <c r="A790" i="2"/>
  <c r="A1217" i="2"/>
  <c r="A1400" i="2"/>
  <c r="A1191" i="2"/>
  <c r="A1742" i="2"/>
  <c r="A1081" i="2"/>
  <c r="A1617" i="2"/>
  <c r="A1592" i="2"/>
  <c r="A1511" i="2"/>
  <c r="A1603" i="2"/>
  <c r="A1817" i="2"/>
  <c r="A247" i="2"/>
  <c r="A1432" i="2"/>
  <c r="A1359" i="2"/>
  <c r="A392" i="2"/>
  <c r="A1824" i="2"/>
  <c r="A1419" i="2"/>
  <c r="A1482" i="2"/>
  <c r="A1847" i="2"/>
  <c r="A1472" i="2"/>
  <c r="A841" i="2"/>
  <c r="A1491" i="2"/>
  <c r="A1171" i="2"/>
  <c r="A1581" i="2"/>
  <c r="A1377" i="2"/>
  <c r="A1442" i="2"/>
  <c r="A472" i="2"/>
  <c r="A1721" i="2"/>
  <c r="A1435" i="2"/>
  <c r="A628" i="2"/>
  <c r="A130" i="2"/>
  <c r="A745" i="2"/>
  <c r="A795" i="2"/>
  <c r="A1743" i="2"/>
  <c r="A1621" i="2"/>
  <c r="A1788" i="2"/>
  <c r="A1494" i="2"/>
  <c r="A1014" i="2"/>
  <c r="A680" i="2"/>
  <c r="A654" i="2"/>
  <c r="A1608" i="2"/>
  <c r="A557" i="2"/>
  <c r="A1004" i="2"/>
  <c r="A667" i="2"/>
  <c r="A1030" i="2"/>
  <c r="A789" i="2"/>
  <c r="A211" i="2"/>
  <c r="A823" i="2"/>
  <c r="A1759" i="2"/>
  <c r="A1794" i="2"/>
  <c r="A1720" i="2"/>
  <c r="A993" i="2"/>
  <c r="A665" i="2"/>
  <c r="A220" i="2"/>
  <c r="A787" i="2"/>
  <c r="A119" i="2"/>
  <c r="A992" i="2"/>
  <c r="A816" i="2"/>
  <c r="A1677" i="2"/>
  <c r="A646" i="2"/>
  <c r="A679" i="2"/>
  <c r="A1421" i="2"/>
  <c r="A1422" i="2"/>
  <c r="A921" i="2"/>
  <c r="A203" i="2"/>
  <c r="A1744" i="2"/>
  <c r="A1175" i="2"/>
  <c r="A1061" i="2"/>
  <c r="A1849" i="2"/>
  <c r="A1299" i="2"/>
  <c r="A778" i="2"/>
  <c r="A1169" i="2"/>
  <c r="A1561" i="2"/>
  <c r="A1812" i="2"/>
  <c r="A1381" i="2"/>
  <c r="A89" i="2"/>
  <c r="A1139" i="2"/>
  <c r="A1570" i="2"/>
  <c r="A1838" i="2"/>
  <c r="A403" i="2"/>
  <c r="A1755" i="2"/>
  <c r="A167" i="2"/>
  <c r="A1062" i="2"/>
  <c r="A1480" i="2"/>
  <c r="A1671" i="2"/>
  <c r="A586" i="2"/>
  <c r="A138" i="2"/>
  <c r="A549" i="2"/>
  <c r="A1459" i="2"/>
  <c r="A1717" i="2"/>
  <c r="A852" i="2"/>
  <c r="A40" i="2"/>
  <c r="A1286" i="2"/>
  <c r="A1047" i="2"/>
  <c r="A1404" i="2"/>
  <c r="A1211" i="2"/>
  <c r="A1247" i="2"/>
  <c r="A228" i="2"/>
  <c r="A137" i="2"/>
  <c r="A1554" i="2"/>
  <c r="A1800" i="2"/>
  <c r="A772" i="2"/>
  <c r="A1446" i="2"/>
  <c r="A581" i="2"/>
  <c r="A1550" i="2"/>
  <c r="A759" i="2"/>
  <c r="A967" i="2"/>
  <c r="A1462" i="2"/>
  <c r="A898" i="2"/>
  <c r="A355" i="2"/>
  <c r="A1227" i="2"/>
  <c r="A461" i="2"/>
  <c r="A1029" i="2"/>
  <c r="A214" i="2"/>
  <c r="A1371" i="2"/>
  <c r="A122" i="2"/>
  <c r="A1378" i="2"/>
  <c r="A721" i="2"/>
  <c r="A1311" i="2"/>
  <c r="A310" i="2"/>
  <c r="A261" i="2"/>
  <c r="A544" i="2"/>
  <c r="A1753" i="2"/>
  <c r="A1837" i="2"/>
  <c r="A101" i="2"/>
  <c r="A682" i="2"/>
  <c r="A489" i="2"/>
  <c r="A499" i="2"/>
  <c r="A31" i="2"/>
  <c r="A1840" i="2"/>
  <c r="A186" i="2"/>
  <c r="A599" i="2"/>
  <c r="A168" i="2"/>
  <c r="A1478" i="2"/>
  <c r="A1593" i="2"/>
  <c r="A603" i="2"/>
  <c r="A666" i="2"/>
  <c r="A1495" i="2"/>
  <c r="A1416" i="2"/>
  <c r="A1726" i="2"/>
  <c r="A867" i="2"/>
  <c r="A123" i="2"/>
  <c r="A515" i="2"/>
  <c r="A399" i="2"/>
  <c r="A699" i="2"/>
  <c r="A857" i="2"/>
  <c r="A1505" i="2"/>
  <c r="A702" i="2"/>
  <c r="A372" i="2"/>
  <c r="A163" i="2"/>
  <c r="A1479" i="2"/>
  <c r="A1751" i="2"/>
  <c r="A1117" i="2"/>
  <c r="A27" i="2"/>
  <c r="A844" i="2"/>
  <c r="A86" i="2"/>
  <c r="A1828" i="2"/>
  <c r="A65" i="2"/>
  <c r="A777" i="2"/>
  <c r="A526" i="2"/>
  <c r="A460" i="2"/>
  <c r="A221" i="2"/>
  <c r="A862" i="2"/>
  <c r="A958" i="2"/>
  <c r="A698" i="2"/>
  <c r="A1309" i="2"/>
  <c r="A68" i="2"/>
  <c r="A1226" i="2"/>
  <c r="A377" i="2"/>
  <c r="A548" i="2"/>
  <c r="A11" i="2"/>
  <c r="A966" i="2"/>
  <c r="A297" i="2"/>
  <c r="A915" i="2"/>
  <c r="A1353" i="2"/>
  <c r="A935" i="2"/>
  <c r="A73" i="2"/>
  <c r="A1852" i="2"/>
  <c r="A63" i="2"/>
  <c r="A985" i="2"/>
  <c r="A180" i="2"/>
  <c r="A204" i="2"/>
  <c r="A1639" i="2"/>
  <c r="A940" i="2"/>
  <c r="A983" i="2"/>
  <c r="A639" i="2"/>
  <c r="A986" i="2"/>
  <c r="A135" i="2"/>
  <c r="A1735" i="2"/>
  <c r="A1251" i="2"/>
  <c r="A737" i="2"/>
  <c r="A1123" i="2"/>
  <c r="A975" i="2"/>
  <c r="A1284" i="2"/>
  <c r="A187" i="2"/>
  <c r="A1372" i="2"/>
  <c r="A1360" i="2"/>
  <c r="A979" i="2"/>
  <c r="A305" i="2"/>
  <c r="A1771" i="2"/>
  <c r="A551" i="2"/>
  <c r="A1158" i="2"/>
  <c r="A1157" i="2"/>
  <c r="A1046" i="2"/>
  <c r="A1388" i="2"/>
  <c r="A1387" i="2"/>
  <c r="A957" i="2"/>
  <c r="A1801" i="2"/>
  <c r="A1440" i="2"/>
  <c r="A990" i="2"/>
  <c r="A410" i="2"/>
  <c r="A237" i="2"/>
  <c r="A79" i="2"/>
  <c r="A815" i="2"/>
  <c r="A736" i="2"/>
  <c r="A1024" i="2"/>
  <c r="A1031" i="2"/>
  <c r="A1748" i="2"/>
  <c r="A1781" i="2"/>
  <c r="A350" i="2"/>
  <c r="A390" i="2"/>
  <c r="A1813" i="2"/>
  <c r="A1269" i="2"/>
  <c r="A810" i="2"/>
  <c r="A631" i="2"/>
  <c r="A1084" i="2"/>
  <c r="A374" i="2"/>
  <c r="A623" i="2"/>
  <c r="A1611" i="2"/>
  <c r="A1739" i="2"/>
  <c r="A1798" i="2"/>
  <c r="A1762" i="2"/>
  <c r="A1110" i="2"/>
  <c r="A1128" i="2"/>
  <c r="A1784" i="2"/>
  <c r="A1678" i="2"/>
  <c r="A1738" i="2"/>
  <c r="A661" i="2"/>
  <c r="A527" i="2"/>
  <c r="A746" i="2"/>
  <c r="A1747" i="2"/>
  <c r="A1393" i="2"/>
  <c r="A396" i="2"/>
  <c r="A1825" i="2"/>
  <c r="A1018" i="2"/>
  <c r="A1732" i="2"/>
  <c r="A85" i="2"/>
  <c r="A1855" i="2"/>
  <c r="A471" i="2"/>
  <c r="A1016" i="2"/>
  <c r="A858" i="2"/>
  <c r="A124" i="2"/>
  <c r="A855" i="2"/>
  <c r="A71" i="2"/>
  <c r="A495" i="2"/>
  <c r="A846" i="2"/>
  <c r="A1785" i="2"/>
  <c r="A368" i="2"/>
  <c r="A1373" i="2"/>
  <c r="A29" i="2"/>
  <c r="A1272" i="2"/>
  <c r="A419" i="2"/>
  <c r="A1099" i="2"/>
  <c r="A1733" i="2"/>
  <c r="A749" i="2"/>
  <c r="A1011" i="2"/>
  <c r="A213" i="2"/>
  <c r="A129" i="2"/>
  <c r="A782" i="2"/>
  <c r="A1208" i="2"/>
  <c r="A1727" i="2"/>
  <c r="A811" i="2"/>
  <c r="A783" i="2"/>
  <c r="A393" i="2"/>
  <c r="A278" i="2"/>
  <c r="A193" i="2"/>
  <c r="A728" i="2"/>
  <c r="A776" i="2"/>
  <c r="A1098" i="2"/>
  <c r="A1548" i="2"/>
  <c r="A591" i="2"/>
  <c r="A1150" i="2"/>
  <c r="A1395" i="2"/>
  <c r="A1337" i="2"/>
  <c r="A1361" i="2"/>
  <c r="A455" i="2"/>
  <c r="A1040" i="2"/>
  <c r="A289" i="2"/>
  <c r="A487" i="2"/>
  <c r="A704" i="2"/>
  <c r="A1719" i="2"/>
  <c r="A296" i="2"/>
  <c r="A1827" i="2"/>
  <c r="A781" i="2"/>
  <c r="A849" i="2"/>
  <c r="A1112" i="2"/>
  <c r="A1370" i="2"/>
  <c r="A1607" i="2"/>
  <c r="A1319" i="2"/>
  <c r="A774" i="2"/>
  <c r="A54" i="2"/>
  <c r="A1434" i="2"/>
  <c r="A705" i="2"/>
  <c r="A177" i="2"/>
  <c r="A212" i="2"/>
  <c r="A327" i="2"/>
  <c r="A626" i="2"/>
  <c r="A616" i="2"/>
  <c r="A1620" i="2"/>
  <c r="A1555" i="2"/>
  <c r="A1051" i="2"/>
  <c r="A1035" i="2"/>
  <c r="A605" i="2"/>
  <c r="A1637" i="2"/>
  <c r="A1129" i="2"/>
  <c r="A869" i="2"/>
  <c r="A1041" i="2"/>
  <c r="A1470" i="2"/>
  <c r="A1043" i="2"/>
  <c r="A984" i="2"/>
  <c r="A196" i="2"/>
  <c r="A1141" i="2"/>
  <c r="A738" i="2"/>
  <c r="A78" i="2"/>
  <c r="A751" i="2"/>
  <c r="A1427" i="2"/>
  <c r="A644" i="2"/>
  <c r="A227" i="2"/>
  <c r="A400" i="2"/>
  <c r="A1022" i="2"/>
  <c r="A1818" i="2"/>
  <c r="A792" i="2"/>
  <c r="A1746" i="2"/>
  <c r="A1428" i="2"/>
  <c r="A1506" i="2"/>
  <c r="A1455" i="2"/>
  <c r="A1285" i="2"/>
  <c r="A1848" i="2"/>
  <c r="A916" i="2"/>
  <c r="A64" i="2"/>
  <c r="A41" i="2"/>
  <c r="A836" i="2"/>
  <c r="A338" i="2"/>
  <c r="A59" i="2"/>
  <c r="A321" i="2"/>
  <c r="A1627" i="2"/>
  <c r="A441" i="2"/>
  <c r="A804" i="2"/>
  <c r="A658" i="2"/>
  <c r="A1749" i="2"/>
  <c r="A1780" i="2"/>
  <c r="A1326" i="2"/>
  <c r="A1740" i="2"/>
  <c r="A555" i="2"/>
  <c r="A652" i="2"/>
  <c r="A1172" i="2"/>
  <c r="A1336" i="2"/>
  <c r="A1763" i="2"/>
  <c r="A785" i="2"/>
  <c r="A694" i="2"/>
  <c r="A1764" i="2"/>
  <c r="A250" i="2"/>
  <c r="A6" i="2"/>
  <c r="A448" i="2"/>
  <c r="A284" i="2"/>
  <c r="A1775" i="2"/>
  <c r="A266" i="2"/>
  <c r="A636" i="2"/>
  <c r="A1323" i="2"/>
  <c r="A82" i="2"/>
  <c r="A924" i="2"/>
  <c r="A1342" i="2"/>
  <c r="A1646" i="2"/>
  <c r="A779" i="2"/>
  <c r="A1187" i="2"/>
  <c r="A522" i="2"/>
  <c r="A1078" i="2"/>
  <c r="A1102" i="2"/>
  <c r="A1027" i="2"/>
  <c r="A90" i="2"/>
  <c r="A686" i="2"/>
  <c r="A794" i="2"/>
  <c r="A951" i="2"/>
  <c r="A1429" i="2"/>
  <c r="A329" i="2"/>
  <c r="A1660" i="2"/>
  <c r="A126" i="2"/>
  <c r="A554" i="2"/>
  <c r="A1498" i="2"/>
  <c r="A925" i="2"/>
  <c r="A1843" i="2"/>
  <c r="A162" i="2"/>
  <c r="A1806" i="2"/>
  <c r="A537" i="2"/>
  <c r="A1352" i="2"/>
  <c r="A558" i="2"/>
  <c r="A920" i="2"/>
  <c r="A521" i="2"/>
  <c r="A597" i="2"/>
  <c r="A930" i="2"/>
  <c r="A144" i="2"/>
  <c r="A827" i="2"/>
  <c r="A697" i="2"/>
  <c r="A1600" i="2"/>
  <c r="A1091" i="2"/>
  <c r="A1351" i="2"/>
  <c r="A1597" i="2"/>
  <c r="A1643" i="2"/>
  <c r="A1055" i="2"/>
  <c r="A1693" i="2"/>
  <c r="A1340" i="2"/>
  <c r="A606" i="2"/>
  <c r="A347" i="2"/>
  <c r="A501" i="2"/>
  <c r="A142" i="2"/>
  <c r="A331" i="2"/>
  <c r="A1833" i="2"/>
  <c r="A342" i="2"/>
  <c r="A755" i="2"/>
  <c r="A1308" i="2"/>
  <c r="A498" i="2"/>
  <c r="A219" i="2"/>
  <c r="A1633" i="2"/>
  <c r="A1583" i="2"/>
  <c r="A1615" i="2"/>
  <c r="A1274" i="2"/>
  <c r="A805" i="2"/>
  <c r="A1835" i="2"/>
  <c r="A1028" i="2"/>
  <c r="A1563" i="2"/>
  <c r="A1282" i="2"/>
  <c r="A1057" i="2"/>
  <c r="A283" i="2"/>
  <c r="A1142" i="2"/>
  <c r="A1623" i="2"/>
  <c r="A335" i="2"/>
  <c r="A1287" i="2"/>
  <c r="A1079" i="2"/>
  <c r="A585" i="2"/>
  <c r="A696" i="2"/>
  <c r="A726" i="2"/>
  <c r="A1120" i="2"/>
  <c r="A1797" i="2"/>
  <c r="A322" i="2"/>
  <c r="A1531" i="2"/>
  <c r="A1539" i="2"/>
  <c r="A140" i="2"/>
  <c r="A1642" i="2"/>
  <c r="A1056" i="2"/>
  <c r="A638" i="2"/>
  <c r="A1596" i="2"/>
  <c r="A346" i="2"/>
  <c r="A1339" i="2"/>
  <c r="A490" i="2"/>
  <c r="A139" i="2"/>
  <c r="A1634" i="2"/>
  <c r="A788" i="2"/>
  <c r="A1635" i="2"/>
  <c r="A1644" i="2"/>
  <c r="A23" i="2"/>
  <c r="A1225" i="2"/>
  <c r="A1431" i="2"/>
  <c r="A576" i="2"/>
  <c r="A533" i="2"/>
  <c r="A567" i="2"/>
  <c r="A1058" i="2"/>
  <c r="A580" i="2"/>
  <c r="A1039" i="2"/>
  <c r="A1769" i="2"/>
  <c r="A929" i="2"/>
  <c r="A514" i="2"/>
  <c r="A1263" i="2"/>
  <c r="A1649" i="2"/>
  <c r="A1075" i="2"/>
  <c r="A1668" i="2"/>
  <c r="A1347" i="2"/>
  <c r="A1224" i="2"/>
  <c r="A1628" i="2"/>
  <c r="A1100" i="2"/>
  <c r="A1343" i="2"/>
  <c r="A1662" i="2"/>
  <c r="A1645" i="2"/>
  <c r="A1832" i="2"/>
  <c r="A1119" i="2"/>
  <c r="A1475" i="2"/>
  <c r="A978" i="2"/>
  <c r="A760" i="2"/>
  <c r="A909" i="2"/>
  <c r="A223" i="2"/>
  <c r="A938" i="2"/>
  <c r="A995" i="2"/>
  <c r="A502" i="2"/>
  <c r="A1104" i="2"/>
  <c r="A968" i="2"/>
  <c r="A174" i="2"/>
  <c r="A93" i="2"/>
  <c r="A768" i="2"/>
  <c r="A771" i="2"/>
  <c r="A62" i="2"/>
  <c r="A531" i="2"/>
  <c r="A1115" i="2"/>
  <c r="A1045" i="2"/>
  <c r="A1245" i="2"/>
  <c r="A1113" i="2"/>
  <c r="A397" i="2"/>
  <c r="A153" i="2"/>
  <c r="A947" i="2"/>
  <c r="A1160" i="2"/>
  <c r="A941" i="2"/>
  <c r="A1167" i="2"/>
  <c r="A1316" i="2"/>
  <c r="A1348" i="2"/>
  <c r="A55" i="2"/>
  <c r="A1159" i="2"/>
  <c r="A1586" i="2"/>
  <c r="A1200" i="2"/>
  <c r="P1200" i="2"/>
  <c r="O1200" i="2" s="1"/>
  <c r="T1200" i="2"/>
  <c r="U1200" i="2" s="1"/>
  <c r="A799" i="2"/>
  <c r="P799" i="2"/>
  <c r="O799" i="2" s="1"/>
  <c r="T799" i="2"/>
  <c r="U799" i="2" s="1"/>
  <c r="A750" i="2"/>
  <c r="A708" i="2"/>
  <c r="P708" i="2"/>
  <c r="O708" i="2" s="1"/>
  <c r="T708" i="2"/>
  <c r="U708" i="2" s="1"/>
  <c r="A500" i="2"/>
  <c r="A365" i="2"/>
  <c r="A543" i="2"/>
  <c r="A806" i="2"/>
  <c r="A1638" i="2"/>
  <c r="A1350" i="2"/>
  <c r="A1044" i="2"/>
  <c r="A391" i="2"/>
  <c r="A677" i="2"/>
  <c r="A1103" i="2"/>
  <c r="A226" i="2"/>
  <c r="A1487" i="2"/>
  <c r="A1015" i="2"/>
  <c r="A97" i="2"/>
  <c r="A1484" i="2"/>
  <c r="A1485" i="2"/>
  <c r="A1779" i="2"/>
  <c r="A1049" i="2"/>
  <c r="A989" i="2"/>
  <c r="A673" i="2"/>
  <c r="A1474" i="2"/>
  <c r="A1682" i="2"/>
  <c r="A1770" i="2"/>
  <c r="A132" i="2"/>
  <c r="A1712" i="2"/>
  <c r="A1074" i="2"/>
  <c r="A1038" i="2"/>
  <c r="A1703" i="2"/>
  <c r="A467" i="2"/>
  <c r="A1453" i="2"/>
  <c r="A656" i="2"/>
  <c r="A542" i="2"/>
  <c r="A414" i="2"/>
  <c r="A950" i="2"/>
  <c r="A532" i="2"/>
  <c r="A1349" i="2"/>
  <c r="A83" i="2"/>
  <c r="A1313" i="2"/>
  <c r="A349" i="2"/>
  <c r="A732" i="2"/>
  <c r="A1412" i="2"/>
  <c r="A761" i="2"/>
  <c r="A1565" i="2"/>
  <c r="A1197" i="2"/>
  <c r="A364" i="2"/>
  <c r="A559" i="2"/>
  <c r="T256" i="2"/>
  <c r="U256" i="2" s="1"/>
  <c r="A724" i="2"/>
  <c r="A963" i="2"/>
  <c r="A902" i="2"/>
  <c r="A766" i="2"/>
  <c r="A194" i="2"/>
  <c r="C5" i="16"/>
  <c r="F5" i="16" s="1"/>
  <c r="P2" i="2"/>
  <c r="P42" i="2"/>
  <c r="P45" i="2"/>
  <c r="P4" i="2"/>
  <c r="P34" i="2"/>
  <c r="P44" i="2"/>
  <c r="P165" i="2"/>
  <c r="P33" i="2"/>
  <c r="P38" i="2"/>
  <c r="P95" i="2"/>
  <c r="P39" i="2"/>
  <c r="P77" i="2"/>
  <c r="P127" i="2"/>
  <c r="P125" i="2"/>
  <c r="P80" i="2"/>
  <c r="P94" i="2"/>
  <c r="P51" i="2"/>
  <c r="O51" i="2" s="1"/>
  <c r="P67" i="2"/>
  <c r="P99" i="2"/>
  <c r="P157" i="2"/>
  <c r="P183" i="2"/>
  <c r="P159" i="2"/>
  <c r="P178" i="2"/>
  <c r="P19" i="2"/>
  <c r="P169" i="2"/>
  <c r="P18" i="2"/>
  <c r="P17" i="2"/>
  <c r="P179" i="2"/>
  <c r="P195" i="2"/>
  <c r="P20" i="2"/>
  <c r="P8" i="2"/>
  <c r="P155" i="2"/>
  <c r="P234" i="2"/>
  <c r="P254" i="2"/>
  <c r="P333" i="2"/>
  <c r="P255" i="2"/>
  <c r="P259" i="2"/>
  <c r="P263" i="2"/>
  <c r="O263" i="2" s="1"/>
  <c r="P273" i="2"/>
  <c r="P1064" i="2"/>
  <c r="P307" i="2"/>
  <c r="P330" i="2"/>
  <c r="P269" i="2"/>
  <c r="P271" i="2"/>
  <c r="P324" i="2"/>
  <c r="P303" i="2"/>
  <c r="P375" i="2"/>
  <c r="P280" i="2"/>
  <c r="P323" i="2"/>
  <c r="P291" i="2"/>
  <c r="P311" i="2"/>
  <c r="P312" i="2"/>
  <c r="P381" i="2"/>
  <c r="P308" i="2"/>
  <c r="P388" i="2"/>
  <c r="P379" i="2"/>
  <c r="P386" i="2"/>
  <c r="P334" i="2"/>
  <c r="P373" i="2"/>
  <c r="P385" i="2"/>
  <c r="P369" i="2"/>
  <c r="P382" i="2"/>
  <c r="O382" i="2" s="1"/>
  <c r="P406" i="2"/>
  <c r="P402" i="2"/>
  <c r="P407" i="2"/>
  <c r="P401" i="2"/>
  <c r="P405" i="2"/>
  <c r="P425" i="2"/>
  <c r="O425" i="2" s="1"/>
  <c r="P415" i="2"/>
  <c r="P420" i="2"/>
  <c r="P428" i="2"/>
  <c r="P513" i="2"/>
  <c r="P504" i="2"/>
  <c r="P510" i="2"/>
  <c r="P456" i="2"/>
  <c r="P450" i="2"/>
  <c r="P432" i="2"/>
  <c r="P492" i="2"/>
  <c r="P483" i="2"/>
  <c r="P511" i="2"/>
  <c r="P494" i="2"/>
  <c r="P475" i="2"/>
  <c r="O475" i="2" s="1"/>
  <c r="P493" i="2"/>
  <c r="P435" i="2"/>
  <c r="P609" i="2"/>
  <c r="P562" i="2"/>
  <c r="P588" i="2"/>
  <c r="P611" i="2"/>
  <c r="P570" i="2"/>
  <c r="O570" i="2" s="1"/>
  <c r="P577" i="2"/>
  <c r="P550" i="2"/>
  <c r="P579" i="2"/>
  <c r="P578" i="2"/>
  <c r="P572" i="2"/>
  <c r="P608" i="2"/>
  <c r="O608" i="2" s="1"/>
  <c r="P575" i="2"/>
  <c r="P598" i="2"/>
  <c r="O598" i="2" s="1"/>
  <c r="P640" i="2"/>
  <c r="P653" i="2"/>
  <c r="P607" i="2"/>
  <c r="O607" i="2" s="1"/>
  <c r="P655" i="2"/>
  <c r="P647" i="2"/>
  <c r="O647" i="2" s="1"/>
  <c r="P587" i="2"/>
  <c r="P650" i="2"/>
  <c r="P670" i="2"/>
  <c r="P691" i="2"/>
  <c r="P610" i="2"/>
  <c r="P676" i="2"/>
  <c r="P669" i="2"/>
  <c r="P672" i="2"/>
  <c r="P683" i="2"/>
  <c r="O683" i="2" s="1"/>
  <c r="P690" i="2"/>
  <c r="P685" i="2"/>
  <c r="P688" i="2"/>
  <c r="P684" i="2"/>
  <c r="P712" i="2"/>
  <c r="P757" i="2"/>
  <c r="P713" i="2"/>
  <c r="P754" i="2"/>
  <c r="P743" i="2"/>
  <c r="P734" i="2"/>
  <c r="P753" i="2"/>
  <c r="P814" i="2"/>
  <c r="P764" i="2"/>
  <c r="P775" i="2"/>
  <c r="P786" i="2"/>
  <c r="P820" i="2"/>
  <c r="P818" i="2"/>
  <c r="O818" i="2" s="1"/>
  <c r="P813" i="2"/>
  <c r="P822" i="2"/>
  <c r="P825" i="2"/>
  <c r="P817" i="2"/>
  <c r="P828" i="2"/>
  <c r="P835" i="2"/>
  <c r="P833" i="2"/>
  <c r="P882" i="2"/>
  <c r="P866" i="2"/>
  <c r="P883" i="2"/>
  <c r="P877" i="2"/>
  <c r="P885" i="2"/>
  <c r="P928" i="2"/>
  <c r="P964" i="2"/>
  <c r="P912" i="2"/>
  <c r="P944" i="2"/>
  <c r="P959" i="2"/>
  <c r="P914" i="2"/>
  <c r="O914" i="2" s="1"/>
  <c r="P931" i="2"/>
  <c r="P922" i="2"/>
  <c r="P942" i="2"/>
  <c r="P905" i="2"/>
  <c r="O905" i="2" s="1"/>
  <c r="P961" i="2"/>
  <c r="P949" i="2"/>
  <c r="P965" i="2"/>
  <c r="P970" i="2"/>
  <c r="P999" i="2"/>
  <c r="P972" i="2"/>
  <c r="P1398" i="2"/>
  <c r="P1000" i="2"/>
  <c r="P1048" i="2"/>
  <c r="P1008" i="2"/>
  <c r="P1036" i="2"/>
  <c r="P1068" i="2"/>
  <c r="P1134" i="2"/>
  <c r="O1134" i="2" s="1"/>
  <c r="P1804" i="2"/>
  <c r="P1114" i="2"/>
  <c r="P1080" i="2"/>
  <c r="O1080" i="2" s="1"/>
  <c r="P1070" i="2"/>
  <c r="P1088" i="2"/>
  <c r="P1095" i="2"/>
  <c r="P1085" i="2"/>
  <c r="P1132" i="2"/>
  <c r="P1138" i="2"/>
  <c r="P1130" i="2"/>
  <c r="P1143" i="2"/>
  <c r="P1152" i="2"/>
  <c r="P1147" i="2"/>
  <c r="P1176" i="2"/>
  <c r="P1183" i="2"/>
  <c r="P1155" i="2"/>
  <c r="O1155" i="2" s="1"/>
  <c r="P1162" i="2"/>
  <c r="P1168" i="2"/>
  <c r="P1163" i="2"/>
  <c r="P1174" i="2"/>
  <c r="O1174" i="2" s="1"/>
  <c r="P1184" i="2"/>
  <c r="P1178" i="2"/>
  <c r="P1173" i="2"/>
  <c r="P1209" i="2"/>
  <c r="P1205" i="2"/>
  <c r="P1204" i="2"/>
  <c r="P1203" i="2"/>
  <c r="P1249" i="2"/>
  <c r="O1249" i="2" s="1"/>
  <c r="P1248" i="2"/>
  <c r="P1297" i="2"/>
  <c r="P1279" i="2"/>
  <c r="P1264" i="2"/>
  <c r="P1301" i="2"/>
  <c r="P1281" i="2"/>
  <c r="P1259" i="2"/>
  <c r="P1275" i="2"/>
  <c r="P1850" i="2"/>
  <c r="O1850" i="2" s="1"/>
  <c r="P1304" i="2"/>
  <c r="P1255" i="2"/>
  <c r="P1283" i="2"/>
  <c r="P1276" i="2"/>
  <c r="O1276" i="2" s="1"/>
  <c r="P1257" i="2"/>
  <c r="P1302" i="2"/>
  <c r="P1325" i="2"/>
  <c r="P1344" i="2"/>
  <c r="P1363" i="2"/>
  <c r="P1330" i="2"/>
  <c r="P1306" i="2"/>
  <c r="P1334" i="2"/>
  <c r="P1312" i="2"/>
  <c r="P1314" i="2"/>
  <c r="P1374" i="2"/>
  <c r="P1379" i="2"/>
  <c r="P1369" i="2"/>
  <c r="P1368" i="2"/>
  <c r="P1486" i="2"/>
  <c r="P1454" i="2"/>
  <c r="P1418" i="2"/>
  <c r="P1426" i="2"/>
  <c r="O1426" i="2" s="1"/>
  <c r="P1469" i="2"/>
  <c r="O1469" i="2" s="1"/>
  <c r="P1477" i="2"/>
  <c r="O1477" i="2" s="1"/>
  <c r="P1385" i="2"/>
  <c r="O1385" i="2" s="1"/>
  <c r="P1525" i="2"/>
  <c r="P1515" i="2"/>
  <c r="P1503" i="2"/>
  <c r="P1466" i="2"/>
  <c r="P1514" i="2"/>
  <c r="P1476" i="2"/>
  <c r="P1467" i="2"/>
  <c r="P1425" i="2"/>
  <c r="P1410" i="2"/>
  <c r="P1526" i="2"/>
  <c r="P1502" i="2"/>
  <c r="P1533" i="2"/>
  <c r="O1533" i="2" s="1"/>
  <c r="P1473" i="2"/>
  <c r="P1488" i="2"/>
  <c r="P1652" i="2"/>
  <c r="P1590" i="2"/>
  <c r="P1654" i="2"/>
  <c r="P1582" i="2"/>
  <c r="O1582" i="2" s="1"/>
  <c r="P1553" i="2"/>
  <c r="P1562" i="2"/>
  <c r="P1557" i="2"/>
  <c r="P1676" i="2"/>
  <c r="O1676" i="2" s="1"/>
  <c r="P1589" i="2"/>
  <c r="P1606" i="2"/>
  <c r="P1629" i="2"/>
  <c r="P1595" i="2"/>
  <c r="P1659" i="2"/>
  <c r="P1613" i="2"/>
  <c r="O1613" i="2" s="1"/>
  <c r="P1605" i="2"/>
  <c r="P1602" i="2"/>
  <c r="P1701" i="2"/>
  <c r="P1702" i="2"/>
  <c r="P1695" i="2"/>
  <c r="O1695" i="2" s="1"/>
  <c r="P1704" i="2"/>
  <c r="P1697" i="2"/>
  <c r="P1694" i="2"/>
  <c r="P1706" i="2"/>
  <c r="P1714" i="2"/>
  <c r="P1684" i="2"/>
  <c r="P1725" i="2"/>
  <c r="P1795" i="2"/>
  <c r="P1722" i="2"/>
  <c r="P1737" i="2"/>
  <c r="P1767" i="2"/>
  <c r="P1776" i="2"/>
  <c r="P1766" i="2"/>
  <c r="P1723" i="2"/>
  <c r="P1729" i="2"/>
  <c r="P1792" i="2"/>
  <c r="P1724" i="2"/>
  <c r="P1790" i="2"/>
  <c r="P1786" i="2"/>
  <c r="O1786" i="2" s="1"/>
  <c r="P1761" i="2"/>
  <c r="P1773" i="2"/>
  <c r="P1831" i="2"/>
  <c r="P306" i="2"/>
  <c r="P1845" i="2"/>
  <c r="P1853" i="2"/>
  <c r="P1834" i="2"/>
  <c r="P1829" i="2"/>
  <c r="P52" i="2"/>
  <c r="O52" i="2" s="1"/>
  <c r="P370" i="2"/>
  <c r="O370" i="2" s="1"/>
  <c r="P389" i="2"/>
  <c r="O389" i="2" s="1"/>
  <c r="P740" i="2"/>
  <c r="O740" i="2" s="1"/>
  <c r="P848" i="2"/>
  <c r="O848" i="2" s="1"/>
  <c r="P881" i="2"/>
  <c r="O881" i="2" s="1"/>
  <c r="P903" i="2"/>
  <c r="O903" i="2" s="1"/>
  <c r="P904" i="2"/>
  <c r="O904" i="2" s="1"/>
  <c r="P1082" i="2"/>
  <c r="O1082" i="2" s="1"/>
  <c r="P1523" i="2"/>
  <c r="O1523" i="2" s="1"/>
  <c r="P1610" i="2"/>
  <c r="P1851" i="2"/>
  <c r="O1851" i="2" s="1"/>
  <c r="P1658" i="2"/>
  <c r="O1658" i="2" s="1"/>
  <c r="P1261" i="2"/>
  <c r="P600" i="2"/>
  <c r="O600" i="2" s="1"/>
  <c r="P1839" i="2"/>
  <c r="O1839" i="2" s="1"/>
  <c r="P28" i="2"/>
  <c r="P35" i="2"/>
  <c r="P106" i="2"/>
  <c r="P114" i="2"/>
  <c r="P118" i="2"/>
  <c r="P156" i="2"/>
  <c r="P160" i="2"/>
  <c r="P161" i="2"/>
  <c r="P164" i="2"/>
  <c r="P218" i="2"/>
  <c r="P267" i="2"/>
  <c r="P352" i="2"/>
  <c r="P358" i="2"/>
  <c r="O358" i="2" s="1"/>
  <c r="P485" i="2"/>
  <c r="P528" i="2"/>
  <c r="P539" i="2"/>
  <c r="P563" i="2"/>
  <c r="P621" i="2"/>
  <c r="P622" i="2"/>
  <c r="P657" i="2"/>
  <c r="P735" i="2"/>
  <c r="P752" i="2"/>
  <c r="P770" i="2"/>
  <c r="P780" i="2"/>
  <c r="P808" i="2"/>
  <c r="P899" i="2"/>
  <c r="P926" i="2"/>
  <c r="O926" i="2" s="1"/>
  <c r="P1001" i="2"/>
  <c r="P1003" i="2"/>
  <c r="O1003" i="2" s="1"/>
  <c r="P1006" i="2"/>
  <c r="P1007" i="2"/>
  <c r="P1077" i="2"/>
  <c r="P1083" i="2"/>
  <c r="P1090" i="2"/>
  <c r="P1105" i="2"/>
  <c r="O1105" i="2" s="1"/>
  <c r="P1118" i="2"/>
  <c r="P1182" i="2"/>
  <c r="P1195" i="2"/>
  <c r="O1195" i="2" s="1"/>
  <c r="P1218" i="2"/>
  <c r="O1218" i="2" s="1"/>
  <c r="P1270" i="2"/>
  <c r="O1270" i="2" s="1"/>
  <c r="P1291" i="2"/>
  <c r="P1324" i="2"/>
  <c r="P1354" i="2"/>
  <c r="P1375" i="2"/>
  <c r="P1402" i="2"/>
  <c r="P1414" i="2"/>
  <c r="P1420" i="2"/>
  <c r="O1420" i="2" s="1"/>
  <c r="P1458" i="2"/>
  <c r="P1513" i="2"/>
  <c r="P1544" i="2"/>
  <c r="P1625" i="2"/>
  <c r="P1681" i="2"/>
  <c r="O1681" i="2" s="1"/>
  <c r="P1686" i="2"/>
  <c r="P1692" i="2"/>
  <c r="P1731" i="2"/>
  <c r="P1787" i="2"/>
  <c r="P1802" i="2"/>
  <c r="O1802" i="2" s="1"/>
  <c r="P1809" i="2"/>
  <c r="O1809" i="2" s="1"/>
  <c r="P1826" i="2"/>
  <c r="P1830" i="2"/>
  <c r="P1846" i="2"/>
  <c r="P1842" i="2"/>
  <c r="P1452" i="2"/>
  <c r="P1711" i="2"/>
  <c r="P295" i="2"/>
  <c r="P302" i="2"/>
  <c r="P463" i="2"/>
  <c r="P5" i="2"/>
  <c r="P12" i="2"/>
  <c r="O12" i="2" s="1"/>
  <c r="P30" i="2"/>
  <c r="O30" i="2" s="1"/>
  <c r="P48" i="2"/>
  <c r="O48" i="2" s="1"/>
  <c r="P56" i="2"/>
  <c r="O56" i="2" s="1"/>
  <c r="P57" i="2"/>
  <c r="P58" i="2"/>
  <c r="P61" i="2"/>
  <c r="P75" i="2"/>
  <c r="O75" i="2" s="1"/>
  <c r="P84" i="2"/>
  <c r="O84" i="2" s="1"/>
  <c r="P91" i="2"/>
  <c r="O91" i="2" s="1"/>
  <c r="P96" i="2"/>
  <c r="O96" i="2" s="1"/>
  <c r="P98" i="2"/>
  <c r="O98" i="2" s="1"/>
  <c r="P104" i="2"/>
  <c r="P107" i="2"/>
  <c r="O107" i="2" s="1"/>
  <c r="P108" i="2"/>
  <c r="O108" i="2" s="1"/>
  <c r="P109" i="2"/>
  <c r="O109" i="2" s="1"/>
  <c r="P110" i="2"/>
  <c r="O110" i="2" s="1"/>
  <c r="P111" i="2"/>
  <c r="O111" i="2" s="1"/>
  <c r="P112" i="2"/>
  <c r="O112" i="2" s="1"/>
  <c r="P113" i="2"/>
  <c r="O113" i="2" s="1"/>
  <c r="P115" i="2"/>
  <c r="O115" i="2" s="1"/>
  <c r="P121" i="2"/>
  <c r="P128" i="2"/>
  <c r="P136" i="2"/>
  <c r="P143" i="2"/>
  <c r="P145" i="2"/>
  <c r="O145" i="2" s="1"/>
  <c r="P146" i="2"/>
  <c r="O146" i="2" s="1"/>
  <c r="P147" i="2"/>
  <c r="O147" i="2" s="1"/>
  <c r="P148" i="2"/>
  <c r="O148" i="2" s="1"/>
  <c r="P149" i="2"/>
  <c r="O149" i="2" s="1"/>
  <c r="P150" i="2"/>
  <c r="O150" i="2" s="1"/>
  <c r="P151" i="2"/>
  <c r="O151" i="2" s="1"/>
  <c r="P188" i="2"/>
  <c r="P202" i="2"/>
  <c r="P205" i="2"/>
  <c r="O205" i="2" s="1"/>
  <c r="P206" i="2"/>
  <c r="P209" i="2"/>
  <c r="O209" i="2" s="1"/>
  <c r="P210" i="2"/>
  <c r="O210" i="2" s="1"/>
  <c r="P215" i="2"/>
  <c r="O215" i="2" s="1"/>
  <c r="P225" i="2"/>
  <c r="O225" i="2" s="1"/>
  <c r="P231" i="2"/>
  <c r="O231" i="2" s="1"/>
  <c r="P232" i="2"/>
  <c r="O232" i="2" s="1"/>
  <c r="P235" i="2"/>
  <c r="P236" i="2"/>
  <c r="P238" i="2"/>
  <c r="P239" i="2"/>
  <c r="O239" i="2" s="1"/>
  <c r="P240" i="2"/>
  <c r="O240" i="2" s="1"/>
  <c r="P241" i="2"/>
  <c r="O241" i="2" s="1"/>
  <c r="P243" i="2"/>
  <c r="O243" i="2" s="1"/>
  <c r="P244" i="2"/>
  <c r="O244" i="2" s="1"/>
  <c r="P256" i="2"/>
  <c r="O256" i="2" s="1"/>
  <c r="P260" i="2"/>
  <c r="P272" i="2"/>
  <c r="O272" i="2" s="1"/>
  <c r="P275" i="2"/>
  <c r="O275" i="2" s="1"/>
  <c r="P276" i="2"/>
  <c r="O276" i="2" s="1"/>
  <c r="P277" i="2"/>
  <c r="P290" i="2"/>
  <c r="P293" i="2"/>
  <c r="O293" i="2" s="1"/>
  <c r="P294" i="2"/>
  <c r="O294" i="2" s="1"/>
  <c r="P301" i="2"/>
  <c r="O301" i="2" s="1"/>
  <c r="P318" i="2"/>
  <c r="P343" i="2"/>
  <c r="P344" i="2"/>
  <c r="O344" i="2" s="1"/>
  <c r="P356" i="2"/>
  <c r="O356" i="2" s="1"/>
  <c r="P357" i="2"/>
  <c r="P359" i="2"/>
  <c r="P360" i="2"/>
  <c r="P361" i="2"/>
  <c r="P378" i="2"/>
  <c r="O378" i="2" s="1"/>
  <c r="P380" i="2"/>
  <c r="O380" i="2" s="1"/>
  <c r="P383" i="2"/>
  <c r="O383" i="2" s="1"/>
  <c r="P384" i="2"/>
  <c r="O384" i="2" s="1"/>
  <c r="P395" i="2"/>
  <c r="O395" i="2" s="1"/>
  <c r="P411" i="2"/>
  <c r="P412" i="2"/>
  <c r="O412" i="2" s="1"/>
  <c r="P413" i="2"/>
  <c r="O413" i="2" s="1"/>
  <c r="P422" i="2"/>
  <c r="O422" i="2" s="1"/>
  <c r="P423" i="2"/>
  <c r="O423" i="2" s="1"/>
  <c r="P424" i="2"/>
  <c r="O424" i="2" s="1"/>
  <c r="P429" i="2"/>
  <c r="O429" i="2" s="1"/>
  <c r="P430" i="2"/>
  <c r="O430" i="2" s="1"/>
  <c r="P437" i="2"/>
  <c r="O437" i="2" s="1"/>
  <c r="P445" i="2"/>
  <c r="O445" i="2" s="1"/>
  <c r="P449" i="2"/>
  <c r="O449" i="2" s="1"/>
  <c r="P462" i="2"/>
  <c r="O462" i="2" s="1"/>
  <c r="P466" i="2"/>
  <c r="O466" i="2" s="1"/>
  <c r="P468" i="2"/>
  <c r="O468" i="2" s="1"/>
  <c r="P470" i="2"/>
  <c r="O470" i="2" s="1"/>
  <c r="P474" i="2"/>
  <c r="P480" i="2"/>
  <c r="O480" i="2" s="1"/>
  <c r="P482" i="2"/>
  <c r="P484" i="2"/>
  <c r="O484" i="2" s="1"/>
  <c r="P488" i="2"/>
  <c r="P491" i="2"/>
  <c r="O491" i="2" s="1"/>
  <c r="P496" i="2"/>
  <c r="O496" i="2" s="1"/>
  <c r="P497" i="2"/>
  <c r="O497" i="2" s="1"/>
  <c r="P505" i="2"/>
  <c r="O505" i="2" s="1"/>
  <c r="P506" i="2"/>
  <c r="O506" i="2" s="1"/>
  <c r="P507" i="2"/>
  <c r="O507" i="2" s="1"/>
  <c r="P509" i="2"/>
  <c r="O509" i="2" s="1"/>
  <c r="P517" i="2"/>
  <c r="O517" i="2" s="1"/>
  <c r="P518" i="2"/>
  <c r="O518" i="2" s="1"/>
  <c r="P523" i="2"/>
  <c r="O523" i="2" s="1"/>
  <c r="P538" i="2"/>
  <c r="P540" i="2"/>
  <c r="P547" i="2"/>
  <c r="P556" i="2"/>
  <c r="P565" i="2"/>
  <c r="O565" i="2" s="1"/>
  <c r="P568" i="2"/>
  <c r="O568" i="2" s="1"/>
  <c r="P574" i="2"/>
  <c r="O574" i="2" s="1"/>
  <c r="P582" i="2"/>
  <c r="P583" i="2"/>
  <c r="O583" i="2" s="1"/>
  <c r="P589" i="2"/>
  <c r="P590" i="2"/>
  <c r="P592" i="2"/>
  <c r="P594" i="2"/>
  <c r="O594" i="2" s="1"/>
  <c r="P602" i="2"/>
  <c r="P624" i="2"/>
  <c r="O624" i="2" s="1"/>
  <c r="P637" i="2"/>
  <c r="P648" i="2"/>
  <c r="P678" i="2"/>
  <c r="O678" i="2" s="1"/>
  <c r="P681" i="2"/>
  <c r="O681" i="2" s="1"/>
  <c r="P689" i="2"/>
  <c r="O689" i="2" s="1"/>
  <c r="P695" i="2"/>
  <c r="P714" i="2"/>
  <c r="O714" i="2" s="1"/>
  <c r="P723" i="2"/>
  <c r="P733" i="2"/>
  <c r="P742" i="2"/>
  <c r="P763" i="2"/>
  <c r="P791" i="2"/>
  <c r="P802" i="2"/>
  <c r="O802" i="2" s="1"/>
  <c r="P803" i="2"/>
  <c r="O803" i="2" s="1"/>
  <c r="P809" i="2"/>
  <c r="P821" i="2"/>
  <c r="O821" i="2" s="1"/>
  <c r="P829" i="2"/>
  <c r="P830" i="2"/>
  <c r="P831" i="2"/>
  <c r="O831" i="2" s="1"/>
  <c r="P832" i="2"/>
  <c r="O832" i="2" s="1"/>
  <c r="P834" i="2"/>
  <c r="O834" i="2" s="1"/>
  <c r="P838" i="2"/>
  <c r="O838" i="2" s="1"/>
  <c r="P839" i="2"/>
  <c r="O839" i="2" s="1"/>
  <c r="P847" i="2"/>
  <c r="O847" i="2" s="1"/>
  <c r="P850" i="2"/>
  <c r="P853" i="2"/>
  <c r="P854" i="2"/>
  <c r="O854" i="2" s="1"/>
  <c r="P859" i="2"/>
  <c r="O859" i="2" s="1"/>
  <c r="P860" i="2"/>
  <c r="P863" i="2"/>
  <c r="O863" i="2" s="1"/>
  <c r="P865" i="2"/>
  <c r="O865" i="2" s="1"/>
  <c r="P868" i="2"/>
  <c r="O868" i="2" s="1"/>
  <c r="P870" i="2"/>
  <c r="P872" i="2"/>
  <c r="O872" i="2" s="1"/>
  <c r="P873" i="2"/>
  <c r="O873" i="2" s="1"/>
  <c r="P874" i="2"/>
  <c r="O874" i="2" s="1"/>
  <c r="P875" i="2"/>
  <c r="O875" i="2" s="1"/>
  <c r="P878" i="2"/>
  <c r="P879" i="2"/>
  <c r="P884" i="2"/>
  <c r="P890" i="2"/>
  <c r="O890" i="2" s="1"/>
  <c r="P891" i="2"/>
  <c r="O891" i="2" s="1"/>
  <c r="P892" i="2"/>
  <c r="O892" i="2" s="1"/>
  <c r="P893" i="2"/>
  <c r="O893" i="2" s="1"/>
  <c r="P895" i="2"/>
  <c r="O895" i="2" s="1"/>
  <c r="P896" i="2"/>
  <c r="O896" i="2" s="1"/>
  <c r="P897" i="2"/>
  <c r="P917" i="2"/>
  <c r="O917" i="2" s="1"/>
  <c r="P927" i="2"/>
  <c r="P933" i="2"/>
  <c r="O933" i="2" s="1"/>
  <c r="P934" i="2"/>
  <c r="O934" i="2" s="1"/>
  <c r="P936" i="2"/>
  <c r="O936" i="2" s="1"/>
  <c r="P937" i="2"/>
  <c r="O937" i="2" s="1"/>
  <c r="P943" i="2"/>
  <c r="O943" i="2" s="1"/>
  <c r="P952" i="2"/>
  <c r="O952" i="2" s="1"/>
  <c r="P953" i="2"/>
  <c r="O953" i="2" s="1"/>
  <c r="P981" i="2"/>
  <c r="O981" i="2" s="1"/>
  <c r="P982" i="2"/>
  <c r="O982" i="2" s="1"/>
  <c r="P997" i="2"/>
  <c r="P1005" i="2"/>
  <c r="P1012" i="2"/>
  <c r="O1012" i="2" s="1"/>
  <c r="P1021" i="2"/>
  <c r="P1034" i="2"/>
  <c r="O1034" i="2" s="1"/>
  <c r="P1050" i="2"/>
  <c r="P1059" i="2"/>
  <c r="O1059" i="2" s="1"/>
  <c r="P1063" i="2"/>
  <c r="P1067" i="2"/>
  <c r="O1067" i="2" s="1"/>
  <c r="P1076" i="2"/>
  <c r="P1086" i="2"/>
  <c r="P1087" i="2"/>
  <c r="P1109" i="2"/>
  <c r="P1116" i="2"/>
  <c r="P1125" i="2"/>
  <c r="P1135" i="2"/>
  <c r="O1135" i="2" s="1"/>
  <c r="P1153" i="2"/>
  <c r="O1153" i="2" s="1"/>
  <c r="P1154" i="2"/>
  <c r="O1154" i="2" s="1"/>
  <c r="P1161" i="2"/>
  <c r="O1161" i="2" s="1"/>
  <c r="P1164" i="2"/>
  <c r="P1166" i="2"/>
  <c r="O1166" i="2" s="1"/>
  <c r="P1170" i="2"/>
  <c r="O1170" i="2" s="1"/>
  <c r="P1194" i="2"/>
  <c r="P1201" i="2"/>
  <c r="P1202" i="2"/>
  <c r="P1210" i="2"/>
  <c r="P1221" i="2"/>
  <c r="O1221" i="2" s="1"/>
  <c r="P1222" i="2"/>
  <c r="O1222" i="2" s="1"/>
  <c r="P1246" i="2"/>
  <c r="O1246" i="2" s="1"/>
  <c r="P1254" i="2"/>
  <c r="O1254" i="2" s="1"/>
  <c r="P1258" i="2"/>
  <c r="P1260" i="2"/>
  <c r="O1260" i="2" s="1"/>
  <c r="P1280" i="2"/>
  <c r="O1280" i="2" s="1"/>
  <c r="P1289" i="2"/>
  <c r="P1292" i="2"/>
  <c r="P1295" i="2"/>
  <c r="O1295" i="2" s="1"/>
  <c r="P1298" i="2"/>
  <c r="O1298" i="2" s="1"/>
  <c r="P1305" i="2"/>
  <c r="O1305" i="2" s="1"/>
  <c r="P1310" i="2"/>
  <c r="O1310" i="2" s="1"/>
  <c r="P1321" i="2"/>
  <c r="P1327" i="2"/>
  <c r="O1327" i="2" s="1"/>
  <c r="P1328" i="2"/>
  <c r="P1329" i="2"/>
  <c r="O1329" i="2" s="1"/>
  <c r="P1346" i="2"/>
  <c r="P1355" i="2"/>
  <c r="P1356" i="2"/>
  <c r="P1362" i="2"/>
  <c r="P1391" i="2"/>
  <c r="O1391" i="2" s="1"/>
  <c r="P1392" i="2"/>
  <c r="P1396" i="2"/>
  <c r="O1396" i="2" s="1"/>
  <c r="P1403" i="2"/>
  <c r="P1405" i="2"/>
  <c r="P1406" i="2"/>
  <c r="P1408" i="2"/>
  <c r="P1409" i="2"/>
  <c r="P1413" i="2"/>
  <c r="O1413" i="2" s="1"/>
  <c r="P1415" i="2"/>
  <c r="O1415" i="2" s="1"/>
  <c r="P1417" i="2"/>
  <c r="O1417" i="2" s="1"/>
  <c r="P1423" i="2"/>
  <c r="P1433" i="2"/>
  <c r="O1433" i="2" s="1"/>
  <c r="P1437" i="2"/>
  <c r="P1457" i="2"/>
  <c r="O1457" i="2" s="1"/>
  <c r="P1463" i="2"/>
  <c r="O1463" i="2" s="1"/>
  <c r="P1483" i="2"/>
  <c r="P1497" i="2"/>
  <c r="O1497" i="2" s="1"/>
  <c r="P1499" i="2"/>
  <c r="P1509" i="2"/>
  <c r="P1534" i="2"/>
  <c r="O1534" i="2" s="1"/>
  <c r="P1535" i="2"/>
  <c r="O1535" i="2" s="1"/>
  <c r="P1540" i="2"/>
  <c r="O1540" i="2" s="1"/>
  <c r="P1541" i="2"/>
  <c r="O1541" i="2" s="1"/>
  <c r="P1545" i="2"/>
  <c r="P1546" i="2"/>
  <c r="O1546" i="2" s="1"/>
  <c r="P1551" i="2"/>
  <c r="P1558" i="2"/>
  <c r="P1564" i="2"/>
  <c r="P1576" i="2"/>
  <c r="O1576" i="2" s="1"/>
  <c r="P1577" i="2"/>
  <c r="O1577" i="2" s="1"/>
  <c r="P1578" i="2"/>
  <c r="O1578" i="2" s="1"/>
  <c r="P1579" i="2"/>
  <c r="O1579" i="2" s="1"/>
  <c r="P1580" i="2"/>
  <c r="O1580" i="2" s="1"/>
  <c r="P1584" i="2"/>
  <c r="O1584" i="2" s="1"/>
  <c r="P1588" i="2"/>
  <c r="O1588" i="2" s="1"/>
  <c r="P1601" i="2"/>
  <c r="P1609" i="2"/>
  <c r="P1630" i="2"/>
  <c r="O1630" i="2" s="1"/>
  <c r="P1653" i="2"/>
  <c r="O1653" i="2" s="1"/>
  <c r="P1656" i="2"/>
  <c r="O1656" i="2" s="1"/>
  <c r="P1663" i="2"/>
  <c r="O1663" i="2" s="1"/>
  <c r="P1664" i="2"/>
  <c r="O1664" i="2" s="1"/>
  <c r="P1673" i="2"/>
  <c r="O1673" i="2" s="1"/>
  <c r="P1675" i="2"/>
  <c r="O1675" i="2" s="1"/>
  <c r="P1683" i="2"/>
  <c r="O1683" i="2" s="1"/>
  <c r="P1707" i="2"/>
  <c r="P1710" i="2"/>
  <c r="P1713" i="2"/>
  <c r="P1716" i="2"/>
  <c r="O1716" i="2" s="1"/>
  <c r="P1734" i="2"/>
  <c r="P1736" i="2"/>
  <c r="P1745" i="2"/>
  <c r="P1752" i="2"/>
  <c r="O1752" i="2" s="1"/>
  <c r="P1756" i="2"/>
  <c r="O1756" i="2" s="1"/>
  <c r="P1757" i="2"/>
  <c r="O1757" i="2" s="1"/>
  <c r="P1758" i="2"/>
  <c r="P1760" i="2"/>
  <c r="P1765" i="2"/>
  <c r="P1774" i="2"/>
  <c r="P1796" i="2"/>
  <c r="O1796" i="2" s="1"/>
  <c r="P1807" i="2"/>
  <c r="P1808" i="2"/>
  <c r="O1808" i="2" s="1"/>
  <c r="P1814" i="2"/>
  <c r="O1814" i="2" s="1"/>
  <c r="P1822" i="2"/>
  <c r="O1822" i="2" s="1"/>
  <c r="P1823" i="2"/>
  <c r="P1854" i="2"/>
  <c r="O1854" i="2" s="1"/>
  <c r="P1856" i="2"/>
  <c r="O1856" i="2" s="1"/>
  <c r="P154" i="2"/>
  <c r="O154" i="2" s="1"/>
  <c r="P619" i="2"/>
  <c r="O619" i="2" s="1"/>
  <c r="P659" i="2"/>
  <c r="O659" i="2" s="1"/>
  <c r="P703" i="2"/>
  <c r="O703" i="2" s="1"/>
  <c r="P1730" i="2"/>
  <c r="O1730" i="2" s="1"/>
  <c r="P911" i="2"/>
  <c r="O911" i="2" s="1"/>
  <c r="A693" i="2"/>
  <c r="A37" i="2"/>
  <c r="A74" i="2"/>
  <c r="A131" i="2"/>
  <c r="A134" i="2"/>
  <c r="A154" i="2"/>
  <c r="A348" i="2"/>
  <c r="A473" i="2"/>
  <c r="A619" i="2"/>
  <c r="A635" i="2"/>
  <c r="A643" i="2"/>
  <c r="A659" i="2"/>
  <c r="A687" i="2"/>
  <c r="A703" i="2"/>
  <c r="A784" i="2"/>
  <c r="A1010" i="2"/>
  <c r="A1389" i="2"/>
  <c r="A1471" i="2"/>
  <c r="A1560" i="2"/>
  <c r="A1599" i="2"/>
  <c r="A1730" i="2"/>
  <c r="A911" i="2"/>
  <c r="A1558" i="2"/>
  <c r="B489" i="28"/>
  <c r="B550" i="28"/>
  <c r="B44" i="28"/>
  <c r="B52" i="28"/>
  <c r="B1" i="28"/>
  <c r="B2" i="28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5" i="28"/>
  <c r="B46" i="28"/>
  <c r="B47" i="28"/>
  <c r="B48" i="28"/>
  <c r="B49" i="28"/>
  <c r="B50" i="28"/>
  <c r="B51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454" i="28"/>
  <c r="B469" i="28"/>
  <c r="B463" i="28"/>
  <c r="B477" i="28"/>
  <c r="B574" i="28"/>
  <c r="B586" i="28"/>
  <c r="B459" i="28"/>
  <c r="B428" i="28"/>
  <c r="B98" i="28"/>
  <c r="B97" i="28"/>
  <c r="B559" i="28"/>
  <c r="B593" i="28"/>
  <c r="B579" i="28"/>
  <c r="B482" i="28"/>
  <c r="B490" i="28"/>
  <c r="B429" i="28"/>
  <c r="B516" i="28"/>
  <c r="B549" i="28"/>
  <c r="B564" i="28"/>
  <c r="B483" i="28"/>
  <c r="B566" i="28"/>
  <c r="B522" i="28"/>
  <c r="B515" i="28"/>
  <c r="B103" i="28"/>
  <c r="B102" i="28"/>
  <c r="B100" i="28"/>
  <c r="B99" i="28"/>
  <c r="B101" i="28"/>
  <c r="B533" i="28"/>
  <c r="B587" i="28"/>
  <c r="B606" i="28"/>
  <c r="B473" i="28"/>
  <c r="B105" i="28"/>
  <c r="B110" i="28"/>
  <c r="B111" i="28"/>
  <c r="B114" i="28"/>
  <c r="B107" i="28"/>
  <c r="B112" i="28"/>
  <c r="B108" i="28"/>
  <c r="B109" i="28"/>
  <c r="B106" i="28"/>
  <c r="B113" i="28"/>
  <c r="B104" i="28"/>
  <c r="B604" i="28"/>
  <c r="B600" i="28"/>
  <c r="B548" i="28"/>
  <c r="B116" i="28"/>
  <c r="B124" i="28"/>
  <c r="B128" i="28"/>
  <c r="B119" i="28"/>
  <c r="B122" i="28"/>
  <c r="B129" i="28"/>
  <c r="B127" i="28"/>
  <c r="B131" i="28"/>
  <c r="B118" i="28"/>
  <c r="B121" i="28"/>
  <c r="B123" i="28"/>
  <c r="B132" i="28"/>
  <c r="B134" i="28"/>
  <c r="B133" i="28"/>
  <c r="B115" i="28"/>
  <c r="B126" i="28"/>
  <c r="B117" i="28"/>
  <c r="B125" i="28"/>
  <c r="B130" i="28"/>
  <c r="B120" i="28"/>
  <c r="B135" i="28"/>
  <c r="B142" i="28"/>
  <c r="B139" i="28"/>
  <c r="B140" i="28"/>
  <c r="B145" i="28"/>
  <c r="B148" i="28"/>
  <c r="B147" i="28"/>
  <c r="B144" i="28"/>
  <c r="B146" i="28"/>
  <c r="B137" i="28"/>
  <c r="B143" i="28"/>
  <c r="B141" i="28"/>
  <c r="B152" i="28"/>
  <c r="B136" i="28"/>
  <c r="B138" i="28"/>
  <c r="B150" i="28"/>
  <c r="B149" i="28"/>
  <c r="B151" i="28"/>
  <c r="B603" i="28"/>
  <c r="B605" i="28"/>
  <c r="B439" i="28"/>
  <c r="B581" i="28"/>
  <c r="B481" i="28"/>
  <c r="B551" i="28"/>
  <c r="B568" i="28"/>
  <c r="B601" i="28"/>
  <c r="B442" i="28"/>
  <c r="B588" i="28"/>
  <c r="B534" i="28"/>
  <c r="B476" i="28"/>
  <c r="B478" i="28"/>
  <c r="B455" i="28"/>
  <c r="B565" i="28"/>
  <c r="B558" i="28"/>
  <c r="B446" i="28"/>
  <c r="B441" i="28"/>
  <c r="B856" i="28"/>
  <c r="B450" i="28"/>
  <c r="B471" i="28"/>
  <c r="B438" i="28"/>
  <c r="B452" i="28"/>
  <c r="B467" i="28"/>
  <c r="B157" i="28"/>
  <c r="B156" i="28"/>
  <c r="B166" i="28"/>
  <c r="B154" i="28"/>
  <c r="B167" i="28"/>
  <c r="B155" i="28"/>
  <c r="B164" i="28"/>
  <c r="B153" i="28"/>
  <c r="B159" i="28"/>
  <c r="B161" i="28"/>
  <c r="B163" i="28"/>
  <c r="B162" i="28"/>
  <c r="B160" i="28"/>
  <c r="B165" i="28"/>
  <c r="B466" i="28"/>
  <c r="B537" i="28"/>
  <c r="B539" i="28"/>
  <c r="B567" i="28"/>
  <c r="B524" i="28"/>
  <c r="B437" i="28"/>
  <c r="B577" i="28"/>
  <c r="B576" i="28"/>
  <c r="B192" i="28"/>
  <c r="B234" i="28"/>
  <c r="B186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7" i="28"/>
  <c r="B188" i="28"/>
  <c r="B189" i="28"/>
  <c r="B190" i="28"/>
  <c r="B191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5" i="28"/>
  <c r="B236" i="28"/>
  <c r="B237" i="28"/>
  <c r="B238" i="28"/>
  <c r="B239" i="28"/>
  <c r="B449" i="28"/>
  <c r="B447" i="28"/>
  <c r="B453" i="28"/>
  <c r="B508" i="28"/>
  <c r="B556" i="28"/>
  <c r="B496" i="28"/>
  <c r="B494" i="28"/>
  <c r="B433" i="28"/>
  <c r="B436" i="28"/>
  <c r="B513" i="28"/>
  <c r="B541" i="28"/>
  <c r="B464" i="28"/>
  <c r="B498" i="28"/>
  <c r="B596" i="28"/>
  <c r="B538" i="28"/>
  <c r="B241" i="28"/>
  <c r="B240" i="28"/>
  <c r="B243" i="28"/>
  <c r="B245" i="28"/>
  <c r="B246" i="28"/>
  <c r="B247" i="28"/>
  <c r="B242" i="28"/>
  <c r="B244" i="28"/>
  <c r="B488" i="28"/>
  <c r="B552" i="28"/>
  <c r="B859" i="28"/>
  <c r="B858" i="28"/>
  <c r="B591" i="28"/>
  <c r="B526" i="28"/>
  <c r="B444" i="28"/>
  <c r="B578" i="28"/>
  <c r="B432" i="28"/>
  <c r="B264" i="28"/>
  <c r="B267" i="28"/>
  <c r="B248" i="28"/>
  <c r="B257" i="28"/>
  <c r="B261" i="28"/>
  <c r="B266" i="28"/>
  <c r="B251" i="28"/>
  <c r="B252" i="28"/>
  <c r="B258" i="28"/>
  <c r="B255" i="28"/>
  <c r="B259" i="28"/>
  <c r="B254" i="28"/>
  <c r="B249" i="28"/>
  <c r="B260" i="28"/>
  <c r="B268" i="28"/>
  <c r="B270" i="28"/>
  <c r="B250" i="28"/>
  <c r="B269" i="28"/>
  <c r="B256" i="28"/>
  <c r="B262" i="28"/>
  <c r="B271" i="28"/>
  <c r="B253" i="28"/>
  <c r="B263" i="28"/>
  <c r="B514" i="28"/>
  <c r="B275" i="28"/>
  <c r="B274" i="28"/>
  <c r="B272" i="28"/>
  <c r="B273" i="28"/>
  <c r="B281" i="28"/>
  <c r="B344" i="28"/>
  <c r="B362" i="28"/>
  <c r="B287" i="28"/>
  <c r="B334" i="28"/>
  <c r="B283" i="28"/>
  <c r="B309" i="28"/>
  <c r="B366" i="28"/>
  <c r="B313" i="28"/>
  <c r="B340" i="28"/>
  <c r="B342" i="28"/>
  <c r="B356" i="28"/>
  <c r="B322" i="28"/>
  <c r="B374" i="28"/>
  <c r="B314" i="28"/>
  <c r="B410" i="28"/>
  <c r="B330" i="28"/>
  <c r="B395" i="28"/>
  <c r="B351" i="28"/>
  <c r="B353" i="28"/>
  <c r="B416" i="28"/>
  <c r="B370" i="28"/>
  <c r="B276" i="28"/>
  <c r="B277" i="28"/>
  <c r="B278" i="28"/>
  <c r="B279" i="28"/>
  <c r="B280" i="28"/>
  <c r="B282" i="28"/>
  <c r="B284" i="28"/>
  <c r="B285" i="28"/>
  <c r="B286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10" i="28"/>
  <c r="B311" i="28"/>
  <c r="B312" i="28"/>
  <c r="B315" i="28"/>
  <c r="B316" i="28"/>
  <c r="B317" i="28"/>
  <c r="B318" i="28"/>
  <c r="B319" i="28"/>
  <c r="B320" i="28"/>
  <c r="B321" i="28"/>
  <c r="B323" i="28"/>
  <c r="B324" i="28"/>
  <c r="B325" i="28"/>
  <c r="B326" i="28"/>
  <c r="B327" i="28"/>
  <c r="B328" i="28"/>
  <c r="B329" i="28"/>
  <c r="B331" i="28"/>
  <c r="B332" i="28"/>
  <c r="B333" i="28"/>
  <c r="B335" i="28"/>
  <c r="B336" i="28"/>
  <c r="B337" i="28"/>
  <c r="B338" i="28"/>
  <c r="B339" i="28"/>
  <c r="B341" i="28"/>
  <c r="B343" i="28"/>
  <c r="B345" i="28"/>
  <c r="B346" i="28"/>
  <c r="B347" i="28"/>
  <c r="B348" i="28"/>
  <c r="B349" i="28"/>
  <c r="B350" i="28"/>
  <c r="B352" i="28"/>
  <c r="B354" i="28"/>
  <c r="B355" i="28"/>
  <c r="B357" i="28"/>
  <c r="B358" i="28"/>
  <c r="B359" i="28"/>
  <c r="B360" i="28"/>
  <c r="B361" i="28"/>
  <c r="B363" i="28"/>
  <c r="B364" i="28"/>
  <c r="B365" i="28"/>
  <c r="B367" i="28"/>
  <c r="B368" i="28"/>
  <c r="B369" i="28"/>
  <c r="B371" i="28"/>
  <c r="B372" i="28"/>
  <c r="B373" i="28"/>
  <c r="B375" i="28"/>
  <c r="B376" i="28"/>
  <c r="B377" i="28"/>
  <c r="B378" i="28"/>
  <c r="B379" i="28"/>
  <c r="B380" i="28"/>
  <c r="B381" i="28"/>
  <c r="B382" i="28"/>
  <c r="B383" i="28"/>
  <c r="B384" i="28"/>
  <c r="B385" i="28"/>
  <c r="B386" i="28"/>
  <c r="B387" i="28"/>
  <c r="B388" i="28"/>
  <c r="B389" i="28"/>
  <c r="B390" i="28"/>
  <c r="B391" i="28"/>
  <c r="B392" i="28"/>
  <c r="B393" i="28"/>
  <c r="B394" i="28"/>
  <c r="B396" i="28"/>
  <c r="B397" i="28"/>
  <c r="B398" i="28"/>
  <c r="B399" i="28"/>
  <c r="B400" i="28"/>
  <c r="B401" i="28"/>
  <c r="B402" i="28"/>
  <c r="B403" i="28"/>
  <c r="B404" i="28"/>
  <c r="B405" i="28"/>
  <c r="B406" i="28"/>
  <c r="B407" i="28"/>
  <c r="B408" i="28"/>
  <c r="B409" i="28"/>
  <c r="B411" i="28"/>
  <c r="B412" i="28"/>
  <c r="B413" i="28"/>
  <c r="B414" i="28"/>
  <c r="B415" i="28"/>
  <c r="B521" i="28"/>
  <c r="B535" i="28"/>
  <c r="B594" i="28"/>
  <c r="B597" i="28"/>
  <c r="B584" i="28"/>
  <c r="B448" i="28"/>
  <c r="B479" i="28"/>
  <c r="B570" i="28"/>
  <c r="B510" i="28"/>
  <c r="B571" i="28"/>
  <c r="B529" i="28"/>
  <c r="B557" i="28"/>
  <c r="B440" i="28"/>
  <c r="B507" i="28"/>
  <c r="B531" i="28"/>
  <c r="B493" i="28"/>
  <c r="B560" i="28"/>
  <c r="B530" i="28"/>
  <c r="B509" i="28"/>
  <c r="B422" i="28"/>
  <c r="B418" i="28"/>
  <c r="B423" i="28"/>
  <c r="B426" i="28"/>
  <c r="B424" i="28"/>
  <c r="B419" i="28"/>
  <c r="B420" i="28"/>
  <c r="B425" i="28"/>
  <c r="B417" i="28"/>
  <c r="B421" i="28"/>
  <c r="B583" i="28"/>
  <c r="B503" i="28"/>
  <c r="B486" i="28"/>
  <c r="B512" i="28"/>
  <c r="B573" i="28"/>
  <c r="B546" i="28"/>
  <c r="B460" i="28"/>
  <c r="B540" i="28"/>
  <c r="B569" i="28"/>
  <c r="B434" i="28"/>
  <c r="B470" i="28"/>
  <c r="B572" i="28"/>
  <c r="B497" i="28"/>
  <c r="B443" i="28"/>
  <c r="B158" i="28"/>
  <c r="B487" i="28"/>
  <c r="B485" i="28"/>
  <c r="B431" i="28"/>
  <c r="B519" i="28"/>
  <c r="B608" i="28"/>
  <c r="B609" i="28"/>
  <c r="B610" i="28"/>
  <c r="B611" i="28"/>
  <c r="B430" i="28"/>
  <c r="B445" i="28"/>
  <c r="B561" i="28"/>
  <c r="B480" i="28"/>
  <c r="B612" i="28"/>
  <c r="B475" i="28"/>
  <c r="B468" i="28"/>
  <c r="B553" i="28"/>
  <c r="B554" i="28"/>
  <c r="B474" i="28"/>
  <c r="B563" i="28"/>
  <c r="B265" i="28"/>
  <c r="B504" i="28"/>
  <c r="B427" i="28"/>
  <c r="B590" i="28"/>
  <c r="B492" i="28"/>
  <c r="B562" i="28"/>
  <c r="B527" i="28"/>
  <c r="B528" i="28"/>
  <c r="B484" i="28"/>
  <c r="B613" i="28"/>
  <c r="B614" i="28"/>
  <c r="B615" i="28"/>
  <c r="B616" i="28"/>
  <c r="B617" i="28"/>
  <c r="B618" i="28"/>
  <c r="B619" i="28"/>
  <c r="B620" i="28"/>
  <c r="B621" i="28"/>
  <c r="B622" i="28"/>
  <c r="B623" i="28"/>
  <c r="B624" i="28"/>
  <c r="B625" i="28"/>
  <c r="B626" i="28"/>
  <c r="B627" i="28"/>
  <c r="B628" i="28"/>
  <c r="B629" i="28"/>
  <c r="B630" i="28"/>
  <c r="B631" i="28"/>
  <c r="B632" i="28"/>
  <c r="B633" i="28"/>
  <c r="B634" i="28"/>
  <c r="B635" i="28"/>
  <c r="B636" i="28"/>
  <c r="B637" i="28"/>
  <c r="B638" i="28"/>
  <c r="B639" i="28"/>
  <c r="B640" i="28"/>
  <c r="B641" i="28"/>
  <c r="B642" i="28"/>
  <c r="B643" i="28"/>
  <c r="B644" i="28"/>
  <c r="B645" i="28"/>
  <c r="B646" i="28"/>
  <c r="B647" i="28"/>
  <c r="B648" i="28"/>
  <c r="B649" i="28"/>
  <c r="B650" i="28"/>
  <c r="B651" i="28"/>
  <c r="B652" i="28"/>
  <c r="B653" i="28"/>
  <c r="B654" i="28"/>
  <c r="B655" i="28"/>
  <c r="B656" i="28"/>
  <c r="B657" i="28"/>
  <c r="B658" i="28"/>
  <c r="B659" i="28"/>
  <c r="B660" i="28"/>
  <c r="B661" i="28"/>
  <c r="B462" i="28"/>
  <c r="B599" i="28"/>
  <c r="B451" i="28"/>
  <c r="B518" i="28"/>
  <c r="B532" i="28"/>
  <c r="B525" i="28"/>
  <c r="B602" i="28"/>
  <c r="B585" i="28"/>
  <c r="B668" i="28"/>
  <c r="B711" i="28"/>
  <c r="B811" i="28"/>
  <c r="B662" i="28"/>
  <c r="B663" i="28"/>
  <c r="B666" i="28"/>
  <c r="B667" i="28"/>
  <c r="B664" i="28"/>
  <c r="B665" i="28"/>
  <c r="B675" i="28"/>
  <c r="B676" i="28"/>
  <c r="B669" i="28"/>
  <c r="B670" i="28"/>
  <c r="B671" i="28"/>
  <c r="B672" i="28"/>
  <c r="B673" i="28"/>
  <c r="B674" i="28"/>
  <c r="B677" i="28"/>
  <c r="B678" i="28"/>
  <c r="B679" i="28"/>
  <c r="B680" i="28"/>
  <c r="B681" i="28"/>
  <c r="B682" i="28"/>
  <c r="B683" i="28"/>
  <c r="B684" i="28"/>
  <c r="B685" i="28"/>
  <c r="B686" i="28"/>
  <c r="B687" i="28"/>
  <c r="B688" i="28"/>
  <c r="B691" i="28"/>
  <c r="B692" i="28"/>
  <c r="B689" i="28"/>
  <c r="B690" i="28"/>
  <c r="B695" i="28"/>
  <c r="B696" i="28"/>
  <c r="B693" i="28"/>
  <c r="B694" i="28"/>
  <c r="B697" i="28"/>
  <c r="B698" i="28"/>
  <c r="B699" i="28"/>
  <c r="B700" i="28"/>
  <c r="B701" i="28"/>
  <c r="B702" i="28"/>
  <c r="B705" i="28"/>
  <c r="B706" i="28"/>
  <c r="B703" i="28"/>
  <c r="B704" i="28"/>
  <c r="B707" i="28"/>
  <c r="B708" i="28"/>
  <c r="B709" i="28"/>
  <c r="B710" i="28"/>
  <c r="B712" i="28"/>
  <c r="B713" i="28"/>
  <c r="B716" i="28"/>
  <c r="B717" i="28"/>
  <c r="B714" i="28"/>
  <c r="B715" i="28"/>
  <c r="B718" i="28"/>
  <c r="B719" i="28"/>
  <c r="B720" i="28"/>
  <c r="B721" i="28"/>
  <c r="B722" i="28"/>
  <c r="B723" i="28"/>
  <c r="B724" i="28"/>
  <c r="B725" i="28"/>
  <c r="B726" i="28"/>
  <c r="B727" i="28"/>
  <c r="B728" i="28"/>
  <c r="B729" i="28"/>
  <c r="B730" i="28"/>
  <c r="B731" i="28"/>
  <c r="B732" i="28"/>
  <c r="B733" i="28"/>
  <c r="B734" i="28"/>
  <c r="B735" i="28"/>
  <c r="B736" i="28"/>
  <c r="B737" i="28"/>
  <c r="B738" i="28"/>
  <c r="B739" i="28"/>
  <c r="B740" i="28"/>
  <c r="B741" i="28"/>
  <c r="B742" i="28"/>
  <c r="B743" i="28"/>
  <c r="B744" i="28"/>
  <c r="B745" i="28"/>
  <c r="B746" i="28"/>
  <c r="B747" i="28"/>
  <c r="B748" i="28"/>
  <c r="B749" i="28"/>
  <c r="B750" i="28"/>
  <c r="B751" i="28"/>
  <c r="B752" i="28"/>
  <c r="B753" i="28"/>
  <c r="B758" i="28"/>
  <c r="B759" i="28"/>
  <c r="B754" i="28"/>
  <c r="B755" i="28"/>
  <c r="B756" i="28"/>
  <c r="B757" i="28"/>
  <c r="B760" i="28"/>
  <c r="B761" i="28"/>
  <c r="B764" i="28"/>
  <c r="B765" i="28"/>
  <c r="B762" i="28"/>
  <c r="B763" i="28"/>
  <c r="B766" i="28"/>
  <c r="B767" i="28"/>
  <c r="B770" i="28"/>
  <c r="B771" i="28"/>
  <c r="B772" i="28"/>
  <c r="B773" i="28"/>
  <c r="B768" i="28"/>
  <c r="B769" i="28"/>
  <c r="B774" i="28"/>
  <c r="B775" i="28"/>
  <c r="B776" i="28"/>
  <c r="B777" i="28"/>
  <c r="B778" i="28"/>
  <c r="B779" i="28"/>
  <c r="B780" i="28"/>
  <c r="B781" i="28"/>
  <c r="B782" i="28"/>
  <c r="B783" i="28"/>
  <c r="B784" i="28"/>
  <c r="B787" i="28"/>
  <c r="B788" i="28"/>
  <c r="B789" i="28"/>
  <c r="B790" i="28"/>
  <c r="B791" i="28"/>
  <c r="B792" i="28"/>
  <c r="B793" i="28"/>
  <c r="B795" i="28"/>
  <c r="B796" i="28"/>
  <c r="B797" i="28"/>
  <c r="B798" i="28"/>
  <c r="B799" i="28"/>
  <c r="B800" i="28"/>
  <c r="B801" i="28"/>
  <c r="B802" i="28"/>
  <c r="B803" i="28"/>
  <c r="B804" i="28"/>
  <c r="B805" i="28"/>
  <c r="B806" i="28"/>
  <c r="B807" i="28"/>
  <c r="B808" i="28"/>
  <c r="B809" i="28"/>
  <c r="B810" i="28"/>
  <c r="B812" i="28"/>
  <c r="B813" i="28"/>
  <c r="B815" i="28"/>
  <c r="B816" i="28"/>
  <c r="B817" i="28"/>
  <c r="B818" i="28"/>
  <c r="B819" i="28"/>
  <c r="B820" i="28"/>
  <c r="B821" i="28"/>
  <c r="B822" i="28"/>
  <c r="B823" i="28"/>
  <c r="B824" i="28"/>
  <c r="B794" i="28"/>
  <c r="B785" i="28"/>
  <c r="B786" i="28"/>
  <c r="B814" i="28"/>
  <c r="B543" i="28"/>
  <c r="B457" i="28"/>
  <c r="B828" i="28"/>
  <c r="B833" i="28"/>
  <c r="B837" i="28"/>
  <c r="B829" i="28"/>
  <c r="B844" i="28"/>
  <c r="B845" i="28"/>
  <c r="B831" i="28"/>
  <c r="B832" i="28"/>
  <c r="B827" i="28"/>
  <c r="B835" i="28"/>
  <c r="B842" i="28"/>
  <c r="B834" i="28"/>
  <c r="B843" i="28"/>
  <c r="B836" i="28"/>
  <c r="B830" i="28"/>
  <c r="B838" i="28"/>
  <c r="B839" i="28"/>
  <c r="B825" i="28"/>
  <c r="B826" i="28"/>
  <c r="B840" i="28"/>
  <c r="B841" i="28"/>
  <c r="B846" i="28"/>
  <c r="B847" i="28"/>
  <c r="B848" i="28"/>
  <c r="B435" i="28"/>
  <c r="B589" i="28"/>
  <c r="B511" i="28"/>
  <c r="B520" i="28"/>
  <c r="B582" i="28"/>
  <c r="B456" i="28"/>
  <c r="B458" i="28"/>
  <c r="B580" i="28"/>
  <c r="B501" i="28"/>
  <c r="B575" i="28"/>
  <c r="B465" i="28"/>
  <c r="B495" i="28"/>
  <c r="B536" i="28"/>
  <c r="B500" i="28"/>
  <c r="B505" i="28"/>
  <c r="B506" i="28"/>
  <c r="B850" i="28"/>
  <c r="B851" i="28"/>
  <c r="B491" i="28"/>
  <c r="B857" i="28"/>
  <c r="B860" i="28"/>
  <c r="B861" i="28"/>
  <c r="B862" i="28"/>
  <c r="B863" i="28"/>
  <c r="B855" i="28"/>
  <c r="B854" i="28"/>
  <c r="B849" i="28"/>
  <c r="B852" i="28"/>
  <c r="B853" i="28"/>
  <c r="B595" i="28"/>
  <c r="B607" i="28"/>
  <c r="B517" i="28"/>
  <c r="B499" i="28"/>
  <c r="B502" i="28"/>
  <c r="B523" i="28"/>
  <c r="B542" i="28"/>
  <c r="B544" i="28"/>
  <c r="B545" i="28"/>
  <c r="B547" i="28"/>
  <c r="B598" i="28"/>
  <c r="B472" i="28"/>
  <c r="B461" i="28"/>
  <c r="B592" i="28"/>
  <c r="B555" i="28"/>
  <c r="A1" i="20" a="1"/>
  <c r="A1" i="20" s="1"/>
  <c r="C2" i="16"/>
  <c r="C3" i="16"/>
  <c r="C4" i="16"/>
  <c r="C6" i="16"/>
  <c r="C7" i="16"/>
  <c r="C8" i="16"/>
  <c r="D8" i="16" s="1"/>
  <c r="F8" i="16" s="1"/>
  <c r="C9" i="16"/>
  <c r="D9" i="16" s="1"/>
  <c r="F9" i="16" s="1"/>
  <c r="C10" i="16"/>
  <c r="C11" i="16"/>
  <c r="D11" i="16" s="1"/>
  <c r="F11" i="16" s="1"/>
  <c r="C12" i="16"/>
  <c r="D12" i="16" s="1"/>
  <c r="F12" i="16" s="1"/>
  <c r="C13" i="16"/>
  <c r="C14" i="16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D13" i="16"/>
  <c r="F13" i="16" s="1"/>
  <c r="D14" i="16"/>
  <c r="F14" i="16" s="1"/>
  <c r="D6" i="16"/>
  <c r="F6" i="16" s="1"/>
  <c r="D10" i="16"/>
  <c r="F10" i="16" s="1"/>
  <c r="A807" i="2"/>
  <c r="A1772" i="2"/>
  <c r="A1206" i="2"/>
  <c r="A1647" i="2"/>
  <c r="A520" i="2"/>
  <c r="A268" i="2"/>
  <c r="A1512" i="2"/>
  <c r="A1033" i="2"/>
  <c r="A988" i="2"/>
  <c r="A1364" i="2"/>
  <c r="A1111" i="2"/>
  <c r="A1345" i="2"/>
  <c r="A1501" i="2"/>
  <c r="A1517" i="2"/>
  <c r="A1127" i="2"/>
  <c r="A1020" i="2"/>
  <c r="A1670" i="2"/>
  <c r="A201" i="2"/>
  <c r="A1636" i="2"/>
  <c r="A971" i="2"/>
  <c r="A980" i="2"/>
  <c r="A172" i="2"/>
  <c r="A748" i="2"/>
  <c r="A190" i="2"/>
  <c r="A1626" i="2"/>
  <c r="A1631" i="2"/>
  <c r="A1689" i="2"/>
  <c r="A801" i="2"/>
  <c r="A512" i="2"/>
  <c r="A1265" i="2"/>
  <c r="A339" i="2"/>
  <c r="A796" i="2"/>
  <c r="A1149" i="2"/>
  <c r="A1017" i="2"/>
  <c r="A1594" i="2"/>
  <c r="A641" i="2"/>
  <c r="A1674" i="2"/>
  <c r="A675" i="2"/>
  <c r="A1198" i="2"/>
  <c r="A1207" i="2"/>
  <c r="A744" i="2"/>
  <c r="A634" i="2"/>
  <c r="A612" i="2"/>
  <c r="A1508" i="2"/>
  <c r="A573" i="2"/>
  <c r="A584" i="2"/>
  <c r="A253" i="2"/>
  <c r="A43" i="2"/>
  <c r="A1002" i="2"/>
  <c r="A948" i="2"/>
  <c r="A1777" i="2"/>
  <c r="A1622" i="2"/>
  <c r="A851" i="2"/>
  <c r="A313" i="2"/>
  <c r="A1089" i="2"/>
  <c r="A1708" i="2"/>
  <c r="A481" i="2"/>
  <c r="A1527" i="2"/>
  <c r="A662" i="2"/>
  <c r="A1380" i="2"/>
  <c r="A166" i="2"/>
  <c r="A889" i="2"/>
  <c r="A545" i="2"/>
  <c r="A1136" i="2"/>
  <c r="A328" i="2"/>
  <c r="A886" i="2"/>
  <c r="A70" i="2"/>
  <c r="A887" i="2"/>
  <c r="A76" i="2"/>
  <c r="A1815" i="2"/>
  <c r="A727" i="2"/>
  <c r="A1333" i="2"/>
  <c r="A25" i="2"/>
  <c r="A286" i="2"/>
  <c r="A1672" i="2"/>
  <c r="A1741" i="2"/>
  <c r="A394" i="2"/>
  <c r="A1666" i="2"/>
  <c r="A376" i="2"/>
  <c r="A152" i="2"/>
  <c r="A1097" i="2"/>
  <c r="A446" i="2"/>
  <c r="A1591" i="2"/>
  <c r="A758" i="2"/>
  <c r="A1667" i="2"/>
  <c r="A1447" i="2"/>
  <c r="A1023" i="2"/>
  <c r="A1836" i="2"/>
  <c r="A1019" i="2"/>
  <c r="A459" i="2"/>
  <c r="A1709" i="2"/>
  <c r="A1148" i="2"/>
  <c r="A1468" i="2"/>
  <c r="A1092" i="2"/>
  <c r="A1449" i="2"/>
  <c r="A1640" i="2"/>
  <c r="A1093" i="2"/>
  <c r="A1069" i="2"/>
  <c r="A298" i="2"/>
  <c r="A299" i="2"/>
  <c r="A856" i="2"/>
  <c r="A282" i="2"/>
  <c r="A1821" i="2"/>
  <c r="A1180" i="2"/>
  <c r="A1189" i="2"/>
  <c r="A1549" i="2"/>
  <c r="A1492" i="2"/>
  <c r="A546" i="2"/>
  <c r="A1496" i="2"/>
  <c r="A404" i="2"/>
  <c r="A1122" i="2"/>
  <c r="A901" i="2"/>
  <c r="A1322" i="2"/>
  <c r="A1335" i="2"/>
  <c r="A955" i="2"/>
  <c r="A1718" i="2"/>
  <c r="A436" i="2"/>
  <c r="A1524" i="2"/>
  <c r="A1567" i="2"/>
  <c r="A674" i="2"/>
  <c r="A1288" i="2"/>
  <c r="A932" i="2"/>
  <c r="A840" i="2"/>
  <c r="A1145" i="2"/>
  <c r="A1691" i="2"/>
  <c r="A910" i="2"/>
  <c r="A1009" i="2"/>
  <c r="A536" i="2"/>
  <c r="A1317" i="2"/>
  <c r="A1390" i="2"/>
  <c r="A534" i="2"/>
  <c r="A1037" i="2"/>
  <c r="A439" i="2"/>
  <c r="A1520" i="2"/>
  <c r="A1575" i="2"/>
  <c r="A1728" i="2"/>
  <c r="A1386" i="2"/>
  <c r="A102" i="2"/>
  <c r="A700" i="2"/>
  <c r="A351" i="2"/>
  <c r="A1401" i="2"/>
  <c r="A1212" i="2"/>
  <c r="A265" i="2"/>
  <c r="A1547" i="2"/>
  <c r="A664" i="2"/>
  <c r="A1587" i="2"/>
  <c r="A341" i="2"/>
  <c r="A613" i="2"/>
  <c r="A332" i="2"/>
  <c r="A718" i="2"/>
  <c r="A1585" i="2"/>
  <c r="A1266" i="2"/>
  <c r="A987" i="2"/>
  <c r="A1529" i="2"/>
  <c r="A767" i="2"/>
  <c r="A1685" i="2"/>
  <c r="A249" i="2"/>
  <c r="A345" i="2"/>
  <c r="A797" i="2"/>
  <c r="A633" i="2"/>
  <c r="A717" i="2"/>
  <c r="A800" i="2"/>
  <c r="A709" i="2"/>
  <c r="A46" i="2"/>
  <c r="A798" i="2"/>
  <c r="A1665" i="2"/>
  <c r="A1443" i="2"/>
  <c r="A1820" i="2"/>
  <c r="A861" i="2"/>
  <c r="A314" i="2"/>
  <c r="A1144" i="2"/>
  <c r="A133" i="2"/>
  <c r="A1532" i="2"/>
  <c r="A632" i="2"/>
  <c r="A479" i="2"/>
  <c r="A1538" i="2"/>
  <c r="A1819" i="2"/>
  <c r="A1294" i="2"/>
  <c r="A320" i="2"/>
  <c r="A1504" i="2"/>
  <c r="A1536" i="2"/>
  <c r="A1397" i="2"/>
  <c r="A864" i="2"/>
  <c r="A1650" i="2"/>
  <c r="A710" i="2"/>
  <c r="A561" i="2"/>
  <c r="A1072" i="2"/>
  <c r="A765" i="2"/>
  <c r="A604" i="2"/>
  <c r="A427" i="2"/>
  <c r="A49" i="2"/>
  <c r="A731" i="2"/>
  <c r="A1252" i="2"/>
  <c r="A292" i="2"/>
  <c r="A367" i="2"/>
  <c r="A371" i="2"/>
  <c r="A10" i="2"/>
  <c r="A1799" i="2"/>
  <c r="A1568" i="2"/>
  <c r="A1700" i="2"/>
  <c r="A457" i="2"/>
  <c r="A596" i="2"/>
  <c r="A1782" i="2"/>
  <c r="A200" i="2"/>
  <c r="A1490" i="2"/>
  <c r="A923" i="2"/>
  <c r="A1199" i="2"/>
  <c r="A1331" i="2"/>
  <c r="A443" i="2"/>
  <c r="A701" i="2"/>
  <c r="A1341" i="2"/>
  <c r="A1789" i="2"/>
  <c r="A614" i="2"/>
  <c r="A1188" i="2"/>
  <c r="A1066" i="2"/>
  <c r="A1616" i="2"/>
  <c r="A288" i="2"/>
  <c r="A1688" i="2"/>
  <c r="A170" i="2"/>
  <c r="A1424" i="2"/>
  <c r="A256" i="2"/>
  <c r="A627" i="2"/>
  <c r="A1705" i="2"/>
  <c r="A1687" i="2"/>
  <c r="A15" i="2"/>
  <c r="A176" i="2"/>
  <c r="A171" i="2"/>
  <c r="A353" i="2"/>
  <c r="A434" i="2"/>
  <c r="A1267" i="2"/>
  <c r="A1522" i="2"/>
  <c r="A444" i="2"/>
  <c r="A1366" i="2"/>
  <c r="A1256" i="2"/>
  <c r="A1190" i="2"/>
  <c r="A994" i="2"/>
  <c r="A1507" i="2"/>
  <c r="A1493" i="2"/>
  <c r="A1108" i="2"/>
  <c r="A642" i="2"/>
  <c r="A257" i="2"/>
  <c r="A1519" i="2"/>
  <c r="A451" i="2"/>
  <c r="A1793" i="2"/>
  <c r="A1754" i="2"/>
  <c r="A1365" i="2"/>
  <c r="A242" i="2"/>
  <c r="A1126" i="2"/>
  <c r="A976" i="2"/>
  <c r="A192" i="2"/>
  <c r="A529" i="2"/>
  <c r="A1383" i="2"/>
  <c r="A1750" i="2"/>
  <c r="A998" i="2"/>
  <c r="A871" i="2"/>
  <c r="A66" i="2"/>
  <c r="A1552" i="2"/>
  <c r="A1271" i="2"/>
  <c r="A1430" i="2"/>
  <c r="A317" i="2"/>
  <c r="A1215" i="2"/>
  <c r="A1441" i="2"/>
  <c r="A663" i="2"/>
  <c r="A1382" i="2"/>
  <c r="A1094" i="2"/>
  <c r="A197" i="2"/>
  <c r="A478" i="2"/>
  <c r="A939" i="2"/>
  <c r="A486" i="2"/>
  <c r="A773" i="2"/>
  <c r="A340" i="2"/>
  <c r="A1542" i="2"/>
  <c r="A1216" i="2"/>
  <c r="A739" i="2"/>
  <c r="A16" i="2"/>
  <c r="A1641" i="2"/>
  <c r="A264" i="2"/>
  <c r="A175" i="2"/>
  <c r="A1399" i="2"/>
  <c r="A908" i="2"/>
  <c r="A1219" i="2"/>
  <c r="A1394" i="2"/>
  <c r="A1096" i="2"/>
  <c r="A1841" i="2"/>
  <c r="A24" i="2"/>
  <c r="A326" i="2"/>
  <c r="A184" i="2"/>
  <c r="A843" i="2"/>
  <c r="A769" i="2"/>
  <c r="A366" i="2"/>
  <c r="A553" i="2"/>
  <c r="A954" i="2"/>
  <c r="A230" i="2"/>
  <c r="A1181" i="2"/>
  <c r="A793" i="2"/>
  <c r="A1844" i="2"/>
  <c r="A1320" i="2"/>
  <c r="A1213" i="2"/>
  <c r="A198" i="2"/>
  <c r="A960" i="2"/>
  <c r="A1214" i="2"/>
  <c r="A888" i="2"/>
  <c r="A907" i="2"/>
  <c r="A595" i="2"/>
  <c r="A906" i="2"/>
  <c r="A1450" i="2"/>
  <c r="A418" i="2"/>
  <c r="A1521" i="2"/>
  <c r="A725" i="2"/>
  <c r="A100" i="2"/>
  <c r="A1632" i="2"/>
  <c r="A454" i="2"/>
  <c r="A309" i="2"/>
  <c r="A1518" i="2"/>
  <c r="A1439" i="2"/>
  <c r="A1572" i="2"/>
  <c r="A251" i="2"/>
  <c r="A1448" i="2"/>
  <c r="A453" i="2"/>
  <c r="A525" i="2"/>
  <c r="A996" i="2"/>
  <c r="A1053" i="2"/>
  <c r="A1783" i="2"/>
  <c r="A1528" i="2"/>
  <c r="A442" i="2"/>
  <c r="A285" i="2"/>
  <c r="A1444" i="2"/>
  <c r="A1303" i="2"/>
  <c r="A1332" i="2"/>
  <c r="A1481" i="2"/>
  <c r="A660" i="2"/>
  <c r="A845" i="2"/>
  <c r="A564" i="2"/>
  <c r="A1367" i="2"/>
  <c r="A337" i="2"/>
  <c r="A319" i="2"/>
  <c r="A1253" i="2"/>
  <c r="A1803" i="2"/>
  <c r="A1778" i="2"/>
  <c r="A1185" i="2"/>
  <c r="A720" i="2"/>
  <c r="A1065" i="2"/>
  <c r="A1124" i="2"/>
  <c r="A32" i="2"/>
  <c r="A421" i="2"/>
  <c r="A1438" i="2"/>
  <c r="A1516" i="2"/>
  <c r="A270" i="2"/>
  <c r="A60" i="2"/>
  <c r="A722" i="2"/>
  <c r="A762" i="2"/>
  <c r="A503" i="2"/>
  <c r="A1106" i="2"/>
  <c r="A1273" i="2"/>
  <c r="A946" i="2"/>
  <c r="A918" i="2"/>
  <c r="A316" i="2"/>
  <c r="A630" i="2"/>
  <c r="A1768" i="2"/>
  <c r="A1810" i="2"/>
  <c r="A1464" i="2"/>
  <c r="A116" i="2"/>
  <c r="A1614" i="2"/>
  <c r="A1465" i="2"/>
  <c r="A729" i="2"/>
  <c r="A1655" i="2"/>
  <c r="A117" i="2"/>
  <c r="A1193" i="2"/>
  <c r="A426" i="2"/>
  <c r="A826" i="2"/>
  <c r="A707" i="2"/>
  <c r="A1537" i="2"/>
  <c r="A1358" i="2"/>
  <c r="A1530" i="2"/>
  <c r="A535" i="2"/>
  <c r="A991" i="2"/>
  <c r="A1679" i="2"/>
  <c r="A1107" i="2"/>
  <c r="A1384" i="2"/>
  <c r="A88" i="2"/>
  <c r="A649" i="2"/>
  <c r="A189" i="2"/>
  <c r="A50" i="2"/>
  <c r="A1250" i="2"/>
  <c r="A252" i="2"/>
  <c r="A715" i="2"/>
  <c r="A1669" i="2"/>
  <c r="A1648" i="2"/>
  <c r="A1571" i="2"/>
  <c r="A7" i="2"/>
  <c r="A185" i="2"/>
  <c r="A141" i="2"/>
  <c r="A747" i="2"/>
  <c r="A477" i="2"/>
  <c r="A1220" i="2"/>
  <c r="A1101" i="2"/>
  <c r="A1054" i="2"/>
  <c r="A3" i="2"/>
  <c r="A1489" i="2"/>
  <c r="A508" i="2"/>
  <c r="A671" i="2"/>
  <c r="A9" i="2"/>
  <c r="A629" i="2"/>
  <c r="A1510" i="2"/>
  <c r="A440" i="2"/>
  <c r="A1338" i="2"/>
  <c r="A87" i="2"/>
  <c r="A208" i="2"/>
  <c r="A1278" i="2"/>
  <c r="A719" i="2"/>
  <c r="A464" i="2"/>
  <c r="A315" i="2"/>
  <c r="A1805" i="2"/>
  <c r="A1569" i="2"/>
  <c r="A1131" i="2"/>
  <c r="A756" i="2"/>
  <c r="A625" i="2"/>
  <c r="A1186" i="2"/>
  <c r="A245" i="2"/>
  <c r="A1151" i="2"/>
  <c r="A26" i="2"/>
  <c r="A1013" i="2"/>
  <c r="A1436" i="2"/>
  <c r="A246" i="2"/>
  <c r="A22" i="2"/>
  <c r="A69" i="2"/>
  <c r="A191" i="2"/>
  <c r="A207" i="2"/>
  <c r="A222" i="2"/>
  <c r="A224" i="2"/>
  <c r="A233" i="2"/>
  <c r="A287" i="2"/>
  <c r="A300" i="2"/>
  <c r="A325" i="2"/>
  <c r="A336" i="2"/>
  <c r="A408" i="2"/>
  <c r="A409" i="2"/>
  <c r="A447" i="2"/>
  <c r="A452" i="2"/>
  <c r="A458" i="2"/>
  <c r="A476" i="2"/>
  <c r="A519" i="2"/>
  <c r="A530" i="2"/>
  <c r="A541" i="2"/>
  <c r="A566" i="2"/>
  <c r="A601" i="2"/>
  <c r="A618" i="2"/>
  <c r="A620" i="2"/>
  <c r="A645" i="2"/>
  <c r="A706" i="2"/>
  <c r="A716" i="2"/>
  <c r="A819" i="2"/>
  <c r="A824" i="2"/>
  <c r="A837" i="2"/>
  <c r="A880" i="2"/>
  <c r="A900" i="2"/>
  <c r="A919" i="2"/>
  <c r="A945" i="2"/>
  <c r="A956" i="2"/>
  <c r="A969" i="2"/>
  <c r="A1025" i="2"/>
  <c r="A1032" i="2"/>
  <c r="A1042" i="2"/>
  <c r="A1052" i="2"/>
  <c r="A1071" i="2"/>
  <c r="A1073" i="2"/>
  <c r="A1121" i="2"/>
  <c r="A1133" i="2"/>
  <c r="A1140" i="2"/>
  <c r="A1156" i="2"/>
  <c r="A1177" i="2"/>
  <c r="A1179" i="2"/>
  <c r="A1229" i="2"/>
  <c r="A1230" i="2"/>
  <c r="A1231" i="2"/>
  <c r="A1232" i="2"/>
  <c r="A1234" i="2"/>
  <c r="A1235" i="2"/>
  <c r="A1236" i="2"/>
  <c r="A1237" i="2"/>
  <c r="A1233" i="2"/>
  <c r="A1238" i="2"/>
  <c r="A1239" i="2"/>
  <c r="A1240" i="2"/>
  <c r="A1241" i="2"/>
  <c r="A1242" i="2"/>
  <c r="A1243" i="2"/>
  <c r="A1244" i="2"/>
  <c r="A1228" i="2"/>
  <c r="A1268" i="2"/>
  <c r="A1277" i="2"/>
  <c r="A1293" i="2"/>
  <c r="A1307" i="2"/>
  <c r="A1318" i="2"/>
  <c r="A1357" i="2"/>
  <c r="A1376" i="2"/>
  <c r="A1445" i="2"/>
  <c r="A1500" i="2"/>
  <c r="A1543" i="2"/>
  <c r="A1598" i="2"/>
  <c r="A1604" i="2"/>
  <c r="A1612" i="2"/>
  <c r="A1619" i="2"/>
  <c r="A1651" i="2"/>
  <c r="A1661" i="2"/>
  <c r="A1696" i="2"/>
  <c r="A1698" i="2"/>
  <c r="A1699" i="2"/>
  <c r="A1791" i="2"/>
  <c r="A1460" i="2"/>
  <c r="A36" i="2"/>
  <c r="A229" i="2"/>
  <c r="A181" i="2"/>
  <c r="A1192" i="2"/>
  <c r="A1680" i="2"/>
  <c r="A354" i="2"/>
  <c r="A182" i="2"/>
  <c r="A1026" i="2"/>
  <c r="A524" i="2"/>
  <c r="A281" i="2"/>
  <c r="A569" i="2"/>
  <c r="A593" i="2"/>
  <c r="A258" i="2"/>
  <c r="A571" i="2"/>
  <c r="A1296" i="2"/>
  <c r="A21" i="2"/>
  <c r="A977" i="2"/>
  <c r="A1060" i="2"/>
  <c r="A973" i="2"/>
  <c r="A173" i="2"/>
  <c r="A974" i="2"/>
  <c r="A199" i="2"/>
  <c r="A216" i="2"/>
  <c r="A92" i="2"/>
  <c r="A1559" i="2"/>
  <c r="A120" i="2"/>
  <c r="A81" i="2"/>
  <c r="A1451" i="2"/>
  <c r="A1165" i="2"/>
  <c r="A417" i="2"/>
  <c r="A416" i="2"/>
  <c r="A469" i="2"/>
  <c r="A894" i="2"/>
  <c r="A1566" i="2"/>
  <c r="A1411" i="2"/>
  <c r="A363" i="2"/>
  <c r="A692" i="2"/>
  <c r="A72" i="2"/>
  <c r="A651" i="2"/>
  <c r="A1715" i="2"/>
  <c r="A1574" i="2"/>
  <c r="A730" i="2"/>
  <c r="A105" i="2"/>
  <c r="A1407" i="2"/>
  <c r="A1196" i="2"/>
  <c r="A362" i="2"/>
  <c r="A1223" i="2"/>
  <c r="A262" i="2"/>
  <c r="A1618" i="2"/>
  <c r="A53" i="2"/>
  <c r="A913" i="2"/>
  <c r="A1137" i="2"/>
  <c r="A13" i="2"/>
  <c r="A1690" i="2"/>
  <c r="A438" i="2"/>
  <c r="A552" i="2"/>
  <c r="A615" i="2"/>
  <c r="A711" i="2"/>
  <c r="A431" i="2"/>
  <c r="A1816" i="2"/>
  <c r="A617" i="2"/>
  <c r="A842" i="2"/>
  <c r="A516" i="2"/>
  <c r="A248" i="2"/>
  <c r="A560" i="2"/>
  <c r="A465" i="2"/>
  <c r="A274" i="2"/>
  <c r="A47" i="2"/>
  <c r="A1262" i="2"/>
  <c r="A1657" i="2"/>
  <c r="A1811" i="2"/>
  <c r="A433" i="2"/>
  <c r="A1556" i="2"/>
  <c r="A668" i="2"/>
  <c r="A398" i="2"/>
  <c r="A217" i="2"/>
  <c r="A812" i="2"/>
  <c r="A741" i="2"/>
  <c r="A962" i="2"/>
  <c r="A1146" i="2"/>
  <c r="A1183" i="2"/>
  <c r="A1315" i="2"/>
  <c r="A387" i="2"/>
  <c r="A1300" i="2"/>
  <c r="A1624" i="2"/>
  <c r="A304" i="2"/>
  <c r="A279" i="2"/>
  <c r="A1461" i="2"/>
  <c r="A1857" i="2"/>
  <c r="A876" i="2"/>
  <c r="A689" i="2"/>
  <c r="A600" i="2"/>
  <c r="A1839" i="2"/>
  <c r="A1711" i="2"/>
  <c r="A1452" i="2"/>
  <c r="A463" i="2"/>
  <c r="A1658" i="2"/>
  <c r="A1851" i="2"/>
  <c r="A848" i="2"/>
  <c r="A881" i="2"/>
  <c r="A903" i="2"/>
  <c r="A904" i="2"/>
  <c r="A1082" i="2"/>
  <c r="A1523" i="2"/>
  <c r="A52" i="2"/>
  <c r="A370" i="2"/>
  <c r="A1853" i="2"/>
  <c r="A1834" i="2"/>
  <c r="A1829" i="2"/>
  <c r="A389" i="2"/>
  <c r="A1761" i="2"/>
  <c r="A1773" i="2"/>
  <c r="A1831" i="2"/>
  <c r="A306" i="2"/>
  <c r="A1724" i="2"/>
  <c r="A1790" i="2"/>
  <c r="A1722" i="2"/>
  <c r="A1737" i="2"/>
  <c r="A1767" i="2"/>
  <c r="A1776" i="2"/>
  <c r="A1684" i="2"/>
  <c r="A1694" i="2"/>
  <c r="A1602" i="2"/>
  <c r="A1701" i="2"/>
  <c r="A1702" i="2"/>
  <c r="A1595" i="2"/>
  <c r="A1606" i="2"/>
  <c r="A1676" i="2"/>
  <c r="A1589" i="2"/>
  <c r="A1553" i="2"/>
  <c r="A1590" i="2"/>
  <c r="A1526" i="2"/>
  <c r="A1502" i="2"/>
  <c r="A1533" i="2"/>
  <c r="A1473" i="2"/>
  <c r="A1488" i="2"/>
  <c r="A1476" i="2"/>
  <c r="A1467" i="2"/>
  <c r="A1425" i="2"/>
  <c r="A1515" i="2"/>
  <c r="A1503" i="2"/>
  <c r="A1466" i="2"/>
  <c r="A1385" i="2"/>
  <c r="A1368" i="2"/>
  <c r="A1486" i="2"/>
  <c r="A1454" i="2"/>
  <c r="A1379" i="2"/>
  <c r="A1312" i="2"/>
  <c r="A1314" i="2"/>
  <c r="A1344" i="2"/>
  <c r="A1363" i="2"/>
  <c r="A1257" i="2"/>
  <c r="A1302" i="2"/>
  <c r="A1255" i="2"/>
  <c r="A1283" i="2"/>
  <c r="A1850" i="2"/>
  <c r="A1281" i="2"/>
  <c r="A1264" i="2"/>
  <c r="A1203" i="2"/>
  <c r="A1205" i="2"/>
  <c r="A1173" i="2"/>
  <c r="A1163" i="2"/>
  <c r="A1176" i="2"/>
  <c r="A1155" i="2"/>
  <c r="A1162" i="2"/>
  <c r="A1095" i="2"/>
  <c r="A1085" i="2"/>
  <c r="A1132" i="2"/>
  <c r="A1138" i="2"/>
  <c r="A1130" i="2"/>
  <c r="A1143" i="2"/>
  <c r="A1152" i="2"/>
  <c r="A1147" i="2"/>
  <c r="A1070" i="2"/>
  <c r="A1114" i="2"/>
  <c r="A1068" i="2"/>
  <c r="A1134" i="2"/>
  <c r="A1008" i="2"/>
  <c r="A1000" i="2"/>
  <c r="A949" i="2"/>
  <c r="A965" i="2"/>
  <c r="A970" i="2"/>
  <c r="A999" i="2"/>
  <c r="A914" i="2"/>
  <c r="A931" i="2"/>
  <c r="A922" i="2"/>
  <c r="A942" i="2"/>
  <c r="A912" i="2"/>
  <c r="A944" i="2"/>
  <c r="A877" i="2"/>
  <c r="A885" i="2"/>
  <c r="A928" i="2"/>
  <c r="A964" i="2"/>
  <c r="A822" i="2"/>
  <c r="A753" i="2"/>
  <c r="A814" i="2"/>
  <c r="A764" i="2"/>
  <c r="A775" i="2"/>
  <c r="A786" i="2"/>
  <c r="A820" i="2"/>
  <c r="A818" i="2"/>
  <c r="A713" i="2"/>
  <c r="A754" i="2"/>
  <c r="A712" i="2"/>
  <c r="A672" i="2"/>
  <c r="A683" i="2"/>
  <c r="A690" i="2"/>
  <c r="A685" i="2"/>
  <c r="A610" i="2"/>
  <c r="A676" i="2"/>
  <c r="A670" i="2"/>
  <c r="A655" i="2"/>
  <c r="A647" i="2"/>
  <c r="A587" i="2"/>
  <c r="A640" i="2"/>
  <c r="A575" i="2"/>
  <c r="A578" i="2"/>
  <c r="A572" i="2"/>
  <c r="A550" i="2"/>
  <c r="A493" i="2"/>
  <c r="A435" i="2"/>
  <c r="A609" i="2"/>
  <c r="A562" i="2"/>
  <c r="A494" i="2"/>
  <c r="A510" i="2"/>
  <c r="A456" i="2"/>
  <c r="A450" i="2"/>
  <c r="A432" i="2"/>
  <c r="A492" i="2"/>
  <c r="A407" i="2"/>
  <c r="A401" i="2"/>
  <c r="A405" i="2"/>
  <c r="A425" i="2"/>
  <c r="A415" i="2"/>
  <c r="A420" i="2"/>
  <c r="A513" i="2"/>
  <c r="A406" i="2"/>
  <c r="A312" i="2"/>
  <c r="A295" i="2"/>
  <c r="A369" i="2"/>
  <c r="A373" i="2"/>
  <c r="A311" i="2"/>
  <c r="A381" i="2"/>
  <c r="A308" i="2"/>
  <c r="A388" i="2"/>
  <c r="A379" i="2"/>
  <c r="A375" i="2"/>
  <c r="A271" i="2"/>
  <c r="A324" i="2"/>
  <c r="A303" i="2"/>
  <c r="A307" i="2"/>
  <c r="A330" i="2"/>
  <c r="A259" i="2"/>
  <c r="A333" i="2"/>
  <c r="A155" i="2"/>
  <c r="A179" i="2"/>
  <c r="A195" i="2"/>
  <c r="A18" i="2"/>
  <c r="A19" i="2"/>
  <c r="A51" i="2"/>
  <c r="A80" i="2"/>
  <c r="A39" i="2"/>
  <c r="A34" i="2"/>
  <c r="A44" i="2"/>
  <c r="A165" i="2"/>
  <c r="A42" i="2"/>
  <c r="A45" i="2"/>
  <c r="T1786" i="2" l="1"/>
  <c r="T1683" i="2"/>
  <c r="T1658" i="2"/>
  <c r="T1535" i="2"/>
  <c r="T1676" i="2"/>
  <c r="T1757" i="2"/>
  <c r="T1856" i="2"/>
  <c r="T1135" i="2"/>
  <c r="T1541" i="2"/>
  <c r="T1222" i="2"/>
  <c r="T934" i="2"/>
  <c r="T854" i="2"/>
  <c r="T583" i="2"/>
  <c r="T468" i="2"/>
  <c r="T382" i="2"/>
  <c r="T231" i="2"/>
  <c r="T109" i="2"/>
  <c r="T1415" i="2"/>
  <c r="T937" i="2"/>
  <c r="T570" i="2"/>
  <c r="T1067" i="2"/>
  <c r="T1681" i="2"/>
  <c r="T1540" i="2"/>
  <c r="T1221" i="2"/>
  <c r="T933" i="2"/>
  <c r="T847" i="2"/>
  <c r="T574" i="2"/>
  <c r="T466" i="2"/>
  <c r="T380" i="2"/>
  <c r="T225" i="2"/>
  <c r="T108" i="2"/>
  <c r="T1695" i="2"/>
  <c r="T1413" i="2"/>
  <c r="T926" i="2"/>
  <c r="T517" i="2"/>
  <c r="T821" i="2"/>
  <c r="T1675" i="2"/>
  <c r="T1170" i="2"/>
  <c r="T905" i="2"/>
  <c r="T859" i="2"/>
  <c r="T568" i="2"/>
  <c r="T462" i="2"/>
  <c r="T378" i="2"/>
  <c r="T215" i="2"/>
  <c r="T107" i="2"/>
  <c r="T1391" i="2"/>
  <c r="T917" i="2"/>
  <c r="T425" i="2"/>
  <c r="T598" i="2"/>
  <c r="T1664" i="2"/>
  <c r="T1534" i="2"/>
  <c r="T1166" i="2"/>
  <c r="T896" i="2"/>
  <c r="T839" i="2"/>
  <c r="T565" i="2"/>
  <c r="T449" i="2"/>
  <c r="T344" i="2"/>
  <c r="T210" i="2"/>
  <c r="T96" i="2"/>
  <c r="T1385" i="2"/>
  <c r="T914" i="2"/>
  <c r="T389" i="2"/>
  <c r="T475" i="2"/>
  <c r="T1663" i="2"/>
  <c r="T1457" i="2"/>
  <c r="T1161" i="2"/>
  <c r="T895" i="2"/>
  <c r="T838" i="2"/>
  <c r="T523" i="2"/>
  <c r="T445" i="2"/>
  <c r="T301" i="2"/>
  <c r="T209" i="2"/>
  <c r="T91" i="2"/>
  <c r="T1613" i="2"/>
  <c r="T1276" i="2"/>
  <c r="T904" i="2"/>
  <c r="T370" i="2"/>
  <c r="T263" i="2"/>
  <c r="T1656" i="2"/>
  <c r="T1433" i="2"/>
  <c r="T1155" i="2"/>
  <c r="T893" i="2"/>
  <c r="T834" i="2"/>
  <c r="T518" i="2"/>
  <c r="T437" i="2"/>
  <c r="T293" i="2"/>
  <c r="T151" i="2"/>
  <c r="T84" i="2"/>
  <c r="T1582" i="2"/>
  <c r="T1270" i="2"/>
  <c r="T903" i="2"/>
  <c r="T358" i="2"/>
  <c r="T205" i="2"/>
  <c r="T1653" i="2"/>
  <c r="T1396" i="2"/>
  <c r="T1153" i="2"/>
  <c r="T892" i="2"/>
  <c r="T832" i="2"/>
  <c r="T509" i="2"/>
  <c r="T430" i="2"/>
  <c r="T294" i="2"/>
  <c r="T150" i="2"/>
  <c r="T75" i="2"/>
  <c r="T1576" i="2"/>
  <c r="T1249" i="2"/>
  <c r="T881" i="2"/>
  <c r="T356" i="2"/>
  <c r="T98" i="2"/>
  <c r="T1673" i="2"/>
  <c r="T1329" i="2"/>
  <c r="T1080" i="2"/>
  <c r="T891" i="2"/>
  <c r="T831" i="2"/>
  <c r="T507" i="2"/>
  <c r="T429" i="2"/>
  <c r="T276" i="2"/>
  <c r="T149" i="2"/>
  <c r="T56" i="2"/>
  <c r="T1533" i="2"/>
  <c r="T1218" i="2"/>
  <c r="T115" i="2"/>
  <c r="T1630" i="2"/>
  <c r="T1327" i="2"/>
  <c r="T1059" i="2"/>
  <c r="T890" i="2"/>
  <c r="T803" i="2"/>
  <c r="T506" i="2"/>
  <c r="T424" i="2"/>
  <c r="T275" i="2"/>
  <c r="T148" i="2"/>
  <c r="T48" i="2"/>
  <c r="T1523" i="2"/>
  <c r="T1195" i="2"/>
  <c r="T848" i="2"/>
  <c r="T52" i="2"/>
  <c r="T1854" i="2"/>
  <c r="T1588" i="2"/>
  <c r="T1310" i="2"/>
  <c r="T1034" i="2"/>
  <c r="T875" i="2"/>
  <c r="T802" i="2"/>
  <c r="T505" i="2"/>
  <c r="T423" i="2"/>
  <c r="T272" i="2"/>
  <c r="T147" i="2"/>
  <c r="T30" i="2"/>
  <c r="T1497" i="2"/>
  <c r="T1174" i="2"/>
  <c r="T818" i="2"/>
  <c r="T51" i="2"/>
  <c r="T1814" i="2"/>
  <c r="T1584" i="2"/>
  <c r="T1305" i="2"/>
  <c r="T1012" i="2"/>
  <c r="T874" i="2"/>
  <c r="T714" i="2"/>
  <c r="T491" i="2"/>
  <c r="T422" i="2"/>
  <c r="T244" i="2"/>
  <c r="T146" i="2"/>
  <c r="T12" i="2"/>
  <c r="T1477" i="2"/>
  <c r="T1134" i="2"/>
  <c r="T740" i="2"/>
  <c r="T1808" i="2"/>
  <c r="T1580" i="2"/>
  <c r="T1298" i="2"/>
  <c r="T982" i="2"/>
  <c r="T873" i="2"/>
  <c r="T689" i="2"/>
  <c r="T497" i="2"/>
  <c r="T412" i="2"/>
  <c r="T243" i="2"/>
  <c r="T145" i="2"/>
  <c r="T1851" i="2"/>
  <c r="T1469" i="2"/>
  <c r="T1105" i="2"/>
  <c r="T683" i="2"/>
  <c r="T1822" i="2"/>
  <c r="T1796" i="2"/>
  <c r="T1579" i="2"/>
  <c r="T1295" i="2"/>
  <c r="T981" i="2"/>
  <c r="T872" i="2"/>
  <c r="T681" i="2"/>
  <c r="T496" i="2"/>
  <c r="T413" i="2"/>
  <c r="T241" i="2"/>
  <c r="T113" i="2"/>
  <c r="T1850" i="2"/>
  <c r="T1463" i="2"/>
  <c r="T1082" i="2"/>
  <c r="T647" i="2"/>
  <c r="T1756" i="2"/>
  <c r="T1578" i="2"/>
  <c r="T1280" i="2"/>
  <c r="T952" i="2"/>
  <c r="T868" i="2"/>
  <c r="T678" i="2"/>
  <c r="T484" i="2"/>
  <c r="T395" i="2"/>
  <c r="T240" i="2"/>
  <c r="T112" i="2"/>
  <c r="T1839" i="2"/>
  <c r="T1426" i="2"/>
  <c r="T608" i="2"/>
  <c r="T1246" i="2"/>
  <c r="T1752" i="2"/>
  <c r="T1577" i="2"/>
  <c r="T1260" i="2"/>
  <c r="T943" i="2"/>
  <c r="T865" i="2"/>
  <c r="T624" i="2"/>
  <c r="T480" i="2"/>
  <c r="T384" i="2"/>
  <c r="T239" i="2"/>
  <c r="T111" i="2"/>
  <c r="T1809" i="2"/>
  <c r="T1420" i="2"/>
  <c r="T1003" i="2"/>
  <c r="T607" i="2"/>
  <c r="T1154" i="2"/>
  <c r="T1716" i="2"/>
  <c r="T1546" i="2"/>
  <c r="T1254" i="2"/>
  <c r="T936" i="2"/>
  <c r="T863" i="2"/>
  <c r="T594" i="2"/>
  <c r="T470" i="2"/>
  <c r="T383" i="2"/>
  <c r="T232" i="2"/>
  <c r="T110" i="2"/>
  <c r="T1802" i="2"/>
  <c r="T1417" i="2"/>
  <c r="T953" i="2"/>
  <c r="T600" i="2"/>
  <c r="O2" i="20"/>
  <c r="B1" i="20" a="1"/>
  <c r="B1" i="20" s="1"/>
  <c r="D1" i="20" s="1" a="1"/>
  <c r="D1" i="20" l="1"/>
  <c r="T619" i="2"/>
  <c r="T659" i="2"/>
  <c r="T703" i="2"/>
  <c r="T1730" i="2"/>
  <c r="T154" i="2"/>
  <c r="T911" i="2"/>
  <c r="P1290" i="2" l="1"/>
  <c r="O1290" i="2" s="1"/>
  <c r="P158" i="2"/>
  <c r="O158" i="2" s="1"/>
  <c r="P103" i="2"/>
  <c r="O103" i="2" s="1"/>
  <c r="O1774" i="2"/>
  <c r="O928" i="2"/>
  <c r="O540" i="2"/>
  <c r="O860" i="2"/>
  <c r="O1362" i="2"/>
  <c r="O1118" i="2"/>
  <c r="O183" i="2"/>
  <c r="O474" i="2"/>
  <c r="O1314" i="2"/>
  <c r="O1792" i="2"/>
  <c r="O657" i="2"/>
  <c r="O318" i="2"/>
  <c r="O1152" i="2"/>
  <c r="O695" i="2"/>
  <c r="O835" i="2"/>
  <c r="O20" i="2"/>
  <c r="O877" i="2"/>
  <c r="O1368" i="2"/>
  <c r="O1125" i="2"/>
  <c r="O1302" i="2"/>
  <c r="O882" i="2"/>
  <c r="O817" i="2"/>
  <c r="O45" i="2"/>
  <c r="O1423" i="2"/>
  <c r="O1458" i="2"/>
  <c r="O764" i="2"/>
  <c r="O290" i="2"/>
  <c r="O1408" i="2"/>
  <c r="O1354" i="2"/>
  <c r="O361" i="2"/>
  <c r="O1163" i="2"/>
  <c r="O912" i="2"/>
  <c r="O743" i="2"/>
  <c r="O712" i="2"/>
  <c r="O1551" i="2"/>
  <c r="O1173" i="2"/>
  <c r="O260" i="2"/>
  <c r="O1729" i="2"/>
  <c r="O1625" i="2"/>
  <c r="O1760" i="2"/>
  <c r="O143" i="2"/>
  <c r="O550" i="2"/>
  <c r="O277" i="2"/>
  <c r="O1085" i="2"/>
  <c r="O267" i="2"/>
  <c r="O899" i="2"/>
  <c r="O206" i="2"/>
  <c r="O360" i="2"/>
  <c r="O1804" i="2"/>
  <c r="O357" i="2"/>
  <c r="O1356" i="2"/>
  <c r="O1000" i="2"/>
  <c r="O401" i="2"/>
  <c r="O432" i="2"/>
  <c r="O373" i="2"/>
  <c r="O1086" i="2"/>
  <c r="O1095" i="2"/>
  <c r="O1610" i="2"/>
  <c r="O1590" i="2"/>
  <c r="O622" i="2"/>
  <c r="O1437" i="2"/>
  <c r="O483" i="2"/>
  <c r="O159" i="2"/>
  <c r="O1842" i="2"/>
  <c r="O136" i="2"/>
  <c r="O57" i="2"/>
  <c r="O1734" i="2"/>
  <c r="O1823" i="2"/>
  <c r="O188" i="2"/>
  <c r="O582" i="2"/>
  <c r="O106" i="2"/>
  <c r="O1355" i="2"/>
  <c r="O44" i="2"/>
  <c r="O312" i="2"/>
  <c r="O1414" i="2"/>
  <c r="O866" i="2"/>
  <c r="O1363" i="2"/>
  <c r="O375" i="2"/>
  <c r="O195" i="2"/>
  <c r="O1006" i="2"/>
  <c r="O1545" i="2"/>
  <c r="O1846" i="2"/>
  <c r="O1405" i="2"/>
  <c r="O1291" i="2"/>
  <c r="O884" i="2"/>
  <c r="O1513" i="2"/>
  <c r="O577" i="2"/>
  <c r="O1737" i="2"/>
  <c r="O485" i="2"/>
  <c r="O1402" i="2"/>
  <c r="O1830" i="2"/>
  <c r="O809" i="2"/>
  <c r="O1509" i="2"/>
  <c r="O1701" i="2"/>
  <c r="O1083" i="2"/>
  <c r="O757" i="2"/>
  <c r="O494" i="2"/>
  <c r="O80" i="2"/>
  <c r="O1418" i="2"/>
  <c r="O1409" i="2"/>
  <c r="O602" i="2"/>
  <c r="O1476" i="2"/>
  <c r="O1164" i="2"/>
  <c r="O770" i="2"/>
  <c r="O1392" i="2"/>
  <c r="O1036" i="2"/>
  <c r="O1346" i="2"/>
  <c r="O563" i="2"/>
  <c r="O1201" i="2"/>
  <c r="O1374" i="2"/>
  <c r="O1292" i="2"/>
  <c r="O780" i="2"/>
  <c r="O160" i="2"/>
  <c r="O752" i="2"/>
  <c r="O1686" i="2"/>
  <c r="O1602" i="2"/>
  <c r="O450" i="2"/>
  <c r="O1204" i="2"/>
  <c r="O1722" i="2"/>
  <c r="O1063" i="2"/>
  <c r="O352" i="2"/>
  <c r="O156" i="2"/>
  <c r="O1710" i="2"/>
  <c r="O1344" i="2"/>
  <c r="O1087" i="2"/>
  <c r="O1130" i="2"/>
  <c r="O1790" i="2"/>
  <c r="O997" i="2"/>
  <c r="O735" i="2"/>
  <c r="O5" i="2"/>
  <c r="O95" i="2"/>
  <c r="O118" i="2"/>
  <c r="O343" i="2"/>
  <c r="O1147" i="2"/>
  <c r="O878" i="2"/>
  <c r="O690" i="2"/>
  <c r="O179" i="2"/>
  <c r="P392" i="2"/>
  <c r="O392" i="2" s="1"/>
  <c r="P787" i="2"/>
  <c r="O787" i="2" s="1"/>
  <c r="P1061" i="2"/>
  <c r="O1061" i="2" s="1"/>
  <c r="P1062" i="2"/>
  <c r="O1062" i="2" s="1"/>
  <c r="P1462" i="2"/>
  <c r="O1462" i="2" s="1"/>
  <c r="P544" i="2"/>
  <c r="O544" i="2" s="1"/>
  <c r="P666" i="2"/>
  <c r="O666" i="2" s="1"/>
  <c r="P1852" i="2"/>
  <c r="O1852" i="2" s="1"/>
  <c r="P135" i="2"/>
  <c r="O135" i="2" s="1"/>
  <c r="P736" i="2"/>
  <c r="O736" i="2" s="1"/>
  <c r="P1739" i="2"/>
  <c r="O1739" i="2" s="1"/>
  <c r="P1098" i="2"/>
  <c r="O1098" i="2" s="1"/>
  <c r="P1827" i="2"/>
  <c r="O1827" i="2" s="1"/>
  <c r="P626" i="2"/>
  <c r="O626" i="2" s="1"/>
  <c r="P196" i="2"/>
  <c r="O196" i="2" s="1"/>
  <c r="P1285" i="2"/>
  <c r="O1285" i="2" s="1"/>
  <c r="P1078" i="2"/>
  <c r="O1078" i="2" s="1"/>
  <c r="P1824" i="2"/>
  <c r="O1824" i="2" s="1"/>
  <c r="P1721" i="2"/>
  <c r="O1721" i="2" s="1"/>
  <c r="P557" i="2"/>
  <c r="O557" i="2" s="1"/>
  <c r="P119" i="2"/>
  <c r="O119" i="2" s="1"/>
  <c r="P898" i="2"/>
  <c r="O898" i="2" s="1"/>
  <c r="P1735" i="2"/>
  <c r="O1735" i="2" s="1"/>
  <c r="P1158" i="2"/>
  <c r="O1158" i="2" s="1"/>
  <c r="P1024" i="2"/>
  <c r="O1024" i="2" s="1"/>
  <c r="P846" i="2"/>
  <c r="O846" i="2" s="1"/>
  <c r="P213" i="2"/>
  <c r="O213" i="2" s="1"/>
  <c r="P1548" i="2"/>
  <c r="O1548" i="2" s="1"/>
  <c r="P781" i="2"/>
  <c r="O781" i="2" s="1"/>
  <c r="P1780" i="2"/>
  <c r="O1780" i="2" s="1"/>
  <c r="P1435" i="2"/>
  <c r="O1435" i="2" s="1"/>
  <c r="P1004" i="2"/>
  <c r="O1004" i="2" s="1"/>
  <c r="P992" i="2"/>
  <c r="O992" i="2" s="1"/>
  <c r="P1299" i="2"/>
  <c r="O1299" i="2" s="1"/>
  <c r="P1404" i="2"/>
  <c r="O1404" i="2" s="1"/>
  <c r="P355" i="2"/>
  <c r="O355" i="2" s="1"/>
  <c r="P1416" i="2"/>
  <c r="O1416" i="2" s="1"/>
  <c r="P27" i="2"/>
  <c r="O27" i="2" s="1"/>
  <c r="P63" i="2"/>
  <c r="O63" i="2" s="1"/>
  <c r="P1251" i="2"/>
  <c r="O1251" i="2" s="1"/>
  <c r="P1031" i="2"/>
  <c r="O1031" i="2" s="1"/>
  <c r="P1762" i="2"/>
  <c r="O1762" i="2" s="1"/>
  <c r="P1018" i="2"/>
  <c r="O1018" i="2" s="1"/>
  <c r="P129" i="2"/>
  <c r="O129" i="2" s="1"/>
  <c r="P591" i="2"/>
  <c r="O591" i="2" s="1"/>
  <c r="P849" i="2"/>
  <c r="O849" i="2" s="1"/>
  <c r="P616" i="2"/>
  <c r="O616" i="2" s="1"/>
  <c r="P284" i="2"/>
  <c r="O284" i="2" s="1"/>
  <c r="P1419" i="2"/>
  <c r="O1419" i="2" s="1"/>
  <c r="P667" i="2"/>
  <c r="O667" i="2" s="1"/>
  <c r="P816" i="2"/>
  <c r="O816" i="2" s="1"/>
  <c r="P778" i="2"/>
  <c r="O778" i="2" s="1"/>
  <c r="P1671" i="2"/>
  <c r="O1671" i="2" s="1"/>
  <c r="P1211" i="2"/>
  <c r="O1211" i="2" s="1"/>
  <c r="P1227" i="2"/>
  <c r="O1227" i="2" s="1"/>
  <c r="P101" i="2"/>
  <c r="O101" i="2" s="1"/>
  <c r="P1726" i="2"/>
  <c r="O1726" i="2" s="1"/>
  <c r="P844" i="2"/>
  <c r="O844" i="2" s="1"/>
  <c r="P548" i="2"/>
  <c r="O548" i="2" s="1"/>
  <c r="P1157" i="2"/>
  <c r="O1157" i="2" s="1"/>
  <c r="P1748" i="2"/>
  <c r="O1748" i="2" s="1"/>
  <c r="P1110" i="2"/>
  <c r="O1110" i="2" s="1"/>
  <c r="P782" i="2"/>
  <c r="O782" i="2" s="1"/>
  <c r="P78" i="2"/>
  <c r="O78" i="2" s="1"/>
  <c r="P1848" i="2"/>
  <c r="O1848" i="2" s="1"/>
  <c r="P1740" i="2"/>
  <c r="O1740" i="2" s="1"/>
  <c r="P1775" i="2"/>
  <c r="O1775" i="2" s="1"/>
  <c r="P1030" i="2"/>
  <c r="O1030" i="2" s="1"/>
  <c r="P1677" i="2"/>
  <c r="O1677" i="2" s="1"/>
  <c r="P1169" i="2"/>
  <c r="O1169" i="2" s="1"/>
  <c r="P586" i="2"/>
  <c r="O586" i="2" s="1"/>
  <c r="P461" i="2"/>
  <c r="O461" i="2" s="1"/>
  <c r="P682" i="2"/>
  <c r="O682" i="2" s="1"/>
  <c r="P86" i="2"/>
  <c r="O86" i="2" s="1"/>
  <c r="P985" i="2"/>
  <c r="O985" i="2" s="1"/>
  <c r="P737" i="2"/>
  <c r="O737" i="2" s="1"/>
  <c r="P1046" i="2"/>
  <c r="O1046" i="2" s="1"/>
  <c r="P1781" i="2"/>
  <c r="O1781" i="2" s="1"/>
  <c r="P1128" i="2"/>
  <c r="O1128" i="2" s="1"/>
  <c r="P1208" i="2"/>
  <c r="O1208" i="2" s="1"/>
  <c r="P1112" i="2"/>
  <c r="O1112" i="2" s="1"/>
  <c r="P1555" i="2"/>
  <c r="O1555" i="2" s="1"/>
  <c r="P751" i="2"/>
  <c r="O751" i="2" s="1"/>
  <c r="P916" i="2"/>
  <c r="O916" i="2" s="1"/>
  <c r="P555" i="2"/>
  <c r="O555" i="2" s="1"/>
  <c r="P266" i="2"/>
  <c r="O266" i="2" s="1"/>
  <c r="T266" i="2" s="1"/>
  <c r="U266" i="2" s="1"/>
  <c r="P1847" i="2"/>
  <c r="O1847" i="2" s="1"/>
  <c r="P789" i="2"/>
  <c r="O789" i="2" s="1"/>
  <c r="P1561" i="2"/>
  <c r="O1561" i="2" s="1"/>
  <c r="P138" i="2"/>
  <c r="O138" i="2" s="1"/>
  <c r="P228" i="2"/>
  <c r="O228" i="2" s="1"/>
  <c r="P1029" i="2"/>
  <c r="O1029" i="2" s="1"/>
  <c r="P489" i="2"/>
  <c r="O489" i="2" s="1"/>
  <c r="P123" i="2"/>
  <c r="O123" i="2" s="1"/>
  <c r="P1828" i="2"/>
  <c r="O1828" i="2" s="1"/>
  <c r="P11" i="2"/>
  <c r="O11" i="2" s="1"/>
  <c r="P1388" i="2"/>
  <c r="O1388" i="2" s="1"/>
  <c r="P350" i="2"/>
  <c r="O350" i="2" s="1"/>
  <c r="P1784" i="2"/>
  <c r="O1784" i="2" s="1"/>
  <c r="P1727" i="2"/>
  <c r="O1727" i="2" s="1"/>
  <c r="P1150" i="2"/>
  <c r="O1150" i="2" s="1"/>
  <c r="P1370" i="2"/>
  <c r="O1370" i="2" s="1"/>
  <c r="P1427" i="2"/>
  <c r="O1427" i="2" s="1"/>
  <c r="P64" i="2"/>
  <c r="O64" i="2" s="1"/>
  <c r="P652" i="2"/>
  <c r="O652" i="2" s="1"/>
  <c r="P1472" i="2"/>
  <c r="O1472" i="2" s="1"/>
  <c r="P211" i="2"/>
  <c r="O211" i="2" s="1"/>
  <c r="P646" i="2"/>
  <c r="O646" i="2" s="1"/>
  <c r="P1812" i="2"/>
  <c r="O1812" i="2" s="1"/>
  <c r="P137" i="2"/>
  <c r="O137" i="2" s="1"/>
  <c r="P499" i="2"/>
  <c r="O499" i="2" s="1"/>
  <c r="P966" i="2"/>
  <c r="O966" i="2" s="1"/>
  <c r="P204" i="2"/>
  <c r="O204" i="2" s="1"/>
  <c r="P1387" i="2"/>
  <c r="O1387" i="2" s="1"/>
  <c r="P390" i="2"/>
  <c r="O390" i="2" s="1"/>
  <c r="P29" i="2"/>
  <c r="O29" i="2" s="1"/>
  <c r="P1607" i="2"/>
  <c r="O1607" i="2" s="1"/>
  <c r="P1035" i="2"/>
  <c r="O1035" i="2" s="1"/>
  <c r="P644" i="2"/>
  <c r="O644" i="2" s="1"/>
  <c r="P41" i="2"/>
  <c r="O41" i="2" s="1"/>
  <c r="P1172" i="2"/>
  <c r="O1172" i="2" s="1"/>
  <c r="P1323" i="2"/>
  <c r="O1323" i="2" s="1"/>
  <c r="P795" i="2"/>
  <c r="O795" i="2" s="1"/>
  <c r="P823" i="2"/>
  <c r="O823" i="2" s="1"/>
  <c r="P679" i="2"/>
  <c r="O679" i="2" s="1"/>
  <c r="P1381" i="2"/>
  <c r="O1381" i="2" s="1"/>
  <c r="P549" i="2"/>
  <c r="O549" i="2" s="1"/>
  <c r="P31" i="2"/>
  <c r="O31" i="2" s="1"/>
  <c r="P399" i="2"/>
  <c r="O399" i="2" s="1"/>
  <c r="P777" i="2"/>
  <c r="O777" i="2" s="1"/>
  <c r="P1284" i="2"/>
  <c r="O1284" i="2" s="1"/>
  <c r="P1813" i="2"/>
  <c r="O1813" i="2" s="1"/>
  <c r="P1738" i="2"/>
  <c r="O1738" i="2" s="1"/>
  <c r="P471" i="2"/>
  <c r="O471" i="2" s="1"/>
  <c r="P1272" i="2"/>
  <c r="O1272" i="2" s="1"/>
  <c r="P811" i="2"/>
  <c r="O811" i="2" s="1"/>
  <c r="P1337" i="2"/>
  <c r="O1337" i="2" s="1"/>
  <c r="P1319" i="2"/>
  <c r="O1319" i="2" s="1"/>
  <c r="P605" i="2"/>
  <c r="O605" i="2" s="1"/>
  <c r="P227" i="2"/>
  <c r="O227" i="2" s="1"/>
  <c r="P836" i="2"/>
  <c r="O836" i="2" s="1"/>
  <c r="P1336" i="2"/>
  <c r="O1336" i="2" s="1"/>
  <c r="P841" i="2"/>
  <c r="O841" i="2" s="1"/>
  <c r="P1743" i="2"/>
  <c r="O1743" i="2" s="1"/>
  <c r="P1759" i="2"/>
  <c r="O1759" i="2" s="1"/>
  <c r="P1421" i="2"/>
  <c r="O1421" i="2" s="1"/>
  <c r="P89" i="2"/>
  <c r="O89" i="2" s="1"/>
  <c r="P1459" i="2"/>
  <c r="O1459" i="2" s="1"/>
  <c r="P1840" i="2"/>
  <c r="O1840" i="2" s="1"/>
  <c r="P699" i="2"/>
  <c r="O699" i="2" s="1"/>
  <c r="P526" i="2"/>
  <c r="O526" i="2" s="1"/>
  <c r="P297" i="2"/>
  <c r="O297" i="2" s="1"/>
  <c r="P187" i="2"/>
  <c r="O187" i="2" s="1"/>
  <c r="P1801" i="2"/>
  <c r="O1801" i="2" s="1"/>
  <c r="P1269" i="2"/>
  <c r="O1269" i="2" s="1"/>
  <c r="P661" i="2"/>
  <c r="O661" i="2" s="1"/>
  <c r="P1491" i="2"/>
  <c r="O1491" i="2" s="1"/>
  <c r="P1621" i="2"/>
  <c r="O1621" i="2" s="1"/>
  <c r="P1794" i="2"/>
  <c r="O1794" i="2" s="1"/>
  <c r="P1422" i="2"/>
  <c r="O1422" i="2" s="1"/>
  <c r="P1139" i="2"/>
  <c r="O1139" i="2" s="1"/>
  <c r="P122" i="2"/>
  <c r="O122" i="2" s="1"/>
  <c r="P857" i="2"/>
  <c r="O857" i="2" s="1"/>
  <c r="P915" i="2"/>
  <c r="O915" i="2" s="1"/>
  <c r="P1639" i="2"/>
  <c r="O1639" i="2" s="1"/>
  <c r="P1440" i="2"/>
  <c r="O1440" i="2" s="1"/>
  <c r="P810" i="2"/>
  <c r="O810" i="2" s="1"/>
  <c r="P858" i="2"/>
  <c r="O858" i="2" s="1"/>
  <c r="P54" i="2"/>
  <c r="O54" i="2" s="1"/>
  <c r="P1022" i="2"/>
  <c r="O1022" i="2" s="1"/>
  <c r="P59" i="2"/>
  <c r="O59" i="2" s="1"/>
  <c r="T1061" i="2"/>
  <c r="U1061" i="2" s="1"/>
  <c r="T1062" i="2"/>
  <c r="U1062" i="2" s="1"/>
  <c r="T1462" i="2"/>
  <c r="U1462" i="2" s="1"/>
  <c r="T544" i="2"/>
  <c r="U544" i="2" s="1"/>
  <c r="T666" i="2"/>
  <c r="U666" i="2" s="1"/>
  <c r="T1852" i="2"/>
  <c r="U1852" i="2" s="1"/>
  <c r="T135" i="2"/>
  <c r="U135" i="2" s="1"/>
  <c r="T736" i="2"/>
  <c r="U736" i="2" s="1"/>
  <c r="T1285" i="2"/>
  <c r="U1285" i="2" s="1"/>
  <c r="T1078" i="2"/>
  <c r="U1078" i="2" s="1"/>
  <c r="P1171" i="2"/>
  <c r="O1171" i="2" s="1"/>
  <c r="P1788" i="2"/>
  <c r="O1788" i="2" s="1"/>
  <c r="P1446" i="2"/>
  <c r="O1446" i="2" s="1"/>
  <c r="P1505" i="2"/>
  <c r="O1505" i="2" s="1"/>
  <c r="P1353" i="2"/>
  <c r="O1353" i="2" s="1"/>
  <c r="P940" i="2"/>
  <c r="O940" i="2" s="1"/>
  <c r="P1372" i="2"/>
  <c r="O1372" i="2" s="1"/>
  <c r="P527" i="2"/>
  <c r="O527" i="2" s="1"/>
  <c r="P124" i="2"/>
  <c r="O124" i="2" s="1"/>
  <c r="P1040" i="2"/>
  <c r="O1040" i="2" s="1"/>
  <c r="P869" i="2"/>
  <c r="O869" i="2" s="1"/>
  <c r="P1818" i="2"/>
  <c r="O1818" i="2" s="1"/>
  <c r="P785" i="2"/>
  <c r="O785" i="2" s="1"/>
  <c r="T119" i="2"/>
  <c r="U119" i="2" s="1"/>
  <c r="T898" i="2"/>
  <c r="U898" i="2" s="1"/>
  <c r="T1735" i="2"/>
  <c r="U1735" i="2" s="1"/>
  <c r="T1158" i="2"/>
  <c r="U1158" i="2" s="1"/>
  <c r="T1548" i="2"/>
  <c r="U1548" i="2" s="1"/>
  <c r="T781" i="2"/>
  <c r="U781" i="2" s="1"/>
  <c r="P1494" i="2"/>
  <c r="O1494" i="2" s="1"/>
  <c r="P1720" i="2"/>
  <c r="O1720" i="2" s="1"/>
  <c r="P1838" i="2"/>
  <c r="O1838" i="2" s="1"/>
  <c r="P1717" i="2"/>
  <c r="O1717" i="2" s="1"/>
  <c r="P581" i="2"/>
  <c r="O581" i="2" s="1"/>
  <c r="P1378" i="2"/>
  <c r="O1378" i="2" s="1"/>
  <c r="P702" i="2"/>
  <c r="O702" i="2" s="1"/>
  <c r="P862" i="2"/>
  <c r="O862" i="2" s="1"/>
  <c r="P1360" i="2"/>
  <c r="O1360" i="2" s="1"/>
  <c r="P990" i="2"/>
  <c r="O990" i="2" s="1"/>
  <c r="P855" i="2"/>
  <c r="O855" i="2" s="1"/>
  <c r="P749" i="2"/>
  <c r="O749" i="2" s="1"/>
  <c r="P393" i="2"/>
  <c r="O393" i="2" s="1"/>
  <c r="P289" i="2"/>
  <c r="O289" i="2" s="1"/>
  <c r="P705" i="2"/>
  <c r="O705" i="2" s="1"/>
  <c r="P1041" i="2"/>
  <c r="O1041" i="2" s="1"/>
  <c r="P792" i="2"/>
  <c r="O792" i="2" s="1"/>
  <c r="P1627" i="2"/>
  <c r="O1627" i="2" s="1"/>
  <c r="P694" i="2"/>
  <c r="O694" i="2" s="1"/>
  <c r="T1435" i="2"/>
  <c r="U1435" i="2" s="1"/>
  <c r="T1004" i="2"/>
  <c r="U1004" i="2" s="1"/>
  <c r="T992" i="2"/>
  <c r="U992" i="2" s="1"/>
  <c r="T1299" i="2"/>
  <c r="U1299" i="2" s="1"/>
  <c r="T1404" i="2"/>
  <c r="U1404" i="2" s="1"/>
  <c r="T1416" i="2"/>
  <c r="U1416" i="2" s="1"/>
  <c r="T27" i="2"/>
  <c r="U27" i="2" s="1"/>
  <c r="T1018" i="2"/>
  <c r="U1018" i="2" s="1"/>
  <c r="T129" i="2"/>
  <c r="U129" i="2" s="1"/>
  <c r="P1581" i="2"/>
  <c r="O1581" i="2" s="1"/>
  <c r="P1014" i="2"/>
  <c r="O1014" i="2" s="1"/>
  <c r="P993" i="2"/>
  <c r="O993" i="2" s="1"/>
  <c r="P921" i="2"/>
  <c r="O921" i="2" s="1"/>
  <c r="P1550" i="2"/>
  <c r="O1550" i="2" s="1"/>
  <c r="P721" i="2"/>
  <c r="O721" i="2" s="1"/>
  <c r="P168" i="2"/>
  <c r="O168" i="2" s="1"/>
  <c r="P372" i="2"/>
  <c r="O372" i="2" s="1"/>
  <c r="P983" i="2"/>
  <c r="O983" i="2" s="1"/>
  <c r="P979" i="2"/>
  <c r="O979" i="2" s="1"/>
  <c r="P1084" i="2"/>
  <c r="O1084" i="2" s="1"/>
  <c r="P1747" i="2"/>
  <c r="O1747" i="2" s="1"/>
  <c r="P278" i="2"/>
  <c r="O278" i="2" s="1"/>
  <c r="P487" i="2"/>
  <c r="O487" i="2" s="1"/>
  <c r="P177" i="2"/>
  <c r="O177" i="2" s="1"/>
  <c r="P1746" i="2"/>
  <c r="O1746" i="2" s="1"/>
  <c r="P441" i="2"/>
  <c r="O441" i="2" s="1"/>
  <c r="P1764" i="2"/>
  <c r="O1764" i="2" s="1"/>
  <c r="T778" i="2"/>
  <c r="U778" i="2" s="1"/>
  <c r="T1227" i="2"/>
  <c r="U1227" i="2" s="1"/>
  <c r="T101" i="2"/>
  <c r="U101" i="2" s="1"/>
  <c r="T1157" i="2"/>
  <c r="U1157" i="2" s="1"/>
  <c r="T1748" i="2"/>
  <c r="U1748" i="2" s="1"/>
  <c r="T1110" i="2"/>
  <c r="U1110" i="2" s="1"/>
  <c r="T782" i="2"/>
  <c r="U782" i="2" s="1"/>
  <c r="P247" i="2"/>
  <c r="O247" i="2" s="1"/>
  <c r="P1377" i="2"/>
  <c r="O1377" i="2" s="1"/>
  <c r="P680" i="2"/>
  <c r="O680" i="2" s="1"/>
  <c r="P1478" i="2"/>
  <c r="O1478" i="2" s="1"/>
  <c r="P698" i="2"/>
  <c r="O698" i="2" s="1"/>
  <c r="P935" i="2"/>
  <c r="O935" i="2" s="1"/>
  <c r="P305" i="2"/>
  <c r="O305" i="2" s="1"/>
  <c r="P237" i="2"/>
  <c r="O237" i="2" s="1"/>
  <c r="P374" i="2"/>
  <c r="O374" i="2" s="1"/>
  <c r="P704" i="2"/>
  <c r="O704" i="2" s="1"/>
  <c r="P212" i="2"/>
  <c r="O212" i="2" s="1"/>
  <c r="P1470" i="2"/>
  <c r="O1470" i="2" s="1"/>
  <c r="P1428" i="2"/>
  <c r="O1428" i="2" s="1"/>
  <c r="P250" i="2"/>
  <c r="O250" i="2" s="1"/>
  <c r="P779" i="2"/>
  <c r="O779" i="2" s="1"/>
  <c r="T1112" i="2"/>
  <c r="U1112" i="2" s="1"/>
  <c r="T1555" i="2"/>
  <c r="U1555" i="2" s="1"/>
  <c r="T751" i="2"/>
  <c r="U751" i="2" s="1"/>
  <c r="T916" i="2"/>
  <c r="U916" i="2" s="1"/>
  <c r="P1442" i="2"/>
  <c r="O1442" i="2" s="1"/>
  <c r="P665" i="2"/>
  <c r="O665" i="2" s="1"/>
  <c r="P1755" i="2"/>
  <c r="O1755" i="2" s="1"/>
  <c r="P40" i="2"/>
  <c r="O40" i="2" s="1"/>
  <c r="P759" i="2"/>
  <c r="O759" i="2" s="1"/>
  <c r="P1593" i="2"/>
  <c r="O1593" i="2" s="1"/>
  <c r="P73" i="2"/>
  <c r="O73" i="2" s="1"/>
  <c r="P639" i="2"/>
  <c r="O639" i="2" s="1"/>
  <c r="P79" i="2"/>
  <c r="O79" i="2" s="1"/>
  <c r="P623" i="2"/>
  <c r="O623" i="2" s="1"/>
  <c r="P1393" i="2"/>
  <c r="O1393" i="2" s="1"/>
  <c r="P728" i="2"/>
  <c r="O728" i="2" s="1"/>
  <c r="P1719" i="2"/>
  <c r="O1719" i="2" s="1"/>
  <c r="P1043" i="2"/>
  <c r="O1043" i="2" s="1"/>
  <c r="P1506" i="2"/>
  <c r="O1506" i="2" s="1"/>
  <c r="P658" i="2"/>
  <c r="O658" i="2" s="1"/>
  <c r="P1187" i="2"/>
  <c r="O1187" i="2" s="1"/>
  <c r="T1828" i="2"/>
  <c r="U1828" i="2" s="1"/>
  <c r="P815" i="2"/>
  <c r="O815" i="2" s="1"/>
  <c r="P1455" i="2"/>
  <c r="O1455" i="2" s="1"/>
  <c r="P1611" i="2"/>
  <c r="O1611" i="2" s="1"/>
  <c r="P472" i="2"/>
  <c r="O472" i="2" s="1"/>
  <c r="P1749" i="2"/>
  <c r="O1749" i="2" s="1"/>
  <c r="P654" i="2"/>
  <c r="O654" i="2" s="1"/>
  <c r="P220" i="2"/>
  <c r="O220" i="2" s="1"/>
  <c r="P495" i="2"/>
  <c r="O495" i="2" s="1"/>
  <c r="P6" i="2"/>
  <c r="O6" i="2" s="1"/>
  <c r="T350" i="2"/>
  <c r="U350" i="2" s="1"/>
  <c r="P1175" i="2"/>
  <c r="O1175" i="2" s="1"/>
  <c r="T1847" i="2"/>
  <c r="U1847" i="2" s="1"/>
  <c r="P1286" i="2"/>
  <c r="O1286" i="2" s="1"/>
  <c r="P783" i="2"/>
  <c r="O783" i="2" s="1"/>
  <c r="P967" i="2"/>
  <c r="O967" i="2" s="1"/>
  <c r="P1361" i="2"/>
  <c r="O1361" i="2" s="1"/>
  <c r="P603" i="2"/>
  <c r="O603" i="2" s="1"/>
  <c r="P296" i="2"/>
  <c r="O296" i="2" s="1"/>
  <c r="P1479" i="2"/>
  <c r="O1479" i="2" s="1"/>
  <c r="P68" i="2"/>
  <c r="O68" i="2" s="1"/>
  <c r="P327" i="2"/>
  <c r="O327" i="2" s="1"/>
  <c r="T1427" i="2"/>
  <c r="U1427" i="2" s="1"/>
  <c r="P1637" i="2"/>
  <c r="O1637" i="2" s="1"/>
  <c r="T489" i="2"/>
  <c r="U489" i="2" s="1"/>
  <c r="P986" i="2"/>
  <c r="O986" i="2" s="1"/>
  <c r="P984" i="2"/>
  <c r="O984" i="2" s="1"/>
  <c r="P551" i="2"/>
  <c r="O551" i="2" s="1"/>
  <c r="P400" i="2"/>
  <c r="O400" i="2" s="1"/>
  <c r="P1027" i="2"/>
  <c r="O1027" i="2" s="1"/>
  <c r="P90" i="2"/>
  <c r="O90" i="2" s="1"/>
  <c r="P686" i="2"/>
  <c r="O686" i="2" s="1"/>
  <c r="P951" i="2"/>
  <c r="O951" i="2" s="1"/>
  <c r="P1429" i="2"/>
  <c r="O1429" i="2" s="1"/>
  <c r="P329" i="2"/>
  <c r="O329" i="2" s="1"/>
  <c r="P827" i="2"/>
  <c r="O827" i="2" s="1"/>
  <c r="T432" i="2"/>
  <c r="P687" i="2"/>
  <c r="O687" i="2" s="1"/>
  <c r="T95" i="2"/>
  <c r="P37" i="2"/>
  <c r="O37" i="2" s="1"/>
  <c r="P643" i="2"/>
  <c r="O643" i="2" s="1"/>
  <c r="T45" i="2"/>
  <c r="T183" i="2"/>
  <c r="T474" i="2"/>
  <c r="T450" i="2"/>
  <c r="T582" i="2"/>
  <c r="T1701" i="2"/>
  <c r="T1204" i="2"/>
  <c r="T290" i="2"/>
  <c r="T550" i="2"/>
  <c r="T1710" i="2"/>
  <c r="T1355" i="2"/>
  <c r="T912" i="2"/>
  <c r="T884" i="2"/>
  <c r="T1842" i="2"/>
  <c r="T1118" i="2"/>
  <c r="T188" i="2"/>
  <c r="T1610" i="2"/>
  <c r="T1823" i="2"/>
  <c r="T20" i="2"/>
  <c r="T764" i="2"/>
  <c r="T1513" i="2"/>
  <c r="T57" i="2"/>
  <c r="T103" i="2"/>
  <c r="T1095" i="2"/>
  <c r="T1201" i="2"/>
  <c r="T1000" i="2"/>
  <c r="T483" i="2"/>
  <c r="T5" i="2"/>
  <c r="T1354" i="2"/>
  <c r="T1722" i="2"/>
  <c r="T1790" i="2"/>
  <c r="T577" i="2"/>
  <c r="T1830" i="2"/>
  <c r="T860" i="2"/>
  <c r="T1423" i="2"/>
  <c r="T1551" i="2"/>
  <c r="T1729" i="2"/>
  <c r="T357" i="2"/>
  <c r="T712" i="2"/>
  <c r="T361" i="2"/>
  <c r="T817" i="2"/>
  <c r="T602" i="2"/>
  <c r="T1402" i="2"/>
  <c r="T360" i="2"/>
  <c r="T1362" i="2"/>
  <c r="T1760" i="2"/>
  <c r="T1302" i="2"/>
  <c r="T899" i="2"/>
  <c r="T835" i="2"/>
  <c r="P1389" i="2"/>
  <c r="O1389" i="2" s="1"/>
  <c r="T1774" i="2"/>
  <c r="T1734" i="2"/>
  <c r="T1363" i="2"/>
  <c r="T494" i="2"/>
  <c r="P1471" i="2"/>
  <c r="O1471" i="2" s="1"/>
  <c r="T260" i="2"/>
  <c r="T1625" i="2"/>
  <c r="T866" i="2"/>
  <c r="T928" i="2"/>
  <c r="T143" i="2"/>
  <c r="T179" i="2"/>
  <c r="T622" i="2"/>
  <c r="T1085" i="2"/>
  <c r="T1792" i="2"/>
  <c r="T657" i="2"/>
  <c r="P134" i="2"/>
  <c r="O134" i="2" s="1"/>
  <c r="P635" i="2"/>
  <c r="O635" i="2" s="1"/>
  <c r="P348" i="2"/>
  <c r="O348" i="2" s="1"/>
  <c r="T1458" i="2"/>
  <c r="P1560" i="2"/>
  <c r="O1560" i="2" s="1"/>
  <c r="F1" i="20" a="1"/>
  <c r="O19" i="2" s="1"/>
  <c r="P963" i="2"/>
  <c r="O963" i="2" s="1"/>
  <c r="P902" i="2"/>
  <c r="O902" i="2" s="1"/>
  <c r="P766" i="2"/>
  <c r="O766" i="2" s="1"/>
  <c r="P784" i="2"/>
  <c r="O784" i="2" s="1"/>
  <c r="P194" i="2"/>
  <c r="O194" i="2" s="1"/>
  <c r="T1087" i="2"/>
  <c r="T1509" i="2"/>
  <c r="T877" i="2"/>
  <c r="T1125" i="2"/>
  <c r="P473" i="2"/>
  <c r="O473" i="2" s="1"/>
  <c r="P1599" i="2"/>
  <c r="O1599" i="2" s="1"/>
  <c r="P131" i="2"/>
  <c r="O131" i="2" s="1"/>
  <c r="T401" i="2"/>
  <c r="T1063" i="2"/>
  <c r="T195" i="2"/>
  <c r="T1368" i="2"/>
  <c r="P74" i="2"/>
  <c r="O74" i="2" s="1"/>
  <c r="P1010" i="2"/>
  <c r="O1010" i="2" s="1"/>
  <c r="T318" i="2"/>
  <c r="T1476" i="2"/>
  <c r="T540" i="2"/>
  <c r="U703" i="2"/>
  <c r="U911" i="2"/>
  <c r="U659" i="2"/>
  <c r="U154" i="2"/>
  <c r="U1730" i="2"/>
  <c r="U619" i="2"/>
  <c r="O3" i="20"/>
  <c r="D282" i="14"/>
  <c r="D253" i="14"/>
  <c r="T1408" i="2" l="1"/>
  <c r="T1414" i="2"/>
  <c r="T1784" i="2"/>
  <c r="U1784" i="2" s="1"/>
  <c r="T555" i="2"/>
  <c r="U555" i="2" s="1"/>
  <c r="T250" i="2"/>
  <c r="U250" i="2" s="1"/>
  <c r="T348" i="2"/>
  <c r="U348" i="2" s="1"/>
  <c r="T784" i="2"/>
  <c r="U784" i="2" s="1"/>
  <c r="T1428" i="2"/>
  <c r="U1428" i="2" s="1"/>
  <c r="T705" i="2"/>
  <c r="U705" i="2" s="1"/>
  <c r="T297" i="2"/>
  <c r="U297" i="2" s="1"/>
  <c r="T1272" i="2"/>
  <c r="U1272" i="2" s="1"/>
  <c r="T204" i="2"/>
  <c r="U204" i="2" s="1"/>
  <c r="T986" i="2"/>
  <c r="U986" i="2" s="1"/>
  <c r="T305" i="2"/>
  <c r="U305" i="2" s="1"/>
  <c r="T289" i="2"/>
  <c r="U289" i="2" s="1"/>
  <c r="T526" i="2"/>
  <c r="U526" i="2" s="1"/>
  <c r="T471" i="2"/>
  <c r="U471" i="2" s="1"/>
  <c r="T966" i="2"/>
  <c r="U966" i="2" s="1"/>
  <c r="T68" i="2"/>
  <c r="U68" i="2" s="1"/>
  <c r="T935" i="2"/>
  <c r="U935" i="2" s="1"/>
  <c r="T1717" i="2"/>
  <c r="U1717" i="2" s="1"/>
  <c r="T699" i="2"/>
  <c r="U699" i="2" s="1"/>
  <c r="T1738" i="2"/>
  <c r="U1738" i="2" s="1"/>
  <c r="T1479" i="2"/>
  <c r="U1479" i="2" s="1"/>
  <c r="T698" i="2"/>
  <c r="U698" i="2" s="1"/>
  <c r="T1838" i="2"/>
  <c r="U1838" i="2" s="1"/>
  <c r="T1813" i="2"/>
  <c r="U1813" i="2" s="1"/>
  <c r="T603" i="2"/>
  <c r="U603" i="2" s="1"/>
  <c r="T1720" i="2"/>
  <c r="U1720" i="2" s="1"/>
  <c r="T1284" i="2"/>
  <c r="U1284" i="2" s="1"/>
  <c r="T220" i="2"/>
  <c r="U220" i="2" s="1"/>
  <c r="T73" i="2"/>
  <c r="U73" i="2" s="1"/>
  <c r="T487" i="2"/>
  <c r="U487" i="2" s="1"/>
  <c r="T1494" i="2"/>
  <c r="U1494" i="2" s="1"/>
  <c r="T777" i="2"/>
  <c r="U777" i="2" s="1"/>
  <c r="T472" i="2"/>
  <c r="U472" i="2" s="1"/>
  <c r="T1593" i="2"/>
  <c r="U1593" i="2" s="1"/>
  <c r="T278" i="2"/>
  <c r="U278" i="2" s="1"/>
  <c r="T399" i="2"/>
  <c r="U399" i="2" s="1"/>
  <c r="T759" i="2"/>
  <c r="U759" i="2" s="1"/>
  <c r="T372" i="2"/>
  <c r="U372" i="2" s="1"/>
  <c r="T31" i="2"/>
  <c r="U31" i="2" s="1"/>
  <c r="T40" i="2"/>
  <c r="U40" i="2" s="1"/>
  <c r="T1014" i="2"/>
  <c r="U1014" i="2" s="1"/>
  <c r="T549" i="2"/>
  <c r="U549" i="2" s="1"/>
  <c r="T1581" i="2"/>
  <c r="U1581" i="2" s="1"/>
  <c r="T1381" i="2"/>
  <c r="U1381" i="2" s="1"/>
  <c r="T823" i="2"/>
  <c r="U823" i="2" s="1"/>
  <c r="T123" i="2"/>
  <c r="U123" i="2" s="1"/>
  <c r="T41" i="2"/>
  <c r="U41" i="2" s="1"/>
  <c r="T1290" i="2"/>
  <c r="U1290" i="2" s="1"/>
  <c r="T694" i="2"/>
  <c r="U694" i="2" s="1"/>
  <c r="T644" i="2"/>
  <c r="U644" i="2" s="1"/>
  <c r="T1599" i="2"/>
  <c r="U1599" i="2" s="1"/>
  <c r="T1027" i="2"/>
  <c r="U1027" i="2" s="1"/>
  <c r="T789" i="2"/>
  <c r="U789" i="2" s="1"/>
  <c r="T1755" i="2"/>
  <c r="U1755" i="2" s="1"/>
  <c r="T643" i="2"/>
  <c r="U643" i="2" s="1"/>
  <c r="T779" i="2"/>
  <c r="U779" i="2" s="1"/>
  <c r="T792" i="2"/>
  <c r="U792" i="2" s="1"/>
  <c r="T661" i="2"/>
  <c r="U661" i="2" s="1"/>
  <c r="T1035" i="2"/>
  <c r="U1035" i="2" s="1"/>
  <c r="T158" i="2"/>
  <c r="U158" i="2" s="1"/>
  <c r="T1041" i="2"/>
  <c r="U1041" i="2" s="1"/>
  <c r="T1269" i="2"/>
  <c r="U1269" i="2" s="1"/>
  <c r="T1387" i="2"/>
  <c r="U1387" i="2" s="1"/>
  <c r="T1801" i="2"/>
  <c r="U1801" i="2" s="1"/>
  <c r="T1336" i="2"/>
  <c r="U1336" i="2" s="1"/>
  <c r="T967" i="2"/>
  <c r="U967" i="2" s="1"/>
  <c r="T1627" i="2"/>
  <c r="U1627" i="2" s="1"/>
  <c r="T815" i="2"/>
  <c r="U815" i="2" s="1"/>
  <c r="O492" i="2"/>
  <c r="T227" i="2"/>
  <c r="U227" i="2" s="1"/>
  <c r="O381" i="2"/>
  <c r="T704" i="2"/>
  <c r="U704" i="2" s="1"/>
  <c r="T979" i="2"/>
  <c r="U979" i="2" s="1"/>
  <c r="T1762" i="2"/>
  <c r="U1762" i="2" s="1"/>
  <c r="T795" i="2"/>
  <c r="U795" i="2" s="1"/>
  <c r="T1747" i="2"/>
  <c r="U1747" i="2" s="1"/>
  <c r="T1344" i="2"/>
  <c r="U1344" i="2" s="1"/>
  <c r="T1421" i="2"/>
  <c r="U1421" i="2" s="1"/>
  <c r="T63" i="2"/>
  <c r="U63" i="2" s="1"/>
  <c r="O1325" i="2"/>
  <c r="O1182" i="2"/>
  <c r="T557" i="2"/>
  <c r="U557" i="2" s="1"/>
  <c r="T1639" i="2"/>
  <c r="U1639" i="2" s="1"/>
  <c r="T1459" i="2"/>
  <c r="U1459" i="2" s="1"/>
  <c r="T836" i="2"/>
  <c r="U836" i="2" s="1"/>
  <c r="O488" i="2"/>
  <c r="T780" i="2"/>
  <c r="T687" i="2"/>
  <c r="U687" i="2" s="1"/>
  <c r="T138" i="2"/>
  <c r="U138" i="2" s="1"/>
  <c r="T89" i="2"/>
  <c r="U89" i="2" s="1"/>
  <c r="T1607" i="2"/>
  <c r="U1607" i="2" s="1"/>
  <c r="T735" i="2"/>
  <c r="U735" i="2" s="1"/>
  <c r="T1560" i="2"/>
  <c r="U1560" i="2" s="1"/>
  <c r="T1175" i="2"/>
  <c r="U1175" i="2" s="1"/>
  <c r="T374" i="2"/>
  <c r="U374" i="2" s="1"/>
  <c r="T6" i="2"/>
  <c r="U6" i="2" s="1"/>
  <c r="O1659" i="2"/>
  <c r="O556" i="2"/>
  <c r="O8" i="2"/>
  <c r="O1773" i="2"/>
  <c r="O676" i="2"/>
  <c r="O42" i="2"/>
  <c r="P14" i="2"/>
  <c r="O14" i="2" s="1"/>
  <c r="O1525" i="2"/>
  <c r="O202" i="2"/>
  <c r="O1834" i="2"/>
  <c r="O157" i="2"/>
  <c r="O922" i="2"/>
  <c r="O883" i="2"/>
  <c r="O1281" i="2"/>
  <c r="O1279" i="2"/>
  <c r="O965" i="2"/>
  <c r="O104" i="2"/>
  <c r="O733" i="2"/>
  <c r="O1831" i="2"/>
  <c r="O420" i="2"/>
  <c r="O611" i="2"/>
  <c r="O897" i="2"/>
  <c r="O734" i="2"/>
  <c r="O308" i="2"/>
  <c r="O688" i="2"/>
  <c r="O435" i="2"/>
  <c r="O1736" i="2"/>
  <c r="O1714" i="2"/>
  <c r="O280" i="2"/>
  <c r="O1544" i="2"/>
  <c r="O311" i="2"/>
  <c r="O669" i="2"/>
  <c r="O94" i="2"/>
  <c r="O1183" i="2"/>
  <c r="O1068" i="2"/>
  <c r="O610" i="2"/>
  <c r="O1077" i="2"/>
  <c r="O1178" i="2"/>
  <c r="O269" i="2"/>
  <c r="O1116" i="2"/>
  <c r="O621" i="2"/>
  <c r="O1321" i="2"/>
  <c r="O334" i="2"/>
  <c r="O28" i="2"/>
  <c r="O1761" i="2"/>
  <c r="O1088" i="2"/>
  <c r="O1205" i="2"/>
  <c r="O575" i="2"/>
  <c r="O295" i="2"/>
  <c r="O1564" i="2"/>
  <c r="O1787" i="2"/>
  <c r="O428" i="2"/>
  <c r="O330" i="2"/>
  <c r="O161" i="2"/>
  <c r="O1706" i="2"/>
  <c r="O1070" i="2"/>
  <c r="O406" i="2"/>
  <c r="O1692" i="2"/>
  <c r="O1375" i="2"/>
  <c r="O1257" i="2"/>
  <c r="O388" i="2"/>
  <c r="O1005" i="2"/>
  <c r="O1557" i="2"/>
  <c r="O303" i="2"/>
  <c r="O1713" i="2"/>
  <c r="O1379" i="2"/>
  <c r="O1502" i="2"/>
  <c r="O609" i="2"/>
  <c r="O1694" i="2"/>
  <c r="O324" i="2"/>
  <c r="O1829" i="2"/>
  <c r="O1328" i="2"/>
  <c r="O1210" i="2"/>
  <c r="O691" i="2"/>
  <c r="O528" i="2"/>
  <c r="O1090" i="2"/>
  <c r="O1064" i="2"/>
  <c r="O1162" i="2"/>
  <c r="O753" i="2"/>
  <c r="O587" i="2"/>
  <c r="O1264" i="2"/>
  <c r="O1114" i="2"/>
  <c r="O1745" i="2"/>
  <c r="O1758" i="2"/>
  <c r="O379" i="2"/>
  <c r="O828" i="2"/>
  <c r="O1176" i="2"/>
  <c r="O323" i="2"/>
  <c r="T1470" i="2"/>
  <c r="U1470" i="2" s="1"/>
  <c r="O493" i="2"/>
  <c r="T212" i="2"/>
  <c r="U212" i="2" s="1"/>
  <c r="T1084" i="2"/>
  <c r="U1084" i="2" s="1"/>
  <c r="T682" i="2"/>
  <c r="U682" i="2" s="1"/>
  <c r="T1031" i="2"/>
  <c r="U1031" i="2" s="1"/>
  <c r="O813" i="2"/>
  <c r="T605" i="2"/>
  <c r="U605" i="2" s="1"/>
  <c r="T1251" i="2"/>
  <c r="U1251" i="2" s="1"/>
  <c r="O178" i="2"/>
  <c r="T1440" i="2"/>
  <c r="U1440" i="2" s="1"/>
  <c r="T1840" i="2"/>
  <c r="U1840" i="2" s="1"/>
  <c r="T1337" i="2"/>
  <c r="U1337" i="2" s="1"/>
  <c r="T355" i="2"/>
  <c r="U355" i="2" s="1"/>
  <c r="T1721" i="2"/>
  <c r="U1721" i="2" s="1"/>
  <c r="T1286" i="2"/>
  <c r="U1286" i="2" s="1"/>
  <c r="T811" i="2"/>
  <c r="U811" i="2" s="1"/>
  <c r="T915" i="2"/>
  <c r="U915" i="2" s="1"/>
  <c r="O1275" i="2"/>
  <c r="T1029" i="2"/>
  <c r="U1029" i="2" s="1"/>
  <c r="T816" i="2"/>
  <c r="U816" i="2" s="1"/>
  <c r="T785" i="2"/>
  <c r="U785" i="2" s="1"/>
  <c r="T122" i="2"/>
  <c r="U122" i="2" s="1"/>
  <c r="T390" i="2"/>
  <c r="U390" i="2" s="1"/>
  <c r="O386" i="2"/>
  <c r="T1602" i="2"/>
  <c r="U1602" i="2" s="1"/>
  <c r="T1164" i="2"/>
  <c r="U1164" i="2" s="1"/>
  <c r="T461" i="2"/>
  <c r="U461" i="2" s="1"/>
  <c r="T667" i="2"/>
  <c r="U667" i="2" s="1"/>
  <c r="T1378" i="2"/>
  <c r="U1378" i="2" s="1"/>
  <c r="T1393" i="2"/>
  <c r="U1393" i="2" s="1"/>
  <c r="T1818" i="2"/>
  <c r="U1818" i="2" s="1"/>
  <c r="T1139" i="2"/>
  <c r="U1139" i="2" s="1"/>
  <c r="O1724" i="2"/>
  <c r="O1845" i="2"/>
  <c r="O504" i="2"/>
  <c r="T343" i="2"/>
  <c r="U343" i="2" s="1"/>
  <c r="T37" i="2"/>
  <c r="U37" i="2" s="1"/>
  <c r="T951" i="2"/>
  <c r="U951" i="2" s="1"/>
  <c r="T586" i="2"/>
  <c r="U586" i="2" s="1"/>
  <c r="T1419" i="2"/>
  <c r="U1419" i="2" s="1"/>
  <c r="T581" i="2"/>
  <c r="U581" i="2" s="1"/>
  <c r="T1794" i="2"/>
  <c r="U1794" i="2" s="1"/>
  <c r="T1370" i="2"/>
  <c r="U1370" i="2" s="1"/>
  <c r="T869" i="2"/>
  <c r="U869" i="2" s="1"/>
  <c r="T1422" i="2"/>
  <c r="U1422" i="2" s="1"/>
  <c r="T213" i="2"/>
  <c r="U213" i="2" s="1"/>
  <c r="O1697" i="2"/>
  <c r="O1595" i="2"/>
  <c r="O1001" i="2"/>
  <c r="O1261" i="2"/>
  <c r="T485" i="2"/>
  <c r="U485" i="2" s="1"/>
  <c r="T118" i="2"/>
  <c r="U118" i="2" s="1"/>
  <c r="T1374" i="2"/>
  <c r="U1374" i="2" s="1"/>
  <c r="T228" i="2"/>
  <c r="U228" i="2" s="1"/>
  <c r="T1169" i="2"/>
  <c r="U1169" i="2" s="1"/>
  <c r="T1621" i="2"/>
  <c r="U1621" i="2" s="1"/>
  <c r="T1208" i="2"/>
  <c r="U1208" i="2" s="1"/>
  <c r="T1040" i="2"/>
  <c r="U1040" i="2" s="1"/>
  <c r="T846" i="2"/>
  <c r="U846" i="2" s="1"/>
  <c r="O411" i="2"/>
  <c r="T686" i="2"/>
  <c r="U686" i="2" s="1"/>
  <c r="T1749" i="2"/>
  <c r="U1749" i="2" s="1"/>
  <c r="T1677" i="2"/>
  <c r="U1677" i="2" s="1"/>
  <c r="T1323" i="2"/>
  <c r="U1323" i="2" s="1"/>
  <c r="T1128" i="2"/>
  <c r="U1128" i="2" s="1"/>
  <c r="T527" i="2"/>
  <c r="U527" i="2" s="1"/>
  <c r="T1024" i="2"/>
  <c r="U1024" i="2" s="1"/>
  <c r="T1472" i="2"/>
  <c r="U1472" i="2" s="1"/>
  <c r="O1398" i="2"/>
  <c r="O385" i="2"/>
  <c r="O547" i="2"/>
  <c r="O1853" i="2"/>
  <c r="O127" i="2"/>
  <c r="T134" i="2"/>
  <c r="U134" i="2" s="1"/>
  <c r="T1346" i="2"/>
  <c r="U1346" i="2" s="1"/>
  <c r="T1083" i="2"/>
  <c r="U1083" i="2" s="1"/>
  <c r="T1030" i="2"/>
  <c r="U1030" i="2" s="1"/>
  <c r="T1775" i="2"/>
  <c r="U1775" i="2" s="1"/>
  <c r="T284" i="2"/>
  <c r="U284" i="2" s="1"/>
  <c r="T984" i="2"/>
  <c r="U984" i="2" s="1"/>
  <c r="T1172" i="2"/>
  <c r="U1172" i="2" s="1"/>
  <c r="T1764" i="2"/>
  <c r="U1764" i="2" s="1"/>
  <c r="T1372" i="2"/>
  <c r="U1372" i="2" s="1"/>
  <c r="O17" i="2"/>
  <c r="O235" i="2"/>
  <c r="O672" i="2"/>
  <c r="T1006" i="2"/>
  <c r="U1006" i="2" s="1"/>
  <c r="T1740" i="2"/>
  <c r="U1740" i="2" s="1"/>
  <c r="T616" i="2"/>
  <c r="U616" i="2" s="1"/>
  <c r="T1611" i="2"/>
  <c r="U1611" i="2" s="1"/>
  <c r="T441" i="2"/>
  <c r="U441" i="2" s="1"/>
  <c r="T1446" i="2"/>
  <c r="U1446" i="2" s="1"/>
  <c r="T1211" i="2"/>
  <c r="U1211" i="2" s="1"/>
  <c r="O77" i="2"/>
  <c r="O271" i="2"/>
  <c r="O234" i="2"/>
  <c r="T80" i="2"/>
  <c r="U80" i="2" s="1"/>
  <c r="T878" i="2"/>
  <c r="U878" i="2" s="1"/>
  <c r="T1130" i="2"/>
  <c r="U1130" i="2" s="1"/>
  <c r="T1848" i="2"/>
  <c r="U1848" i="2" s="1"/>
  <c r="T849" i="2"/>
  <c r="U849" i="2" s="1"/>
  <c r="T665" i="2"/>
  <c r="U665" i="2" s="1"/>
  <c r="T1746" i="2"/>
  <c r="U1746" i="2" s="1"/>
  <c r="T1388" i="2"/>
  <c r="U1388" i="2" s="1"/>
  <c r="T1788" i="2"/>
  <c r="U1788" i="2" s="1"/>
  <c r="T1671" i="2"/>
  <c r="U1671" i="2" s="1"/>
  <c r="O254" i="2"/>
  <c r="O572" i="2"/>
  <c r="O653" i="2"/>
  <c r="O786" i="2"/>
  <c r="O1766" i="2"/>
  <c r="T1392" i="2"/>
  <c r="U1392" i="2" s="1"/>
  <c r="T78" i="2"/>
  <c r="U78" i="2" s="1"/>
  <c r="T591" i="2"/>
  <c r="U591" i="2" s="1"/>
  <c r="T551" i="2"/>
  <c r="U551" i="2" s="1"/>
  <c r="T177" i="2"/>
  <c r="U177" i="2" s="1"/>
  <c r="T862" i="2"/>
  <c r="U862" i="2" s="1"/>
  <c r="T1171" i="2"/>
  <c r="U1171" i="2" s="1"/>
  <c r="T187" i="2"/>
  <c r="U187" i="2" s="1"/>
  <c r="T679" i="2"/>
  <c r="U679" i="2" s="1"/>
  <c r="O2" i="2"/>
  <c r="O684" i="2"/>
  <c r="O879" i="2"/>
  <c r="O1652" i="2"/>
  <c r="T757" i="2"/>
  <c r="T1686" i="2"/>
  <c r="U1686" i="2" s="1"/>
  <c r="O723" i="2"/>
  <c r="T752" i="2"/>
  <c r="O1499" i="2"/>
  <c r="T160" i="2"/>
  <c r="U160" i="2" s="1"/>
  <c r="O822" i="2"/>
  <c r="O808" i="2"/>
  <c r="O1589" i="2"/>
  <c r="T29" i="2"/>
  <c r="U29" i="2" s="1"/>
  <c r="O1184" i="2"/>
  <c r="O1021" i="2"/>
  <c r="T702" i="2"/>
  <c r="U702" i="2" s="1"/>
  <c r="T237" i="2"/>
  <c r="U237" i="2" s="1"/>
  <c r="T857" i="2"/>
  <c r="U857" i="2" s="1"/>
  <c r="T690" i="2"/>
  <c r="U690" i="2" s="1"/>
  <c r="T1429" i="2"/>
  <c r="U1429" i="2" s="1"/>
  <c r="T728" i="2"/>
  <c r="U728" i="2" s="1"/>
  <c r="T787" i="2"/>
  <c r="U787" i="2" s="1"/>
  <c r="T623" i="2"/>
  <c r="U623" i="2" s="1"/>
  <c r="T940" i="2"/>
  <c r="U940" i="2" s="1"/>
  <c r="T90" i="2"/>
  <c r="U90" i="2" s="1"/>
  <c r="T392" i="2"/>
  <c r="U392" i="2" s="1"/>
  <c r="T79" i="2"/>
  <c r="U79" i="2" s="1"/>
  <c r="T1353" i="2"/>
  <c r="U1353" i="2" s="1"/>
  <c r="T1846" i="2"/>
  <c r="U1846" i="2" s="1"/>
  <c r="T639" i="2"/>
  <c r="U639" i="2" s="1"/>
  <c r="T983" i="2"/>
  <c r="U983" i="2" s="1"/>
  <c r="T1505" i="2"/>
  <c r="U1505" i="2" s="1"/>
  <c r="T1491" i="2"/>
  <c r="U1491" i="2" s="1"/>
  <c r="T1010" i="2"/>
  <c r="U1010" i="2" s="1"/>
  <c r="P794" i="2"/>
  <c r="O794" i="2" s="1"/>
  <c r="O791" i="2"/>
  <c r="O829" i="2"/>
  <c r="O38" i="2"/>
  <c r="O1826" i="2"/>
  <c r="O1553" i="2"/>
  <c r="O1606" i="2"/>
  <c r="O1609" i="2"/>
  <c r="O1704" i="2"/>
  <c r="O61" i="2"/>
  <c r="O34" i="2"/>
  <c r="O58" i="2"/>
  <c r="O713" i="2"/>
  <c r="O833" i="2"/>
  <c r="O99" i="2"/>
  <c r="O754" i="2"/>
  <c r="O1138" i="2"/>
  <c r="O511" i="2"/>
  <c r="O1259" i="2"/>
  <c r="O1008" i="2"/>
  <c r="O1466" i="2"/>
  <c r="O592" i="2"/>
  <c r="O402" i="2"/>
  <c r="O1301" i="2"/>
  <c r="O1486" i="2"/>
  <c r="O1473" i="2"/>
  <c r="O590" i="2"/>
  <c r="O1312" i="2"/>
  <c r="O125" i="2"/>
  <c r="O1306" i="2"/>
  <c r="O1452" i="2"/>
  <c r="O1143" i="2"/>
  <c r="O830" i="2"/>
  <c r="O169" i="2"/>
  <c r="O1503" i="2"/>
  <c r="O1558" i="2"/>
  <c r="O1334" i="2"/>
  <c r="O814" i="2"/>
  <c r="O742" i="2"/>
  <c r="O999" i="2"/>
  <c r="O650" i="2"/>
  <c r="O1629" i="2"/>
  <c r="O763" i="2"/>
  <c r="O1711" i="2"/>
  <c r="O589" i="2"/>
  <c r="O1654" i="2"/>
  <c r="O870" i="2"/>
  <c r="O333" i="2"/>
  <c r="O1765" i="2"/>
  <c r="O1515" i="2"/>
  <c r="O463" i="2"/>
  <c r="O1304" i="2"/>
  <c r="O640" i="2"/>
  <c r="O1725" i="2"/>
  <c r="O775" i="2"/>
  <c r="O1258" i="2"/>
  <c r="O885" i="2"/>
  <c r="O853" i="2"/>
  <c r="O1807" i="2"/>
  <c r="O1406" i="2"/>
  <c r="O155" i="2"/>
  <c r="O1007" i="2"/>
  <c r="O236" i="2"/>
  <c r="O1601" i="2"/>
  <c r="O1767" i="2"/>
  <c r="O942" i="2"/>
  <c r="O1731" i="2"/>
  <c r="O1202" i="2"/>
  <c r="O510" i="2"/>
  <c r="O655" i="2"/>
  <c r="O1454" i="2"/>
  <c r="O1488" i="2"/>
  <c r="O1526" i="2"/>
  <c r="O1605" i="2"/>
  <c r="O1324" i="2"/>
  <c r="O578" i="2"/>
  <c r="O1330" i="2"/>
  <c r="O970" i="2"/>
  <c r="O513" i="2"/>
  <c r="O1076" i="2"/>
  <c r="O255" i="2"/>
  <c r="O1297" i="2"/>
  <c r="O33" i="2"/>
  <c r="O825" i="2"/>
  <c r="O1795" i="2"/>
  <c r="O307" i="2"/>
  <c r="O67" i="2"/>
  <c r="O164" i="2"/>
  <c r="O407" i="2"/>
  <c r="O1483" i="2"/>
  <c r="O18" i="2"/>
  <c r="O685" i="2"/>
  <c r="O927" i="2"/>
  <c r="O165" i="2"/>
  <c r="O539" i="2"/>
  <c r="O1702" i="2"/>
  <c r="O1050" i="2"/>
  <c r="O291" i="2"/>
  <c r="O128" i="2"/>
  <c r="O1723" i="2"/>
  <c r="O4" i="2"/>
  <c r="O1403" i="2"/>
  <c r="O964" i="2"/>
  <c r="O1194" i="2"/>
  <c r="O273" i="2"/>
  <c r="O1248" i="2"/>
  <c r="O306" i="2"/>
  <c r="O259" i="2"/>
  <c r="O637" i="2"/>
  <c r="O238" i="2"/>
  <c r="O1369" i="2"/>
  <c r="O562" i="2"/>
  <c r="O1168" i="2"/>
  <c r="O820" i="2"/>
  <c r="O1109" i="2"/>
  <c r="O670" i="2"/>
  <c r="O1289" i="2"/>
  <c r="O579" i="2"/>
  <c r="O959" i="2"/>
  <c r="O415" i="2"/>
  <c r="O1776" i="2"/>
  <c r="O949" i="2"/>
  <c r="O405" i="2"/>
  <c r="O359" i="2"/>
  <c r="O302" i="2"/>
  <c r="O218" i="2"/>
  <c r="O369" i="2"/>
  <c r="O931" i="2"/>
  <c r="O1684" i="2"/>
  <c r="O39" i="2"/>
  <c r="O35" i="2"/>
  <c r="O1467" i="2"/>
  <c r="O482" i="2"/>
  <c r="O121" i="2"/>
  <c r="O972" i="2"/>
  <c r="O1209" i="2"/>
  <c r="O961" i="2"/>
  <c r="O944" i="2"/>
  <c r="O538" i="2"/>
  <c r="O114" i="2"/>
  <c r="O1132" i="2"/>
  <c r="O1203" i="2"/>
  <c r="O588" i="2"/>
  <c r="O456" i="2"/>
  <c r="O850" i="2"/>
  <c r="O1514" i="2"/>
  <c r="O1283" i="2"/>
  <c r="O1707" i="2"/>
  <c r="O1255" i="2"/>
  <c r="O648" i="2"/>
  <c r="O1562" i="2"/>
  <c r="O1410" i="2"/>
  <c r="O1425" i="2"/>
  <c r="O1048" i="2"/>
  <c r="T1471" i="2"/>
  <c r="U1471" i="2" s="1"/>
  <c r="T400" i="2"/>
  <c r="U400" i="2" s="1"/>
  <c r="T1637" i="2"/>
  <c r="U1637" i="2" s="1"/>
  <c r="T327" i="2"/>
  <c r="U327" i="2" s="1"/>
  <c r="T296" i="2"/>
  <c r="U296" i="2" s="1"/>
  <c r="T783" i="2"/>
  <c r="U783" i="2" s="1"/>
  <c r="T495" i="2"/>
  <c r="U495" i="2" s="1"/>
  <c r="T1455" i="2"/>
  <c r="U1455" i="2" s="1"/>
  <c r="T1187" i="2"/>
  <c r="U1187" i="2" s="1"/>
  <c r="T658" i="2"/>
  <c r="U658" i="2" s="1"/>
  <c r="T1506" i="2"/>
  <c r="U1506" i="2" s="1"/>
  <c r="T1043" i="2"/>
  <c r="U1043" i="2" s="1"/>
  <c r="T1719" i="2"/>
  <c r="U1719" i="2" s="1"/>
  <c r="T1442" i="2"/>
  <c r="U1442" i="2" s="1"/>
  <c r="T1478" i="2"/>
  <c r="U1478" i="2" s="1"/>
  <c r="T680" i="2"/>
  <c r="U680" i="2" s="1"/>
  <c r="T1377" i="2"/>
  <c r="U1377" i="2" s="1"/>
  <c r="T247" i="2"/>
  <c r="U247" i="2" s="1"/>
  <c r="T168" i="2"/>
  <c r="U168" i="2" s="1"/>
  <c r="T721" i="2"/>
  <c r="U721" i="2" s="1"/>
  <c r="T1550" i="2"/>
  <c r="U1550" i="2" s="1"/>
  <c r="T921" i="2"/>
  <c r="U921" i="2" s="1"/>
  <c r="T993" i="2"/>
  <c r="U993" i="2" s="1"/>
  <c r="T393" i="2"/>
  <c r="U393" i="2" s="1"/>
  <c r="T749" i="2"/>
  <c r="U749" i="2" s="1"/>
  <c r="T855" i="2"/>
  <c r="U855" i="2" s="1"/>
  <c r="T990" i="2"/>
  <c r="U990" i="2" s="1"/>
  <c r="T1360" i="2"/>
  <c r="U1360" i="2" s="1"/>
  <c r="T124" i="2"/>
  <c r="U124" i="2" s="1"/>
  <c r="T59" i="2"/>
  <c r="U59" i="2" s="1"/>
  <c r="T1759" i="2"/>
  <c r="U1759" i="2" s="1"/>
  <c r="T1743" i="2"/>
  <c r="U1743" i="2" s="1"/>
  <c r="T841" i="2"/>
  <c r="U841" i="2" s="1"/>
  <c r="T1319" i="2"/>
  <c r="U1319" i="2" s="1"/>
  <c r="T499" i="2"/>
  <c r="U499" i="2" s="1"/>
  <c r="T652" i="2"/>
  <c r="U652" i="2" s="1"/>
  <c r="T64" i="2"/>
  <c r="U64" i="2" s="1"/>
  <c r="T1150" i="2"/>
  <c r="U1150" i="2" s="1"/>
  <c r="T1727" i="2"/>
  <c r="U1727" i="2" s="1"/>
  <c r="T1046" i="2"/>
  <c r="U1046" i="2" s="1"/>
  <c r="T737" i="2"/>
  <c r="U737" i="2" s="1"/>
  <c r="T985" i="2"/>
  <c r="U985" i="2" s="1"/>
  <c r="T86" i="2"/>
  <c r="U86" i="2" s="1"/>
  <c r="T548" i="2"/>
  <c r="U548" i="2" s="1"/>
  <c r="T844" i="2"/>
  <c r="U844" i="2" s="1"/>
  <c r="T1726" i="2"/>
  <c r="U1726" i="2" s="1"/>
  <c r="T1824" i="2"/>
  <c r="U1824" i="2" s="1"/>
  <c r="T196" i="2"/>
  <c r="U196" i="2" s="1"/>
  <c r="T626" i="2"/>
  <c r="U626" i="2" s="1"/>
  <c r="T1827" i="2"/>
  <c r="U1827" i="2" s="1"/>
  <c r="T1098" i="2"/>
  <c r="U1098" i="2" s="1"/>
  <c r="T1739" i="2"/>
  <c r="U1739" i="2" s="1"/>
  <c r="T997" i="2"/>
  <c r="U997" i="2" s="1"/>
  <c r="T1292" i="2"/>
  <c r="U1292" i="2" s="1"/>
  <c r="T563" i="2"/>
  <c r="U563" i="2" s="1"/>
  <c r="T1036" i="2"/>
  <c r="T1409" i="2"/>
  <c r="T1418" i="2"/>
  <c r="U1418" i="2" s="1"/>
  <c r="T1737" i="2"/>
  <c r="U1737" i="2" s="1"/>
  <c r="T1291" i="2"/>
  <c r="U1291" i="2" s="1"/>
  <c r="T1405" i="2"/>
  <c r="U1405" i="2" s="1"/>
  <c r="T1545" i="2"/>
  <c r="U1545" i="2" s="1"/>
  <c r="T312" i="2"/>
  <c r="U312" i="2" s="1"/>
  <c r="T106" i="2"/>
  <c r="T1590" i="2"/>
  <c r="U1590" i="2" s="1"/>
  <c r="T1086" i="2"/>
  <c r="U1086" i="2" s="1"/>
  <c r="T267" i="2"/>
  <c r="U267" i="2" s="1"/>
  <c r="T277" i="2"/>
  <c r="U277" i="2" s="1"/>
  <c r="T1163" i="2"/>
  <c r="U1163" i="2" s="1"/>
  <c r="T1173" i="2"/>
  <c r="U1173" i="2" s="1"/>
  <c r="T654" i="2"/>
  <c r="U654" i="2" s="1"/>
  <c r="T159" i="2"/>
  <c r="U159" i="2" s="1"/>
  <c r="T827" i="2"/>
  <c r="U827" i="2" s="1"/>
  <c r="T1022" i="2"/>
  <c r="U1022" i="2" s="1"/>
  <c r="T137" i="2"/>
  <c r="U137" i="2" s="1"/>
  <c r="T1356" i="2"/>
  <c r="U1356" i="2" s="1"/>
  <c r="T54" i="2"/>
  <c r="U54" i="2" s="1"/>
  <c r="T1812" i="2"/>
  <c r="U1812" i="2" s="1"/>
  <c r="T1152" i="2"/>
  <c r="U1152" i="2" s="1"/>
  <c r="T131" i="2"/>
  <c r="U131" i="2" s="1"/>
  <c r="T329" i="2"/>
  <c r="U329" i="2" s="1"/>
  <c r="T858" i="2"/>
  <c r="U858" i="2" s="1"/>
  <c r="T1361" i="2"/>
  <c r="U1361" i="2" s="1"/>
  <c r="T646" i="2"/>
  <c r="U646" i="2" s="1"/>
  <c r="T1437" i="2"/>
  <c r="U1437" i="2" s="1"/>
  <c r="T882" i="2"/>
  <c r="U882" i="2" s="1"/>
  <c r="T11" i="2"/>
  <c r="U11" i="2" s="1"/>
  <c r="T1780" i="2"/>
  <c r="U1780" i="2" s="1"/>
  <c r="T810" i="2"/>
  <c r="U810" i="2" s="1"/>
  <c r="T211" i="2"/>
  <c r="U211" i="2" s="1"/>
  <c r="T14" i="2"/>
  <c r="U14" i="2" s="1"/>
  <c r="T1804" i="2"/>
  <c r="U1804" i="2" s="1"/>
  <c r="T206" i="2"/>
  <c r="U206" i="2" s="1"/>
  <c r="T695" i="2"/>
  <c r="U695" i="2" s="1"/>
  <c r="T373" i="2"/>
  <c r="U373" i="2" s="1"/>
  <c r="T136" i="2"/>
  <c r="U136" i="2" s="1"/>
  <c r="T770" i="2"/>
  <c r="U770" i="2" s="1"/>
  <c r="T1561" i="2"/>
  <c r="U1561" i="2" s="1"/>
  <c r="T375" i="2"/>
  <c r="U375" i="2" s="1"/>
  <c r="T156" i="2"/>
  <c r="U156" i="2" s="1"/>
  <c r="T1781" i="2"/>
  <c r="U1781" i="2" s="1"/>
  <c r="T1314" i="2"/>
  <c r="U1314" i="2" s="1"/>
  <c r="T809" i="2"/>
  <c r="U809" i="2" s="1"/>
  <c r="T743" i="2"/>
  <c r="U743" i="2" s="1"/>
  <c r="T352" i="2"/>
  <c r="U352" i="2" s="1"/>
  <c r="T1147" i="2"/>
  <c r="U1147" i="2" s="1"/>
  <c r="T74" i="2"/>
  <c r="U74" i="2" s="1"/>
  <c r="P1081" i="2"/>
  <c r="O1081" i="2" s="1"/>
  <c r="P1742" i="2"/>
  <c r="O1742" i="2" s="1"/>
  <c r="P1191" i="2"/>
  <c r="O1191" i="2" s="1"/>
  <c r="P1817" i="2"/>
  <c r="O1817" i="2" s="1"/>
  <c r="P1400" i="2"/>
  <c r="O1400" i="2" s="1"/>
  <c r="P1603" i="2"/>
  <c r="O1603" i="2" s="1"/>
  <c r="P1217" i="2"/>
  <c r="O1217" i="2" s="1"/>
  <c r="P1511" i="2"/>
  <c r="O1511" i="2" s="1"/>
  <c r="P790" i="2"/>
  <c r="O790" i="2" s="1"/>
  <c r="P1592" i="2"/>
  <c r="O1592" i="2" s="1"/>
  <c r="P1573" i="2"/>
  <c r="O1573" i="2" s="1"/>
  <c r="P1617" i="2"/>
  <c r="O1617" i="2" s="1"/>
  <c r="P1456" i="2"/>
  <c r="O1456" i="2" s="1"/>
  <c r="P1102" i="2"/>
  <c r="O1102" i="2" s="1"/>
  <c r="P522" i="2"/>
  <c r="O522" i="2" s="1"/>
  <c r="P1646" i="2"/>
  <c r="O1646" i="2" s="1"/>
  <c r="P1342" i="2"/>
  <c r="O1342" i="2" s="1"/>
  <c r="P924" i="2"/>
  <c r="O924" i="2" s="1"/>
  <c r="P82" i="2"/>
  <c r="O82" i="2" s="1"/>
  <c r="P636" i="2"/>
  <c r="O636" i="2" s="1"/>
  <c r="P448" i="2"/>
  <c r="O448" i="2" s="1"/>
  <c r="P1763" i="2"/>
  <c r="O1763" i="2" s="1"/>
  <c r="P1326" i="2"/>
  <c r="O1326" i="2" s="1"/>
  <c r="P804" i="2"/>
  <c r="O804" i="2" s="1"/>
  <c r="P321" i="2"/>
  <c r="O321" i="2" s="1"/>
  <c r="P338" i="2"/>
  <c r="O338" i="2" s="1"/>
  <c r="P738" i="2"/>
  <c r="O738" i="2" s="1"/>
  <c r="P1141" i="2"/>
  <c r="O1141" i="2" s="1"/>
  <c r="P1129" i="2"/>
  <c r="O1129" i="2" s="1"/>
  <c r="P1051" i="2"/>
  <c r="O1051" i="2" s="1"/>
  <c r="P1620" i="2"/>
  <c r="O1620" i="2" s="1"/>
  <c r="P1434" i="2"/>
  <c r="O1434" i="2" s="1"/>
  <c r="P774" i="2"/>
  <c r="O774" i="2" s="1"/>
  <c r="P455" i="2"/>
  <c r="O455" i="2" s="1"/>
  <c r="P1395" i="2"/>
  <c r="O1395" i="2" s="1"/>
  <c r="P776" i="2"/>
  <c r="O776" i="2" s="1"/>
  <c r="P193" i="2"/>
  <c r="O193" i="2" s="1"/>
  <c r="P1733" i="2"/>
  <c r="O1733" i="2" s="1"/>
  <c r="P1371" i="2"/>
  <c r="O1371" i="2" s="1"/>
  <c r="P1011" i="2"/>
  <c r="O1011" i="2" s="1"/>
  <c r="P1570" i="2"/>
  <c r="O1570" i="2" s="1"/>
  <c r="P396" i="2"/>
  <c r="O396" i="2" s="1"/>
  <c r="P419" i="2"/>
  <c r="O419" i="2" s="1"/>
  <c r="P1660" i="2"/>
  <c r="O1660" i="2" s="1"/>
  <c r="P1099" i="2"/>
  <c r="O1099" i="2" s="1"/>
  <c r="P1751" i="2"/>
  <c r="O1751" i="2" s="1"/>
  <c r="P1678" i="2"/>
  <c r="O1678" i="2" s="1"/>
  <c r="P1373" i="2"/>
  <c r="O1373" i="2" s="1"/>
  <c r="P368" i="2"/>
  <c r="O368" i="2" s="1"/>
  <c r="P1785" i="2"/>
  <c r="O1785" i="2" s="1"/>
  <c r="P71" i="2"/>
  <c r="O71" i="2" s="1"/>
  <c r="P1016" i="2"/>
  <c r="O1016" i="2" s="1"/>
  <c r="P85" i="2"/>
  <c r="O85" i="2" s="1"/>
  <c r="P1855" i="2"/>
  <c r="O1855" i="2" s="1"/>
  <c r="P1825" i="2"/>
  <c r="O1825" i="2" s="1"/>
  <c r="P1732" i="2"/>
  <c r="O1732" i="2" s="1"/>
  <c r="P746" i="2"/>
  <c r="O746" i="2" s="1"/>
  <c r="P1798" i="2"/>
  <c r="O1798" i="2" s="1"/>
  <c r="P631" i="2"/>
  <c r="O631" i="2" s="1"/>
  <c r="P975" i="2"/>
  <c r="O975" i="2" s="1"/>
  <c r="P957" i="2"/>
  <c r="O957" i="2" s="1"/>
  <c r="P180" i="2"/>
  <c r="O180" i="2" s="1"/>
  <c r="P410" i="2"/>
  <c r="O410" i="2" s="1"/>
  <c r="P1247" i="2"/>
  <c r="O1247" i="2" s="1"/>
  <c r="P599" i="2"/>
  <c r="O599" i="2" s="1"/>
  <c r="P1771" i="2"/>
  <c r="O1771" i="2" s="1"/>
  <c r="P772" i="2"/>
  <c r="O772" i="2" s="1"/>
  <c r="P377" i="2"/>
  <c r="O377" i="2" s="1"/>
  <c r="P1753" i="2"/>
  <c r="O1753" i="2" s="1"/>
  <c r="P1123" i="2"/>
  <c r="O1123" i="2" s="1"/>
  <c r="P867" i="2"/>
  <c r="O867" i="2" s="1"/>
  <c r="P1226" i="2"/>
  <c r="O1226" i="2" s="1"/>
  <c r="P1309" i="2"/>
  <c r="O1309" i="2" s="1"/>
  <c r="P958" i="2"/>
  <c r="O958" i="2" s="1"/>
  <c r="P221" i="2"/>
  <c r="O221" i="2" s="1"/>
  <c r="P460" i="2"/>
  <c r="O460" i="2" s="1"/>
  <c r="P65" i="2"/>
  <c r="O65" i="2" s="1"/>
  <c r="P1117" i="2"/>
  <c r="O1117" i="2" s="1"/>
  <c r="P163" i="2"/>
  <c r="O163" i="2" s="1"/>
  <c r="P515" i="2"/>
  <c r="O515" i="2" s="1"/>
  <c r="P1495" i="2"/>
  <c r="O1495" i="2" s="1"/>
  <c r="P186" i="2"/>
  <c r="O186" i="2" s="1"/>
  <c r="P1837" i="2"/>
  <c r="O1837" i="2" s="1"/>
  <c r="P261" i="2"/>
  <c r="O261" i="2" s="1"/>
  <c r="P310" i="2"/>
  <c r="O310" i="2" s="1"/>
  <c r="P1311" i="2"/>
  <c r="O1311" i="2" s="1"/>
  <c r="P214" i="2"/>
  <c r="O214" i="2" s="1"/>
  <c r="P1800" i="2"/>
  <c r="O1800" i="2" s="1"/>
  <c r="P1554" i="2"/>
  <c r="O1554" i="2" s="1"/>
  <c r="P1047" i="2"/>
  <c r="O1047" i="2" s="1"/>
  <c r="P852" i="2"/>
  <c r="O852" i="2" s="1"/>
  <c r="P203" i="2"/>
  <c r="O203" i="2" s="1"/>
  <c r="P1849" i="2"/>
  <c r="O1849" i="2" s="1"/>
  <c r="P1480" i="2"/>
  <c r="O1480" i="2" s="1"/>
  <c r="P1608" i="2"/>
  <c r="O1608" i="2" s="1"/>
  <c r="P130" i="2"/>
  <c r="O130" i="2" s="1"/>
  <c r="P1482" i="2"/>
  <c r="O1482" i="2" s="1"/>
  <c r="P628" i="2"/>
  <c r="O628" i="2" s="1"/>
  <c r="P167" i="2"/>
  <c r="O167" i="2" s="1"/>
  <c r="P1744" i="2"/>
  <c r="O1744" i="2" s="1"/>
  <c r="P403" i="2"/>
  <c r="O403" i="2" s="1"/>
  <c r="P745" i="2"/>
  <c r="O745" i="2" s="1"/>
  <c r="P1359" i="2"/>
  <c r="O1359" i="2" s="1"/>
  <c r="P1432" i="2"/>
  <c r="O1432" i="2" s="1"/>
  <c r="P537" i="2"/>
  <c r="O537" i="2" s="1"/>
  <c r="P1806" i="2"/>
  <c r="O1806" i="2" s="1"/>
  <c r="P930" i="2"/>
  <c r="O930" i="2" s="1"/>
  <c r="P162" i="2"/>
  <c r="O162" i="2" s="1"/>
  <c r="P597" i="2"/>
  <c r="O597" i="2" s="1"/>
  <c r="P1843" i="2"/>
  <c r="O1843" i="2" s="1"/>
  <c r="P521" i="2"/>
  <c r="O521" i="2" s="1"/>
  <c r="P925" i="2"/>
  <c r="O925" i="2" s="1"/>
  <c r="P920" i="2"/>
  <c r="O920" i="2" s="1"/>
  <c r="P1498" i="2"/>
  <c r="O1498" i="2" s="1"/>
  <c r="P558" i="2"/>
  <c r="O558" i="2" s="1"/>
  <c r="P554" i="2"/>
  <c r="O554" i="2" s="1"/>
  <c r="P1352" i="2"/>
  <c r="O1352" i="2" s="1"/>
  <c r="P126" i="2"/>
  <c r="O126" i="2" s="1"/>
  <c r="P144" i="2"/>
  <c r="O144" i="2" s="1"/>
  <c r="P1091" i="2"/>
  <c r="O1091" i="2" s="1"/>
  <c r="P1600" i="2"/>
  <c r="O1600" i="2" s="1"/>
  <c r="P142" i="2"/>
  <c r="O142" i="2" s="1"/>
  <c r="P697" i="2"/>
  <c r="O697" i="2" s="1"/>
  <c r="P501" i="2"/>
  <c r="O501" i="2" s="1"/>
  <c r="P347" i="2"/>
  <c r="O347" i="2" s="1"/>
  <c r="P606" i="2"/>
  <c r="O606" i="2" s="1"/>
  <c r="P1340" i="2"/>
  <c r="O1340" i="2" s="1"/>
  <c r="P1693" i="2"/>
  <c r="O1693" i="2" s="1"/>
  <c r="P1055" i="2"/>
  <c r="O1055" i="2" s="1"/>
  <c r="P1643" i="2"/>
  <c r="O1643" i="2" s="1"/>
  <c r="P1597" i="2"/>
  <c r="O1597" i="2" s="1"/>
  <c r="P1351" i="2"/>
  <c r="O1351" i="2" s="1"/>
  <c r="P331" i="2"/>
  <c r="O331" i="2" s="1"/>
  <c r="P1583" i="2"/>
  <c r="O1583" i="2" s="1"/>
  <c r="P1633" i="2"/>
  <c r="O1633" i="2" s="1"/>
  <c r="P219" i="2"/>
  <c r="O219" i="2" s="1"/>
  <c r="P498" i="2"/>
  <c r="O498" i="2" s="1"/>
  <c r="P1308" i="2"/>
  <c r="O1308" i="2" s="1"/>
  <c r="P755" i="2"/>
  <c r="O755" i="2" s="1"/>
  <c r="P342" i="2"/>
  <c r="O342" i="2" s="1"/>
  <c r="P1833" i="2"/>
  <c r="O1833" i="2" s="1"/>
  <c r="P1287" i="2"/>
  <c r="O1287" i="2" s="1"/>
  <c r="P335" i="2"/>
  <c r="O335" i="2" s="1"/>
  <c r="P1079" i="2"/>
  <c r="O1079" i="2" s="1"/>
  <c r="P1835" i="2"/>
  <c r="O1835" i="2" s="1"/>
  <c r="P1623" i="2"/>
  <c r="O1623" i="2" s="1"/>
  <c r="P1563" i="2"/>
  <c r="O1563" i="2" s="1"/>
  <c r="P1142" i="2"/>
  <c r="O1142" i="2" s="1"/>
  <c r="P1028" i="2"/>
  <c r="O1028" i="2" s="1"/>
  <c r="P283" i="2"/>
  <c r="O283" i="2" s="1"/>
  <c r="P805" i="2"/>
  <c r="O805" i="2" s="1"/>
  <c r="P1274" i="2"/>
  <c r="O1274" i="2" s="1"/>
  <c r="P1057" i="2"/>
  <c r="O1057" i="2" s="1"/>
  <c r="P1615" i="2"/>
  <c r="O1615" i="2" s="1"/>
  <c r="P1282" i="2"/>
  <c r="O1282" i="2" s="1"/>
  <c r="P585" i="2"/>
  <c r="O585" i="2" s="1"/>
  <c r="P1596" i="2"/>
  <c r="O1596" i="2" s="1"/>
  <c r="P490" i="2"/>
  <c r="O490" i="2" s="1"/>
  <c r="P638" i="2"/>
  <c r="O638" i="2" s="1"/>
  <c r="P1797" i="2"/>
  <c r="O1797" i="2" s="1"/>
  <c r="P1056" i="2"/>
  <c r="O1056" i="2" s="1"/>
  <c r="P1120" i="2"/>
  <c r="O1120" i="2" s="1"/>
  <c r="P1642" i="2"/>
  <c r="O1642" i="2" s="1"/>
  <c r="P726" i="2"/>
  <c r="O726" i="2" s="1"/>
  <c r="P140" i="2"/>
  <c r="O140" i="2" s="1"/>
  <c r="P696" i="2"/>
  <c r="O696" i="2" s="1"/>
  <c r="P1539" i="2"/>
  <c r="O1539" i="2" s="1"/>
  <c r="P1339" i="2"/>
  <c r="O1339" i="2" s="1"/>
  <c r="P1531" i="2"/>
  <c r="O1531" i="2" s="1"/>
  <c r="P346" i="2"/>
  <c r="O346" i="2" s="1"/>
  <c r="P322" i="2"/>
  <c r="O322" i="2" s="1"/>
  <c r="P139" i="2"/>
  <c r="O139" i="2" s="1"/>
  <c r="P567" i="2"/>
  <c r="O567" i="2" s="1"/>
  <c r="P533" i="2"/>
  <c r="O533" i="2" s="1"/>
  <c r="P576" i="2"/>
  <c r="O576" i="2" s="1"/>
  <c r="P1431" i="2"/>
  <c r="O1431" i="2" s="1"/>
  <c r="P1225" i="2"/>
  <c r="O1225" i="2" s="1"/>
  <c r="P23" i="2"/>
  <c r="O23" i="2" s="1"/>
  <c r="P1644" i="2"/>
  <c r="O1644" i="2" s="1"/>
  <c r="P1635" i="2"/>
  <c r="O1635" i="2" s="1"/>
  <c r="P788" i="2"/>
  <c r="O788" i="2" s="1"/>
  <c r="P1058" i="2"/>
  <c r="O1058" i="2" s="1"/>
  <c r="P1634" i="2"/>
  <c r="O1634" i="2" s="1"/>
  <c r="P580" i="2"/>
  <c r="O580" i="2" s="1"/>
  <c r="P1832" i="2"/>
  <c r="O1832" i="2" s="1"/>
  <c r="P1668" i="2"/>
  <c r="O1668" i="2" s="1"/>
  <c r="P1645" i="2"/>
  <c r="O1645" i="2" s="1"/>
  <c r="P1075" i="2"/>
  <c r="O1075" i="2" s="1"/>
  <c r="P1649" i="2"/>
  <c r="O1649" i="2" s="1"/>
  <c r="P1343" i="2"/>
  <c r="O1343" i="2" s="1"/>
  <c r="P1263" i="2"/>
  <c r="O1263" i="2" s="1"/>
  <c r="P1100" i="2"/>
  <c r="O1100" i="2" s="1"/>
  <c r="P514" i="2"/>
  <c r="O514" i="2" s="1"/>
  <c r="P1628" i="2"/>
  <c r="O1628" i="2" s="1"/>
  <c r="P929" i="2"/>
  <c r="O929" i="2" s="1"/>
  <c r="P1475" i="2"/>
  <c r="O1475" i="2" s="1"/>
  <c r="P1662" i="2"/>
  <c r="O1662" i="2" s="1"/>
  <c r="P1224" i="2"/>
  <c r="O1224" i="2" s="1"/>
  <c r="P1769" i="2"/>
  <c r="O1769" i="2" s="1"/>
  <c r="P1119" i="2"/>
  <c r="O1119" i="2" s="1"/>
  <c r="P1347" i="2"/>
  <c r="O1347" i="2" s="1"/>
  <c r="P1039" i="2"/>
  <c r="O1039" i="2" s="1"/>
  <c r="P223" i="2"/>
  <c r="O223" i="2" s="1"/>
  <c r="P909" i="2"/>
  <c r="O909" i="2" s="1"/>
  <c r="P760" i="2"/>
  <c r="O760" i="2" s="1"/>
  <c r="P978" i="2"/>
  <c r="O978" i="2" s="1"/>
  <c r="P771" i="2"/>
  <c r="O771" i="2" s="1"/>
  <c r="P1104" i="2"/>
  <c r="O1104" i="2" s="1"/>
  <c r="P768" i="2"/>
  <c r="O768" i="2" s="1"/>
  <c r="P502" i="2"/>
  <c r="O502" i="2" s="1"/>
  <c r="P93" i="2"/>
  <c r="O93" i="2" s="1"/>
  <c r="P995" i="2"/>
  <c r="O995" i="2" s="1"/>
  <c r="P174" i="2"/>
  <c r="O174" i="2" s="1"/>
  <c r="P938" i="2"/>
  <c r="O938" i="2" s="1"/>
  <c r="P968" i="2"/>
  <c r="O968" i="2" s="1"/>
  <c r="P62" i="2"/>
  <c r="O62" i="2" s="1"/>
  <c r="P1348" i="2"/>
  <c r="O1348" i="2" s="1"/>
  <c r="P55" i="2"/>
  <c r="O55" i="2" s="1"/>
  <c r="P1316" i="2"/>
  <c r="O1316" i="2" s="1"/>
  <c r="P397" i="2"/>
  <c r="O397" i="2" s="1"/>
  <c r="P1167" i="2"/>
  <c r="O1167" i="2" s="1"/>
  <c r="P1113" i="2"/>
  <c r="O1113" i="2" s="1"/>
  <c r="P941" i="2"/>
  <c r="O941" i="2" s="1"/>
  <c r="P1045" i="2"/>
  <c r="O1045" i="2" s="1"/>
  <c r="P1160" i="2"/>
  <c r="O1160" i="2" s="1"/>
  <c r="P1115" i="2"/>
  <c r="O1115" i="2" s="1"/>
  <c r="P947" i="2"/>
  <c r="O947" i="2" s="1"/>
  <c r="P1245" i="2"/>
  <c r="O1245" i="2" s="1"/>
  <c r="P531" i="2"/>
  <c r="O531" i="2" s="1"/>
  <c r="P153" i="2"/>
  <c r="O153" i="2" s="1"/>
  <c r="P1159" i="2"/>
  <c r="O1159" i="2" s="1"/>
  <c r="P750" i="2"/>
  <c r="O750" i="2" s="1"/>
  <c r="P1586" i="2"/>
  <c r="O1586" i="2" s="1"/>
  <c r="P500" i="2"/>
  <c r="O500" i="2" s="1"/>
  <c r="P365" i="2"/>
  <c r="O365" i="2" s="1"/>
  <c r="P1487" i="2"/>
  <c r="O1487" i="2" s="1"/>
  <c r="P391" i="2"/>
  <c r="O391" i="2" s="1"/>
  <c r="P1044" i="2"/>
  <c r="O1044" i="2" s="1"/>
  <c r="P1350" i="2"/>
  <c r="O1350" i="2" s="1"/>
  <c r="P1638" i="2"/>
  <c r="O1638" i="2" s="1"/>
  <c r="P806" i="2"/>
  <c r="O806" i="2" s="1"/>
  <c r="P97" i="2"/>
  <c r="O97" i="2" s="1"/>
  <c r="P543" i="2"/>
  <c r="O543" i="2" s="1"/>
  <c r="P226" i="2"/>
  <c r="O226" i="2" s="1"/>
  <c r="P1103" i="2"/>
  <c r="O1103" i="2" s="1"/>
  <c r="P677" i="2"/>
  <c r="O677" i="2" s="1"/>
  <c r="P1015" i="2"/>
  <c r="O1015" i="2" s="1"/>
  <c r="P1484" i="2"/>
  <c r="O1484" i="2" s="1"/>
  <c r="F1" i="20"/>
  <c r="P1049" i="2"/>
  <c r="O1049" i="2" s="1"/>
  <c r="P1770" i="2"/>
  <c r="O1770" i="2" s="1"/>
  <c r="P989" i="2"/>
  <c r="O989" i="2" s="1"/>
  <c r="P132" i="2"/>
  <c r="O132" i="2" s="1"/>
  <c r="P673" i="2"/>
  <c r="O673" i="2" s="1"/>
  <c r="P1712" i="2"/>
  <c r="O1712" i="2" s="1"/>
  <c r="P1474" i="2"/>
  <c r="O1474" i="2" s="1"/>
  <c r="P1779" i="2"/>
  <c r="O1779" i="2" s="1"/>
  <c r="P1485" i="2"/>
  <c r="O1485" i="2" s="1"/>
  <c r="P1703" i="2"/>
  <c r="O1703" i="2" s="1"/>
  <c r="P1038" i="2"/>
  <c r="O1038" i="2" s="1"/>
  <c r="P1682" i="2"/>
  <c r="O1682" i="2" s="1"/>
  <c r="P1074" i="2"/>
  <c r="O1074" i="2" s="1"/>
  <c r="P1349" i="2"/>
  <c r="O1349" i="2" s="1"/>
  <c r="P532" i="2"/>
  <c r="O532" i="2" s="1"/>
  <c r="P950" i="2"/>
  <c r="O950" i="2" s="1"/>
  <c r="P414" i="2"/>
  <c r="O414" i="2" s="1"/>
  <c r="P542" i="2"/>
  <c r="O542" i="2" s="1"/>
  <c r="P349" i="2"/>
  <c r="O349" i="2" s="1"/>
  <c r="P656" i="2"/>
  <c r="O656" i="2" s="1"/>
  <c r="P1313" i="2"/>
  <c r="O1313" i="2" s="1"/>
  <c r="P1453" i="2"/>
  <c r="O1453" i="2" s="1"/>
  <c r="P83" i="2"/>
  <c r="O83" i="2" s="1"/>
  <c r="P467" i="2"/>
  <c r="O467" i="2" s="1"/>
  <c r="P559" i="2"/>
  <c r="O559" i="2" s="1"/>
  <c r="P364" i="2"/>
  <c r="O364" i="2" s="1"/>
  <c r="P1197" i="2"/>
  <c r="O1197" i="2" s="1"/>
  <c r="P1565" i="2"/>
  <c r="O1565" i="2" s="1"/>
  <c r="P761" i="2"/>
  <c r="O761" i="2" s="1"/>
  <c r="P1412" i="2"/>
  <c r="O1412" i="2" s="1"/>
  <c r="P732" i="2"/>
  <c r="O732" i="2" s="1"/>
  <c r="T473" i="2"/>
  <c r="U473" i="2" s="1"/>
  <c r="T194" i="2"/>
  <c r="U194" i="2" s="1"/>
  <c r="T635" i="2"/>
  <c r="U635" i="2" s="1"/>
  <c r="T766" i="2"/>
  <c r="U766" i="2" s="1"/>
  <c r="T902" i="2"/>
  <c r="U902" i="2" s="1"/>
  <c r="T963" i="2"/>
  <c r="U963" i="2" s="1"/>
  <c r="T1389" i="2"/>
  <c r="U1389" i="2" s="1"/>
  <c r="P1549" i="2"/>
  <c r="O1549" i="2" s="1"/>
  <c r="P980" i="2"/>
  <c r="O980" i="2" s="1"/>
  <c r="P1189" i="2"/>
  <c r="O1189" i="2" s="1"/>
  <c r="P724" i="2"/>
  <c r="O724" i="2" s="1"/>
  <c r="P367" i="2"/>
  <c r="O367" i="2" s="1"/>
  <c r="P10" i="2"/>
  <c r="O10" i="2" s="1"/>
  <c r="P908" i="2"/>
  <c r="O908" i="2" s="1"/>
  <c r="P1566" i="2"/>
  <c r="O1566" i="2" s="1"/>
  <c r="P457" i="2"/>
  <c r="O457" i="2" s="1"/>
  <c r="P1133" i="2"/>
  <c r="O1133" i="2" s="1"/>
  <c r="P722" i="2"/>
  <c r="O722" i="2" s="1"/>
  <c r="P1568" i="2"/>
  <c r="O1568" i="2" s="1"/>
  <c r="P459" i="2"/>
  <c r="O459" i="2" s="1"/>
  <c r="P1341" i="2"/>
  <c r="O1341" i="2" s="1"/>
  <c r="P649" i="2"/>
  <c r="O649" i="2" s="1"/>
  <c r="P1448" i="2"/>
  <c r="O1448" i="2" s="1"/>
  <c r="P1857" i="2"/>
  <c r="O1857" i="2" s="1"/>
  <c r="P706" i="2"/>
  <c r="O706" i="2" s="1"/>
  <c r="P1543" i="2"/>
  <c r="O1543" i="2" s="1"/>
  <c r="P152" i="2"/>
  <c r="O152" i="2" s="1"/>
  <c r="P842" i="2"/>
  <c r="O842" i="2" s="1"/>
  <c r="P1669" i="2"/>
  <c r="O1669" i="2" s="1"/>
  <c r="P270" i="2"/>
  <c r="O270" i="2" s="1"/>
  <c r="P1207" i="2"/>
  <c r="O1207" i="2" s="1"/>
  <c r="P612" i="2"/>
  <c r="O612" i="2" s="1"/>
  <c r="P663" i="2"/>
  <c r="O663" i="2" s="1"/>
  <c r="P1357" i="2"/>
  <c r="O1357" i="2" s="1"/>
  <c r="P102" i="2"/>
  <c r="O102" i="2" s="1"/>
  <c r="P773" i="2"/>
  <c r="O773" i="2" s="1"/>
  <c r="P1648" i="2"/>
  <c r="O1648" i="2" s="1"/>
  <c r="P394" i="2"/>
  <c r="O394" i="2" s="1"/>
  <c r="P1213" i="2"/>
  <c r="O1213" i="2" s="1"/>
  <c r="P173" i="2"/>
  <c r="O173" i="2" s="1"/>
  <c r="P1122" i="2"/>
  <c r="O1122" i="2" s="1"/>
  <c r="P1844" i="2"/>
  <c r="O1844" i="2" s="1"/>
  <c r="P601" i="2"/>
  <c r="O601" i="2" s="1"/>
  <c r="P1532" i="2"/>
  <c r="O1532" i="2" s="1"/>
  <c r="P252" i="2"/>
  <c r="O252" i="2" s="1"/>
  <c r="P1052" i="2"/>
  <c r="O1052" i="2" s="1"/>
  <c r="P181" i="2"/>
  <c r="O181" i="2" s="1"/>
  <c r="P856" i="2"/>
  <c r="O856" i="2" s="1"/>
  <c r="P1481" i="2"/>
  <c r="O1481" i="2" s="1"/>
  <c r="P47" i="2"/>
  <c r="O47" i="2" s="1"/>
  <c r="P946" i="2"/>
  <c r="O946" i="2" s="1"/>
  <c r="P1626" i="2"/>
  <c r="O1626" i="2" s="1"/>
  <c r="P481" i="2"/>
  <c r="O481" i="2" s="1"/>
  <c r="P1165" i="2"/>
  <c r="O1165" i="2" s="1"/>
  <c r="P756" i="2"/>
  <c r="O756" i="2" s="1"/>
  <c r="P1631" i="2"/>
  <c r="O1631" i="2" s="1"/>
  <c r="P546" i="2"/>
  <c r="O546" i="2" s="1"/>
  <c r="P1384" i="2"/>
  <c r="O1384" i="2" s="1"/>
  <c r="P1516" i="2"/>
  <c r="O1516" i="2" s="1"/>
  <c r="P701" i="2"/>
  <c r="O701" i="2" s="1"/>
  <c r="P1496" i="2"/>
  <c r="O1496" i="2" s="1"/>
  <c r="P21" i="2"/>
  <c r="O21" i="2" s="1"/>
  <c r="P729" i="2"/>
  <c r="O729" i="2" s="1"/>
  <c r="P1572" i="2"/>
  <c r="O1572" i="2" s="1"/>
  <c r="P192" i="2"/>
  <c r="O192" i="2" s="1"/>
  <c r="P923" i="2"/>
  <c r="O923" i="2" s="1"/>
  <c r="P1698" i="2"/>
  <c r="O1698" i="2" s="1"/>
  <c r="P326" i="2"/>
  <c r="O326" i="2" s="1"/>
  <c r="P1232" i="2"/>
  <c r="O1232" i="2" s="1"/>
  <c r="P1127" i="2"/>
  <c r="O1127" i="2" s="1"/>
  <c r="P727" i="2"/>
  <c r="O727" i="2" s="1"/>
  <c r="P1394" i="2"/>
  <c r="O1394" i="2" s="1"/>
  <c r="P171" i="2"/>
  <c r="O171" i="2" s="1"/>
  <c r="P819" i="2"/>
  <c r="O819" i="2" s="1"/>
  <c r="P1705" i="2"/>
  <c r="O1705" i="2" s="1"/>
  <c r="P426" i="2"/>
  <c r="O426" i="2" s="1"/>
  <c r="P1235" i="2"/>
  <c r="O1235" i="2" s="1"/>
  <c r="P201" i="2"/>
  <c r="O201" i="2" s="1"/>
  <c r="P1151" i="2"/>
  <c r="O1151" i="2" s="1"/>
  <c r="P633" i="2"/>
  <c r="O633" i="2" s="1"/>
  <c r="P1556" i="2"/>
  <c r="O1556" i="2" s="1"/>
  <c r="P279" i="2"/>
  <c r="O279" i="2" s="1"/>
  <c r="P1089" i="2"/>
  <c r="O1089" i="2" s="1"/>
  <c r="P253" i="2"/>
  <c r="O253" i="2" s="1"/>
  <c r="P880" i="2"/>
  <c r="O880" i="2" s="1"/>
  <c r="P1512" i="2"/>
  <c r="O1512" i="2" s="1"/>
  <c r="P105" i="2"/>
  <c r="O105" i="2" s="1"/>
  <c r="P176" i="2"/>
  <c r="O176" i="2" s="1"/>
  <c r="P81" i="2"/>
  <c r="O81" i="2" s="1"/>
  <c r="P1017" i="2"/>
  <c r="O1017" i="2" s="1"/>
  <c r="P1661" i="2"/>
  <c r="O1661" i="2" s="1"/>
  <c r="P512" i="2"/>
  <c r="O512" i="2" s="1"/>
  <c r="P1198" i="2"/>
  <c r="O1198" i="2" s="1"/>
  <c r="P453" i="2"/>
  <c r="O453" i="2" s="1"/>
  <c r="P837" i="2"/>
  <c r="O837" i="2" s="1"/>
  <c r="P1689" i="2"/>
  <c r="O1689" i="2" s="1"/>
  <c r="P617" i="2"/>
  <c r="O617" i="2" s="1"/>
  <c r="P1411" i="2"/>
  <c r="O1411" i="2" s="1"/>
  <c r="P16" i="2"/>
  <c r="O16" i="2" s="1"/>
  <c r="P725" i="2"/>
  <c r="O725" i="2" s="1"/>
  <c r="P1521" i="2"/>
  <c r="O1521" i="2" s="1"/>
  <c r="P92" i="2"/>
  <c r="O92" i="2" s="1"/>
  <c r="P840" i="2"/>
  <c r="O840" i="2" s="1"/>
  <c r="P1598" i="2"/>
  <c r="O1598" i="2" s="1"/>
  <c r="P222" i="2"/>
  <c r="O222" i="2" s="1"/>
  <c r="P956" i="2"/>
  <c r="O956" i="2" s="1"/>
  <c r="P1789" i="2"/>
  <c r="O1789" i="2" s="1"/>
  <c r="P443" i="2"/>
  <c r="O443" i="2" s="1"/>
  <c r="P1252" i="2"/>
  <c r="O1252" i="2" s="1"/>
  <c r="P25" i="2"/>
  <c r="O25" i="2" s="1"/>
  <c r="P769" i="2"/>
  <c r="O769" i="2" s="1"/>
  <c r="P1424" i="2"/>
  <c r="O1424" i="2" s="1"/>
  <c r="P200" i="2"/>
  <c r="O200" i="2" s="1"/>
  <c r="P969" i="2"/>
  <c r="O969" i="2" s="1"/>
  <c r="P1754" i="2"/>
  <c r="O1754" i="2" s="1"/>
  <c r="P446" i="2"/>
  <c r="O446" i="2" s="1"/>
  <c r="P1256" i="2"/>
  <c r="O1256" i="2" s="1"/>
  <c r="P337" i="2"/>
  <c r="O337" i="2" s="1"/>
  <c r="P1214" i="2"/>
  <c r="O1214" i="2" s="1"/>
  <c r="P314" i="2"/>
  <c r="O314" i="2" s="1"/>
  <c r="P674" i="2"/>
  <c r="O674" i="2" s="1"/>
  <c r="P1618" i="2"/>
  <c r="O1618" i="2" s="1"/>
  <c r="P309" i="2"/>
  <c r="O309" i="2" s="1"/>
  <c r="P1192" i="2"/>
  <c r="O1192" i="2" s="1"/>
  <c r="P281" i="2"/>
  <c r="O281" i="2" s="1"/>
  <c r="P906" i="2"/>
  <c r="O906" i="2" s="1"/>
  <c r="P1559" i="2"/>
  <c r="O1559" i="2" s="1"/>
  <c r="P184" i="2"/>
  <c r="O184" i="2" s="1"/>
  <c r="P1094" i="2"/>
  <c r="O1094" i="2" s="1"/>
  <c r="P1687" i="2"/>
  <c r="O1687" i="2" s="1"/>
  <c r="P541" i="2"/>
  <c r="O541" i="2" s="1"/>
  <c r="P1242" i="2"/>
  <c r="O1242" i="2" s="1"/>
  <c r="P798" i="2"/>
  <c r="O798" i="2" s="1"/>
  <c r="P888" i="2"/>
  <c r="O888" i="2" s="1"/>
  <c r="P1728" i="2"/>
  <c r="O1728" i="2" s="1"/>
  <c r="P700" i="2"/>
  <c r="O700" i="2" s="1"/>
  <c r="P1447" i="2"/>
  <c r="O1447" i="2" s="1"/>
  <c r="P53" i="2"/>
  <c r="O53" i="2" s="1"/>
  <c r="P762" i="2"/>
  <c r="O762" i="2" s="1"/>
  <c r="P1542" i="2"/>
  <c r="O1542" i="2" s="1"/>
  <c r="P191" i="2"/>
  <c r="O191" i="2" s="1"/>
  <c r="P919" i="2"/>
  <c r="O919" i="2" s="1"/>
  <c r="P1640" i="2"/>
  <c r="O1640" i="2" s="1"/>
  <c r="P268" i="2"/>
  <c r="O268" i="2" s="1"/>
  <c r="P994" i="2"/>
  <c r="O994" i="2" s="1"/>
  <c r="P1821" i="2"/>
  <c r="O1821" i="2" s="1"/>
  <c r="P625" i="2"/>
  <c r="O625" i="2" s="1"/>
  <c r="P1318" i="2"/>
  <c r="O1318" i="2" s="1"/>
  <c r="P60" i="2"/>
  <c r="O60" i="2" s="1"/>
  <c r="P812" i="2"/>
  <c r="O812" i="2" s="1"/>
  <c r="P1501" i="2"/>
  <c r="O1501" i="2" s="1"/>
  <c r="P229" i="2"/>
  <c r="O229" i="2" s="1"/>
  <c r="P998" i="2"/>
  <c r="O998" i="2" s="1"/>
  <c r="P1836" i="2"/>
  <c r="O1836" i="2" s="1"/>
  <c r="P529" i="2"/>
  <c r="O529" i="2" s="1"/>
  <c r="P1322" i="2"/>
  <c r="O1322" i="2" s="1"/>
  <c r="P427" i="2"/>
  <c r="O427" i="2" s="1"/>
  <c r="P1236" i="2"/>
  <c r="O1236" i="2" s="1"/>
  <c r="P1810" i="2"/>
  <c r="O1810" i="2" s="1"/>
  <c r="P715" i="2"/>
  <c r="O715" i="2" s="1"/>
  <c r="P1679" i="2"/>
  <c r="O1679" i="2" s="1"/>
  <c r="P363" i="2"/>
  <c r="O363" i="2" s="1"/>
  <c r="P1216" i="2"/>
  <c r="O1216" i="2" s="1"/>
  <c r="P313" i="2"/>
  <c r="O313" i="2" s="1"/>
  <c r="P977" i="2"/>
  <c r="O977" i="2" s="1"/>
  <c r="P1585" i="2"/>
  <c r="O1585" i="2" s="1"/>
  <c r="P1624" i="2"/>
  <c r="O1624" i="2" s="1"/>
  <c r="P208" i="2"/>
  <c r="O208" i="2" s="1"/>
  <c r="P1131" i="2"/>
  <c r="O1131" i="2" s="1"/>
  <c r="P1772" i="2"/>
  <c r="O1772" i="2" s="1"/>
  <c r="P614" i="2"/>
  <c r="O614" i="2" s="1"/>
  <c r="P1268" i="2"/>
  <c r="O1268" i="2" s="1"/>
  <c r="P1685" i="2"/>
  <c r="O1685" i="2" s="1"/>
  <c r="P913" i="2"/>
  <c r="O913" i="2" s="1"/>
  <c r="P1777" i="2"/>
  <c r="O1777" i="2" s="1"/>
  <c r="P758" i="2"/>
  <c r="O758" i="2" s="1"/>
  <c r="P1493" i="2"/>
  <c r="O1493" i="2" s="1"/>
  <c r="P190" i="2"/>
  <c r="O190" i="2" s="1"/>
  <c r="P918" i="2"/>
  <c r="O918" i="2" s="1"/>
  <c r="P1571" i="2"/>
  <c r="O1571" i="2" s="1"/>
  <c r="P217" i="2"/>
  <c r="O217" i="2" s="1"/>
  <c r="P955" i="2"/>
  <c r="O955" i="2" s="1"/>
  <c r="P1667" i="2"/>
  <c r="O1667" i="2" s="1"/>
  <c r="P325" i="2"/>
  <c r="O325" i="2" s="1"/>
  <c r="P1026" i="2"/>
  <c r="O1026" i="2" s="1"/>
  <c r="P662" i="2"/>
  <c r="O662" i="2" s="1"/>
  <c r="P1451" i="2"/>
  <c r="O1451" i="2" s="1"/>
  <c r="P100" i="2"/>
  <c r="O100" i="2" s="1"/>
  <c r="P845" i="2"/>
  <c r="O845" i="2" s="1"/>
  <c r="P1527" i="2"/>
  <c r="O1527" i="2" s="1"/>
  <c r="P248" i="2"/>
  <c r="O248" i="2" s="1"/>
  <c r="P1073" i="2"/>
  <c r="O1073" i="2" s="1"/>
  <c r="P564" i="2"/>
  <c r="O564" i="2" s="1"/>
  <c r="P1397" i="2"/>
  <c r="O1397" i="2" s="1"/>
  <c r="P447" i="2"/>
  <c r="O447" i="2" s="1"/>
  <c r="P1293" i="2"/>
  <c r="O1293" i="2" s="1"/>
  <c r="P3" i="2"/>
  <c r="O3" i="2" s="1"/>
  <c r="P796" i="2"/>
  <c r="O796" i="2" s="1"/>
  <c r="P1709" i="2"/>
  <c r="O1709" i="2" s="1"/>
  <c r="P404" i="2"/>
  <c r="O404" i="2" s="1"/>
  <c r="P1238" i="2"/>
  <c r="O1238" i="2" s="1"/>
  <c r="P340" i="2"/>
  <c r="O340" i="2" s="1"/>
  <c r="P1053" i="2"/>
  <c r="O1053" i="2" s="1"/>
  <c r="P1622" i="2"/>
  <c r="O1622" i="2" s="1"/>
  <c r="P709" i="2"/>
  <c r="O709" i="2" s="1"/>
  <c r="P1500" i="2"/>
  <c r="O1500" i="2" s="1"/>
  <c r="P120" i="2"/>
  <c r="O120" i="2" s="1"/>
  <c r="P894" i="2"/>
  <c r="O894" i="2" s="1"/>
  <c r="P274" i="2"/>
  <c r="O274" i="2" s="1"/>
  <c r="P1148" i="2"/>
  <c r="O1148" i="2" s="1"/>
  <c r="P595" i="2"/>
  <c r="O595" i="2" s="1"/>
  <c r="P503" i="2"/>
  <c r="O503" i="2" s="1"/>
  <c r="P36" i="2"/>
  <c r="O36" i="2" s="1"/>
  <c r="P1805" i="2"/>
  <c r="O1805" i="2" s="1"/>
  <c r="P1262" i="2"/>
  <c r="O1262" i="2" s="1"/>
  <c r="P1092" i="2"/>
  <c r="O1092" i="2" s="1"/>
  <c r="P1294" i="2"/>
  <c r="O1294" i="2" s="1"/>
  <c r="P973" i="2"/>
  <c r="O973" i="2" s="1"/>
  <c r="P285" i="2"/>
  <c r="O285" i="2" s="1"/>
  <c r="P1196" i="2"/>
  <c r="O1196" i="2" s="1"/>
  <c r="P1811" i="2"/>
  <c r="O1811" i="2" s="1"/>
  <c r="P642" i="2"/>
  <c r="O642" i="2" s="1"/>
  <c r="P1303" i="2"/>
  <c r="O1303" i="2" s="1"/>
  <c r="P13" i="2"/>
  <c r="O13" i="2" s="1"/>
  <c r="P1020" i="2"/>
  <c r="O1020" i="2" s="1"/>
  <c r="P1815" i="2"/>
  <c r="O1815" i="2" s="1"/>
  <c r="P801" i="2"/>
  <c r="O801" i="2" s="1"/>
  <c r="P1520" i="2"/>
  <c r="O1520" i="2" s="1"/>
  <c r="P216" i="2"/>
  <c r="O216" i="2" s="1"/>
  <c r="P954" i="2"/>
  <c r="O954" i="2" s="1"/>
  <c r="P1594" i="2"/>
  <c r="O1594" i="2" s="1"/>
  <c r="P265" i="2"/>
  <c r="O265" i="2" s="1"/>
  <c r="P991" i="2"/>
  <c r="O991" i="2" s="1"/>
  <c r="P1696" i="2"/>
  <c r="O1696" i="2" s="1"/>
  <c r="P354" i="2"/>
  <c r="O354" i="2" s="1"/>
  <c r="P1069" i="2"/>
  <c r="O1069" i="2" s="1"/>
  <c r="P1547" i="2"/>
  <c r="O1547" i="2" s="1"/>
  <c r="P9" i="2"/>
  <c r="O9" i="2" s="1"/>
  <c r="P1507" i="2"/>
  <c r="O1507" i="2" s="1"/>
  <c r="P1364" i="2"/>
  <c r="O1364" i="2" s="1"/>
  <c r="P826" i="2"/>
  <c r="O826" i="2" s="1"/>
  <c r="P451" i="2"/>
  <c r="O451" i="2" s="1"/>
  <c r="P1461" i="2"/>
  <c r="O1461" i="2" s="1"/>
  <c r="P230" i="2"/>
  <c r="O230" i="2" s="1"/>
  <c r="P1680" i="2"/>
  <c r="O1680" i="2" s="1"/>
  <c r="P976" i="2"/>
  <c r="O976" i="2" s="1"/>
  <c r="P315" i="2"/>
  <c r="O315" i="2" s="1"/>
  <c r="P1241" i="2"/>
  <c r="O1241" i="2" s="1"/>
  <c r="P876" i="2"/>
  <c r="O876" i="2" s="1"/>
  <c r="P692" i="2"/>
  <c r="O692" i="2" s="1"/>
  <c r="P1335" i="2"/>
  <c r="O1335" i="2" s="1"/>
  <c r="P49" i="2"/>
  <c r="O49" i="2" s="1"/>
  <c r="P1097" i="2"/>
  <c r="O1097" i="2" s="1"/>
  <c r="P864" i="2"/>
  <c r="O864" i="2" s="1"/>
  <c r="P1569" i="2"/>
  <c r="O1569" i="2" s="1"/>
  <c r="P242" i="2"/>
  <c r="O242" i="2" s="1"/>
  <c r="P988" i="2"/>
  <c r="O988" i="2" s="1"/>
  <c r="P1636" i="2"/>
  <c r="O1636" i="2" s="1"/>
  <c r="P292" i="2"/>
  <c r="O292" i="2" s="1"/>
  <c r="P1025" i="2"/>
  <c r="O1025" i="2" s="1"/>
  <c r="P1741" i="2"/>
  <c r="O1741" i="2" s="1"/>
  <c r="P421" i="2"/>
  <c r="O421" i="2" s="1"/>
  <c r="P1108" i="2"/>
  <c r="O1108" i="2" s="1"/>
  <c r="P409" i="2"/>
  <c r="O409" i="2" s="1"/>
  <c r="P731" i="2"/>
  <c r="O731" i="2" s="1"/>
  <c r="P1575" i="2"/>
  <c r="O1575" i="2" s="1"/>
  <c r="P170" i="2"/>
  <c r="O170" i="2" s="1"/>
  <c r="P932" i="2"/>
  <c r="O932" i="2" s="1"/>
  <c r="P1647" i="2"/>
  <c r="O1647" i="2" s="1"/>
  <c r="P299" i="2"/>
  <c r="O299" i="2" s="1"/>
  <c r="P1186" i="2"/>
  <c r="O1186" i="2" s="1"/>
  <c r="P571" i="2"/>
  <c r="O571" i="2" s="1"/>
  <c r="P630" i="2"/>
  <c r="O630" i="2" s="1"/>
  <c r="P1529" i="2"/>
  <c r="O1529" i="2" s="1"/>
  <c r="P530" i="2"/>
  <c r="O530" i="2" s="1"/>
  <c r="P1399" i="2"/>
  <c r="O1399" i="2" s="1"/>
  <c r="P70" i="2"/>
  <c r="O70" i="2" s="1"/>
  <c r="P900" i="2"/>
  <c r="O900" i="2" s="1"/>
  <c r="P477" i="2"/>
  <c r="O477" i="2" s="1"/>
  <c r="P1366" i="2"/>
  <c r="O1366" i="2" s="1"/>
  <c r="P408" i="2"/>
  <c r="O408" i="2" s="1"/>
  <c r="P1126" i="2"/>
  <c r="O1126" i="2" s="1"/>
  <c r="P1799" i="2"/>
  <c r="O1799" i="2" s="1"/>
  <c r="P1530" i="2"/>
  <c r="O1530" i="2" s="1"/>
  <c r="P744" i="2"/>
  <c r="O744" i="2" s="1"/>
  <c r="P433" i="2"/>
  <c r="O433" i="2" s="1"/>
  <c r="P1655" i="2"/>
  <c r="O1655" i="2" s="1"/>
  <c r="P1791" i="2"/>
  <c r="O1791" i="2" s="1"/>
  <c r="P1460" i="2"/>
  <c r="O1460" i="2" s="1"/>
  <c r="P398" i="2"/>
  <c r="O398" i="2" s="1"/>
  <c r="P366" i="2"/>
  <c r="O366" i="2" s="1"/>
  <c r="P1267" i="2"/>
  <c r="O1267" i="2" s="1"/>
  <c r="P479" i="2"/>
  <c r="O479" i="2" s="1"/>
  <c r="P720" i="2"/>
  <c r="O720" i="2" s="1"/>
  <c r="P1382" i="2"/>
  <c r="O1382" i="2" s="1"/>
  <c r="P87" i="2"/>
  <c r="O87" i="2" s="1"/>
  <c r="P1199" i="2"/>
  <c r="O1199" i="2" s="1"/>
  <c r="P15" i="2"/>
  <c r="O15" i="2" s="1"/>
  <c r="P889" i="2"/>
  <c r="O889" i="2" s="1"/>
  <c r="P1591" i="2"/>
  <c r="O1591" i="2" s="1"/>
  <c r="P264" i="2"/>
  <c r="O264" i="2" s="1"/>
  <c r="P1023" i="2"/>
  <c r="O1023" i="2" s="1"/>
  <c r="P1666" i="2"/>
  <c r="O1666" i="2" s="1"/>
  <c r="P320" i="2"/>
  <c r="O320" i="2" s="1"/>
  <c r="P1107" i="2"/>
  <c r="O1107" i="2" s="1"/>
  <c r="P1783" i="2"/>
  <c r="O1783" i="2" s="1"/>
  <c r="P442" i="2"/>
  <c r="O442" i="2" s="1"/>
  <c r="P1144" i="2"/>
  <c r="O1144" i="2" s="1"/>
  <c r="P718" i="2"/>
  <c r="O718" i="2" s="1"/>
  <c r="P767" i="2"/>
  <c r="O767" i="2" s="1"/>
  <c r="P1604" i="2"/>
  <c r="O1604" i="2" s="1"/>
  <c r="P198" i="2"/>
  <c r="O198" i="2" s="1"/>
  <c r="P962" i="2"/>
  <c r="O962" i="2" s="1"/>
  <c r="P1672" i="2"/>
  <c r="O1672" i="2" s="1"/>
  <c r="P332" i="2"/>
  <c r="O332" i="2" s="1"/>
  <c r="P1212" i="2"/>
  <c r="O1212" i="2" s="1"/>
  <c r="P907" i="2"/>
  <c r="O907" i="2" s="1"/>
  <c r="P668" i="2"/>
  <c r="O668" i="2" s="1"/>
  <c r="P1614" i="2"/>
  <c r="O1614" i="2" s="1"/>
  <c r="P596" i="2"/>
  <c r="O596" i="2" s="1"/>
  <c r="P1436" i="2"/>
  <c r="O1436" i="2" s="1"/>
  <c r="P175" i="2"/>
  <c r="O175" i="2" s="1"/>
  <c r="P974" i="2"/>
  <c r="O974" i="2" s="1"/>
  <c r="P76" i="2"/>
  <c r="O76" i="2" s="1"/>
  <c r="P535" i="2"/>
  <c r="O535" i="2" s="1"/>
  <c r="P1438" i="2"/>
  <c r="O1438" i="2" s="1"/>
  <c r="P431" i="2"/>
  <c r="O431" i="2" s="1"/>
  <c r="P1156" i="2"/>
  <c r="O1156" i="2" s="1"/>
  <c r="P207" i="2"/>
  <c r="O207" i="2" s="1"/>
  <c r="P172" i="2"/>
  <c r="O172" i="2" s="1"/>
  <c r="P339" i="2"/>
  <c r="O339" i="2" s="1"/>
  <c r="P1619" i="2"/>
  <c r="O1619" i="2" s="1"/>
  <c r="P72" i="2"/>
  <c r="O72" i="2" s="1"/>
  <c r="P1093" i="2"/>
  <c r="O1093" i="2" s="1"/>
  <c r="P166" i="2"/>
  <c r="O166" i="2" s="1"/>
  <c r="P561" i="2"/>
  <c r="O561" i="2" s="1"/>
  <c r="P1037" i="2"/>
  <c r="O1037" i="2" s="1"/>
  <c r="P901" i="2"/>
  <c r="O901" i="2" s="1"/>
  <c r="P534" i="2"/>
  <c r="O534" i="2" s="1"/>
  <c r="P434" i="2"/>
  <c r="O434" i="2" s="1"/>
  <c r="P1300" i="2"/>
  <c r="O1300" i="2" s="1"/>
  <c r="P748" i="2"/>
  <c r="O748" i="2" s="1"/>
  <c r="P800" i="2"/>
  <c r="O800" i="2" s="1"/>
  <c r="P1444" i="2"/>
  <c r="O1444" i="2" s="1"/>
  <c r="P287" i="2"/>
  <c r="O287" i="2" s="1"/>
  <c r="P1223" i="2"/>
  <c r="O1223" i="2" s="1"/>
  <c r="P50" i="2"/>
  <c r="O50" i="2" s="1"/>
  <c r="P987" i="2"/>
  <c r="O987" i="2" s="1"/>
  <c r="P1632" i="2"/>
  <c r="O1632" i="2" s="1"/>
  <c r="P319" i="2"/>
  <c r="O319" i="2" s="1"/>
  <c r="P1066" i="2"/>
  <c r="O1066" i="2" s="1"/>
  <c r="P1691" i="2"/>
  <c r="O1691" i="2" s="1"/>
  <c r="P353" i="2"/>
  <c r="O353" i="2" s="1"/>
  <c r="P1140" i="2"/>
  <c r="O1140" i="2" s="1"/>
  <c r="P1820" i="2"/>
  <c r="O1820" i="2" s="1"/>
  <c r="P465" i="2"/>
  <c r="O465" i="2" s="1"/>
  <c r="P1180" i="2"/>
  <c r="O1180" i="2" s="1"/>
  <c r="P1220" i="2"/>
  <c r="O1220" i="2" s="1"/>
  <c r="P843" i="2"/>
  <c r="O843" i="2" s="1"/>
  <c r="P1641" i="2"/>
  <c r="O1641" i="2" s="1"/>
  <c r="P246" i="2"/>
  <c r="O246" i="2" s="1"/>
  <c r="P1033" i="2"/>
  <c r="O1033" i="2" s="1"/>
  <c r="P1700" i="2"/>
  <c r="O1700" i="2" s="1"/>
  <c r="P387" i="2"/>
  <c r="O387" i="2" s="1"/>
  <c r="P1234" i="2"/>
  <c r="O1234" i="2" s="1"/>
  <c r="P1376" i="2"/>
  <c r="O1376" i="2" s="1"/>
  <c r="P711" i="2"/>
  <c r="O711" i="2" s="1"/>
  <c r="P1650" i="2"/>
  <c r="O1650" i="2" s="1"/>
  <c r="P632" i="2"/>
  <c r="O632" i="2" s="1"/>
  <c r="P1464" i="2"/>
  <c r="O1464" i="2" s="1"/>
  <c r="P251" i="2"/>
  <c r="O251" i="2" s="1"/>
  <c r="P1124" i="2"/>
  <c r="O1124" i="2" s="1"/>
  <c r="P1240" i="2"/>
  <c r="O1240" i="2" s="1"/>
  <c r="P675" i="2"/>
  <c r="O675" i="2" s="1"/>
  <c r="P1468" i="2"/>
  <c r="O1468" i="2" s="1"/>
  <c r="P452" i="2"/>
  <c r="O452" i="2" s="1"/>
  <c r="P1193" i="2"/>
  <c r="O1193" i="2" s="1"/>
  <c r="P1266" i="2"/>
  <c r="O1266" i="2" s="1"/>
  <c r="P971" i="2"/>
  <c r="O971" i="2" s="1"/>
  <c r="P43" i="2"/>
  <c r="O43" i="2" s="1"/>
  <c r="P1239" i="2"/>
  <c r="O1239" i="2" s="1"/>
  <c r="P362" i="2"/>
  <c r="O362" i="2" s="1"/>
  <c r="P1265" i="2"/>
  <c r="O1265" i="2" s="1"/>
  <c r="P1032" i="2"/>
  <c r="O1032" i="2" s="1"/>
  <c r="P182" i="2"/>
  <c r="O182" i="2" s="1"/>
  <c r="P1616" i="2"/>
  <c r="O1616" i="2" s="1"/>
  <c r="P7" i="2"/>
  <c r="O7" i="2" s="1"/>
  <c r="P454" i="2"/>
  <c r="O454" i="2" s="1"/>
  <c r="P1333" i="2"/>
  <c r="O1333" i="2" s="1"/>
  <c r="P1536" i="2"/>
  <c r="O1536" i="2" s="1"/>
  <c r="P861" i="2"/>
  <c r="O861" i="2" s="1"/>
  <c r="P1490" i="2"/>
  <c r="O1490" i="2" s="1"/>
  <c r="P317" i="2"/>
  <c r="O317" i="2" s="1"/>
  <c r="P1243" i="2"/>
  <c r="O1243" i="2" s="1"/>
  <c r="P88" i="2"/>
  <c r="O88" i="2" s="1"/>
  <c r="P1065" i="2"/>
  <c r="O1065" i="2" s="1"/>
  <c r="P1665" i="2"/>
  <c r="O1665" i="2" s="1"/>
  <c r="P351" i="2"/>
  <c r="O351" i="2" s="1"/>
  <c r="P1106" i="2"/>
  <c r="O1106" i="2" s="1"/>
  <c r="P1782" i="2"/>
  <c r="O1782" i="2" s="1"/>
  <c r="P418" i="2"/>
  <c r="O418" i="2" s="1"/>
  <c r="P1179" i="2"/>
  <c r="O1179" i="2" s="1"/>
  <c r="P520" i="2"/>
  <c r="O520" i="2" s="1"/>
  <c r="P1206" i="2"/>
  <c r="O1206" i="2" s="1"/>
  <c r="P1768" i="2"/>
  <c r="O1768" i="2" s="1"/>
  <c r="P871" i="2"/>
  <c r="O871" i="2" s="1"/>
  <c r="P1670" i="2"/>
  <c r="O1670" i="2" s="1"/>
  <c r="P298" i="2"/>
  <c r="O298" i="2" s="1"/>
  <c r="P1072" i="2"/>
  <c r="O1072" i="2" s="1"/>
  <c r="P1793" i="2"/>
  <c r="O1793" i="2" s="1"/>
  <c r="P469" i="2"/>
  <c r="O469" i="2" s="1"/>
  <c r="P1288" i="2"/>
  <c r="O1288" i="2" s="1"/>
  <c r="P66" i="2"/>
  <c r="O66" i="2" s="1"/>
  <c r="P739" i="2"/>
  <c r="O739" i="2" s="1"/>
  <c r="P1674" i="2"/>
  <c r="O1674" i="2" s="1"/>
  <c r="P671" i="2"/>
  <c r="O671" i="2" s="1"/>
  <c r="P1508" i="2"/>
  <c r="O1508" i="2" s="1"/>
  <c r="P304" i="2"/>
  <c r="O304" i="2" s="1"/>
  <c r="P1190" i="2"/>
  <c r="O1190" i="2" s="1"/>
  <c r="P1715" i="2"/>
  <c r="O1715" i="2" s="1"/>
  <c r="P716" i="2"/>
  <c r="O716" i="2" s="1"/>
  <c r="P1510" i="2"/>
  <c r="O1510" i="2" s="1"/>
  <c r="P478" i="2"/>
  <c r="O478" i="2" s="1"/>
  <c r="P1219" i="2"/>
  <c r="O1219" i="2" s="1"/>
  <c r="P553" i="2"/>
  <c r="O553" i="2" s="1"/>
  <c r="P1231" i="2"/>
  <c r="O1231" i="2" s="1"/>
  <c r="P24" i="2"/>
  <c r="O24" i="2" s="1"/>
  <c r="P960" i="2"/>
  <c r="O960" i="2" s="1"/>
  <c r="P1699" i="2"/>
  <c r="O1699" i="2" s="1"/>
  <c r="P328" i="2"/>
  <c r="O328" i="2" s="1"/>
  <c r="P1111" i="2"/>
  <c r="O1111" i="2" s="1"/>
  <c r="P1358" i="2"/>
  <c r="O1358" i="2" s="1"/>
  <c r="P741" i="2"/>
  <c r="O741" i="2" s="1"/>
  <c r="P1215" i="2"/>
  <c r="O1215" i="2" s="1"/>
  <c r="P536" i="2"/>
  <c r="O536" i="2" s="1"/>
  <c r="P797" i="2"/>
  <c r="O797" i="2" s="1"/>
  <c r="P1317" i="2"/>
  <c r="O1317" i="2" s="1"/>
  <c r="P524" i="2"/>
  <c r="O524" i="2" s="1"/>
  <c r="P1657" i="2"/>
  <c r="O1657" i="2" s="1"/>
  <c r="P604" i="2"/>
  <c r="O604" i="2" s="1"/>
  <c r="P1401" i="2"/>
  <c r="O1401" i="2" s="1"/>
  <c r="P573" i="2"/>
  <c r="O573" i="2" s="1"/>
  <c r="P1380" i="2"/>
  <c r="O1380" i="2" s="1"/>
  <c r="P185" i="2"/>
  <c r="O185" i="2" s="1"/>
  <c r="P887" i="2"/>
  <c r="O887" i="2" s="1"/>
  <c r="P1518" i="2"/>
  <c r="O1518" i="2" s="1"/>
  <c r="P345" i="2"/>
  <c r="O345" i="2" s="1"/>
  <c r="P1271" i="2"/>
  <c r="O1271" i="2" s="1"/>
  <c r="P189" i="2"/>
  <c r="O189" i="2" s="1"/>
  <c r="P1101" i="2"/>
  <c r="O1101" i="2" s="1"/>
  <c r="P1690" i="2"/>
  <c r="O1690" i="2" s="1"/>
  <c r="P376" i="2"/>
  <c r="O376" i="2" s="1"/>
  <c r="P1137" i="2"/>
  <c r="O1137" i="2" s="1"/>
  <c r="P1819" i="2"/>
  <c r="O1819" i="2" s="1"/>
  <c r="P440" i="2"/>
  <c r="O440" i="2" s="1"/>
  <c r="P1230" i="2"/>
  <c r="O1230" i="2" s="1"/>
  <c r="P613" i="2"/>
  <c r="O613" i="2" s="1"/>
  <c r="P1407" i="2"/>
  <c r="O1407" i="2" s="1"/>
  <c r="P258" i="2"/>
  <c r="O258" i="2" s="1"/>
  <c r="P910" i="2"/>
  <c r="O910" i="2" s="1"/>
  <c r="P1538" i="2"/>
  <c r="O1538" i="2" s="1"/>
  <c r="P458" i="2"/>
  <c r="O458" i="2" s="1"/>
  <c r="P1338" i="2"/>
  <c r="O1338" i="2" s="1"/>
  <c r="P262" i="2"/>
  <c r="O262" i="2" s="1"/>
  <c r="P1136" i="2"/>
  <c r="O1136" i="2" s="1"/>
  <c r="P1778" i="2"/>
  <c r="O1778" i="2" s="1"/>
  <c r="P417" i="2"/>
  <c r="O417" i="2" s="1"/>
  <c r="P1177" i="2"/>
  <c r="O1177" i="2" s="1"/>
  <c r="P693" i="2"/>
  <c r="O693" i="2" s="1"/>
  <c r="P464" i="2"/>
  <c r="O464" i="2" s="1"/>
  <c r="P1278" i="2"/>
  <c r="O1278" i="2" s="1"/>
  <c r="P282" i="2"/>
  <c r="O282" i="2" s="1"/>
  <c r="P660" i="2"/>
  <c r="O660" i="2" s="1"/>
  <c r="P1250" i="2"/>
  <c r="O1250" i="2" s="1"/>
  <c r="P117" i="2"/>
  <c r="O117" i="2" s="1"/>
  <c r="P996" i="2"/>
  <c r="O996" i="2" s="1"/>
  <c r="P1750" i="2"/>
  <c r="O1750" i="2" s="1"/>
  <c r="P444" i="2"/>
  <c r="O444" i="2" s="1"/>
  <c r="P1146" i="2"/>
  <c r="O1146" i="2" s="1"/>
  <c r="P525" i="2"/>
  <c r="O525" i="2" s="1"/>
  <c r="P1430" i="2"/>
  <c r="O1430" i="2" s="1"/>
  <c r="P199" i="2"/>
  <c r="O199" i="2" s="1"/>
  <c r="P1002" i="2"/>
  <c r="O1002" i="2" s="1"/>
  <c r="P1841" i="2"/>
  <c r="O1841" i="2" s="1"/>
  <c r="P793" i="2"/>
  <c r="O793" i="2" s="1"/>
  <c r="P1552" i="2"/>
  <c r="O1552" i="2" s="1"/>
  <c r="P1237" i="2"/>
  <c r="O1237" i="2" s="1"/>
  <c r="P569" i="2"/>
  <c r="O569" i="2" s="1"/>
  <c r="P707" i="2"/>
  <c r="O707" i="2" s="1"/>
  <c r="P1185" i="2"/>
  <c r="O1185" i="2" s="1"/>
  <c r="P824" i="2"/>
  <c r="O824" i="2" s="1"/>
  <c r="P1296" i="2"/>
  <c r="O1296" i="2" s="1"/>
  <c r="P1367" i="2"/>
  <c r="O1367" i="2" s="1"/>
  <c r="P641" i="2"/>
  <c r="O641" i="2" s="1"/>
  <c r="P1443" i="2"/>
  <c r="O1443" i="2" s="1"/>
  <c r="P286" i="2"/>
  <c r="O286" i="2" s="1"/>
  <c r="P948" i="2"/>
  <c r="O948" i="2" s="1"/>
  <c r="P1567" i="2"/>
  <c r="O1567" i="2" s="1"/>
  <c r="P516" i="2"/>
  <c r="O516" i="2" s="1"/>
  <c r="P1383" i="2"/>
  <c r="O1383" i="2" s="1"/>
  <c r="P288" i="2"/>
  <c r="O288" i="2" s="1"/>
  <c r="P1228" i="2"/>
  <c r="O1228" i="2" s="1"/>
  <c r="P1816" i="2"/>
  <c r="O1816" i="2" s="1"/>
  <c r="P439" i="2"/>
  <c r="O439" i="2" s="1"/>
  <c r="P1229" i="2"/>
  <c r="O1229" i="2" s="1"/>
  <c r="P519" i="2"/>
  <c r="O519" i="2" s="1"/>
  <c r="P1315" i="2"/>
  <c r="O1315" i="2" s="1"/>
  <c r="P945" i="2"/>
  <c r="O945" i="2" s="1"/>
  <c r="P719" i="2"/>
  <c r="O719" i="2" s="1"/>
  <c r="P1489" i="2"/>
  <c r="O1489" i="2" s="1"/>
  <c r="P316" i="2"/>
  <c r="O316" i="2" s="1"/>
  <c r="P1019" i="2"/>
  <c r="O1019" i="2" s="1"/>
  <c r="P1587" i="2"/>
  <c r="O1587" i="2" s="1"/>
  <c r="P545" i="2"/>
  <c r="O545" i="2" s="1"/>
  <c r="P1445" i="2"/>
  <c r="O1445" i="2" s="1"/>
  <c r="P371" i="2"/>
  <c r="O371" i="2" s="1"/>
  <c r="P1244" i="2"/>
  <c r="O1244" i="2" s="1"/>
  <c r="P486" i="2"/>
  <c r="O486" i="2" s="1"/>
  <c r="P1277" i="2"/>
  <c r="O1277" i="2" s="1"/>
  <c r="P46" i="2"/>
  <c r="O46" i="2" s="1"/>
  <c r="P552" i="2"/>
  <c r="O552" i="2" s="1"/>
  <c r="P1390" i="2"/>
  <c r="O1390" i="2" s="1"/>
  <c r="P1441" i="2"/>
  <c r="O1441" i="2" s="1"/>
  <c r="P730" i="2"/>
  <c r="O730" i="2" s="1"/>
  <c r="P1450" i="2"/>
  <c r="O1450" i="2" s="1"/>
  <c r="P197" i="2"/>
  <c r="O197" i="2" s="1"/>
  <c r="P1071" i="2"/>
  <c r="O1071" i="2" s="1"/>
  <c r="P560" i="2"/>
  <c r="O560" i="2" s="1"/>
  <c r="P1233" i="2"/>
  <c r="O1233" i="2" s="1"/>
  <c r="P1013" i="2"/>
  <c r="O1013" i="2" s="1"/>
  <c r="P629" i="2"/>
  <c r="O629" i="2" s="1"/>
  <c r="P1504" i="2"/>
  <c r="O1504" i="2" s="1"/>
  <c r="P249" i="2"/>
  <c r="O249" i="2" s="1"/>
  <c r="P1121" i="2"/>
  <c r="O1121" i="2" s="1"/>
  <c r="P32" i="2"/>
  <c r="O32" i="2" s="1"/>
  <c r="P851" i="2"/>
  <c r="O851" i="2" s="1"/>
  <c r="P1651" i="2"/>
  <c r="O1651" i="2" s="1"/>
  <c r="P476" i="2"/>
  <c r="O476" i="2" s="1"/>
  <c r="P1365" i="2"/>
  <c r="O1365" i="2" s="1"/>
  <c r="P141" i="2"/>
  <c r="O141" i="2" s="1"/>
  <c r="P939" i="2"/>
  <c r="O939" i="2" s="1"/>
  <c r="P1332" i="2"/>
  <c r="O1332" i="2" s="1"/>
  <c r="P634" i="2"/>
  <c r="O634" i="2" s="1"/>
  <c r="P1331" i="2"/>
  <c r="O1331" i="2" s="1"/>
  <c r="P765" i="2"/>
  <c r="O765" i="2" s="1"/>
  <c r="P1524" i="2"/>
  <c r="O1524" i="2" s="1"/>
  <c r="P224" i="2"/>
  <c r="O224" i="2" s="1"/>
  <c r="P1145" i="2"/>
  <c r="O1145" i="2" s="1"/>
  <c r="P593" i="2"/>
  <c r="O593" i="2" s="1"/>
  <c r="P1253" i="2"/>
  <c r="O1253" i="2" s="1"/>
  <c r="P664" i="2"/>
  <c r="O664" i="2" s="1"/>
  <c r="P1528" i="2"/>
  <c r="O1528" i="2" s="1"/>
  <c r="P300" i="2"/>
  <c r="O300" i="2" s="1"/>
  <c r="P1149" i="2"/>
  <c r="O1149" i="2" s="1"/>
  <c r="P69" i="2"/>
  <c r="O69" i="2" s="1"/>
  <c r="P1708" i="2"/>
  <c r="O1708" i="2" s="1"/>
  <c r="P717" i="2"/>
  <c r="O717" i="2" s="1"/>
  <c r="P1517" i="2"/>
  <c r="O1517" i="2" s="1"/>
  <c r="P1060" i="2"/>
  <c r="O1060" i="2" s="1"/>
  <c r="P1688" i="2"/>
  <c r="O1688" i="2" s="1"/>
  <c r="P615" i="2"/>
  <c r="O615" i="2" s="1"/>
  <c r="P1492" i="2"/>
  <c r="O1492" i="2" s="1"/>
  <c r="P416" i="2"/>
  <c r="O416" i="2" s="1"/>
  <c r="P1273" i="2"/>
  <c r="O1273" i="2" s="1"/>
  <c r="P584" i="2"/>
  <c r="O584" i="2" s="1"/>
  <c r="P1345" i="2"/>
  <c r="O1345" i="2" s="1"/>
  <c r="P508" i="2"/>
  <c r="O508" i="2" s="1"/>
  <c r="P620" i="2"/>
  <c r="O620" i="2" s="1"/>
  <c r="P1449" i="2"/>
  <c r="O1449" i="2" s="1"/>
  <c r="P22" i="2"/>
  <c r="O22" i="2" s="1"/>
  <c r="P886" i="2"/>
  <c r="O886" i="2" s="1"/>
  <c r="P1537" i="2"/>
  <c r="O1537" i="2" s="1"/>
  <c r="P436" i="2"/>
  <c r="O436" i="2" s="1"/>
  <c r="P1096" i="2"/>
  <c r="O1096" i="2" s="1"/>
  <c r="P1718" i="2"/>
  <c r="O1718" i="2" s="1"/>
  <c r="P645" i="2"/>
  <c r="O645" i="2" s="1"/>
  <c r="P1519" i="2"/>
  <c r="O1519" i="2" s="1"/>
  <c r="P438" i="2"/>
  <c r="O438" i="2" s="1"/>
  <c r="P1307" i="2"/>
  <c r="O1307" i="2" s="1"/>
  <c r="P341" i="2"/>
  <c r="O341" i="2" s="1"/>
  <c r="P618" i="2"/>
  <c r="O618" i="2" s="1"/>
  <c r="P1386" i="2"/>
  <c r="O1386" i="2" s="1"/>
  <c r="P1054" i="2"/>
  <c r="O1054" i="2" s="1"/>
  <c r="P651" i="2"/>
  <c r="O651" i="2" s="1"/>
  <c r="P1522" i="2"/>
  <c r="O1522" i="2" s="1"/>
  <c r="P116" i="2"/>
  <c r="O116" i="2" s="1"/>
  <c r="P807" i="2"/>
  <c r="O807" i="2" s="1"/>
  <c r="P1574" i="2"/>
  <c r="O1574" i="2" s="1"/>
  <c r="P245" i="2"/>
  <c r="O245" i="2" s="1"/>
  <c r="P1181" i="2"/>
  <c r="O1181" i="2" s="1"/>
  <c r="P257" i="2"/>
  <c r="O257" i="2" s="1"/>
  <c r="P627" i="2"/>
  <c r="O627" i="2" s="1"/>
  <c r="P1320" i="2"/>
  <c r="O1320" i="2" s="1"/>
  <c r="P26" i="2"/>
  <c r="O26" i="2" s="1"/>
  <c r="P710" i="2"/>
  <c r="O710" i="2" s="1"/>
  <c r="P1612" i="2"/>
  <c r="O1612" i="2" s="1"/>
  <c r="P336" i="2"/>
  <c r="O336" i="2" s="1"/>
  <c r="P1188" i="2"/>
  <c r="O1188" i="2" s="1"/>
  <c r="P133" i="2"/>
  <c r="O133" i="2" s="1"/>
  <c r="P1042" i="2"/>
  <c r="O1042" i="2" s="1"/>
  <c r="P1803" i="2"/>
  <c r="O1803" i="2" s="1"/>
  <c r="P566" i="2"/>
  <c r="O566" i="2" s="1"/>
  <c r="P1465" i="2"/>
  <c r="O1465" i="2" s="1"/>
  <c r="P233" i="2"/>
  <c r="O233" i="2" s="1"/>
  <c r="P1009" i="2"/>
  <c r="O1009" i="2" s="1"/>
  <c r="P747" i="2"/>
  <c r="O747" i="2" s="1"/>
  <c r="P1439" i="2"/>
  <c r="O1439" i="2" s="1"/>
  <c r="U1135" i="2"/>
  <c r="U1154" i="2"/>
  <c r="U475" i="2"/>
  <c r="U98" i="2"/>
  <c r="U263" i="2"/>
  <c r="U1067" i="2"/>
  <c r="U205" i="2"/>
  <c r="U1246" i="2"/>
  <c r="U821" i="2"/>
  <c r="U598" i="2"/>
  <c r="U1822" i="2"/>
  <c r="U1786" i="2"/>
  <c r="U491" i="2"/>
  <c r="U109" i="2"/>
  <c r="U1305" i="2"/>
  <c r="U565" i="2"/>
  <c r="U839" i="2"/>
  <c r="U1329" i="2"/>
  <c r="U1854" i="2"/>
  <c r="U896" i="2"/>
  <c r="U445" i="2"/>
  <c r="U380" i="2"/>
  <c r="U506" i="2"/>
  <c r="U146" i="2"/>
  <c r="U1814" i="2"/>
  <c r="U462" i="2"/>
  <c r="U293" i="2"/>
  <c r="U1541" i="2"/>
  <c r="U96" i="2"/>
  <c r="U868" i="2"/>
  <c r="U497" i="2"/>
  <c r="U484" i="2"/>
  <c r="U892" i="2"/>
  <c r="U108" i="2"/>
  <c r="U422" i="2"/>
  <c r="U1310" i="2"/>
  <c r="U518" i="2"/>
  <c r="U890" i="2"/>
  <c r="U895" i="2"/>
  <c r="U383" i="2"/>
  <c r="U1327" i="2"/>
  <c r="U1796" i="2"/>
  <c r="U449" i="2"/>
  <c r="U75" i="2"/>
  <c r="U111" i="2"/>
  <c r="U1578" i="2"/>
  <c r="U872" i="2"/>
  <c r="U147" i="2"/>
  <c r="U148" i="2"/>
  <c r="U276" i="2"/>
  <c r="U831" i="2"/>
  <c r="U624" i="2"/>
  <c r="U1254" i="2"/>
  <c r="U1059" i="2"/>
  <c r="U378" i="2"/>
  <c r="U1656" i="2"/>
  <c r="U209" i="2"/>
  <c r="U847" i="2"/>
  <c r="U1752" i="2"/>
  <c r="U1579" i="2"/>
  <c r="U838" i="2"/>
  <c r="U1161" i="2"/>
  <c r="U1584" i="2"/>
  <c r="U275" i="2"/>
  <c r="U1588" i="2"/>
  <c r="U243" i="2"/>
  <c r="U1260" i="2"/>
  <c r="U1675" i="2"/>
  <c r="U215" i="2"/>
  <c r="U891" i="2"/>
  <c r="U318" i="2"/>
  <c r="U1701" i="2"/>
  <c r="U1063" i="2"/>
  <c r="U1302" i="2"/>
  <c r="U45" i="2"/>
  <c r="U95" i="2"/>
  <c r="U1823" i="2"/>
  <c r="U1118" i="2"/>
  <c r="U183" i="2"/>
  <c r="U1509" i="2"/>
  <c r="U928" i="2"/>
  <c r="U1385" i="2"/>
  <c r="U936" i="2"/>
  <c r="U344" i="2"/>
  <c r="U1673" i="2"/>
  <c r="U1034" i="2"/>
  <c r="U1681" i="2"/>
  <c r="U240" i="2"/>
  <c r="U294" i="2"/>
  <c r="U683" i="2"/>
  <c r="U430" i="2"/>
  <c r="U681" i="2"/>
  <c r="U1534" i="2"/>
  <c r="U12" i="2"/>
  <c r="U1808" i="2"/>
  <c r="U914" i="2"/>
  <c r="U678" i="2"/>
  <c r="U48" i="2"/>
  <c r="U875" i="2"/>
  <c r="U1535" i="2"/>
  <c r="U1249" i="2"/>
  <c r="U1012" i="2"/>
  <c r="U574" i="2"/>
  <c r="U1695" i="2"/>
  <c r="U241" i="2"/>
  <c r="U51" i="2"/>
  <c r="U568" i="2"/>
  <c r="U689" i="2"/>
  <c r="U1469" i="2"/>
  <c r="U952" i="2"/>
  <c r="U1856" i="2"/>
  <c r="U413" i="2"/>
  <c r="U1577" i="2"/>
  <c r="U496" i="2"/>
  <c r="U1663" i="2"/>
  <c r="U803" i="2"/>
  <c r="U523" i="2"/>
  <c r="U1166" i="2"/>
  <c r="U1716" i="2"/>
  <c r="U110" i="2"/>
  <c r="U594" i="2"/>
  <c r="U107" i="2"/>
  <c r="U145" i="2"/>
  <c r="U1295" i="2"/>
  <c r="U210" i="2"/>
  <c r="U608" i="2"/>
  <c r="U301" i="2"/>
  <c r="U113" i="2"/>
  <c r="U583" i="2"/>
  <c r="U423" i="2"/>
  <c r="U1546" i="2"/>
  <c r="U647" i="2"/>
  <c r="U239" i="2"/>
  <c r="U272" i="2"/>
  <c r="U1298" i="2"/>
  <c r="U873" i="2"/>
  <c r="U466" i="2"/>
  <c r="U30" i="2"/>
  <c r="U1477" i="2"/>
  <c r="U1280" i="2"/>
  <c r="U225" i="2"/>
  <c r="U1576" i="2"/>
  <c r="U231" i="2"/>
  <c r="U1426" i="2"/>
  <c r="U412" i="2"/>
  <c r="U91" i="2"/>
  <c r="U384" i="2"/>
  <c r="U470" i="2"/>
  <c r="U437" i="2"/>
  <c r="U509" i="2"/>
  <c r="U1850" i="2"/>
  <c r="U933" i="2"/>
  <c r="U905" i="2"/>
  <c r="U1433" i="2"/>
  <c r="U1396" i="2"/>
  <c r="U714" i="2"/>
  <c r="U1222" i="2"/>
  <c r="U480" i="2"/>
  <c r="U395" i="2"/>
  <c r="U1676" i="2"/>
  <c r="U1170" i="2"/>
  <c r="U56" i="2"/>
  <c r="U425" i="2"/>
  <c r="U1174" i="2"/>
  <c r="U149" i="2"/>
  <c r="U112" i="2"/>
  <c r="U429" i="2"/>
  <c r="U1683" i="2"/>
  <c r="U834" i="2"/>
  <c r="U893" i="2"/>
  <c r="U926" i="2"/>
  <c r="U1630" i="2"/>
  <c r="U507" i="2"/>
  <c r="U1582" i="2"/>
  <c r="U1756" i="2"/>
  <c r="U84" i="2"/>
  <c r="U874" i="2"/>
  <c r="U981" i="2"/>
  <c r="U865" i="2"/>
  <c r="U934" i="2"/>
  <c r="U468" i="2"/>
  <c r="U859" i="2"/>
  <c r="U1540" i="2"/>
  <c r="U1580" i="2"/>
  <c r="U818" i="2"/>
  <c r="U863" i="2"/>
  <c r="U1080" i="2"/>
  <c r="U1457" i="2"/>
  <c r="U1653" i="2"/>
  <c r="U1613" i="2"/>
  <c r="U424" i="2"/>
  <c r="U1221" i="2"/>
  <c r="U802" i="2"/>
  <c r="U1276" i="2"/>
  <c r="U1463" i="2"/>
  <c r="U943" i="2"/>
  <c r="U570" i="2"/>
  <c r="U982" i="2"/>
  <c r="U505" i="2"/>
  <c r="U607" i="2"/>
  <c r="U854" i="2"/>
  <c r="U151" i="2"/>
  <c r="U832" i="2"/>
  <c r="U1153" i="2"/>
  <c r="U1664" i="2"/>
  <c r="U244" i="2"/>
  <c r="U1134" i="2"/>
  <c r="U143" i="2"/>
  <c r="U232" i="2"/>
  <c r="U1414" i="2"/>
  <c r="U1125" i="2"/>
  <c r="U5" i="2"/>
  <c r="U764" i="2"/>
  <c r="U150" i="2"/>
  <c r="U1368" i="2"/>
  <c r="U1513" i="2"/>
  <c r="U752" i="2"/>
  <c r="U884" i="2"/>
  <c r="U817" i="2"/>
  <c r="U622" i="2"/>
  <c r="U1155" i="2"/>
  <c r="U361" i="2"/>
  <c r="U1201" i="2"/>
  <c r="U1087" i="2"/>
  <c r="U1204" i="2"/>
  <c r="U1095" i="2"/>
  <c r="U1402" i="2"/>
  <c r="U602" i="2"/>
  <c r="U483" i="2"/>
  <c r="U20" i="2"/>
  <c r="U57" i="2"/>
  <c r="U657" i="2"/>
  <c r="U712" i="2"/>
  <c r="U106" i="2"/>
  <c r="U195" i="2"/>
  <c r="U1722" i="2"/>
  <c r="U1000" i="2"/>
  <c r="U1085" i="2"/>
  <c r="U1625" i="2"/>
  <c r="U260" i="2"/>
  <c r="U357" i="2"/>
  <c r="U290" i="2"/>
  <c r="U1551" i="2"/>
  <c r="U360" i="2"/>
  <c r="U540" i="2"/>
  <c r="U1533" i="2"/>
  <c r="U1409" i="2"/>
  <c r="U1792" i="2"/>
  <c r="U494" i="2"/>
  <c r="U1362" i="2"/>
  <c r="U432" i="2"/>
  <c r="U1760" i="2"/>
  <c r="U1734" i="2"/>
  <c r="U1354" i="2"/>
  <c r="U912" i="2"/>
  <c r="U450" i="2"/>
  <c r="U1842" i="2"/>
  <c r="U1408" i="2"/>
  <c r="U877" i="2"/>
  <c r="U899" i="2"/>
  <c r="U1790" i="2"/>
  <c r="U1497" i="2"/>
  <c r="U179" i="2"/>
  <c r="U1710" i="2"/>
  <c r="U1830" i="2"/>
  <c r="U1729" i="2"/>
  <c r="U1363" i="2"/>
  <c r="U550" i="2"/>
  <c r="U1774" i="2"/>
  <c r="U780" i="2"/>
  <c r="U401" i="2"/>
  <c r="U1458" i="2"/>
  <c r="U474" i="2"/>
  <c r="U866" i="2"/>
  <c r="U582" i="2"/>
  <c r="U1355" i="2"/>
  <c r="U577" i="2"/>
  <c r="U835" i="2"/>
  <c r="U382" i="2"/>
  <c r="U1476" i="2"/>
  <c r="U1036" i="2"/>
  <c r="U1423" i="2"/>
  <c r="U757" i="2"/>
  <c r="U860" i="2"/>
  <c r="U103" i="2"/>
  <c r="U188" i="2"/>
  <c r="U904" i="2"/>
  <c r="U1802" i="2"/>
  <c r="U517" i="2"/>
  <c r="U881" i="2"/>
  <c r="U370" i="2"/>
  <c r="U1218" i="2"/>
  <c r="U848" i="2"/>
  <c r="U1415" i="2"/>
  <c r="U1195" i="2"/>
  <c r="U389" i="2"/>
  <c r="U1523" i="2"/>
  <c r="U917" i="2"/>
  <c r="U1658" i="2"/>
  <c r="U358" i="2"/>
  <c r="U1270" i="2"/>
  <c r="U1413" i="2"/>
  <c r="U740" i="2"/>
  <c r="U1757" i="2"/>
  <c r="U1809" i="2"/>
  <c r="U1082" i="2"/>
  <c r="U356" i="2"/>
  <c r="U903" i="2"/>
  <c r="U600" i="2"/>
  <c r="U115" i="2"/>
  <c r="U1610" i="2"/>
  <c r="U52" i="2"/>
  <c r="U1417" i="2"/>
  <c r="U1851" i="2"/>
  <c r="U1839" i="2"/>
  <c r="U937" i="2"/>
  <c r="U1003" i="2"/>
  <c r="U1420" i="2"/>
  <c r="U1391" i="2"/>
  <c r="U953" i="2"/>
  <c r="U1105" i="2"/>
  <c r="T1791" i="2" l="1"/>
  <c r="U1791" i="2" s="1"/>
  <c r="T493" i="2"/>
  <c r="U493" i="2" s="1"/>
  <c r="T1184" i="2"/>
  <c r="U1184" i="2" s="1"/>
  <c r="T1054" i="2"/>
  <c r="U1054" i="2" s="1"/>
  <c r="T537" i="2"/>
  <c r="U537" i="2" s="1"/>
  <c r="T1608" i="2"/>
  <c r="U1608" i="2" s="1"/>
  <c r="T163" i="2"/>
  <c r="U163" i="2" s="1"/>
  <c r="T1753" i="2"/>
  <c r="U1753" i="2" s="1"/>
  <c r="T1099" i="2"/>
  <c r="U1099" i="2" s="1"/>
  <c r="T1434" i="2"/>
  <c r="U1434" i="2" s="1"/>
  <c r="T804" i="2"/>
  <c r="U804" i="2" s="1"/>
  <c r="T1439" i="2"/>
  <c r="U1439" i="2" s="1"/>
  <c r="T421" i="2"/>
  <c r="U421" i="2" s="1"/>
  <c r="T286" i="2"/>
  <c r="U286" i="2" s="1"/>
  <c r="T971" i="2"/>
  <c r="U971" i="2" s="1"/>
  <c r="T339" i="2"/>
  <c r="U339" i="2" s="1"/>
  <c r="T668" i="2"/>
  <c r="U668" i="2" s="1"/>
  <c r="T1652" i="2"/>
  <c r="U1652" i="2" s="1"/>
  <c r="T326" i="2"/>
  <c r="U326" i="2" s="1"/>
  <c r="T1178" i="2"/>
  <c r="U1178" i="2" s="1"/>
  <c r="T962" i="2"/>
  <c r="U962" i="2" s="1"/>
  <c r="T1638" i="2"/>
  <c r="U1638" i="2" s="1"/>
  <c r="T1709" i="2"/>
  <c r="U1709" i="2" s="1"/>
  <c r="T1667" i="2"/>
  <c r="U1667" i="2" s="1"/>
  <c r="T1772" i="2"/>
  <c r="U1772" i="2" s="1"/>
  <c r="T765" i="2"/>
  <c r="U765" i="2" s="1"/>
  <c r="T545" i="2"/>
  <c r="U545" i="2" s="1"/>
  <c r="T1465" i="2"/>
  <c r="U1465" i="2" s="1"/>
  <c r="T948" i="2"/>
  <c r="U948" i="2" s="1"/>
  <c r="T335" i="2"/>
  <c r="U335" i="2" s="1"/>
  <c r="T1124" i="2"/>
  <c r="U1124" i="2" s="1"/>
  <c r="T170" i="2"/>
  <c r="U170" i="2" s="1"/>
  <c r="T1242" i="2"/>
  <c r="U1242" i="2" s="1"/>
  <c r="T900" i="2"/>
  <c r="U900" i="2" s="1"/>
  <c r="T337" i="2"/>
  <c r="U337" i="2" s="1"/>
  <c r="T539" i="2"/>
  <c r="U539" i="2" s="1"/>
  <c r="T918" i="2"/>
  <c r="U918" i="2" s="1"/>
  <c r="T692" i="2"/>
  <c r="U692" i="2" s="1"/>
  <c r="T436" i="2"/>
  <c r="T1411" i="2"/>
  <c r="T253" i="2"/>
  <c r="T33" i="2"/>
  <c r="U33" i="2" s="1"/>
  <c r="T319" i="2"/>
  <c r="U319" i="2" s="1"/>
  <c r="T24" i="2"/>
  <c r="U24" i="2" s="1"/>
  <c r="T201" i="2"/>
  <c r="U201" i="2" s="1"/>
  <c r="T121" i="2"/>
  <c r="U121" i="2" s="1"/>
  <c r="T676" i="2"/>
  <c r="U676" i="2" s="1"/>
  <c r="T1500" i="2"/>
  <c r="T1543" i="2"/>
  <c r="U1543" i="2" s="1"/>
  <c r="T451" i="2"/>
  <c r="U451" i="2" s="1"/>
  <c r="T353" i="2"/>
  <c r="U353" i="2" s="1"/>
  <c r="T684" i="2"/>
  <c r="U684" i="2" s="1"/>
  <c r="T819" i="2"/>
  <c r="U819" i="2" s="1"/>
  <c r="T1565" i="2"/>
  <c r="U1565" i="2" s="1"/>
  <c r="T656" i="2"/>
  <c r="U656" i="2" s="1"/>
  <c r="T1779" i="2"/>
  <c r="U1779" i="2" s="1"/>
  <c r="T1474" i="2"/>
  <c r="U1474" i="2" s="1"/>
  <c r="T1103" i="2"/>
  <c r="U1103" i="2" s="1"/>
  <c r="T1640" i="2"/>
  <c r="U1640" i="2" s="1"/>
  <c r="T1256" i="2"/>
  <c r="U1256" i="2" s="1"/>
  <c r="T1569" i="2"/>
  <c r="U1569" i="2" s="1"/>
  <c r="T744" i="2"/>
  <c r="U744" i="2" s="1"/>
  <c r="T1397" i="2"/>
  <c r="U1397" i="2" s="1"/>
  <c r="T1089" i="2"/>
  <c r="U1089" i="2" s="1"/>
  <c r="T1449" i="2"/>
  <c r="U1449" i="2" s="1"/>
  <c r="T1338" i="2"/>
  <c r="U1338" i="2" s="1"/>
  <c r="T1799" i="2"/>
  <c r="U1799" i="2" s="1"/>
  <c r="T1820" i="2"/>
  <c r="U1820" i="2" s="1"/>
  <c r="T864" i="2"/>
  <c r="U864" i="2" s="1"/>
  <c r="T1575" i="2"/>
  <c r="U1575" i="2" s="1"/>
  <c r="T840" i="2"/>
  <c r="T573" i="2"/>
  <c r="T1009" i="2"/>
  <c r="U1009" i="2" s="1"/>
  <c r="T1490" i="2"/>
  <c r="U1490" i="2" s="1"/>
  <c r="T1700" i="2"/>
  <c r="U1700" i="2" s="1"/>
  <c r="T1562" i="2"/>
  <c r="U1562" i="2" s="1"/>
  <c r="T1066" i="2"/>
  <c r="U1066" i="2" s="1"/>
  <c r="T1265" i="2"/>
  <c r="U1265" i="2" s="1"/>
  <c r="T1586" i="2"/>
  <c r="U1586" i="2" s="1"/>
  <c r="T1167" i="2"/>
  <c r="U1167" i="2" s="1"/>
  <c r="T1104" i="2"/>
  <c r="U1104" i="2" s="1"/>
  <c r="T1797" i="2"/>
  <c r="U1797" i="2" s="1"/>
  <c r="T140" i="2"/>
  <c r="U140" i="2" s="1"/>
  <c r="T1615" i="2"/>
  <c r="U1615" i="2" s="1"/>
  <c r="T498" i="2"/>
  <c r="U498" i="2" s="1"/>
  <c r="T1091" i="2"/>
  <c r="U1091" i="2" s="1"/>
  <c r="T739" i="2"/>
  <c r="U739" i="2" s="1"/>
  <c r="T630" i="2"/>
  <c r="T1810" i="2"/>
  <c r="U1810" i="2" s="1"/>
  <c r="T288" i="2"/>
  <c r="U288" i="2" s="1"/>
  <c r="T1216" i="2"/>
  <c r="U1216" i="2" s="1"/>
  <c r="T504" i="2"/>
  <c r="U504" i="2" s="1"/>
  <c r="T814" i="2"/>
  <c r="U814" i="2" s="1"/>
  <c r="T67" i="2"/>
  <c r="U67" i="2" s="1"/>
  <c r="T621" i="2"/>
  <c r="U621" i="2" s="1"/>
  <c r="T386" i="2"/>
  <c r="U386" i="2" s="1"/>
  <c r="T960" i="2"/>
  <c r="U960" i="2" s="1"/>
  <c r="T1761" i="2"/>
  <c r="U1761" i="2" s="1"/>
  <c r="T1300" i="2"/>
  <c r="U1300" i="2" s="1"/>
  <c r="T1632" i="2"/>
  <c r="U1632" i="2" s="1"/>
  <c r="T363" i="2"/>
  <c r="U363" i="2" s="1"/>
  <c r="T457" i="2"/>
  <c r="U457" i="2" s="1"/>
  <c r="T184" i="2"/>
  <c r="U184" i="2" s="1"/>
  <c r="T1325" i="2"/>
  <c r="U1325" i="2" s="1"/>
  <c r="T1334" i="2"/>
  <c r="U1334" i="2" s="1"/>
  <c r="T1605" i="2"/>
  <c r="U1605" i="2" s="1"/>
  <c r="T1765" i="2"/>
  <c r="U1765" i="2" s="1"/>
  <c r="T1273" i="2"/>
  <c r="U1273" i="2" s="1"/>
  <c r="T10" i="2"/>
  <c r="U10" i="2" s="1"/>
  <c r="T279" i="2"/>
  <c r="U279" i="2" s="1"/>
  <c r="T94" i="2"/>
  <c r="U94" i="2" s="1"/>
  <c r="T1277" i="2"/>
  <c r="U1277" i="2" s="1"/>
  <c r="T1304" i="2"/>
  <c r="U1304" i="2" s="1"/>
  <c r="T1425" i="2"/>
  <c r="U1425" i="2" s="1"/>
  <c r="T479" i="2"/>
  <c r="U479" i="2" s="1"/>
  <c r="T442" i="2"/>
  <c r="U442" i="2" s="1"/>
  <c r="T883" i="2"/>
  <c r="U883" i="2" s="1"/>
  <c r="T959" i="2"/>
  <c r="U959" i="2" s="1"/>
  <c r="T1038" i="2"/>
  <c r="U1038" i="2" s="1"/>
  <c r="T1549" i="2"/>
  <c r="U1549" i="2" s="1"/>
  <c r="T1512" i="2"/>
  <c r="U1512" i="2" s="1"/>
  <c r="T561" i="2"/>
  <c r="U561" i="2" s="1"/>
  <c r="T748" i="2"/>
  <c r="T1193" i="2"/>
  <c r="U1193" i="2" s="1"/>
  <c r="T513" i="2"/>
  <c r="U513" i="2" s="1"/>
  <c r="T1108" i="2"/>
  <c r="U1108" i="2" s="1"/>
  <c r="T117" i="2"/>
  <c r="U117" i="2" s="1"/>
  <c r="T1206" i="2"/>
  <c r="U1206" i="2" s="1"/>
  <c r="T334" i="2"/>
  <c r="U334" i="2" s="1"/>
  <c r="T955" i="2"/>
  <c r="U955" i="2" s="1"/>
  <c r="T1530" i="2"/>
  <c r="U1530" i="2" s="1"/>
  <c r="T1587" i="2"/>
  <c r="U1587" i="2" s="1"/>
  <c r="T202" i="2"/>
  <c r="U202" i="2" s="1"/>
  <c r="T1162" i="2"/>
  <c r="U1162" i="2" s="1"/>
  <c r="T420" i="2"/>
  <c r="U420" i="2" s="1"/>
  <c r="T1454" i="2"/>
  <c r="U1454" i="2" s="1"/>
  <c r="T1188" i="2"/>
  <c r="U1188" i="2" s="1"/>
  <c r="T932" i="2"/>
  <c r="U932" i="2" s="1"/>
  <c r="T1316" i="2"/>
  <c r="U1316" i="2" s="1"/>
  <c r="T223" i="2"/>
  <c r="U223" i="2" s="1"/>
  <c r="T1100" i="2"/>
  <c r="U1100" i="2" s="1"/>
  <c r="T1596" i="2"/>
  <c r="U1596" i="2" s="1"/>
  <c r="T726" i="2"/>
  <c r="U726" i="2" s="1"/>
  <c r="T1287" i="2"/>
  <c r="U1287" i="2" s="1"/>
  <c r="T1079" i="2"/>
  <c r="U1079" i="2" s="1"/>
  <c r="T606" i="2"/>
  <c r="U606" i="2" s="1"/>
  <c r="T1351" i="2"/>
  <c r="U1351" i="2" s="1"/>
  <c r="T85" i="2"/>
  <c r="U85" i="2" s="1"/>
  <c r="T1678" i="2"/>
  <c r="U1678" i="2" s="1"/>
  <c r="T1011" i="2"/>
  <c r="U1011" i="2" s="1"/>
  <c r="T1646" i="2"/>
  <c r="U1646" i="2" s="1"/>
  <c r="T173" i="2"/>
  <c r="U173" i="2" s="1"/>
  <c r="T1253" i="2"/>
  <c r="U1253" i="2" s="1"/>
  <c r="T1013" i="2"/>
  <c r="U1013" i="2" s="1"/>
  <c r="T351" i="2"/>
  <c r="U351" i="2" s="1"/>
  <c r="T829" i="2"/>
  <c r="U829" i="2" s="1"/>
  <c r="T569" i="2"/>
  <c r="U569" i="2" s="1"/>
  <c r="T685" i="2"/>
  <c r="U685" i="2" s="1"/>
  <c r="T1049" i="2"/>
  <c r="U1049" i="2" s="1"/>
  <c r="T1345" i="2"/>
  <c r="U1345" i="2" s="1"/>
  <c r="T1107" i="2"/>
  <c r="U1107" i="2" s="1"/>
  <c r="T1819" i="2"/>
  <c r="U1819" i="2" s="1"/>
  <c r="T87" i="2"/>
  <c r="U87" i="2" s="1"/>
  <c r="T999" i="2"/>
  <c r="U999" i="2" s="1"/>
  <c r="T1631" i="2"/>
  <c r="U1631" i="2" s="1"/>
  <c r="T801" i="2"/>
  <c r="U801" i="2" s="1"/>
  <c r="T1347" i="2"/>
  <c r="U1347" i="2" s="1"/>
  <c r="T1340" i="2"/>
  <c r="U1340" i="2" s="1"/>
  <c r="T191" i="2"/>
  <c r="U191" i="2" s="1"/>
  <c r="T663" i="2"/>
  <c r="U663" i="2" s="1"/>
  <c r="T946" i="2"/>
  <c r="U946" i="2" s="1"/>
  <c r="T1750" i="2"/>
  <c r="U1750" i="2" s="1"/>
  <c r="T1572" i="2"/>
  <c r="U1572" i="2" s="1"/>
  <c r="T236" i="2"/>
  <c r="U236" i="2" s="1"/>
  <c r="T1042" i="2"/>
  <c r="U1042" i="2" s="1"/>
  <c r="T1699" i="2"/>
  <c r="U1699" i="2" s="1"/>
  <c r="T640" i="2"/>
  <c r="U640" i="2" s="1"/>
  <c r="T1235" i="2"/>
  <c r="U1235" i="2" s="1"/>
  <c r="T415" i="2"/>
  <c r="U415" i="2" s="1"/>
  <c r="T36" i="2"/>
  <c r="U36" i="2" s="1"/>
  <c r="T1262" i="2"/>
  <c r="U1262" i="2" s="1"/>
  <c r="T444" i="2"/>
  <c r="U444" i="2" s="1"/>
  <c r="T1271" i="2"/>
  <c r="U1271" i="2" s="1"/>
  <c r="T1544" i="2"/>
  <c r="U1544" i="2" s="1"/>
  <c r="T1230" i="2"/>
  <c r="U1230" i="2" s="1"/>
  <c r="T1237" i="2"/>
  <c r="U1237" i="2" s="1"/>
  <c r="T1690" i="2"/>
  <c r="U1690" i="2" s="1"/>
  <c r="T925" i="2"/>
  <c r="U925" i="2" s="1"/>
  <c r="T1432" i="2"/>
  <c r="U1432" i="2" s="1"/>
  <c r="T1744" i="2"/>
  <c r="U1744" i="2" s="1"/>
  <c r="T1311" i="2"/>
  <c r="U1311" i="2" s="1"/>
  <c r="T180" i="2"/>
  <c r="U180" i="2" s="1"/>
  <c r="T396" i="2"/>
  <c r="U396" i="2" s="1"/>
  <c r="T522" i="2"/>
  <c r="U522" i="2" s="1"/>
  <c r="T1217" i="2"/>
  <c r="U1217" i="2" s="1"/>
  <c r="T469" i="2"/>
  <c r="U469" i="2" s="1"/>
  <c r="T1448" i="2"/>
  <c r="U1448" i="2" s="1"/>
  <c r="T1127" i="2"/>
  <c r="U1127" i="2" s="1"/>
  <c r="T407" i="2"/>
  <c r="U407" i="2" s="1"/>
  <c r="T1231" i="2"/>
  <c r="T1303" i="2"/>
  <c r="U1303" i="2" s="1"/>
  <c r="T242" i="2"/>
  <c r="U242" i="2" s="1"/>
  <c r="T543" i="2"/>
  <c r="U543" i="2" s="1"/>
  <c r="T1148" i="2"/>
  <c r="U1148" i="2" s="1"/>
  <c r="T1406" i="2"/>
  <c r="U1406" i="2" s="1"/>
  <c r="T901" i="2"/>
  <c r="U901" i="2" s="1"/>
  <c r="T1508" i="2"/>
  <c r="U1508" i="2" s="1"/>
  <c r="T715" i="2"/>
  <c r="U715" i="2" s="1"/>
  <c r="T707" i="2"/>
  <c r="U707" i="2" s="1"/>
  <c r="T531" i="2"/>
  <c r="U531" i="2" s="1"/>
  <c r="T1832" i="2"/>
  <c r="U1832" i="2" s="1"/>
  <c r="T920" i="2"/>
  <c r="U920" i="2" s="1"/>
  <c r="T653" i="2"/>
  <c r="U653" i="2" s="1"/>
  <c r="T1619" i="2"/>
  <c r="U1619" i="2" s="1"/>
  <c r="T300" i="2"/>
  <c r="U300" i="2" s="1"/>
  <c r="T1138" i="2"/>
  <c r="T181" i="2"/>
  <c r="U181" i="2" s="1"/>
  <c r="T1451" i="2"/>
  <c r="U1451" i="2" s="1"/>
  <c r="T611" i="2"/>
  <c r="U611" i="2" s="1"/>
  <c r="T919" i="2"/>
  <c r="U919" i="2" s="1"/>
  <c r="T199" i="2"/>
  <c r="U199" i="2" s="1"/>
  <c r="T1275" i="2"/>
  <c r="U1275" i="2" s="1"/>
  <c r="T452" i="2"/>
  <c r="U452" i="2" s="1"/>
  <c r="T175" i="2"/>
  <c r="U175" i="2" s="1"/>
  <c r="T362" i="2"/>
  <c r="U362" i="2" s="1"/>
  <c r="T476" i="2"/>
  <c r="U476" i="2" s="1"/>
  <c r="T1008" i="2"/>
  <c r="U1008" i="2" s="1"/>
  <c r="T1156" i="2"/>
  <c r="U1156" i="2" s="1"/>
  <c r="T72" i="2"/>
  <c r="U72" i="2" s="1"/>
  <c r="T66" i="2"/>
  <c r="U66" i="2" s="1"/>
  <c r="T942" i="2"/>
  <c r="U942" i="2" s="1"/>
  <c r="T734" i="2"/>
  <c r="U734" i="2" s="1"/>
  <c r="T592" i="2"/>
  <c r="U592" i="2" s="1"/>
  <c r="T408" i="2"/>
  <c r="U408" i="2" s="1"/>
  <c r="T433" i="2"/>
  <c r="T1197" i="2"/>
  <c r="U1197" i="2" s="1"/>
  <c r="T349" i="2"/>
  <c r="U349" i="2" s="1"/>
  <c r="T1770" i="2"/>
  <c r="U1770" i="2" s="1"/>
  <c r="T226" i="2"/>
  <c r="U226" i="2" s="1"/>
  <c r="T671" i="2"/>
  <c r="U671" i="2" s="1"/>
  <c r="T1037" i="2"/>
  <c r="U1037" i="2" s="1"/>
  <c r="T440" i="2"/>
  <c r="U440" i="2" s="1"/>
  <c r="T546" i="2"/>
  <c r="U546" i="2" s="1"/>
  <c r="T26" i="2"/>
  <c r="U26" i="2" s="1"/>
  <c r="T1186" i="2"/>
  <c r="U1186" i="2" s="1"/>
  <c r="T116" i="2"/>
  <c r="U116" i="2" s="1"/>
  <c r="T763" i="2"/>
  <c r="T944" i="2"/>
  <c r="U944" i="2" s="1"/>
  <c r="T1317" i="2"/>
  <c r="U1317" i="2" s="1"/>
  <c r="T1048" i="2"/>
  <c r="U1048" i="2" s="1"/>
  <c r="T1655" i="2"/>
  <c r="T729" i="2"/>
  <c r="U729" i="2" s="1"/>
  <c r="T1252" i="2"/>
  <c r="U1252" i="2" s="1"/>
  <c r="T508" i="2"/>
  <c r="U508" i="2" s="1"/>
  <c r="T1322" i="2"/>
  <c r="U1322" i="2" s="1"/>
  <c r="T767" i="2"/>
  <c r="U767" i="2" s="1"/>
  <c r="T155" i="2"/>
  <c r="U155" i="2" s="1"/>
  <c r="T1728" i="2"/>
  <c r="U1728" i="2" s="1"/>
  <c r="T1149" i="2"/>
  <c r="U1149" i="2" s="1"/>
  <c r="T1092" i="2"/>
  <c r="U1092" i="2" s="1"/>
  <c r="T750" i="2"/>
  <c r="U750" i="2" s="1"/>
  <c r="T153" i="2"/>
  <c r="U153" i="2" s="1"/>
  <c r="T62" i="2"/>
  <c r="U62" i="2" s="1"/>
  <c r="T1119" i="2"/>
  <c r="U1119" i="2" s="1"/>
  <c r="T1263" i="2"/>
  <c r="U1263" i="2" s="1"/>
  <c r="T580" i="2"/>
  <c r="U580" i="2" s="1"/>
  <c r="T1028" i="2"/>
  <c r="U1028" i="2" s="1"/>
  <c r="T219" i="2"/>
  <c r="U219" i="2" s="1"/>
  <c r="T1597" i="2"/>
  <c r="U1597" i="2" s="1"/>
  <c r="T306" i="2"/>
  <c r="U306" i="2" s="1"/>
  <c r="T1452" i="2"/>
  <c r="U1452" i="2" s="1"/>
  <c r="T254" i="2"/>
  <c r="T1382" i="2"/>
  <c r="U1382" i="2" s="1"/>
  <c r="T637" i="2"/>
  <c r="U637" i="2" s="1"/>
  <c r="T459" i="2"/>
  <c r="U459" i="2" s="1"/>
  <c r="T822" i="2"/>
  <c r="U822" i="2" s="1"/>
  <c r="T1430" i="2"/>
  <c r="U1430" i="2" s="1"/>
  <c r="T566" i="2"/>
  <c r="T38" i="2"/>
  <c r="T1283" i="2"/>
  <c r="U1283" i="2" s="1"/>
  <c r="T842" i="2"/>
  <c r="U842" i="2" s="1"/>
  <c r="T754" i="2"/>
  <c r="U754" i="2" s="1"/>
  <c r="T977" i="2"/>
  <c r="U977" i="2" s="1"/>
  <c r="T1618" i="2"/>
  <c r="U1618" i="2" s="1"/>
  <c r="T446" i="2"/>
  <c r="U446" i="2" s="1"/>
  <c r="T1140" i="2"/>
  <c r="U1140" i="2" s="1"/>
  <c r="T1556" i="2"/>
  <c r="U1556" i="2" s="1"/>
  <c r="T969" i="2"/>
  <c r="U969" i="2" s="1"/>
  <c r="T18" i="2"/>
  <c r="U18" i="2" s="1"/>
  <c r="T1065" i="2"/>
  <c r="U1065" i="2" s="1"/>
  <c r="T1320" i="2"/>
  <c r="U1320" i="2" s="1"/>
  <c r="T314" i="2"/>
  <c r="U314" i="2" s="1"/>
  <c r="T190" i="2"/>
  <c r="U190" i="2" s="1"/>
  <c r="T49" i="2"/>
  <c r="U49" i="2" s="1"/>
  <c r="T1268" i="2"/>
  <c r="U1268" i="2" s="1"/>
  <c r="T379" i="2"/>
  <c r="U379" i="2" s="1"/>
  <c r="T488" i="2"/>
  <c r="U488" i="2" s="1"/>
  <c r="T722" i="2"/>
  <c r="U722" i="2" s="1"/>
  <c r="T1383" i="2"/>
  <c r="U1383" i="2" s="1"/>
  <c r="T833" i="2"/>
  <c r="U833" i="2" s="1"/>
  <c r="T1768" i="2"/>
  <c r="U1768" i="2" s="1"/>
  <c r="T542" i="2"/>
  <c r="U542" i="2" s="1"/>
  <c r="T1485" i="2"/>
  <c r="U1485" i="2" s="1"/>
  <c r="T1350" i="2"/>
  <c r="U1350" i="2" s="1"/>
  <c r="T34" i="2"/>
  <c r="U34" i="2" s="1"/>
  <c r="T742" i="2"/>
  <c r="U742" i="2" s="1"/>
  <c r="T402" i="2"/>
  <c r="U402" i="2" s="1"/>
  <c r="T1005" i="2"/>
  <c r="U1005" i="2" s="1"/>
  <c r="T1507" i="2"/>
  <c r="U1507" i="2" s="1"/>
  <c r="T1665" i="2"/>
  <c r="U1665" i="2" s="1"/>
  <c r="T596" i="2"/>
  <c r="U596" i="2" s="1"/>
  <c r="T235" i="2"/>
  <c r="U235" i="2" s="1"/>
  <c r="T1594" i="2"/>
  <c r="T675" i="2"/>
  <c r="U675" i="2" s="1"/>
  <c r="T1524" i="2"/>
  <c r="U1524" i="2" s="1"/>
  <c r="T1501" i="2"/>
  <c r="U1501" i="2" s="1"/>
  <c r="T1366" i="2"/>
  <c r="U1366" i="2" s="1"/>
  <c r="T333" i="2"/>
  <c r="U333" i="2" s="1"/>
  <c r="T853" i="2"/>
  <c r="U853" i="2" s="1"/>
  <c r="T1688" i="2"/>
  <c r="U1688" i="2" s="1"/>
  <c r="T1567" i="2"/>
  <c r="U1567" i="2" s="1"/>
  <c r="T850" i="2"/>
  <c r="U850" i="2" s="1"/>
  <c r="T1289" i="2"/>
  <c r="U1289" i="2" s="1"/>
  <c r="T456" i="2"/>
  <c r="U456" i="2" s="1"/>
  <c r="T1115" i="2"/>
  <c r="U1115" i="2" s="1"/>
  <c r="T1769" i="2"/>
  <c r="U1769" i="2" s="1"/>
  <c r="T1600" i="2"/>
  <c r="U1600" i="2" s="1"/>
  <c r="T1643" i="2"/>
  <c r="U1643" i="2" s="1"/>
  <c r="T521" i="2"/>
  <c r="U521" i="2" s="1"/>
  <c r="T1745" i="2"/>
  <c r="U1745" i="2" s="1"/>
  <c r="T723" i="2"/>
  <c r="U723" i="2" s="1"/>
  <c r="T310" i="2"/>
  <c r="U310" i="2" s="1"/>
  <c r="T1751" i="2"/>
  <c r="U1751" i="2" s="1"/>
  <c r="T1620" i="2"/>
  <c r="U1620" i="2" s="1"/>
  <c r="T1326" i="2"/>
  <c r="U1326" i="2" s="1"/>
  <c r="T1603" i="2"/>
  <c r="U1603" i="2" s="1"/>
  <c r="T1394" i="2"/>
  <c r="U1394" i="2" s="1"/>
  <c r="T1088" i="2"/>
  <c r="U1088" i="2" s="1"/>
  <c r="T1696" i="2"/>
  <c r="U1696" i="2" s="1"/>
  <c r="T1807" i="2"/>
  <c r="U1807" i="2" s="1"/>
  <c r="T426" i="2"/>
  <c r="U426" i="2" s="1"/>
  <c r="T1707" i="2"/>
  <c r="U1707" i="2" s="1"/>
  <c r="T65" i="2"/>
  <c r="U65" i="2" s="1"/>
  <c r="T410" i="2"/>
  <c r="U410" i="2" s="1"/>
  <c r="T1855" i="2"/>
  <c r="U1855" i="2" s="1"/>
  <c r="T794" i="2"/>
  <c r="U794" i="2" s="1"/>
  <c r="T1051" i="2"/>
  <c r="U1051" i="2" s="1"/>
  <c r="T628" i="2"/>
  <c r="U628" i="2" s="1"/>
  <c r="T218" i="2"/>
  <c r="U218" i="2" s="1"/>
  <c r="T261" i="2"/>
  <c r="U261" i="2" s="1"/>
  <c r="T460" i="2"/>
  <c r="U460" i="2" s="1"/>
  <c r="T867" i="2"/>
  <c r="U867" i="2" s="1"/>
  <c r="T957" i="2"/>
  <c r="U957" i="2" s="1"/>
  <c r="T1016" i="2"/>
  <c r="U1016" i="2" s="1"/>
  <c r="T419" i="2"/>
  <c r="U419" i="2" s="1"/>
  <c r="T1763" i="2"/>
  <c r="U1763" i="2" s="1"/>
  <c r="T1102" i="2"/>
  <c r="U1102" i="2" s="1"/>
  <c r="T1612" i="2"/>
  <c r="U1612" i="2" s="1"/>
  <c r="T268" i="2"/>
  <c r="T328" i="2"/>
  <c r="U328" i="2" s="1"/>
  <c r="T1636" i="2"/>
  <c r="U1636" i="2" s="1"/>
  <c r="T1257" i="2"/>
  <c r="U1257" i="2" s="1"/>
  <c r="T1330" i="2"/>
  <c r="U1330" i="2" s="1"/>
  <c r="T588" i="2"/>
  <c r="U588" i="2" s="1"/>
  <c r="T1398" i="2"/>
  <c r="U1398" i="2" s="1"/>
  <c r="T222" i="2"/>
  <c r="U222" i="2" s="1"/>
  <c r="T21" i="2"/>
  <c r="U21" i="2" s="1"/>
  <c r="T1566" i="2"/>
  <c r="U1566" i="2" s="1"/>
  <c r="T1229" i="2"/>
  <c r="U1229" i="2" s="1"/>
  <c r="T409" i="2"/>
  <c r="U409" i="2" s="1"/>
  <c r="T798" i="2"/>
  <c r="U798" i="2" s="1"/>
  <c r="T1522" i="2"/>
  <c r="U1522" i="2" s="1"/>
  <c r="T670" i="2"/>
  <c r="U670" i="2" s="1"/>
  <c r="T701" i="2"/>
  <c r="U701" i="2" s="1"/>
  <c r="T923" i="2"/>
  <c r="U923" i="2" s="1"/>
  <c r="T938" i="2"/>
  <c r="U938" i="2" s="1"/>
  <c r="T788" i="2"/>
  <c r="U788" i="2" s="1"/>
  <c r="T283" i="2"/>
  <c r="U283" i="2" s="1"/>
  <c r="T53" i="2"/>
  <c r="U53" i="2" s="1"/>
  <c r="T1126" i="2"/>
  <c r="U1126" i="2" s="1"/>
  <c r="T1365" i="2"/>
  <c r="U1365" i="2" s="1"/>
  <c r="T447" i="2"/>
  <c r="U447" i="2" s="1"/>
  <c r="T1795" i="2"/>
  <c r="U1795" i="2" s="1"/>
  <c r="T1143" i="2"/>
  <c r="U1143" i="2" s="1"/>
  <c r="T200" i="2"/>
  <c r="U200" i="2" s="1"/>
  <c r="T114" i="2"/>
  <c r="U114" i="2" s="1"/>
  <c r="T791" i="2"/>
  <c r="U791" i="2" s="1"/>
  <c r="T879" i="2"/>
  <c r="U879" i="2" s="1"/>
  <c r="T1571" i="2"/>
  <c r="U1571" i="2" s="1"/>
  <c r="T604" i="2"/>
  <c r="U604" i="2" s="1"/>
  <c r="T717" i="2"/>
  <c r="U717" i="2" s="1"/>
  <c r="T1097" i="2"/>
  <c r="U1097" i="2" s="1"/>
  <c r="T359" i="2"/>
  <c r="U359" i="2" s="1"/>
  <c r="T771" i="2"/>
  <c r="U771" i="2" s="1"/>
  <c r="T346" i="2"/>
  <c r="U346" i="2" s="1"/>
  <c r="T906" i="2"/>
  <c r="U906" i="2" s="1"/>
  <c r="T1132" i="2"/>
  <c r="U1132" i="2" s="1"/>
  <c r="T1106" i="2"/>
  <c r="U1106" i="2" s="1"/>
  <c r="T1215" i="2"/>
  <c r="U1215" i="2" s="1"/>
  <c r="T830" i="2"/>
  <c r="U830" i="2" s="1"/>
  <c r="T974" i="2"/>
  <c r="U974" i="2" s="1"/>
  <c r="T964" i="2"/>
  <c r="U964" i="2" s="1"/>
  <c r="T320" i="2"/>
  <c r="U320" i="2" s="1"/>
  <c r="T998" i="2"/>
  <c r="U998" i="2" s="1"/>
  <c r="T176" i="2"/>
  <c r="U176" i="2" s="1"/>
  <c r="T99" i="2"/>
  <c r="U99" i="2" s="1"/>
  <c r="T927" i="2"/>
  <c r="U927" i="2" s="1"/>
  <c r="T945" i="2"/>
  <c r="U945" i="2" s="1"/>
  <c r="T1073" i="2"/>
  <c r="U1073" i="2" s="1"/>
  <c r="T394" i="2"/>
  <c r="U394" i="2" s="1"/>
  <c r="T414" i="2"/>
  <c r="U414" i="2" s="1"/>
  <c r="T718" i="2"/>
  <c r="U718" i="2" s="1"/>
  <c r="T826" i="2"/>
  <c r="U826" i="2" s="1"/>
  <c r="T1517" i="2"/>
  <c r="U1517" i="2" s="1"/>
  <c r="T1789" i="2"/>
  <c r="U1789" i="2" s="1"/>
  <c r="T512" i="2"/>
  <c r="U512" i="2" s="1"/>
  <c r="T1843" i="2"/>
  <c r="U1843" i="2" s="1"/>
  <c r="T1694" i="2"/>
  <c r="U1694" i="2" s="1"/>
  <c r="T167" i="2"/>
  <c r="U167" i="2" s="1"/>
  <c r="T203" i="2"/>
  <c r="U203" i="2" s="1"/>
  <c r="T772" i="2"/>
  <c r="U772" i="2" s="1"/>
  <c r="T599" i="2"/>
  <c r="U599" i="2" s="1"/>
  <c r="T1129" i="2"/>
  <c r="U1129" i="2" s="1"/>
  <c r="T1456" i="2"/>
  <c r="U1456" i="2" s="1"/>
  <c r="T1400" i="2"/>
  <c r="U1400" i="2" s="1"/>
  <c r="T618" i="2"/>
  <c r="U618" i="2" s="1"/>
  <c r="T645" i="2"/>
  <c r="U645" i="2" s="1"/>
  <c r="T876" i="2"/>
  <c r="U876" i="2" s="1"/>
  <c r="T909" i="2"/>
  <c r="U909" i="2" s="1"/>
  <c r="T1094" i="2"/>
  <c r="U1094" i="2" s="1"/>
  <c r="T182" i="2"/>
  <c r="U182" i="2" s="1"/>
  <c r="T262" i="2"/>
  <c r="U262" i="2" s="1"/>
  <c r="T1680" i="2"/>
  <c r="U1680" i="2" s="1"/>
  <c r="T908" i="2"/>
  <c r="U908" i="2" s="1"/>
  <c r="T1473" i="2"/>
  <c r="U1473" i="2" s="1"/>
  <c r="T524" i="2"/>
  <c r="U524" i="2" s="1"/>
  <c r="T931" i="2"/>
  <c r="U931" i="2" s="1"/>
  <c r="T956" i="2"/>
  <c r="U956" i="2" s="1"/>
  <c r="T364" i="2"/>
  <c r="U364" i="2" s="1"/>
  <c r="T1487" i="2"/>
  <c r="U1487" i="2" s="1"/>
  <c r="T1267" i="2"/>
  <c r="U1267" i="2" s="1"/>
  <c r="T1527" i="2"/>
  <c r="U1527" i="2" s="1"/>
  <c r="T1687" i="2"/>
  <c r="U1687" i="2" s="1"/>
  <c r="T662" i="2"/>
  <c r="U662" i="2" s="1"/>
  <c r="T1670" i="2"/>
  <c r="U1670" i="2" s="1"/>
  <c r="T322" i="2"/>
  <c r="U322" i="2" s="1"/>
  <c r="T1633" i="2"/>
  <c r="U1633" i="2" s="1"/>
  <c r="T1367" i="2"/>
  <c r="U1367" i="2" s="1"/>
  <c r="T1711" i="2"/>
  <c r="U1711" i="2" s="1"/>
  <c r="T1528" i="2"/>
  <c r="U1528" i="2" s="1"/>
  <c r="T22" i="2"/>
  <c r="T258" i="2"/>
  <c r="U258" i="2" s="1"/>
  <c r="T317" i="2"/>
  <c r="U317" i="2" s="1"/>
  <c r="T1137" i="2"/>
  <c r="U1137" i="2" s="1"/>
  <c r="T1778" i="2"/>
  <c r="U1778" i="2" s="1"/>
  <c r="T1703" i="2"/>
  <c r="U1703" i="2" s="1"/>
  <c r="T1136" i="2"/>
  <c r="T464" i="2"/>
  <c r="U464" i="2" s="1"/>
  <c r="T1190" i="2"/>
  <c r="U1190" i="2" s="1"/>
  <c r="T1672" i="2"/>
  <c r="U1672" i="2" s="1"/>
  <c r="T1499" i="2"/>
  <c r="U1499" i="2" s="1"/>
  <c r="T978" i="2"/>
  <c r="U978" i="2" s="1"/>
  <c r="T1058" i="2"/>
  <c r="U1058" i="2" s="1"/>
  <c r="T1194" i="2"/>
  <c r="U1194" i="2" s="1"/>
  <c r="T192" i="2"/>
  <c r="U192" i="2" s="1"/>
  <c r="T1766" i="2"/>
  <c r="U1766" i="2" s="1"/>
  <c r="T1052" i="2"/>
  <c r="U1052" i="2" s="1"/>
  <c r="T1060" i="2"/>
  <c r="U1060" i="2" s="1"/>
  <c r="T572" i="2"/>
  <c r="U572" i="2" s="1"/>
  <c r="T538" i="2"/>
  <c r="U538" i="2" s="1"/>
  <c r="T1165" i="2"/>
  <c r="U1165" i="2" s="1"/>
  <c r="T837" i="2"/>
  <c r="U837" i="2" s="1"/>
  <c r="T313" i="2"/>
  <c r="U313" i="2" s="1"/>
  <c r="T281" i="2"/>
  <c r="U281" i="2" s="1"/>
  <c r="T1244" i="2"/>
  <c r="U1244" i="2" s="1"/>
  <c r="T706" i="2"/>
  <c r="U706" i="2" s="1"/>
  <c r="T1261" i="2"/>
  <c r="U1261" i="2" s="1"/>
  <c r="T559" i="2"/>
  <c r="U559" i="2" s="1"/>
  <c r="T1015" i="2"/>
  <c r="U1015" i="2" s="1"/>
  <c r="T269" i="2"/>
  <c r="U269" i="2" s="1"/>
  <c r="T9" i="2"/>
  <c r="U9" i="2" s="1"/>
  <c r="T1758" i="2"/>
  <c r="U1758" i="2" s="1"/>
  <c r="T886" i="2"/>
  <c r="U886" i="2" s="1"/>
  <c r="T1622" i="2"/>
  <c r="U1622" i="2" s="1"/>
  <c r="T238" i="2"/>
  <c r="U238" i="2" s="1"/>
  <c r="T1826" i="2"/>
  <c r="U1826" i="2" s="1"/>
  <c r="T1705" i="2"/>
  <c r="T1151" i="2"/>
  <c r="U1151" i="2" s="1"/>
  <c r="T1650" i="2"/>
  <c r="U1650" i="2" s="1"/>
  <c r="T1532" i="2"/>
  <c r="U1532" i="2" s="1"/>
  <c r="T584" i="2"/>
  <c r="U584" i="2" s="1"/>
  <c r="T19" i="2"/>
  <c r="U19" i="2" s="1"/>
  <c r="T710" i="2"/>
  <c r="U710" i="2" s="1"/>
  <c r="T1401" i="2"/>
  <c r="U1401" i="2" s="1"/>
  <c r="T641" i="2"/>
  <c r="U641" i="2" s="1"/>
  <c r="T1245" i="2"/>
  <c r="U1245" i="2" s="1"/>
  <c r="T947" i="2"/>
  <c r="U947" i="2" s="1"/>
  <c r="T174" i="2"/>
  <c r="U174" i="2" s="1"/>
  <c r="T1649" i="2"/>
  <c r="U1649" i="2" s="1"/>
  <c r="T1635" i="2"/>
  <c r="U1635" i="2" s="1"/>
  <c r="T1563" i="2"/>
  <c r="U1563" i="2" s="1"/>
  <c r="T1142" i="2"/>
  <c r="U1142" i="2" s="1"/>
  <c r="T1583" i="2"/>
  <c r="U1583" i="2" s="1"/>
  <c r="T126" i="2"/>
  <c r="U126" i="2" s="1"/>
  <c r="T332" i="2"/>
  <c r="U332" i="2" s="1"/>
  <c r="T730" i="2"/>
  <c r="U730" i="2" s="1"/>
  <c r="T1754" i="2"/>
  <c r="U1754" i="2" s="1"/>
  <c r="T655" i="2"/>
  <c r="U655" i="2" s="1"/>
  <c r="T302" i="2"/>
  <c r="U302" i="2" s="1"/>
  <c r="T1834" i="2"/>
  <c r="U1834" i="2" s="1"/>
  <c r="T1724" i="2"/>
  <c r="U1724" i="2" s="1"/>
  <c r="T1369" i="2"/>
  <c r="U1369" i="2" s="1"/>
  <c r="T741" i="2"/>
  <c r="U741" i="2" s="1"/>
  <c r="T443" i="2"/>
  <c r="U443" i="2" s="1"/>
  <c r="T1502" i="2"/>
  <c r="U1502" i="2" s="1"/>
  <c r="T575" i="2"/>
  <c r="U575" i="2" s="1"/>
  <c r="T1624" i="2"/>
  <c r="U1624" i="2" s="1"/>
  <c r="T1133" i="2"/>
  <c r="U1133" i="2" s="1"/>
  <c r="T1811" i="2"/>
  <c r="U1811" i="2" s="1"/>
  <c r="T973" i="2"/>
  <c r="U973" i="2" s="1"/>
  <c r="T264" i="2"/>
  <c r="T340" i="2"/>
  <c r="U340" i="2" s="1"/>
  <c r="T1234" i="2"/>
  <c r="U1234" i="2" s="1"/>
  <c r="T1803" i="2"/>
  <c r="U1803" i="2" s="1"/>
  <c r="T845" i="2"/>
  <c r="U845" i="2" s="1"/>
  <c r="T843" i="2"/>
  <c r="U843" i="2" s="1"/>
  <c r="T438" i="2"/>
  <c r="U438" i="2" s="1"/>
  <c r="T273" i="2"/>
  <c r="U273" i="2" s="1"/>
  <c r="T100" i="2"/>
  <c r="U100" i="2" s="1"/>
  <c r="T8" i="2"/>
  <c r="U8" i="2" s="1"/>
  <c r="T825" i="2"/>
  <c r="U825" i="2" s="1"/>
  <c r="T601" i="2"/>
  <c r="U601" i="2" s="1"/>
  <c r="T435" i="2"/>
  <c r="U435" i="2" s="1"/>
  <c r="T61" i="2"/>
  <c r="U61" i="2" s="1"/>
  <c r="T1077" i="2"/>
  <c r="U1077" i="2" s="1"/>
  <c r="T1441" i="2"/>
  <c r="T961" i="2"/>
  <c r="U961" i="2" s="1"/>
  <c r="T1712" i="2"/>
  <c r="U1712" i="2" s="1"/>
  <c r="T673" i="2"/>
  <c r="U673" i="2" s="1"/>
  <c r="T97" i="2"/>
  <c r="U97" i="2" s="1"/>
  <c r="T1424" i="2"/>
  <c r="U1424" i="2" s="1"/>
  <c r="T562" i="2"/>
  <c r="U562" i="2" s="1"/>
  <c r="T1585" i="2"/>
  <c r="U1585" i="2" s="1"/>
  <c r="T1288" i="2"/>
  <c r="U1288" i="2" s="1"/>
  <c r="T856" i="2"/>
  <c r="U856" i="2" s="1"/>
  <c r="T520" i="2"/>
  <c r="U520" i="2" s="1"/>
  <c r="T1199" i="2"/>
  <c r="U1199" i="2" s="1"/>
  <c r="T141" i="2"/>
  <c r="U141" i="2" s="1"/>
  <c r="T1333" i="2"/>
  <c r="U1333" i="2" s="1"/>
  <c r="T1538" i="2"/>
  <c r="U1538" i="2" s="1"/>
  <c r="T1436" i="2"/>
  <c r="U1436" i="2" s="1"/>
  <c r="T747" i="2"/>
  <c r="U747" i="2" s="1"/>
  <c r="T987" i="2"/>
  <c r="U987" i="2" s="1"/>
  <c r="T252" i="2"/>
  <c r="U252" i="2" s="1"/>
  <c r="T185" i="2"/>
  <c r="U185" i="2" s="1"/>
  <c r="T700" i="2"/>
  <c r="U700" i="2" s="1"/>
  <c r="T756" i="2"/>
  <c r="U756" i="2" s="1"/>
  <c r="T1023" i="2"/>
  <c r="U1023" i="2" s="1"/>
  <c r="T1364" i="2"/>
  <c r="U1364" i="2" s="1"/>
  <c r="T1294" i="2"/>
  <c r="U1294" i="2" s="1"/>
  <c r="T1348" i="2"/>
  <c r="U1348" i="2" s="1"/>
  <c r="T1045" i="2"/>
  <c r="U1045" i="2" s="1"/>
  <c r="T1634" i="2"/>
  <c r="U1634" i="2" s="1"/>
  <c r="T1339" i="2"/>
  <c r="U1339" i="2" s="1"/>
  <c r="T501" i="2"/>
  <c r="U501" i="2" s="1"/>
  <c r="T1352" i="2"/>
  <c r="U1352" i="2" s="1"/>
  <c r="T597" i="2"/>
  <c r="U597" i="2" s="1"/>
  <c r="T1090" i="2"/>
  <c r="U1090" i="2" s="1"/>
  <c r="T745" i="2"/>
  <c r="U745" i="2" s="1"/>
  <c r="T852" i="2"/>
  <c r="U852" i="2" s="1"/>
  <c r="T1123" i="2"/>
  <c r="U1123" i="2" s="1"/>
  <c r="T71" i="2"/>
  <c r="U71" i="2" s="1"/>
  <c r="T1660" i="2"/>
  <c r="U1660" i="2" s="1"/>
  <c r="T193" i="2"/>
  <c r="U193" i="2" s="1"/>
  <c r="T448" i="2"/>
  <c r="U448" i="2" s="1"/>
  <c r="T1617" i="2"/>
  <c r="U1617" i="2" s="1"/>
  <c r="T1817" i="2"/>
  <c r="U1817" i="2" s="1"/>
  <c r="T610" i="2"/>
  <c r="U610" i="2" s="1"/>
  <c r="T1293" i="2"/>
  <c r="U1293" i="2" s="1"/>
  <c r="T1525" i="2"/>
  <c r="U1525" i="2" s="1"/>
  <c r="T1674" i="2"/>
  <c r="U1674" i="2" s="1"/>
  <c r="T1375" i="2"/>
  <c r="U1375" i="2" s="1"/>
  <c r="T1214" i="2"/>
  <c r="U1214" i="2" s="1"/>
  <c r="T1698" i="2"/>
  <c r="U1698" i="2" s="1"/>
  <c r="T786" i="2"/>
  <c r="U786" i="2" s="1"/>
  <c r="T366" i="2"/>
  <c r="U366" i="2" s="1"/>
  <c r="T711" i="2"/>
  <c r="U711" i="2" s="1"/>
  <c r="T47" i="2"/>
  <c r="U47" i="2" s="1"/>
  <c r="T274" i="2"/>
  <c r="U274" i="2" s="1"/>
  <c r="T1238" i="2"/>
  <c r="U1238" i="2" s="1"/>
  <c r="T1359" i="2"/>
  <c r="U1359" i="2" s="1"/>
  <c r="T35" i="2"/>
  <c r="U35" i="2" s="1"/>
  <c r="T1837" i="2"/>
  <c r="U1837" i="2" s="1"/>
  <c r="T221" i="2"/>
  <c r="U221" i="2" s="1"/>
  <c r="T776" i="2"/>
  <c r="U776" i="2" s="1"/>
  <c r="T1315" i="2"/>
  <c r="U1315" i="2" s="1"/>
  <c r="T1313" i="2"/>
  <c r="U1313" i="2" s="1"/>
  <c r="T1116" i="2"/>
  <c r="U1116" i="2" s="1"/>
  <c r="T1341" i="2"/>
  <c r="U1341" i="2" s="1"/>
  <c r="T1332" i="2"/>
  <c r="U1332" i="2" s="1"/>
  <c r="T617" i="2"/>
  <c r="U617" i="2" s="1"/>
  <c r="T1661" i="2"/>
  <c r="U1661" i="2" s="1"/>
  <c r="T1064" i="2"/>
  <c r="U1064" i="2" s="1"/>
  <c r="T308" i="2"/>
  <c r="U308" i="2" s="1"/>
  <c r="T595" i="2"/>
  <c r="U595" i="2" s="1"/>
  <c r="T376" i="2"/>
  <c r="U376" i="2" s="1"/>
  <c r="T157" i="2"/>
  <c r="U157" i="2" s="1"/>
  <c r="T224" i="2"/>
  <c r="U224" i="2" s="1"/>
  <c r="T171" i="2"/>
  <c r="U171" i="2" s="1"/>
  <c r="T753" i="2"/>
  <c r="U753" i="2" s="1"/>
  <c r="T1331" i="2"/>
  <c r="U1331" i="2" s="1"/>
  <c r="T629" i="2"/>
  <c r="U629" i="2" s="1"/>
  <c r="T1266" i="2"/>
  <c r="U1266" i="2" s="1"/>
  <c r="T1278" i="2"/>
  <c r="U1278" i="2" s="1"/>
  <c r="T1189" i="2"/>
  <c r="U1189" i="2" s="1"/>
  <c r="T1224" i="2"/>
  <c r="U1224" i="2" s="1"/>
  <c r="T1642" i="2"/>
  <c r="U1642" i="2" s="1"/>
  <c r="T207" i="2"/>
  <c r="U207" i="2" s="1"/>
  <c r="T76" i="2"/>
  <c r="U76" i="2" s="1"/>
  <c r="T1460" i="2"/>
  <c r="U1460" i="2" s="1"/>
  <c r="T354" i="2"/>
  <c r="U354" i="2" s="1"/>
  <c r="T1318" i="2"/>
  <c r="U1318" i="2" s="1"/>
  <c r="T1053" i="2"/>
  <c r="U1053" i="2" s="1"/>
  <c r="T330" i="2"/>
  <c r="U330" i="2" s="1"/>
  <c r="T492" i="2"/>
  <c r="U492" i="2" s="1"/>
  <c r="T1648" i="2"/>
  <c r="U1648" i="2" s="1"/>
  <c r="T88" i="2"/>
  <c r="U88" i="2" s="1"/>
  <c r="T1001" i="2"/>
  <c r="U1001" i="2" s="1"/>
  <c r="T897" i="2"/>
  <c r="U897" i="2" s="1"/>
  <c r="T1343" i="2"/>
  <c r="U1343" i="2" s="1"/>
  <c r="T490" i="2"/>
  <c r="U490" i="2" s="1"/>
  <c r="T347" i="2"/>
  <c r="U347" i="2" s="1"/>
  <c r="T1179" i="2"/>
  <c r="U1179" i="2" s="1"/>
  <c r="T439" i="2"/>
  <c r="U439" i="2" s="1"/>
  <c r="T178" i="2"/>
  <c r="U178" i="2" s="1"/>
  <c r="T1684" i="2"/>
  <c r="U1684" i="2" s="1"/>
  <c r="T304" i="2"/>
  <c r="U304" i="2" s="1"/>
  <c r="T1296" i="2"/>
  <c r="U1296" i="2" s="1"/>
  <c r="T248" i="2"/>
  <c r="U248" i="2" s="1"/>
  <c r="T42" i="2"/>
  <c r="U42" i="2" s="1"/>
  <c r="T871" i="2"/>
  <c r="U871" i="2" s="1"/>
  <c r="T954" i="2"/>
  <c r="U954" i="2" s="1"/>
  <c r="T720" i="2"/>
  <c r="U720" i="2" s="1"/>
  <c r="T1845" i="2"/>
  <c r="U1845" i="2" s="1"/>
  <c r="T1793" i="2"/>
  <c r="U1793" i="2" s="1"/>
  <c r="T316" i="2"/>
  <c r="U316" i="2" s="1"/>
  <c r="T120" i="2"/>
  <c r="U120" i="2" s="1"/>
  <c r="T1109" i="2"/>
  <c r="U1109" i="2" s="1"/>
  <c r="T371" i="2"/>
  <c r="U371" i="2" s="1"/>
  <c r="T1604" i="2"/>
  <c r="U1604" i="2" s="1"/>
  <c r="T467" i="2"/>
  <c r="U467" i="2" s="1"/>
  <c r="T1074" i="2"/>
  <c r="U1074" i="2" s="1"/>
  <c r="T1708" i="2"/>
  <c r="U1708" i="2" s="1"/>
  <c r="T642" i="2"/>
  <c r="U642" i="2" s="1"/>
  <c r="T1679" i="2"/>
  <c r="U1679" i="2" s="1"/>
  <c r="T589" i="2"/>
  <c r="U589" i="2" s="1"/>
  <c r="T1297" i="2"/>
  <c r="U1297" i="2" s="1"/>
  <c r="T870" i="2"/>
  <c r="U870" i="2" s="1"/>
  <c r="T1033" i="2"/>
  <c r="U1033" i="2" s="1"/>
  <c r="T1616" i="2"/>
  <c r="U1616" i="2" s="1"/>
  <c r="T627" i="2"/>
  <c r="U627" i="2" s="1"/>
  <c r="T733" i="2"/>
  <c r="U733" i="2" s="1"/>
  <c r="T93" i="2"/>
  <c r="U93" i="2" s="1"/>
  <c r="T1644" i="2"/>
  <c r="U1644" i="2" s="1"/>
  <c r="T1531" i="2"/>
  <c r="U1531" i="2" s="1"/>
  <c r="T1833" i="2"/>
  <c r="U1833" i="2" s="1"/>
  <c r="T217" i="2"/>
  <c r="U217" i="2" s="1"/>
  <c r="T166" i="2"/>
  <c r="U166" i="2" s="1"/>
  <c r="T152" i="2"/>
  <c r="U152" i="2" s="1"/>
  <c r="T169" i="2"/>
  <c r="U169" i="2" s="1"/>
  <c r="T1255" i="2"/>
  <c r="U1255" i="2" s="1"/>
  <c r="T1557" i="2"/>
  <c r="U1557" i="2" s="1"/>
  <c r="T1841" i="2"/>
  <c r="U1841" i="2" s="1"/>
  <c r="T1177" i="2"/>
  <c r="U1177" i="2" s="1"/>
  <c r="T1553" i="2"/>
  <c r="U1553" i="2" s="1"/>
  <c r="T1239" i="2"/>
  <c r="U1239" i="2" s="1"/>
  <c r="T381" i="2"/>
  <c r="U381" i="2" s="1"/>
  <c r="T287" i="2"/>
  <c r="U287" i="2" s="1"/>
  <c r="T1816" i="2"/>
  <c r="U1816" i="2" s="1"/>
  <c r="T1438" i="2"/>
  <c r="U1438" i="2" s="1"/>
  <c r="T77" i="2"/>
  <c r="U77" i="2" s="1"/>
  <c r="T1559" i="2"/>
  <c r="U1559" i="2" s="1"/>
  <c r="T345" i="2"/>
  <c r="U345" i="2" s="1"/>
  <c r="T1203" i="2"/>
  <c r="U1203" i="2" s="1"/>
  <c r="T1146" i="2"/>
  <c r="U1146" i="2" s="1"/>
  <c r="T1223" i="2"/>
  <c r="U1223" i="2" s="1"/>
  <c r="T1783" i="2"/>
  <c r="U1783" i="2" s="1"/>
  <c r="T593" i="2"/>
  <c r="U593" i="2" s="1"/>
  <c r="T15" i="2"/>
  <c r="U15" i="2" s="1"/>
  <c r="T1697" i="2"/>
  <c r="U1697" i="2" s="1"/>
  <c r="T43" i="2"/>
  <c r="U43" i="2" s="1"/>
  <c r="T46" i="2"/>
  <c r="U46" i="2" s="1"/>
  <c r="T1526" i="2"/>
  <c r="U1526" i="2" s="1"/>
  <c r="T1071" i="2"/>
  <c r="U1071" i="2" s="1"/>
  <c r="T571" i="2"/>
  <c r="U571" i="2" s="1"/>
  <c r="T323" i="2"/>
  <c r="U323" i="2" s="1"/>
  <c r="T1723" i="2"/>
  <c r="U1723" i="2" s="1"/>
  <c r="T1444" i="2"/>
  <c r="U1444" i="2" s="1"/>
  <c r="T404" i="2"/>
  <c r="U404" i="2" s="1"/>
  <c r="T1558" i="2"/>
  <c r="U1558" i="2" s="1"/>
  <c r="T83" i="2"/>
  <c r="U83" i="2" s="1"/>
  <c r="T189" i="2"/>
  <c r="U189" i="2" s="1"/>
  <c r="T1647" i="2"/>
  <c r="U1647" i="2" s="1"/>
  <c r="T1379" i="2"/>
  <c r="U1379" i="2" s="1"/>
  <c r="T311" i="2"/>
  <c r="U311" i="2" s="1"/>
  <c r="T535" i="2"/>
  <c r="U535" i="2" s="1"/>
  <c r="T1220" i="2"/>
  <c r="U1220" i="2" s="1"/>
  <c r="T245" i="2"/>
  <c r="U245" i="2" s="1"/>
  <c r="T1685" i="2"/>
  <c r="U1685" i="2" s="1"/>
  <c r="T1328" i="2"/>
  <c r="U1328" i="2" s="1"/>
  <c r="T1601" i="2"/>
  <c r="U1601" i="2" s="1"/>
  <c r="T797" i="2"/>
  <c r="U797" i="2" s="1"/>
  <c r="T2" i="2"/>
  <c r="T50" i="2"/>
  <c r="U50" i="2" s="1"/>
  <c r="T1386" i="2"/>
  <c r="U1386" i="2" s="1"/>
  <c r="T125" i="2"/>
  <c r="U125" i="2" s="1"/>
  <c r="T1815" i="2"/>
  <c r="U1815" i="2" s="1"/>
  <c r="T649" i="2"/>
  <c r="U649" i="2" s="1"/>
  <c r="T1007" i="2"/>
  <c r="U1007" i="2" s="1"/>
  <c r="T632" i="2"/>
  <c r="U632" i="2" s="1"/>
  <c r="T7" i="2"/>
  <c r="U7" i="2" s="1"/>
  <c r="T39" i="2"/>
  <c r="U39" i="2" s="1"/>
  <c r="T760" i="2"/>
  <c r="U760" i="2" s="1"/>
  <c r="T768" i="2"/>
  <c r="U768" i="2" s="1"/>
  <c r="T929" i="2"/>
  <c r="U929" i="2" s="1"/>
  <c r="T1662" i="2"/>
  <c r="U1662" i="2" s="1"/>
  <c r="T23" i="2"/>
  <c r="U23" i="2" s="1"/>
  <c r="T1274" i="2"/>
  <c r="U1274" i="2" s="1"/>
  <c r="T331" i="2"/>
  <c r="U331" i="2" s="1"/>
  <c r="T142" i="2"/>
  <c r="U142" i="2" s="1"/>
  <c r="T1324" i="2"/>
  <c r="U1324" i="2" s="1"/>
  <c r="T58" i="2"/>
  <c r="U58" i="2" s="1"/>
  <c r="T186" i="2"/>
  <c r="U186" i="2" s="1"/>
  <c r="T1047" i="2"/>
  <c r="U1047" i="2" s="1"/>
  <c r="T28" i="2"/>
  <c r="U28" i="2" s="1"/>
  <c r="T1141" i="2"/>
  <c r="U1141" i="2" s="1"/>
  <c r="T636" i="2"/>
  <c r="U636" i="2" s="1"/>
  <c r="T1312" i="2"/>
  <c r="U1312" i="2" s="1"/>
  <c r="T828" i="2"/>
  <c r="U828" i="2" s="1"/>
  <c r="T1568" i="2"/>
  <c r="U1568" i="2" s="1"/>
  <c r="T1628" i="2"/>
  <c r="U1628" i="2" s="1"/>
  <c r="T1657" i="2"/>
  <c r="U1657" i="2" s="1"/>
  <c r="T1026" i="2"/>
  <c r="U1026" i="2" s="1"/>
  <c r="T1488" i="2"/>
  <c r="U1488" i="2" s="1"/>
  <c r="T1232" i="2"/>
  <c r="U1232" i="2" s="1"/>
  <c r="T556" i="2"/>
  <c r="U556" i="2" s="1"/>
  <c r="T1574" i="2"/>
  <c r="U1574" i="2" s="1"/>
  <c r="T1259" i="2"/>
  <c r="U1259" i="2" s="1"/>
  <c r="T725" i="2"/>
  <c r="U725" i="2" s="1"/>
  <c r="T913" i="2"/>
  <c r="U913" i="2" s="1"/>
  <c r="T132" i="2"/>
  <c r="U132" i="2" s="1"/>
  <c r="T1069" i="2"/>
  <c r="U1069" i="2" s="1"/>
  <c r="T731" i="2"/>
  <c r="U731" i="2" s="1"/>
  <c r="T1486" i="2"/>
  <c r="U1486" i="2" s="1"/>
  <c r="T758" i="2"/>
  <c r="U758" i="2" s="1"/>
  <c r="T1159" i="2"/>
  <c r="U1159" i="2" s="1"/>
  <c r="T968" i="2"/>
  <c r="U968" i="2" s="1"/>
  <c r="T70" i="2"/>
  <c r="U70" i="2" s="1"/>
  <c r="T1410" i="2"/>
  <c r="U1410" i="2" s="1"/>
  <c r="T325" i="2"/>
  <c r="U325" i="2" s="1"/>
  <c r="T824" i="2"/>
  <c r="U824" i="2" s="1"/>
  <c r="T1258" i="2"/>
  <c r="U1258" i="2" s="1"/>
  <c r="T60" i="2"/>
  <c r="U60" i="2" s="1"/>
  <c r="T1651" i="2"/>
  <c r="U1651" i="2" s="1"/>
  <c r="T1552" i="2"/>
  <c r="U1552" i="2" s="1"/>
  <c r="T1782" i="2"/>
  <c r="U1782" i="2" s="1"/>
  <c r="T674" i="2"/>
  <c r="U674" i="2" s="1"/>
  <c r="T800" i="2"/>
  <c r="U800" i="2" s="1"/>
  <c r="T612" i="2"/>
  <c r="U612" i="2" s="1"/>
  <c r="T1666" i="2"/>
  <c r="U1666" i="2" s="1"/>
  <c r="T541" i="2"/>
  <c r="U541" i="2" s="1"/>
  <c r="T259" i="2"/>
  <c r="U259" i="2" s="1"/>
  <c r="T463" i="2"/>
  <c r="U463" i="2" s="1"/>
  <c r="T265" i="2"/>
  <c r="U265" i="2" s="1"/>
  <c r="T197" i="2"/>
  <c r="U197" i="2" s="1"/>
  <c r="T1521" i="2"/>
  <c r="U1521" i="2" s="1"/>
  <c r="T813" i="2"/>
  <c r="U813" i="2" s="1"/>
  <c r="T1168" i="2"/>
  <c r="U1168" i="2" s="1"/>
  <c r="T478" i="2"/>
  <c r="U478" i="2" s="1"/>
  <c r="T127" i="2"/>
  <c r="U127" i="2" s="1"/>
  <c r="T880" i="2"/>
  <c r="U880" i="2" s="1"/>
  <c r="T965" i="2"/>
  <c r="U965" i="2" s="1"/>
  <c r="T434" i="2"/>
  <c r="U434" i="2" s="1"/>
  <c r="T32" i="2"/>
  <c r="U32" i="2" s="1"/>
  <c r="T13" i="2"/>
  <c r="U13" i="2" s="1"/>
  <c r="T1205" i="2"/>
  <c r="U1205" i="2" s="1"/>
  <c r="T1228" i="2"/>
  <c r="U1228" i="2" s="1"/>
  <c r="T307" i="2"/>
  <c r="U307" i="2" s="1"/>
  <c r="T693" i="2"/>
  <c r="U693" i="2" s="1"/>
  <c r="T950" i="2"/>
  <c r="U950" i="2" s="1"/>
  <c r="T315" i="2"/>
  <c r="U315" i="2" s="1"/>
  <c r="T1591" i="2"/>
  <c r="U1591" i="2" s="1"/>
  <c r="T650" i="2"/>
  <c r="U650" i="2" s="1"/>
  <c r="T1547" i="2"/>
  <c r="U1547" i="2" s="1"/>
  <c r="T887" i="2"/>
  <c r="U887" i="2" s="1"/>
  <c r="T590" i="2"/>
  <c r="U590" i="2" s="1"/>
  <c r="T1122" i="2"/>
  <c r="U1122" i="2" s="1"/>
  <c r="T1019" i="2"/>
  <c r="U1019" i="2" s="1"/>
  <c r="T889" i="2"/>
  <c r="U889" i="2" s="1"/>
  <c r="T991" i="2"/>
  <c r="U991" i="2" s="1"/>
  <c r="T1741" i="2"/>
  <c r="U1741" i="2" s="1"/>
  <c r="T995" i="2"/>
  <c r="U995" i="2" s="1"/>
  <c r="T1475" i="2"/>
  <c r="U1475" i="2" s="1"/>
  <c r="T1431" i="2"/>
  <c r="U1431" i="2" s="1"/>
  <c r="T1056" i="2"/>
  <c r="U1056" i="2" s="1"/>
  <c r="T416" i="2"/>
  <c r="U416" i="2" s="1"/>
  <c r="T233" i="2"/>
  <c r="U233" i="2" s="1"/>
  <c r="T481" i="2"/>
  <c r="U481" i="2" s="1"/>
  <c r="T230" i="2"/>
  <c r="U230" i="2" s="1"/>
  <c r="T104" i="2"/>
  <c r="U104" i="2" s="1"/>
  <c r="T44" i="2"/>
  <c r="U44" i="2" s="1"/>
  <c r="T1629" i="2"/>
  <c r="U1629" i="2" s="1"/>
  <c r="T775" i="2"/>
  <c r="U775" i="2" s="1"/>
  <c r="T530" i="2"/>
  <c r="U530" i="2" s="1"/>
  <c r="T1264" i="2"/>
  <c r="U1264" i="2" s="1"/>
  <c r="T387" i="2"/>
  <c r="U387" i="2" s="1"/>
  <c r="T552" i="2"/>
  <c r="U552" i="2" s="1"/>
  <c r="T1213" i="2"/>
  <c r="U1213" i="2" s="1"/>
  <c r="T1233" i="2"/>
  <c r="U1233" i="2" s="1"/>
  <c r="T1467" i="2"/>
  <c r="U1467" i="2" s="1"/>
  <c r="T388" i="2"/>
  <c r="U388" i="2" s="1"/>
  <c r="T820" i="2"/>
  <c r="U820" i="2" s="1"/>
  <c r="T1776" i="2"/>
  <c r="U1776" i="2" s="1"/>
  <c r="T888" i="2"/>
  <c r="U888" i="2" s="1"/>
  <c r="T428" i="2"/>
  <c r="U428" i="2" s="1"/>
  <c r="T1609" i="2"/>
  <c r="U1609" i="2" s="1"/>
  <c r="T458" i="2"/>
  <c r="U458" i="2" s="1"/>
  <c r="T529" i="2"/>
  <c r="U529" i="2" s="1"/>
  <c r="T81" i="2"/>
  <c r="U81" i="2" s="1"/>
  <c r="T1857" i="2"/>
  <c r="U1857" i="2" s="1"/>
  <c r="T105" i="2"/>
  <c r="U105" i="2" s="1"/>
  <c r="T1725" i="2"/>
  <c r="U1725" i="2" s="1"/>
  <c r="T1829" i="2"/>
  <c r="U1829" i="2" s="1"/>
  <c r="T1076" i="2"/>
  <c r="U1076" i="2" s="1"/>
  <c r="T454" i="2"/>
  <c r="U454" i="2" s="1"/>
  <c r="T4" i="2"/>
  <c r="U4" i="2" s="1"/>
  <c r="T1598" i="2"/>
  <c r="U1598" i="2" s="1"/>
  <c r="T1466" i="2"/>
  <c r="U1466" i="2" s="1"/>
  <c r="T579" i="2"/>
  <c r="U579" i="2" s="1"/>
  <c r="T732" i="2"/>
  <c r="U732" i="2" s="1"/>
  <c r="T532" i="2"/>
  <c r="U532" i="2" s="1"/>
  <c r="T391" i="2"/>
  <c r="U391" i="2" s="1"/>
  <c r="T1020" i="2"/>
  <c r="U1020" i="2" s="1"/>
  <c r="T1145" i="2"/>
  <c r="U1145" i="2" s="1"/>
  <c r="T1050" i="2"/>
  <c r="U1050" i="2" s="1"/>
  <c r="T1301" i="2"/>
  <c r="U1301" i="2" s="1"/>
  <c r="T691" i="2"/>
  <c r="U691" i="2" s="1"/>
  <c r="T1805" i="2"/>
  <c r="U1805" i="2" s="1"/>
  <c r="T910" i="2"/>
  <c r="U910" i="2" s="1"/>
  <c r="T1248" i="2"/>
  <c r="U1248" i="2" s="1"/>
  <c r="T1443" i="2"/>
  <c r="U1443" i="2" s="1"/>
  <c r="T1250" i="2"/>
  <c r="U1250" i="2" s="1"/>
  <c r="T1691" i="2"/>
  <c r="U1691" i="2" s="1"/>
  <c r="T1464" i="2"/>
  <c r="U1464" i="2" s="1"/>
  <c r="T1595" i="2"/>
  <c r="U1595" i="2" s="1"/>
  <c r="T1564" i="2"/>
  <c r="U1564" i="2" s="1"/>
  <c r="T1198" i="2"/>
  <c r="U1198" i="2" s="1"/>
  <c r="T1002" i="2"/>
  <c r="U1002" i="2" s="1"/>
  <c r="T1017" i="2"/>
  <c r="U1017" i="2" s="1"/>
  <c r="T1853" i="2"/>
  <c r="U1853" i="2" s="1"/>
  <c r="T1519" i="2"/>
  <c r="U1519" i="2" s="1"/>
  <c r="T851" i="2"/>
  <c r="U851" i="2" s="1"/>
  <c r="T1113" i="2"/>
  <c r="U1113" i="2" s="1"/>
  <c r="T1160" i="2"/>
  <c r="U1160" i="2" s="1"/>
  <c r="T1075" i="2"/>
  <c r="U1075" i="2" s="1"/>
  <c r="T576" i="2"/>
  <c r="U576" i="2" s="1"/>
  <c r="T139" i="2"/>
  <c r="U139" i="2" s="1"/>
  <c r="T585" i="2"/>
  <c r="U585" i="2" s="1"/>
  <c r="T1282" i="2"/>
  <c r="U1282" i="2" s="1"/>
  <c r="T342" i="2"/>
  <c r="U342" i="2" s="1"/>
  <c r="T554" i="2"/>
  <c r="U554" i="2" s="1"/>
  <c r="T162" i="2"/>
  <c r="U162" i="2" s="1"/>
  <c r="T324" i="2"/>
  <c r="U324" i="2" s="1"/>
  <c r="T1480" i="2"/>
  <c r="U1480" i="2" s="1"/>
  <c r="T958" i="2"/>
  <c r="U958" i="2" s="1"/>
  <c r="T975" i="2"/>
  <c r="U975" i="2" s="1"/>
  <c r="T1798" i="2"/>
  <c r="U1798" i="2" s="1"/>
  <c r="T1785" i="2"/>
  <c r="U1785" i="2" s="1"/>
  <c r="T631" i="2"/>
  <c r="U631" i="2" s="1"/>
  <c r="T738" i="2"/>
  <c r="U738" i="2" s="1"/>
  <c r="T82" i="2"/>
  <c r="U82" i="2" s="1"/>
  <c r="T1573" i="2"/>
  <c r="U1573" i="2" s="1"/>
  <c r="T1191" i="2"/>
  <c r="U1191" i="2" s="1"/>
  <c r="T1515" i="2"/>
  <c r="U1515" i="2" s="1"/>
  <c r="T1554" i="2"/>
  <c r="U1554" i="2" s="1"/>
  <c r="T1309" i="2"/>
  <c r="U1309" i="2" s="1"/>
  <c r="T368" i="2"/>
  <c r="U368" i="2" s="1"/>
  <c r="T1733" i="2"/>
  <c r="U1733" i="2" s="1"/>
  <c r="T1395" i="2"/>
  <c r="U1395" i="2" s="1"/>
  <c r="T1592" i="2"/>
  <c r="U1592" i="2" s="1"/>
  <c r="T1279" i="2"/>
  <c r="U1279" i="2" s="1"/>
  <c r="T688" i="2"/>
  <c r="U688" i="2" s="1"/>
  <c r="T1202" i="2"/>
  <c r="U1202" i="2" s="1"/>
  <c r="T128" i="2"/>
  <c r="U128" i="2" s="1"/>
  <c r="T564" i="2"/>
  <c r="U564" i="2" s="1"/>
  <c r="T303" i="2"/>
  <c r="U303" i="2" s="1"/>
  <c r="T291" i="2"/>
  <c r="U291" i="2" s="1"/>
  <c r="T270" i="2"/>
  <c r="U270" i="2" s="1"/>
  <c r="T769" i="2"/>
  <c r="U769" i="2" s="1"/>
  <c r="T465" i="2"/>
  <c r="U465" i="2" s="1"/>
  <c r="T418" i="2"/>
  <c r="U418" i="2" s="1"/>
  <c r="T336" i="2"/>
  <c r="U336" i="2" s="1"/>
  <c r="T1185" i="2"/>
  <c r="U1185" i="2" s="1"/>
  <c r="T1542" i="2"/>
  <c r="T808" i="2"/>
  <c r="U808" i="2" s="1"/>
  <c r="T1236" i="2"/>
  <c r="U1236" i="2" s="1"/>
  <c r="T1376" i="2"/>
  <c r="U1376" i="2" s="1"/>
  <c r="T1518" i="2"/>
  <c r="U1518" i="2" s="1"/>
  <c r="T1025" i="2"/>
  <c r="U1025" i="2" s="1"/>
  <c r="T1831" i="2"/>
  <c r="U1831" i="2" s="1"/>
  <c r="T1096" i="2"/>
  <c r="U1096" i="2" s="1"/>
  <c r="T69" i="2"/>
  <c r="U69" i="2" s="1"/>
  <c r="T133" i="2"/>
  <c r="U133" i="2" s="1"/>
  <c r="T216" i="2"/>
  <c r="U216" i="2" s="1"/>
  <c r="T620" i="2"/>
  <c r="U620" i="2" s="1"/>
  <c r="T1731" i="2"/>
  <c r="U1731" i="2" s="1"/>
  <c r="T1021" i="2"/>
  <c r="U1021" i="2" s="1"/>
  <c r="T341" i="2"/>
  <c r="U341" i="2" s="1"/>
  <c r="T615" i="2"/>
  <c r="U615" i="2" s="1"/>
  <c r="T385" i="2"/>
  <c r="U385" i="2" s="1"/>
  <c r="T1481" i="2"/>
  <c r="U1481" i="2" s="1"/>
  <c r="T553" i="2"/>
  <c r="U553" i="2" s="1"/>
  <c r="T427" i="2"/>
  <c r="U427" i="2" s="1"/>
  <c r="T1654" i="2"/>
  <c r="U1654" i="2" s="1"/>
  <c r="T672" i="2"/>
  <c r="U672" i="2" s="1"/>
  <c r="T25" i="2"/>
  <c r="U25" i="2" s="1"/>
  <c r="T1713" i="2"/>
  <c r="U1713" i="2" s="1"/>
  <c r="T972" i="2"/>
  <c r="U972" i="2" s="1"/>
  <c r="T812" i="2"/>
  <c r="U812" i="2" s="1"/>
  <c r="T161" i="2"/>
  <c r="U161" i="2" s="1"/>
  <c r="T1514" i="2"/>
  <c r="U1514" i="2" s="1"/>
  <c r="T1606" i="2"/>
  <c r="U1606" i="2" s="1"/>
  <c r="T989" i="2"/>
  <c r="U989" i="2" s="1"/>
  <c r="T806" i="2"/>
  <c r="U806" i="2" s="1"/>
  <c r="T1689" i="2"/>
  <c r="U1689" i="2" s="1"/>
  <c r="T1736" i="2"/>
  <c r="U1736" i="2" s="1"/>
  <c r="T1101" i="2"/>
  <c r="U1101" i="2" s="1"/>
  <c r="T246" i="2"/>
  <c r="U246" i="2" s="1"/>
  <c r="T1510" i="2"/>
  <c r="U1510" i="2" s="1"/>
  <c r="T1614" i="2"/>
  <c r="U1614" i="2" s="1"/>
  <c r="T1821" i="2"/>
  <c r="U1821" i="2" s="1"/>
  <c r="T613" i="2"/>
  <c r="U613" i="2" s="1"/>
  <c r="T1210" i="2"/>
  <c r="U1210" i="2" s="1"/>
  <c r="T1093" i="2"/>
  <c r="U1093" i="2" s="1"/>
  <c r="T1358" i="2"/>
  <c r="U1358" i="2" s="1"/>
  <c r="T1468" i="2"/>
  <c r="U1468" i="2" s="1"/>
  <c r="T1777" i="2"/>
  <c r="U1777" i="2" s="1"/>
  <c r="T1493" i="2"/>
  <c r="U1493" i="2" s="1"/>
  <c r="T1068" i="2"/>
  <c r="U1068" i="2" s="1"/>
  <c r="T922" i="2"/>
  <c r="U922" i="2" s="1"/>
  <c r="T1207" i="2"/>
  <c r="U1207" i="2" s="1"/>
  <c r="T807" i="2"/>
  <c r="U807" i="2" s="1"/>
  <c r="T477" i="2"/>
  <c r="U477" i="2" s="1"/>
  <c r="T55" i="2"/>
  <c r="U55" i="2" s="1"/>
  <c r="T1645" i="2"/>
  <c r="U1645" i="2" s="1"/>
  <c r="T1225" i="2"/>
  <c r="U1225" i="2" s="1"/>
  <c r="T1055" i="2"/>
  <c r="U1055" i="2" s="1"/>
  <c r="T558" i="2"/>
  <c r="U558" i="2" s="1"/>
  <c r="T930" i="2"/>
  <c r="U930" i="2" s="1"/>
  <c r="T1445" i="2"/>
  <c r="U1445" i="2" s="1"/>
  <c r="T453" i="2"/>
  <c r="U453" i="2" s="1"/>
  <c r="T198" i="2"/>
  <c r="U198" i="2" s="1"/>
  <c r="T660" i="2"/>
  <c r="U660" i="2" s="1"/>
  <c r="T102" i="2"/>
  <c r="U102" i="2" s="1"/>
  <c r="T1773" i="2"/>
  <c r="U1773" i="2" s="1"/>
  <c r="T1767" i="2"/>
  <c r="U1767" i="2" s="1"/>
  <c r="T1641" i="2"/>
  <c r="U1641" i="2" s="1"/>
  <c r="T885" i="2"/>
  <c r="U885" i="2" s="1"/>
  <c r="T560" i="2"/>
  <c r="U560" i="2" s="1"/>
  <c r="T1240" i="2"/>
  <c r="U1240" i="2" s="1"/>
  <c r="T1183" i="2"/>
  <c r="U1183" i="2" s="1"/>
  <c r="T1704" i="2"/>
  <c r="U1704" i="2" s="1"/>
  <c r="T949" i="2"/>
  <c r="U949" i="2" s="1"/>
  <c r="T1399" i="2"/>
  <c r="U1399" i="2" s="1"/>
  <c r="T939" i="2"/>
  <c r="U939" i="2" s="1"/>
  <c r="T405" i="2"/>
  <c r="U405" i="2" s="1"/>
  <c r="T1589" i="2"/>
  <c r="U1589" i="2" s="1"/>
  <c r="T1032" i="2"/>
  <c r="U1032" i="2" s="1"/>
  <c r="T1407" i="2"/>
  <c r="U1407" i="2" s="1"/>
  <c r="T669" i="2"/>
  <c r="U669" i="2" s="1"/>
  <c r="T1450" i="2"/>
  <c r="U1450" i="2" s="1"/>
  <c r="T587" i="2"/>
  <c r="U587" i="2" s="1"/>
  <c r="T1461" i="2"/>
  <c r="U1461" i="2" s="1"/>
  <c r="T234" i="2"/>
  <c r="U234" i="2" s="1"/>
  <c r="T92" i="2"/>
  <c r="U92" i="2" s="1"/>
  <c r="T1702" i="2"/>
  <c r="U1702" i="2" s="1"/>
  <c r="T1503" i="2"/>
  <c r="U1503" i="2" s="1"/>
  <c r="T762" i="2"/>
  <c r="U762" i="2" s="1"/>
  <c r="T229" i="2"/>
  <c r="U229" i="2" s="1"/>
  <c r="T1121" i="2"/>
  <c r="U1121" i="2" s="1"/>
  <c r="T298" i="2"/>
  <c r="U298" i="2" s="1"/>
  <c r="T1412" i="2"/>
  <c r="U1412" i="2" s="1"/>
  <c r="T1453" i="2"/>
  <c r="U1453" i="2" s="1"/>
  <c r="T1349" i="2"/>
  <c r="U1349" i="2" s="1"/>
  <c r="T1682" i="2"/>
  <c r="U1682" i="2" s="1"/>
  <c r="T719" i="2"/>
  <c r="U719" i="2" s="1"/>
  <c r="T1180" i="2"/>
  <c r="U1180" i="2" s="1"/>
  <c r="T1390" i="2"/>
  <c r="U1390" i="2" s="1"/>
  <c r="T1380" i="2"/>
  <c r="T1209" i="2"/>
  <c r="U1209" i="2" s="1"/>
  <c r="T528" i="2"/>
  <c r="U528" i="2" s="1"/>
  <c r="T1384" i="2"/>
  <c r="U1384" i="2" s="1"/>
  <c r="T1536" i="2"/>
  <c r="U1536" i="2" s="1"/>
  <c r="T1306" i="2"/>
  <c r="U1306" i="2" s="1"/>
  <c r="T614" i="2"/>
  <c r="U614" i="2" s="1"/>
  <c r="T1111" i="2"/>
  <c r="U1111" i="2" s="1"/>
  <c r="T625" i="2"/>
  <c r="U625" i="2" s="1"/>
  <c r="T1669" i="2"/>
  <c r="U1669" i="2" s="1"/>
  <c r="T1718" i="2"/>
  <c r="U1718" i="2" s="1"/>
  <c r="T165" i="2"/>
  <c r="U165" i="2" s="1"/>
  <c r="T664" i="2"/>
  <c r="U664" i="2" s="1"/>
  <c r="T1484" i="2"/>
  <c r="U1484" i="2" s="1"/>
  <c r="T1335" i="2"/>
  <c r="U1335" i="2" s="1"/>
  <c r="T988" i="2"/>
  <c r="U988" i="2" s="1"/>
  <c r="T1131" i="2"/>
  <c r="U1131" i="2" s="1"/>
  <c r="T365" i="2"/>
  <c r="U365" i="2" s="1"/>
  <c r="T502" i="2"/>
  <c r="U502" i="2" s="1"/>
  <c r="T533" i="2"/>
  <c r="U533" i="2" s="1"/>
  <c r="T1120" i="2"/>
  <c r="U1120" i="2" s="1"/>
  <c r="T1539" i="2"/>
  <c r="U1539" i="2" s="1"/>
  <c r="T1835" i="2"/>
  <c r="U1835" i="2" s="1"/>
  <c r="T755" i="2"/>
  <c r="U755" i="2" s="1"/>
  <c r="T411" i="2"/>
  <c r="U411" i="2" s="1"/>
  <c r="T1849" i="2"/>
  <c r="U1849" i="2" s="1"/>
  <c r="T1495" i="2"/>
  <c r="U1495" i="2" s="1"/>
  <c r="T1771" i="2"/>
  <c r="U1771" i="2" s="1"/>
  <c r="T746" i="2"/>
  <c r="U746" i="2" s="1"/>
  <c r="T1371" i="2"/>
  <c r="U1371" i="2" s="1"/>
  <c r="T455" i="2"/>
  <c r="U455" i="2" s="1"/>
  <c r="T338" i="2"/>
  <c r="U338" i="2" s="1"/>
  <c r="T924" i="2"/>
  <c r="U924" i="2" s="1"/>
  <c r="T1742" i="2"/>
  <c r="U1742" i="2" s="1"/>
  <c r="T1715" i="2"/>
  <c r="U1715" i="2" s="1"/>
  <c r="T525" i="2"/>
  <c r="U525" i="2" s="1"/>
  <c r="T1529" i="2"/>
  <c r="U1529" i="2" s="1"/>
  <c r="T994" i="2"/>
  <c r="U994" i="2" s="1"/>
  <c r="T709" i="2"/>
  <c r="U709" i="2" s="1"/>
  <c r="T638" i="2"/>
  <c r="U638" i="2" s="1"/>
  <c r="T1623" i="2"/>
  <c r="U1623" i="2" s="1"/>
  <c r="T805" i="2"/>
  <c r="U805" i="2" s="1"/>
  <c r="T697" i="2"/>
  <c r="U697" i="2" s="1"/>
  <c r="T130" i="2"/>
  <c r="U130" i="2" s="1"/>
  <c r="T515" i="2"/>
  <c r="U515" i="2" s="1"/>
  <c r="T1226" i="2"/>
  <c r="U1226" i="2" s="1"/>
  <c r="T1247" i="2"/>
  <c r="U1247" i="2" s="1"/>
  <c r="T1732" i="2"/>
  <c r="U1732" i="2" s="1"/>
  <c r="T970" i="2"/>
  <c r="U970" i="2" s="1"/>
  <c r="T1520" i="2"/>
  <c r="U1520" i="2" s="1"/>
  <c r="T1403" i="2"/>
  <c r="U1403" i="2" s="1"/>
  <c r="T1072" i="2"/>
  <c r="U1072" i="2" s="1"/>
  <c r="T1212" i="2"/>
  <c r="U1212" i="2" s="1"/>
  <c r="T567" i="2"/>
  <c r="U567" i="2" s="1"/>
  <c r="T696" i="2"/>
  <c r="U696" i="2" s="1"/>
  <c r="T1693" i="2"/>
  <c r="U1693" i="2" s="1"/>
  <c r="T1706" i="2"/>
  <c r="U1706" i="2" s="1"/>
  <c r="T1692" i="2"/>
  <c r="U1692" i="2" s="1"/>
  <c r="T907" i="2"/>
  <c r="U907" i="2" s="1"/>
  <c r="T1243" i="2"/>
  <c r="U1243" i="2" s="1"/>
  <c r="T292" i="2"/>
  <c r="U292" i="2" s="1"/>
  <c r="T1787" i="2"/>
  <c r="U1787" i="2" s="1"/>
  <c r="T1307" i="2"/>
  <c r="U1307" i="2" s="1"/>
  <c r="T1844" i="2"/>
  <c r="U1844" i="2" s="1"/>
  <c r="T1176" i="2"/>
  <c r="U1176" i="2" s="1"/>
  <c r="T164" i="2"/>
  <c r="U164" i="2" s="1"/>
  <c r="T648" i="2"/>
  <c r="U648" i="2" s="1"/>
  <c r="T609" i="2"/>
  <c r="U609" i="2" s="1"/>
  <c r="T1181" i="2"/>
  <c r="U1181" i="2" s="1"/>
  <c r="T519" i="2"/>
  <c r="U519" i="2" s="1"/>
  <c r="T369" i="2"/>
  <c r="U369" i="2" s="1"/>
  <c r="T482" i="2"/>
  <c r="U482" i="2" s="1"/>
  <c r="T295" i="2"/>
  <c r="U295" i="2" s="1"/>
  <c r="T651" i="2"/>
  <c r="U651" i="2" s="1"/>
  <c r="T1357" i="2"/>
  <c r="U1357" i="2" s="1"/>
  <c r="T257" i="2"/>
  <c r="U257" i="2" s="1"/>
  <c r="T1241" i="2"/>
  <c r="U1241" i="2" s="1"/>
  <c r="T1516" i="2"/>
  <c r="U1516" i="2" s="1"/>
  <c r="T172" i="2"/>
  <c r="U172" i="2" s="1"/>
  <c r="T516" i="2"/>
  <c r="U516" i="2" s="1"/>
  <c r="T255" i="2"/>
  <c r="U255" i="2" s="1"/>
  <c r="T280" i="2"/>
  <c r="U280" i="2" s="1"/>
  <c r="T511" i="2"/>
  <c r="U511" i="2" s="1"/>
  <c r="T713" i="2"/>
  <c r="U713" i="2" s="1"/>
  <c r="T251" i="2"/>
  <c r="U251" i="2" s="1"/>
  <c r="T398" i="2"/>
  <c r="U398" i="2" s="1"/>
  <c r="T1714" i="2"/>
  <c r="U1714" i="2" s="1"/>
  <c r="T716" i="2"/>
  <c r="U716" i="2" s="1"/>
  <c r="T761" i="2"/>
  <c r="U761" i="2" s="1"/>
  <c r="T677" i="2"/>
  <c r="U677" i="2" s="1"/>
  <c r="T1044" i="2"/>
  <c r="U1044" i="2" s="1"/>
  <c r="T1496" i="2"/>
  <c r="U1496" i="2" s="1"/>
  <c r="T1836" i="2"/>
  <c r="U1836" i="2" s="1"/>
  <c r="T1504" i="2"/>
  <c r="U1504" i="2" s="1"/>
  <c r="T3" i="2"/>
  <c r="U3" i="2" s="1"/>
  <c r="T634" i="2"/>
  <c r="U634" i="2" s="1"/>
  <c r="T17" i="2"/>
  <c r="U17" i="2" s="1"/>
  <c r="T1281" i="2"/>
  <c r="U1281" i="2" s="1"/>
  <c r="T796" i="2"/>
  <c r="U796" i="2" s="1"/>
  <c r="T1114" i="2"/>
  <c r="U1114" i="2" s="1"/>
  <c r="T208" i="2"/>
  <c r="U208" i="2" s="1"/>
  <c r="T1447" i="2"/>
  <c r="U1447" i="2" s="1"/>
  <c r="T406" i="2"/>
  <c r="U406" i="2" s="1"/>
  <c r="T1144" i="2"/>
  <c r="U1144" i="2" s="1"/>
  <c r="T1626" i="2"/>
  <c r="U1626" i="2" s="1"/>
  <c r="T1659" i="2"/>
  <c r="U1659" i="2" s="1"/>
  <c r="T1492" i="2"/>
  <c r="U1492" i="2" s="1"/>
  <c r="T547" i="2"/>
  <c r="U547" i="2" s="1"/>
  <c r="T1489" i="2"/>
  <c r="U1489" i="2" s="1"/>
  <c r="T1537" i="2"/>
  <c r="U1537" i="2" s="1"/>
  <c r="T500" i="2"/>
  <c r="U500" i="2" s="1"/>
  <c r="T397" i="2"/>
  <c r="U397" i="2" s="1"/>
  <c r="T941" i="2"/>
  <c r="U941" i="2" s="1"/>
  <c r="T1039" i="2"/>
  <c r="U1039" i="2" s="1"/>
  <c r="T514" i="2"/>
  <c r="U514" i="2" s="1"/>
  <c r="T1668" i="2"/>
  <c r="U1668" i="2" s="1"/>
  <c r="T1057" i="2"/>
  <c r="U1057" i="2" s="1"/>
  <c r="T1308" i="2"/>
  <c r="U1308" i="2" s="1"/>
  <c r="T1498" i="2"/>
  <c r="U1498" i="2" s="1"/>
  <c r="T1806" i="2"/>
  <c r="U1806" i="2" s="1"/>
  <c r="T1800" i="2"/>
  <c r="U1800" i="2" s="1"/>
  <c r="T1373" i="2"/>
  <c r="U1373" i="2" s="1"/>
  <c r="T1342" i="2"/>
  <c r="U1342" i="2" s="1"/>
  <c r="T790" i="2"/>
  <c r="U790" i="2" s="1"/>
  <c r="T1081" i="2"/>
  <c r="U1081" i="2" s="1"/>
  <c r="T249" i="2"/>
  <c r="U249" i="2" s="1"/>
  <c r="T417" i="2"/>
  <c r="U417" i="2" s="1"/>
  <c r="T282" i="2"/>
  <c r="U282" i="2" s="1"/>
  <c r="T403" i="2"/>
  <c r="U403" i="2" s="1"/>
  <c r="T1482" i="2"/>
  <c r="U1482" i="2" s="1"/>
  <c r="T214" i="2"/>
  <c r="U214" i="2" s="1"/>
  <c r="T1117" i="2"/>
  <c r="U1117" i="2" s="1"/>
  <c r="T377" i="2"/>
  <c r="U377" i="2" s="1"/>
  <c r="T1825" i="2"/>
  <c r="U1825" i="2" s="1"/>
  <c r="T1570" i="2"/>
  <c r="U1570" i="2" s="1"/>
  <c r="T774" i="2"/>
  <c r="U774" i="2" s="1"/>
  <c r="T321" i="2"/>
  <c r="U321" i="2" s="1"/>
  <c r="T1511" i="2"/>
  <c r="U1511" i="2" s="1"/>
  <c r="T144" i="2"/>
  <c r="U144" i="2" s="1"/>
  <c r="T773" i="2"/>
  <c r="U773" i="2" s="1"/>
  <c r="T299" i="2"/>
  <c r="U299" i="2" s="1"/>
  <c r="T534" i="2"/>
  <c r="U534" i="2" s="1"/>
  <c r="T309" i="2"/>
  <c r="U309" i="2" s="1"/>
  <c r="T1182" i="2"/>
  <c r="U1182" i="2" s="1"/>
  <c r="T1219" i="2"/>
  <c r="U1219" i="2" s="1"/>
  <c r="T727" i="2"/>
  <c r="U727" i="2" s="1"/>
  <c r="T578" i="2"/>
  <c r="U578" i="2" s="1"/>
  <c r="T1483" i="2"/>
  <c r="U1483" i="2" s="1"/>
  <c r="T486" i="2"/>
  <c r="U486" i="2" s="1"/>
  <c r="T16" i="2"/>
  <c r="U16" i="2" s="1"/>
  <c r="T367" i="2"/>
  <c r="U367" i="2" s="1"/>
  <c r="T1192" i="2"/>
  <c r="U1192" i="2" s="1"/>
  <c r="T503" i="2"/>
  <c r="U503" i="2" s="1"/>
  <c r="T976" i="2"/>
  <c r="U976" i="2" s="1"/>
  <c r="T724" i="2"/>
  <c r="U724" i="2" s="1"/>
  <c r="T633" i="2"/>
  <c r="U633" i="2" s="1"/>
  <c r="T431" i="2"/>
  <c r="U431" i="2" s="1"/>
  <c r="T510" i="2"/>
  <c r="U510" i="2" s="1"/>
  <c r="T1196" i="2"/>
  <c r="U1196" i="2" s="1"/>
  <c r="T285" i="2"/>
  <c r="U285" i="2" s="1"/>
  <c r="T271" i="2"/>
  <c r="U271" i="2" s="1"/>
  <c r="T996" i="2"/>
  <c r="U996" i="2" s="1"/>
  <c r="T536" i="2"/>
  <c r="U536" i="2" s="1"/>
  <c r="T1070" i="2"/>
  <c r="U1070" i="2" s="1"/>
  <c r="T1321" i="2"/>
  <c r="U1321" i="2" s="1"/>
  <c r="T861" i="2"/>
  <c r="U861" i="2" s="1"/>
  <c r="T894" i="2"/>
  <c r="U894" i="2" s="1"/>
  <c r="T793" i="2"/>
  <c r="U793" i="2" s="1"/>
  <c r="T980" i="2"/>
  <c r="U980" i="2" s="1"/>
  <c r="U22" i="2"/>
  <c r="U840" i="2"/>
  <c r="U566" i="2"/>
  <c r="U573" i="2"/>
  <c r="U253" i="2"/>
  <c r="U1441" i="2"/>
  <c r="U630" i="2"/>
  <c r="U38" i="2"/>
  <c r="U748" i="2"/>
  <c r="U433" i="2"/>
  <c r="U763" i="2"/>
  <c r="U1231" i="2"/>
  <c r="U254" i="2"/>
  <c r="U1136" i="2"/>
  <c r="U436" i="2"/>
  <c r="U1411" i="2"/>
  <c r="U1542" i="2"/>
  <c r="U1655" i="2"/>
  <c r="U1705" i="2"/>
  <c r="U268" i="2"/>
  <c r="U1594" i="2"/>
  <c r="U1138" i="2"/>
  <c r="U264" i="2"/>
  <c r="U1380" i="2"/>
  <c r="U1500" i="2"/>
  <c r="H1" i="20" a="1"/>
  <c r="K1" i="20" a="1"/>
  <c r="R1" i="20" a="1"/>
  <c r="R1" i="20" s="1"/>
  <c r="H1" i="20" l="1"/>
  <c r="A5" i="27" s="1" a="1"/>
  <c r="B8" i="27" s="1" a="1"/>
  <c r="B8" i="27" s="1"/>
  <c r="U2" i="2"/>
  <c r="K1" i="20"/>
  <c r="L1" i="20" s="1" a="1"/>
  <c r="L1" i="2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C8" i="27" l="1" a="1"/>
  <c r="C8" i="27" s="1"/>
  <c r="D8" i="27" a="1"/>
  <c r="D8" i="27" s="1"/>
  <c r="E8" i="27" a="1"/>
  <c r="E8" i="27" s="1"/>
  <c r="F8" i="27" a="1"/>
  <c r="F8" i="27" s="1"/>
  <c r="A5" i="27"/>
  <c r="A4" i="25" a="1"/>
  <c r="C856" i="28"/>
  <c r="C15" i="28"/>
  <c r="C51" i="28"/>
  <c r="C39" i="28"/>
  <c r="C6" i="28"/>
  <c r="C14" i="28"/>
  <c r="C225" i="28"/>
  <c r="C366" i="28"/>
  <c r="C274" i="28"/>
  <c r="C318" i="28"/>
  <c r="C259" i="28"/>
  <c r="C127" i="28"/>
  <c r="C276" i="28"/>
  <c r="C191" i="28"/>
  <c r="C293" i="28"/>
  <c r="C79" i="28"/>
  <c r="C295" i="28"/>
  <c r="C126" i="28"/>
  <c r="C232" i="28"/>
  <c r="C285" i="28"/>
  <c r="C332" i="28"/>
  <c r="C16" i="28"/>
  <c r="C54" i="28"/>
  <c r="C55" i="28"/>
  <c r="C10" i="28"/>
  <c r="C30" i="28"/>
  <c r="C241" i="28"/>
  <c r="C143" i="28"/>
  <c r="C290" i="28"/>
  <c r="C95" i="28"/>
  <c r="C275" i="28"/>
  <c r="C223" i="28"/>
  <c r="C292" i="28"/>
  <c r="C367" i="28"/>
  <c r="C309" i="28"/>
  <c r="C256" i="28"/>
  <c r="C311" i="28"/>
  <c r="C286" i="28"/>
  <c r="C248" i="28"/>
  <c r="C413" i="28"/>
  <c r="C201" i="28"/>
  <c r="C173" i="28"/>
  <c r="C234" i="28"/>
  <c r="C412" i="28"/>
  <c r="C139" i="28"/>
  <c r="C395" i="28"/>
  <c r="C288" i="28"/>
  <c r="C264" i="28"/>
  <c r="C78" i="28"/>
  <c r="C217" i="28"/>
  <c r="C253" i="28"/>
  <c r="C250" i="28"/>
  <c r="C109" i="28"/>
  <c r="C155" i="28"/>
  <c r="C411" i="28"/>
  <c r="C48" i="28"/>
  <c r="C4" i="28"/>
  <c r="C71" i="28"/>
  <c r="C26" i="28"/>
  <c r="C62" i="28"/>
  <c r="C257" i="28"/>
  <c r="C319" i="28"/>
  <c r="C306" i="28"/>
  <c r="C303" i="28"/>
  <c r="C291" i="28"/>
  <c r="C383" i="28"/>
  <c r="C308" i="28"/>
  <c r="C160" i="28"/>
  <c r="C325" i="28"/>
  <c r="C416" i="28"/>
  <c r="C327" i="28"/>
  <c r="C239" i="28"/>
  <c r="C17" i="28"/>
  <c r="C20" i="28"/>
  <c r="C43" i="28"/>
  <c r="C42" i="28"/>
  <c r="C31" i="28"/>
  <c r="C273" i="28"/>
  <c r="C96" i="28"/>
  <c r="C322" i="28"/>
  <c r="C208" i="28"/>
  <c r="C307" i="28"/>
  <c r="C176" i="28"/>
  <c r="C324" i="28"/>
  <c r="C272" i="28"/>
  <c r="C341" i="28"/>
  <c r="C87" i="28"/>
  <c r="C343" i="28"/>
  <c r="C399" i="28"/>
  <c r="C280" i="28"/>
  <c r="C270" i="28"/>
  <c r="C233" i="28"/>
  <c r="C365" i="28"/>
  <c r="C266" i="28"/>
  <c r="C141" i="28"/>
  <c r="C171" i="28"/>
  <c r="C76" i="28"/>
  <c r="C83" i="28"/>
  <c r="C339" i="28"/>
  <c r="C84" i="28"/>
  <c r="C356" i="28"/>
  <c r="C185" i="28"/>
  <c r="C80" i="28"/>
  <c r="C33" i="28"/>
  <c r="C36" i="28"/>
  <c r="C22" i="28"/>
  <c r="C58" i="28"/>
  <c r="C47" i="28"/>
  <c r="C289" i="28"/>
  <c r="C304" i="28"/>
  <c r="C338" i="28"/>
  <c r="C368" i="28"/>
  <c r="C323" i="28"/>
  <c r="C336" i="28"/>
  <c r="C340" i="28"/>
  <c r="C85" i="28"/>
  <c r="C357" i="28"/>
  <c r="C103" i="28"/>
  <c r="C359" i="28"/>
  <c r="C224" i="28"/>
  <c r="C296" i="28"/>
  <c r="C207" i="28"/>
  <c r="C249" i="28"/>
  <c r="C190" i="28"/>
  <c r="C282" i="28"/>
  <c r="C221" i="28"/>
  <c r="C187" i="28"/>
  <c r="C156" i="28"/>
  <c r="C49" i="28"/>
  <c r="C52" i="28"/>
  <c r="C8" i="28"/>
  <c r="C27" i="28"/>
  <c r="C32" i="28"/>
  <c r="C305" i="28"/>
  <c r="C82" i="28"/>
  <c r="C354" i="28"/>
  <c r="C101" i="28"/>
  <c r="C373" i="28"/>
  <c r="C119" i="28"/>
  <c r="C375" i="28"/>
  <c r="C384" i="28"/>
  <c r="C312" i="28"/>
  <c r="C351" i="28"/>
  <c r="C281" i="28"/>
  <c r="C350" i="28"/>
  <c r="C298" i="28"/>
  <c r="C301" i="28"/>
  <c r="C203" i="28"/>
  <c r="C236" i="28"/>
  <c r="C65" i="28"/>
  <c r="C68" i="28"/>
  <c r="C24" i="28"/>
  <c r="C12" i="28"/>
  <c r="C64" i="28"/>
  <c r="C321" i="28"/>
  <c r="C98" i="28"/>
  <c r="C370" i="28"/>
  <c r="C99" i="28"/>
  <c r="C355" i="28"/>
  <c r="C100" i="28"/>
  <c r="C372" i="28"/>
  <c r="C117" i="28"/>
  <c r="C389" i="28"/>
  <c r="C135" i="28"/>
  <c r="C391" i="28"/>
  <c r="C72" i="28"/>
  <c r="C344" i="28"/>
  <c r="C112" i="28"/>
  <c r="C297" i="28"/>
  <c r="C159" i="28"/>
  <c r="C314" i="28"/>
  <c r="C94" i="28"/>
  <c r="C219" i="28"/>
  <c r="C316" i="28"/>
  <c r="C235" i="28"/>
  <c r="C396" i="28"/>
  <c r="C400" i="28"/>
  <c r="C320" i="28"/>
  <c r="C111" i="28"/>
  <c r="C77" i="28"/>
  <c r="C300" i="28"/>
  <c r="C408" i="28"/>
  <c r="C378" i="28"/>
  <c r="C279" i="28"/>
  <c r="C202" i="28"/>
  <c r="C3" i="28"/>
  <c r="C70" i="28"/>
  <c r="C40" i="28"/>
  <c r="C28" i="28"/>
  <c r="C81" i="28"/>
  <c r="C337" i="28"/>
  <c r="C114" i="28"/>
  <c r="C386" i="28"/>
  <c r="C115" i="28"/>
  <c r="C371" i="28"/>
  <c r="C116" i="28"/>
  <c r="C388" i="28"/>
  <c r="C133" i="28"/>
  <c r="C405" i="28"/>
  <c r="C151" i="28"/>
  <c r="C407" i="28"/>
  <c r="C88" i="28"/>
  <c r="C360" i="28"/>
  <c r="C240" i="28"/>
  <c r="C329" i="28"/>
  <c r="C335" i="28"/>
  <c r="C330" i="28"/>
  <c r="C334" i="28"/>
  <c r="C167" i="28"/>
  <c r="C376" i="28"/>
  <c r="C346" i="28"/>
  <c r="C199" i="28"/>
  <c r="C205" i="28"/>
  <c r="C252" i="28"/>
  <c r="C123" i="28"/>
  <c r="C35" i="28"/>
  <c r="C5" i="28"/>
  <c r="C56" i="28"/>
  <c r="C44" i="28"/>
  <c r="C97" i="28"/>
  <c r="C353" i="28"/>
  <c r="C146" i="28"/>
  <c r="C402" i="28"/>
  <c r="C131" i="28"/>
  <c r="C387" i="28"/>
  <c r="C148" i="28"/>
  <c r="C404" i="28"/>
  <c r="C149" i="28"/>
  <c r="C86" i="28"/>
  <c r="C140" i="28"/>
  <c r="C104" i="28"/>
  <c r="C345" i="28"/>
  <c r="C251" i="28"/>
  <c r="C136" i="28"/>
  <c r="C89" i="28"/>
  <c r="C90" i="28"/>
  <c r="C415" i="28"/>
  <c r="C381" i="28"/>
  <c r="C169" i="28"/>
  <c r="C107" i="28"/>
  <c r="C218" i="28"/>
  <c r="C67" i="28"/>
  <c r="C21" i="28"/>
  <c r="C1" i="28"/>
  <c r="C60" i="28"/>
  <c r="C113" i="28"/>
  <c r="C385" i="28"/>
  <c r="C162" i="28"/>
  <c r="C102" i="28"/>
  <c r="C147" i="28"/>
  <c r="C403" i="28"/>
  <c r="C164" i="28"/>
  <c r="C182" i="28"/>
  <c r="C181" i="28"/>
  <c r="C150" i="28"/>
  <c r="C183" i="28"/>
  <c r="C220" i="28"/>
  <c r="C120" i="28"/>
  <c r="C392" i="28"/>
  <c r="C73" i="28"/>
  <c r="C361" i="28"/>
  <c r="C74" i="28"/>
  <c r="C362" i="28"/>
  <c r="C255" i="28"/>
  <c r="C267" i="28"/>
  <c r="C157" i="28"/>
  <c r="C46" i="28"/>
  <c r="C129" i="28"/>
  <c r="C178" i="28"/>
  <c r="C166" i="28"/>
  <c r="C134" i="28"/>
  <c r="C180" i="28"/>
  <c r="C262" i="28"/>
  <c r="C197" i="28"/>
  <c r="C230" i="28"/>
  <c r="C377" i="28"/>
  <c r="C283" i="28"/>
  <c r="C237" i="28"/>
  <c r="C348" i="28"/>
  <c r="C2" i="28"/>
  <c r="C37" i="28"/>
  <c r="C9" i="28"/>
  <c r="C401" i="28"/>
  <c r="C163" i="28"/>
  <c r="C18" i="28"/>
  <c r="C53" i="28"/>
  <c r="C25" i="28"/>
  <c r="C63" i="28"/>
  <c r="C145" i="28"/>
  <c r="C118" i="28"/>
  <c r="C194" i="28"/>
  <c r="C246" i="28"/>
  <c r="C179" i="28"/>
  <c r="C214" i="28"/>
  <c r="C196" i="28"/>
  <c r="C342" i="28"/>
  <c r="C213" i="28"/>
  <c r="C310" i="28"/>
  <c r="C215" i="28"/>
  <c r="C380" i="28"/>
  <c r="C152" i="28"/>
  <c r="C124" i="28"/>
  <c r="C105" i="28"/>
  <c r="C393" i="28"/>
  <c r="C122" i="28"/>
  <c r="C394" i="28"/>
  <c r="C192" i="28"/>
  <c r="C299" i="28"/>
  <c r="C317" i="28"/>
  <c r="C352" i="28"/>
  <c r="C254" i="28"/>
  <c r="C247" i="28"/>
  <c r="C137" i="28"/>
  <c r="C170" i="28"/>
  <c r="C75" i="28"/>
  <c r="C59" i="28"/>
  <c r="C61" i="28"/>
  <c r="C206" i="28"/>
  <c r="C243" i="28"/>
  <c r="C260" i="28"/>
  <c r="C302" i="28"/>
  <c r="C216" i="28"/>
  <c r="C268" i="28"/>
  <c r="C287" i="28"/>
  <c r="C34" i="28"/>
  <c r="C69" i="28"/>
  <c r="C41" i="28"/>
  <c r="C13" i="28"/>
  <c r="C161" i="28"/>
  <c r="C198" i="28"/>
  <c r="C210" i="28"/>
  <c r="C326" i="28"/>
  <c r="C195" i="28"/>
  <c r="C294" i="28"/>
  <c r="C212" i="28"/>
  <c r="C397" i="28"/>
  <c r="C229" i="28"/>
  <c r="C390" i="28"/>
  <c r="C231" i="28"/>
  <c r="C93" i="28"/>
  <c r="C168" i="28"/>
  <c r="C204" i="28"/>
  <c r="C121" i="28"/>
  <c r="C409" i="28"/>
  <c r="C154" i="28"/>
  <c r="C410" i="28"/>
  <c r="C315" i="28"/>
  <c r="C158" i="28"/>
  <c r="C245" i="28"/>
  <c r="C333" i="28"/>
  <c r="C189" i="28"/>
  <c r="C284" i="28"/>
  <c r="C50" i="28"/>
  <c r="C38" i="28"/>
  <c r="C57" i="28"/>
  <c r="C29" i="28"/>
  <c r="C177" i="28"/>
  <c r="C278" i="28"/>
  <c r="C226" i="28"/>
  <c r="C406" i="28"/>
  <c r="C211" i="28"/>
  <c r="C110" i="28"/>
  <c r="C228" i="28"/>
  <c r="C184" i="28"/>
  <c r="C108" i="28"/>
  <c r="C92" i="28"/>
  <c r="C331" i="28"/>
  <c r="C414" i="28"/>
  <c r="C66" i="28"/>
  <c r="C7" i="28"/>
  <c r="C11" i="28"/>
  <c r="C45" i="28"/>
  <c r="C193" i="28"/>
  <c r="C358" i="28"/>
  <c r="C242" i="28"/>
  <c r="C349" i="28"/>
  <c r="C227" i="28"/>
  <c r="C238" i="28"/>
  <c r="C244" i="28"/>
  <c r="C222" i="28"/>
  <c r="C261" i="28"/>
  <c r="C174" i="28"/>
  <c r="C263" i="28"/>
  <c r="C269" i="28"/>
  <c r="C200" i="28"/>
  <c r="C364" i="28"/>
  <c r="C153" i="28"/>
  <c r="C188" i="28"/>
  <c r="C186" i="28"/>
  <c r="C172" i="28"/>
  <c r="C91" i="28"/>
  <c r="C347" i="28"/>
  <c r="C175" i="28"/>
  <c r="C19" i="28"/>
  <c r="C23" i="28"/>
  <c r="C209" i="28"/>
  <c r="C258" i="28"/>
  <c r="C142" i="28"/>
  <c r="C398" i="28"/>
  <c r="C382" i="28"/>
  <c r="C277" i="28"/>
  <c r="C363" i="28"/>
  <c r="C379" i="28"/>
  <c r="C481" i="28"/>
  <c r="C737" i="28"/>
  <c r="C518" i="28"/>
  <c r="C639" i="28"/>
  <c r="C482" i="28"/>
  <c r="C738" i="28"/>
  <c r="C806" i="28"/>
  <c r="C531" i="28"/>
  <c r="C787" i="28"/>
  <c r="C774" i="28"/>
  <c r="C516" i="28"/>
  <c r="C772" i="28"/>
  <c r="C662" i="28"/>
  <c r="C847" i="28"/>
  <c r="C501" i="28"/>
  <c r="C798" i="28"/>
  <c r="C439" i="28"/>
  <c r="C695" i="28"/>
  <c r="C540" i="28"/>
  <c r="C766" i="28"/>
  <c r="C497" i="28"/>
  <c r="C753" i="28"/>
  <c r="C598" i="28"/>
  <c r="C799" i="28"/>
  <c r="C498" i="28"/>
  <c r="C754" i="28"/>
  <c r="C528" i="28"/>
  <c r="C547" i="28"/>
  <c r="C803" i="28"/>
  <c r="C854" i="28"/>
  <c r="C532" i="28"/>
  <c r="C788" i="28"/>
  <c r="C742" i="28"/>
  <c r="C517" i="28"/>
  <c r="C651" i="28"/>
  <c r="C604" i="28"/>
  <c r="C488" i="28"/>
  <c r="C734" i="28"/>
  <c r="C699" i="28"/>
  <c r="C746" i="28"/>
  <c r="C513" i="28"/>
  <c r="C769" i="28"/>
  <c r="C678" i="28"/>
  <c r="C514" i="28"/>
  <c r="C770" i="28"/>
  <c r="C541" i="28"/>
  <c r="C688" i="28"/>
  <c r="C563" i="28"/>
  <c r="C819" i="28"/>
  <c r="C477" i="28"/>
  <c r="C496" i="28"/>
  <c r="C548" i="28"/>
  <c r="C804" i="28"/>
  <c r="C822" i="28"/>
  <c r="C533" i="28"/>
  <c r="C271" i="28"/>
  <c r="C471" i="28"/>
  <c r="C727" i="28"/>
  <c r="C700" i="28"/>
  <c r="C529" i="28"/>
  <c r="C785" i="28"/>
  <c r="C758" i="28"/>
  <c r="C530" i="28"/>
  <c r="C786" i="28"/>
  <c r="C701" i="28"/>
  <c r="C848" i="28"/>
  <c r="C579" i="28"/>
  <c r="C835" i="28"/>
  <c r="C653" i="28"/>
  <c r="C656" i="28"/>
  <c r="C564" i="28"/>
  <c r="C820" i="28"/>
  <c r="C432" i="28"/>
  <c r="C549" i="28"/>
  <c r="C470" i="28"/>
  <c r="C431" i="28"/>
  <c r="C487" i="28"/>
  <c r="C743" i="28"/>
  <c r="C780" i="28"/>
  <c r="C559" i="28"/>
  <c r="C125" i="28"/>
  <c r="C545" i="28"/>
  <c r="C801" i="28"/>
  <c r="C838" i="28"/>
  <c r="C480" i="28"/>
  <c r="C546" i="28"/>
  <c r="C818" i="28"/>
  <c r="C845" i="28"/>
  <c r="C595" i="28"/>
  <c r="C851" i="28"/>
  <c r="C813" i="28"/>
  <c r="C816" i="28"/>
  <c r="C580" i="28"/>
  <c r="C836" i="28"/>
  <c r="C573" i="28"/>
  <c r="C592" i="28"/>
  <c r="C565" i="28"/>
  <c r="C550" i="28"/>
  <c r="C591" i="28"/>
  <c r="C503" i="28"/>
  <c r="C759" i="28"/>
  <c r="C860" i="28"/>
  <c r="C719" i="28"/>
  <c r="C561" i="28"/>
  <c r="C817" i="28"/>
  <c r="C429" i="28"/>
  <c r="C624" i="28"/>
  <c r="C562" i="28"/>
  <c r="C834" i="28"/>
  <c r="C611" i="28"/>
  <c r="C693" i="28"/>
  <c r="C596" i="28"/>
  <c r="C852" i="28"/>
  <c r="C733" i="28"/>
  <c r="C752" i="28"/>
  <c r="C581" i="28"/>
  <c r="C630" i="28"/>
  <c r="C751" i="28"/>
  <c r="C519" i="28"/>
  <c r="C775" i="28"/>
  <c r="C577" i="28"/>
  <c r="C833" i="28"/>
  <c r="C605" i="28"/>
  <c r="C784" i="28"/>
  <c r="C578" i="28"/>
  <c r="C789" i="28"/>
  <c r="C627" i="28"/>
  <c r="C773" i="28"/>
  <c r="C612" i="28"/>
  <c r="C661" i="28"/>
  <c r="C593" i="28"/>
  <c r="C849" i="28"/>
  <c r="C765" i="28"/>
  <c r="C594" i="28"/>
  <c r="C462" i="28"/>
  <c r="C643" i="28"/>
  <c r="C853" i="28"/>
  <c r="C628" i="28"/>
  <c r="C725" i="28"/>
  <c r="C613" i="28"/>
  <c r="C790" i="28"/>
  <c r="C551" i="28"/>
  <c r="C807" i="28"/>
  <c r="C536" i="28"/>
  <c r="C792" i="28"/>
  <c r="C265" i="28"/>
  <c r="C521" i="28"/>
  <c r="C777" i="28"/>
  <c r="C144" i="28"/>
  <c r="C506" i="28"/>
  <c r="C762" i="28"/>
  <c r="C796" i="28"/>
  <c r="C575" i="28"/>
  <c r="C475" i="28"/>
  <c r="C731" i="28"/>
  <c r="C636" i="28"/>
  <c r="C447" i="28"/>
  <c r="C491" i="28"/>
  <c r="C716" i="28"/>
  <c r="C583" i="28"/>
  <c r="C509" i="28"/>
  <c r="C568" i="28"/>
  <c r="C553" i="28"/>
  <c r="C538" i="28"/>
  <c r="C507" i="28"/>
  <c r="C767" i="28"/>
  <c r="C523" i="28"/>
  <c r="C615" i="28"/>
  <c r="C600" i="28"/>
  <c r="C841" i="28"/>
  <c r="C570" i="28"/>
  <c r="C795" i="28"/>
  <c r="C616" i="28"/>
  <c r="C797" i="28"/>
  <c r="C586" i="28"/>
  <c r="C811" i="28"/>
  <c r="C602" i="28"/>
  <c r="C827" i="28"/>
  <c r="C648" i="28"/>
  <c r="C633" i="28"/>
  <c r="C749" i="28"/>
  <c r="C461" i="28"/>
  <c r="C664" i="28"/>
  <c r="C649" i="28"/>
  <c r="C603" i="28"/>
  <c r="C424" i="28"/>
  <c r="C138" i="28"/>
  <c r="C455" i="28"/>
  <c r="C524" i="28"/>
  <c r="C830" i="28"/>
  <c r="C494" i="28"/>
  <c r="C609" i="28"/>
  <c r="C802" i="28"/>
  <c r="C610" i="28"/>
  <c r="C622" i="28"/>
  <c r="C659" i="28"/>
  <c r="C558" i="28"/>
  <c r="C132" i="28"/>
  <c r="C644" i="28"/>
  <c r="C757" i="28"/>
  <c r="C629" i="28"/>
  <c r="C576" i="28"/>
  <c r="C567" i="28"/>
  <c r="C823" i="28"/>
  <c r="C544" i="28"/>
  <c r="C552" i="28"/>
  <c r="C808" i="28"/>
  <c r="C537" i="28"/>
  <c r="C793" i="28"/>
  <c r="C522" i="28"/>
  <c r="C778" i="28"/>
  <c r="C735" i="28"/>
  <c r="C747" i="28"/>
  <c r="C607" i="28"/>
  <c r="C839" i="28"/>
  <c r="C704" i="28"/>
  <c r="C824" i="28"/>
  <c r="C560" i="28"/>
  <c r="C809" i="28"/>
  <c r="C464" i="28"/>
  <c r="C794" i="28"/>
  <c r="C763" i="28"/>
  <c r="C812" i="28"/>
  <c r="C810" i="28"/>
  <c r="C779" i="28"/>
  <c r="C829" i="28"/>
  <c r="C637" i="28"/>
  <c r="C826" i="28"/>
  <c r="C539" i="28"/>
  <c r="C857" i="28"/>
  <c r="C445" i="28"/>
  <c r="C555" i="28"/>
  <c r="C617" i="28"/>
  <c r="C589" i="28"/>
  <c r="C571" i="28"/>
  <c r="C430" i="28"/>
  <c r="C106" i="28"/>
  <c r="C587" i="28"/>
  <c r="C800" i="28"/>
  <c r="C590" i="28"/>
  <c r="C621" i="28"/>
  <c r="C680" i="28"/>
  <c r="C665" i="28"/>
  <c r="C619" i="28"/>
  <c r="C711" i="28"/>
  <c r="C440" i="28"/>
  <c r="C681" i="28"/>
  <c r="C456" i="28"/>
  <c r="C697" i="28"/>
  <c r="C426" i="28"/>
  <c r="C654" i="28"/>
  <c r="C472" i="28"/>
  <c r="C668" i="28"/>
  <c r="C457" i="28"/>
  <c r="C698" i="28"/>
  <c r="C814" i="28"/>
  <c r="C667" i="28"/>
  <c r="C748" i="28"/>
  <c r="C473" i="28"/>
  <c r="C714" i="28"/>
  <c r="C760" i="28"/>
  <c r="C489" i="28"/>
  <c r="C474" i="28"/>
  <c r="C443" i="28"/>
  <c r="C710" i="28"/>
  <c r="C815" i="28"/>
  <c r="C715" i="28"/>
  <c r="C369" i="28"/>
  <c r="C625" i="28"/>
  <c r="C850" i="28"/>
  <c r="C626" i="28"/>
  <c r="C782" i="28"/>
  <c r="C419" i="28"/>
  <c r="C675" i="28"/>
  <c r="C718" i="28"/>
  <c r="C660" i="28"/>
  <c r="C837" i="28"/>
  <c r="C542" i="28"/>
  <c r="C645" i="28"/>
  <c r="C525" i="28"/>
  <c r="C736" i="28"/>
  <c r="C641" i="28"/>
  <c r="C821" i="28"/>
  <c r="C526" i="28"/>
  <c r="C130" i="28"/>
  <c r="C642" i="28"/>
  <c r="C435" i="28"/>
  <c r="C691" i="28"/>
  <c r="C420" i="28"/>
  <c r="C676" i="28"/>
  <c r="C702" i="28"/>
  <c r="C677" i="28"/>
  <c r="C685" i="28"/>
  <c r="C599" i="28"/>
  <c r="C855" i="28"/>
  <c r="C669" i="28"/>
  <c r="C328" i="28"/>
  <c r="C584" i="28"/>
  <c r="C840" i="28"/>
  <c r="C557" i="28"/>
  <c r="C720" i="28"/>
  <c r="C313" i="28"/>
  <c r="C569" i="28"/>
  <c r="C825" i="28"/>
  <c r="C493" i="28"/>
  <c r="C608" i="28"/>
  <c r="C554" i="28"/>
  <c r="C717" i="28"/>
  <c r="C585" i="28"/>
  <c r="C768" i="28"/>
  <c r="C512" i="28"/>
  <c r="C631" i="28"/>
  <c r="C601" i="28"/>
  <c r="C842" i="28"/>
  <c r="C672" i="28"/>
  <c r="C448" i="28"/>
  <c r="C632" i="28"/>
  <c r="C858" i="28"/>
  <c r="C832" i="28"/>
  <c r="C640" i="28"/>
  <c r="C618" i="28"/>
  <c r="C843" i="28"/>
  <c r="C510" i="28"/>
  <c r="C634" i="28"/>
  <c r="C859" i="28"/>
  <c r="C444" i="28"/>
  <c r="C750" i="28"/>
  <c r="C670" i="28"/>
  <c r="C650" i="28"/>
  <c r="C781" i="28"/>
  <c r="C620" i="28"/>
  <c r="C696" i="28"/>
  <c r="C428" i="28"/>
  <c r="C666" i="28"/>
  <c r="C635" i="28"/>
  <c r="C712" i="28"/>
  <c r="C588" i="28"/>
  <c r="C441" i="28"/>
  <c r="C508" i="28"/>
  <c r="C682" i="28"/>
  <c r="C728" i="28"/>
  <c r="C511" i="28"/>
  <c r="C713" i="28"/>
  <c r="C442" i="28"/>
  <c r="C492" i="28"/>
  <c r="C574" i="28"/>
  <c r="C744" i="28"/>
  <c r="C671" i="28"/>
  <c r="C729" i="28"/>
  <c r="C495" i="28"/>
  <c r="C572" i="28"/>
  <c r="C128" i="28"/>
  <c r="C844" i="28"/>
  <c r="C745" i="28"/>
  <c r="C655" i="28"/>
  <c r="C652" i="28"/>
  <c r="C597" i="28"/>
  <c r="C776" i="28"/>
  <c r="C761" i="28"/>
  <c r="C490" i="28"/>
  <c r="C459" i="28"/>
  <c r="C657" i="28"/>
  <c r="C686" i="28"/>
  <c r="C658" i="28"/>
  <c r="C451" i="28"/>
  <c r="C707" i="28"/>
  <c r="C374" i="28"/>
  <c r="C436" i="28"/>
  <c r="C692" i="28"/>
  <c r="C862" i="28"/>
  <c r="C165" i="28"/>
  <c r="C421" i="28"/>
  <c r="C709" i="28"/>
  <c r="C861" i="28"/>
  <c r="C684" i="28"/>
  <c r="C458" i="28"/>
  <c r="C683" i="28"/>
  <c r="C504" i="28"/>
  <c r="C831" i="28"/>
  <c r="C764" i="28"/>
  <c r="C730" i="28"/>
  <c r="C476" i="28"/>
  <c r="C791" i="28"/>
  <c r="C520" i="28"/>
  <c r="C505" i="28"/>
  <c r="C732" i="28"/>
  <c r="C556" i="28"/>
  <c r="C417" i="28"/>
  <c r="C673" i="28"/>
  <c r="C846" i="28"/>
  <c r="C418" i="28"/>
  <c r="C674" i="28"/>
  <c r="C486" i="28"/>
  <c r="C463" i="28"/>
  <c r="C467" i="28"/>
  <c r="C723" i="28"/>
  <c r="C454" i="28"/>
  <c r="C452" i="28"/>
  <c r="C708" i="28"/>
  <c r="C437" i="28"/>
  <c r="C741" i="28"/>
  <c r="C535" i="28"/>
  <c r="C828" i="28"/>
  <c r="C433" i="28"/>
  <c r="C689" i="28"/>
  <c r="C434" i="28"/>
  <c r="C690" i="28"/>
  <c r="C566" i="28"/>
  <c r="C623" i="28"/>
  <c r="C483" i="28"/>
  <c r="C739" i="28"/>
  <c r="C534" i="28"/>
  <c r="C543" i="28"/>
  <c r="C468" i="28"/>
  <c r="C724" i="28"/>
  <c r="C422" i="28"/>
  <c r="C453" i="28"/>
  <c r="C805" i="28"/>
  <c r="C647" i="28"/>
  <c r="C449" i="28"/>
  <c r="C705" i="28"/>
  <c r="C450" i="28"/>
  <c r="C706" i="28"/>
  <c r="C646" i="28"/>
  <c r="C783" i="28"/>
  <c r="C499" i="28"/>
  <c r="C755" i="28"/>
  <c r="C614" i="28"/>
  <c r="C703" i="28"/>
  <c r="C484" i="28"/>
  <c r="C740" i="28"/>
  <c r="C502" i="28"/>
  <c r="C527" i="28"/>
  <c r="C469" i="28"/>
  <c r="C478" i="28"/>
  <c r="C663" i="28"/>
  <c r="C446" i="28"/>
  <c r="C465" i="28"/>
  <c r="C721" i="28"/>
  <c r="C438" i="28"/>
  <c r="C479" i="28"/>
  <c r="C466" i="28"/>
  <c r="C722" i="28"/>
  <c r="C726" i="28"/>
  <c r="C515" i="28"/>
  <c r="C771" i="28"/>
  <c r="C694" i="28"/>
  <c r="C863" i="28"/>
  <c r="C500" i="28"/>
  <c r="C756" i="28"/>
  <c r="C582" i="28"/>
  <c r="C687" i="28"/>
  <c r="C485" i="28"/>
  <c r="C638" i="28"/>
  <c r="C423" i="28"/>
  <c r="C679" i="28"/>
  <c r="C460" i="28"/>
  <c r="C606" i="28"/>
  <c r="C425" i="28"/>
  <c r="C427" i="28"/>
  <c r="I1" i="20" a="1"/>
  <c r="I1" i="20" s="1"/>
  <c r="S1" i="20" a="1"/>
  <c r="S1" i="20" s="1"/>
  <c r="D119" i="14"/>
  <c r="D120" i="14"/>
  <c r="D121" i="14"/>
  <c r="D123" i="14"/>
  <c r="D138" i="14"/>
  <c r="D122" i="14"/>
  <c r="A1716" i="2"/>
  <c r="A1497" i="2"/>
  <c r="A103" i="2"/>
  <c r="A449" i="2"/>
  <c r="A30" i="2"/>
  <c r="A48" i="2"/>
  <c r="A56" i="2"/>
  <c r="A145" i="2"/>
  <c r="A146" i="2"/>
  <c r="A147" i="2"/>
  <c r="A148" i="2"/>
  <c r="A149" i="2"/>
  <c r="A150" i="2"/>
  <c r="A151" i="2"/>
  <c r="A209" i="2"/>
  <c r="A210" i="2"/>
  <c r="A231" i="2"/>
  <c r="A232" i="2"/>
  <c r="A239" i="2"/>
  <c r="A240" i="2"/>
  <c r="A241" i="2"/>
  <c r="A243" i="2"/>
  <c r="A244" i="2"/>
  <c r="A275" i="2"/>
  <c r="A276" i="2"/>
  <c r="A293" i="2"/>
  <c r="A294" i="2"/>
  <c r="A344" i="2"/>
  <c r="A395" i="2"/>
  <c r="A412" i="2"/>
  <c r="A413" i="2"/>
  <c r="A430" i="2"/>
  <c r="A466" i="2"/>
  <c r="A470" i="2"/>
  <c r="A505" i="2"/>
  <c r="A506" i="2"/>
  <c r="A507" i="2"/>
  <c r="A518" i="2"/>
  <c r="A568" i="2"/>
  <c r="A681" i="2"/>
  <c r="A802" i="2"/>
  <c r="A803" i="2"/>
  <c r="A831" i="2"/>
  <c r="A832" i="2"/>
  <c r="A834" i="2"/>
  <c r="A838" i="2"/>
  <c r="A839" i="2"/>
  <c r="A847" i="2"/>
  <c r="A854" i="2"/>
  <c r="A863" i="2"/>
  <c r="A868" i="2"/>
  <c r="A872" i="2"/>
  <c r="A873" i="2"/>
  <c r="A874" i="2"/>
  <c r="A890" i="2"/>
  <c r="A891" i="2"/>
  <c r="A892" i="2"/>
  <c r="A893" i="2"/>
  <c r="A895" i="2"/>
  <c r="A933" i="2"/>
  <c r="A934" i="2"/>
  <c r="A936" i="2"/>
  <c r="A982" i="2"/>
  <c r="A1059" i="2"/>
  <c r="A1153" i="2"/>
  <c r="A1222" i="2"/>
  <c r="A1254" i="2"/>
  <c r="A1298" i="2"/>
  <c r="A1396" i="2"/>
  <c r="A1534" i="2"/>
  <c r="A1535" i="2"/>
  <c r="A1540" i="2"/>
  <c r="A1541" i="2"/>
  <c r="A1588" i="2"/>
  <c r="A1664" i="2"/>
  <c r="A1675" i="2"/>
  <c r="A1681" i="2"/>
  <c r="A1796" i="2"/>
  <c r="A1808" i="2"/>
  <c r="A1814" i="2"/>
  <c r="A1856" i="2"/>
  <c r="A8" i="27" l="1" a="1"/>
  <c r="A8" i="27" s="1"/>
  <c r="A6" i="27" a="1"/>
  <c r="K8" i="27" a="1"/>
  <c r="K8" i="27" s="1"/>
  <c r="A4" i="25"/>
  <c r="A5" i="25" s="1" a="1"/>
  <c r="A5" i="25" s="1"/>
  <c r="E1" i="28" a="1"/>
  <c r="E1" i="28" s="1"/>
  <c r="C4" i="27"/>
  <c r="A115" i="2"/>
  <c r="A12" i="2"/>
  <c r="A1415" i="2"/>
  <c r="A1135" i="2"/>
  <c r="A821" i="2"/>
  <c r="A109" i="2"/>
  <c r="A84" i="2"/>
  <c r="A594" i="2"/>
  <c r="A1752" i="2"/>
  <c r="A509" i="2"/>
  <c r="A1756" i="2"/>
  <c r="A1630" i="2"/>
  <c r="A1656" i="2"/>
  <c r="A565" i="2"/>
  <c r="A383" i="2"/>
  <c r="A380" i="2"/>
  <c r="A1433" i="2"/>
  <c r="A678" i="2"/>
  <c r="A1457" i="2"/>
  <c r="A1653" i="2"/>
  <c r="A688" i="2"/>
  <c r="A1280" i="2"/>
  <c r="A1221" i="2"/>
  <c r="A445" i="2"/>
  <c r="A1080" i="2"/>
  <c r="A905" i="2"/>
  <c r="A1329" i="2"/>
  <c r="A981" i="2"/>
  <c r="A1305" i="2"/>
  <c r="A1327" i="2"/>
  <c r="A896" i="2"/>
  <c r="A1578" i="2"/>
  <c r="A1580" i="2"/>
  <c r="A1579" i="2"/>
  <c r="A1577" i="2"/>
  <c r="A384" i="2"/>
  <c r="A865" i="2"/>
  <c r="A859" i="2"/>
  <c r="A91" i="2"/>
  <c r="A75" i="2"/>
  <c r="A875" i="2"/>
  <c r="A1854" i="2"/>
  <c r="A1034" i="2"/>
  <c r="A583" i="2"/>
  <c r="A1170" i="2"/>
  <c r="A96" i="2"/>
  <c r="A496" i="2"/>
  <c r="A714" i="2"/>
  <c r="A378" i="2"/>
  <c r="A423" i="2"/>
  <c r="A422" i="2"/>
  <c r="A301" i="2"/>
  <c r="A523" i="2"/>
  <c r="A574" i="2"/>
  <c r="A1161" i="2"/>
  <c r="A1663" i="2"/>
  <c r="A429" i="2"/>
  <c r="A424" i="2"/>
  <c r="A624" i="2"/>
  <c r="A437" i="2"/>
  <c r="A462" i="2"/>
  <c r="A1166" i="2"/>
  <c r="A497" i="2"/>
  <c r="A952" i="2"/>
  <c r="A1673" i="2"/>
  <c r="A480" i="2"/>
  <c r="A1683" i="2"/>
  <c r="A272" i="2"/>
  <c r="A1310" i="2"/>
  <c r="A1260" i="2"/>
  <c r="A1584" i="2"/>
  <c r="A484" i="2"/>
  <c r="A491" i="2"/>
  <c r="A215" i="2"/>
  <c r="A225" i="2"/>
  <c r="A1295" i="2"/>
  <c r="A468" i="2"/>
  <c r="A113" i="2"/>
  <c r="A112" i="2"/>
  <c r="A111" i="2"/>
  <c r="A943" i="2"/>
  <c r="A110" i="2"/>
  <c r="A107" i="2"/>
  <c r="A108" i="2"/>
  <c r="A1012" i="2"/>
  <c r="A1546" i="2"/>
  <c r="A356" i="2"/>
  <c r="A830" i="2"/>
  <c r="A1076" i="2"/>
  <c r="A5" i="2"/>
  <c r="A318" i="2"/>
  <c r="A1437" i="2"/>
  <c r="A743" i="2"/>
  <c r="A1292" i="2"/>
  <c r="A927" i="2"/>
  <c r="A1391" i="2"/>
  <c r="A1652" i="2"/>
  <c r="A517" i="2"/>
  <c r="A1362" i="2"/>
  <c r="A1745" i="2"/>
  <c r="A1289" i="2"/>
  <c r="A57" i="2"/>
  <c r="A937" i="2"/>
  <c r="G5" i="4" a="1"/>
  <c r="G5" i="4" s="1"/>
  <c r="A136" i="2"/>
  <c r="A1392" i="2"/>
  <c r="A361" i="2"/>
  <c r="A884" i="2"/>
  <c r="A1423" i="2"/>
  <c r="A1509" i="2"/>
  <c r="A1765" i="2"/>
  <c r="A206" i="2"/>
  <c r="A1463" i="2"/>
  <c r="A1417" i="2"/>
  <c r="A1050" i="2"/>
  <c r="A1210" i="2"/>
  <c r="A1551" i="2"/>
  <c r="A1774" i="2"/>
  <c r="A1355" i="2"/>
  <c r="A1116" i="2"/>
  <c r="A897" i="2"/>
  <c r="A260" i="2"/>
  <c r="A188" i="2"/>
  <c r="A1804" i="2"/>
  <c r="A1087" i="2"/>
  <c r="A1086" i="2"/>
  <c r="A475" i="2"/>
  <c r="A205" i="2"/>
  <c r="A263" i="2"/>
  <c r="A98" i="2"/>
  <c r="D4" i="4"/>
  <c r="A4" i="27" l="1"/>
  <c r="A6" i="27"/>
  <c r="A7" i="27" s="1" a="1"/>
  <c r="A7" i="27" s="1"/>
  <c r="D4" i="27"/>
  <c r="A1846" i="2"/>
  <c r="A997" i="2"/>
  <c r="A695" i="2" l="1"/>
  <c r="A1406" i="2"/>
  <c r="A202" i="2"/>
  <c r="A1807" i="2"/>
  <c r="A343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321" i="2"/>
  <c r="A637" i="2"/>
  <c r="A1201" i="2"/>
  <c r="A1609" i="2"/>
  <c r="A1823" i="2"/>
  <c r="A1786" i="2"/>
  <c r="A860" i="2"/>
  <c r="A1409" i="2"/>
  <c r="A1154" i="2"/>
  <c r="A1067" i="2"/>
  <c r="A1109" i="2"/>
  <c r="A1088" i="2"/>
  <c r="A1483" i="2"/>
  <c r="A1194" i="2"/>
  <c r="A359" i="2"/>
  <c r="A357" i="2"/>
  <c r="A1259" i="2"/>
  <c r="A1564" i="2"/>
  <c r="A238" i="2"/>
  <c r="A1005" i="2"/>
  <c r="A870" i="2"/>
  <c r="A1202" i="2"/>
  <c r="A411" i="2"/>
  <c r="A1403" i="2"/>
  <c r="A1328" i="2"/>
  <c r="A742" i="2"/>
  <c r="A1064" i="2"/>
  <c r="A878" i="2"/>
  <c r="A1356" i="2"/>
  <c r="A829" i="2"/>
  <c r="A35" i="2"/>
  <c r="A953" i="2"/>
  <c r="A917" i="2"/>
  <c r="A763" i="2"/>
  <c r="L5" i="25" l="1" a="1"/>
  <c r="L5" i="25" s="1"/>
  <c r="A1408" i="2"/>
  <c r="A5" i="4" a="1"/>
  <c r="B1" i="4"/>
  <c r="A128" i="2"/>
  <c r="A1346" i="2"/>
  <c r="A4" i="2"/>
  <c r="A1601" i="2"/>
  <c r="A1021" i="2"/>
  <c r="A61" i="2"/>
  <c r="A1734" i="2"/>
  <c r="A1697" i="2"/>
  <c r="A853" i="2"/>
  <c r="A592" i="2"/>
  <c r="A589" i="2"/>
  <c r="A488" i="2"/>
  <c r="A1757" i="2"/>
  <c r="I8" i="27" s="1" a="1"/>
  <c r="I8" i="27" s="1"/>
  <c r="A1258" i="2"/>
  <c r="A1125" i="2"/>
  <c r="A733" i="2"/>
  <c r="A648" i="2"/>
  <c r="A1713" i="2"/>
  <c r="A277" i="2"/>
  <c r="A2" i="2"/>
  <c r="A8" i="2"/>
  <c r="A17" i="2"/>
  <c r="S5" i="25" s="1" a="1"/>
  <c r="S5" i="25" s="1"/>
  <c r="A20" i="2"/>
  <c r="A28" i="2"/>
  <c r="A33" i="2"/>
  <c r="A38" i="2"/>
  <c r="A58" i="2"/>
  <c r="A67" i="2"/>
  <c r="A77" i="2"/>
  <c r="M5" i="25" s="1" a="1"/>
  <c r="M5" i="25" s="1"/>
  <c r="A94" i="2"/>
  <c r="A95" i="2"/>
  <c r="A99" i="2"/>
  <c r="A104" i="2"/>
  <c r="A106" i="2"/>
  <c r="A114" i="2"/>
  <c r="A118" i="2"/>
  <c r="A121" i="2"/>
  <c r="A125" i="2"/>
  <c r="A127" i="2"/>
  <c r="A143" i="2"/>
  <c r="A156" i="2"/>
  <c r="A1499" i="2"/>
  <c r="A157" i="2"/>
  <c r="A159" i="2"/>
  <c r="A160" i="2"/>
  <c r="A161" i="2"/>
  <c r="A164" i="2"/>
  <c r="A169" i="2"/>
  <c r="A178" i="2"/>
  <c r="A183" i="2"/>
  <c r="A218" i="2"/>
  <c r="A234" i="2"/>
  <c r="A235" i="2"/>
  <c r="A236" i="2"/>
  <c r="A254" i="2"/>
  <c r="A255" i="2"/>
  <c r="A267" i="2"/>
  <c r="A269" i="2"/>
  <c r="A273" i="2"/>
  <c r="A280" i="2"/>
  <c r="A290" i="2"/>
  <c r="A291" i="2"/>
  <c r="A302" i="2"/>
  <c r="A540" i="2"/>
  <c r="A323" i="2"/>
  <c r="A334" i="2"/>
  <c r="A352" i="2"/>
  <c r="A358" i="2"/>
  <c r="A360" i="2"/>
  <c r="A382" i="2"/>
  <c r="A385" i="2"/>
  <c r="A386" i="2"/>
  <c r="A402" i="2"/>
  <c r="A1545" i="2"/>
  <c r="A428" i="2"/>
  <c r="A474" i="2"/>
  <c r="A482" i="2"/>
  <c r="A483" i="2"/>
  <c r="A485" i="2"/>
  <c r="A504" i="2"/>
  <c r="A511" i="2"/>
  <c r="A528" i="2"/>
  <c r="A538" i="2"/>
  <c r="A539" i="2"/>
  <c r="A547" i="2"/>
  <c r="A590" i="2"/>
  <c r="A556" i="2"/>
  <c r="A563" i="2"/>
  <c r="A570" i="2"/>
  <c r="A577" i="2"/>
  <c r="A579" i="2"/>
  <c r="A582" i="2"/>
  <c r="A588" i="2"/>
  <c r="A598" i="2"/>
  <c r="A602" i="2"/>
  <c r="A607" i="2"/>
  <c r="A608" i="2"/>
  <c r="A611" i="2"/>
  <c r="A621" i="2"/>
  <c r="A622" i="2"/>
  <c r="A650" i="2"/>
  <c r="A653" i="2"/>
  <c r="A657" i="2"/>
  <c r="A669" i="2"/>
  <c r="A684" i="2"/>
  <c r="A691" i="2"/>
  <c r="A723" i="2"/>
  <c r="X5" i="25" s="1" a="1"/>
  <c r="X5" i="25" s="1"/>
  <c r="A734" i="2"/>
  <c r="A735" i="2"/>
  <c r="A740" i="2"/>
  <c r="A752" i="2"/>
  <c r="A757" i="2"/>
  <c r="A770" i="2"/>
  <c r="A780" i="2"/>
  <c r="A791" i="2"/>
  <c r="B5" i="25" s="1" a="1"/>
  <c r="B5" i="25" s="1"/>
  <c r="A808" i="2"/>
  <c r="A809" i="2"/>
  <c r="A813" i="2"/>
  <c r="A817" i="2"/>
  <c r="A825" i="2"/>
  <c r="A828" i="2"/>
  <c r="A833" i="2"/>
  <c r="A835" i="2"/>
  <c r="A850" i="2"/>
  <c r="A866" i="2"/>
  <c r="A879" i="2"/>
  <c r="A882" i="2"/>
  <c r="A883" i="2"/>
  <c r="A899" i="2"/>
  <c r="A926" i="2"/>
  <c r="A959" i="2"/>
  <c r="A961" i="2"/>
  <c r="A972" i="2"/>
  <c r="A1001" i="2"/>
  <c r="A1003" i="2"/>
  <c r="A1006" i="2"/>
  <c r="A1007" i="2"/>
  <c r="A1036" i="2"/>
  <c r="A1048" i="2"/>
  <c r="A1063" i="2"/>
  <c r="A1077" i="2"/>
  <c r="A1083" i="2"/>
  <c r="A1090" i="2"/>
  <c r="A1105" i="2"/>
  <c r="A1118" i="2"/>
  <c r="A1164" i="2"/>
  <c r="A1168" i="2"/>
  <c r="A1174" i="2"/>
  <c r="A1178" i="2"/>
  <c r="A1182" i="2"/>
  <c r="A1184" i="2"/>
  <c r="A1195" i="2"/>
  <c r="A1204" i="2"/>
  <c r="A1209" i="2"/>
  <c r="A1218" i="2"/>
  <c r="A1246" i="2"/>
  <c r="A1248" i="2"/>
  <c r="A1249" i="2"/>
  <c r="A1261" i="2"/>
  <c r="A1270" i="2"/>
  <c r="A1275" i="2"/>
  <c r="C5" i="25" s="1" a="1"/>
  <c r="C5" i="25" s="1"/>
  <c r="A1276" i="2"/>
  <c r="A1279" i="2"/>
  <c r="A1291" i="2"/>
  <c r="A1297" i="2"/>
  <c r="A1301" i="2"/>
  <c r="A1304" i="2"/>
  <c r="A1306" i="2"/>
  <c r="A1324" i="2"/>
  <c r="A1325" i="2"/>
  <c r="A1330" i="2"/>
  <c r="A1334" i="2"/>
  <c r="A1354" i="2"/>
  <c r="A1369" i="2"/>
  <c r="A1374" i="2"/>
  <c r="A1375" i="2"/>
  <c r="A1398" i="2"/>
  <c r="A1402" i="2"/>
  <c r="A1413" i="2"/>
  <c r="A1414" i="2"/>
  <c r="A1405" i="2"/>
  <c r="A1410" i="2"/>
  <c r="A1418" i="2"/>
  <c r="A1420" i="2"/>
  <c r="A1426" i="2"/>
  <c r="A1458" i="2"/>
  <c r="A1469" i="2"/>
  <c r="A1477" i="2"/>
  <c r="A1513" i="2"/>
  <c r="A1514" i="2"/>
  <c r="A1525" i="2"/>
  <c r="A1544" i="2"/>
  <c r="A1557" i="2"/>
  <c r="A1562" i="2"/>
  <c r="A1576" i="2"/>
  <c r="A1582" i="2"/>
  <c r="A1605" i="2"/>
  <c r="A1610" i="2"/>
  <c r="A1613" i="2"/>
  <c r="A1625" i="2"/>
  <c r="A1629" i="2"/>
  <c r="A1654" i="2"/>
  <c r="A1659" i="2"/>
  <c r="A1686" i="2"/>
  <c r="A1692" i="2"/>
  <c r="A1695" i="2"/>
  <c r="A1704" i="2"/>
  <c r="A1706" i="2"/>
  <c r="A1707" i="2"/>
  <c r="A1710" i="2"/>
  <c r="A1714" i="2"/>
  <c r="A1723" i="2"/>
  <c r="A1725" i="2"/>
  <c r="A1729" i="2"/>
  <c r="A1731" i="2"/>
  <c r="A1736" i="2"/>
  <c r="A1760" i="2"/>
  <c r="A1758" i="2"/>
  <c r="A1766" i="2"/>
  <c r="A1787" i="2"/>
  <c r="A1792" i="2"/>
  <c r="A1795" i="2"/>
  <c r="A1802" i="2"/>
  <c r="A1809" i="2"/>
  <c r="A1822" i="2"/>
  <c r="A1826" i="2"/>
  <c r="A1830" i="2"/>
  <c r="A1842" i="2"/>
  <c r="A1845" i="2"/>
  <c r="W5" i="25" l="1" a="1"/>
  <c r="W5" i="25" s="1"/>
  <c r="R5" i="25" a="1"/>
  <c r="R5" i="25" s="1"/>
  <c r="J8" i="27" a="1"/>
  <c r="J8" i="27" s="1"/>
  <c r="J4" i="27" s="1"/>
  <c r="L8" i="27" a="1"/>
  <c r="P5" i="25" a="1"/>
  <c r="P5" i="25" s="1"/>
  <c r="Z5" i="25" a="1"/>
  <c r="Z5" i="25" s="1"/>
  <c r="Z3" i="25" s="1"/>
  <c r="D5" i="25" a="1"/>
  <c r="D5" i="25" s="1"/>
  <c r="T5" i="25" a="1"/>
  <c r="T5" i="25" s="1"/>
  <c r="H8" i="27" a="1"/>
  <c r="H8" i="27" s="1"/>
  <c r="H4" i="27" s="1"/>
  <c r="F5" i="25" a="1"/>
  <c r="F5" i="25" s="1"/>
  <c r="O5" i="25" a="1"/>
  <c r="O5" i="25" s="1"/>
  <c r="E5" i="25" a="1"/>
  <c r="E5" i="25" s="1"/>
  <c r="J5" i="25" a="1"/>
  <c r="J5" i="25" s="1"/>
  <c r="K5" i="25" a="1"/>
  <c r="U5" i="25" a="1"/>
  <c r="U5" i="25" s="1"/>
  <c r="V5" i="25" a="1"/>
  <c r="H5" i="25" a="1"/>
  <c r="H5" i="25" s="1"/>
  <c r="I5" i="25" a="1"/>
  <c r="I5" i="25" s="1"/>
  <c r="G8" i="27" a="1"/>
  <c r="G8" i="27" s="1"/>
  <c r="Q5" i="25" a="1"/>
  <c r="Q5" i="25" s="1"/>
  <c r="N5" i="25" a="1"/>
  <c r="N5" i="25" s="1"/>
  <c r="G5" i="25" a="1"/>
  <c r="G5" i="25" s="1"/>
  <c r="M8" i="27" a="1"/>
  <c r="M8" i="27" s="1"/>
  <c r="Y5" i="25" a="1"/>
  <c r="Y5" i="25" s="1"/>
  <c r="B3" i="25"/>
  <c r="X3" i="25"/>
  <c r="L3" i="25"/>
  <c r="M3" i="25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R3" i="25" l="1"/>
  <c r="L8" i="27"/>
  <c r="L4" i="27" s="1"/>
  <c r="O3" i="25"/>
  <c r="V5" i="25"/>
  <c r="V3" i="25" s="1"/>
  <c r="K5" i="25"/>
  <c r="K3" i="25" s="1"/>
  <c r="U3" i="25"/>
  <c r="Q3" i="25"/>
  <c r="M4" i="27"/>
  <c r="G4" i="27"/>
  <c r="D3" i="25"/>
  <c r="N3" i="25"/>
  <c r="A3" i="25"/>
  <c r="W3" i="25"/>
  <c r="H3" i="25"/>
  <c r="G3" i="25"/>
  <c r="E3" i="25"/>
  <c r="J3" i="25"/>
  <c r="S3" i="25"/>
  <c r="F4" i="27"/>
  <c r="P3" i="25"/>
  <c r="C3" i="25"/>
  <c r="I3" i="25"/>
  <c r="T3" i="25"/>
  <c r="F3" i="25"/>
  <c r="B4" i="27"/>
  <c r="E4" i="27"/>
  <c r="K4" i="27"/>
  <c r="Y3" i="25"/>
  <c r="I4" i="27"/>
  <c r="B5" i="4"/>
  <c r="B2" i="4" s="1"/>
  <c r="B4" i="4" s="1"/>
  <c r="C4" i="4" s="1"/>
  <c r="A3" i="27" l="1" a="1"/>
  <c r="A3" i="27" s="1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<sst xmlns="http://schemas.openxmlformats.org/spreadsheetml/2006/main" count="10303" uniqueCount="3818">
  <si>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</si>
  <si>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</si>
  <si>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</si>
  <si>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</si>
  <si>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</si>
  <si>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</si>
  <si>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</si>
  <si>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</si>
  <si>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</si>
  <si>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</si>
  <si>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</si>
  <si>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</si>
  <si>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</si>
  <si>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</si>
  <si>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</si>
  <si>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</si>
  <si>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</si>
  <si>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</si>
  <si>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</si>
  <si>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</si>
  <si>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</si>
  <si>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</si>
  <si>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</si>
  <si>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</si>
  <si>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</si>
  <si>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</si>
  <si>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</si>
  <si>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</si>
  <si>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</si>
  <si>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</si>
  <si>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</si>
  <si>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</si>
  <si>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</si>
  <si>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</si>
  <si>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</si>
  <si>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</si>
  <si>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</si>
  <si>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</si>
  <si>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</si>
  <si>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</si>
  <si>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</si>
  <si>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</si>
  <si>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</si>
  <si>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</si>
  <si>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</si>
  <si>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</si>
  <si>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</si>
  <si>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</si>
  <si>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</si>
  <si>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</si>
  <si>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</si>
  <si>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</si>
  <si>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</si>
  <si>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</si>
  <si>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</si>
  <si>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</si>
  <si>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</si>
  <si>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</si>
  <si>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</si>
  <si>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</si>
  <si>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</si>
  <si>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</si>
  <si>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</si>
  <si>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</si>
  <si>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</si>
  <si>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</si>
  <si>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</si>
  <si>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</si>
  <si>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</si>
  <si>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</si>
  <si>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</si>
  <si>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</si>
  <si>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</si>
  <si>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</si>
  <si>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</si>
  <si>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</si>
  <si>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</si>
  <si>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</si>
  <si>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</si>
  <si>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</si>
  <si>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</si>
  <si>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</si>
  <si>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</si>
  <si>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</si>
  <si>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</si>
  <si>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</si>
  <si>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</si>
  <si>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</si>
  <si>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</si>
  <si>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</si>
  <si>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</si>
  <si>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</si>
  <si>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</si>
  <si>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</si>
  <si>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</si>
  <si>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</si>
  <si>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</si>
  <si>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</si>
  <si>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</si>
  <si>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</si>
  <si>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</si>
  <si>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</si>
  <si>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</si>
  <si>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</si>
  <si>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</si>
  <si>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</si>
  <si>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</si>
  <si>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</si>
  <si>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</si>
  <si>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</si>
  <si>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</si>
  <si>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</si>
  <si>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</si>
  <si>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</si>
  <si>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</si>
  <si>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</si>
  <si>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</si>
  <si>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</si>
  <si>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</si>
  <si>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</si>
  <si>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</si>
  <si>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</si>
  <si>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</si>
  <si>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</si>
  <si>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</si>
  <si>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</si>
  <si>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</si>
  <si>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</si>
  <si>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</si>
  <si>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</si>
  <si>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</si>
  <si>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</si>
  <si>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</si>
  <si>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</si>
  <si>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</si>
  <si>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</si>
  <si>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</si>
  <si>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</si>
  <si>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</si>
  <si>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</si>
  <si>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</si>
  <si>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</si>
  <si>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</si>
  <si>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</si>
  <si>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</si>
  <si>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</si>
  <si>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</si>
  <si>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</si>
  <si>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</si>
  <si>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</si>
  <si>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</si>
  <si>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</si>
  <si>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</si>
  <si>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</si>
  <si>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</si>
  <si>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</si>
  <si>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</si>
  <si>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</si>
  <si>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</si>
  <si>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</si>
  <si>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</si>
  <si>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</si>
  <si>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</si>
  <si>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</si>
  <si>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</si>
  <si>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</si>
  <si>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</si>
  <si>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</si>
  <si>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</si>
  <si>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</si>
  <si>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</si>
  <si>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</si>
  <si>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</si>
  <si>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</si>
  <si>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</si>
  <si>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</si>
  <si>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</si>
  <si>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</si>
  <si>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</si>
  <si>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</si>
  <si>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</si>
  <si>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</si>
  <si>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</si>
  <si>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</si>
  <si>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</si>
  <si>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</si>
  <si>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</si>
  <si>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</si>
  <si>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</si>
  <si>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</si>
  <si>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</si>
  <si>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</si>
  <si>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</si>
  <si>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</si>
  <si>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</si>
  <si>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</si>
  <si>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</si>
  <si>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</si>
  <si>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</si>
  <si>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</si>
  <si>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</si>
  <si>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</si>
  <si>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</si>
  <si>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</si>
  <si>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</si>
  <si>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</si>
  <si>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</si>
  <si>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</si>
  <si>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</si>
  <si>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</si>
  <si>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</si>
  <si>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</si>
  <si>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</si>
  <si>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</si>
  <si>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</si>
  <si>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</si>
  <si>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</si>
  <si>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</si>
  <si>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</si>
  <si>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</si>
  <si>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</si>
  <si>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</si>
  <si>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</si>
  <si>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</si>
  <si>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</si>
  <si>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</si>
  <si>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</si>
  <si>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</si>
  <si>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</si>
  <si>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</si>
  <si>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</si>
  <si>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</si>
  <si>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</si>
  <si>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</si>
  <si>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</si>
  <si>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</si>
  <si>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</si>
  <si>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</si>
  <si>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</si>
  <si>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</si>
  <si>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</si>
  <si>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</si>
  <si>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</si>
  <si>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</si>
  <si>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</si>
  <si>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</si>
  <si>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</si>
  <si>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</si>
  <si>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</si>
  <si>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</si>
  <si>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</si>
  <si>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</si>
  <si>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</si>
  <si>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</si>
  <si>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</si>
  <si>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</si>
  <si>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</si>
  <si>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</si>
  <si>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</si>
  <si>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</si>
  <si>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</si>
  <si>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</si>
  <si>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</si>
  <si>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</si>
  <si>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</si>
  <si>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</si>
  <si>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</si>
  <si>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</si>
  <si>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</si>
  <si>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</si>
  <si>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</si>
  <si>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</si>
  <si>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</si>
  <si>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</si>
  <si>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</si>
  <si>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</si>
  <si>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</si>
  <si>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</si>
  <si>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</si>
  <si>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</si>
  <si>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</si>
  <si>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</si>
  <si>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</si>
  <si>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</si>
  <si>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</si>
  <si>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</si>
  <si>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</si>
  <si>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</si>
  <si>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</si>
  <si>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</si>
  <si>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</si>
  <si>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</si>
  <si>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</si>
  <si>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</si>
  <si>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</si>
  <si>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</si>
  <si>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</si>
  <si>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</si>
  <si>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</si>
  <si>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</si>
  <si>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</si>
  <si>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</si>
  <si>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</si>
  <si>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</si>
  <si>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</si>
  <si>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</si>
  <si>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</si>
  <si>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</si>
  <si>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</si>
  <si>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</si>
  <si>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</si>
  <si>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</si>
  <si>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</si>
  <si>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</si>
  <si>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</si>
  <si>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</si>
  <si>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</si>
  <si>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</si>
  <si>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</si>
  <si>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</si>
  <si>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</si>
  <si>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</si>
  <si>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</si>
  <si>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</si>
  <si>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</si>
  <si>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</si>
  <si>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</si>
  <si>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</si>
  <si>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</si>
  <si>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</si>
  <si>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</si>
  <si>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</si>
  <si>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</si>
  <si>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</si>
  <si>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</si>
  <si>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</si>
  <si>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</si>
  <si>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</si>
  <si>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</si>
  <si>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</si>
  <si>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</si>
  <si>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</si>
  <si>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</si>
  <si>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</si>
  <si>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</si>
  <si>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</si>
  <si>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</si>
  <si>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</si>
  <si>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</si>
  <si>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</si>
  <si>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</si>
  <si>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</si>
  <si>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</si>
  <si>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</si>
  <si>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</si>
  <si>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</si>
  <si>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</si>
  <si>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</si>
  <si>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</si>
  <si>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</si>
  <si>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</si>
  <si>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</si>
  <si>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</si>
  <si>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</si>
  <si>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</si>
  <si>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</si>
  <si>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</si>
  <si>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</si>
  <si>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</si>
  <si>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</si>
  <si>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</si>
  <si>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</si>
  <si>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</si>
  <si>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</si>
  <si>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</si>
  <si>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</si>
  <si>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</si>
  <si>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</si>
  <si>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</si>
  <si>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</si>
  <si>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</si>
  <si>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</si>
  <si>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</si>
  <si>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</si>
  <si>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</si>
  <si>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</si>
  <si>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</si>
  <si>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</si>
  <si>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</si>
  <si>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</si>
  <si>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</si>
  <si>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</si>
  <si>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</si>
  <si>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</si>
  <si>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</si>
  <si>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</si>
  <si>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</si>
  <si>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</si>
  <si>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</si>
  <si>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</si>
  <si>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</si>
  <si>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</si>
  <si>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</si>
  <si>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</si>
  <si>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</si>
  <si>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</si>
  <si>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</si>
  <si>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</si>
  <si>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</si>
  <si>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</si>
  <si>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</si>
  <si>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</si>
  <si>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</si>
  <si>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</si>
  <si>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</si>
  <si>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</si>
  <si>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</si>
  <si>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</si>
  <si>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</si>
  <si>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</si>
  <si>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</si>
  <si>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</si>
  <si>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</si>
  <si>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</si>
  <si>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</si>
  <si>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</si>
  <si>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</si>
  <si>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</si>
  <si>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</si>
  <si>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</si>
  <si>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</si>
  <si>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</si>
  <si>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</si>
  <si>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</si>
  <si>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</si>
  <si>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</si>
  <si>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</si>
  <si>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</si>
  <si>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</si>
  <si>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</si>
  <si>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</si>
  <si>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</si>
  <si>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</si>
  <si>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</si>
  <si>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</si>
  <si>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</si>
  <si>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</si>
  <si>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</si>
  <si>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</si>
  <si>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</si>
  <si>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</si>
  <si>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</si>
  <si>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</si>
  <si>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</si>
  <si>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</si>
  <si>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</si>
  <si>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</si>
  <si>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</si>
  <si>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</si>
  <si>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</si>
  <si>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</si>
  <si>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</si>
  <si>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</si>
  <si>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</si>
  <si>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</si>
  <si>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</si>
  <si>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</si>
  <si>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</si>
  <si>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</si>
  <si>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</si>
  <si>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</si>
  <si>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</si>
  <si>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</si>
  <si>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</si>
  <si>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</si>
  <si>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</si>
  <si>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</si>
  <si>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</si>
  <si>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</si>
  <si>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</si>
  <si>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</si>
  <si>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</si>
  <si>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</si>
  <si>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</si>
  <si>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</si>
  <si>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</si>
  <si>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</si>
  <si>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</si>
  <si>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</si>
  <si>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</si>
  <si>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</si>
  <si>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</si>
  <si>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</si>
  <si>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</si>
  <si>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</si>
  <si>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</si>
  <si>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</si>
  <si>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</si>
  <si>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</si>
  <si>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</si>
  <si>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</si>
  <si>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</si>
  <si>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</si>
  <si>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</si>
  <si>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</si>
  <si>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</si>
  <si>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</si>
  <si>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</si>
  <si>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</si>
  <si>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</si>
  <si>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</si>
  <si>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</si>
  <si>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</si>
  <si>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</si>
  <si>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</si>
  <si>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</si>
  <si>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</si>
  <si>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</si>
  <si>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</si>
  <si>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</si>
  <si>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</si>
  <si>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</si>
  <si>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</si>
  <si>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</si>
  <si>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</si>
  <si>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</si>
  <si>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</si>
  <si>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</si>
  <si>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</si>
  <si>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</si>
  <si>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</si>
  <si>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</si>
  <si>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</si>
  <si>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</si>
  <si>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</si>
  <si>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</si>
  <si>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</si>
  <si>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</si>
  <si>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</si>
  <si>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</si>
  <si>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</si>
  <si>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</si>
  <si>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</si>
  <si>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</si>
  <si>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</si>
  <si>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</si>
  <si>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</si>
  <si>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</si>
  <si>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</si>
  <si>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</si>
  <si>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</si>
  <si>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</si>
  <si>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</si>
  <si>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</si>
  <si>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</si>
  <si>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</si>
  <si>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</si>
  <si>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</si>
  <si>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</si>
  <si>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</si>
  <si>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</si>
  <si>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</si>
  <si>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</si>
  <si>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</si>
  <si>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</si>
  <si>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</si>
  <si>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</si>
  <si>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</si>
  <si>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</si>
  <si>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</si>
  <si>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</si>
  <si>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</si>
  <si>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</si>
  <si>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</si>
  <si>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</si>
  <si>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</si>
  <si>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</si>
  <si>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</si>
  <si>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</si>
  <si>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</si>
  <si>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</si>
  <si>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</si>
  <si>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</si>
  <si>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</si>
  <si>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</si>
  <si>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</si>
  <si>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</si>
  <si>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</si>
  <si>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</si>
  <si>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</si>
  <si>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</si>
  <si>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</si>
  <si>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</si>
  <si>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</si>
  <si>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</si>
  <si>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</si>
  <si>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</si>
  <si>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</si>
  <si>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</si>
  <si>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</si>
  <si>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</si>
  <si>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</si>
  <si>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</si>
  <si>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</si>
  <si>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</si>
  <si>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</si>
  <si>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</si>
  <si>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</si>
  <si>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</si>
  <si>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</si>
  <si>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</si>
  <si>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</si>
  <si>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</si>
  <si>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</si>
  <si>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</si>
  <si>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</si>
  <si>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</si>
  <si>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</si>
  <si>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</si>
  <si>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</si>
  <si>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</si>
  <si>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</si>
  <si>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</si>
  <si>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</si>
  <si>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</si>
  <si>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</si>
  <si>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</si>
  <si>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</si>
  <si>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</si>
  <si>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</si>
  <si>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</si>
  <si>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</si>
  <si>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</si>
  <si>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</si>
  <si>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</si>
  <si>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</si>
  <si>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</si>
  <si>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</si>
  <si>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</si>
  <si>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</si>
  <si>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</si>
  <si>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</si>
  <si>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</si>
  <si>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</si>
  <si>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</si>
  <si>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</si>
  <si>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</si>
  <si>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</si>
  <si>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</si>
  <si>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</si>
  <si>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</si>
  <si>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</si>
  <si>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</si>
  <si>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</si>
  <si>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</si>
  <si>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</si>
  <si>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</si>
  <si>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</si>
  <si>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</si>
  <si>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</si>
  <si>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</si>
  <si>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</si>
  <si>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</si>
  <si>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</si>
  <si>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</si>
  <si>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</si>
  <si>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</si>
  <si>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</si>
  <si>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</si>
  <si>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</si>
  <si>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</si>
  <si>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</si>
  <si>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</si>
  <si>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</si>
  <si>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</si>
  <si>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</si>
  <si>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</si>
  <si>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</si>
  <si>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</si>
  <si>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</si>
  <si>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</si>
  <si>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</si>
  <si>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</si>
  <si>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</si>
  <si>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</si>
  <si>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</si>
  <si>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</si>
  <si>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</si>
  <si>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</si>
  <si>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</si>
  <si>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</si>
  <si>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</si>
  <si>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</si>
  <si>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</si>
  <si>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</si>
  <si>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</si>
  <si>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</si>
  <si>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</si>
  <si>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</si>
  <si>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</si>
  <si>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</si>
  <si>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</si>
  <si>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</si>
  <si>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</si>
  <si>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</si>
  <si>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</si>
  <si>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</si>
  <si>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</si>
  <si>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</si>
  <si>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</si>
  <si>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</si>
  <si>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</si>
  <si>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</si>
  <si>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</si>
  <si>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</si>
  <si>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</si>
  <si>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</si>
  <si>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</si>
  <si>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</si>
  <si>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</si>
  <si>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</si>
  <si>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</si>
  <si>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</si>
  <si>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</si>
  <si>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</si>
  <si>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</si>
  <si>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</si>
  <si>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</si>
  <si>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</si>
  <si>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</si>
  <si>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</si>
  <si>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</si>
  <si>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</si>
  <si>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</si>
  <si>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</si>
  <si>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</si>
  <si>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</si>
  <si>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</si>
  <si>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</si>
  <si>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</si>
  <si>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</si>
  <si>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</si>
  <si>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</si>
  <si>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</si>
  <si>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</si>
  <si>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</si>
  <si>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</si>
  <si>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</si>
  <si>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</si>
  <si>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</si>
  <si>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</si>
  <si>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</si>
  <si>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</si>
  <si>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</si>
  <si>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</si>
  <si>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</si>
  <si>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</si>
  <si>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</si>
  <si>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</si>
  <si>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</si>
  <si>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</si>
  <si>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</si>
  <si>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</si>
  <si>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</si>
  <si>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</si>
  <si>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</si>
  <si>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</si>
  <si>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</si>
  <si>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</si>
  <si>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</si>
  <si>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</si>
  <si>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</si>
  <si>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</si>
  <si>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</si>
  <si>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</si>
  <si>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</si>
  <si>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</si>
  <si>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</si>
  <si>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</si>
  <si>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</si>
  <si>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</si>
  <si>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</si>
  <si>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</si>
  <si>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</si>
  <si>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</si>
  <si>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</si>
  <si>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</si>
  <si>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</si>
  <si>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</si>
  <si>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</si>
  <si>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</si>
  <si>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</si>
  <si>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</si>
  <si>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</si>
  <si>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</si>
  <si>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</si>
  <si>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</si>
  <si>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</si>
  <si>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</si>
  <si>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</si>
  <si>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</si>
  <si>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</si>
  <si>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</si>
  <si>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</si>
  <si>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</si>
  <si>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</si>
  <si>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</si>
  <si>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</si>
  <si>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</si>
  <si>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</si>
  <si>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</si>
  <si>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</si>
  <si>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</si>
  <si>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</si>
  <si>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</si>
  <si>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</si>
  <si>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</si>
  <si>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</si>
  <si>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</si>
  <si>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</si>
  <si>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</si>
  <si>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</si>
  <si>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</si>
  <si>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</si>
  <si>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</si>
  <si>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</si>
  <si>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</si>
  <si>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</si>
  <si>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</si>
  <si>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</si>
  <si>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</si>
  <si>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</si>
  <si>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</si>
  <si>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</si>
  <si>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</si>
  <si>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</si>
  <si>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</si>
  <si>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</si>
  <si>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</si>
  <si>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</si>
  <si>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</si>
  <si>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</si>
  <si>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</si>
  <si>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</si>
  <si>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</si>
  <si>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</si>
  <si>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</si>
  <si>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</si>
  <si>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</si>
  <si>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</si>
  <si>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</si>
  <si>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</si>
  <si>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</si>
  <si>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</si>
  <si>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</si>
  <si>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</si>
  <si>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</si>
  <si>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</si>
  <si>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</si>
  <si>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</si>
  <si>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</si>
  <si>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</si>
  <si>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</si>
  <si>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</si>
  <si>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</si>
  <si>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</si>
  <si>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</si>
  <si>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</si>
  <si>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</si>
  <si>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</si>
  <si>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</si>
  <si>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</si>
  <si>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</si>
  <si>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</si>
  <si>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</si>
  <si>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</si>
  <si>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</si>
  <si>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</si>
  <si>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</si>
  <si>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</si>
  <si>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</si>
  <si>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</si>
  <si>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</si>
  <si>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</si>
  <si>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</si>
  <si>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</si>
  <si>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</si>
  <si>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</si>
  <si>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</si>
  <si>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</si>
  <si>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</si>
  <si>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</si>
  <si>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</si>
  <si>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</si>
  <si>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</si>
  <si>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</si>
  <si>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</si>
  <si>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</si>
  <si>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</si>
  <si>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</si>
  <si>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</si>
  <si>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</si>
  <si>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</si>
  <si>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</si>
  <si>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</si>
  <si>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</si>
  <si>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</si>
  <si>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</si>
  <si>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</si>
  <si>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</si>
  <si>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</si>
  <si>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</si>
  <si>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</si>
  <si>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</si>
  <si>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</si>
  <si>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</si>
  <si>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</si>
  <si>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</si>
  <si>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</si>
  <si>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</si>
  <si>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</si>
  <si>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</si>
  <si>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</si>
  <si>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</si>
  <si>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</si>
  <si>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</si>
  <si>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</si>
  <si>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</si>
  <si>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</si>
  <si>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</si>
  <si>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</si>
  <si>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</si>
  <si>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</si>
  <si>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</si>
  <si>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</si>
  <si>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</si>
  <si>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</si>
  <si>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</si>
  <si>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</si>
  <si>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</si>
  <si>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</si>
  <si>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</si>
  <si>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</si>
  <si>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</si>
  <si>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</si>
  <si>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</si>
  <si>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</si>
  <si>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</si>
  <si>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</si>
  <si>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</si>
  <si>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</si>
  <si>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</si>
  <si>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</si>
  <si>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</si>
  <si>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</si>
  <si>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</si>
  <si>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</si>
  <si>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</si>
  <si>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</si>
  <si>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</si>
  <si>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</si>
  <si>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</si>
  <si>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</si>
  <si>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</si>
  <si>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</si>
  <si>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</si>
  <si>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</si>
  <si>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</si>
  <si>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</si>
  <si>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</si>
  <si>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</si>
  <si>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</si>
  <si>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</si>
  <si>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</si>
  <si>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</si>
  <si>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</si>
  <si>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</si>
  <si>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</si>
  <si>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</si>
  <si>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</si>
  <si>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</si>
  <si>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</si>
  <si>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</si>
  <si>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</si>
  <si>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</si>
  <si>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</si>
  <si>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</si>
  <si>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</si>
  <si>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</si>
  <si>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</si>
  <si>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</si>
  <si>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</si>
  <si>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</si>
  <si>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</si>
  <si>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</si>
  <si>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</si>
  <si>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</si>
  <si>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</si>
  <si>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</si>
  <si>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</si>
  <si>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</si>
  <si>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</si>
  <si>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</si>
  <si>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</si>
  <si>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</si>
  <si>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</si>
  <si>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</si>
  <si>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</si>
  <si>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</si>
  <si>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</si>
  <si>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</si>
  <si>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</si>
  <si>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</si>
  <si>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</si>
  <si>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</si>
  <si>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</si>
  <si>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</si>
  <si>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</si>
  <si>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</si>
  <si>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</si>
  <si>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</si>
  <si>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</si>
  <si>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</si>
  <si>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</si>
  <si>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</si>
  <si>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</si>
  <si>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</si>
  <si>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</si>
  <si>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</si>
  <si>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</si>
  <si>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</si>
  <si>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</si>
  <si>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</si>
  <si>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</si>
  <si>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</si>
  <si>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</si>
  <si>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</si>
  <si>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</si>
  <si>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</si>
  <si>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</si>
  <si>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</si>
  <si>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</si>
  <si>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</si>
  <si>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</si>
  <si>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</si>
  <si>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</si>
  <si>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</si>
  <si>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</si>
  <si>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</si>
  <si>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</si>
  <si>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</si>
  <si>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</si>
  <si>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</si>
  <si>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</si>
  <si>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</si>
  <si>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</si>
  <si>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</si>
  <si>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</si>
  <si>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</si>
  <si>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</si>
  <si>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</si>
  <si>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</si>
  <si>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</si>
  <si>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</si>
  <si>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</si>
  <si>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</si>
  <si>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</si>
  <si>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</si>
  <si>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</si>
  <si>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</si>
  <si>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</si>
  <si>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</si>
  <si>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</si>
  <si>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</si>
  <si>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</si>
  <si>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</si>
  <si>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</si>
  <si>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</si>
  <si>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</si>
  <si>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</si>
  <si>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</si>
  <si>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</si>
  <si>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</si>
  <si>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</si>
  <si>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</si>
  <si>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</si>
  <si>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</si>
  <si>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</si>
  <si>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</si>
  <si>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</si>
  <si>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</si>
  <si>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</si>
  <si>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</si>
  <si>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</si>
  <si>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</si>
  <si>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</si>
  <si>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</si>
  <si>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</si>
  <si>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</si>
  <si>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</si>
  <si>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</si>
  <si>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</si>
  <si>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</si>
  <si>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</si>
  <si>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</si>
  <si>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</si>
  <si>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</si>
  <si>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</si>
  <si>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</si>
  <si>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</si>
  <si>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</si>
  <si>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</si>
  <si>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</si>
  <si>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</si>
  <si>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</si>
  <si>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</si>
  <si>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</si>
  <si>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</si>
  <si>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</si>
  <si>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</si>
  <si>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</si>
  <si>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</si>
  <si>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</si>
  <si>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</si>
  <si>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</si>
  <si>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</si>
  <si>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</si>
  <si>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</si>
  <si>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</si>
  <si>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</si>
  <si>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</si>
  <si>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</si>
  <si>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</si>
  <si>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</si>
  <si>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</si>
  <si>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</si>
  <si>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</si>
  <si>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</si>
  <si>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</si>
  <si>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</si>
  <si>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</si>
  <si>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</si>
  <si>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</si>
  <si>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</si>
  <si>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</si>
  <si>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</si>
  <si>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</si>
  <si>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</si>
  <si>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</si>
  <si>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</si>
  <si>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</si>
  <si>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</si>
  <si>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</si>
  <si>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</si>
  <si>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</si>
  <si>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</si>
  <si>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</si>
  <si>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</si>
  <si>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</si>
  <si>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</si>
  <si>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</si>
  <si>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</si>
  <si>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</si>
  <si>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</si>
  <si>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</si>
  <si>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</si>
  <si>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</si>
  <si>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</si>
  <si>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</si>
  <si>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</si>
  <si>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</si>
  <si>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</si>
  <si>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</si>
  <si>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</si>
  <si>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</si>
  <si>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</si>
  <si>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</si>
  <si>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</si>
  <si>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</si>
  <si>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</si>
  <si>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</si>
  <si>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</si>
  <si>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</si>
  <si>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</si>
  <si>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</si>
  <si>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</si>
  <si>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</si>
  <si>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</si>
  <si>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</si>
  <si>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</si>
  <si>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</si>
  <si>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</si>
  <si>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</si>
  <si>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</si>
  <si>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</si>
  <si>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</si>
  <si>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</si>
  <si>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</si>
  <si>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</si>
  <si>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</si>
  <si>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</si>
  <si>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</si>
  <si>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</si>
  <si>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</si>
  <si>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</si>
  <si>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</si>
  <si>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</si>
  <si>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</si>
  <si>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</si>
  <si>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</si>
  <si>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</si>
  <si>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</si>
  <si>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</si>
  <si>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</si>
  <si>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</si>
  <si>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</si>
  <si>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</si>
  <si>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</si>
  <si>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</si>
  <si>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</si>
  <si>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</si>
  <si>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</si>
  <si>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</si>
  <si>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</si>
  <si>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</si>
  <si>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</si>
  <si>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</si>
  <si>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</si>
  <si>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</si>
  <si>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</si>
  <si>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</si>
  <si>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</si>
  <si>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</si>
  <si>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</si>
  <si>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</si>
  <si>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</si>
  <si>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</si>
  <si>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</si>
  <si>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</si>
  <si>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</si>
  <si>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</si>
  <si>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</si>
  <si>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</si>
  <si>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</si>
  <si>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</si>
  <si>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</si>
  <si>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</si>
  <si>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</si>
  <si>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</si>
  <si>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</si>
  <si>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</si>
  <si>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</si>
  <si>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</si>
  <si>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</si>
  <si>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</si>
  <si>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</si>
  <si>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</si>
  <si>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</si>
  <si>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</si>
  <si>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</si>
  <si>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</si>
  <si>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</si>
  <si>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</si>
  <si>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</si>
  <si>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</si>
  <si>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</si>
  <si>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</si>
  <si>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</si>
  <si>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</si>
  <si>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</si>
  <si>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</si>
  <si>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</si>
  <si>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</si>
  <si>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</si>
  <si>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</si>
  <si>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</si>
  <si>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</si>
  <si>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</si>
  <si>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</si>
  <si>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</si>
  <si>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</si>
  <si>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</si>
  <si>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</si>
  <si>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</si>
  <si>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</si>
  <si>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</si>
  <si>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</si>
  <si>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</si>
  <si>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</si>
  <si>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</si>
  <si>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</si>
  <si>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</si>
  <si>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</si>
  <si>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</si>
  <si>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</si>
  <si>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</si>
  <si>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</si>
  <si>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</si>
  <si>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</si>
  <si>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</si>
  <si>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</si>
  <si>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</si>
  <si>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</si>
  <si>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</si>
  <si>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</si>
  <si>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</si>
  <si>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</si>
  <si>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</si>
  <si>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</si>
  <si>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</si>
  <si>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</si>
  <si>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</si>
  <si>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</si>
  <si>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</si>
  <si>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</si>
  <si>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</si>
  <si>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</si>
  <si>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</si>
  <si>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</si>
  <si>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</si>
  <si>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</si>
  <si>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</si>
  <si>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</si>
  <si>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</si>
  <si>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</si>
  <si>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</si>
  <si>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</si>
  <si>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</si>
  <si>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</si>
  <si>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</si>
  <si>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</si>
  <si>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</si>
  <si>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</si>
  <si>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</si>
  <si>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</si>
  <si>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</si>
  <si>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</si>
  <si>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</si>
  <si>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</si>
  <si>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</si>
  <si>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</si>
  <si>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</si>
  <si>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</si>
  <si>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</si>
  <si>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</si>
  <si>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</si>
  <si>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</si>
  <si>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</si>
  <si>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</si>
  <si>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</si>
  <si>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</si>
  <si>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</si>
  <si>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</si>
  <si>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</si>
  <si>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</si>
  <si>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</si>
  <si>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</si>
  <si>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</si>
  <si>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</si>
  <si>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</si>
  <si>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</si>
  <si>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</si>
  <si>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</si>
  <si>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</si>
  <si>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</si>
  <si>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</si>
  <si>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</si>
  <si>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</si>
  <si>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</si>
  <si>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</si>
  <si>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</si>
  <si>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</si>
  <si>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</si>
  <si>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</si>
  <si>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</si>
  <si>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</si>
  <si>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</si>
  <si>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</si>
  <si>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</si>
  <si>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</si>
  <si>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</si>
  <si>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</si>
  <si>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</si>
  <si>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</si>
  <si>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</si>
  <si>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</si>
  <si>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</si>
  <si>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</si>
  <si>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</si>
  <si>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</si>
  <si>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</si>
  <si>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</si>
  <si>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</si>
  <si>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</si>
  <si>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</si>
  <si>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</si>
  <si>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</si>
  <si>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</si>
  <si>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</si>
  <si>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</si>
  <si>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</si>
  <si>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</si>
  <si>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</si>
  <si>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</si>
  <si>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</si>
  <si>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</si>
  <si>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</si>
  <si>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</si>
  <si>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</si>
  <si>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</si>
  <si>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</si>
  <si>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</si>
  <si>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</si>
  <si>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</si>
  <si>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</si>
  <si>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</si>
  <si>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</si>
  <si>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</si>
  <si>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</si>
  <si>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</si>
  <si>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</si>
  <si>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</si>
  <si>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</si>
  <si>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</si>
  <si>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</si>
  <si>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</si>
  <si>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</si>
  <si>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</si>
  <si>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</si>
  <si>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</si>
  <si>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</si>
  <si>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</si>
  <si>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</si>
  <si>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</si>
  <si>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</si>
  <si>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</si>
  <si>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</si>
  <si>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</si>
  <si>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</si>
  <si>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</si>
  <si>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</si>
  <si>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</si>
  <si>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</si>
  <si>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</si>
  <si>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</si>
  <si>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</si>
  <si>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</si>
  <si>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</si>
  <si>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</si>
  <si>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</si>
  <si>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</si>
  <si>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</si>
  <si>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</si>
  <si>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</si>
  <si>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</si>
  <si>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</si>
  <si>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</si>
  <si>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</si>
  <si>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</si>
  <si>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</si>
  <si>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</si>
  <si>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</si>
  <si>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</si>
  <si>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</si>
  <si>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</si>
  <si>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</si>
  <si>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</si>
  <si>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</si>
  <si>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</si>
  <si>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</si>
  <si>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</si>
  <si>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</si>
  <si>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</si>
  <si>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</si>
  <si>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</si>
  <si>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</si>
  <si>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</si>
  <si>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</si>
  <si>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</si>
  <si>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</si>
  <si>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</si>
  <si>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</si>
  <si>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</si>
  <si>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</si>
  <si>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</si>
  <si>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</si>
  <si>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</si>
  <si>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</si>
  <si>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</si>
  <si>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</si>
  <si>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</si>
  <si>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</si>
  <si>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</si>
  <si>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</si>
  <si>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</si>
  <si>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</si>
  <si>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</si>
  <si>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</si>
  <si>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</si>
  <si>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</si>
  <si>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</si>
  <si>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</si>
  <si>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</si>
  <si>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</si>
  <si>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</si>
  <si>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</si>
  <si>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</si>
  <si>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</si>
  <si>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</si>
  <si>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</si>
  <si>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</si>
  <si>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</si>
  <si>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</si>
  <si>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</si>
  <si>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</si>
  <si>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</si>
  <si>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</si>
  <si>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</si>
  <si>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</si>
  <si>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</si>
  <si>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</si>
  <si>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</si>
  <si>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</si>
  <si>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</si>
  <si>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</si>
  <si>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</si>
  <si>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</si>
  <si>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</si>
  <si>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</si>
  <si>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</si>
  <si>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</si>
  <si>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</si>
  <si>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</si>
  <si>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</si>
  <si>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</si>
  <si>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</si>
  <si>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</si>
  <si>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</si>
  <si>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</si>
  <si>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</si>
  <si>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</si>
  <si>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</si>
  <si>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</si>
  <si>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</si>
  <si>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</si>
  <si>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</si>
  <si>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</si>
  <si>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</si>
  <si>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</si>
  <si>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</si>
  <si>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</si>
  <si>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</si>
  <si>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</si>
  <si>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</si>
  <si>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</si>
  <si>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</si>
  <si>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</si>
  <si>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</si>
  <si>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</si>
  <si>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</si>
  <si>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</si>
  <si>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</si>
  <si>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</si>
  <si>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</si>
  <si>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</si>
  <si>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</si>
  <si>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</si>
  <si>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</si>
  <si>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</si>
  <si>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</si>
  <si>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</si>
  <si>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</si>
  <si>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</si>
  <si>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</si>
  <si>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</si>
  <si>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</si>
  <si>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</si>
  <si>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</si>
  <si>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</si>
  <si>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</si>
  <si>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</si>
  <si>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</si>
  <si>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</si>
  <si>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</si>
  <si>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</si>
  <si>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</si>
  <si>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</si>
  <si>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</si>
  <si>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</si>
  <si>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</si>
  <si>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</si>
  <si>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</si>
  <si>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</si>
  <si>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</si>
  <si>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</si>
  <si>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</si>
  <si>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</si>
  <si>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</si>
  <si>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</si>
  <si>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</si>
  <si>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</si>
  <si>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</si>
  <si>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</si>
  <si>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</si>
  <si>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</si>
  <si>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</si>
  <si>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</si>
  <si>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</si>
  <si>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</si>
  <si>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</si>
  <si>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</si>
  <si>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</si>
  <si>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</si>
  <si>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</si>
  <si>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</si>
  <si>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</si>
  <si>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</si>
  <si>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</si>
  <si>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</si>
  <si>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</si>
  <si>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</si>
  <si>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</si>
  <si>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</si>
  <si>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</si>
  <si>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</si>
  <si>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</si>
  <si>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</si>
  <si>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</si>
  <si>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</si>
  <si>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</si>
  <si>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</si>
  <si>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</si>
  <si>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</si>
  <si>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</si>
  <si>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</si>
  <si>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</si>
  <si>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</si>
  <si>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</si>
  <si>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</si>
  <si>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</si>
  <si>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</si>
  <si>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</si>
  <si>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</si>
  <si>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</si>
  <si>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</si>
  <si>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</si>
  <si>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</si>
  <si>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</si>
  <si>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</si>
  <si>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</si>
  <si>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</si>
  <si>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</si>
  <si>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</si>
  <si>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</si>
  <si>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</si>
  <si>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</si>
  <si>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</si>
  <si>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</si>
  <si>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</si>
  <si>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</si>
  <si>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</si>
  <si>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</si>
  <si>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</si>
  <si>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</si>
  <si>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</si>
  <si>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</si>
  <si>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</si>
  <si>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</si>
  <si>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</si>
  <si>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</si>
  <si>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</si>
  <si>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</si>
  <si>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</si>
  <si>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</si>
  <si>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</si>
  <si>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</si>
  <si>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</si>
  <si>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</si>
  <si>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</si>
  <si>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</si>
  <si>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</si>
  <si>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</si>
  <si>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</si>
  <si>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</si>
  <si>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</si>
  <si>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</si>
  <si>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</si>
  <si>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</si>
  <si>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</si>
  <si>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</si>
  <si>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</si>
  <si>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</si>
  <si>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</si>
  <si>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</si>
  <si>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</si>
  <si>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</si>
  <si>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</si>
  <si>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</si>
  <si>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</si>
  <si>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</si>
  <si>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</si>
  <si>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</si>
  <si>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</si>
  <si>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</si>
  <si>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</si>
  <si>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</si>
  <si>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</si>
  <si>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</si>
  <si>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</si>
  <si>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</si>
  <si>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</si>
  <si>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</si>
  <si>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</si>
  <si>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</si>
  <si>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</si>
  <si>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</si>
  <si>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</si>
  <si>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</si>
  <si>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</si>
  <si>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</si>
  <si>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</si>
  <si>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</si>
  <si>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</si>
  <si>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</si>
  <si>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</si>
  <si>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</si>
  <si>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</si>
  <si>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</si>
  <si>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</si>
  <si>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</si>
  <si>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</si>
  <si>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</si>
  <si>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</si>
  <si>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</si>
  <si>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</si>
  <si>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</si>
  <si>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</si>
  <si>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</si>
  <si>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</si>
  <si>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</si>
  <si>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</si>
  <si>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</si>
  <si>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</si>
  <si>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</si>
  <si>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</si>
  <si>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</si>
  <si>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</si>
  <si>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</si>
  <si>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</si>
  <si>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</si>
  <si>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</si>
  <si>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</si>
  <si>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</si>
  <si>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</si>
  <si>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</si>
  <si>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</si>
  <si>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</si>
  <si>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</si>
  <si>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</si>
  <si>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</si>
  <si>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</si>
  <si>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</si>
  <si>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</si>
  <si>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</si>
  <si>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</si>
  <si>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</si>
  <si>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</si>
  <si>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</si>
  <si>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</si>
  <si>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</si>
  <si>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</si>
  <si>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</si>
  <si>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</si>
  <si>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</si>
  <si>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</si>
  <si>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</si>
  <si>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</si>
  <si>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</si>
  <si>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</si>
  <si>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</si>
  <si>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</si>
  <si>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</si>
  <si>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</si>
  <si>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</si>
  <si>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</si>
  <si>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</si>
  <si>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</si>
  <si>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</si>
  <si>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</si>
  <si>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</si>
  <si>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</si>
  <si>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</si>
  <si>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</si>
  <si>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</si>
  <si>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</si>
  <si>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</si>
  <si>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</si>
  <si>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</si>
  <si>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</si>
  <si>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</si>
  <si>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</si>
  <si>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</si>
  <si>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</si>
  <si>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</si>
  <si>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</si>
  <si>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</si>
  <si>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</si>
  <si>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</si>
  <si>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</si>
  <si>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</si>
  <si>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</si>
  <si>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</si>
  <si>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</si>
  <si>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</si>
  <si>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</si>
  <si>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</si>
  <si>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</si>
  <si>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</si>
  <si>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</si>
  <si>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</si>
  <si>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</si>
  <si>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</si>
  <si>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</si>
  <si>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</si>
  <si>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</si>
  <si>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</si>
  <si>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</si>
  <si>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</si>
  <si>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</si>
  <si>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</si>
  <si>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</si>
  <si>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</si>
  <si>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</si>
  <si>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</si>
  <si>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</si>
  <si>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</si>
  <si>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</si>
  <si>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</si>
  <si>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</si>
  <si>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</si>
  <si>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</si>
  <si>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</si>
  <si>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</si>
  <si>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</si>
  <si>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</si>
  <si>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</si>
  <si>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</si>
  <si>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</si>
  <si>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</si>
  <si>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</si>
  <si>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</si>
  <si>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</si>
  <si>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</si>
  <si>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</si>
  <si>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</si>
  <si>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</si>
  <si>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</si>
  <si>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</si>
  <si>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</si>
  <si>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</si>
  <si>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</si>
  <si>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</si>
  <si>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</si>
  <si>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</si>
  <si>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</si>
  <si>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</si>
  <si>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</si>
  <si>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</si>
  <si>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</si>
  <si>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</si>
  <si>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</si>
  <si>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</si>
  <si>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</si>
  <si>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</si>
  <si>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</si>
  <si>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</si>
  <si>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</si>
  <si>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</si>
  <si>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</si>
  <si>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</si>
  <si>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</si>
  <si>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Confia</t>
  </si>
  <si>
    <t>Como Tú</t>
  </si>
  <si>
    <t>Pequeño Israel</t>
  </si>
  <si>
    <t>Vivid en comunión</t>
  </si>
  <si>
    <t>Vengan a mi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</si>
  <si>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</si>
  <si>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</si>
  <si>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</si>
  <si>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</si>
  <si>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</si>
  <si>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</si>
  <si>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</si>
  <si>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</si>
  <si>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</si>
  <si>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</si>
  <si>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</si>
  <si>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</si>
  <si>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</si>
  <si>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</si>
  <si>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</si>
  <si>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</si>
  <si>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</si>
  <si>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</si>
  <si>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</si>
  <si>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</si>
  <si>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</si>
  <si>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</si>
  <si>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</si>
  <si>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</si>
  <si>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</si>
  <si>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</si>
  <si>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</si>
  <si>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</si>
  <si>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</si>
  <si>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</si>
  <si>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</si>
  <si>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</si>
  <si>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</si>
  <si>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</si>
  <si>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</si>
  <si>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</si>
  <si>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</si>
  <si>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</si>
  <si>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</si>
  <si>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</si>
  <si>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</si>
  <si>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</si>
  <si>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</si>
  <si>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</si>
  <si>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</si>
  <si>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</si>
  <si>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</si>
  <si>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</si>
  <si>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</si>
  <si>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</si>
  <si>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</si>
  <si>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</si>
  <si>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</si>
  <si>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</si>
  <si>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</si>
  <si>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</si>
  <si>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</si>
  <si>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</si>
  <si>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</si>
  <si>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</si>
  <si>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</si>
  <si>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</si>
  <si>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</si>
  <si>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</si>
  <si>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</si>
  <si>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</si>
  <si>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</si>
  <si>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</si>
  <si>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</si>
  <si>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</si>
  <si>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</si>
  <si>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</si>
  <si>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</si>
  <si>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</si>
  <si>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</si>
  <si>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</si>
  <si>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</si>
  <si>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</si>
  <si>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</si>
  <si>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</si>
  <si>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</si>
  <si>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</si>
  <si>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</si>
  <si>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</si>
  <si>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</si>
  <si>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</si>
  <si>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</si>
  <si>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</si>
  <si>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</si>
  <si>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</si>
  <si>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</si>
  <si>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</si>
  <si>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</si>
  <si>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</si>
  <si>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</si>
  <si>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</si>
  <si>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Meditación (instrumental)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</si>
  <si>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</si>
  <si>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</si>
  <si>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</si>
  <si>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</si>
  <si>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</si>
  <si>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</si>
  <si>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</si>
  <si>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</si>
  <si>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</si>
  <si>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</si>
  <si>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</si>
  <si>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</si>
  <si>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</si>
  <si>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</si>
  <si>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</si>
  <si>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</si>
  <si>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</si>
  <si>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</si>
  <si>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</si>
  <si>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</si>
  <si>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</si>
  <si>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</si>
  <si>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</si>
  <si>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</si>
  <si>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</si>
  <si>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</si>
  <si>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</si>
  <si>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</si>
  <si>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</si>
  <si>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</si>
  <si>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</si>
  <si>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</si>
  <si>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</si>
  <si>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</si>
  <si>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</si>
  <si>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</si>
  <si>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</si>
  <si>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</si>
  <si>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</si>
  <si>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</si>
  <si>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</si>
  <si>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</si>
  <si>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</si>
  <si>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</si>
  <si>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</si>
  <si>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</si>
  <si>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</si>
  <si>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</si>
  <si>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</si>
  <si>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</si>
  <si>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</si>
  <si>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</si>
  <si>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</si>
  <si>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</si>
  <si>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</si>
  <si>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</si>
  <si>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</si>
  <si>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</si>
  <si>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</si>
  <si>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</si>
  <si>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</si>
  <si>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</si>
  <si>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</si>
  <si>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</si>
  <si>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</si>
  <si>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</si>
  <si>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</si>
  <si>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</si>
  <si>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</si>
  <si>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</si>
  <si>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</si>
  <si>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</si>
  <si>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</si>
  <si>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</si>
  <si>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</si>
  <si>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</si>
  <si>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</si>
  <si>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</si>
  <si>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</si>
  <si>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</si>
  <si>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</si>
  <si>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</si>
  <si>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</si>
  <si>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</si>
  <si>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</si>
  <si>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</si>
  <si>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</si>
  <si>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</si>
  <si>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</si>
  <si>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</si>
  <si>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</si>
  <si>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</si>
  <si>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</si>
  <si>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</si>
  <si>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</si>
  <si>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</si>
  <si>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</si>
  <si>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</si>
  <si>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</si>
  <si>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</si>
  <si>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</si>
  <si>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</si>
  <si>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</si>
  <si>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</si>
  <si>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</si>
  <si>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</si>
  <si>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</si>
  <si>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</si>
  <si>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</si>
  <si>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</si>
  <si>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</si>
  <si>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</si>
  <si>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</si>
  <si>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</si>
  <si>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</si>
  <si>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</si>
  <si>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Santo (misa coral)</t>
  </si>
  <si>
    <t>Aleluya (misa coral)</t>
  </si>
  <si>
    <t>Gloria (misa coral)</t>
  </si>
  <si>
    <t>Padre nuestro (misa coral)</t>
  </si>
  <si>
    <t>Cordero de Dios (misa coral)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</si>
  <si>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</si>
  <si>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</si>
  <si>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</si>
  <si>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</si>
  <si>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</si>
  <si>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</si>
  <si>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</si>
  <si>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</si>
  <si>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</si>
  <si>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</si>
  <si>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</si>
  <si>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</si>
  <si>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</si>
  <si>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</si>
  <si>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</si>
  <si>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</si>
  <si>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</si>
  <si>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</si>
  <si>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</si>
  <si>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</si>
  <si>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</si>
  <si>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</si>
  <si>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</si>
  <si>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</si>
  <si>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</si>
  <si>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</si>
  <si>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Vuelve hacia nosotros tu mirada</t>
  </si>
  <si>
    <t>De la gloria del Señor llena está la tierra</t>
  </si>
  <si>
    <t>Escucha, Señor, nuestra humilde oración</t>
  </si>
  <si>
    <t>Cuando bajas, Señor</t>
  </si>
  <si>
    <t>Dales, Señor, el descanso eterno</t>
  </si>
  <si>
    <t>Misa coral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</si>
  <si>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</si>
  <si>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</si>
  <si>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</si>
  <si>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</si>
  <si>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</si>
  <si>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</si>
  <si>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</si>
  <si>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</si>
  <si>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</si>
  <si>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</si>
  <si>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</si>
  <si>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</si>
  <si>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</si>
  <si>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</si>
  <si>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</si>
  <si>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</si>
  <si>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</si>
  <si>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</si>
  <si>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</si>
  <si>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</si>
  <si>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</si>
  <si>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</si>
  <si>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</si>
  <si>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</si>
  <si>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</si>
  <si>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</si>
  <si>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</si>
  <si>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</si>
  <si>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</si>
  <si>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</si>
  <si>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</si>
  <si>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</si>
  <si>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</si>
  <si>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</si>
  <si>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</si>
  <si>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</si>
  <si>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</si>
  <si>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</si>
  <si>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</si>
  <si>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</si>
  <si>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</si>
  <si>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</si>
  <si>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</si>
  <si>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</si>
  <si>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</si>
  <si>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</si>
  <si>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</si>
  <si>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</si>
  <si>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</si>
  <si>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</si>
  <si>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</si>
  <si>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</si>
  <si>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</si>
  <si>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</si>
  <si>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</si>
  <si>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</si>
  <si>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</si>
  <si>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Autores</t>
  </si>
  <si>
    <t>Carpetas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</si>
  <si>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</si>
  <si>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</si>
  <si>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</si>
  <si>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</si>
  <si>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</si>
  <si>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</si>
  <si>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</si>
  <si>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</si>
  <si>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</si>
  <si>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Carpeta con más de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</si>
  <si>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</si>
  <si>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</si>
  <si>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</si>
  <si>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</si>
  <si>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</si>
  <si>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</si>
  <si>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</si>
  <si>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</si>
  <si>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&lt;li data-author="Miguel Manzano" data-momento="Navidad" data-nold="1" data-nnew="O01"&gt;&lt;a href="canciones/miguel_manzano/a_belen_se_va_y_se_viene.html"&gt;A Belén se va y se viene&lt;/a&gt;&lt;/li&gt;</t>
  </si>
  <si>
    <t>&lt;li data-author="Juan Antonio Espinosa" data-momento="Antífonas" data-nold="4" data-nnew="D01"&gt;&lt;a href="canciones/juan_antonio_espinosa/a_dios_den_gracias_los_pueblos.html"&gt;A Dios den gracias los pueblos&lt;/a&gt;&lt;/li&gt;</t>
  </si>
  <si>
    <t>&lt;li data-author="Juanjo Elezkano" data-momento="Entrada" data-nold="32" data-nnew="A01"&gt;&lt;a href="canciones/juanjo_elezkano/a_la_fiesta_del_señor.html"&gt;A la fiesta del Señor&lt;/a&gt;&lt;/li&gt;</t>
  </si>
  <si>
    <t>&lt;li data-author="Pedro Núñez" data-momento="Antífonas" data-nold="28" data-nnew="D03"&gt;&lt;a href="canciones/pedro_nuñez/a_ti_acudo.html"&gt;A ti acudo&lt;/a&gt;&lt;/li&gt;</t>
  </si>
  <si>
    <t>&lt;li data-author="Ramón Capilla" data-momento="María" data-nold="31" data-nnew="M01"&gt;&lt;a href="canciones/nsb/a_ti_que_eres_el_signo.html"&gt;A ti que eres el signo&lt;/a&gt;&lt;/li&gt;</t>
  </si>
  <si>
    <t>&lt;li data-author="Alejandro Ruiz" data-momento="Entrada" data-nold="401" data-nnew="A02"&gt;&lt;a href="canciones/nsb/abba_padre.html"&gt;Abba, Padre&lt;/a&gt;&lt;/li&gt;</t>
  </si>
  <si>
    <t>&lt;li data-author="Carmelo Erdozáin" data-momento="Entrada" data-nold="8" data-nnew="A03"&gt;&lt;a href="canciones/carmelo_erdozain/abre_tu_tienda_al_señor.html"&gt;Abre tu tienda al Señor&lt;/a&gt;&lt;/li&gt;</t>
  </si>
  <si>
    <t>&lt;li data-author="Pelayo Sánchez" data-momento="Comunión" data-nold="402" data-nnew="K01"&gt;&lt;a href="canciones/nsb/abro_mi_ser.html"&gt;Abro mi ser&lt;/a&gt;&lt;/li&gt;</t>
  </si>
  <si>
    <t>&lt;li data-author="Francisco Palazón" data-momento="Entrada" data-nold="9" data-nnew="A04"&gt;&lt;a href="canciones/francisco_palazon/acerquemonos_todos_al_altar.html"&gt;Acerquémonos todos al altar&lt;/a&gt;&lt;/li&gt;</t>
  </si>
  <si>
    <t>&lt;li data-author="Parroquia San Juan de Ávila" data-momento="Comunión" data-nnew="K03"&gt;&lt;a href="canciones/nsb/adorando.html"&gt;Adorando&lt;/a&gt;&lt;/li&gt;</t>
  </si>
  <si>
    <t>&lt;li data-author="Josep Asunción" data-momento="Comunión" data-nnew="K02"&gt;&lt;a href="canciones/nsb/adorare_tu_cuerpo_herido.html"&gt;Adoraré tu cuerpo herido&lt;/a&gt;&lt;/li&gt;</t>
  </si>
  <si>
    <t>&lt;li data-author="Brotes de Olivo" data-momento="Perdón - Agua" data-nnew="B01"&gt;&lt;a href="canciones/brotes_de_olivo/agua_lavame.html"&gt;Agua, lávame&lt;/a&gt;&lt;/li&gt;</t>
  </si>
  <si>
    <t>&lt;li data-author="Francisco Palazón" data-momento="Comunión" data-nold="19" data-nnew="K04"&gt;&lt;a href="canciones/francisco_palazon/al_atardecer_de_la_vida.html"&gt;Al atardecer de la vida&lt;/a&gt;&lt;/li&gt;</t>
  </si>
  <si>
    <t>&lt;li data-author="Joaquín Madurga" data-momento="Comunión" data-nold="12" data-nnew="K05"&gt;&lt;a href="canciones/joaquin_madurga/al_ver_jesus.html"&gt;Al ver Jesús&lt;/a&gt;&lt;/li&gt;</t>
  </si>
  <si>
    <t>&lt;li data-author="Juan Antonio Espinosa" data-momento="Entrada" data-nold="16" data-nnew="A05"&gt;&lt;a href="canciones/juan_antonio_espinosa/alegre_la_mañana.html"&gt;Alegre la mañana&lt;/a&gt;&lt;/li&gt;</t>
  </si>
  <si>
    <t>&lt;li data-author="J. Pedro Martins" data-momento="Entrada" data-nold="10" data-nnew="A06"&gt;&lt;a href="canciones/nsb/alegremonos_hermanos.html"&gt;Alegrémonos, hermanos&lt;/a&gt;&lt;/li&gt;</t>
  </si>
  <si>
    <t>&lt;li data-author="Kairoi" data-momento="Aleluya" data-nnew="E02"&gt;&lt;a href="canciones/kairoi/aleluya_(junto_a_ti_jesus).html"&gt;Aleluya (Junto a ti, Jesús)&lt;/a&gt;&lt;/li&gt;</t>
  </si>
  <si>
    <t>&lt;li data-author="Nico Montero" data-momento="Aleluya" data-nold="403" data-nnew="E03"&gt;&lt;a href="canciones/nsb/aleluya_(santiago).html"&gt;Aleluya (Santiago)&lt;/a&gt;&lt;/li&gt;</t>
  </si>
  <si>
    <t>&lt;li data-author="Brotes de Olivo" data-momento="Aleluya" data-nold="405" data-nnew="E04"&gt;&lt;a href="canciones/brotes_de_olivo/aleluya_cantara.html"&gt;Aleluya cantará&lt;/a&gt;&lt;/li&gt;</t>
  </si>
  <si>
    <t>&lt;li data-momento="Aleluya" data-nnew="E09"&gt;&lt;a href="canciones/nsb/aleluya_de_adviento.html"&gt;Aleluya de Adviento&lt;/a&gt;&lt;/li&gt;</t>
  </si>
  <si>
    <t>&lt;li data-author="Jaime Espino" data-momento="Aleluya" data-nold="406" data-nnew="E05"&gt;&lt;a href="canciones/nsb/aleluya_por_esa_gente.html"&gt;Aleluya por esa gente&lt;/a&gt;&lt;/li&gt;</t>
  </si>
  <si>
    <t>&lt;li data-author="Cesáreo Gabarain" data-momento="Aleluya" data-nnew="E06"&gt;&lt;a href="canciones/cesareo_gabarain/aleluya_creo_en_ti_señor.html"&gt;Aleluya, creo en Ti, Señor&lt;/a&gt;&lt;/li&gt;</t>
  </si>
  <si>
    <t>&lt;li data-author="Miguel Manzano" data-momento="Aleluya" data-nold="14" data-nnew="E07"&gt;&lt;a href="canciones/miguel_manzano/aleluya_el_señor_es_nuestro_rey.html"&gt;Aleluya, el Señor es nuestro Rey&lt;/a&gt;&lt;/li&gt;</t>
  </si>
  <si>
    <t>&lt;li data-author="Carmelo Erdozáin" data-momento="Aleluya" data-nold="13" data-nnew="E08"&gt;&lt;a href="canciones/carmelo_erdozain/aleluya_es_la_fiesta_del_señor.html"&gt;Aleluya, es la fiesta del Señor&lt;/a&gt;&lt;/li&gt;</t>
  </si>
  <si>
    <t>&lt;li data-author="Joaquín Madurga" data-momento="Aleluya" data-nnew="E10"&gt;&lt;a href="canciones/joaquin_madurga/aleluya_ha_nacido_el_salvador.html"&gt;Aleluya, ha nacido el salvador&lt;/a&gt;&lt;/li&gt;</t>
  </si>
  <si>
    <t>&lt;li data-author="Grupo Gente Nueva" data-momento="Ofertorio" data-nnew="F01"&gt;&lt;a href="canciones/nsb/alimento_de_amor_(el_loco).html"&gt;Alimento de amor (El loco)&lt;/a&gt;&lt;/li&gt;</t>
  </si>
  <si>
    <t>&lt;li data-author="Enrique García Vélez" data-momento="Comunión" data-nold="407" data-nnew="K06"&gt;&lt;a href="canciones/nsb/alma_misionera.html"&gt;Alma misionera&lt;/a&gt;&lt;/li&gt;</t>
  </si>
  <si>
    <t>&lt;li data-author="Francisco Palazón" data-momento="Entrada" data-nold="21" data-nnew="A07"&gt;&lt;a href="canciones/francisco_palazon/alrededor_de_tu_mesa.html"&gt;Alrededor de tu mesa&lt;/a&gt;&lt;/li&gt;</t>
  </si>
  <si>
    <t>&lt;li data-author="Comunidad San Pedro" data-momento="Comunión" data-nold="23" data-nnew="K07"&gt;&lt;a href="canciones/nsb/alza_tu_mano_(comunidad).html"&gt;Alza tu mano (Comunidad)&lt;/a&gt;&lt;/li&gt;</t>
  </si>
  <si>
    <t>&lt;li data-author="Maite López" data-momento="Comunión" data-nold="408" data-nnew="K09"&gt;&lt;a href="canciones/nsb/amando_hasta_el_extremo.html"&gt;Amando hasta el extremo&lt;/a&gt;&lt;/li&gt;</t>
  </si>
  <si>
    <t>&lt;li data-author="Kairoi" data-momento="Comunión" data-nold="409" data-nnew="K10"&gt;&lt;a href="canciones/kairoi/amaos_(como_el_padre_me_amo).html"&gt;Amaos (Como el Padre me amó)&lt;/a&gt;&lt;/li&gt;</t>
  </si>
  <si>
    <t>&lt;li data-author="Joaquín Madurga" data-momento="Ofertorio" data-nold="26" data-nnew="F02"&gt;&lt;a href="canciones/joaquin_madurga/andando_por_el_camino.html"&gt;Andando por el camino&lt;/a&gt;&lt;/li&gt;</t>
  </si>
  <si>
    <t>&lt;li data-author="Carmelo Erdozáin" data-momento="Ofertorio" data-nold="24" data-nnew="F03"&gt;&lt;a href="canciones/carmelo_erdozain/ante_ti_señor.html"&gt;Ante Ti, Señor&lt;/a&gt;&lt;/li&gt;</t>
  </si>
  <si>
    <t>&lt;li data-author="Cristóbal Halffter" data-momento="Despedida" data-nold="22" data-nnew="L01"&gt;&lt;a href="canciones/nsb/anunciaremos_tu_reino_señor.html"&gt;Anunciaremos tu reino, Señor&lt;/a&gt;&lt;/li&gt;</t>
  </si>
  <si>
    <t>&lt;li data-author="Padre Ernesto" data-momento="Ofertorio" data-nnew="F04"&gt;&lt;a href="canciones/nsb/aqui_tienes_el_pan.html"&gt;Aquí tienes el Pan&lt;/a&gt;&lt;/li&gt;</t>
  </si>
  <si>
    <t>&lt;li data-author="Toño Casado" data-momento="María" data-nnew="M02"&gt;&lt;a href="canciones/toño_casado/ave_maria.html"&gt;Ave María&lt;/a&gt;&lt;/li&gt;</t>
  </si>
  <si>
    <t>&lt;li data-author="José Vives" data-momento="Antífonas" data-nnew="D05"&gt;&lt;a href="canciones/nsb/ayudame_a_caminar.html"&gt;Ayúdame a caminar&lt;/a&gt;&lt;/li&gt;</t>
  </si>
  <si>
    <t>&lt;li data-author="Pelayo Sánchez" data-momento="Espíritu" data-nold="411" data-nnew="N01"&gt;&lt;a href="canciones/nsb/bendigamos_al_señor.html"&gt;Bendigamos al Señor&lt;/a&gt;&lt;/li&gt;</t>
  </si>
  <si>
    <t>&lt;li data-author="Toño Casado" data-momento="Comunión" data-nnew="K11"&gt;&lt;a href="canciones/toño_casado/bienaventuranzas_(33_el_musical).html"&gt;Bienaventuranzas (33 El Musical)&lt;/a&gt;&lt;/li&gt;</t>
  </si>
  <si>
    <t>&lt;li data-author="Kairoi" data-momento="Comunión" data-nnew="K12"&gt;&lt;a href="canciones/kairoi/bienaventuranzas_(kairoi).html"&gt;Bienaventuranzas (Kairoi)&lt;/a&gt;&lt;/li&gt;</t>
  </si>
  <si>
    <t>&lt;li data-author="Toño Casado" data-momento="Entrada" data-nnew="A08"&gt;&lt;a href="canciones/toño_casado/bienvenidos.html"&gt;Bienvenidos&lt;/a&gt;&lt;/li&gt;</t>
  </si>
  <si>
    <t>&lt;li data-author="Juan Antonio Espinosa" data-momento="Entrada" data-nold="35" data-nnew="A09"&gt;&lt;a href="canciones/juan_antonio_espinosa/caminamos_hacia_el_sol.html"&gt;Caminamos hacia el Sol&lt;/a&gt;&lt;/li&gt;</t>
  </si>
  <si>
    <t>&lt;li data-author="Cesáreo Gabarain" data-momento="Entrada" data-nold="38" data-nnew="A10"&gt;&lt;a href="canciones/cesareo_gabarain/caminando_voy.html"&gt;Caminando voy&lt;/a&gt;&lt;/li&gt;</t>
  </si>
  <si>
    <t>&lt;li data-author="Ixcís" data-momento="Antífonas" data-nnew="D06"&gt;&lt;a href="canciones/nsb/caminare_hoy_en_tu_presencia.html"&gt;Caminaré hoy en tu presencia&lt;/a&gt;&lt;/li&gt;</t>
  </si>
  <si>
    <t>&lt;li data-author="Linda Stassen" data-momento="Aleluya" data-nold="413" data-nnew="E11"&gt;&lt;a href="canciones/nsb/canta_aleluya.html"&gt;Canta aleluya&lt;/a&gt;&lt;/li&gt;</t>
  </si>
  <si>
    <t>&lt;li data-author="Pedro Núñez" data-momento="Antífonas" data-nold="45" data-nnew="D07"&gt;&lt;a href="canciones/pedro_nuñez/cantad_a_dios.html"&gt;Cantad a Dios&lt;/a&gt;&lt;/li&gt;</t>
  </si>
  <si>
    <t>&lt;li data-author="Francisco Palazón" data-momento="Antífonas" data-nold="41" data-nnew="D08"&gt;&lt;a href="canciones/francisco_palazon/cantare_eternamente.html"&gt;Cantaré eternamente&lt;/a&gt;&lt;/li&gt;</t>
  </si>
  <si>
    <t>&lt;li data-author="Ignacio Busca de Sagastizabal" data-momento="Especiales" data-nnew="P01"&gt;&lt;a href="canciones/nsb/cantemos_al_amor_de_los_amores.html"&gt;Cantemos al amor de los amores&lt;/a&gt;&lt;/li&gt;</t>
  </si>
  <si>
    <t>&lt;li data-author="Sarah Flower Adams" data-momento="Comunión" data-nnew="K14"&gt;&lt;a href="canciones/nsb/cerca_de_ti_señor.html"&gt;Cerca de Ti, Señor&lt;/a&gt;&lt;/li&gt;</t>
  </si>
  <si>
    <t>&lt;li data-author="Carmelo Erdozáin" data-momento="Comunión" data-nold="52" data-nnew="K15"&gt;&lt;a href="canciones/carmelo_erdozain/cerca_esta_el_señor.html"&gt;Cerca está el Señor&lt;/a&gt;&lt;/li&gt;</t>
  </si>
  <si>
    <t>&lt;li data-author="Juanjo Elezkano" data-momento="Entrada" data-nold="65b" data-nnew="A11"&gt;&lt;a href="canciones/juanjo_elezkano/comeremos_de_la_mesa.html"&gt;Comeremos de la mesa&lt;/a&gt;&lt;/li&gt;</t>
  </si>
  <si>
    <t>&lt;li data-author="Joaquín Madurga" data-momento="Comunión" data-nold="43"&gt;&lt;a href="canciones/joaquin_madurga/comiendo_del_mismo_pan.html"&gt;Comiendo del mismo pan&lt;/a&gt;&lt;/li&gt;</t>
  </si>
  <si>
    <t>&lt;li data-author="Ixcís" data-momento="Antífonas" data-nnew="D09"&gt;&lt;a href="canciones/nsb/como_sal_como_luz.html"&gt;Como sal, como luz&lt;/a&gt;&lt;/li&gt;</t>
  </si>
  <si>
    <t>&lt;li data-author="Carmelo Erdozáin" data-momento="Antífonas" data-nold="51" data-nnew="D10"&gt;&lt;a href="canciones/carmelo_erdozain/compartir_junto_al_señor.html"&gt;Compartir junto al Señor&lt;/a&gt;&lt;/li&gt;</t>
  </si>
  <si>
    <t>&lt;li data-author="Carmelo Erdozáin" data-nold="44"&gt;&lt;a href="canciones/carmelo_erdozain/con_nosotros_esta_el_señor.html"&gt;Con nosotros está el Señor&lt;/a&gt;&lt;/li&gt;</t>
  </si>
  <si>
    <t>&lt;li data-author="Miguel Manzano" data-momento="Comunión" data-nold="60" data-nnew="K16"&gt;&lt;a href="canciones/miguel_manzano/con_vosotros_esta.html"&gt;Con vosotros está&lt;/a&gt;&lt;/li&gt;</t>
  </si>
  <si>
    <t>&lt;li data-author="Alberto Arija" data-momento="Perdón - Agua" data-nnew="B02"&gt;&lt;a href="canciones/nsb/confieso.html"&gt;Confieso&lt;/a&gt;&lt;/li&gt;</t>
  </si>
  <si>
    <t>&lt;li data-author="Elena Ráfales" data-momento="Comunión" data-nold="414" data-nnew="K18"&gt;&lt;a href="canciones/nsb/corazon_inquieto.html"&gt;Corazón inquieto&lt;/a&gt;&lt;/li&gt;</t>
  </si>
  <si>
    <t>&lt;li data-momento="Cordero de Dios" data-nnew="J01"&gt;&lt;a href="canciones/nsb/cordero_de_dios_(algete).html"&gt;Cordero de Dios (Algete)&lt;/a&gt;&lt;/li&gt;</t>
  </si>
  <si>
    <t>&lt;li data-author="Tomás Aragüés" data-momento="Cordero de Dios" data-nnew="J02"&gt;&lt;a href="canciones/nsb/cordero_de_dios_(aragües).html"&gt;Cordero de Dios (Aragüés)&lt;/a&gt;&lt;/li&gt;</t>
  </si>
  <si>
    <t>&lt;li data-momento="Cordero de Dios" data-nold="415" data-nnew="J03"&gt;&lt;a href="canciones/nsb/cordero_de_dios_(boliviano).html"&gt;Cordero de Dios (boliviano)&lt;/a&gt;&lt;/li&gt;</t>
  </si>
  <si>
    <t>&lt;li data-author="Alejandro Mejía" data-momento="Cordero de Dios" data-nnew="J05"&gt;&lt;a href="canciones/nsb/cordero_de_dios_(maristas).html"&gt;Cordero de Dios (Maristas)&lt;/a&gt;&lt;/li&gt;</t>
  </si>
  <si>
    <t>&lt;li data-author="Misioneros de la Esperanza" data-momento="Cordero de Dios" data-nnew="J06"&gt;&lt;a href="canciones/nsb/cordero_de_dios_(mies).html"&gt;Cordero de Dios (MiEs)&lt;/a&gt;&lt;/li&gt;</t>
  </si>
  <si>
    <t>&lt;li data-author="Taizé" data-momento="Comunión" data-nold="65" data-nnew="K17"&gt;&lt;a href="canciones/taize/cristo_ha_resucitado.html"&gt;Cristo ha resucitado&lt;/a&gt;&lt;/li&gt;</t>
  </si>
  <si>
    <t>&lt;li data-author="Carmelo Erdozáin" data-momento="Comunión" data-nold="63" data-nnew="K19"&gt;&lt;a href="canciones/carmelo_erdozain/cristo_nos_da_la_libertad.html"&gt;Cristo nos da la libertad&lt;/a&gt;&lt;/li&gt;</t>
  </si>
  <si>
    <t>&lt;li data-author="Carmelo Erdozáin" data-momento="Antífonas" data-nold="59" data-nnew="D11"&gt;&lt;a href="canciones/carmelo_erdozain/cristo_por_nosotros.html"&gt;Cristo por nosotros&lt;/a&gt;&lt;/li&gt;</t>
  </si>
  <si>
    <t>&lt;li data-author="Miguel Manzano" data-momento="Ofertorio" data-nold="67" data-nnew="F05"&gt;&lt;a href="canciones/miguel_manzano/cuando_el_pobre_nada_tiene.html"&gt;Cuando el pobre nada tiene&lt;/a&gt;&lt;/li&gt;</t>
  </si>
  <si>
    <t>&lt;li data-author="Toño Casado" data-momento="Paz" data-nnew="I01"&gt;&lt;a href="canciones/toño_casado/da_la_paz_al_mundo.html"&gt;Da la paz al mundo&lt;/a&gt;&lt;/li&gt;</t>
  </si>
  <si>
    <t>&lt;li data-author="Juan Antonio Espinosa" data-momento="Comunión" data-nold="75" data-nnew="K21"&gt;&lt;a href="canciones/juan_antonio_espinosa/danos_un_corazon.html"&gt;Danos un corazón&lt;/a&gt;&lt;/li&gt;</t>
  </si>
  <si>
    <t>&lt;li data-nold="81"&gt;&lt;a href="canciones/nsb/de_jerusalen_bajaba_a_jerico.html"&gt;De Jerusalén bajaba a Jericó&lt;/a&gt;&lt;/li&gt;</t>
  </si>
  <si>
    <t>&lt;li data-author="Miguel Manzano" data-bib="Salmo 129" data-nold="79"&gt;&lt;a href="canciones/miguel_manzano/desde_lo_hondo.html"&gt;Desde lo hondo&lt;/a&gt;&lt;/li&gt;</t>
  </si>
  <si>
    <t>&lt;li data-author="Salomé Arricibita" data-momento="Comunión" data-nnew="K20"&gt;&lt;a href="canciones/nsb/dime_como_ser_pan.html"&gt;Dime cómo ser pan&lt;/a&gt;&lt;/li&gt;</t>
  </si>
  <si>
    <t>&lt;li data-author="Cesáreo Gabarain" data-momento="Entrada" data-nnew="A12"&gt;&lt;a href="canciones/cesareo_gabarain/dios_es_amor.html"&gt;Dios es amor&lt;/a&gt;&lt;/li&gt;</t>
  </si>
  <si>
    <t>&lt;li data-author="Alberto Taulé" data-momento="Comunión" data-nold="83" data-nnew="K22"&gt;&lt;a href="canciones/nsb/dios_es_fiel.html"&gt;Dios es fiel&lt;/a&gt;&lt;/li&gt;</t>
  </si>
  <si>
    <t>&lt;li data-author="Javier Gacías" data-momento="Entrada" data-nold="417" data-nnew="A13"&gt;&lt;a href="canciones/nsb/dios_esta_aqui.html"&gt;Dios está aquí&lt;/a&gt;&lt;/li&gt;</t>
  </si>
  <si>
    <t>&lt;li data-author="Carmelo Erdozáin" data-momento="Entrada" data-nnew="A14"&gt;&lt;a href="canciones/carmelo_erdozain/dios_nos_convoca.html"&gt;Dios nos convoca&lt;/a&gt;&lt;/li&gt;</t>
  </si>
  <si>
    <t>&lt;li data-author="Juan Antonio Espinosa" data-momento="Comunión" data-nold="77" data-nnew="K23"&gt;&lt;a href="canciones/juan_antonio_espinosa/dolorosa.html"&gt;Dolorosa&lt;/a&gt;&lt;/li&gt;</t>
  </si>
  <si>
    <t>&lt;li data-author="Joaquín Madurga" data-momento="Ofertorio" data-nold="84" data-nnew="F06"&gt;&lt;a href="canciones/joaquin_madurga/donde_hay_caridad_y_amor.html"&gt;Donde hay caridad y amor&lt;/a&gt;&lt;/li&gt;</t>
  </si>
  <si>
    <t>&lt;li data-momento="María" data-nnew="M03"&gt;&lt;a href="canciones/nsb/dulce_muchacha_humilde_de_palestina.html"&gt;Dulce muchacha humilde de Palestina&lt;/a&gt;&lt;/li&gt;</t>
  </si>
  <si>
    <t>&lt;li data-author="Kairoi" data-momento="Comunión" data-nold="418" data-nnew="K24"&gt;&lt;a href="canciones/kairoi/el_amor_es_nuestro_canto.html"&gt;El amor es nuestro canto&lt;/a&gt;&lt;/li&gt;</t>
  </si>
  <si>
    <t>&lt;li data-author="Francisco Palazón" data-momento="Antífonas" data-nnew="D12"&gt;&lt;a href="canciones/francisco_palazon/el_caliz_que_bendecimos.html"&gt;El cáliz que bendecimos&lt;/a&gt;&lt;/li&gt;</t>
  </si>
  <si>
    <t>&lt;li data-author="Brotes de Olivo" data-momento="Comunión" data-nold="419" data-nnew="K25"&gt;&lt;a href="canciones/brotes_de_olivo/el_calor_de_tu_palabra.html"&gt;El calor de tu palabra (Cerca del hogar)&lt;/a&gt;&lt;/li&gt;</t>
  </si>
  <si>
    <t>&lt;li data-author="Gen Rosso" data-momento="Comunión" data-nnew="K26"&gt;&lt;a href="canciones/nsb/el_camino_no_lo_haremos_solos.html"&gt;El camino no lo haremos solos&lt;/a&gt;&lt;/li&gt;</t>
  </si>
  <si>
    <t>&lt;li data-author="Toño Casado" data-momento="Espíritu" data-nnew="N02"&gt;&lt;a href="canciones/toño_casado/el_espiritu_de_dios_(33_el_musical).html"&gt;El Espíritu de Dios (33 El Musical)&lt;/a&gt;&lt;/li&gt;</t>
  </si>
  <si>
    <t>&lt;li data-author="Cesáreo Gabarain" data-momento="Navidad" data-nnew="O07"&gt;&lt;a href="canciones/cesareo_gabarain/el_niño_dios_ha_nacido_en_belen.html"&gt;El niño Dios ha nacido en Belén&lt;/a&gt;&lt;/li&gt;</t>
  </si>
  <si>
    <t>&lt;li data-author="Francisco Alvarado (Schönstatt)" data-momento="Comunión" data-nold="420" data-nnew="K28"&gt;&lt;a href="canciones/nsb/el_que_muere_por_mi.html"&gt;El que muere por mí&lt;/a&gt;&lt;/li&gt;</t>
  </si>
  <si>
    <t>&lt;li data-author="Popular francesa" data-momento="Comunión" data-nold="95" data-nnew="K27"&gt;&lt;a href="canciones/nsb/el_señor_dios_nos_amo.html"&gt;El Señor Dios nos amó&lt;/a&gt;&lt;/li&gt;</t>
  </si>
  <si>
    <t>&lt;li data-author="Alberto Taulé" data-momento="Antífonas" data-nold="96" data-nnew="D13"&gt;&lt;a href="canciones/nsb/el_señor_es_mi_luz.html"&gt;El Señor es mi luz&lt;/a&gt;&lt;/li&gt;</t>
  </si>
  <si>
    <t>&lt;li data-author="Palazón - Erdozáin" data-momento="Antífonas" data-nold="98" data-nnew="D14"&gt;&lt;a href="canciones/francisco_palazon/el_señor_es_mi_pastor.html"&gt;El Señor es mi pastor&lt;/a&gt;&lt;/li&gt;</t>
  </si>
  <si>
    <t>&lt;li data-author="Nico Montero" data-momento="Antífonas" data-nnew="D15"&gt;&lt;a href="canciones/nsb/el_señor_es_mi_pastor_nada_me_falta_(completo).html"&gt;El Señor es mi pastor, nada me falta (completo)&lt;/a&gt;&lt;/li&gt;</t>
  </si>
  <si>
    <t>&lt;li data-author="Kairoi" data-momento="Entrada" data-nnew="A15"&gt;&lt;a href="canciones/kairoi/el_señor_nos_ha_reunido.html"&gt;El Señor nos ha reunido&lt;/a&gt;&lt;/li&gt;</t>
  </si>
  <si>
    <t>&lt;li data-author="Kairoi" data-momento="Espíritu" data-nnew="N03"&gt;&lt;a href="canciones/kairoi/el_señor_os_dara_su_espiritu_santo.html"&gt;El Señor os dará su Espíritu Santo&lt;/a&gt;&lt;/li&gt;</t>
  </si>
  <si>
    <t>&lt;li data-author="Joaquín Madurga" data-momento="Entrada" data-nnew="A16"&gt;&lt;a href="canciones/joaquin_madurga/el_señor_resucito.html"&gt;El Señor resucitó&lt;/a&gt;&lt;/li&gt;</t>
  </si>
  <si>
    <t>&lt;li data-nold="314"&gt;&lt;a href="canciones/nsb/el_tren_del_evangelio.html"&gt;El tren del Evangelio&lt;/a&gt;&lt;/li&gt;</t>
  </si>
  <si>
    <t>&lt;li data-author="Bob Fitts y Gary Sadler" data-momento="Comunión" data-nnew="K29"&gt;&lt;a href="canciones/nsb/el_vendra_y_te_salvara.html"&gt;Él vendrá y te salvará&lt;/a&gt;&lt;/li&gt;</t>
  </si>
  <si>
    <t>&lt;li data-author="Popular" data-momento="Padrenuestro" data-nold="107" data-nnew="H01"&gt;&lt;a href="canciones/nsb/en_el_mar_he_oido_hoy.html"&gt;En el mar he oído hoy&lt;/a&gt;&lt;/li&gt;</t>
  </si>
  <si>
    <t>&lt;li data-author="Popular - O sinner man" data-momento="Entrada" data-nold="101" data-nnew="A17"&gt;&lt;a href="canciones/nsb/en_el_señor_estamos_congregados.html"&gt;En el Señor estamos congregados&lt;/a&gt;&lt;/li&gt;</t>
  </si>
  <si>
    <t>&lt;li data-author="Juan Antonio Espinosa" data-momento="Ofertorio" data-nold="94" data-nnew="F07"&gt;&lt;a href="canciones/juan_antonio_espinosa/en_la_comida_que_cristo_nos_da.html"&gt;En la comida que Cristo nos da&lt;/a&gt;&lt;/li&gt;</t>
  </si>
  <si>
    <t>&lt;li data-author="Brotes de Olivo" data-momento="Antífonas" data-nold="423" data-nnew="D16"&gt;&lt;a href="canciones/brotes_de_olivo/en_mi_debilidad.html"&gt;En mi debilidad&lt;/a&gt;&lt;/li&gt;</t>
  </si>
  <si>
    <t>&lt;li data-author="Eduardo Meana" data-momento="Comunión" data-nold="424" data-nnew="K30"&gt;&lt;a href="canciones/nsb/en_mi_getsemani.html"&gt;En mi Getsemaní&lt;/a&gt;&lt;/li&gt;</t>
  </si>
  <si>
    <t>&lt;li data-author="Hakuna" data-momento="Entrada" data-nnew="A18"&gt;&lt;a href="canciones/hakuna/enciendeme.html"&gt;Enciéndeme&lt;/a&gt;&lt;/li&gt;</t>
  </si>
  <si>
    <t>&lt;li data-author="Brotes de Olivo" data-momento="Comunión" data-nnew="K31"&gt;&lt;a href="canciones/brotes_de_olivo/enviame.html"&gt;Envíame&lt;/a&gt;&lt;/li&gt;</t>
  </si>
  <si>
    <t>&lt;li data-author="Kairoi" data-momento="Entrada" data-nold="111" data-nnew="A19"&gt;&lt;a href="canciones/kairoi/eres_el_fuego_el_amor.html"&gt;Eres el fuego, el amor&lt;/a&gt;&lt;/li&gt;</t>
  </si>
  <si>
    <t>&lt;li data-author="Cesáreo Gabarain" data-momento="Comunión" data-nold="106" data-nnew="K32"&gt;&lt;a href="canciones/cesareo_gabarain/eres_mi_riqueza.html"&gt;Eres mi riqueza&lt;/a&gt;&lt;/li&gt;</t>
  </si>
  <si>
    <t>&lt;li data-author="Juan Antonio Espinosa" data-momento="Entrada" data-nold="108"&gt;&lt;a href="canciones/juan_antonio_espinosa/errante_voy.html"&gt;Errante voy&lt;/a&gt;&lt;/li&gt;</t>
  </si>
  <si>
    <t>&lt;li data-author="Alberto y Emilia" data-momento="Comunión" data-nold="425" data-nnew="K33"&gt;&lt;a href="canciones/nsb/es_de_locos.html"&gt;Es de locos&lt;/a&gt;&lt;/li&gt;</t>
  </si>
  <si>
    <t>&lt;li data-author="Carmelo Erdozáin" data-momento="Antífonas" data-nold="116" data-nnew="D17"&gt;&lt;a href="canciones/carmelo_erdozain/escucha_tu_la_palabra_de_dios.html"&gt;Escucha, tú, la Palabra de Dios&lt;/a&gt;&lt;/li&gt;</t>
  </si>
  <si>
    <t>&lt;li data-author="Joaquín Madurga" data-momento="Entrada" data-nold="122" data-nnew="A20"&gt;&lt;a href="canciones/joaquin_madurga/esta_es_tu_fiesta.html"&gt;Esta es tu fiesta&lt;/a&gt;&lt;/li&gt;</t>
  </si>
  <si>
    <t>&lt;li data-author="Miguel Manzano" data-momento="Antífonas" data-nold="113" data-nnew="D18"&gt;&lt;a href="canciones/miguel_manzano/este_es_el_dia_en_que_actuo_el_señor.html"&gt;Este es el día en que actuó el Señor&lt;/a&gt;&lt;/li&gt;</t>
  </si>
  <si>
    <t>&lt;li data-author="Eduardo Ortiz" data-momento="Ofertorio" data-nnew="F08"&gt;&lt;a href="canciones/nsb/esto_que_te_doy.html"&gt;Esto que te doy&lt;/a&gt;&lt;/li&gt;</t>
  </si>
  <si>
    <t>&lt;li data-author="Lluís Llach" data-momento="fe  y afirmación de Dios" data-nold="123"&gt;&lt;a href="canciones/nsb/fe_no_es_aguardar.html"&gt;Fe no es aguardar&lt;/a&gt;&lt;/li&gt;</t>
  </si>
  <si>
    <t>&lt;li data-author="Pelayo Sánchez" data-momento="María" data-nnew="M04"&gt;&lt;a href="canciones/nsb/fuente_de_paz_y_fidelidad.html"&gt;Fuente de paz y fidelidad&lt;/a&gt;&lt;/li&gt;</t>
  </si>
  <si>
    <t>&lt;li data-author="Kairoi" data-momento="Gloria" data-nnew="C01"&gt;&lt;a href="canciones/kairoi/gloria_a_dios_(no_se_como_alabarte).html"&gt;Gloria a Dios (No sé cómo alabarte)&lt;/a&gt;&lt;/li&gt;</t>
  </si>
  <si>
    <t>&lt;li data-author="Francisco Palazón" data-momento="Gloria" data-nold="128" data-nnew="C02"&gt;&lt;a href="canciones/francisco_palazon/gloria_a_dios_en_el_cielo.html"&gt;Gloria a Dios en el cielo&lt;/a&gt;&lt;/li&gt;</t>
  </si>
  <si>
    <t>&lt;li data-author="Coral Católica Juvenil" data-momento="Gloria" data-nold="426" data-nnew="C03"&gt;&lt;a href="canciones/nsb/gloria_a_dios_gloria_al_padre.html"&gt;Gloria a Dios, gloria al Padre&lt;/a&gt;&lt;/li&gt;</t>
  </si>
  <si>
    <t>&lt;li data-author="Anónimo" data-momento="Gloria" data-nold="303" data-nnew="C04"&gt;&lt;a href="canciones/nsb/gloria_y_alabanza.html"&gt;Gloria y alabanza&lt;/a&gt;&lt;/li&gt;</t>
  </si>
  <si>
    <t>&lt;li data-author="Toño Casado" data-momento="Gloria" data-nnew="C05"&gt;&lt;a href="canciones/toño_casado/gloria_gloria_a_dios.html"&gt;Gloria, gloria a Dios&lt;/a&gt;&lt;/li&gt;</t>
  </si>
  <si>
    <t>&lt;li data-author="Andrés Barriales" data-momento="Gloria" data-nold="127" data-nnew="C06"&gt;&lt;a href="canciones/nsb/gloria_gloria_aleluya.html"&gt;Gloria, gloria, aleluya&lt;/a&gt;&lt;/li&gt;</t>
  </si>
  <si>
    <t>&lt;li data-author="Ricardo de la Fuente" data-momento="Despedida" data-nold="427" data-nnew="L02"&gt;&lt;a href="canciones/nsb/gracias_señor.html"&gt;Gracias, Señor&lt;/a&gt;&lt;/li&gt;</t>
  </si>
  <si>
    <t>&lt;li data-author="Parroquia del Buen Pastor" data-momento="Antífonas" data-nold="124" data-nnew="D19"&gt;&lt;a href="canciones/nsb/gritad_que_dios_es_grande.html"&gt;Gritad que Dios es grande&lt;/a&gt;&lt;/li&gt;</t>
  </si>
  <si>
    <t>&lt;li data-author="Kairoi" data-momento="Comunión" data-nnew="K34"&gt;&lt;a href="canciones/kairoi/hablame.html"&gt;Háblame&lt;/a&gt;&lt;/li&gt;</t>
  </si>
  <si>
    <t>&lt;li data-author="Migueli" data-momento="María" data-nold="428" data-nnew="M05"&gt;&lt;a href="canciones/nsb/hagase.html"&gt;Hágase&lt;/a&gt;&lt;/li&gt;</t>
  </si>
  <si>
    <t>&lt;li data-author="Paloma Falconi" data-momento="Comunión" data-nold="429" data-nnew="K35"&gt;&lt;a href="canciones/nsb/hay_un_corazon_que_late.html"&gt;Hay un corazón que late&lt;/a&gt;&lt;/li&gt;</t>
  </si>
  <si>
    <t>&lt;li data-author="Ain Karem" data-momento="Antífonas" data-nnew="D20"&gt;&lt;a href="canciones/ain_karem/he_venido_a_servir.html"&gt;He venido a servir&lt;/a&gt;&lt;/li&gt;</t>
  </si>
  <si>
    <t>&lt;li data-author="Francisco Palazón" data-momento="María" data-nold="430" data-nnew="M06"&gt;&lt;a href="canciones/francisco_palazon/himno_a_nuestra_señora_de_la_almudena.html"&gt;Himno a Nuestra Señora de la Almudena&lt;/a&gt;&lt;/li&gt;</t>
  </si>
  <si>
    <t>&lt;li data-author="José Antonio Poblete" data-momento="Comunión" data-nnew="K36"&gt;&lt;a href="canciones/nsb/himno_a_san_jose.html"&gt;Himno a San José&lt;/a&gt;&lt;/li&gt;</t>
  </si>
  <si>
    <t>&lt;li data-author="Carmelo Erdozáin" data-momento="Especiales" data-nold="136" data-nnew="P02"&gt;&lt;a href="canciones/carmelo_erdozain/hosanna_hosanna_hosanna.html"&gt;Hosanna, hosanna, hosanna&lt;/a&gt;&lt;/li&gt;</t>
  </si>
  <si>
    <t>&lt;li data-author="(Adaptación) Barriales" data-momento="Despedida" data-nold="139" data-nnew="L03"&gt;&lt;a href="canciones/nsb/hoy_el_señor_resucito.html"&gt;Hoy el Señor resucitó&lt;/a&gt;&lt;/li&gt;</t>
  </si>
  <si>
    <t>&lt;li data-author="Anónimo" data-momento="Adviento" data-nold="135" data-nnew="-"&gt;&lt;a href="canciones/nsb/hoy_empieza_una_nueva_era.html"&gt;Hoy empieza una nueva era&lt;/a&gt;&lt;/li&gt;</t>
  </si>
  <si>
    <t>&lt;li data-author="Carmelo Erdozáin" data-momento="Comunión" data-nold="138" data-nnew="K38"&gt;&lt;a href="canciones/carmelo_erdozain/hoy_vuelvo_de_lejos.html"&gt;Hoy vuelvo de lejos&lt;/a&gt;&lt;/li&gt;</t>
  </si>
  <si>
    <t>&lt;li data-author="Juan Antonio Espinosa" data-momento="Despedida" data-nold="140" data-nnew="L04"&gt;&lt;a href="canciones/juan_antonio_espinosa/hoy_señor_te_damos_gracias.html"&gt;Hoy, Señor, te damos gracias&lt;/a&gt;&lt;/li&gt;</t>
  </si>
  <si>
    <t>&lt;li data-author="Brotes de Olivo" data-momento="Comunión" data-nnew="K37"&gt;&lt;a href="canciones/brotes_de_olivo/hoy_señor_te_dare.html"&gt;Hoy, Señor, te daré&lt;/a&gt;&lt;/li&gt;</t>
  </si>
  <si>
    <t>&lt;li data-author="Hakuna" data-momento="Comunión" data-nnew="K39"&gt;&lt;a href="canciones/hakuna/huracan.html"&gt;Huracán&lt;/a&gt;&lt;/li&gt;</t>
  </si>
  <si>
    <t>&lt;li data-author="Cesáreo Gabarain" data-momento="Comunión" data-nold="142" data-nnew="K40"&gt;&lt;a href="canciones/cesareo_gabarain/iglesia_soy.html"&gt;Iglesia soy&lt;/a&gt;&lt;/li&gt;</t>
  </si>
  <si>
    <t>&lt;li data-author="Renovación Carismática Católica" data-momento="Comunión" data-nold="141" data-nnew="K41"&gt;&lt;a href="canciones/nsb/iluminame_señor.html"&gt;Ilumíname, Señor&lt;/a&gt;&lt;/li&gt;</t>
  </si>
  <si>
    <t>&lt;li data-author="Kairoi" data-momento="Entrada" data-nnew="A21"&gt;&lt;a href="canciones/kairoi/jesus_es_señor.html"&gt;Jesús es Señor&lt;/a&gt;&lt;/li&gt;</t>
  </si>
  <si>
    <t>&lt;li data-author="Kairoi" data-momento="Entrada" data-nnew="A22"&gt;&lt;a href="canciones/kairoi/jesus_esta_entre_nosotros.html"&gt;Jesús está entre nosotros&lt;/a&gt;&lt;/li&gt;</t>
  </si>
  <si>
    <t>&lt;li data-author="Marcela de María" data-momento="Comunión" data-nnew="K42"&gt;&lt;a href="canciones/nsb/jesus_amigo.html"&gt;Jesús, amigo&lt;/a&gt;&lt;/li&gt;</t>
  </si>
  <si>
    <t>&lt;li data-author="J. Pedro Martins" data-momento="Comunión" data-nold="144" data-nnew="K43"&gt;&lt;a href="canciones/nsb/jesus_nuestra_pascua.html"&gt;Jesús, nuestra Pascua&lt;/a&gt;&lt;/li&gt;</t>
  </si>
  <si>
    <t>&lt;li data-author="Toño Casado" data-momento="Comunión" data-nnew="K44"&gt;&lt;a href="canciones/toño_casado/jesus_ven_tu.html"&gt;Jesús, ven tú&lt;/a&gt;&lt;/li&gt;</t>
  </si>
  <si>
    <t>&lt;li data-momento="María" data-nnew="M07"&gt;&lt;a href="canciones/nsb/junto_a_ti_maria.html"&gt;Junto a ti, María&lt;/a&gt;&lt;/li&gt;</t>
  </si>
  <si>
    <t>&lt;li data-author="Toño Casado" data-momento="Ofertorio" data-nnew="F09"&gt;&lt;a href="canciones/toño_casado/junto_al_vino_y_al_pan.html"&gt;Junto al vino y el pan&lt;/a&gt;&lt;/li&gt;</t>
  </si>
  <si>
    <t>&lt;li data-author="J. Pedro Martins" data-momento="Comunión" data-nold="143" data-nnew="K45"&gt;&lt;a href="canciones/nsb/juntos_cantemos_hoy.html"&gt;Juntos cantemos hoy&lt;/a&gt;&lt;/li&gt;</t>
  </si>
  <si>
    <t>&lt;li data-author="Cesáreo Gabarain" data-momento="Entrada" data-nold="145" data-nnew="A23"&gt;&lt;a href="canciones/cesareo_gabarain/juntos_como_hermanos.html"&gt;Juntos como hermanos&lt;/a&gt;&lt;/li&gt;</t>
  </si>
  <si>
    <t>&lt;li data-author="Pablo Coloma" data-momento="Ofertorio" data-nnew="F10"&gt;&lt;a href="canciones/nsb/juntos_nos_acercamos.html"&gt;Juntos nos acercamos&lt;/a&gt;&lt;/li&gt;</t>
  </si>
  <si>
    <t>&lt;li data-author="Kairoi" data-momento="Antífonas" data-nnew="D21"&gt;&lt;a href="canciones/kairoi/la_bondad_y_el_amor_del_señor.html"&gt;La bondad y el amor del Señor&lt;/a&gt;&lt;/li&gt;</t>
  </si>
  <si>
    <t>&lt;li data-author="Jesucristo Superstar" data-momento="Ofertorio" data-nold="431" data-nnew="F11"&gt;&lt;a href="canciones/nsb/la_cena_del_señor.html"&gt;La cena del Señor&lt;/a&gt;&lt;/li&gt;</t>
  </si>
  <si>
    <t>&lt;li data-momento="Paz" data-nnew="I02"&gt;&lt;a href="canciones/nsb/la_paz_te_doy.html"&gt;La paz te doy&lt;/a&gt;&lt;/li&gt;</t>
  </si>
  <si>
    <t>&lt;li data-momento="María" data-nold="432" data-nnew="M08"&gt;&lt;a href="canciones/nsb/la_virgen_sueña_caminos.html"&gt;La Virgen sueña caminos&lt;/a&gt;&lt;/li&gt;</t>
  </si>
  <si>
    <t>&lt;li data-author="Ain Karem" data-momento="Antífonas" data-nnew="D22"&gt;&lt;a href="canciones/ain_karem/lampara_es_tu_palabra.html"&gt;Lámpara es tu palabra&lt;/a&gt;&lt;/li&gt;</t>
  </si>
  <si>
    <t>&lt;li data-momento="Especiales" data-nnew="P03"&gt;&lt;a href="canciones/nsb/letanias.html"&gt;Letanías&lt;/a&gt;&lt;/li&gt;</t>
  </si>
  <si>
    <t>&lt;li data-momento="Paz" data-nnew="I03"&gt;&lt;a href="canciones/nsb/llevad_la_buena_noticia.html"&gt;Llevad la buena noticia&lt;/a&gt;&lt;/li&gt;</t>
  </si>
  <si>
    <t>&lt;li data-author="Antonio Alcalde" data-momento="Despedida" data-nold="152" data-nnew="L05"&gt;&lt;a href="canciones/antonio_alcalde/lo_que_hemos_visto_y_oido.html"&gt;Lo que hemos visto y oído&lt;/a&gt;&lt;/li&gt;</t>
  </si>
  <si>
    <t>&lt;li data-author="Francisco Palazón" data-momento="María" data-nold="161"&gt;&lt;a href="canciones/francisco_palazon/madre_de_los_creyentes.html"&gt;Madre de los creyentes&lt;/a&gt;&lt;/li&gt;</t>
  </si>
  <si>
    <t>&lt;li data-author="Juan Antonio Espinosa" data-momento="María" data-nold="163" data-nnew="M09"&gt;&lt;a href="canciones/juan_antonio_espinosa/madre_de_todos_los_hombres.html"&gt;Madre de todos los hombres&lt;/a&gt;&lt;/li&gt;</t>
  </si>
  <si>
    <t>&lt;li data-author="Migueli" data-momento="María" data-nnew="M10"&gt;&lt;a href="canciones/nsb/maria_de_nazaret.html"&gt;María de Nazaret&lt;/a&gt;&lt;/li&gt;</t>
  </si>
  <si>
    <t>&lt;li data-author="Ramón Capilla" data-momento="María" data-nold="165" data-nnew="-"&gt;&lt;a href="canciones/nsb/maria_guardabas_todo.html"&gt;María, guardabas todo&lt;/a&gt;&lt;/li&gt;</t>
  </si>
  <si>
    <t>&lt;li data-author="Kairoi" data-momento="María" data-nold="433" data-nnew="M11"&gt;&lt;a href="canciones/kairoi/maria_la_madre_buena.html"&gt;María, la madre buena&lt;/a&gt;&lt;/li&gt;</t>
  </si>
  <si>
    <t>&lt;li data-momento="María" data-nold="434" data-nnew="M12"&gt;&lt;a href="canciones/nsb/maria_madre_nuestra.html"&gt;María, madre nuestra&lt;/a&gt;&lt;/li&gt;</t>
  </si>
  <si>
    <t>&lt;li data-author="Toño Casado" data-momento="María" data-nnew="M13"&gt;&lt;a href="canciones/toño_casado/maria_maria.html"&gt;María, María&lt;/a&gt;&lt;/li&gt;</t>
  </si>
  <si>
    <t>&lt;li data-momento="María" data-nold="435" data-nnew="M14"&gt;&lt;a href="canciones/nsb/maria_mirame.html"&gt;María, mírame&lt;/a&gt;&lt;/li&gt;</t>
  </si>
  <si>
    <t>&lt;li data-author="Kairoi" data-momento="María" data-nold="436" data-nnew="M15"&gt;&lt;a href="canciones/kairoi/maria_musica_de_dios.html"&gt;María, música de Dios&lt;/a&gt;&lt;/li&gt;</t>
  </si>
  <si>
    <t>&lt;li data-author="Brotes de Olivo" data-momento="Antífonas" data-nnew="D23"&gt;&lt;a href="canciones/brotes_de_olivo/me_levantare.html"&gt;Me levantaré&lt;/a&gt;&lt;/li&gt;</t>
  </si>
  <si>
    <t>&lt;li data-author="Manuel José Alonso y José Pagán" data-momento="Perdón - Agua" data-nold="168" data-nnew="B03"&gt;&lt;a href="canciones/nsb/mi_dios_esta_vivo.html"&gt;Mi Dios está vivo&lt;/a&gt;&lt;/li&gt;</t>
  </si>
  <si>
    <t>&lt;li data-author="Miguel Manzano" data-momento="Comunión" data-nold="166" data-nnew="K46"&gt;&lt;a href="canciones/miguel_manzano/mirad_al_suelo.html"&gt;Mirad al suelo&lt;/a&gt;&lt;/li&gt;</t>
  </si>
  <si>
    <t>&lt;li data-author="Kairoi" data-momento="Entrada" data-nnew="A24"&gt;&lt;a href="canciones/kairoi/mirad_jesus_resucita_hoy.html"&gt;Mirad, Jesús resucita hoy&lt;/a&gt;&lt;/li&gt;</t>
  </si>
  <si>
    <t>&lt;li data-author="Ixcís" data-momento="Antífonas" data-nnew="D24"&gt;&lt;a href="canciones/nsb/mueveme_mi_dios.html"&gt;Muéveme mi Dios&lt;/a&gt;&lt;/li&gt;</t>
  </si>
  <si>
    <t>&lt;li data-author="Francisco Palazón" data-momento="María" data-nold="42" data-nnew="M16"&gt;&lt;a href="canciones/francisco_palazon/mujer_fuerte.html"&gt;Mujer fuerte&lt;/a&gt;&lt;/li&gt;</t>
  </si>
  <si>
    <t>&lt;li data-author="Pedro Núñez" data-momento="utopía" data-nold="169"&gt;&lt;a href="canciones/pedro_nuñez/nacera_una_nueva_hermandad.html"&gt;Nacerá una nueva hermandad&lt;/a&gt;&lt;/li&gt;</t>
  </si>
  <si>
    <t>&lt;li data-author="Brotes de Olivo" data-momento="Antífonas" data-nnew="D25"&gt;&lt;a href="canciones/brotes_de_olivo/nada_has_pensado.html"&gt;Nada has pensado&lt;/a&gt;&lt;/li&gt;</t>
  </si>
  <si>
    <t>&lt;li data-author="Brotes de Olivo" data-momento="Antífonas" data-nold="438" data-nnew="D26"&gt;&lt;a href="canciones/brotes_de_olivo/nada_nos_separara.html"&gt;Nada nos separará&lt;/a&gt;&lt;/li&gt;</t>
  </si>
  <si>
    <t>&lt;li data-author="Martín Valverde" data-momento="Comunión" data-nold="439" data-nnew="K48"&gt;&lt;a href="canciones/nsb/nadie_te_ama_como_yo.html"&gt;Nadie te ama como Yo&lt;/a&gt;&lt;/li&gt;</t>
  </si>
  <si>
    <t>&lt;li data-author="Juanjo Elezkano" data-momento="Comunión" data-nold="175" data-nnew="K47"&gt;&lt;a href="canciones/juanjo_elezkano/necesitamos_comer_tu_pan.html"&gt;Necesitamos comer tu pan&lt;/a&gt;&lt;/li&gt;</t>
  </si>
  <si>
    <t>&lt;li data-author="Luis Alfredo Díaz Britos" data-momento="Antífonas" data-nold="440" data-nnew="D27"&gt;&lt;a href="canciones/nsb/no_adoreis_a_nadie.html"&gt;No adoréis a nadie&lt;/a&gt;&lt;/li&gt;</t>
  </si>
  <si>
    <t>&lt;li data-momento="Comunión" data-nold="441" data-nnew="K49"&gt;&lt;a href="canciones/nsb/no_me_mueve.html"&gt;No me mueve&lt;/a&gt;&lt;/li&gt;</t>
  </si>
  <si>
    <t>&lt;li data-author="Juan Antonio Espinosa" data-momento="Comunión" data-nnew="K50"&gt;&lt;a href="canciones/juan_antonio_espinosa/no_podemos_caminar_(hambre_de_dios).html"&gt;No podemos caminar (Hambre de Dios)&lt;/a&gt;&lt;/li&gt;</t>
  </si>
  <si>
    <t>&lt;li data-author="Kairoi" data-momento="Antífonas" data-nnew="D28"&gt;&lt;a href="canciones/kairoi/no_quiero_alejarme_de_ti.html"&gt;No quiero alejarme de ti&lt;/a&gt;&lt;/li&gt;</t>
  </si>
  <si>
    <t>&lt;li data-author="Migueli" data-momento="Paz" data-nold="442" data-nnew="I04"&gt;&lt;a href="canciones/nsb/no_se_canso_de_hacer_el_bien.html"&gt;No se cansó de hacer el bien&lt;/a&gt;&lt;/li&gt;</t>
  </si>
  <si>
    <t>&lt;li data-author="Jaime Olguín" data-momento="Comunión" data-nnew="K51"&gt;&lt;a href="canciones/nsb/no_temas.html"&gt;No temas&lt;/a&gt;&lt;/li&gt;</t>
  </si>
  <si>
    <t>&lt;li data-author="Antonio Alcalde" data-momento="Cuaresma" data-nold="181"&gt;&lt;a href="canciones/antonio_alcalde/nos_has_llamado_al_desierto.html"&gt;Nos has llamado al desierto&lt;/a&gt;&lt;/li&gt;</t>
  </si>
  <si>
    <t>&lt;li data-author="Juan Jáuregi" data-momento="Antífonas" data-nnew="D29"&gt;&lt;a href="canciones/nsb/oh_dios_tu_eres_mi_dios_(sed_de_dios).html"&gt;Oh, Dios, tú eres mi Dios (Sed de Dios)&lt;/a&gt;&lt;/li&gt;</t>
  </si>
  <si>
    <t>&lt;li data-author="Anónimo" data-momento="Perdón - Agua" data-nold="191" data-nnew="B04"&gt;&lt;a href="canciones/nsb/oh_señor_mueve_mi_espiritu.html"&gt;Oh, Señor, mueve mi espíritu&lt;/a&gt;&lt;/li&gt;</t>
  </si>
  <si>
    <t>&lt;li data-author="Carmelo Erdozáin" data-momento="compromiso y vocación" data-nold="184"&gt;&lt;a href="canciones/carmelo_erdozain/oi_tu_voz.html"&gt;Oí tu voz&lt;/a&gt;&lt;/li&gt;</t>
  </si>
  <si>
    <t>&lt;li data-author="Cesáreo Gabarain" data-momento="Antífonas" data-nold="193" data-nnew="D31"&gt;&lt;a href="canciones/cesareo_gabarain/ojala_escuchemos_hoy_su_voz.html"&gt;Ojalá escuchemos hoy su voz&lt;/a&gt;&lt;/li&gt;</t>
  </si>
  <si>
    <t>&lt;li data-author="Kairoi" data-momento="Comunión" data-nold="443" data-nnew="K52"&gt;&lt;a href="canciones/kairoi/oracion_del_pobre.html"&gt;Oración del pobre&lt;/a&gt;&lt;/li&gt;</t>
  </si>
  <si>
    <t>&lt;li data-momento="Padrenuestro" data-nold="444" data-nnew="H03"&gt;&lt;a href="canciones/nsb/padre_nuestro_(mexicano).html"&gt;Padre nuestro (mexicano)&lt;/a&gt;&lt;/li&gt;</t>
  </si>
  <si>
    <t>&lt;li data-author="Pedro Antonio Garza" data-momento="Padrenuestro" data-nnew="H04"&gt;&lt;a href="canciones/nsb/padre_nuestro_zaragozano.html"&gt;Padre nuestro zaragozano&lt;/a&gt;&lt;/li&gt;</t>
  </si>
  <si>
    <t>&lt;li data-author="Toño Casado" data-momento="Padrenuestro" data-nnew="H05"&gt;&lt;a href="canciones/toño_casado/padre_nuestro_padre_nuestro.html"&gt;Padre nuestro, padre nuestro&lt;/a&gt;&lt;/li&gt;</t>
  </si>
  <si>
    <t>&lt;li data-author="Simon &amp; Garfunkel" data-momento="Padrenuestro" data-nold="198" data-nnew="H06"&gt;&lt;a href="canciones/nsb/padre_nuestro_tu_que_estas.html"&gt;Padre nuestro, tú que estás&lt;/a&gt;&lt;/li&gt;</t>
  </si>
  <si>
    <t>&lt;li data-author="Perpetuo Socorro" data-momento="Paz" data-nold="195" data-nnew="I05"&gt;&lt;a href="canciones/perpetuo_socorro/padre_unenos.html"&gt;Padre, únenos&lt;/a&gt;&lt;/li&gt;</t>
  </si>
  <si>
    <t>&lt;li data-author="Kairoi" data-momento="Perdón - Agua" data-nnew="B05"&gt;&lt;a href="canciones/kairoi/padre_vuelvo_a_ti.html"&gt;Padre, vuelvo a ti&lt;/a&gt;&lt;/li&gt;</t>
  </si>
  <si>
    <t>&lt;li data-momento="Comunión" data-nold="445" data-nnew="K53"&gt;&lt;a href="canciones/nsb/para_el_que_sabe.html"&gt;Para el que sabe&lt;/a&gt;&lt;/li&gt;</t>
  </si>
  <si>
    <t>&lt;li data-author="Anónimo" data-momento="Paz" data-nold="200" data-nnew="I07"&gt;&lt;a href="canciones/nsb/paz_señor_en_el_cielo_y_la_tierra.html"&gt;Paz, Señor, en el cielo y la tierra&lt;/a&gt;&lt;/li&gt;</t>
  </si>
  <si>
    <t>&lt;li data-author="Juan Antonio Espinosa" data-momento="Cuaresma" data-nold="212"&gt;&lt;a href="canciones/juan_antonio_espinosa/perdon_señor_perdon.html"&gt;Perdón, Señor, perdón&lt;/a&gt;&lt;/li&gt;</t>
  </si>
  <si>
    <t>&lt;li data-author="Cesáreo Gabarain" data-momento="Entrada" data-nnew="A25"&gt;&lt;a href="canciones/cesareo_gabarain/peregrino_(exodo_y_liberacion).html"&gt;Peregrino (Éxodo y liberación)&lt;/a&gt;&lt;/li&gt;</t>
  </si>
  <si>
    <t>&lt;li data-author="Antonio Alcalde" data-momento="Entrada" data-nold="208" data-nnew="A26"&gt;&lt;a href="canciones/antonio_alcalde/peregrinos_de_la_paz_y_la_alegria.html"&gt;Peregrinos de la paz y la alegría&lt;/a&gt;&lt;/li&gt;</t>
  </si>
  <si>
    <t>&lt;li data-author="Cesáreo Gabarain" data-momento="Comunión" data-nold="313" data-nnew="K54"&gt;&lt;a href="canciones/cesareo_gabarain/pescador_de_hombres.html"&gt;Pescador de hombres&lt;/a&gt;&lt;/li&gt;</t>
  </si>
  <si>
    <t>&lt;li data-momento="Paz" data-nold="448" data-nnew="I08"&gt;&lt;a href="canciones/nsb/pon_tu_mano.html"&gt;Pon tu mano&lt;/a&gt;&lt;/li&gt;</t>
  </si>
  <si>
    <t>&lt;li data-author="Al-Haraca" data-momento="Paz" data-nold="209" data-nnew="I09"&gt;&lt;a href="canciones/al-haraca/por_la_paz_no_callare.html"&gt;Por la paz no callaré&lt;/a&gt;&lt;/li&gt;</t>
  </si>
  <si>
    <t>&lt;li data-author="Gregorio Fernández" data-momento="Ofertorio" data-nold="214" data-nnew="F12"&gt;&lt;a href="canciones/nsb/por_los_hombres.html"&gt;Por los hombres&lt;/a&gt;&lt;/li&gt;</t>
  </si>
  <si>
    <t>&lt;li data-author="Juan Antonio Espinosa" data-momento="Despedida" data-nold="203" data-nnew="L06"&gt;&lt;a href="canciones/juan_antonio_espinosa/por_ti_mi_dios.html"&gt;Por ti, mi Dios&lt;/a&gt;&lt;/li&gt;</t>
  </si>
  <si>
    <t>&lt;li data-author="Kairoi" data-momento="Especiales" data-nnew="P04"&gt;&lt;a href="canciones/kairoi/pregon_pascual_(gloria).html"&gt;Pregón Pascual&lt;/a&gt;&lt;/li&gt;</t>
  </si>
  <si>
    <t>&lt;li data-author="Stephen Schwartz" data-momento="Entrada" data-nold="449" data-nnew="A27"&gt;&lt;a href="canciones/nsb/preparad_el_camino_al_señor.html"&gt;Preparad el camino al Señor&lt;/a&gt;&lt;/li&gt;</t>
  </si>
  <si>
    <t>&lt;li data-author="José María Olaizola" data-momento="Comunión" data-nnew="K55"&gt;&lt;a href="canciones/nsb/principio_y_fundamento.html"&gt;Principio y fundamento&lt;/a&gt;&lt;/li&gt;</t>
  </si>
  <si>
    <t>&lt;li data-author="Carmelo Erdozáin" data-momento="Comunión" data-nold="211" data-nnew="K58"&gt;&lt;a href="canciones/carmelo_erdozain/purificame_señor.html"&gt;Purifícame, Señor&lt;/a&gt;&lt;/li&gt;</t>
  </si>
  <si>
    <t>&lt;li data-author="Miguel Manzano" data-momento="Entrada" data-nold="221" data-nnew="A28"&gt;&lt;a href="canciones/miguel_manzano/que_alegria_cuando_me_dijeron.html"&gt;Qué alegría cuando me dijeron&lt;/a&gt;&lt;/li&gt;</t>
  </si>
  <si>
    <t>&lt;li data-author="Brotes de Olivo" data-momento="Despedida" data-nnew="L07"&gt;&lt;a href="canciones/brotes_de_olivo/que_sea_mi_vida_la_sal.html"&gt;Que sea mi vida la sal&lt;/a&gt;&lt;/li&gt;</t>
  </si>
  <si>
    <t>&lt;li data-author="Luis Alfredo Díaz Britos" data-momento="Ofertorio" data-nold="450" data-nnew="F13"&gt;&lt;a href="canciones/nsb/que_te_puedo_dar.html"&gt;Qué te puedo dar&lt;/a&gt;&lt;/li&gt;</t>
  </si>
  <si>
    <t>&lt;li data-author="Antonio Alcalde" data-momento="Comunión" data-nold="217" data-nnew="K59"&gt;&lt;a href="canciones/antonio_alcalde/que_tendra_lo_pequeño.html"&gt;Qué tendrá lo pequeño&lt;/a&gt;&lt;/li&gt;</t>
  </si>
  <si>
    <t>&lt;li data-author="Toño Casado" data-momento="Comunión" data-nnew="K60"&gt;&lt;a href="canciones/toño_casado/que_tu_palabra_nos_cambie_el_corazon.html"&gt;Que tu palabra nos cambie el corazón&lt;/a&gt;&lt;/li&gt;</t>
  </si>
  <si>
    <t>&lt;li data-author="Juan Antonio Espinosa" data-momento="Entrada" data-nold="220" data-nnew="A29"&gt;&lt;a href="canciones/juan_antonio_espinosa/que_ves_en_la_noche.html"&gt;Qué ves en la noche&lt;/a&gt;&lt;/li&gt;</t>
  </si>
  <si>
    <t>&lt;li data-author="Juan Antonio Espinosa" data-momento="Comunión" data-nold="222" data-nnew="K61"&gt;&lt;a href="canciones/juan_antonio_espinosa/quedate_con_nosotros.html"&gt;Quédate con nosotros&lt;/a&gt;&lt;/li&gt;</t>
  </si>
  <si>
    <t>&lt;li data-author="Marcos Frisina" data-momento="Comunión" data-nnew="K62"&gt;&lt;a href="canciones/nsb/quien_nos_separara.html"&gt;Quién nos separará&lt;/a&gt;&lt;/li&gt;</t>
  </si>
  <si>
    <t>&lt;li data-author="Maranatha" data-momento="Entrada" data-nold="451" data-nnew="A30"&gt;&lt;a href="canciones/nsb/quiero_alabarte.html"&gt;Quiero alabarte&lt;/a&gt;&lt;/li&gt;</t>
  </si>
  <si>
    <t>&lt;li data-author="Sor Trini - Hijas de la Caridad" data-momento="Antífonas" data-nnew="D33"&gt;&lt;a href="canciones/nsb/quiero_caminar.html"&gt;Quiero caminar&lt;/a&gt;&lt;/li&gt;</t>
  </si>
  <si>
    <t>&lt;li data-author="Athenas" data-momento="María" data-nnew="M17"&gt;&lt;a href="canciones/nsb/quiero_caminar_contigo_maria.html"&gt;Quiero caminar contigo, María&lt;/a&gt;&lt;/li&gt;</t>
  </si>
  <si>
    <t>&lt;li data-author="Eduardo Meana" data-momento="Comunión" data-nnew="K63"&gt;&lt;a href="canciones/nsb/quiero_ser_pan.html"&gt;Quiero ser pan&lt;/a&gt;&lt;/li&gt;</t>
  </si>
  <si>
    <t>&lt;li data-author="Francisco Palazón" data-momento="María" data-nold="227" data-nnew="M19"&gt;&lt;a href="canciones/francisco_palazon/reina_del_cielo.html"&gt;Reina del Cielo&lt;/a&gt;&lt;/li&gt;</t>
  </si>
  <si>
    <t>&lt;li data-author="Kiko Argüello" data-momento="Comunión" data-nold="225" data-nnew="K64"&gt;&lt;a href="canciones/nsb/resucito_aleluya.html"&gt;Resucitó, aleluya&lt;/a&gt;&lt;/li&gt;</t>
  </si>
  <si>
    <t>&lt;li data-author="Francisco Palazón" data-momento="Entrada" data-nold="453" data-nnew="A31"&gt;&lt;a href="canciones/francisco_palazon/reunidos_en_el_nombre_del_señor.html"&gt;Reunidos en el nombre del Señor&lt;/a&gt;&lt;/li&gt;</t>
  </si>
  <si>
    <t>&lt;li data-momento="María" data-nnew="M18"&gt;&lt;a href="canciones/nsb/salve_madre.html"&gt;Salve, Madre&lt;/a&gt;&lt;/li&gt;</t>
  </si>
  <si>
    <t>&lt;li data-author="Gen Verde" data-momento="María" data-nnew="M20"&gt;&lt;a href="canciones/nsb/salve_regina.html"&gt;Salve, Regina&lt;/a&gt;&lt;/li&gt;</t>
  </si>
  <si>
    <t>&lt;li data-author="Juan Antonio Espinosa" data-momento="María" data-nold="164" data-nnew="M21"&gt;&lt;a href="canciones/juan_antonio_espinosa/santa_maria_del_camino.html"&gt;Santa María del Camino&lt;/a&gt;&lt;/li&gt;</t>
  </si>
  <si>
    <t>&lt;li data-author="Jesús Cardeñoso" data-momento="Santo" data-nold="455" data-nnew="G01"&gt;&lt;a href="canciones/nsb/santo_(cielo_y_tierra_pasaran).html"&gt;Santo (Cielo y tierra pasarán)&lt;/a&gt;&lt;/li&gt;</t>
  </si>
  <si>
    <t>&lt;li data-author="Toño Casado" data-momento="Santo" data-nnew="G02"&gt;&lt;a href="canciones/toño_casado/santo_(estan_llenos_de_tu_amor).html"&gt;Santo (Están llenos de tu amor)&lt;/a&gt;&lt;/li&gt;</t>
  </si>
  <si>
    <t>&lt;li data-author="Georg Friedrich Händel" data-momento="Santo" data-nnew="G03"&gt;&lt;a href="canciones/nsb/santo_(händel).html"&gt;Santo (Händel)&lt;/a&gt;&lt;/li&gt;</t>
  </si>
  <si>
    <t>&lt;li data-author="Toño Casado" data-momento="Santo" data-nnew="G04"&gt;&lt;a href="canciones/toño_casado/santo_(hosanna_en_el_cielo_al_señor).html"&gt;Santo (Hosanna en el Cielo al Señor)&lt;/a&gt;&lt;/li&gt;</t>
  </si>
  <si>
    <t>&lt;li data-author="Mocedades" data-momento="Santo" data-nnew="G06"&gt;&lt;a href="canciones/nsb/santo_(mocedades).html"&gt;Santo (Mocedades)&lt;/a&gt;&lt;/li&gt;</t>
  </si>
  <si>
    <t>&lt;li data-author="Jaime Olguín" data-momento="Santo" data-nnew="G07"&gt;&lt;a href="canciones/nsb/santo_(olguin).html"&gt;Santo (Olguín)&lt;/a&gt;&lt;/li&gt;</t>
  </si>
  <si>
    <t>&lt;li data-momento="Santo" data-nnew="G08"&gt;&lt;a href="canciones/nsb/santo_(santo_domingo_de_silos).html"&gt;Santo (Santo Domingo de Silos)&lt;/a&gt;&lt;/li&gt;</t>
  </si>
  <si>
    <t>&lt;li data-author="The Beatles" data-momento="Santo" data-nold="457" data-nnew="G09"&gt;&lt;a href="canciones/nsb/santo_(the_beatles).html"&gt;Santo (The Beatles)&lt;/a&gt;&lt;/li&gt;</t>
  </si>
  <si>
    <t>&lt;li data-momento="Santo" data-nnew="G10"&gt;&lt;a href="canciones/nsb/santo_eres_señor_dios_nuestro.html"&gt;Santo eres, Señor, Dios nuestro&lt;/a&gt;&lt;/li&gt;</t>
  </si>
  <si>
    <t>&lt;li data-momento="Santo" data-nnew="G11"&gt;&lt;a href="canciones/nsb/santo_es_el_señor.html"&gt;Santo es el Señor&lt;/a&gt;&lt;/li&gt;</t>
  </si>
  <si>
    <t>&lt;li data-author="Misa salvadoreña" data-momento="Santo" data-nold="231" data-nnew="G12"&gt;&lt;a href="canciones/nsb/santo_salvadoreño.html"&gt;Santo salvadoreño&lt;/a&gt;&lt;/li&gt;</t>
  </si>
  <si>
    <t>&lt;li data-momento="Santo" data-nold="459" data-nnew="G13"&gt;&lt;a href="canciones/nsb/santo_zaireño.html"&gt;Santo zaireño&lt;/a&gt;&lt;/li&gt;</t>
  </si>
  <si>
    <t>&lt;li data-author="Anónimo" data-momento="Comunión" data-nold="233" data-nnew="K65"&gt;&lt;a href="canciones/nsb/se_acerca_tu_navidad.html"&gt;Se acerca tu Navidad&lt;/a&gt;&lt;/li&gt;</t>
  </si>
  <si>
    <t>&lt;li data-author="A. B. Celada Alonso" data-momento="Especiales" data-nnew="P05"&gt;&lt;a href="canciones/nsb/secuencia_de_pascua.html"&gt;Secuencia de Pascua&lt;/a&gt;&lt;/li&gt;</t>
  </si>
  <si>
    <t>&lt;li data-author="Coro Niño Jesús (Cádiz)" data-momento="Perdón - Agua" data-nold="460" data-nnew="B06"&gt;&lt;a href="canciones/nsb/señor_ten_piedad.html"&gt;Señor, ten piedad&lt;/a&gt;&lt;/li&gt;</t>
  </si>
  <si>
    <t>&lt;li data-author="José B." data-momento="Perdón - Agua" data-nnew="B07"&gt;&lt;a href="canciones/nsb/señor_ten_piedad_de_nosotros.html"&gt;Señor, ten piedad de nosotros&lt;/a&gt;&lt;/li&gt;</t>
  </si>
  <si>
    <t>&lt;li data-author="Juan Antonio Espinosa" data-momento="Salmo" data-nold="243"&gt;&lt;a href="canciones/juan_antonio_espinosa/señor_tu_que_brillas.html"&gt;Señor, tú que brillas&lt;/a&gt;&lt;/li&gt;</t>
  </si>
  <si>
    <t>&lt;li data-author="Popular judío" data-momento="Paz" data-nold="234" data-nnew="I10"&gt;&lt;a href="canciones/nsb/shalom_haberim.html"&gt;Shalom haberim&lt;/a&gt;&lt;/li&gt;</t>
  </si>
  <si>
    <t>&lt;li data-author="Popular" data-momento="Comunión" data-nold="235" data-nnew="K66"&gt;&lt;a href="canciones/nsb/si_dios_a_su_mesa_nos_quiere_sentar.html"&gt;Si Dios a su mesa nos quiere sentar&lt;/a&gt;&lt;/li&gt;</t>
  </si>
  <si>
    <t>&lt;li data-author="Francisco Palazón" data-momento="Comunión" data-nnew="K67"&gt;&lt;a href="canciones/francisco_palazon/si_me_falta_el_amor.html"&gt;Si me falta el amor&lt;/a&gt;&lt;/li&gt;</t>
  </si>
  <si>
    <t>&lt;li data-author="" data-momento="Comunión" data-nnew="K83"&gt;&lt;a href="canciones/nsb/siempre_en_ti.html"&gt;Siempre en ti&lt;/a&gt;&lt;/li&gt;</t>
  </si>
  <si>
    <t>&lt;li data-author="Toño Casado" data-momento="María" data-nnew="M22"&gt;&lt;a href="canciones/toño_casado/siempre_estuviste_aqui_(almudena).html"&gt;Siempre estuviste aquí (Almudena)&lt;/a&gt;&lt;/li&gt;</t>
  </si>
  <si>
    <t>&lt;li data-author="Ixcís" data-momento="Ofertorio" data-nnew="F14"&gt;&lt;a href="canciones/nsb/sigue_habiendo.html"&gt;Sigue habiendo&lt;/a&gt;&lt;/li&gt;</t>
  </si>
  <si>
    <t>&lt;li data-author="Luis Guitarra" data-momento="Antífonas" data-nold="461" data-nnew="D34"&gt;&lt;a href="canciones/nsb/sois_la_sal.html"&gt;Sois la sal&lt;/a&gt;&lt;/li&gt;</t>
  </si>
  <si>
    <t>&lt;li data-author="Cesáreo Gabarain" data-momento="Comunión" data-nold="241" data-nnew="K68"&gt;&lt;a href="canciones/cesareo_gabarain/sois_la_semilla.html"&gt;Sois la semilla&lt;/a&gt;&lt;/li&gt;</t>
  </si>
  <si>
    <t>&lt;li data-author="Cesáreo Gabarain" data-momento="Comunión" data-nold="463" data-nnew="K70"&gt;&lt;a href="canciones/cesareo_gabarain/tan_cerca_de_mi.html"&gt;Tan cerca de mí&lt;/a&gt;&lt;/li&gt;</t>
  </si>
  <si>
    <t>&lt;li data-author="Alicia Mendoza" data-momento="Comunión" data-nnew="K71"&gt;&lt;a href="canciones/nsb/tanto_amo_dios_al_mundo.html"&gt;Tanto amó Dios al mundo&lt;/a&gt;&lt;/li&gt;</t>
  </si>
  <si>
    <t>&lt;li data-author="Marco López" data-momento="Antífonas" data-nnew="D35"&gt;&lt;a href="canciones/nsb/te_amo_señor.html"&gt;Te amo, Señor&lt;/a&gt;&lt;/li&gt;</t>
  </si>
  <si>
    <t>&lt;li data-author="Pelayo Sánchez" data-momento="Gloria" data-nnew="C07"&gt;&lt;a href="canciones/nsb/te_damos_gracias_señor.html"&gt;Te damos gracias, Señor&lt;/a&gt;&lt;/li&gt;</t>
  </si>
  <si>
    <t>&lt;li data-author="Juan Antonio Espinosa" data-momento="" data-nold="258"&gt;&lt;a href="canciones/juan_antonio_espinosa/te_damos_gracias_señor.html"&gt;Te damos gracias, Señor (J. A. Espinosa)&lt;/a&gt;&lt;/li&gt;</t>
  </si>
  <si>
    <t>&lt;li data-author="Toño Casado" data-momento="Ofertorio" data-nnew="F15"&gt;&lt;a href="canciones/toño_casado/te_ofrecemos.html"&gt;Te ofrecemos&lt;/a&gt;&lt;/li&gt;</t>
  </si>
  <si>
    <t>&lt;li data-author="Popular" data-momento="Perdón - Agua" data-nnew="B08"&gt;&lt;a href="canciones/nsb/ten_piedad_de_mi_señor.html"&gt;Ten piedad de mi, Señor&lt;/a&gt;&lt;/li&gt;</t>
  </si>
  <si>
    <t>&lt;li data-author="Anónimo" data-momento="Comunión" data-nold="255" data-nnew="K73"&gt;&lt;a href="canciones/nsb/tengo_que_gritar.html"&gt;Tengo que gritar&lt;/a&gt;&lt;/li&gt;</t>
  </si>
  <si>
    <t>&lt;li data-author="Kairoi" data-momento="Gloria" data-nnew="C08"&gt;&lt;a href="canciones/kairoi/todo_mi_ser_(alabo_tu_bondad).html"&gt;Todo mi ser (Alabo tu bondad)&lt;/a&gt;&lt;/li&gt;</t>
  </si>
  <si>
    <t>&lt;li data-author="Cesáreo Gabarain" data-momento="Comunión" data-nold="266" data-nnew="K74"&gt;&lt;a href="canciones/cesareo_gabarain/todos_unidos.html"&gt;Todos unidos&lt;/a&gt;&lt;/li&gt;</t>
  </si>
  <si>
    <t>&lt;li data-author="Hakuna" data-momento="Comunión" data-nnew="K72"&gt;&lt;a href="canciones/hakuna/tomad_comed.html"&gt;Tomad, comed&lt;/a&gt;&lt;/li&gt;</t>
  </si>
  <si>
    <t>&lt;li data-author="Anónimo" data-momento="Ofertorio" data-nold="265" data-nnew="F16"&gt;&lt;a href="canciones/nsb/traemos_a_tu_altar.html"&gt;Traemos a tu altar&lt;/a&gt;&lt;/li&gt;</t>
  </si>
  <si>
    <t>&lt;li data-author="Gina Fernández" data-momento="Comunión" data-nold="465" data-nnew="K76"&gt;&lt;a href="canciones/nsb/tu_eres_capaz.html"&gt;Tú eres capaz&lt;/a&gt;&lt;/li&gt;</t>
  </si>
  <si>
    <t>&lt;li data-author="Juan Antonio Espinosa" data-momento="Comunión" data-nold="262" data-nnew="K77"&gt;&lt;a href="canciones/juan_antonio_espinosa/tu_eres_el_dios_que_nos_salva.html"&gt;Tú eres el Dios que nos salva&lt;/a&gt;&lt;/li&gt;</t>
  </si>
  <si>
    <t>&lt;li data-author="Cesáreo Gabarain" data-momento="Comunión" data-nold="251" data-nnew="K78"&gt;&lt;a href="canciones/cesareo_gabarain/tu_nos_dijiste_que_la_muerte.html"&gt;Tú nos dijiste que la muerte&lt;/a&gt;&lt;/li&gt;</t>
  </si>
  <si>
    <t>&lt;li data-author="Juan Antonio Espinosa" data-momento="Antífonas" data-nold="254" data-nnew="D37"&gt;&lt;a href="canciones/juan_antonio_espinosa/tu_palabra_me_da_vida.html"&gt;Tu Palabra me da vida&lt;/a&gt;&lt;/li&gt;</t>
  </si>
  <si>
    <t>&lt;li data-author="Miguel Manzano" data-momento="Antífonas" data-nold="264" data-nnew="D38"&gt;&lt;a href="canciones/miguel_manzano/tu_reino_es_vida.html"&gt;Tu Reino es vida&lt;/a&gt;&lt;/li&gt;</t>
  </si>
  <si>
    <t>&lt;li data-author="Coro Parroquial San Miguel" data-momento="Ofertorio" data-nold="467" data-nnew="F17"&gt;&lt;a href="canciones/nsb/un_dia_abri_los_ojos.html"&gt;Un día abrí los ojos&lt;/a&gt;&lt;/li&gt;</t>
  </si>
  <si>
    <t>&lt;li data-author="Cesáreo Gabarain" data-momento="Ofertorio" data-nold="468" data-nnew="F18"&gt;&lt;a href="canciones/cesareo_gabarain/un_niño_se_te_acerco.html"&gt;Un niño se te acercó&lt;/a&gt;&lt;/li&gt;</t>
  </si>
  <si>
    <t>&lt;li data-author="Musical El diluvio que viene" data-momento="Entrada" data-nold="270" data-nnew="A32"&gt;&lt;a href="canciones/nsb/un_nuevo_sitio_disponed.html"&gt;Un nuevo sitio disponed&lt;/a&gt;&lt;/li&gt;</t>
  </si>
  <si>
    <t>&lt;li data-author="Lucien Deiss" data-momento="Bautismo" data-nold="268" data-nnew="-"&gt;&lt;a href="canciones/nsb/un_solo_señor.html"&gt;Un solo Señor&lt;/a&gt;&lt;/li&gt;</t>
  </si>
  <si>
    <t>&lt;li data-author="Juan Antonio Espinosa" data-momento="Entrada" data-nold="269" data-nnew="-"&gt;&lt;a href="canciones/juan_antonio_espinosa/una_ciudad_para_todos.html"&gt;Una ciudad para todos&lt;/a&gt;&lt;/li&gt;</t>
  </si>
  <si>
    <t>&lt;li data-author="Cesáreo Gabarain" data-momento="Ofertorio" data-nold="271" data-nnew="F19"&gt;&lt;a href="canciones/cesareo_gabarain/una_espiga_dorada.html"&gt;Una espiga dorada&lt;/a&gt;&lt;/li&gt;</t>
  </si>
  <si>
    <t>&lt;li data-author="Cesáreo Gabarain" data-momento="Perdón - Agua" data-nold="274" data-nnew="B09"&gt;&lt;a href="canciones/cesareo_gabarain/una_nueva_vida.html"&gt;Una nueva vida&lt;/a&gt;&lt;/li&gt;</t>
  </si>
  <si>
    <t>&lt;li data-author="Luis Alfredo Díaz Britos" data-momento="Comunión" data-nnew="K79"&gt;&lt;a href="canciones/nsb/una_tarde_en_la_playa.html"&gt;Una tarde en la playa&lt;/a&gt;&lt;/li&gt;</t>
  </si>
  <si>
    <t>&lt;li data-author="Óscar Palomares" data-momento="Entrada" data-nnew="A34"&gt;&lt;a href="canciones/nsb/una_voz_clama_en_el_desierto.html"&gt;Una voz clama en el desierto&lt;/a&gt;&lt;/li&gt;</t>
  </si>
  <si>
    <t>&lt;li data-author="Juan Antonio Espinosa" data-momento="María" data-nnew="M23"&gt;&lt;a href="canciones/juan_antonio_espinosa/unidos_a_todos_los_pueblos.html"&gt;Unidos a todos los pueblos&lt;/a&gt;&lt;/li&gt;</t>
  </si>
  <si>
    <t>&lt;li data-author="Joaquín Madurga" data-momento="Entrada" data-nold="275" data-nnew="A35"&gt;&lt;a href="canciones/joaquin_madurga/unidos_en_la_fiesta.html"&gt;Unidos en la fiesta&lt;/a&gt;&lt;/li&gt;</t>
  </si>
  <si>
    <t>&lt;li data-author="Carmelo Erdozáin" data-momento="Entrada" data-nold="284" data-nnew="A36"&gt;&lt;a href="canciones/carmelo_erdozain/vamos_a_preparar.html"&gt;Vamos a preparar&lt;/a&gt;&lt;/li&gt;</t>
  </si>
  <si>
    <t>&lt;li data-author="Juan Antonio Espinosa" data-momento="Entrada" data-nold="277" data-nnew="A37"&gt;&lt;a href="canciones/juan_antonio_espinosa/vamos_cantando_al_señor.html"&gt;Vamos cantando al Señor&lt;/a&gt;&lt;/li&gt;</t>
  </si>
  <si>
    <t>&lt;li data-author="Misa salvadoreña" data-momento="Entrada" data-nold="285" data-nnew="A38"&gt;&lt;a href="canciones/nsb/vamos_todos_al_banquete.html"&gt;Vamos todos al banquete&lt;/a&gt;&lt;/li&gt;</t>
  </si>
  <si>
    <t>&lt;li data-author="Francisco Palazón" data-momento="Despedida" data-nold="470" data-nnew="L08"&gt;&lt;a href="canciones/francisco_palazon/vaso_nuevo.html"&gt;Vaso nuevo&lt;/a&gt;&lt;/li&gt;</t>
  </si>
  <si>
    <t>&lt;li data-author="Alborada" data-momento="Entrada" data-nnew="A39"&gt;&lt;a href="canciones/nsb/ven_a_celebrar.html"&gt;Ven a celebrar&lt;/a&gt;&lt;/li&gt;</t>
  </si>
  <si>
    <t>&lt;li data-author="Toño Casado" data-momento="Entrada" data-nnew="A40"&gt;&lt;a href="canciones/toño_casado/ven_a_la_fiesta.html"&gt;Ven a la fiesta&lt;/a&gt;&lt;/li&gt;</t>
  </si>
  <si>
    <t>&lt;li data-author="Josep Asunción" data-momento="Antífonas" data-nnew="D39"&gt;&lt;a href="canciones/nsb/ven_y_descansate.html"&gt;Ven y descánsate&lt;/a&gt;&lt;/li&gt;</t>
  </si>
  <si>
    <t>&lt;li data-author="Kairoi" data-momento="Espíritu" data-nnew="N05"&gt;&lt;a href="canciones/kairoi/ven_espiritu_de_dios_(kairoi).html"&gt;Ven, Espíritu de Dios (Kairoi)&lt;/a&gt;&lt;/li&gt;</t>
  </si>
  <si>
    <t>&lt;li data-momento="Espíritu" data-nnew="N04"&gt;&lt;a href="canciones/nsb/ven_espiritu_de_dios_(esprit_createur).html"&gt;Ven, Espíritu de Dios (Esprit createur)&lt;/a&gt;&lt;/li&gt;</t>
  </si>
  <si>
    <t>&lt;li data-author="Grupo Nueva Vida" data-momento="Especiales" data-nnew="P06"&gt;&lt;a href="canciones/nsb/ven_espiritu_divino_(secuencia_de_pentecostes).html"&gt;Ven, Espíritu divino (Secuencia de Pentecostés)&lt;/a&gt;&lt;/li&gt;</t>
  </si>
  <si>
    <t>&lt;li data-author="Brotes de Olivo" data-momento="Antífonas" data-nnew="D40"&gt;&lt;a href="canciones/brotes_de_olivo/ven_no_apartes_de_mi_los_ojos.html"&gt;Ven, no apartes de mí los ojos&lt;/a&gt;&lt;/li&gt;</t>
  </si>
  <si>
    <t>&lt;li data-author="Carmelo Erdozáin" data-momento="Entrada" data-nold="283" data-nnew="A41"&gt;&lt;a href="canciones/carmelo_erdozain/ven_salvador.html"&gt;Ven, Salvador&lt;/a&gt;&lt;/li&gt;</t>
  </si>
  <si>
    <t>&lt;li data-author="Antonio Alcalde" data-momento="Adviento" data-nold="291" data-nnew="-"&gt;&lt;a href="canciones/antonio_alcalde/ven_señor_a_nuestra_vida.html"&gt;Ven, Señor, a nuestra vida&lt;/a&gt;&lt;/li&gt;</t>
  </si>
  <si>
    <t>&lt;li data-author="Grupo Loyola Valladolid" data-momento="Antífonas" data-nnew="D41"&gt;&lt;a href="canciones/nsb/ven_si_te_has_caido_levantate.html"&gt;Ven, si te has caído levántate&lt;/a&gt;&lt;/li&gt;</t>
  </si>
  <si>
    <t>&lt;li data-author="Juanjo Elezkano" data-momento="Antífonas" data-nold="471" data-nnew="D42"&gt;&lt;a href="canciones/juanjo_elezkano/venimos_a_escuchar_tu_voz.html"&gt;Venimos a escuchar tu voz&lt;/a&gt;&lt;/li&gt;</t>
  </si>
  <si>
    <t>&lt;li data-author="André Losay" data-momento="Comunión" data-nold="286" data-nnew="K80"&gt;&lt;a href="canciones/nsb/victoria_tu_reinaras.html"&gt;Victoria, tú reinarás&lt;/a&gt;&lt;/li&gt;</t>
  </si>
  <si>
    <t>&lt;li data-author="Cesáreo Gabarain" data-momento="Entrada" data-nold="278" data-nnew="A43"&gt;&lt;a href="canciones/cesareo_gabarain/vienen_con_alegria.html"&gt;Vienen con alegría&lt;/a&gt;&lt;/li&gt;</t>
  </si>
  <si>
    <t>&lt;li data-momento="Despedida" data-nold="472" data-nnew="L09"&gt;&lt;a href="canciones/nsb/vive_tu_amor_en_mi.html"&gt;Vive tu amor en mí&lt;/a&gt;&lt;/li&gt;</t>
  </si>
  <si>
    <t>&lt;li data-author="Comunidad San Pedro" data-momento="Navidad" data-nold="171" data-nnew="O18"&gt;&lt;a href="canciones/nsb/vivid_la_navidad.html"&gt;Vivid la Navidad&lt;/a&gt;&lt;/li&gt;</t>
  </si>
  <si>
    <t>&lt;li data-author="Toño Casado" data-momento="Entrada" data-nnew="A42"&gt;&lt;a href="canciones/toño_casado/viviremos_firmes_en_la_fe.html"&gt;Viviremos firmes en la fe&lt;/a&gt;&lt;/li&gt;</t>
  </si>
  <si>
    <t>&lt;li data-momento="Comunión" data-nold="473" data-nnew="K81"&gt;&lt;a href="canciones/nsb/volar.html"&gt;Volar&lt;/a&gt;&lt;/li&gt;</t>
  </si>
  <si>
    <t>&lt;li data-author="Migueli" data-momento="Antífonas" data-nnew="D43"&gt;&lt;a href="canciones/nsb/yendo_contigo.html"&gt;Yendo contigo&lt;/a&gt;&lt;/li&gt;</t>
  </si>
  <si>
    <t>&lt;li data-author="Kairoi" data-momento="María" data-nold="474" data-nnew="M24"&gt;&lt;a href="canciones/kairoi/yo_cantare_(magnificat).html"&gt;Yo cantaré (Magnificat)&lt;/a&gt;&lt;/li&gt;</t>
  </si>
  <si>
    <t>&lt;li data-author="Linda Duval" data-momento="Antífonas" data-nold="475" data-nnew="D44"&gt;&lt;a href="canciones/nsb/yo_celebrare.html"&gt;Yo celebraré&lt;/a&gt;&lt;/li&gt;</t>
  </si>
  <si>
    <t>&lt;li data-author="Suzanne Toolan" data-momento="Comunión" data-nold="477" data-nnew="K82"&gt;&lt;a href="canciones/nsb/yo_soy_el_pan_de_vida.html"&gt;Yo soy el Pan de Vida&lt;/a&gt;&lt;/li&gt;</t>
  </si>
  <si>
    <t>&lt;li data-author="Al-Haraca" data-momento="Entrada" data-nold="294" data-nnew="A44"&gt;&lt;a href="canciones/al-haraca/yo_soy_la_luz_del_mundo.html"&gt;Yo soy la luz del mundo&lt;/a&gt;&lt;/li&gt;</t>
  </si>
  <si>
    <t>&lt;li data-author="Alborada" data-momento="Ofertorio" data-nold="476" data-nnew="F20"&gt;&lt;a href="canciones/nsb/yo_soy_la_vida_y_la_verdad.html"&gt;Yo soy la Vida y la Verdad&lt;/a&gt;&lt;/li&gt;</t>
  </si>
  <si>
    <t>&lt;li data-author="Taizé" data-nnew="Q83"&gt;&lt;a href="canciones/taize/zu_wem_sollen_wir_gehen.html"&gt;A quién iremos, Señor&lt;/a&gt;&lt;/li&gt;</t>
  </si>
  <si>
    <t>&lt;li data-author="Taizé" data-nnew="Q51"&gt;&lt;a href="canciones/taize/jubilate_deo.html"&gt;Al Señor alabe&lt;/a&gt;&lt;/li&gt;</t>
  </si>
  <si>
    <t>&lt;li data-author="Taizé" data-nnew="Q82"&gt;&lt;a href="canciones/taize/wysławiajcie_pana.html"&gt;Alabado sea el Señor&lt;/a&gt;&lt;/li&gt;</t>
  </si>
  <si>
    <t>&lt;li data-author="Taizé" data-nnew="Q50"&gt;&lt;a href="canciones/taize/jubelt_und_freut_euch.html"&gt;Alégrate y goza en el Señor&lt;/a&gt;&lt;/li&gt;</t>
  </si>
  <si>
    <t>&lt;li data-author="Taizé" data-nnew="Q46"&gt;&lt;a href="canciones/taize/in_resurrectione_tua.html"&gt;Alégrense el Cielo y la Tierra&lt;/a&gt;&lt;/li&gt;</t>
  </si>
  <si>
    <t>&lt;li data-author="Taizé" data-nnew="Q05"&gt;&lt;a href="canciones/taize/alleluia_11.html"&gt;Aleluya 11&lt;/a&gt;&lt;/li&gt;</t>
  </si>
  <si>
    <t>&lt;li data-author="Taizé" data-nnew="Q06"&gt;&lt;a href="canciones/taize/alleluia_17.html"&gt;Aleluya 17&lt;/a&gt;&lt;/li&gt;</t>
  </si>
  <si>
    <t>&lt;li data-author="Taizé" data-nnew="Q07"&gt;&lt;a href="canciones/taize/alleluia_22.html"&gt;Aleluya 22&lt;/a&gt;&lt;/li&gt;</t>
  </si>
  <si>
    <t>&lt;li data-author="Taizé" data-nnew="Q04"&gt;&lt;a href="canciones/taize/alleluia_7.html"&gt;Aleluya 7&lt;/a&gt;&lt;/li&gt;</t>
  </si>
  <si>
    <t>&lt;li data-author="Taizé" data-nnew="Q08"&gt;&lt;a href="canciones/taize/alleluia_94.html"&gt;Aleluya 94&lt;/a&gt;&lt;/li&gt;</t>
  </si>
  <si>
    <t>&lt;li data-author="Taizé" data-nnew="Q09"&gt;&lt;a href="canciones/taize/alleluia_96.html"&gt;Aleluya 96&lt;/a&gt;&lt;/li&gt;</t>
  </si>
  <si>
    <t>&lt;li data-author="Taizé" data-nnew="Q10"&gt;&lt;a href="canciones/taize/alleluia_97.html"&gt;Aleluya 97&lt;/a&gt;&lt;/li&gt;</t>
  </si>
  <si>
    <t>&lt;li data-author="Taizé" data-nnew="Q15"&gt;&lt;a href="canciones/taize/benissez_le_seigneur.html"&gt;Bendecid al Señor&lt;/a&gt;&lt;/li&gt;</t>
  </si>
  <si>
    <t>&lt;li data-author="Taizé" data-nnew="Q13"&gt;&lt;a href="canciones/taize/benedictus_qui_venit_(canon).html"&gt;Bendito el que viene (canon)&lt;/a&gt;&lt;/li&gt;</t>
  </si>
  <si>
    <t>&lt;li data-author="Taizé" data-nnew="Q20"&gt;&lt;a href="canciones/taize/cantarei_ao_senhor.html"&gt;Cantaré al Señor&lt;/a&gt;&lt;/li&gt;</t>
  </si>
  <si>
    <t>&lt;li data-author="Taizé" data-nnew="Q36"&gt;&lt;a href="canciones/taize/eat_this_bread.html"&gt;Come este pan&lt;/a&gt;&lt;/li&gt;</t>
  </si>
  <si>
    <t>&lt;li data-author="Taizé" data-nnew="Q33"&gt;&lt;a href="canciones/taize/dominus_spiritus_est.html"&gt;Cristo es Espíritu y Dios&lt;/a&gt;&lt;/li&gt;</t>
  </si>
  <si>
    <t>&lt;li data-author="Taizé" data-nnew="Q72"&gt;&lt;a href="canciones/taize/surrexit_christus.html"&gt;Cristo está vivo&lt;/a&gt;&lt;/li&gt;</t>
  </si>
  <si>
    <t>&lt;li data-author="Taizé" data-nnew="Q73"&gt;&lt;a href="canciones/taize/surrexit_dominus_vere_(canon).html"&gt;Cristo ha resucitado (canon)&lt;/a&gt;&lt;/li&gt;</t>
  </si>
  <si>
    <t>&lt;li data-author="Taizé" data-nnew="Q47"&gt;&lt;a href="canciones/taize/jesus_le_christ.html"&gt;Cristo Jesús&lt;/a&gt;&lt;/li&gt;</t>
  </si>
  <si>
    <t>&lt;li data-author="Taizé" data-nnew="Q35"&gt;&lt;a href="canciones/taize/dona_nobis_pacem.html"&gt;Danos la paz del corazón&lt;/a&gt;&lt;/li&gt;</t>
  </si>
  <si>
    <t>&lt;li data-author="Taizé" data-nnew="Q34"&gt;&lt;a href="canciones/taize/dona_la_pace.html"&gt;Danos la paz, oh, Señor&lt;/a&gt;&lt;/li&gt;</t>
  </si>
  <si>
    <t>&lt;li data-author="Taizé" data-nnew="Q27"&gt;&lt;a href="canciones/taize/da_pacem..._in_diebus.html"&gt;Danos la paz, Señor&lt;/a&gt;&lt;/li&gt;</t>
  </si>
  <si>
    <t>&lt;li data-author="Taizé" data-nnew="Q26"&gt;&lt;a href="canciones/taize/da_pacem_cordium_(canon).html"&gt;Danos, Señor, la paz (canon)&lt;/a&gt;&lt;/li&gt;</t>
  </si>
  <si>
    <t>&lt;li data-author="Taizé" data-nnew="Q64"&gt;&lt;a href="canciones/taize/nunc_dimittis.html"&gt;Deja ahora&lt;/a&gt;&lt;/li&gt;</t>
  </si>
  <si>
    <t>&lt;li data-author="Taizé" data-nnew="Q79"&gt;&lt;a href="canciones/taize/v_tebi_je_izvir_življenja.html"&gt;Dentro llevas la fuente de vida&lt;/a&gt;&lt;/li&gt;</t>
  </si>
  <si>
    <t>&lt;li data-author="Taizé" data-nnew="Q11"&gt;&lt;a href="canciones/taize/beati_voi_poveri.html"&gt;Dichosos los pobres&lt;/a&gt;&lt;/li&gt;</t>
  </si>
  <si>
    <t>&lt;li data-author="Taizé" data-nnew="Q23"&gt;&lt;a href="canciones/taize/christe_salvator.html"&gt;Dios de la vida&lt;/a&gt;&lt;/li&gt;</t>
  </si>
  <si>
    <t>&lt;li data-author="Taizé" data-nnew="Q16"&gt;&lt;a href="canciones/taize/bog_jest_miłością.html"&gt;Dios es ternura&lt;/a&gt;&lt;/li&gt;</t>
  </si>
  <si>
    <t>&lt;li data-author="Taizé" data-nnew="Q18"&gt;&lt;a href="canciones/taize/bogoroditse_dievo_1.html"&gt;Dios te salve&lt;/a&gt;&lt;/li&gt;</t>
  </si>
  <si>
    <t>&lt;li data-author="Taizé" data-nnew="Q32"&gt;&lt;a href="canciones/taize/dieu_ne_peut_que_donner.html"&gt;Dios, que nos ama&lt;/a&gt;&lt;/li&gt;</t>
  </si>
  <si>
    <t>&lt;li data-author="Taizé" data-nnew="Q78"&gt;&lt;a href="canciones/taize/ubi_caritas.html"&gt;Donde hay amor&lt;/a&gt;&lt;/li&gt;</t>
  </si>
  <si>
    <t>&lt;li data-author="Taizé" data-nnew="Q74"&gt;&lt;a href="canciones/taize/the_kingdom_of_god.html"&gt;El Reino de Dios&lt;/a&gt;&lt;/li&gt;</t>
  </si>
  <si>
    <t>&lt;li data-author="Taizé" data-nnew="Q38"&gt;&lt;a href="canciones/taize/el_senyor.html"&gt;El Señor es mi fortaleza&lt;/a&gt;&lt;/li&gt;</t>
  </si>
  <si>
    <t>&lt;li data-author="Taizé" data-nnew="Q44"&gt;&lt;a href="canciones/taize/il_signore_ti_ristora.html"&gt;El Señor es quien restaura&lt;/a&gt;&lt;/li&gt;</t>
  </si>
  <si>
    <t>&lt;li data-author="Taizé" data-nnew="Q81"&gt;&lt;a href="canciones/taize/voici_dieu_qui_vient_à_mon_secours.html"&gt;El Señor, que viene en mi ayuda&lt;/a&gt;&lt;/li&gt;</t>
  </si>
  <si>
    <t>&lt;li data-author="Taizé" data-nnew="Q28"&gt;&lt;a href="canciones/taize/dans_nos_obscurites.html"&gt;En nuestra oscuridad&lt;/a&gt;&lt;/li&gt;</t>
  </si>
  <si>
    <t>&lt;li data-author="Taizé" data-nnew="Q70"&gt;&lt;a href="canciones/taize/spiritus_jesu_christi.html"&gt;Espíritu de Dios vivo&lt;/a&gt;&lt;/li&gt;</t>
  </si>
  <si>
    <t>&lt;li data-author="Taizé" data-nold="121" data-nnew="Q67"&gt;&lt;a href="canciones/taize/psallite_deo.html"&gt;Este es el día del Señor&lt;/a&gt;&lt;/li&gt;</t>
  </si>
  <si>
    <t>&lt;li data-author="Taizé" data-nnew="Q41"&gt;&lt;a href="canciones/taize/heureux_qui_s’abandonne_à_toi.html"&gt;Feliz quien se abandona&lt;/a&gt;&lt;/li&gt;</t>
  </si>
  <si>
    <t>&lt;li data-author="Taizé" data-nnew="Q52"&gt;&lt;a href="canciones/taize/jubilate_coeli_(canon).html"&gt;Júbilo en el cielo (canon)&lt;/a&gt;&lt;/li&gt;</t>
  </si>
  <si>
    <t>&lt;li data-author="Taizé" data-nnew="Q57"&gt;&lt;a href="canciones/taize/l’ajuda_em_vindrà.html"&gt;La ayuda vendrá&lt;/a&gt;&lt;/li&gt;</t>
  </si>
  <si>
    <t>&lt;li data-author="Taizé" data-nold="157" data-nnew="Q62"&gt;&lt;a href="canciones/taize/misericordias_domini.html"&gt;La misericordia del Señor&lt;/a&gt;&lt;/li&gt;</t>
  </si>
  <si>
    <t>&lt;li data-author="Taizé" data-nnew="Q03"&gt;&lt;a href="canciones/taize/ad_te_jesu_christe.html"&gt;Levanto mi alma&lt;/a&gt;&lt;/li&gt;</t>
  </si>
  <si>
    <t>&lt;li data-author="Taizé" data-nnew="Q24"&gt;&lt;a href="canciones/taize/confitemini_domino.html"&gt;Llénanos, Señor, de tu paz&lt;/a&gt;&lt;/li&gt;</t>
  </si>
  <si>
    <t>&lt;li data-author="Taizé" data-nnew="Q61"&gt;&lt;a href="canciones/taize/magnificat_(canon).html"&gt;Magnificat (canon)&lt;/a&gt;&lt;/li&gt;</t>
  </si>
  <si>
    <t>&lt;li data-author="Taizé" data-nnew="Q01"&gt;&lt;a href="canciones/taize/aber_du_weisst_den_weg_für_mich.html"&gt;Mas tú sabes que senda es para mí&lt;/a&gt;&lt;/li&gt;</t>
  </si>
  <si>
    <t>&lt;li data-author="Taizé" data-nnew="Q43"&gt;&lt;a href="canciones/taize/iedere_nacht_verlang_ik.html"&gt;Mi corazón te anhela&lt;/a&gt;&lt;/li&gt;</t>
  </si>
  <si>
    <t>&lt;li data-author="Taizé" data-nnew="Q39"&gt;&lt;a href="canciones/taize/esprit_consolateur.html"&gt;Oh, Dios consolador&lt;/a&gt;&lt;/li&gt;</t>
  </si>
  <si>
    <t>&lt;li data-author="Taizé" data-nnew="Q45"&gt;&lt;a href="canciones/taize/in_manus_tuas.html"&gt;Oh, Padre, entre tus manos&lt;/a&gt;&lt;/li&gt;</t>
  </si>
  <si>
    <t>&lt;li data-author="Taizé" data-nnew="Q14"&gt;&lt;a href="canciones/taize/bleibet_hier.html"&gt;Permaneced conmigo&lt;/a&gt;&lt;/li&gt;</t>
  </si>
  <si>
    <t>&lt;li data-author="Taizé" data-nnew="Q66"&gt;&lt;a href="canciones/taize/per_crucem.html"&gt;Por tu Cruz&lt;/a&gt;&lt;/li&gt;</t>
  </si>
  <si>
    <t>&lt;li data-author="Taizé" data-nnew="Q12"&gt;&lt;a href="canciones/taize/behüte_mich_gott.html"&gt;Protégeme, Dios&lt;/a&gt;&lt;/li&gt;</t>
  </si>
  <si>
    <t>&lt;li data-author="Taizé" data-nnew="Q58"&gt;&lt;a href="canciones/taize/laudate_dominum.html"&gt;Que alabe al Señor&lt;/a&gt;&lt;/li&gt;</t>
  </si>
  <si>
    <t>&lt;li data-author="Taizé" data-nnew="Q19"&gt;&lt;a href="canciones/taize/bonum_est_confidere.html"&gt;Qué bueno es confiar en ti&lt;/a&gt;&lt;/li&gt;</t>
  </si>
  <si>
    <t>&lt;li data-author="Taizé" data-nnew="Q59"&gt;&lt;a href="canciones/taize/laudate_omnes_gentes.html"&gt;Que todo el mundo alabe&lt;/a&gt;&lt;/li&gt;</t>
  </si>
  <si>
    <t>&lt;li data-author="Taizé" data-nnew="Q60"&gt;&lt;a href="canciones/taize/let_all_who_are_thirsty_come.html"&gt;Que venga a ti&lt;/a&gt;&lt;/li&gt;</t>
  </si>
  <si>
    <t>&lt;li data-author="Taizé" data-nnew="Q71"&gt;&lt;a href="canciones/taize/staňte_se_soli.html"&gt;Sé sal que sala&lt;/a&gt;&lt;/li&gt;</t>
  </si>
  <si>
    <t>&lt;li data-author="Taizé" data-nnew="Q02"&gt;&lt;a href="canciones/taize/adoramus_te_o_christe.html"&gt;Te adoramos&lt;/a&gt;&lt;/li&gt;</t>
  </si>
  <si>
    <t>&lt;li data-author="Taizé" data-nnew="Q53"&gt;&lt;a href="canciones/taize/kyrie_1.html"&gt;Ten piedad, Señor 1&lt;/a&gt;&lt;/li&gt;</t>
  </si>
  <si>
    <t>&lt;li data-author="Taizé" data-nnew="Q56"&gt;&lt;a href="canciones/taize/kyrie_20.html"&gt;Ten piedad, Señor 20&lt;/a&gt;&lt;/li&gt;</t>
  </si>
  <si>
    <t>&lt;li data-author="Taizé" data-nnew="Q54"&gt;&lt;a href="canciones/taize/kyrie_6.html"&gt;Ten piedad, Señor 6&lt;/a&gt;&lt;/li&gt;</t>
  </si>
  <si>
    <t>&lt;li data-author="Taizé" data-nnew="Q55"&gt;&lt;a href="canciones/taize/kyrie_8.html"&gt;Ten piedad, Señor 8&lt;/a&gt;&lt;/li&gt;</t>
  </si>
  <si>
    <t>&lt;li data-author="Taizé" data-nnew="Q17"&gt;&lt;a href="canciones/taize/bless_the_lord.html"&gt;Tengo sed de ti&lt;/a&gt;&lt;/li&gt;</t>
  </si>
  <si>
    <t>&lt;li data-author="Taizé" data-nnew="Q76"&gt;&lt;a href="canciones/taize/tu_sei_sorgente_viva.html"&gt;Tú eres fuente viva&lt;/a&gt;&lt;/li&gt;</t>
  </si>
  <si>
    <t>&lt;li data-author="Taizé" data-nnew="Q68"&gt;&lt;a href="canciones/taize/sanasi_on_lamppu.html"&gt;Tu palabra alumbra&lt;/a&gt;&lt;/li&gt;</t>
  </si>
  <si>
    <t>&lt;li data-author="Taizé" data-nnew="Q25"&gt;&lt;a href="canciones/taize/crucem_tuam.html"&gt;Tu santa cruz&lt;/a&gt;&lt;/li&gt;</t>
  </si>
  <si>
    <t>&lt;li data-author="Taizé" data-nnew="Q22"&gt;&lt;a href="canciones/taize/cantate_domino_canticum_novum.html"&gt;Un canto nuevo&lt;/a&gt;&lt;/li&gt;</t>
  </si>
  <si>
    <t>&lt;li data-author="Taizé" data-nnew="Q80"&gt;&lt;a href="canciones/taize/vieni_spirito_creatore_(canon).html"&gt;Ven, Espíritu (canon)&lt;/a&gt;&lt;/li&gt;</t>
  </si>
  <si>
    <t>&lt;li data-author="Taizé" data-momento="Espíritu" data-nnew="Q77"&gt;&lt;a href="canciones/taize/tui_amoris.html"&gt;Ven, Espíritu de Dios (Taizé)&lt;/a&gt;&lt;/li&gt;</t>
  </si>
  <si>
    <t>&lt;li data-author="Taizé" data-nnew="Q42"&gt;&lt;a href="canciones/taize/i_am_sure_i_shall_see.html"&gt;Yo ya sé qué veré&lt;/a&gt;&lt;/li&gt;</t>
  </si>
  <si>
    <t>&lt;li data-author="Taizé" data-nnew="Q01"&gt;&lt;a href="canciones/taize/aber_du_weisst_den_weg_für_mich.html"&gt;Aber du weisst den Weg für mich&lt;/a&gt;&lt;/li&gt;</t>
  </si>
  <si>
    <t>&lt;li data-author="Taizé" data-nnew="Q03"&gt;&lt;a href="canciones/taize/ad_te_jesu_christe.html"&gt;Ad te Jesu Christe&lt;/a&gt;&lt;/li&gt;</t>
  </si>
  <si>
    <t>&lt;li data-author="Taizé" data-nnew="Q02"&gt;&lt;a href="canciones/taize/adoramus_te_o_christe.html"&gt;Adoramus te O Christe&lt;/a&gt;&lt;/li&gt;</t>
  </si>
  <si>
    <t>&lt;li data-author="Taizé" data-nnew="Q05"&gt;&lt;a href="canciones/taize/alleluia_11.html"&gt;Alleluia 11&lt;/a&gt;&lt;/li&gt;</t>
  </si>
  <si>
    <t>&lt;li data-author="Taizé" data-nnew="Q06"&gt;&lt;a href="canciones/taize/alleluia_17.html"&gt;Alleluia 17&lt;/a&gt;&lt;/li&gt;</t>
  </si>
  <si>
    <t>&lt;li data-author="Taizé" data-nnew="Q07"&gt;&lt;a href="canciones/taize/alleluia_22.html"&gt;Alleluia 22&lt;/a&gt;&lt;/li&gt;</t>
  </si>
  <si>
    <t>&lt;li data-author="Taizé" data-nnew="Q04"&gt;&lt;a href="canciones/taize/alleluia_7.html"&gt;Alleluia 7&lt;/a&gt;&lt;/li&gt;</t>
  </si>
  <si>
    <t>&lt;li data-author="Taizé" data-nnew="Q08"&gt;&lt;a href="canciones/taize/alleluia_94.html"&gt;Alleluia 94&lt;/a&gt;&lt;/li&gt;</t>
  </si>
  <si>
    <t>&lt;li data-author="Taizé" data-nnew="Q09"&gt;&lt;a href="canciones/taize/alleluia_96.html"&gt;Alleluia 96&lt;/a&gt;&lt;/li&gt;</t>
  </si>
  <si>
    <t>&lt;li data-author="Taizé" data-nnew="Q10"&gt;&lt;a href="canciones/taize/alleluia_97.html"&gt;Alleluia 97&lt;/a&gt;&lt;/li&gt;</t>
  </si>
  <si>
    <t>&lt;li data-author="Taizé" data-nnew="Q11"&gt;&lt;a href="canciones/taize/beati_voi_poveri.html"&gt;Beati voi poveri &lt;/a&gt;&lt;/li&gt;</t>
  </si>
  <si>
    <t>&lt;li data-author="Taizé" data-nnew="Q12"&gt;&lt;a href="canciones/taize/behüte_mich_gott.html"&gt;Behüte mich Gott &lt;/a&gt;&lt;/li&gt;</t>
  </si>
  <si>
    <t>&lt;li data-author="Taizé" data-nnew="Q13"&gt;&lt;a href="canciones/taize/benedictus_qui_venit_(canon).html"&gt;Benedictus qui venit (canon)&lt;/a&gt;&lt;/li&gt;</t>
  </si>
  <si>
    <t>&lt;li data-author="Taizé" data-nnew="Q15"&gt;&lt;a href="canciones/taize/benissez_le_seigneur.html"&gt;Bénissez le Seigneur&lt;/a&gt;&lt;/li&gt;</t>
  </si>
  <si>
    <t>&lt;li data-author="Taizé" data-nnew="Q14"&gt;&lt;a href="canciones/taize/bleibet_hier.html"&gt;Bleibet hier&lt;/a&gt;&lt;/li&gt;</t>
  </si>
  <si>
    <t>&lt;li data-author="Taizé" data-nnew="Q17"&gt;&lt;a href="canciones/taize/bless_the_lord.html"&gt;Bless the Lord &lt;/a&gt;&lt;/li&gt;</t>
  </si>
  <si>
    <t>&lt;li data-author="Taizé" data-nnew="Q16"&gt;&lt;a href="canciones/taize/bog_jest_miłością.html"&gt;Bóg jest miłością&lt;/a&gt;&lt;/li&gt;</t>
  </si>
  <si>
    <t>&lt;li data-author="Taizé" data-nnew="Q18"&gt;&lt;a href="canciones/taize/bogoroditse_dievo_1.html"&gt;Bogoroditse Dievo 1&lt;/a&gt;&lt;/li&gt;</t>
  </si>
  <si>
    <t>&lt;li data-author="Taizé" data-nnew="Q19"&gt;&lt;a href="canciones/taize/bonum_est_confidere.html"&gt;Bonum est confidere&lt;/a&gt;&lt;/li&gt;</t>
  </si>
  <si>
    <t>&lt;li data-author="Taizé" data-nnew="Q20"&gt;&lt;a href="canciones/taize/cantarei_ao_senhor.html"&gt;Cantarei ao Senhor&lt;/a&gt;&lt;/li&gt;</t>
  </si>
  <si>
    <t>&lt;li data-author="Taizé" data-nnew="Q22"&gt;&lt;a href="canciones/taize/cantate_domino_canticum_novum.html"&gt;Cantate Domino canticum novum&lt;/a&gt;&lt;/li&gt;</t>
  </si>
  <si>
    <t>&lt;li data-author="Taizé" data-nnew="Q23"&gt;&lt;a href="canciones/taize/christe_salvator.html"&gt;Christe Salvator &lt;/a&gt;&lt;/li&gt;</t>
  </si>
  <si>
    <t>&lt;li data-author="Taizé" data-nnew="Q24"&gt;&lt;a href="canciones/taize/confitemini_domino.html"&gt;Confitemini Domino&lt;/a&gt;&lt;/li&gt;</t>
  </si>
  <si>
    <t>&lt;li data-author="Taizé" data-nnew="Q25"&gt;&lt;a href="canciones/taize/crucem_tuam.html"&gt;Crucem tuam&lt;/a&gt;&lt;/li&gt;</t>
  </si>
  <si>
    <t>&lt;li data-author="Taizé" data-nnew="Q26"&gt;&lt;a href="canciones/taize/da_pacem_cordium_(canon).html"&gt;Da pacem cordium (canon)&lt;/a&gt;&lt;/li&gt;</t>
  </si>
  <si>
    <t>&lt;li data-author="Taizé" data-nnew="Q27"&gt;&lt;a href="canciones/taize/da_pacem..._in_diebus.html"&gt;Da pacem... in diebus&lt;/a&gt;&lt;/li&gt;</t>
  </si>
  <si>
    <t>&lt;li data-author="Taizé" data-nnew="Q28"&gt;&lt;a href="canciones/taize/dans_nos_obscurites.html"&gt;Dans nos obscurités&lt;/a&gt;&lt;/li&gt;</t>
  </si>
  <si>
    <t>&lt;li data-author="Taizé" data-nnew="Q29"&gt;&lt;a href="canciones/taize/de_noche.html"&gt;De noche&lt;/a&gt;&lt;/li&gt;</t>
  </si>
  <si>
    <t>&lt;li data-author="Taizé" data-nnew="Q30"&gt;&lt;a href="canciones/taize/despierta_tu_que_duermes.html"&gt;Despierta tú que duermes&lt;/a&gt;&lt;/li&gt;</t>
  </si>
  <si>
    <t>&lt;li data-author="Taizé" data-nnew="Q32"&gt;&lt;a href="canciones/taize/dieu_ne_peut_que_donner.html"&gt;Dieu ne peut que donner&lt;/a&gt;&lt;/li&gt;</t>
  </si>
  <si>
    <t>&lt;li data-author="Taizé" data-nnew="Q33"&gt;&lt;a href="canciones/taize/dominus_spiritus_est.html"&gt;Dominus spiritus est&lt;/a&gt;&lt;/li&gt;</t>
  </si>
  <si>
    <t>&lt;li data-author="Taizé" data-nnew="Q34"&gt;&lt;a href="canciones/taize/dona_la_pace.html"&gt;Dona la pace&lt;/a&gt;&lt;/li&gt;</t>
  </si>
  <si>
    <t>&lt;li data-author="Taizé" data-nnew="Q35"&gt;&lt;a href="canciones/taize/dona_nobis_pacem.html"&gt;Dona nobis pacem &lt;/a&gt;&lt;/li&gt;</t>
  </si>
  <si>
    <t>&lt;li data-author="Taizé" data-nnew="Q36"&gt;&lt;a href="canciones/taize/eat_this_bread.html"&gt;Eat this bread &lt;/a&gt;&lt;/li&gt;</t>
  </si>
  <si>
    <t>&lt;li data-author="Taizé" data-nnew="Q37"&gt;&lt;a href="canciones/taize/el_alma_que_anda_en_amor.html"&gt;El alma que anda en amor&lt;/a&gt;&lt;/li&gt;</t>
  </si>
  <si>
    <t>&lt;li data-author="Taizé" data-nnew="Q38"&gt;&lt;a href="canciones/taize/el_senyor.html"&gt;El Senyor&lt;/a&gt;&lt;/li&gt;</t>
  </si>
  <si>
    <t>&lt;li data-author="Taizé" data-nnew="Q39"&gt;&lt;a href="canciones/taize/esprit_consolateur.html"&gt;Esprit consolateur&lt;/a&gt;&lt;/li&gt;</t>
  </si>
  <si>
    <t>&lt;li data-author="Taizé" data-nnew="Q41"&gt;&lt;a href="canciones/taize/heureux_qui_s’abandonne_à_toi.html"&gt;Heureux qui s’abandonne à toi&lt;/a&gt;&lt;/li&gt;</t>
  </si>
  <si>
    <t>&lt;li data-author="Taizé" data-nnew="Q42"&gt;&lt;a href="canciones/taize/i_am_sure_i_shall_see.html"&gt;I am sure I shall see&lt;/a&gt;&lt;/li&gt;</t>
  </si>
  <si>
    <t>&lt;li data-author="Taizé" data-nnew="Q43"&gt;&lt;a href="canciones/taize/iedere_nacht_verlang_ik.html"&gt;Iedere nacht verlang ik&lt;/a&gt;&lt;/li&gt;</t>
  </si>
  <si>
    <t>&lt;li data-author="Taizé" data-nnew="Q44"&gt;&lt;a href="canciones/taize/il_signore_ti_ristora.html"&gt;Il Signore ti ristora&lt;/a&gt;&lt;/li&gt;</t>
  </si>
  <si>
    <t>&lt;li data-author="Taizé" data-nnew="Q45"&gt;&lt;a href="canciones/taize/in_manus_tuas.html"&gt;In manus tuas&lt;/a&gt;&lt;/li&gt;</t>
  </si>
  <si>
    <t>&lt;li data-author="Taizé" data-nnew="Q46"&gt;&lt;a href="canciones/taize/in_resurrectione_tua.html"&gt;In resurrectione tua&lt;/a&gt;&lt;/li&gt;</t>
  </si>
  <si>
    <t>&lt;li data-author="Taizé" data-nnew="Q36"&gt;&lt;a href="canciones/taize/eat_this_bread.html"&gt;Jesus Christ, bread of life&lt;/a&gt;&lt;/li&gt;</t>
  </si>
  <si>
    <t>&lt;li data-author="Taizé" data-nnew="Q47"&gt;&lt;a href="canciones/taize/jesus_le_christ.html"&gt;Jésus le Christ &lt;/a&gt;&lt;/li&gt;</t>
  </si>
  <si>
    <t>&lt;li data-author="Taizé" data-nnew="Q50"&gt;&lt;a href="canciones/taize/jubelt_und_freut_euch.html"&gt;Jubelt und freut euch&lt;/a&gt;&lt;/li&gt;</t>
  </si>
  <si>
    <t>&lt;li data-author="Taizé" data-nnew="Q52"&gt;&lt;a href="canciones/taize/jubilate_coeli_(canon).html"&gt;Jubilate coeli (canon)&lt;/a&gt;&lt;/li&gt;</t>
  </si>
  <si>
    <t>&lt;li data-author="Taizé" data-nnew="Q51"&gt;&lt;a href="canciones/taize/jubilate_deo.html"&gt;Jubilate Deo&lt;/a&gt;&lt;/li&gt;</t>
  </si>
  <si>
    <t>&lt;li data-author="Taizé" data-nnew="Q53"&gt;&lt;a href="canciones/taize/kyrie_1.html"&gt;Kyrie 1&lt;/a&gt;&lt;/li&gt;</t>
  </si>
  <si>
    <t>&lt;li data-author="Taizé" data-nnew="Q56"&gt;&lt;a href="canciones/taize/kyrie_20.html"&gt;Kyrie 20&lt;/a&gt;&lt;/li&gt;</t>
  </si>
  <si>
    <t>&lt;li data-author="Taizé" data-nnew="Q54"&gt;&lt;a href="canciones/taize/kyrie_6.html"&gt;Kyrie 6&lt;/a&gt;&lt;/li&gt;</t>
  </si>
  <si>
    <t>&lt;li data-author="Taizé" data-nnew="Q55"&gt;&lt;a href="canciones/taize/kyrie_8.html"&gt;Kyrie 8&lt;/a&gt;&lt;/li&gt;</t>
  </si>
  <si>
    <t>&lt;li data-author="Taizé" data-nnew="Q57"&gt;&lt;a href="canciones/taize/l’ajuda_em_vindrà.html"&gt;L’ajuda em vindrà&lt;/a&gt;&lt;/li&gt;</t>
  </si>
  <si>
    <t>&lt;li data-author="Taizé" data-nnew="Q58"&gt;&lt;a href="canciones/taize/laudate_dominum.html"&gt;Laudate Dominum &lt;/a&gt;&lt;/li&gt;</t>
  </si>
  <si>
    <t>&lt;li data-author="Taizé" data-nnew="Q59"&gt;&lt;a href="canciones/taize/laudate_omnes_gentes.html"&gt;Laudate omnes gentes&lt;/a&gt;&lt;/li&gt;</t>
  </si>
  <si>
    <t>&lt;li data-author="Taizé" data-nnew="Q60"&gt;&lt;a href="canciones/taize/let_all_who_are_thirsty_come.html"&gt;Let all who are thirsty come&lt;/a&gt;&lt;/li&gt;</t>
  </si>
  <si>
    <t>&lt;li data-author="Taizé" data-nnew="Q62"&gt;&lt;a href="canciones/taize/misericordias_domini.html"&gt;Misericordias Domini&lt;/a&gt;&lt;/li&gt;</t>
  </si>
  <si>
    <t>&lt;li data-author="Taizé" data-nold="173" data-nnew="Q63"&gt;&lt;a href="canciones/taize/nada_te_turbe.html"&gt;Nada te turbe&lt;/a&gt;&lt;/li&gt;</t>
  </si>
  <si>
    <t>&lt;li data-author="Taizé" data-nnew="Q64"&gt;&lt;a href="canciones/taize/nunc_dimittis.html"&gt;Nunc dimittis&lt;/a&gt;&lt;/li&gt;</t>
  </si>
  <si>
    <t>&lt;li data-author="Taizé" data-nnew="Q66"&gt;&lt;a href="canciones/taize/per_crucem.html"&gt;Per crucem&lt;/a&gt;&lt;/li&gt;</t>
  </si>
  <si>
    <t>&lt;li data-author="Taizé" data-nnew="Q67"&gt;&lt;a href="canciones/taize/psallite_deo.html"&gt;Psallite Deo&lt;/a&gt;&lt;/li&gt;</t>
  </si>
  <si>
    <t>&lt;li data-author="Taizé" data-nnew="Q68"&gt;&lt;a href="canciones/taize/sanasi_on_lamppu.html"&gt;Sanasi on lamppu &lt;/a&gt;&lt;/li&gt;</t>
  </si>
  <si>
    <t>&lt;li data-author="Taizé" data-nnew="Q69"&gt;&lt;a href="canciones/taize/señor_que_florezca_tu_justicia.html"&gt;Señor, que florezca tu justicia&lt;/a&gt;&lt;/li&gt;</t>
  </si>
  <si>
    <t>&lt;li data-author="Taizé" data-nnew="Q70"&gt;&lt;a href="canciones/taize/spiritus_jesu_christi.html"&gt;Spiritus Jesu Christi&lt;/a&gt;&lt;/li&gt;</t>
  </si>
  <si>
    <t>&lt;li data-author="Taizé" data-nnew="Q71"&gt;&lt;a href="canciones/taize/staňte_se_soli.html"&gt;Staňte se solí &lt;/a&gt;&lt;/li&gt;</t>
  </si>
  <si>
    <t>&lt;li data-author="Taizé" data-nnew="Q72"&gt;&lt;a href="canciones/taize/surrexit_christus.html"&gt;Surrexit Christus&lt;/a&gt;&lt;/li&gt;</t>
  </si>
  <si>
    <t>&lt;li data-author="Taizé" data-nnew="Q73"&gt;&lt;a href="canciones/taize/surrexit_dominus_vere_(canon).html"&gt;Surrexit Dominus vere (canon)&lt;/a&gt;&lt;/li&gt;</t>
  </si>
  <si>
    <t>&lt;li data-author="Taizé" data-nnew="Q74"&gt;&lt;a href="canciones/taize/the_kingdom_of_god.html"&gt;The kingdom of God&lt;/a&gt;&lt;/li&gt;</t>
  </si>
  <si>
    <t>&lt;li data-author="Taizé" data-nnew="Q76"&gt;&lt;a href="canciones/taize/tu_sei_sorgente_viva.html"&gt;Tu sei sorgente viva&lt;/a&gt;&lt;/li&gt;</t>
  </si>
  <si>
    <t>&lt;li data-author="Taizé" data-nnew="Q77"&gt;&lt;a href="canciones/taize/tui_amoris.html"&gt;Tui amoris&lt;/a&gt;&lt;/li&gt;</t>
  </si>
  <si>
    <t>&lt;li data-author="Taizé" data-nold="466" data-nnew="Q78"&gt;&lt;a href="canciones/taize/ubi_caritas.html"&gt;Ubi caritas&lt;/a&gt;&lt;/li&gt;</t>
  </si>
  <si>
    <t>&lt;li data-author="Taizé" data-nnew="Q79"&gt;&lt;a href="canciones/taize/v_tebi_je_izvir_življenja.html"&gt;V tebi je izvir življenja&lt;/a&gt;&lt;/li&gt;</t>
  </si>
  <si>
    <t>&lt;li data-author="Taizé" data-nnew="Q80"&gt;&lt;a href="canciones/taize/vieni_spirito_creatore_(canon).html"&gt;Vieni Spirito creatore (canon)&lt;/a&gt;&lt;/li&gt;</t>
  </si>
  <si>
    <t>&lt;li data-author="Taizé" data-nnew="Q81"&gt;&lt;a href="canciones/taize/voici_dieu_qui_vient_à_mon_secours.html"&gt;Voici Dieu qui vient à mon secours&lt;/a&gt;&lt;/li&gt;</t>
  </si>
  <si>
    <t>&lt;li data-author="Taizé" data-nnew="Q82"&gt;&lt;a href="canciones/taize/wysławiajcie_pana.html"&gt;Wysławiajcie Pana&lt;/a&gt;&lt;/li&gt;</t>
  </si>
  <si>
    <t>&lt;li data-author="Taizé" data-nnew="Q83"&gt;&lt;a href="canciones/taize/zu_wem_sollen_wir_gehen.html"&gt;Zu wem sollen wir gehen&lt;/a&gt;&lt;/li&gt;</t>
  </si>
  <si>
    <t>&lt;li data-author="Debbye Graafsma" data-momento="Elevación"&gt;&lt;a href="canciones/nuevas/al_que_está_sentado_en_el_trono_y_al_cordero.html"&gt;Al que está sentado en el trono y al Cordero&lt;/a&gt;&lt;/li&gt;</t>
  </si>
  <si>
    <t>&lt;li data-momento="Aleluya" data-nnew="E12"&gt;&lt;a href="canciones/nuevas/aleluya_cohen.html"&gt;Aleluya (Cohen)&lt;/a&gt;&lt;/li&gt;</t>
  </si>
  <si>
    <t>&lt;li data-author="RCCE" data-momento="Aleluya"&gt;&lt;a href="canciones/nuevas/aleluya_yo_creo_en_tu_amor.html"&gt;Aleluya, yo creo en tu amor&lt;/a&gt;&lt;/li&gt;</t>
  </si>
  <si>
    <t>&lt;li data-author="José Luis Reyes"&gt;&lt;a href="canciones/nuevas/algo_está_cayendo_aquí.html"&gt;Algo está cayendo aquí&lt;/a&gt;&lt;/li&gt;</t>
  </si>
  <si>
    <t>&lt;li&gt;&lt;a href="canciones/nuevas/alma_de_cristo.html"&gt;Alma de Cristo&lt;/a&gt;&lt;/li&gt;</t>
  </si>
  <si>
    <t>&lt;li data-author="Álvaro Fraile"&gt;&lt;a href="canciones/nuevas/contigo_me_la_juego.html"&gt;Contigo me la juego&lt;/a&gt;&lt;/li&gt;</t>
  </si>
  <si>
    <t>&lt;li data-author="La Anunciación y Luispo"&gt;&lt;a href="canciones/nuevas/dijiste_si.html"&gt;Dijiste sí&lt;/a&gt;&lt;/li&gt;</t>
  </si>
  <si>
    <t>&lt;li data-momento="Navidad"&gt;&lt;a href="canciones/nuevas/en_los_brazos_de_una_virgen.html"&gt;En los brazos de una Virgen&lt;/a&gt;&lt;/li&gt;</t>
  </si>
  <si>
    <t>&lt;li data-author="Jesús Adrián Romero" data-momento="Comunión"&gt;&lt;a href="canciones/nuevas/enamorame_de_ti.html"&gt;Enamórame de ti&lt;/a&gt;&lt;/li&gt;</t>
  </si>
  <si>
    <t>&lt;li data-author="Lili Zaidín"&gt;&lt;a href="canciones/nuevas/entra_en_el_corazón_de_dios.html"&gt;Entra en el corazón de Dios&lt;/a&gt;&lt;/li&gt;</t>
  </si>
  <si>
    <t>&lt;li data-momento="Virgen"&gt;&lt;a href="canciones/nuevas/es_maria_la_blanca_paloma.html"&gt;Es María la blanca paloma&lt;/a&gt;&lt;/li&gt;</t>
  </si>
  <si>
    <t>&lt;li data-author="Salomé Arricibita" data-momento="Comunión"&gt;&lt;a href="canciones/nuevas/estas_aqui_jesus.html"&gt;Estás aquí, Jesús&lt;/a&gt;&lt;/li&gt;</t>
  </si>
  <si>
    <t>&lt;li data-author="Carmelo Erdozáin" data-momento="Ofertorio"&gt;&lt;a href="canciones/carmelo_erdozain/este_pan_y_vino.html"&gt;Este pan y vino&lt;/a&gt;&lt;/li&gt;</t>
  </si>
  <si>
    <t>&lt;li data-author="Canto popular hebreo" data-momento="Paz"&gt;&lt;a href="canciones/nuevas/evenu_shalom_alejem.html"&gt;Evenu shalom alejem&lt;/a&gt;&lt;/li&gt;</t>
  </si>
  <si>
    <t>&lt;li data-author="Coro Sagrada Familia"&gt;&lt;a href="canciones/nuevas/haz_de_tu_casa_un_nazaret.html"&gt;Haz de tu casa un Nazaret&lt;/a&gt;&lt;/li&gt;</t>
  </si>
  <si>
    <t>&lt;li data-author="Steve Merkel" data-momento="Ofertorio"&gt;&lt;a href="canciones/nuevas/mas_de_ti_menos_de_mi.html"&gt;Más de ti, menos de mi&lt;/a&gt;&lt;/li&gt;</t>
  </si>
  <si>
    <t>&lt;li data-author="Chema"&gt;&lt;a href="canciones/nuevas/sálvame.html"&gt;Sálvame&lt;/a&gt;&lt;/li&gt;</t>
  </si>
  <si>
    <t>&lt;li data-author="Bruno Conte y Carlos Ferrante"&gt;&lt;a href="canciones/nuevas/shalom_te_doy_la_paz.html"&gt;Shalom, te doy la paz&lt;/a&gt;&lt;/li&gt;</t>
  </si>
  <si>
    <t>&lt;li data-author="Claudio Freidzon"&gt;&lt;a href="canciones/nuevas/te_doy_mi_corazon.html"&gt;Te doy mi corazón &lt;/a&gt;&lt;/li&gt;</t>
  </si>
  <si>
    <t>&lt;li data-author="Athenas"&gt;&lt;a href="canciones/nuevas/todo_es_tuyo.html"&gt;Todo es tuyo&lt;/a&gt;&lt;/li&gt;</t>
  </si>
  <si>
    <t>&lt;li data-momento="Navidad"&gt;&lt;a href="canciones/nuevas/vamos_amigos.html"&gt;Vamos, amigos&lt;/a&gt;&lt;/li&gt;</t>
  </si>
  <si>
    <t>&lt;li data-momento="Navidad" data-nnew="O02"&gt;&lt;a href="canciones/villancicos/alegria_alegria_alegria.html"&gt;Alegría, alegría, alegría&lt;/a&gt;&lt;/li&gt;</t>
  </si>
  <si>
    <t>&lt;li data-momento="Navidad" data-nnew="O03"&gt;&lt;a href="canciones/villancicos/ay_del_chiquirritin.html"&gt;Ay, del chiquirritín&lt;/a&gt;&lt;/li&gt;</t>
  </si>
  <si>
    <t>&lt;li data-momento="Navidad" data-nold="40" data-nnew="O04"&gt;&lt;a href="canciones/villancicos/campana_sobre_campana.html"&gt;Campana sobre campana&lt;/a&gt;&lt;/li&gt;</t>
  </si>
  <si>
    <t>&lt;li data-momento="Navidad" data-nold="86" data-nnew="O06"&gt;&lt;a href="canciones/villancicos/dime_niño.html"&gt;Dime, niño&lt;/a&gt;&lt;/li&gt;</t>
  </si>
  <si>
    <t>&lt;li data-momento="Navidad" data-nold="104" data-nnew="O09"&gt;&lt;a href="canciones/villancicos/el_tamborilero.html"&gt;El tamborilero&lt;/a&gt;&lt;/li&gt;</t>
  </si>
  <si>
    <t>&lt;li data-momento="Navidad" data-nold="-" data-nnew="-"&gt;&lt;a href="canciones/villancicos/la_mula.html"&gt;La mula&lt;/a&gt;&lt;/li&gt;</t>
  </si>
  <si>
    <t>&lt;li data-momento="Navidad" data-nnew="O12"&gt;&lt;a href="canciones/villancicos/nace_el_niño_en_un_portal.html"&gt;Nace el niño en un portal&lt;/a&gt;&lt;/li&gt;</t>
  </si>
  <si>
    <t>&lt;li data-momento="Navidad" data-nnew="O15"&gt;&lt;a href="canciones/villancicos/noche_de_paz.html"&gt;Noche de paz&lt;/a&gt;&lt;/li&gt;</t>
  </si>
  <si>
    <t>&lt;li data-momento="Navidad" data-nnew="O16"&gt;&lt;a href="canciones/villancicos/nunca_suenan_las_campanas.html"&gt;Nunca suenan las campanas&lt;/a&gt;&lt;/li&gt;</t>
  </si>
  <si>
    <t>&lt;li data-momento="Navidad" data-nnew="O17"&gt;&lt;a href="canciones/villancicos/pastores_venid.html"&gt;Pastores, venid&lt;/a&gt;&lt;/li&gt;</t>
  </si>
  <si>
    <t>&lt;li data-momento="Navidad" data-nold="289" data-nnew="O19"&gt;&lt;a href="canciones/villancicos/adeste_fideles.html"&gt;Venid, fieles todos (Adeste fideles)&lt;/a&gt;&lt;/li&gt;</t>
  </si>
  <si>
    <t>&lt;li data-momento="Navidad" data-nnew="O20"&gt;&lt;a href="canciones/villancicos/ya_vienen_los_reyes_magos.html"&gt;Ya vienen los Reyes Magos&lt;/a&gt;&lt;/li&gt;</t>
  </si>
  <si>
    <t>&lt;li data-author="Kairoi"&gt;&lt;a href="canciones/kairoi/a_las_tres_de_la_tarde.html"&gt;A las tres de la tarde&lt;/a&gt;&lt;/li&gt;</t>
  </si>
  <si>
    <t>&lt;li data-author="Kairoi"&gt;&lt;a href="canciones/kairoi/a_tu_lado_señor.html"&gt;A tu lado, Señor&lt;/a&gt;&lt;/li&gt;</t>
  </si>
  <si>
    <t>&lt;li data-author="Kairoi"&gt;&lt;a href="canciones/kairoi/acogeme_dios.html"&gt;Acógeme, Dios&lt;/a&gt;&lt;/li&gt;</t>
  </si>
  <si>
    <t>&lt;li data-author="Kairoi"&gt;&lt;a href="canciones/kairoi/acuerdate_maria.html"&gt;Acuérdate María&lt;/a&gt;&lt;/li&gt;</t>
  </si>
  <si>
    <t>&lt;li data-author="Kairoi"&gt;&lt;a href="canciones/kairoi/aleluya.html"&gt;Aleluya&lt;/a&gt;&lt;/li&gt;</t>
  </si>
  <si>
    <t>&lt;li data-author="Kairoi"&gt;&lt;a href="canciones/kairoi/alli_estas_tu.html"&gt;Allí estás tú&lt;/a&gt;&lt;/li&gt;</t>
  </si>
  <si>
    <t>&lt;li data-author="Kairoi"&gt;&lt;a href="canciones/kairoi/angelus.html"&gt;Angelus&lt;/a&gt;&lt;/li&gt;</t>
  </si>
  <si>
    <t>&lt;li data-author="Kairoi"&gt;&lt;a href="canciones/kairoi/arcilla_entre_sus_manos.html"&gt;Arcilla entre sus manos&lt;/a&gt;&lt;/li&gt;</t>
  </si>
  <si>
    <t>&lt;li data-author="Kairoi"&gt;&lt;a href="canciones/kairoi/ave_maria.html"&gt;Ave María&lt;/a&gt;&lt;/li&gt;</t>
  </si>
  <si>
    <t>&lt;li data-author="Kairoi"&gt;&lt;a href="canciones/kairoi/buena_madre.html"&gt;Buena Madre&lt;/a&gt;&lt;/li&gt;</t>
  </si>
  <si>
    <t>&lt;li data-author="Kairoi"&gt;&lt;a href="canciones/kairoi/caminad.html"&gt;Caminad&lt;/a&gt;&lt;/li&gt;</t>
  </si>
  <si>
    <t>&lt;li data-author="Kairoi"&gt;&lt;a href="canciones/kairoi/canta_jerusalen.html"&gt;Canta Jerusalén&lt;/a&gt;&lt;/li&gt;</t>
  </si>
  <si>
    <t>&lt;li data-author="Kairoi"&gt;&lt;a href="canciones/kairoi/cantico_de_las_criaturas.html"&gt;Cántico de las criaturas&lt;/a&gt;&lt;/li&gt;</t>
  </si>
  <si>
    <t>&lt;li data-author="Kairoi"&gt;&lt;a href="canciones/kairoi/canto_de_maria.html"&gt;Canto de María&lt;/a&gt;&lt;/li&gt;</t>
  </si>
  <si>
    <t>&lt;li data-author="Kairoi"&gt;&lt;a href="canciones/kairoi/como_maria.html"&gt;Como María&lt;/a&gt;&lt;/li&gt;</t>
  </si>
  <si>
    <t>&lt;li data-author="Kairoi"&gt;&lt;a href="canciones/kairoi/con_sencillo_corazon.html"&gt;Con sencillo corazón&lt;/a&gt;&lt;/li&gt;</t>
  </si>
  <si>
    <t>&lt;li data-author="Kairoi"&gt;&lt;a href="canciones/kairoi/confianza_en_dios.html"&gt;Confianza en Dios&lt;/a&gt;&lt;/li&gt;</t>
  </si>
  <si>
    <t>&lt;li data-author="Kairoi"&gt;&lt;a href="canciones/kairoi/construyenos_la_casa.html"&gt;Constrúyenos la casa&lt;/a&gt;&lt;/li&gt;</t>
  </si>
  <si>
    <t>&lt;li data-author="Kairoi"&gt;&lt;a href="canciones/kairoi/conviviendo_en_armonia.html"&gt;Conviviendo en armonía&lt;/a&gt;&lt;/li&gt;</t>
  </si>
  <si>
    <t>&lt;li data-author="Kairoi"&gt;&lt;a href="canciones/kairoi/corto_la_roca.html"&gt;Cortó la roca&lt;/a&gt;&lt;/li&gt;</t>
  </si>
  <si>
    <t>&lt;li data-author="Kairoi"&gt;&lt;a href="canciones/kairoi/credo.html"&gt;Credo&lt;/a&gt;&lt;/li&gt;</t>
  </si>
  <si>
    <t>&lt;li data-author="Kairoi"&gt;&lt;a href="canciones/kairoi/creo_en_ti.html"&gt;Creo en ti&lt;/a&gt;&lt;/li&gt;</t>
  </si>
  <si>
    <t>&lt;li data-author="Kairoi"&gt;&lt;a href="canciones/kairoi/cristo.html"&gt;Cristo&lt;/a&gt;&lt;/li&gt;</t>
  </si>
  <si>
    <t>&lt;li data-author="Kairoi"&gt;&lt;a href="canciones/kairoi/cristo_señor.html"&gt;Cristo, Señor&lt;/a&gt;&lt;/li&gt;</t>
  </si>
  <si>
    <t>&lt;li data-author="Kairoi"&gt;&lt;a href="canciones/kairoi/danos_tu_espiritu.html"&gt;Danos tu espíritu&lt;/a&gt;&lt;/li&gt;</t>
  </si>
  <si>
    <t>&lt;li data-author="Kairoi"&gt;&lt;a href="canciones/kairoi/de_lo_debil_saca_fuerzas_dios.html"&gt;De lo débil saca fuerzas Dios&lt;/a&gt;&lt;/li&gt;</t>
  </si>
  <si>
    <t>&lt;li data-author="Kairoi"&gt;&lt;a href="canciones/kairoi/deja_que_en_tu_vida_cante_el.html"&gt;Deja que en tu vida cante Él&lt;/a&gt;&lt;/li&gt;</t>
  </si>
  <si>
    <t>&lt;li data-author="Kairoi"&gt;&lt;a href="canciones/kairoi/dios_de_la_vida.html"&gt;Dios de la vida&lt;/a&gt;&lt;/li&gt;</t>
  </si>
  <si>
    <t>&lt;li data-author="Kairoi"&gt;&lt;a href="canciones/kairoi/dios_en_la_ciudad.html"&gt;Dios en la ciudad&lt;/a&gt;&lt;/li&gt;</t>
  </si>
  <si>
    <t>&lt;li data-author="Kairoi"&gt;&lt;a href="canciones/kairoi/el_agua_del_señor.html"&gt;El agua del Señor&lt;/a&gt;&lt;/li&gt;</t>
  </si>
  <si>
    <t>&lt;li data-author="Kairoi"&gt;&lt;a href="canciones/kairoi/el_don_de_la_fraternidad.html"&gt;El don de la fraternidad&lt;/a&gt;&lt;/li&gt;</t>
  </si>
  <si>
    <t>&lt;li data-author="Kairoi"&gt;&lt;a href="canciones/kairoi/el_señor_es_la_esperanza.html"&gt;El Señor es la esperanza&lt;/a&gt;&lt;/li&gt;</t>
  </si>
  <si>
    <t>&lt;li data-author="Kairoi"&gt;&lt;a href="canciones/kairoi/el_señor_esta_aqui.html"&gt;El Señor está aquí&lt;/a&gt;&lt;/li&gt;</t>
  </si>
  <si>
    <t>&lt;li data-author="Kairoi"&gt;&lt;a href="canciones/kairoi/en_comunidad.html"&gt;En comunidad&lt;/a&gt;&lt;/li&gt;</t>
  </si>
  <si>
    <t>&lt;li data-author="Kairoi"&gt;&lt;a href="canciones/kairoi/en_la_cruz_nos_das_la_vida.html"&gt;En la cruz nos das la vida&lt;/a&gt;&lt;/li&gt;</t>
  </si>
  <si>
    <t>&lt;li data-author="Kairoi"&gt;&lt;a href="canciones/kairoi/en_la_esperanza_madre.html"&gt;En la esperanza, Madre&lt;/a&gt;&lt;/li&gt;</t>
  </si>
  <si>
    <t>&lt;li data-author="Kairoi"&gt;&lt;a href="canciones/kairoi/en_ti_solo_descanso.html"&gt;En ti solo descanso&lt;/a&gt;&lt;/li&gt;</t>
  </si>
  <si>
    <t>&lt;li data-author="Kairoi"&gt;&lt;a href="canciones/kairoi/en_torno_al_pan.html"&gt;En torno al pan&lt;/a&gt;&lt;/li&gt;</t>
  </si>
  <si>
    <t>&lt;li data-author="Kairoi"&gt;&lt;a href="canciones/kairoi/en_tu_cruz_sigues_hoy.html"&gt;En tu cruz sigues hoy&lt;/a&gt;&lt;/li&gt;</t>
  </si>
  <si>
    <t>&lt;li data-author="Kairoi"&gt;&lt;a href="canciones/kairoi/enseñanos_a_orar.html"&gt;Enséñanos a orar&lt;/a&gt;&lt;/li&gt;</t>
  </si>
  <si>
    <t>&lt;li data-author="Kairoi"&gt;&lt;a href="canciones/kairoi/escucha_maria.html"&gt;Escucha María&lt;/a&gt;&lt;/li&gt;</t>
  </si>
  <si>
    <t>&lt;li data-author="Kairoi"&gt;&lt;a href="canciones/kairoi/esperad_al_señor.html"&gt;Esperad al Señor&lt;/a&gt;&lt;/li&gt;</t>
  </si>
  <si>
    <t>&lt;li data-author="Kairoi"&gt;&lt;a href="canciones/kairoi/esperando_con_maria.html"&gt;Esperando con María&lt;/a&gt;&lt;/li&gt;</t>
  </si>
  <si>
    <t>&lt;li data-author="Kairoi"&gt;&lt;a href="canciones/kairoi/estoy_creyendo_en_ti_(credo).html"&gt;Estoy creyendo en ti (credo)&lt;/a&gt;&lt;/li&gt;</t>
  </si>
  <si>
    <t>&lt;li data-author="Kairoi"&gt;&lt;a href="canciones/kairoi/fraternidad.html"&gt;Fraternidad&lt;/a&gt;&lt;/li&gt;</t>
  </si>
  <si>
    <t>&lt;li data-author="Kairoi"&gt;&lt;a href="canciones/kairoi/gloria_(por_maria).html"&gt;Gloria (por María)&lt;/a&gt;&lt;/li&gt;</t>
  </si>
  <si>
    <t>&lt;li data-author="Kairoi"&gt;&lt;a href="canciones/kairoi/gloria.html"&gt;Gloria&lt;/a&gt;&lt;/li&gt;</t>
  </si>
  <si>
    <t>&lt;li data-author="Kairoi"&gt;&lt;a href="canciones/kairoi/gracias_madre.html"&gt;Gracias Madre&lt;/a&gt;&lt;/li&gt;</t>
  </si>
  <si>
    <t>&lt;li data-author="Kairoi"&gt;&lt;a href="canciones/kairoi/gracias_por_tu_don.html"&gt;Gracias por tu don&lt;/a&gt;&lt;/li&gt;</t>
  </si>
  <si>
    <t>&lt;li data-author="Kairoi"&gt;&lt;a href="canciones/kairoi/grito_libertad.html"&gt;Grito libertad&lt;/a&gt;&lt;/li&gt;</t>
  </si>
  <si>
    <t>&lt;li data-author="Kairoi"&gt;&lt;a href="canciones/kairoi/haced_lo_que_el_os_diga.html"&gt;Haced lo que Él os diga&lt;/a&gt;&lt;/li&gt;</t>
  </si>
  <si>
    <t>&lt;li data-author="Kairoi"&gt;&lt;a href="canciones/kairoi/hermano_entre_los_hombres.html"&gt;Hermano entre los hombres&lt;/a&gt;&lt;/li&gt;</t>
  </si>
  <si>
    <t>&lt;li data-author="Kairoi"&gt;&lt;a href="canciones/kairoi/hermano_adios.html"&gt;Hermano, adiós&lt;/a&gt;&lt;/li&gt;</t>
  </si>
  <si>
    <t>&lt;li data-author="Kairoi"&gt;&lt;a href="canciones/kairoi/himno_a_dios.html"&gt;Himno a Dios&lt;/a&gt;&lt;/li&gt;</t>
  </si>
  <si>
    <t>&lt;li data-author="Kairoi"&gt;&lt;a href="canciones/kairoi/jesus_es_verdad.html"&gt;Jesús es verdad&lt;/a&gt;&lt;/li&gt;</t>
  </si>
  <si>
    <t>&lt;li data-author="Kairoi"&gt;&lt;a href="canciones/kairoi/jesus_te_ama.html"&gt;Jesús te ama&lt;/a&gt;&lt;/li&gt;</t>
  </si>
  <si>
    <t>&lt;li data-author="Kairoi"&gt;&lt;a href="canciones/kairoi/jesus_cambianos.html"&gt;Jesús, cámbianos&lt;/a&gt;&lt;/li&gt;</t>
  </si>
  <si>
    <t>&lt;li data-author="Kairoi"&gt;&lt;a href="canciones/kairoi/la_libertad_del_espiritu.html"&gt;La libertad del Espíritu&lt;/a&gt;&lt;/li&gt;</t>
  </si>
  <si>
    <t>&lt;li data-author="Kairoi"&gt;&lt;a href="canciones/kairoi/llama_de_vida.html"&gt;Llama de vida&lt;/a&gt;&lt;/li&gt;</t>
  </si>
  <si>
    <t>&lt;li data-author="Kairoi"&gt;&lt;a href="canciones/kairoi/lo_entregaron_todo.html"&gt;Lo entregaron todo&lt;/a&gt;&lt;/li&gt;</t>
  </si>
  <si>
    <t>&lt;li data-author="Kairoi"&gt;&lt;a href="canciones/kairoi/madre_de_los_hijos_pobres.html"&gt;Madre de los hijos pobres&lt;/a&gt;&lt;/li&gt;</t>
  </si>
  <si>
    <t>&lt;li data-author="Kairoi"&gt;&lt;a href="canciones/kairoi/magnificat.html"&gt;Magnificat&lt;/a&gt;&lt;/li&gt;</t>
  </si>
  <si>
    <t>&lt;li data-author="Kairoi"&gt;&lt;a href="canciones/kairoi/mantas_de_carton.html"&gt;Mantas de cartón&lt;/a&gt;&lt;/li&gt;</t>
  </si>
  <si>
    <t>&lt;li data-author="Kairoi"&gt;&lt;a href="canciones/kairoi/maria_madre_del_dolor.html"&gt;María, madre del dolor&lt;/a&gt;&lt;/li&gt;</t>
  </si>
  <si>
    <t>&lt;li data-author="Kairoi"&gt;&lt;a href="canciones/kairoi/me_estas_llamando.html"&gt;Me estás llamando&lt;/a&gt;&lt;/li&gt;</t>
  </si>
  <si>
    <t>&lt;li data-author="Kairoi"&gt;&lt;a href="canciones/kairoi/me_has_seducido_señor.html"&gt;Me has seducido, Señor&lt;/a&gt;&lt;/li&gt;</t>
  </si>
  <si>
    <t>&lt;li data-author="Kairoi"&gt;&lt;a href="canciones/kairoi/nacidos_de_la_cruz.html"&gt;Nacidos de la cruz&lt;/a&gt;&lt;/li&gt;</t>
  </si>
  <si>
    <t>&lt;li data-author="Kairoi"&gt;&lt;a href="canciones/kairoi/nacidos_de_mujer.html"&gt;Nacidos de mujer&lt;/a&gt;&lt;/li&gt;</t>
  </si>
  <si>
    <t>&lt;li data-author="Kairoi"&gt;&lt;a href="canciones/kairoi/niño.html"&gt;Niño&lt;/a&gt;&lt;/li&gt;</t>
  </si>
  <si>
    <t>&lt;li data-author="Kairoi"&gt;&lt;a href="canciones/kairoi/no_durmais.html"&gt;No durmáis&lt;/a&gt;&lt;/li&gt;</t>
  </si>
  <si>
    <t>&lt;li data-author="Kairoi"&gt;&lt;a href="canciones/kairoi/no_es_facil.html"&gt;No es fácil&lt;/a&gt;&lt;/li&gt;</t>
  </si>
  <si>
    <t>&lt;li data-author="Kairoi"&gt;&lt;a href="canciones/kairoi/no_temais.html"&gt;No temáis&lt;/a&gt;&lt;/li&gt;</t>
  </si>
  <si>
    <t>&lt;li data-author="Kairoi"&gt;&lt;a href="canciones/kairoi/nos_marca_el_caminar.html"&gt;Nos marca el caminar&lt;/a&gt;&lt;/li&gt;</t>
  </si>
  <si>
    <t>&lt;li data-author="Kairoi"&gt;&lt;a href="canciones/kairoi/nuestra_buena_madre.html"&gt;Nuestra buena madre&lt;/a&gt;&lt;/li&gt;</t>
  </si>
  <si>
    <t>&lt;li data-author="Kairoi"&gt;&lt;a href="canciones/kairoi/padre_de_las_misericordias.html"&gt;Padre de las misericordias&lt;/a&gt;&lt;/li&gt;</t>
  </si>
  <si>
    <t>&lt;li data-author="Kairoi"&gt;&lt;a href="canciones/kairoi/padre_me_pongo_en_tus_manos.html"&gt;Padre, me pongo en tus manos&lt;/a&gt;&lt;/li&gt;</t>
  </si>
  <si>
    <t>&lt;li data-author="Kairoi"&gt;&lt;a href="canciones/kairoi/pequeño_corazon.html"&gt;Pequeño corazón&lt;/a&gt;&lt;/li&gt;</t>
  </si>
  <si>
    <t>&lt;li data-author="Kairoi"&gt;&lt;a href="canciones/kairoi/pregon_pascual_(aleluya).html"&gt;Pregón Pascual (Aleluya)&lt;/a&gt;&lt;/li&gt;</t>
  </si>
  <si>
    <t>&lt;li data-author="Kairoi"&gt;&lt;a href="canciones/kairoi/quedate_aqui_señor.html"&gt;Quédate aquí, Señor&lt;/a&gt;&lt;/li&gt;</t>
  </si>
  <si>
    <t>&lt;li data-author="Kairoi"&gt;&lt;a href="canciones/kairoi/quejate_si_puedes.html"&gt;Quéjate si puedes&lt;/a&gt;&lt;/li&gt;</t>
  </si>
  <si>
    <t>&lt;li data-author="Kairoi"&gt;&lt;a href="canciones/kairoi/rezar_no_es_otra_cosa.html"&gt;Rezar no es otra cosa&lt;/a&gt;&lt;/li&gt;</t>
  </si>
  <si>
    <t>&lt;li data-author="Kairoi"&gt;&lt;a href="canciones/kairoi/seguir_amando.html"&gt;Seguir amando&lt;/a&gt;&lt;/li&gt;</t>
  </si>
  <si>
    <t>&lt;li data-author="Kairoi"&gt;&lt;a href="canciones/kairoi/señor_dios_me_tienes_ante_ti.html"&gt;Señor Dios, me tienes ante ti&lt;/a&gt;&lt;/li&gt;</t>
  </si>
  <si>
    <t>&lt;li data-author="Kairoi"&gt;&lt;a href="canciones/kairoi/señor_yo_no_soy_digno.html"&gt;Señor, yo no soy digno&lt;/a&gt;&lt;/li&gt;</t>
  </si>
  <si>
    <t>&lt;li data-author="Kairoi"&gt;&lt;a href="canciones/kairoi/si_jesus.html"&gt;Sí, Jesús&lt;/a&gt;&lt;/li&gt;</t>
  </si>
  <si>
    <t>&lt;li data-author="Kairoi"&gt;&lt;a href="canciones/kairoi/siento_tu_llamada.html"&gt;Siento tu llamada&lt;/a&gt;&lt;/li&gt;</t>
  </si>
  <si>
    <t>&lt;li data-author="Kairoi"&gt;&lt;a href="canciones/kairoi/somos_cancion.html"&gt;Somos canción&lt;/a&gt;&lt;/li&gt;</t>
  </si>
  <si>
    <t>&lt;li data-author="Kairoi"&gt;&lt;a href="canciones/kairoi/somos_testigos.html"&gt;Somos testigos&lt;/a&gt;&lt;/li&gt;</t>
  </si>
  <si>
    <t>&lt;li data-author="Kairoi"&gt;&lt;a href="canciones/kairoi/somos_una_familia.html"&gt;Somos una familia&lt;/a&gt;&lt;/li&gt;</t>
  </si>
  <si>
    <t>&lt;li data-author="Kairoi"&gt;&lt;a href="canciones/kairoi/soñar_un_mundo_mas_feliz.html"&gt;Soñar un mundo más feliz&lt;/a&gt;&lt;/li&gt;</t>
  </si>
  <si>
    <t>&lt;li data-author="Kairoi"&gt;&lt;a href="canciones/kairoi/soy_mujer.html"&gt;Soy mujer&lt;/a&gt;&lt;/li&gt;</t>
  </si>
  <si>
    <t>&lt;li data-author="Kairoi"&gt;&lt;a href="canciones/kairoi/sueña.html"&gt;Sueña&lt;/a&gt;&lt;/li&gt;</t>
  </si>
  <si>
    <t>&lt;li data-author="Kairoi"&gt;&lt;a href="canciones/kairoi/te_agradezco.html"&gt;Te agradezco&lt;/a&gt;&lt;/li&gt;</t>
  </si>
  <si>
    <t>&lt;li data-author="Kairoi"&gt;&lt;a href="canciones/kairoi/te_alabo_señor.html"&gt;Te alabo, Señor&lt;/a&gt;&lt;/li&gt;</t>
  </si>
  <si>
    <t>&lt;li data-author="Kairoi"&gt;&lt;a href="canciones/kairoi/te_reclamaran_la_vida.html"&gt;Te reclamarán la vida&lt;/a&gt;&lt;/li&gt;</t>
  </si>
  <si>
    <t>&lt;li data-author="Kairoi"&gt;&lt;a href="canciones/kairoi/te_seguire.html"&gt;Te seguiré&lt;/a&gt;&lt;/li&gt;</t>
  </si>
  <si>
    <t>&lt;li data-author="Kairoi"&gt;&lt;a href="canciones/kairoi/ten_piedad_de_mi.html"&gt;Ten piedad de mí&lt;/a&gt;&lt;/li&gt;</t>
  </si>
  <si>
    <t>&lt;li data-author="Kairoi"&gt;&lt;a href="canciones/kairoi/tocare_para_ti.html"&gt;Tocaré para ti&lt;/a&gt;&lt;/li&gt;</t>
  </si>
  <si>
    <t>&lt;li data-author="Kairoi"&gt;&lt;a href="canciones/kairoi/tu_camino_y_tu_verdad.html"&gt;Tu camino y tu verdad&lt;/a&gt;&lt;/li&gt;</t>
  </si>
  <si>
    <t>&lt;li data-author="Kairoi"&gt;&lt;a href="canciones/kairoi/tu_eres_del_señor.html"&gt;Tú eres del Señor&lt;/a&gt;&lt;/li&gt;</t>
  </si>
  <si>
    <t>&lt;li data-author="Kairoi"&gt;&lt;a href="canciones/kairoi/tu_eres_maria.html"&gt;Tú eres María&lt;/a&gt;&lt;/li&gt;</t>
  </si>
  <si>
    <t>&lt;li data-author="Kairoi"&gt;&lt;a href="canciones/kairoi/tu_estas_cerca.html"&gt;Tú estás cerca&lt;/a&gt;&lt;/li&gt;</t>
  </si>
  <si>
    <t>&lt;li data-author="Kairoi"&gt;&lt;a href="canciones/kairoi/tu_llamada.html"&gt;Tu llamada&lt;/a&gt;&lt;/li&gt;</t>
  </si>
  <si>
    <t>&lt;li data-author="Kairoi"&gt;&lt;a href="canciones/kairoi/tu_me_sondeas.html"&gt;Tú me sondeas&lt;/a&gt;&lt;/li&gt;</t>
  </si>
  <si>
    <t>&lt;li data-author="Kairoi"&gt;&lt;a href="canciones/kairoi/tu_seras_mi_hermano.html"&gt;Tú serás mi hermano&lt;/a&gt;&lt;/li&gt;</t>
  </si>
  <si>
    <t>&lt;li data-author="Kairoi"&gt;&lt;a href="canciones/kairoi/tu_jesus.html"&gt;Tú, Jesús&lt;/a&gt;&lt;/li&gt;</t>
  </si>
  <si>
    <t>&lt;li data-author="Kairoi"&gt;&lt;a href="canciones/kairoi/tu_señor.html"&gt;Tú, Señor&lt;/a&gt;&lt;/li&gt;</t>
  </si>
  <si>
    <t>&lt;li data-author="Kairoi"&gt;&lt;a href="canciones/kairoi/un_solo_corazon.html"&gt;Un solo corazón&lt;/a&gt;&lt;/li&gt;</t>
  </si>
  <si>
    <t>&lt;li data-author="Kairoi"&gt;&lt;a href="canciones/kairoi/una_vida.html"&gt;Una vida&lt;/a&gt;&lt;/li&gt;</t>
  </si>
  <si>
    <t>&lt;li data-author="Kairoi"&gt;&lt;a href="canciones/kairoi/una_vida_que_busca_libertad.html"&gt;Una vida que busca libertad&lt;/a&gt;&lt;/li&gt;</t>
  </si>
  <si>
    <t>&lt;li data-author="Kairoi"&gt;&lt;a href="canciones/kairoi/vale_mas_hablar_con_dios.html"&gt;Vale más hablar con Dios&lt;/a&gt;&lt;/li&gt;</t>
  </si>
  <si>
    <t>&lt;li data-author="Kairoi"&gt;&lt;a href="canciones/kairoi/vamos_hacia_ti_(gloria_a_dios).html"&gt;Vamos hacia ti (gloria a Dios)&lt;/a&gt;&lt;/li&gt;</t>
  </si>
  <si>
    <t>&lt;li data-author="Kairoi"&gt;&lt;a href="canciones/kairoi/ven_señor_jesus.html"&gt;Ven, Señor Jesús&lt;/a&gt;&lt;/li&gt;</t>
  </si>
  <si>
    <t>&lt;li data-author="Kairoi"&gt;&lt;a href="canciones/kairoi/venga_tu_reino.html"&gt;Venga tu reino&lt;/a&gt;&lt;/li&gt;</t>
  </si>
  <si>
    <t>&lt;li data-author="Kairoi"&gt;&lt;a href="canciones/kairoi/vino_nuevo.html"&gt;Vino nuevo&lt;/a&gt;&lt;/li&gt;</t>
  </si>
  <si>
    <t>&lt;li data-author="Kairoi"&gt;&lt;a href="canciones/kairoi/y_se_vive_la_vida.html"&gt;Y se vive la vida&lt;/a&gt;&lt;/li&gt;</t>
  </si>
  <si>
    <t>&lt;li data-author="Kairoi"&gt;&lt;a href="canciones/kairoi/ya_no_te_queda_tiempo.html"&gt;Ya no te queda tiempo&lt;/a&gt;&lt;/li&gt;</t>
  </si>
  <si>
    <t>&lt;li data-author="Ain Karem"&gt;&lt;a href="canciones/ain_karem/a_ti.html"&gt;A Ti&lt;/a&gt;&lt;/li&gt;</t>
  </si>
  <si>
    <t>&lt;li data-author="Ain Karem"&gt;&lt;a href="canciones/ain_karem/a_toda_la_tierra_alcanza_su_pregon.html"&gt;A toda la tierra alcanza su pregón&lt;/a&gt;&lt;/li&gt;</t>
  </si>
  <si>
    <t>&lt;li data-author="Ain Karem"&gt;&lt;a href="canciones/ain_karem/abre_mis_puertas.html"&gt;Abre mis puertas&lt;/a&gt;&lt;/li&gt;</t>
  </si>
  <si>
    <t>&lt;li data-author="Ain Karem"&gt;&lt;a href="canciones/ain_karem/agua_viva.html"&gt;Agua viva&lt;/a&gt;&lt;/li&gt;</t>
  </si>
  <si>
    <t>&lt;li data-author="Ain Karem"&gt;&lt;a href="canciones/ain_karem/aleluya.html"&gt;Aleluya&lt;/a&gt;&lt;/li&gt;</t>
  </si>
  <si>
    <t>&lt;li data-author="Ain Karem"&gt;&lt;a href="canciones/ain_karem/el_amor_no_dice_basta.html"&gt;El amor no dice basta&lt;/a&gt;&lt;/li&gt;</t>
  </si>
  <si>
    <t>&lt;li data-author="Ain Karem"&gt;&lt;a href="canciones/ain_karem/animo_soy_yo.html"&gt;Ánimo, soy yo&lt;/a&gt;&lt;/li&gt;</t>
  </si>
  <si>
    <t>&lt;li data-author="Ain Karem"&gt;&lt;a href="canciones/ain_karem/ardo_en_celo.html"&gt;Ardo en celo&lt;/a&gt;&lt;/li&gt;</t>
  </si>
  <si>
    <t>&lt;li data-author="Ain Karem"&gt;&lt;a href="canciones/ain_karem/atraviesas.html"&gt;Atraviesas&lt;/a&gt;&lt;/li&gt;</t>
  </si>
  <si>
    <t>&lt;li data-author="Ain Karem"&gt;&lt;a href="canciones/ain_karem/benedictus.html"&gt;Benedictus&lt;/a&gt;&lt;/li&gt;</t>
  </si>
  <si>
    <t>&lt;li data-author="Ain Karem"&gt;&lt;a href="canciones/ain_karem/boga_mar_adentro.html"&gt;Boga mar adentro&lt;/a&gt;&lt;/li&gt;</t>
  </si>
  <si>
    <t>&lt;li data-author="Ain Karem"&gt;&lt;a href="canciones/ain_karem/busca_mi_rostro.html"&gt;Busca mi rostro&lt;/a&gt;&lt;/li&gt;</t>
  </si>
  <si>
    <t>&lt;li data-author="Ain Karem"&gt;&lt;a href="canciones/ain_karem/cana.html"&gt;Caná&lt;/a&gt;&lt;/li&gt;</t>
  </si>
  <si>
    <t>&lt;li data-author="Ain Karem"&gt;&lt;a href="canciones/ain_karem/cantad_al_señor.html"&gt;Cantad al Señor&lt;/a&gt;&lt;/li&gt;</t>
  </si>
  <si>
    <t>&lt;li data-author="Ain Karem"&gt;&lt;a href="canciones/ain_karem/canto_de_ana.html"&gt;Canto de Ana&lt;/a&gt;&lt;/li&gt;</t>
  </si>
  <si>
    <t>&lt;li data-author="Ain Karem"&gt;&lt;a href="canciones/ain_karem/como_la_cierva.html"&gt;Como la cierva&lt;/a&gt;&lt;/li&gt;</t>
  </si>
  <si>
    <t>&lt;li data-author="Ain Karem"&gt;&lt;a href="canciones/ain_karem/como_podre_pagarte.html"&gt;Cómo podré pagarte &lt;/a&gt;&lt;/li&gt;</t>
  </si>
  <si>
    <t>&lt;li data-author="Ain Karem"&gt;&lt;a href="canciones/ain_karem/como_tu.html"&gt;Como Tú&lt;/a&gt;&lt;/li&gt;</t>
  </si>
  <si>
    <t>&lt;li data-author="Ain Karem"&gt;&lt;a href="canciones/ain_karem/con_amor_eterno.html"&gt;Con amor eterno&lt;/a&gt;&lt;/li&gt;</t>
  </si>
  <si>
    <t>&lt;li data-author="Ain Karem"&gt;&lt;a href="canciones/ain_karem/confia.html"&gt;Confia&lt;/a&gt;&lt;/li&gt;</t>
  </si>
  <si>
    <t>&lt;li data-author="Ain Karem"&gt;&lt;a href="canciones/ain_karem/confianza.html"&gt;Confianza&lt;/a&gt;&lt;/li&gt;</t>
  </si>
  <si>
    <t>&lt;li data-author="Ain Karem"&gt;&lt;a href="canciones/ain_karem/creatura_habitada.html"&gt;Creatura habitada&lt;/a&gt;&lt;/li&gt;</t>
  </si>
  <si>
    <t>&lt;li data-author="Ain Karem"&gt;&lt;a href="canciones/ain_karem/dame_una_palabra.html"&gt;Dame una palabra&lt;/a&gt;&lt;/li&gt;</t>
  </si>
  <si>
    <t>&lt;li data-author="Ain Karem"&gt;&lt;a href="canciones/ain_karem/danos_de_beber.html"&gt;Danos de beber&lt;/a&gt;&lt;/li&gt;</t>
  </si>
  <si>
    <t>&lt;li data-author="Ain Karem"&gt;&lt;a href="canciones/ain_karem/de_todo_corazon.html"&gt;De todo corazón&lt;/a&gt;&lt;/li&gt;</t>
  </si>
  <si>
    <t>&lt;li data-author="Ain Karem"&gt;&lt;a href="canciones/ain_karem/descalzate.html"&gt;Descálzate&lt;/a&gt;&lt;/li&gt;</t>
  </si>
  <si>
    <t>&lt;li data-author="Ain Karem"&gt;&lt;a href="canciones/ain_karem/descansa_en_ti_su_mirada.html"&gt;Descansa en ti su mirada&lt;/a&gt;&lt;/li&gt;</t>
  </si>
  <si>
    <t>&lt;li data-author="Ain Karem"&gt;&lt;a href="canciones/ain_karem/desde_abajo.html"&gt;Desde abajo&lt;/a&gt;&lt;/li&gt;</t>
  </si>
  <si>
    <t>&lt;li data-author="Ain Karem"&gt;&lt;a href="canciones/ain_karem/dios_de_la_historia_bendice.html"&gt;Dios de la historia, bendice&lt;/a&gt;&lt;/li&gt;</t>
  </si>
  <si>
    <t>&lt;li data-author="Ain Karem"&gt;&lt;a href="canciones/ain_karem/dios_fiel.html"&gt;Dios fiel&lt;/a&gt;&lt;/li&gt;</t>
  </si>
  <si>
    <t>&lt;li data-author="Ain Karem"&gt;&lt;a href="canciones/ain_karem/discipulos.html"&gt;Discípulos&lt;/a&gt;&lt;/li&gt;</t>
  </si>
  <si>
    <t>&lt;li data-author="Ain Karem"&gt;&lt;a href="canciones/ain_karem/el_amor.html"&gt;El amor&lt;/a&gt;&lt;/li&gt;</t>
  </si>
  <si>
    <t>&lt;li data-author="Ain Karem"&gt;&lt;a href="canciones/ain_karem/el_reino_de_dios.html"&gt;El Reino de Dios&lt;/a&gt;&lt;/li&gt;</t>
  </si>
  <si>
    <t>&lt;li data-author="Ain Karem"&gt;&lt;a href="canciones/ain_karem/el_siervo.html"&gt;El siervo&lt;/a&gt;&lt;/li&gt;</t>
  </si>
  <si>
    <t>&lt;li data-author="Ain Karem"&gt;&lt;a href="canciones/ain_karem/en_ti.html"&gt;En ti&lt;/a&gt;&lt;/li&gt;</t>
  </si>
  <si>
    <t>&lt;li data-author="Ain Karem"&gt;&lt;a href="canciones/ain_karem/es_mi_hermano.html"&gt;Es mi hermano&lt;/a&gt;&lt;/li&gt;</t>
  </si>
  <si>
    <t>&lt;li data-author="Ain Karem"&gt;&lt;a href="canciones/ain_karem/escucha.html"&gt;Escucha&lt;/a&gt;&lt;/li&gt;</t>
  </si>
  <si>
    <t>&lt;li data-author="Ain Karem"&gt;&lt;a href="canciones/ain_karem/fuego.html"&gt;Fuego&lt;/a&gt;&lt;/li&gt;</t>
  </si>
  <si>
    <t>&lt;li data-author="Ain Karem"&gt;&lt;a href="canciones/ain_karem/fuertes_humildes_y_diligentes.html"&gt;Fuertes, humildes y diligentes&lt;/a&gt;&lt;/li&gt;</t>
  </si>
  <si>
    <t>&lt;li data-author="Ain Karem"&gt;&lt;a href="canciones/ain_karem/gloria_trinitario.html"&gt;Gloria Trinitario&lt;/a&gt;&lt;/li&gt;</t>
  </si>
  <si>
    <t>&lt;li data-author="Ain Karem"&gt;&lt;a href="canciones/ain_karem/habitare.html"&gt;Habitaré&lt;/a&gt;&lt;/li&gt;</t>
  </si>
  <si>
    <t>&lt;li data-author="Ain Karem"&gt;&lt;a href="canciones/ain_karem/hagase.html"&gt;Hágase&lt;/a&gt;&lt;/li&gt;</t>
  </si>
  <si>
    <t>&lt;li data-author="Ain Karem"&gt;&lt;a href="canciones/ain_karem/hambre_y_sed_de_ti.html"&gt;Hambre y sed de Ti &lt;/a&gt;&lt;/li&gt;</t>
  </si>
  <si>
    <t>&lt;li data-author="Ain Karem"&gt;&lt;a href="canciones/ain_karem/heme_aqui.html"&gt;Heme aquí&lt;/a&gt;&lt;/li&gt;</t>
  </si>
  <si>
    <t>&lt;li data-author="Ain Karem"&gt;&lt;a href="canciones/ain_karem/invitanos.html"&gt;Invítanos&lt;/a&gt;&lt;/li&gt;</t>
  </si>
  <si>
    <t>&lt;li data-author="Ain Karem"&gt;&lt;a href="canciones/ain_karem/jesus.html"&gt;Jesús&lt;/a&gt;&lt;/li&gt;</t>
  </si>
  <si>
    <t>&lt;li data-author="Ain Karem"&gt;&lt;a href="canciones/ain_karem/la_moneda_perdida.html"&gt;La moneda perdida&lt;/a&gt;&lt;/li&gt;</t>
  </si>
  <si>
    <t>&lt;li data-author="Ain Karem"&gt;&lt;a href="canciones/ain_karem/la_mujer_cananea.html"&gt;La mujer cananea&lt;/a&gt;&lt;/li&gt;</t>
  </si>
  <si>
    <t>&lt;li data-author="Ain Karem"&gt;&lt;a href="canciones/ain_karem/la_mujer_del_perfume.html"&gt;La mujer del perfume &lt;/a&gt;&lt;/li&gt;</t>
  </si>
  <si>
    <t>&lt;li data-author="Ain Karem"&gt;&lt;a href="canciones/ain_karem/la_piedra_angular.html"&gt;La piedra angular&lt;/a&gt;&lt;/li&gt;</t>
  </si>
  <si>
    <t>&lt;li data-author="Ain Karem"&gt;&lt;a href="canciones/ain_karem/vid_verdadera.html"&gt;Vid verdadera&lt;/a&gt;&lt;/li&gt;</t>
  </si>
  <si>
    <t>&lt;li data-author="Ain Karem"&gt;&lt;a href="canciones/ain_karem/llama_de_amor_viva.html"&gt;Llama de amor viva &lt;/a&gt;&lt;/li&gt;</t>
  </si>
  <si>
    <t>&lt;li data-author="Ain Karem"&gt;&lt;a href="canciones/ain_karem/llueve_tu.html"&gt;Llueve Tú&lt;/a&gt;&lt;/li&gt;</t>
  </si>
  <si>
    <t>&lt;li data-author="Ain Karem"&gt;&lt;a href="canciones/ain_karem/los_incontables.html"&gt;Los incontables&lt;/a&gt;&lt;/li&gt;</t>
  </si>
  <si>
    <t>&lt;li data-author="Ain Karem"&gt;&lt;a href="canciones/ain_karem/magnificat.html"&gt;Magnificat&lt;/a&gt;&lt;/li&gt;</t>
  </si>
  <si>
    <t>&lt;li data-author="Ain Karem"&gt;&lt;a href="canciones/ain_karem/miradle.html"&gt;Miradle&lt;/a&gt;&lt;/li&gt;</t>
  </si>
  <si>
    <t>&lt;li data-author="Ain Karem"&gt;&lt;a href="canciones/ain_karem/no_guardes_tu_vida.html"&gt;No guardes tu vida &lt;/a&gt;&lt;/li&gt;</t>
  </si>
  <si>
    <t>&lt;li data-author="Ain Karem"&gt;&lt;a href="canciones/ain_karem/no_temas.html"&gt;No temas&lt;/a&gt;&lt;/li&gt;</t>
  </si>
  <si>
    <t>&lt;li data-author="Ain Karem"&gt;&lt;a href="canciones/ain_karem/no_tengas_miedo.html"&gt;No tengas miedo&lt;/a&gt;&lt;/li&gt;</t>
  </si>
  <si>
    <t>&lt;li data-author="Ain Karem"&gt;&lt;a href="canciones/ain_karem/os_envio.html"&gt;Os envío&lt;/a&gt;&lt;/li&gt;</t>
  </si>
  <si>
    <t>&lt;li data-author="Ain Karem"&gt;&lt;a href="canciones/ain_karem/palabra.html"&gt;Palabra&lt;/a&gt;&lt;/li&gt;</t>
  </si>
  <si>
    <t>&lt;li data-author="Ain Karem"&gt;&lt;a href="canciones/ain_karem/palabra_encarnada.html"&gt;Palabra encarnada&lt;/a&gt;&lt;/li&gt;</t>
  </si>
  <si>
    <t>&lt;li data-author="Ain Karem"&gt;&lt;a href="canciones/ain_karem/palabras_de_vida.html"&gt;Palabras de vida&lt;/a&gt;&lt;/li&gt;</t>
  </si>
  <si>
    <t>&lt;li data-author="Ain Karem"&gt;&lt;a href="canciones/ain_karem/para_estar_contigo.html"&gt;Para estar contigo &lt;/a&gt;&lt;/li&gt;</t>
  </si>
  <si>
    <t>&lt;li data-author="Ain Karem"&gt;&lt;a href="canciones/ain_karem/poneos_en_pie.html"&gt;Ponéos en pie&lt;/a&gt;&lt;/li&gt;</t>
  </si>
  <si>
    <t>&lt;li data-author="Ain Karem"&gt;&lt;a href="canciones/ain_karem/por_amor_a_tu_pueblo.html"&gt;Por amor a tu pueblo &lt;/a&gt;&lt;/li&gt;</t>
  </si>
  <si>
    <t>&lt;li data-author="Ain Karem"&gt;&lt;a href="canciones/ain_karem/pueblo_suyo.html"&gt;Pueblo Suyo&lt;/a&gt;&lt;/li&gt;</t>
  </si>
  <si>
    <t>&lt;li data-author="Ain Karem"&gt;&lt;a href="canciones/ain_karem/que_se_alegren_tus_entrañas.html"&gt;Que se alegren tus entrañas&lt;/a&gt;&lt;/li&gt;</t>
  </si>
  <si>
    <t>&lt;li data-author="Ain Karem"&gt;&lt;a href="canciones/ain_karem/quedas_libre.html"&gt;Quedas libre&lt;/a&gt;&lt;/li&gt;</t>
  </si>
  <si>
    <t>&lt;li data-author="Ain Karem"&gt;&lt;a href="canciones/ain_karem/realidad.html"&gt;Realidad&lt;/a&gt;&lt;/li&gt;</t>
  </si>
  <si>
    <t>&lt;li data-author="Ain Karem"&gt;&lt;a href="canciones/ain_karem/recibid_mi_espiritu.html"&gt;Recibid mi Espíritu &lt;/a&gt;&lt;/li&gt;</t>
  </si>
  <si>
    <t>&lt;li data-author="Ain Karem"&gt;&lt;a href="canciones/ain_karem/samaritano.html"&gt;Samaritano&lt;/a&gt;&lt;/li&gt;</t>
  </si>
  <si>
    <t>&lt;li data-author="Ain Karem"&gt;&lt;a href="canciones/ain_karem/santo.html"&gt;Santo&lt;/a&gt;&lt;/li&gt;</t>
  </si>
  <si>
    <t>&lt;li data-author="Ain Karem"&gt;&lt;a href="canciones/ain_karem/se_mi_luz.html"&gt;Sé mi luz&lt;/a&gt;&lt;/li&gt;</t>
  </si>
  <si>
    <t>&lt;li data-author="Ain Karem"&gt;&lt;a href="canciones/ain_karem/secuencia_pascual.html"&gt;Secuencia pascual&lt;/a&gt;&lt;/li&gt;</t>
  </si>
  <si>
    <t>&lt;li data-author="Ain Karem"&gt;&lt;a href="canciones/ain_karem/sed_felices.html"&gt;Sed felices&lt;/a&gt;&lt;/li&gt;</t>
  </si>
  <si>
    <t>&lt;li data-author="Ain Karem"&gt;&lt;a href="canciones/ain_karem/seguirte.html"&gt;Seguirte&lt;/a&gt;&lt;/li&gt;</t>
  </si>
  <si>
    <t>&lt;li data-author="Ain Karem"&gt;&lt;a href="canciones/ain_karem/señor_de_la_sabiduria.html"&gt;Señor de la sabiduría&lt;/a&gt;&lt;/li&gt;</t>
  </si>
  <si>
    <t>&lt;li data-author="Ain Karem"&gt;&lt;a href="canciones/ain_karem/señor_mio_y_dios_mio.html"&gt;Señor mío y Dios mío &lt;/a&gt;&lt;/li&gt;</t>
  </si>
  <si>
    <t>&lt;li data-author="Ain Karem"&gt;&lt;a href="canciones/ain_karem/solo_en_dios.html"&gt;Sólo en Dios&lt;/a&gt;&lt;/li&gt;</t>
  </si>
  <si>
    <t>&lt;li data-author="Ain Karem"&gt;&lt;a href="canciones/ain_karem/solo_tu.html"&gt;Sólo Tú&lt;/a&gt;&lt;/li&gt;</t>
  </si>
  <si>
    <t>&lt;li data-author="Ain Karem"&gt;&lt;a href="canciones/ain_karem/somos_del_señor.html"&gt;Somos del Señor&lt;/a&gt;&lt;/li&gt;</t>
  </si>
  <si>
    <t>&lt;li data-author="Ain Karem"&gt;&lt;a href="canciones/ain_karem/te_basta_mi_gracia.html"&gt;Te basta mi gracia &lt;/a&gt;&lt;/li&gt;</t>
  </si>
  <si>
    <t>&lt;li data-author="Ain Karem"&gt;&lt;a href="canciones/ain_karem/ten_piedad.html"&gt;Ten piedad&lt;/a&gt;&lt;/li&gt;</t>
  </si>
  <si>
    <t>&lt;li data-author="Ain Karem"&gt;&lt;a href="canciones/ain_karem/tu_eres_mi_bien.html"&gt;Tú eres mi bien&lt;/a&gt;&lt;/li&gt;</t>
  </si>
  <si>
    <t>&lt;li data-author="Ain Karem"&gt;&lt;a href="canciones/ain_karem/tu_lo_sabes.html"&gt;Tú lo sabes&lt;/a&gt;&lt;/li&gt;</t>
  </si>
  <si>
    <t>&lt;li data-author="Ain Karem"&gt;&lt;a href="canciones/ain_karem/ven_espiritu.html"&gt;Ven, Espíritu&lt;/a&gt;&lt;/li&gt;</t>
  </si>
  <si>
    <t>&lt;li data-author="Ain Karem"&gt;&lt;a href="canciones/ain_karem/ven_espiritu_de_dios.html"&gt;Ven, Espíritu de Dios&lt;/a&gt;&lt;/li&gt;</t>
  </si>
  <si>
    <t>&lt;li data-author="Ain Karem"&gt;&lt;a href="canciones/ain_karem/ven_señor.html"&gt;Ven, Señor&lt;/a&gt;&lt;/li&gt;</t>
  </si>
  <si>
    <t>&lt;li data-author="Ain Karem"&gt;&lt;a href="canciones/ain_karem/vengan_a_mi.html"&gt;Vengan a mi&lt;/a&gt;&lt;/li&gt;</t>
  </si>
  <si>
    <t>&lt;li data-author="Ain Karem"&gt;&lt;a href="canciones/ain_karem/venid_conmigo.html"&gt;Venid conmigo&lt;/a&gt;&lt;/li&gt;</t>
  </si>
  <si>
    <t>&lt;li data-author="Ain Karem"&gt;&lt;a href="canciones/ain_karem/volemos.html"&gt;Volemos&lt;/a&gt;&lt;/li&gt;</t>
  </si>
  <si>
    <t>&lt;li data-author="Ain Karem"&gt;&lt;a href="canciones/ain_karem/yo_soy.html"&gt;Yo soy&lt;/a&gt;&lt;/li&gt;</t>
  </si>
  <si>
    <t>&lt;li data-author="Ain Karem"&gt;&lt;a href="canciones/ain_karem/yo_soy_el_que_vive.html"&gt;Yo soy el que vive &lt;/a&gt;&lt;/li&gt;</t>
  </si>
  <si>
    <t>&lt;li data-author="Ruah"&gt;&lt;a href="canciones/ruah/a_fuego.html"&gt;A fuego&lt;/a&gt;&lt;/li&gt;</t>
  </si>
  <si>
    <t>&lt;li data-author="Ruah"&gt;&lt;a href="canciones/ruah/a_la_puerta.html"&gt;A la puerta&lt;/a&gt;&lt;/li&gt;</t>
  </si>
  <si>
    <t>&lt;li data-author="Ruah"&gt;&lt;a href="canciones/ruah/a_tu_medida.html"&gt;A tu medida&lt;/a&gt;&lt;/li&gt;</t>
  </si>
  <si>
    <t>&lt;li data-author="Ruah"&gt;&lt;a href="canciones/ruah/adentrate.html"&gt;Adéntrate&lt;/a&gt;&lt;/li&gt;</t>
  </si>
  <si>
    <t>&lt;li data-author="Ruah"&gt;&lt;a href="canciones/ruah/dios_de_la_historia.html"&gt;Al Dios de la Historia&lt;/a&gt;&lt;/li&gt;</t>
  </si>
  <si>
    <t>&lt;li data-author="Ruah"&gt;&lt;a href="canciones/ruah/alabarte.html"&gt;Alabarte&lt;/a&gt;&lt;/li&gt;</t>
  </si>
  <si>
    <t>&lt;li data-author="Ruah"&gt;&lt;a href="canciones/ruah/alegraos.html"&gt;Alegraos&lt;/a&gt;&lt;/li&gt;</t>
  </si>
  <si>
    <t>&lt;li data-author="Ruah"&gt;&lt;a href="canciones/ruah/alianza.html"&gt;Alianza&lt;/a&gt;&lt;/li&gt;</t>
  </si>
  <si>
    <t>&lt;li data-author="Ruah"&gt;&lt;a href="canciones/ruah/aprendiendo.html"&gt;Aprendiendo&lt;/a&gt;&lt;/li&gt;</t>
  </si>
  <si>
    <t>&lt;li data-author="Ruah"&gt;&lt;a href="canciones/ruah/aqui_y_ahora.html"&gt;Aquí y ahora&lt;/a&gt;&lt;/li&gt;</t>
  </si>
  <si>
    <t>&lt;li data-author="Ruah"&gt;&lt;a href="canciones/ruah/bailare.html"&gt;Bailaré&lt;/a&gt;&lt;/li&gt;</t>
  </si>
  <si>
    <t>&lt;li data-author="Ruah"&gt;&lt;a href="canciones/ruah/bosque.html"&gt;Bosque&lt;/a&gt;&lt;/li&gt;</t>
  </si>
  <si>
    <t>&lt;li data-author="Ruah"&gt;&lt;a href="canciones/ruah/brasas.html"&gt;Brasas&lt;/a&gt;&lt;/li&gt;</t>
  </si>
  <si>
    <t>&lt;li data-author="Ruah"&gt;&lt;a href="canciones/ruah/cada_mañana.html"&gt;Cada mañana&lt;/a&gt;&lt;/li&gt;</t>
  </si>
  <si>
    <t>&lt;li data-author="Ruah"&gt;&lt;a href="canciones/ruah/como_niños.html"&gt;Como niños&lt;/a&gt;&lt;/li&gt;</t>
  </si>
  <si>
    <t>&lt;li data-author="Ruah"&gt;&lt;a href="canciones/ruah/de_repente.html"&gt;De repente&lt;/a&gt;&lt;/li&gt;</t>
  </si>
  <si>
    <t>&lt;li data-author="Ruah"&gt;&lt;a href="canciones/ruah/despierto.html"&gt;Despierto&lt;/a&gt;&lt;/li&gt;</t>
  </si>
  <si>
    <t>&lt;li data-author="Ruah"&gt;&lt;a href="canciones/ruah/donde.html"&gt;Dónde&lt;/a&gt;&lt;/li&gt;</t>
  </si>
  <si>
    <t>&lt;li data-author="Ruah"&gt;&lt;a href="canciones/ruah/en_parabolas.html"&gt;En parábolas&lt;/a&gt;&lt;/li&gt;</t>
  </si>
  <si>
    <t>&lt;li data-author="Ruah"&gt;&lt;a href="canciones/ruah/en_quien_si_no.html"&gt;En quién si no&lt;/a&gt;&lt;/li&gt;</t>
  </si>
  <si>
    <t>&lt;li data-author="Ruah"&gt;&lt;a href="canciones/ruah/envianos_sin_miedo.html"&gt;Envíanos sin miedo&lt;/a&gt;&lt;/li&gt;</t>
  </si>
  <si>
    <t>&lt;li data-author="Ruah"&gt;&lt;a href="canciones/ruah/escuchame.html"&gt;Escúchame&lt;/a&gt;&lt;/li&gt;</t>
  </si>
  <si>
    <t>&lt;li data-author="Ruah"&gt;&lt;a href="canciones/ruah/fija_en_ti.html"&gt;Fija en ti&lt;/a&gt;&lt;/li&gt;</t>
  </si>
  <si>
    <t>&lt;li data-author="Ruah"&gt;&lt;a href="canciones/ruah/frontera.html"&gt;Frontera&lt;/a&gt;&lt;/li&gt;</t>
  </si>
  <si>
    <t>&lt;li data-author="Ruah"&gt;&lt;a href="canciones/ruah/gracias.html"&gt;Gracias&lt;/a&gt;&lt;/li&gt;</t>
  </si>
  <si>
    <t>&lt;li data-author="Ruah"&gt;&lt;a href="canciones/ruah/grietas.html"&gt;Grietas&lt;/a&gt;&lt;/li&gt;</t>
  </si>
  <si>
    <t>&lt;li data-author="Ruah"&gt;&lt;a href="canciones/ruah/mayor_que_todo.html"&gt;Mayor que todo&lt;/a&gt;&lt;/li&gt;</t>
  </si>
  <si>
    <t>&lt;li data-author="Ruah"&gt;&lt;a href="canciones/ruah/mirame.html"&gt;Mírame&lt;/a&gt;&lt;/li&gt;</t>
  </si>
  <si>
    <t>&lt;li data-author="Ruah"&gt;&lt;a href="canciones/ruah/no_lo_notais.html"&gt;No lo notáis?&lt;/a&gt;&lt;/li&gt;</t>
  </si>
  <si>
    <t>&lt;li data-author="Ruah"&gt;&lt;a href="canciones/ruah/no_os_preocupeis.html"&gt;No os preocupéis&lt;/a&gt;&lt;/li&gt;</t>
  </si>
  <si>
    <t>&lt;li data-author="Ruah"&gt;&lt;a href="canciones/ruah/no_volvera_vacia.html"&gt;No volverá vacía&lt;/a&gt;&lt;/li&gt;</t>
  </si>
  <si>
    <t>&lt;li data-author="Ruah"&gt;&lt;a href="canciones/ruah/nuestro_lugar.html"&gt;Nuestro lugar&lt;/a&gt;&lt;/li&gt;</t>
  </si>
  <si>
    <t>&lt;li data-author="Ruah"&gt;&lt;a href="canciones/ruah/oyeme.html"&gt;Óyeme&lt;/a&gt;&lt;/li&gt;</t>
  </si>
  <si>
    <t>&lt;li data-author="Ruah"&gt;&lt;a href="canciones/ruah/para_estar_contigo.html"&gt;Para estar contigo&lt;/a&gt;&lt;/li&gt;</t>
  </si>
  <si>
    <t>&lt;li data-author="Ruah"&gt;&lt;a href="canciones/ruah/pedid_y_se_os_dara.html"&gt;Pedid y se os dará&lt;/a&gt;&lt;/li&gt;</t>
  </si>
  <si>
    <t>&lt;li data-author="Ruah"&gt;&lt;a href="canciones/ruah/por_ti_jerusalen.html"&gt;Por ti, Jerusalén&lt;/a&gt;&lt;/li&gt;</t>
  </si>
  <si>
    <t>&lt;li data-author="Ruah"&gt;&lt;a href="canciones/ruah/quien_amo_primero.html"&gt;Quién amó primero&lt;/a&gt;&lt;/li&gt;</t>
  </si>
  <si>
    <t>&lt;li data-author="Ruah"&gt;&lt;a href="canciones/ruah/quiero_confiar.html"&gt;Quiero confiar&lt;/a&gt;&lt;/li&gt;</t>
  </si>
  <si>
    <t>&lt;li data-author="Ruah"&gt;&lt;a href="canciones/ruah/sabes_bien.html"&gt;Sabes bien&lt;/a&gt;&lt;/li&gt;</t>
  </si>
  <si>
    <t>&lt;li data-author="Ruah"&gt;&lt;a href="canciones/ruah/seas.html"&gt;Seas&lt;/a&gt;&lt;/li&gt;</t>
  </si>
  <si>
    <t>&lt;li data-author="Ruah"&gt;&lt;a href="canciones/ruah/si_tu_quieres.html"&gt;Si tú quieres&lt;/a&gt;&lt;/li&gt;</t>
  </si>
  <si>
    <t>&lt;li data-author="Ruah"&gt;&lt;a href="canciones/ruah/silencio.html"&gt;Silencio&lt;/a&gt;&lt;/li&gt;</t>
  </si>
  <si>
    <t>&lt;li data-author="Ruah"&gt;&lt;a href="canciones/ruah/soy_de_ti.html"&gt;Soy de ti&lt;/a&gt;&lt;/li&gt;</t>
  </si>
  <si>
    <t>&lt;li data-author="Ruah"&gt;&lt;a href="canciones/ruah/suelta_el_timon.html"&gt;Suelta el timón&lt;/a&gt;&lt;/li&gt;</t>
  </si>
  <si>
    <t>&lt;li data-author="Ruah"&gt;&lt;a href="canciones/ruah/ten_compasion.html"&gt;Ten compasión&lt;/a&gt;&lt;/li&gt;</t>
  </si>
  <si>
    <t>&lt;li data-author="Ruah"&gt;&lt;a href="canciones/ruah/tu_me_sondeas.html"&gt;Tú me sondeas&lt;/a&gt;&lt;/li&gt;</t>
  </si>
  <si>
    <t>&lt;li data-author="Ruah"&gt;&lt;a href="canciones/ruah/tu_y_no_yo.html"&gt;Tú y no yo&lt;/a&gt;&lt;/li&gt;</t>
  </si>
  <si>
    <t>&lt;li data-author="Ruah"&gt;&lt;a href="canciones/ruah/tuya_y_nueva.html"&gt;Tuya y nueva&lt;/a&gt;&lt;/li&gt;</t>
  </si>
  <si>
    <t>&lt;li data-author="Ruah"&gt;&lt;a href="canciones/ruah/vivir.html"&gt;Vivir&lt;/a&gt;&lt;/li&gt;</t>
  </si>
  <si>
    <t>&lt;li data-author="Hakuna"&gt;&lt;a href="canciones/hakuna/al_estar_en_la_presencia.html"&gt;Al estar en la presencia&lt;/a&gt;&lt;/li&gt;</t>
  </si>
  <si>
    <t>&lt;li data-author="Hakuna"&gt;&lt;a href="canciones/hakuna/baila_y_dejate_de_historias.html"&gt;Baila y déjate de historias&lt;/a&gt;&lt;/li&gt;</t>
  </si>
  <si>
    <t>&lt;li data-author="Hakuna"&gt;&lt;a href="canciones/hakuna/bendita_sea_tu_pureza.html"&gt;Bendita sea tu pureza &lt;/a&gt;&lt;/li&gt;</t>
  </si>
  <si>
    <t>&lt;li data-author="Hakuna"&gt;&lt;a href="canciones/hakuna/bendito.html"&gt;Bendito&lt;/a&gt;&lt;/li&gt;</t>
  </si>
  <si>
    <t>&lt;li data-author="Hakuna"&gt;&lt;a href="canciones/hakuna/bien_amado_señor.html"&gt;Bien amado Señor&lt;/a&gt;&lt;/li&gt;</t>
  </si>
  <si>
    <t>&lt;li data-author="Hakuna"&gt;&lt;a href="canciones/hakuna/capricho.html"&gt;Capricho&lt;/a&gt;&lt;/li&gt;</t>
  </si>
  <si>
    <t>&lt;li data-author="Hakuna"&gt;&lt;a href="canciones/hakuna/colombia.html"&gt;Colombia&lt;/a&gt;&lt;/li&gt;</t>
  </si>
  <si>
    <t>&lt;li data-author="Hakuna"&gt;&lt;a href="canciones/hakuna/comunion_espiritual.html"&gt;Comunión espiritual&lt;/a&gt;&lt;/li&gt;</t>
  </si>
  <si>
    <t>&lt;li data-author="Hakuna"&gt;&lt;a href="canciones/hakuna/concienciame.html"&gt;Conciénciame&lt;/a&gt;&lt;/li&gt;</t>
  </si>
  <si>
    <t>&lt;li data-author="Hakuna"&gt;&lt;a href="canciones/hakuna/cuarto_lugar.html"&gt;Cuarto lugar&lt;/a&gt;&lt;/li&gt;</t>
  </si>
  <si>
    <t>&lt;li data-author="Hakuna"&gt;&lt;a href="canciones/hakuna/cuatro_vientos.html"&gt;Cuatro vientos&lt;/a&gt;&lt;/li&gt;</t>
  </si>
  <si>
    <t>&lt;li data-author="Hakuna"&gt;&lt;a href="canciones/hakuna/del_cielo.html"&gt;Del cielo&lt;/a&gt;&lt;/li&gt;</t>
  </si>
  <si>
    <t>&lt;li data-author="Hakuna"&gt;&lt;a href="canciones/hakuna/descalzos.html"&gt;Descalzos&lt;/a&gt;&lt;/li&gt;</t>
  </si>
  <si>
    <t>&lt;li data-author="Hakuna"&gt;&lt;a href="canciones/hakuna/deseo.html"&gt;Deseo&lt;/a&gt;&lt;/li&gt;</t>
  </si>
  <si>
    <t>&lt;li data-author="Hakuna"&gt;&lt;a href="canciones/hakuna/dime_padre.html"&gt;Dime, Padre&lt;/a&gt;&lt;/li&gt;</t>
  </si>
  <si>
    <t>&lt;li data-author="Hakuna"&gt;&lt;a href="canciones/hakuna/el_abrazo.html"&gt;El abrazo&lt;/a&gt;&lt;/li&gt;</t>
  </si>
  <si>
    <t>&lt;li data-author="Hakuna"&gt;&lt;a href="canciones/hakuna/el_cielo_aguarda.html"&gt;El cielo aguarda&lt;/a&gt;&lt;/li&gt;</t>
  </si>
  <si>
    <t>&lt;li data-author="Hakuna"&gt;&lt;a href="canciones/hakuna/en_lo_hondo.html"&gt;En lo hondo&lt;/a&gt;&lt;/li&gt;</t>
  </si>
  <si>
    <t>&lt;li data-author="Hakuna"&gt;&lt;a href="canciones/hakuna/entre_anestesias.html"&gt;Entre anestesias&lt;/a&gt;&lt;/li&gt;</t>
  </si>
  <si>
    <t>&lt;li data-author="Hakuna"&gt;&lt;a href="canciones/hakuna/exulte_mi_alma.html"&gt;Exulte mi alma&lt;/a&gt;&lt;/li&gt;</t>
  </si>
  <si>
    <t>&lt;li data-author="Hakuna"&gt;&lt;a href="canciones/hakuna/forofos.html"&gt;Forofos&lt;/a&gt;&lt;/li&gt;</t>
  </si>
  <si>
    <t>&lt;li data-author="Hakuna"&gt;&lt;a href="canciones/hakuna/hoy_en_belen.html"&gt;Hoy en Belén&lt;/a&gt;&lt;/li&gt;</t>
  </si>
  <si>
    <t>&lt;li data-author="Hakuna"&gt;&lt;a href="canciones/hakuna/hoy_te_dejo.html"&gt;Hoy te dejo&lt;/a&gt;&lt;/li&gt;</t>
  </si>
  <si>
    <t>&lt;li data-author="Hakuna"&gt;&lt;a href="canciones/hakuna/imprescindible.html"&gt;Imprescindible&lt;/a&gt;&lt;/li&gt;</t>
  </si>
  <si>
    <t>&lt;li data-author="Hakuna"&gt;&lt;a href="canciones/hakuna/la_piel_por_ti.html"&gt;La piel por Ti&lt;/a&gt;&lt;/li&gt;</t>
  </si>
  <si>
    <t>&lt;li data-author="Hakuna"&gt;&lt;a href="canciones/hakuna/libertad.html"&gt;Libertad&lt;/a&gt;&lt;/li&gt;</t>
  </si>
  <si>
    <t>&lt;li data-author="Hakuna"&gt;&lt;a href="canciones/hakuna/lo_imposible.html"&gt;Lo imposible&lt;/a&gt;&lt;/li&gt;</t>
  </si>
  <si>
    <t>&lt;li data-author="Hakuna"&gt;&lt;a href="canciones/hakuna/me_sobrepasa.html"&gt;Me sobrepasa&lt;/a&gt;&lt;/li&gt;</t>
  </si>
  <si>
    <t>&lt;li data-author="Hakuna"&gt;&lt;a href="canciones/hakuna/mi_pobre_loco.html"&gt;Mi pobre loco&lt;/a&gt;&lt;/li&gt;</t>
  </si>
  <si>
    <t>&lt;li data-author="Hakuna"&gt;&lt;a href="canciones/hakuna/mirada.html"&gt;Mirada&lt;/a&gt;&lt;/li&gt;</t>
  </si>
  <si>
    <t>&lt;li data-author="Hakuna"&gt;&lt;a href="canciones/hakuna/nacidos_de_lo_alto.html"&gt;Nacidos de lo alto&lt;/a&gt;&lt;/li&gt;</t>
  </si>
  <si>
    <t>&lt;li data-author="Hakuna"&gt;&lt;a href="canciones/hakuna/noche.html"&gt;Noche&lt;/a&gt;&lt;/li&gt;</t>
  </si>
  <si>
    <t>&lt;li data-author="Hakuna"&gt;&lt;a href="canciones/hakuna/nombre_sobre_todo_nombre.html"&gt;Nombre sobre todo nombre&lt;/a&gt;&lt;/li&gt;</t>
  </si>
  <si>
    <t>&lt;li data-author="Hakuna"&gt;&lt;a href="canciones/hakuna/ocupate_tu_de_todo.html"&gt;Ocúpate Tú de todo&lt;/a&gt;&lt;/li&gt;</t>
  </si>
  <si>
    <t>&lt;li data-author="Hakuna"&gt;&lt;a href="canciones/hakuna/ojala.html"&gt;Ojalá&lt;/a&gt;&lt;/li&gt;</t>
  </si>
  <si>
    <t>&lt;li data-author="Hakuna"&gt;&lt;a href="canciones/hakuna/olor_a_tostadas.html"&gt;Olor a tostadas&lt;/a&gt;&lt;/li&gt;</t>
  </si>
  <si>
    <t>&lt;li data-author="Hakuna"&gt;&lt;a href="canciones/hakuna/pasion_i_no_se_que_viste_en_mi.html"&gt;Pasión I No sé qué viste en mí&lt;/a&gt;&lt;/li&gt;</t>
  </si>
  <si>
    <t>&lt;li data-author="Hakuna"&gt;&lt;a href="canciones/hakuna/pasion_ii_mi_peso_en_tus_hombros.html"&gt;Pasión II Mi peso en tus hombros&lt;/a&gt;&lt;/li&gt;</t>
  </si>
  <si>
    <t>&lt;li data-author="Hakuna"&gt;&lt;a href="canciones/hakuna/pasion_iii_paraisos_sin_tu_rostro.html"&gt;Pasión III Paraísos sin tu rostro&lt;/a&gt;&lt;/li&gt;</t>
  </si>
  <si>
    <t>&lt;li data-author="Hakuna"&gt;&lt;a href="canciones/hakuna/pasion_iv_un_dios_debil.html"&gt;Pasión IV Un dios débil &lt;/a&gt;&lt;/li&gt;</t>
  </si>
  <si>
    <t>&lt;li data-author="Hakuna"&gt;&lt;a href="canciones/hakuna/pasion_v_cirineo.html"&gt;Pasión V Cirineo&lt;/a&gt;&lt;/li&gt;</t>
  </si>
  <si>
    <t>&lt;li data-author="Hakuna"&gt;&lt;a href="canciones/hakuna/pasion_vi_veronica.html"&gt;Pasión VI Verónica&lt;/a&gt;&lt;/li&gt;</t>
  </si>
  <si>
    <t>&lt;li data-author="Hakuna"&gt;&lt;a href="canciones/hakuna/pasion_vii_y_te_caes.html"&gt;Pasión VII Y te caes&lt;/a&gt;&lt;/li&gt;</t>
  </si>
  <si>
    <t>&lt;li data-author="Hakuna"&gt;&lt;a href="canciones/hakuna/pasion_viii_jerusalen.html"&gt;Pasión VIII Jerusalén &lt;/a&gt;&lt;/li&gt;</t>
  </si>
  <si>
    <t>&lt;li data-author="Hakuna"&gt;&lt;a href="canciones/hakuna/pasion_ix_por_que.html"&gt;Pasión IX Por qué&lt;/a&gt;&lt;/li&gt;</t>
  </si>
  <si>
    <t>&lt;li data-author="Hakuna"&gt;&lt;a href="canciones/hakuna/pasion_x_despojado.html"&gt;Pasión X Despojado&lt;/a&gt;&lt;/li&gt;</t>
  </si>
  <si>
    <t>&lt;li data-author="Hakuna"&gt;&lt;a href="canciones/hakuna/pasion_xi_la_medida_del_amor.html"&gt;Pasión XI La medida del amor&lt;/a&gt;&lt;/li&gt;</t>
  </si>
  <si>
    <t>&lt;li data-author="Hakuna"&gt;&lt;a href="canciones/hakuna/pasion_xiii_madre.html"&gt;Pasión XIII Madre&lt;/a&gt;&lt;/li&gt;</t>
  </si>
  <si>
    <t>&lt;li data-author="Hakuna"&gt;&lt;a href="canciones/hakuna/pasion_xiv_donde_estas_tu.html"&gt;Pasión XIV Donde estás tú&lt;/a&gt;&lt;/li&gt;</t>
  </si>
  <si>
    <t>&lt;li data-author="Hakuna"&gt;&lt;a href="canciones/hakuna/pasion_xv_soy_libre.html"&gt;Pasión XV Soy libre&lt;/a&gt;&lt;/li&gt;</t>
  </si>
  <si>
    <t>&lt;li data-author="Hakuna"&gt;&lt;a href="canciones/hakuna/pasion_xvi_por_mi_por_ti.html"&gt;Pasión XVI Por mí, por ti&lt;/a&gt;&lt;/li&gt;</t>
  </si>
  <si>
    <t>&lt;li data-author="Hakuna"&gt;&lt;a href="canciones/hakuna/pasion_de_dios.html"&gt;Pasión de Dios&lt;/a&gt;&lt;/li&gt;</t>
  </si>
  <si>
    <t>&lt;li data-author="Hakuna"&gt;&lt;a href="canciones/hakuna/pluma_de_escribano.html"&gt;Pluma de escribano&lt;/a&gt;&lt;/li&gt;</t>
  </si>
  <si>
    <t>&lt;li data-author="Hakuna"&gt;&lt;a href="canciones/hakuna/por_que_lloras.html"&gt;Por qué lloras&lt;/a&gt;&lt;/li&gt;</t>
  </si>
  <si>
    <t>&lt;li data-author="Hakuna"&gt;&lt;a href="canciones/hakuna/pringados.html"&gt;Pringados&lt;/a&gt;&lt;/li&gt;</t>
  </si>
  <si>
    <t>&lt;li data-author="Hakuna"&gt;&lt;a href="canciones/hakuna/que_bien_se_esta_cuando_se_esta_bien.html"&gt;Qué bien se está cuando se está bien&lt;/a&gt;&lt;/li&gt;</t>
  </si>
  <si>
    <t>&lt;li data-author="Hakuna"&gt;&lt;a href="canciones/hakuna/que_no_se_pierda_ninguno.html"&gt;Que no se pierda ninguno&lt;/a&gt;&lt;/li&gt;</t>
  </si>
  <si>
    <t>&lt;li data-author="Hakuna"&gt;&lt;a href="canciones/hakuna/quiero_cenar_contigo.html"&gt;Quiero cenar contigo&lt;/a&gt;&lt;/li&gt;</t>
  </si>
  <si>
    <t>&lt;li data-author="Hakuna"&gt;&lt;a href="canciones/hakuna/revolucion.html"&gt;Revolución&lt;/a&gt;&lt;/li&gt;</t>
  </si>
  <si>
    <t>&lt;li data-author="Hakuna"&gt;&lt;a href="canciones/hakuna/sencillamente.html"&gt;Sencillamente&lt;/a&gt;&lt;/li&gt;</t>
  </si>
  <si>
    <t>&lt;li data-author="Hakuna"&gt;&lt;a href="canciones/hakuna/siempre_imagine.html"&gt;Siempre imaginé&lt;/a&gt;&lt;/li&gt;</t>
  </si>
  <si>
    <t>&lt;li data-author="Hakuna"&gt;&lt;a href="canciones/hakuna/tan_cerca.html"&gt;Tan cerca&lt;/a&gt;&lt;/li&gt;</t>
  </si>
  <si>
    <t>&lt;li data-author="Hakuna"&gt;&lt;a href="canciones/hakuna/todo.html"&gt;Todo&lt;/a&gt;&lt;/li&gt;</t>
  </si>
  <si>
    <t>&lt;li data-author="Hakuna"&gt;&lt;a href="canciones/hakuna/todos_por_todos.html"&gt;Todos por todos&lt;/a&gt;&lt;/li&gt;</t>
  </si>
  <si>
    <t>&lt;li data-author="Hakuna"&gt;&lt;a href="canciones/hakuna/tonto.html"&gt;Tonto&lt;/a&gt;&lt;/li&gt;</t>
  </si>
  <si>
    <t>&lt;li data-author="Hakuna"&gt;&lt;a href="canciones/hakuna/tu_misericordia.html"&gt;Tu misericordia&lt;/a&gt;&lt;/li&gt;</t>
  </si>
  <si>
    <t>&lt;li data-author="Hakuna"&gt;&lt;a href="canciones/hakuna/tu_rostro.html"&gt;Tu rostro&lt;/a&gt;&lt;/li&gt;</t>
  </si>
  <si>
    <t>&lt;li data-author="Hakuna"&gt;&lt;a href="canciones/hakuna/un_paso_mas.html"&gt;Un paso más&lt;/a&gt;&lt;/li&gt;</t>
  </si>
  <si>
    <t>&lt;li data-author="Hakuna"&gt;&lt;a href="canciones/hakuna/un_segundo.html"&gt;Un segundo&lt;/a&gt;&lt;/li&gt;</t>
  </si>
  <si>
    <t>&lt;li data-author="Toño Casado"&gt;&lt;a href="canciones/toño_casado/aleluya_i.html"&gt;Aleluya I&lt;/a&gt;&lt;/li&gt;</t>
  </si>
  <si>
    <t>&lt;li data-author="Toño Casado"&gt;&lt;a href="canciones/toño_casado/aleluya_ii.html"&gt;Aleluya II&lt;/a&gt;&lt;/li&gt;</t>
  </si>
  <si>
    <t>&lt;li data-author="Toño Casado"&gt;&lt;a href="canciones/toño_casado/señor_ten_piedad_i.html"&gt;Señor, ten piedad I&lt;/a&gt;&lt;/li&gt;</t>
  </si>
  <si>
    <t>&lt;li data-author="Toño Casado"&gt;&lt;a href="canciones/toño_casado/señor_ten_piedad_ii.html"&gt;Señor, ten piedad II&lt;/a&gt;&lt;/li&gt;</t>
  </si>
  <si>
    <t>check</t>
  </si>
  <si>
    <t>Recibid mi Espíritu</t>
  </si>
  <si>
    <t>&lt;li data-author="Athenas" data-momento="María"&gt;&lt;a href="canciones/nuevas/acaso_no_estoy_yo_aqui_que_soy_tu_madre.html"&gt;¿Acaso no estoy yo aquí que soy tu madre?&lt;/a&gt;&lt;/li&gt;</t>
  </si>
  <si>
    <t>&lt;li data-author="TSNC" data-momento="Antífonas" data-nnew="D02"&gt;&lt;a href="canciones/nsb/a_donde_me_quereis_llevar.html"&gt;A dónde me queréis llevar&lt;/a&gt;&lt;/li&gt;</t>
  </si>
  <si>
    <t>&lt;li data-author="TSNC" data-momento="Antífonas" data-nnew="D04"&gt;&lt;a href="canciones/nsb/algo_nuevo.html"&gt;Algo nuevo&lt;/a&gt;&lt;/li&gt;</t>
  </si>
  <si>
    <t>&lt;li data-author="TSNC" data-momento="Santo" data-nnew="G14"&gt;&lt;a href="canciones/nsb/santo_santo_santo.html"&gt;Santo, Santo, Santo&lt;/a&gt;&lt;/li&gt;</t>
  </si>
  <si>
    <t>&lt;li data-author="Taizé" data-nnew="Q75"&gt;&lt;a href="canciones/taize/tu_palabra_señor.html"&gt;Tu palabra, Señor&lt;/a&gt;&lt;/li&gt;</t>
  </si>
  <si>
    <t>&lt;li data-author="Carmelo Erdozáin" data-momento="Antífonas" data-nold="189" data-nnew="D30"&gt;&lt;a href="canciones/carmelo_erdozain/oh_mi_dios_crea_en_mi.html"&gt;Oh, mi Dios, crea en mí&lt;/a&gt;&lt;/li&gt;</t>
  </si>
  <si>
    <t>&lt;li data-author="Taizé" data-nnew="Q48"&gt;&lt;a href="canciones/taize/jesus_ma_joie.html"&gt;Jésus, ma joie &lt;/a&gt;&lt;/li&gt;</t>
  </si>
  <si>
    <t>&lt;li data-author="Taizé" data-nnew="Q48"&gt;&lt;a href="canciones/taize/jesus_ma_joie.html"&gt;Jesús, mi vida&lt;/a&gt;&lt;/li&gt;</t>
  </si>
  <si>
    <t>&lt;li data-author="Taizé" data-nnew="Q49"&gt;&lt;a href="canciones/taize/jesus_remember_me.html"&gt;Jesús, acuérdate de mí&lt;/a&gt;&lt;/li&gt;</t>
  </si>
  <si>
    <t>&lt;li data-author="Taizé" data-nnew="Q49"&gt;&lt;a href="canciones/taize/jesus_remember_me.html"&gt;Jesus, remember me&lt;/a&gt;&lt;/li&gt;</t>
  </si>
  <si>
    <t>&lt;li data-author="Taizé" data-nnew="Q21"&gt;&lt;a href="canciones/taize/christe_lux_mundi.html"&gt;Christe, lux mundi&lt;/a&gt;&lt;/li&gt;</t>
  </si>
  <si>
    <t>&lt;li data-author="Taizé" data-nnew="Q21"&gt;&lt;a href="canciones/taize/christe_lux_mundi.html"&gt;Tú, luz del mundo&lt;/a&gt;&lt;/li&gt;</t>
  </si>
  <si>
    <t>&lt;li data-author="Taizé" data-nnew="Q31"&gt;&lt;a href="canciones/taize/deus_deus_meus_(canon).html"&gt;Deus, Deus meus (canon)&lt;/a&gt;&lt;/li&gt;</t>
  </si>
  <si>
    <t>&lt;li data-author="Taizé" data-nnew="Q31"&gt;&lt;a href="canciones/taize/deus_deus_meus_(canon).html"&gt;Oh, Dios, tú, Dios mío (canon)&lt;/a&gt;&lt;/li&gt;</t>
  </si>
  <si>
    <t>&lt;li data-author="Taizé" data-nnew="Q40"&gt;&lt;a href="canciones/taize/herre_visa_mig_vägen.html"&gt;Dios, muéstrame tu senda&lt;/a&gt;&lt;/li&gt;</t>
  </si>
  <si>
    <t>&lt;li data-author="Taizé" data-nnew="Q40"&gt;&lt;a href="canciones/taize/herre_visa_mig_vägen.html"&gt;Herre, visa mig vägen&lt;/a&gt;&lt;/li&gt;</t>
  </si>
  <si>
    <t>&lt;li data-author="Taizé" data-nnew="Q65"&gt;&lt;a href="canciones/taize/para_mim_ser_feliz.html"&gt;Para mí ser feliz&lt;/a&gt;&lt;/li&gt;</t>
  </si>
  <si>
    <t>&lt;li data-author="Taizé" data-nnew="Q65"&gt;&lt;a href="canciones/taize/para_mim_ser_feliz.html"&gt;Para mim, ser feliz&lt;/a&gt;&lt;/li&gt;</t>
  </si>
  <si>
    <t>&lt;li data-author="Rafael Espinosa" data-momento="Comunión" data-nold="310" data-nnew="K75"&gt;&lt;a href="canciones/nsb/tomado_de_la_mano.html"&gt;Tomado de la mano&lt;/a&gt;&lt;/li&gt;</t>
  </si>
  <si>
    <t>&lt;li data-author="Juan Antonio Espinosa" data-momento="María" data-nold="297" data-nnew="-"&gt;&lt;a href="canciones/juan_antonio_espinosa/yo_canto_al_señor_porque_es_grande.html"&gt;Yo canto al Señor porque es grande&lt;/a&gt;&lt;/li&gt;</t>
  </si>
  <si>
    <t>&lt;li data-author="José Luis Perales" data-momento="Navidad" data-nnew="O14"&gt;&lt;a href="canciones/nsb/navidad_es_navidad.html"&gt;Navidad, es Navidad&lt;/a&gt;&lt;/li&gt;</t>
  </si>
  <si>
    <t>&lt;li data-author="José Luis Perales" data-momento="Navidad" data-nnew="O13"&gt;&lt;a href="canciones/nsb/navidad_navidad.html"&gt;Navidad, Navidad&lt;/a&gt;&lt;/li&gt;</t>
  </si>
  <si>
    <t>&lt;li data-author="Pedro Núñez" data-momento="María" data-nold="162" data-nnew="-"&gt;&lt;a href="canciones/pedro_nuñez/maria_fuiste_siempre_pobre_de_yahve.html"&gt;María, fuiste siempre pobre de Yahvé&lt;/a&gt;&lt;/li&gt;</t>
  </si>
  <si>
    <t>&lt;li data-author="Miguel Manzano" data-momento="Cordero de Dios" data-nnew="J04"&gt;&lt;a href="canciones/miguel_manzano/cordero_de_dios_(manzano).html"&gt;Cordero de Dios (Manzano)&lt;/a&gt;&lt;/li&gt;</t>
  </si>
  <si>
    <t>&lt;li data-author="Emilio Vicente Mateu" data-momento="Comunión" data-nold="410" data-nnew="K08"&gt;&lt;a href="canciones/emilio_vicente_mateu/amar_es_darse.html"&gt;Amar es darse&lt;/a&gt;&lt;/li&gt;</t>
  </si>
  <si>
    <t>&lt;li data-author="Emilio Vicente Mateu" data-momento="Comunión" data-nold="34" data-nnew="K13"&gt;&lt;a href="canciones/emilio_vicente_mateu/bienaventurados_seremos_señor.html"&gt;Bienaventurados seremos, Señor&lt;/a&gt;&lt;/li&gt;</t>
  </si>
  <si>
    <t>&lt;li data-author="Emilio Vicente Mateu" data-momento="Navidad" data-nold="50" data-nnew="O05"&gt;&lt;a href="canciones/emilio_vicente_mateu/cantemos_todos_la_navidad.html"&gt;Cantemos todos la Navidad&lt;/a&gt;&lt;/li&gt;</t>
  </si>
  <si>
    <t>&lt;li data-author="Emilio Vicente Mateu" data-momento="Navidad" data-nold="92" data-nnew="O08"&gt;&lt;a href="canciones/emilio_vicente_mateu/el_señor_nos_ha_nacido_en_belen.html"&gt;El Señor nos ha nacido en Belén&lt;/a&gt;&lt;/li&gt;</t>
  </si>
  <si>
    <t>&lt;li data-author="Emilio Vicente Mateu" data-momento="Comunión" data-nold="237" data-nnew="K69"&gt;&lt;a href="canciones/emilio_vicente_mateu/somos_un_pueblo_que_camina.html"&gt;Somos un pueblo que camina&lt;/a&gt;&lt;/li&gt;</t>
  </si>
  <si>
    <t>&lt;li data-author="Emilio Vicente Mateu" data-momento="Adviento" data-nold="260" data-nnew="-"&gt;&lt;a href="canciones/emilio_vicente_mateu/tiempo_de_espera.html"&gt;Tiempo de espera&lt;/a&gt;&lt;/li&gt;</t>
  </si>
  <si>
    <t>&lt;li data-author="Emilio Vicente Mateu" data-momento="Navidad" data-nold="158" data-nnew="O11"&gt;&lt;a href="canciones/emilio_vicente_mateu/los_magos_vienen_de_oriente.html"&gt;Los magos vienen de Oriente&lt;/a&gt;&lt;/li&gt;</t>
  </si>
  <si>
    <t>&lt;li data-author="Ricardo Cantalapiedra" data-momento="Antífonas" data-nold="257" data-nnew="D36"&gt;&lt;a href="canciones/ricardo_cantalapiedra/te_ensalzare_señor.html"&gt;Te ensalzaré, Señor&lt;/a&gt;&lt;/li&gt;</t>
  </si>
  <si>
    <t>&lt;li data-author="Ricardo Cantalapiedra" data-momento="Comunión" data-nold="202" data-nnew="K56"&gt;&lt;a href="canciones/ricardo_cantalapiedra/protegeme_dios_mio.html"&gt;Protégeme, Dios mío&lt;/a&gt;&lt;/li&gt;</t>
  </si>
  <si>
    <t>&lt;li data-author="Ricardo Cantalapiedra" data-momento="Comunión" data-nold="205" data-nnew="K57"&gt;&lt;a href="canciones/ricardo_cantalapiedra/pueblo_mio.html"&gt;Pueblo mío&lt;/a&gt;&lt;/li&gt;</t>
  </si>
  <si>
    <t>&lt;li data-author="Ricardo Cantalapiedra" data-momento="Antífonas" data-nold="192" data-nnew="D32"&gt;&lt;a href="canciones/ricardo_cantalapiedra/os_doy_un_mandato_nuevo.html"&gt;Os doy un mandato nuevo&lt;/a&gt;&lt;/li&gt;</t>
  </si>
  <si>
    <t>&lt;li data-author="Francisco Palazón" data-momento="Santo" data-nold="245" data-nnew="G05"&gt;&lt;a href="canciones/francisco_palazon/santo_(palazon).html"&gt;Santo (Palazón)&lt;/a&gt;&lt;/li&gt;</t>
  </si>
  <si>
    <t>&lt;li data-author="Cesáreo Gabarain" data-momento="Aleluya" data-nnew="E01"&gt;&lt;a href="canciones/cesareo_gabarain/alelu-aleluya.html"&gt;Alelu-aleluya&lt;/a&gt;&lt;/li&gt;</t>
  </si>
  <si>
    <t>&lt;li data-author="Fernando Viejo" data-momento="Compromiso y vocación" data-old="293"&gt;&lt;a href="canciones/fernando_viejo/como_era_pedro.html"&gt;Como era Pedro&lt;/a&gt;&lt;/li&gt;</t>
  </si>
  <si>
    <t>&lt;li data-author="Juan Antonio Espinosa" data-momento="Entrada" data-nold="272" data-nnew="A33"&gt;&lt;a href="canciones/juan_antonio_espinosa/un_pueblo_que_camina_por_el_mundo.html"&gt;Un pueblo que camina por el mundo&lt;/a&gt;&lt;/li&gt;</t>
  </si>
  <si>
    <t>&lt;li data-author="Kairoi" data-momento="Paz" data-nold="201" data-nnew="I06"&gt;&lt;a href="canciones/kairoi/paz_en_la_tierra.html"&gt;Paz en la tierra&lt;/a&gt;&lt;/li&gt;</t>
  </si>
  <si>
    <t>&lt;li data-author="Kairoi"&gt;&lt;a href="canciones/kairoi/padre_nuestro_ii.html"&gt;Padrenuestro II&lt;/a&gt;&lt;/li&gt;</t>
  </si>
  <si>
    <t>&lt;li data-author="Kairoi"&gt;&lt;a href="canciones/kairoi/padre_nuestro_i.html"&gt;Padre nuestro I&lt;/a&gt;&lt;/li&gt;</t>
  </si>
  <si>
    <t>&lt;li data-author="Carmelo Erdozáin" data-momento="Padrenuestro" data-nnew="H02"&gt;&lt;a href="canciones/carmelo_erdozain/padre_nuestro_(erdozain).html"&gt;Padre nuestro (Erdozáin)&lt;/a&gt;&lt;/li&gt;</t>
  </si>
  <si>
    <t>Junto a ti, María</t>
  </si>
  <si>
    <t>&lt;li data-author="Anónimo" data-momento="Adviento" data-nold="5" data-nnew="-"&gt;&lt;a href="canciones/perpetuo_socorro/abrid_de_par_en_par.html"&gt;Abrid de par en par&lt;/a&gt;&lt;/li&gt;</t>
  </si>
  <si>
    <t>&lt;li data-momento="Navidad" data-nnew="O10"&gt;&lt;a href="canciones/villancicos/hoy_en_la_tierra.html"&gt;Hoy en la tierra&lt;/a&gt;&lt;/li&gt;</t>
  </si>
  <si>
    <t>&lt;li data-author="Carmelo Erdozáin" data-momento="Adviento" data-nnew="-"&gt;&lt;a href="canciones/carmelo_erdozain/se_acerca_el_reino_de_dios.html"&gt;Se acerca el Reino de Dios&lt;/a&gt;&lt;/li&gt;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</si>
  <si>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</si>
  <si>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</si>
  <si>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</si>
  <si>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</si>
  <si>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</si>
  <si>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</si>
  <si>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</si>
  <si>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</si>
  <si>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</si>
  <si>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</si>
  <si>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</si>
  <si>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</si>
  <si>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</si>
  <si>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</si>
  <si>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</si>
  <si>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</si>
  <si>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</si>
  <si>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</si>
  <si>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</si>
  <si>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</si>
  <si>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</si>
  <si>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</si>
  <si>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</si>
  <si>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</si>
  <si>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</si>
  <si>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La Anunciación y Luispo</t>
  </si>
  <si>
    <t>Jesús Adrián Romero</t>
  </si>
  <si>
    <t>Lili Zaidín</t>
  </si>
  <si>
    <t>Steve Merkel</t>
  </si>
  <si>
    <t>Sagrada Familia</t>
  </si>
  <si>
    <t>Chema</t>
  </si>
  <si>
    <t>Bruno Conte y Carlos Ferrante</t>
  </si>
  <si>
    <t>título</t>
  </si>
  <si>
    <t>sólo html?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</si>
  <si>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</si>
  <si>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</si>
  <si>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</si>
  <si>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</si>
  <si>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</si>
  <si>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</si>
  <si>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</si>
  <si>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</si>
  <si>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</si>
  <si>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</si>
  <si>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</si>
  <si>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</si>
  <si>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</si>
  <si>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</si>
  <si>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</si>
  <si>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</si>
  <si>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</si>
  <si>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</si>
  <si>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</si>
  <si>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</si>
  <si>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</si>
  <si>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</si>
  <si>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</si>
  <si>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</si>
  <si>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</si>
  <si>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</si>
  <si>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</si>
  <si>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</si>
  <si>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</si>
  <si>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</si>
  <si>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</si>
  <si>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</si>
  <si>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</si>
  <si>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</si>
  <si>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</si>
  <si>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</si>
  <si>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</si>
  <si>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</si>
  <si>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</si>
  <si>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</si>
  <si>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</si>
  <si>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</si>
  <si>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</si>
  <si>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</si>
  <si>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</si>
  <si>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Camino, Verdad y Vida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</si>
  <si>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</si>
  <si>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</si>
  <si>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</si>
  <si>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</si>
  <si>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</si>
  <si>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</si>
  <si>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</si>
  <si>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</si>
  <si>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</si>
  <si>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</si>
  <si>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</si>
  <si>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</si>
  <si>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</si>
  <si>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</si>
  <si>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</si>
  <si>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</si>
  <si>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</si>
  <si>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</si>
  <si>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</si>
  <si>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</si>
  <si>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</si>
  <si>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</si>
  <si>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</si>
  <si>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</si>
  <si>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</si>
  <si>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</si>
  <si>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</si>
  <si>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</si>
  <si>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</si>
  <si>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</si>
  <si>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</si>
  <si>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</si>
  <si>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</si>
  <si>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</si>
  <si>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</si>
  <si>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</si>
  <si>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</si>
  <si>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</si>
  <si>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</si>
  <si>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</si>
  <si>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</si>
  <si>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</si>
  <si>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</si>
  <si>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</si>
  <si>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</si>
  <si>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</si>
  <si>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</si>
  <si>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</si>
  <si>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</si>
  <si>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</si>
  <si>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</si>
  <si>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</si>
  <si>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</si>
  <si>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</si>
  <si>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</si>
  <si>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</si>
  <si>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</si>
  <si>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</si>
  <si>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</si>
  <si>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</si>
  <si>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</si>
  <si>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</si>
  <si>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</si>
  <si>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</si>
  <si>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</si>
  <si>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</si>
  <si>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</si>
  <si>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</si>
  <si>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</si>
  <si>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</si>
  <si>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</si>
  <si>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</si>
  <si>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</si>
  <si>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</si>
  <si>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</si>
  <si>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</si>
  <si>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</si>
  <si>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</si>
  <si>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</si>
  <si>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</si>
  <si>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126</t>
  </si>
  <si>
    <t>Salmo 118</t>
  </si>
  <si>
    <t>Salmo 139</t>
  </si>
  <si>
    <t>Salmo 25</t>
  </si>
  <si>
    <t>Salmo 101</t>
  </si>
  <si>
    <t>Salmo 138</t>
  </si>
  <si>
    <t>Salmo 121</t>
  </si>
  <si>
    <t>Salmo 72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</si>
  <si>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</si>
  <si>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</si>
  <si>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</si>
  <si>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</si>
  <si>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</si>
  <si>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</si>
  <si>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</si>
  <si>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</si>
  <si>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</si>
  <si>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</si>
  <si>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</si>
  <si>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</si>
  <si>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</si>
  <si>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</si>
  <si>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</si>
  <si>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</si>
  <si>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</si>
  <si>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</si>
  <si>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</si>
  <si>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</si>
  <si>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</si>
  <si>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</si>
  <si>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</si>
  <si>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</si>
  <si>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</si>
  <si>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</si>
  <si>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</si>
  <si>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</si>
  <si>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</si>
  <si>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</si>
  <si>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</si>
  <si>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</si>
  <si>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</si>
  <si>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</si>
  <si>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</si>
  <si>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</si>
  <si>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</si>
  <si>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Salmo 43</t>
  </si>
  <si>
    <t>Salmo 34</t>
  </si>
  <si>
    <t>Salmo 16</t>
  </si>
  <si>
    <t>Salmo 80</t>
  </si>
  <si>
    <t>Salmo 9</t>
  </si>
  <si>
    <t>Salmo 104</t>
  </si>
  <si>
    <t>Salmo 141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</si>
  <si>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</si>
  <si>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</si>
  <si>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</si>
  <si>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</si>
  <si>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</si>
  <si>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</si>
  <si>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</si>
  <si>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</si>
  <si>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</si>
  <si>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</si>
  <si>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</si>
  <si>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</si>
  <si>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</si>
  <si>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</si>
  <si>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</si>
  <si>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</si>
  <si>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</si>
  <si>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&lt;/ul&gt;
&lt;h2 id="aink"&gt;Ain Karem&lt;/h2&gt;
&lt;ul class="lista"&gt;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</si>
  <si>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</si>
  <si>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</si>
  <si>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</si>
  <si>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</si>
  <si>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</si>
  <si>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</si>
  <si>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</si>
  <si>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Juan Jauregui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</si>
  <si>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</si>
  <si>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</si>
  <si>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</si>
  <si>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</si>
  <si>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</si>
  <si>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</si>
  <si>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</si>
  <si>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</si>
  <si>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</si>
  <si>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</si>
  <si>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</si>
  <si>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</si>
  <si>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</si>
  <si>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</si>
  <si>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</si>
  <si>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</si>
  <si>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</si>
  <si>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</si>
  <si>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</si>
  <si>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</si>
  <si>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</si>
  <si>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</si>
  <si>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</si>
  <si>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</si>
  <si>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</si>
  <si>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</si>
  <si>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</si>
  <si>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</si>
  <si>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</si>
  <si>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</si>
  <si>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</si>
  <si>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</si>
  <si>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</si>
  <si>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</si>
  <si>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</si>
  <si>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</si>
  <si>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</si>
  <si>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</si>
  <si>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</si>
  <si>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</si>
  <si>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</si>
  <si>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</si>
  <si>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</si>
  <si>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</si>
  <si>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</si>
  <si>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</si>
  <si>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</si>
  <si>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</si>
  <si>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</si>
  <si>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</si>
  <si>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</si>
  <si>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</si>
  <si>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</si>
  <si>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</si>
  <si>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</si>
  <si>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</si>
  <si>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</si>
  <si>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</si>
  <si>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</si>
  <si>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</si>
  <si>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</si>
  <si>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</si>
  <si>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</si>
  <si>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</si>
  <si>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</si>
  <si>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</si>
  <si>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</si>
  <si>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</si>
  <si>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</si>
  <si>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</si>
  <si>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</si>
  <si>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</si>
  <si>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</si>
  <si>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</si>
  <si>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</si>
  <si>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</si>
  <si>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</si>
  <si>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</si>
  <si>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</si>
  <si>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</si>
  <si>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</si>
  <si>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</si>
  <si>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</si>
  <si>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</si>
  <si>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</si>
  <si>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</si>
  <si>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</si>
  <si>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</si>
  <si>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</si>
  <si>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</si>
  <si>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</si>
  <si>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</si>
  <si>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</si>
  <si>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</si>
  <si>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</si>
  <si>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</si>
  <si>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</si>
  <si>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</si>
  <si>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</si>
  <si>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</si>
  <si>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</si>
  <si>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</si>
  <si>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</si>
  <si>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</si>
  <si>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</si>
  <si>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</si>
  <si>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</si>
  <si>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</si>
  <si>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</si>
  <si>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</si>
  <si>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</si>
  <si>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</si>
  <si>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</si>
  <si>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</si>
  <si>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</si>
  <si>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</si>
  <si>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</si>
  <si>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</si>
  <si>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</si>
  <si>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</si>
  <si>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</si>
  <si>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</si>
  <si>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</si>
  <si>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</si>
  <si>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</si>
  <si>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</si>
  <si>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</si>
  <si>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</si>
  <si>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</si>
  <si>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</si>
  <si>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</si>
  <si>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</si>
  <si>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</si>
  <si>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</si>
  <si>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</si>
  <si>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</si>
  <si>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</si>
  <si>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</si>
  <si>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</si>
  <si>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</si>
  <si>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</si>
  <si>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</si>
  <si>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</si>
  <si>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</si>
  <si>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</si>
  <si>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</si>
  <si>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</si>
  <si>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</si>
  <si>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</si>
  <si>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</si>
  <si>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</si>
  <si>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</si>
  <si>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</si>
  <si>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</si>
  <si>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</si>
  <si>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</si>
  <si>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</si>
  <si>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</si>
  <si>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</si>
  <si>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</si>
  <si>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</si>
  <si>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</si>
  <si>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</si>
  <si>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</si>
  <si>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</si>
  <si>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</si>
  <si>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</si>
  <si>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</si>
  <si>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</si>
  <si>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</si>
  <si>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</si>
  <si>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</si>
  <si>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</si>
  <si>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</si>
  <si>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</si>
  <si>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</si>
  <si>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</si>
  <si>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Cesar Nebot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</si>
  <si>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</si>
  <si>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</si>
  <si>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</si>
  <si>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</si>
  <si>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</si>
  <si>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</si>
  <si>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</si>
  <si>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</si>
  <si>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</si>
  <si>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</si>
  <si>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</si>
  <si>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</si>
  <si>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</si>
  <si>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</si>
  <si>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</si>
  <si>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</si>
  <si>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</si>
  <si>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</si>
  <si>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</si>
  <si>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</si>
  <si>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</si>
  <si>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</si>
  <si>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</si>
  <si>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</si>
  <si>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</si>
  <si>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</si>
  <si>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</si>
  <si>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</si>
  <si>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</si>
  <si>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</si>
  <si>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</si>
  <si>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</si>
  <si>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</si>
  <si>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</si>
  <si>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</si>
  <si>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</si>
  <si>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</si>
  <si>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</si>
  <si>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</si>
  <si>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</si>
  <si>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</si>
  <si>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</si>
  <si>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</si>
  <si>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</si>
  <si>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</si>
  <si>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</si>
  <si>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</si>
  <si>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</si>
  <si>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</si>
  <si>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</si>
  <si>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</si>
  <si>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</si>
  <si>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</si>
  <si>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</si>
  <si>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</si>
  <si>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</si>
  <si>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Al que está sentado en el trono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</si>
  <si>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</si>
  <si>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</si>
  <si>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</si>
  <si>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</si>
  <si>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</si>
  <si>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</si>
  <si>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</si>
  <si>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</si>
  <si>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</si>
  <si>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</si>
  <si>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</si>
  <si>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</si>
  <si>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</si>
  <si>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</si>
  <si>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</si>
  <si>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</si>
  <si>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</si>
  <si>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</si>
  <si>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</si>
  <si>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</si>
  <si>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</si>
  <si>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</si>
  <si>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</si>
  <si>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</si>
  <si>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</si>
  <si>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</si>
  <si>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</si>
  <si>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</si>
  <si>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</si>
  <si>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</si>
  <si>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</si>
  <si>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</si>
  <si>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</si>
  <si>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</si>
  <si>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</si>
  <si>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</si>
  <si>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</si>
  <si>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</si>
  <si>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</si>
  <si>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</si>
  <si>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</si>
  <si>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</si>
  <si>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</si>
  <si>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</si>
  <si>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</si>
  <si>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</si>
  <si>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</si>
  <si>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</si>
  <si>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</si>
  <si>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</si>
  <si>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</si>
  <si>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</si>
  <si>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</si>
  <si>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</si>
  <si>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</si>
  <si>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</si>
  <si>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</si>
  <si>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</si>
  <si>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</si>
  <si>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</si>
  <si>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</si>
  <si>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</si>
  <si>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</si>
  <si>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</si>
  <si>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</si>
  <si>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</si>
  <si>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</si>
  <si>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</si>
  <si>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</si>
  <si>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</si>
  <si>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</si>
  <si>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</si>
  <si>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</si>
  <si>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</si>
  <si>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</si>
  <si>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</si>
  <si>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</si>
  <si>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</si>
  <si>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</si>
  <si>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</si>
  <si>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</si>
  <si>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</si>
  <si>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</si>
  <si>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</si>
  <si>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</si>
  <si>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</si>
  <si>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</si>
  <si>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</si>
  <si>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</si>
  <si>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</si>
  <si>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</si>
  <si>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</si>
  <si>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Abbá, Padre, escúchame</t>
  </si>
  <si>
    <t>Gocam</t>
  </si>
  <si>
    <t>Ponte ya de pie</t>
  </si>
  <si>
    <t>Dame vida</t>
  </si>
  <si>
    <t>Brotes de olivo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</si>
  <si>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</si>
  <si>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</si>
  <si>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</si>
  <si>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</si>
  <si>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</si>
  <si>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</si>
  <si>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</si>
  <si>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</si>
  <si>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</si>
  <si>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</si>
  <si>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</si>
  <si>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</si>
  <si>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</si>
  <si>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</si>
  <si>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</si>
  <si>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</si>
  <si>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</si>
  <si>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</si>
  <si>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</si>
  <si>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</si>
  <si>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</si>
  <si>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</si>
  <si>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</si>
  <si>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</si>
  <si>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</si>
  <si>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</si>
  <si>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</si>
  <si>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</si>
  <si>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</si>
  <si>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</si>
  <si>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</si>
  <si>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</si>
  <si>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</si>
  <si>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</si>
  <si>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</si>
  <si>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</si>
  <si>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</si>
  <si>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</si>
  <si>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</si>
  <si>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</si>
  <si>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</si>
  <si>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</si>
  <si>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</si>
  <si>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</si>
  <si>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</si>
  <si>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</si>
  <si>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</si>
  <si>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</si>
  <si>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</si>
  <si>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</si>
  <si>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</si>
  <si>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</si>
  <si>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</si>
  <si>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</si>
  <si>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</si>
  <si>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</si>
  <si>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</si>
  <si>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</si>
  <si>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</si>
  <si>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</si>
  <si>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</si>
  <si>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</si>
  <si>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</si>
  <si>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</si>
  <si>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</si>
  <si>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</si>
  <si>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</si>
  <si>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</si>
  <si>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</si>
  <si>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</si>
  <si>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Bernardetto Conte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</si>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</sst>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3" fillId="0" borderId="0" xfId="0" applyFont="1"/>
    <xf numFmtId="0" fontId="3" fillId="6" borderId="0" xfId="0" applyFont="1" applyFill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0" fillId="6" borderId="0" xfId="0" applyFill="1"/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24</v>
    <v>8</v>
    <v>0</v>
    <v>1</v>
  </rv>
  <rv s="1">
    <v>8</v>
    <v>1</v>
  </rv>
  <rv s="2">
    <v>13</v>
    <v>3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53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52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857" totalsRowShown="0" headerRowDxfId="22" dataDxfId="21">
  <autoFilter ref="A1:U1857" xr:uid="{E5A23D2C-4E40-4F63-A29F-33A92F43E326}">
    <filterColumn colId="15">
      <filters>
        <filter val="taize_en_español"/>
      </filters>
    </filterColumn>
  </autoFilter>
  <sortState xmlns:xlrd2="http://schemas.microsoft.com/office/spreadsheetml/2017/richdata2" ref="A2:U1857">
    <sortCondition ref="B1:B1857"/>
  </sortState>
  <tableColumns count="21">
    <tableColumn id="1" xr3:uid="{28F9D52F-B373-4C16-9EB0-742FA80033B2}" name="#" dataDxfId="20">
      <calculatedColumnFormula>ROW(CantoralDB[[#This Row],[Título]])-1</calculatedColumnFormula>
    </tableColumn>
    <tableColumn id="2" xr3:uid="{8468C75C-A50A-4C13-9585-253E65D1C6DC}" name="Título" dataDxfId="19"/>
    <tableColumn id="3" xr3:uid="{860A58D5-5018-4B01-997E-FA1C7E10466E}" name="Momento" dataDxfId="18"/>
    <tableColumn id="5" xr3:uid="{BDD40DF6-5222-45C7-B2A9-85AC09EA0C11}" name="Número" dataDxfId="17"/>
    <tableColumn id="13" xr3:uid="{2A4DE54D-0F8D-43BE-9573-247B4685B078}" name="Número antiguo" dataDxfId="16"/>
    <tableColumn id="9" xr3:uid="{206AD9B5-42C6-450A-8AA3-0E19AC6C1635}" name="Número RCC" dataDxfId="15"/>
    <tableColumn id="4" xr3:uid="{0E9BA84A-E858-4602-8F8B-95ED2B3D75FA}" name="Origen" dataDxfId="14"/>
    <tableColumn id="6" xr3:uid="{57824645-9E68-44A2-9134-D5857E10EADA}" name="Tono" dataDxfId="13"/>
    <tableColumn id="16" xr3:uid="{74F0636D-DDF0-48ED-9EC8-CFB6D218D249}" name="html" dataDxfId="12"/>
    <tableColumn id="7" xr3:uid="{67618C69-BDD7-4BD9-946B-34E3F47B3C35}" name="Ag/Gr" dataDxfId="11"/>
    <tableColumn id="21" xr3:uid="{42087BCE-8000-474B-996C-5C6901AA7438}" name="Columna1" dataDxfId="10"/>
    <tableColumn id="8" xr3:uid="{DB3187B6-7C5F-47A0-9227-10A3F954B33E}" name="Autor" dataDxfId="9"/>
    <tableColumn id="19" xr3:uid="{F618DFF5-BA49-4E4C-8924-E0352B5F3782}" name="Álbum" dataDxfId="8"/>
    <tableColumn id="20" xr3:uid="{0B89F2F7-32E5-4B3D-9943-AE682BFC216A}" name="Nº" dataDxfId="7"/>
    <tableColumn id="18" xr3:uid="{8D0C09FC-5BDC-42E2-A6A2-AFA51ECF62BD}" name="Carpeta" dataDxfId="6">
      <calculatedColumnFormula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calculatedColumnFormula>
    </tableColumn>
    <tableColumn id="24" xr3:uid="{58E4DBD3-E4CB-496C-A861-99A7A5FDDC1F}" name="Sección" dataDxfId="5">
      <calculatedColumnFormula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calculatedColumnFormula>
    </tableColumn>
    <tableColumn id="22" xr3:uid="{87814BA7-B2F9-4543-B1EB-FED007B048FE}" name="Ruta" dataDxfId="4">
      <calculatedColumnFormula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"/>
    <tableColumn id="17" xr3:uid="{CA8CE824-9C3A-4210-80CC-1944C295CBF1}" name="Linked" dataDxfId="2"/>
    <tableColumn id="23" xr3:uid="{C94C48E6-541E-4213-940B-0A99D953D361}" name="index.html" dataDxfId="1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calculatedColumnFormula>
    </tableColumn>
    <tableColumn id="26" xr3:uid="{EDD5BD0B-0378-43F8-BE71-0DD5E0F2139E}" name="check" dataDxfId="0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26" totalsRowShown="0">
  <autoFilter ref="A1:F2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51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50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49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48" dataDxfId="47">
  <autoFilter ref="A1:J192" xr:uid="{1873180A-6BA4-4B4A-8234-F06744FE5A85}"/>
  <tableColumns count="10">
    <tableColumn id="10" xr3:uid="{2FD7DDC6-FB48-4199-8DD6-F60F8557AB5D}" name="Núm" dataDxfId="46">
      <calculatedColumnFormula>ROW(Tabla2[[#This Row],[Taizé]])-1</calculatedColumnFormula>
    </tableColumn>
    <tableColumn id="1" xr3:uid="{C050135E-7F5B-4CC0-A526-1AFC1728A3E0}" name="Taizé" dataDxfId="45"/>
    <tableColumn id="9" xr3:uid="{B74F8AB2-9832-40FB-A64E-784A3E9F1C6A}" name="2018-2019" dataDxfId="44"/>
    <tableColumn id="7" xr3:uid="{E61BFD7F-1AF7-4812-AA22-36B3F8E1DEC2}" name="2020-2021" dataDxfId="43"/>
    <tableColumn id="6" xr3:uid="{AB50F679-302E-4542-9FC0-04CF5D53D122}" name="2023-2024" dataDxfId="42"/>
    <tableColumn id="2" xr3:uid="{2E7155EB-888D-439C-9E36-47C9AC89B92A}" name="Columna1" dataDxfId="41"/>
    <tableColumn id="3" xr3:uid="{EF0CEA37-31CF-4F5C-87D1-BFE43E99F766}" name="Columna2" dataDxfId="40"/>
    <tableColumn id="4" xr3:uid="{F7AB2284-6C89-4A29-9E66-5F507EC503AC}" name="Columna3" dataDxfId="39"/>
    <tableColumn id="5" xr3:uid="{3774AC68-B43A-4A65-A2E9-84B0B6F66875}" name="Columna4" dataDxfId="38"/>
    <tableColumn id="8" xr3:uid="{CA9EF22D-29E2-4EAE-B820-1DE3481B3A43}" name="Español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650</v>
      </c>
      <c r="B1" t="s">
        <v>795</v>
      </c>
      <c r="C1" t="s">
        <v>478</v>
      </c>
      <c r="D1" t="s">
        <v>1203</v>
      </c>
      <c r="E1" t="s">
        <v>1522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612</v>
      </c>
    </row>
    <row r="3" spans="1:6" x14ac:dyDescent="0.3">
      <c r="A3" s="16">
        <v>2</v>
      </c>
      <c r="B3" t="s">
        <v>1196</v>
      </c>
      <c r="C3" t="s">
        <v>481</v>
      </c>
      <c r="D3" t="str">
        <f>IF(ISNUMBER(MATCH(Tabla4[[#This Row],[Título]],CantoralDB[Título],0)),"OK","-")</f>
        <v>OK</v>
      </c>
      <c r="E3" t="s">
        <v>799</v>
      </c>
    </row>
    <row r="4" spans="1:6" x14ac:dyDescent="0.3">
      <c r="A4" s="16">
        <v>3</v>
      </c>
      <c r="B4" t="s">
        <v>1197</v>
      </c>
      <c r="C4" t="s">
        <v>2137</v>
      </c>
      <c r="D4" t="str">
        <f>IF(ISNUMBER(MATCH(Tabla4[[#This Row],[Título]],CantoralDB[Título],0)),"OK","-")</f>
        <v>OK</v>
      </c>
      <c r="E4" t="s">
        <v>799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612</v>
      </c>
    </row>
    <row r="6" spans="1:6" x14ac:dyDescent="0.3">
      <c r="A6" s="16">
        <v>5</v>
      </c>
      <c r="B6" t="s">
        <v>1198</v>
      </c>
      <c r="C6" t="s">
        <v>2136</v>
      </c>
      <c r="D6" t="str">
        <f>IF(ISNUMBER(MATCH(Tabla4[[#This Row],[Título]],CantoralDB[Título],0)),"OK","-")</f>
        <v>OK</v>
      </c>
      <c r="E6" t="s">
        <v>799</v>
      </c>
    </row>
    <row r="7" spans="1:6" x14ac:dyDescent="0.3">
      <c r="A7" s="16">
        <v>6</v>
      </c>
      <c r="B7" t="s">
        <v>1199</v>
      </c>
      <c r="C7" t="s">
        <v>481</v>
      </c>
      <c r="D7" t="str">
        <f>IF(ISNUMBER(MATCH(Tabla4[[#This Row],[Título]],CantoralDB[Título],0)),"OK","-")</f>
        <v>OK</v>
      </c>
      <c r="E7" t="s">
        <v>799</v>
      </c>
    </row>
    <row r="8" spans="1:6" x14ac:dyDescent="0.3">
      <c r="A8" s="16">
        <v>7</v>
      </c>
      <c r="B8" t="s">
        <v>1200</v>
      </c>
      <c r="C8" t="s">
        <v>2136</v>
      </c>
      <c r="D8" t="str">
        <f>IF(ISNUMBER(MATCH(Tabla4[[#This Row],[Título]],CantoralDB[Título],0)),"OK","-")</f>
        <v>OK</v>
      </c>
      <c r="E8" t="s">
        <v>799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612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612</v>
      </c>
    </row>
    <row r="11" spans="1:6" x14ac:dyDescent="0.3">
      <c r="A11" s="16">
        <v>10</v>
      </c>
      <c r="B11" t="s">
        <v>12</v>
      </c>
      <c r="C11" t="s">
        <v>2205</v>
      </c>
      <c r="D11" t="str">
        <f>IF(ISNUMBER(MATCH(Tabla4[[#This Row],[Título]],CantoralDB[Título],0)),"OK","-")</f>
        <v>OK</v>
      </c>
      <c r="E11" t="s">
        <v>612</v>
      </c>
    </row>
    <row r="12" spans="1:6" x14ac:dyDescent="0.3">
      <c r="A12" s="16">
        <v>11</v>
      </c>
      <c r="B12" t="s">
        <v>1201</v>
      </c>
      <c r="C12" t="s">
        <v>487</v>
      </c>
      <c r="D12" t="str">
        <f>IF(ISNUMBER(MATCH(Tabla4[[#This Row],[Título]],CantoralDB[Título],0)),"OK","-")</f>
        <v>OK</v>
      </c>
      <c r="E12" t="s">
        <v>799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612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612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612</v>
      </c>
    </row>
    <row r="16" spans="1:6" x14ac:dyDescent="0.3">
      <c r="A16" s="16">
        <v>15</v>
      </c>
      <c r="B16" t="s">
        <v>1202</v>
      </c>
      <c r="C16" t="s">
        <v>2138</v>
      </c>
      <c r="D16" t="str">
        <f>IF(ISNUMBER(MATCH(Tabla4[[#This Row],[Título]],CantoralDB[Título],0)),"OK","-")</f>
        <v>OK</v>
      </c>
      <c r="E16" t="s">
        <v>799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612</v>
      </c>
    </row>
    <row r="18" spans="1:5" x14ac:dyDescent="0.3">
      <c r="A18" s="16">
        <v>17</v>
      </c>
      <c r="B18" t="s">
        <v>1204</v>
      </c>
      <c r="C18" t="s">
        <v>518</v>
      </c>
      <c r="D18" t="str">
        <f>IF(ISNUMBER(MATCH(Tabla4[[#This Row],[Título]],CantoralDB[Título],0)),"OK","-")</f>
        <v>OK</v>
      </c>
      <c r="E18" t="s">
        <v>799</v>
      </c>
    </row>
    <row r="19" spans="1:5" x14ac:dyDescent="0.3">
      <c r="A19" s="16">
        <v>18</v>
      </c>
      <c r="B19" t="s">
        <v>1205</v>
      </c>
      <c r="C19" t="s">
        <v>481</v>
      </c>
      <c r="D19" t="str">
        <f>IF(ISNUMBER(MATCH(Tabla4[[#This Row],[Título]],CantoralDB[Título],0)),"OK","-")</f>
        <v>-</v>
      </c>
      <c r="E19" t="s">
        <v>799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612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799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612</v>
      </c>
    </row>
    <row r="23" spans="1:5" x14ac:dyDescent="0.3">
      <c r="A23" s="16">
        <v>22</v>
      </c>
      <c r="B23" t="s">
        <v>1206</v>
      </c>
      <c r="C23" t="s">
        <v>2137</v>
      </c>
      <c r="D23" t="str">
        <f>IF(ISNUMBER(MATCH(Tabla4[[#This Row],[Título]],CantoralDB[Título],0)),"OK","-")</f>
        <v>OK</v>
      </c>
      <c r="E23" t="s">
        <v>612</v>
      </c>
    </row>
    <row r="24" spans="1:5" x14ac:dyDescent="0.3">
      <c r="A24" s="16">
        <v>23</v>
      </c>
      <c r="B24" t="s">
        <v>204</v>
      </c>
      <c r="C24" t="s">
        <v>545</v>
      </c>
      <c r="D24" t="str">
        <f>IF(ISNUMBER(MATCH(Tabla4[[#This Row],[Título]],CantoralDB[Título],0)),"OK","-")</f>
        <v>OK</v>
      </c>
      <c r="E24" t="s">
        <v>612</v>
      </c>
    </row>
    <row r="25" spans="1:5" x14ac:dyDescent="0.3">
      <c r="A25" s="16">
        <v>24</v>
      </c>
      <c r="B25" t="s">
        <v>1207</v>
      </c>
      <c r="C25" t="s">
        <v>479</v>
      </c>
      <c r="D25" t="str">
        <f>IF(ISNUMBER(MATCH(Tabla4[[#This Row],[Título]],CantoralDB[Título],0)),"OK","-")</f>
        <v>OK</v>
      </c>
      <c r="E25" t="s">
        <v>612</v>
      </c>
    </row>
    <row r="26" spans="1:5" x14ac:dyDescent="0.3">
      <c r="A26" s="16">
        <v>25</v>
      </c>
      <c r="B26" t="s">
        <v>1208</v>
      </c>
      <c r="C26" t="s">
        <v>487</v>
      </c>
      <c r="D26" t="str">
        <f>IF(ISNUMBER(MATCH(Tabla4[[#This Row],[Título]],CantoralDB[Título],0)),"OK","-")</f>
        <v>OK</v>
      </c>
      <c r="E26" t="s">
        <v>799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612</v>
      </c>
    </row>
    <row r="28" spans="1:5" x14ac:dyDescent="0.3">
      <c r="A28" s="16">
        <v>27</v>
      </c>
      <c r="B28" t="s">
        <v>1209</v>
      </c>
      <c r="C28" t="s">
        <v>481</v>
      </c>
      <c r="D28" t="str">
        <f>IF(ISNUMBER(MATCH(Tabla4[[#This Row],[Título]],CantoralDB[Título],0)),"OK","-")</f>
        <v>OK</v>
      </c>
      <c r="E28" t="s">
        <v>799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612</v>
      </c>
    </row>
    <row r="30" spans="1:5" x14ac:dyDescent="0.3">
      <c r="A30" s="16">
        <v>29</v>
      </c>
      <c r="B30" t="s">
        <v>1210</v>
      </c>
      <c r="C30" t="s">
        <v>2140</v>
      </c>
      <c r="D30" t="str">
        <f>IF(ISNUMBER(MATCH(Tabla4[[#This Row],[Título]],CantoralDB[Título],0)),"OK","-")</f>
        <v>OK</v>
      </c>
      <c r="E30" t="s">
        <v>799</v>
      </c>
    </row>
    <row r="31" spans="1:5" x14ac:dyDescent="0.3">
      <c r="A31" s="16">
        <v>30</v>
      </c>
      <c r="B31" t="s">
        <v>1211</v>
      </c>
      <c r="C31" t="s">
        <v>2141</v>
      </c>
      <c r="D31" t="str">
        <f>IF(ISNUMBER(MATCH(Tabla4[[#This Row],[Título]],CantoralDB[Título],0)),"OK","-")</f>
        <v>OK</v>
      </c>
      <c r="E31" t="s">
        <v>799</v>
      </c>
    </row>
    <row r="32" spans="1:5" x14ac:dyDescent="0.3">
      <c r="A32" s="16">
        <v>31</v>
      </c>
      <c r="B32" t="s">
        <v>4</v>
      </c>
      <c r="C32" t="s">
        <v>2139</v>
      </c>
      <c r="D32" t="str">
        <f>IF(ISNUMBER(MATCH(Tabla4[[#This Row],[Título]],CantoralDB[Título],0)),"OK","-")</f>
        <v>OK</v>
      </c>
      <c r="E32" t="s">
        <v>612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612</v>
      </c>
    </row>
    <row r="34" spans="1:5" x14ac:dyDescent="0.3">
      <c r="A34" s="16">
        <v>33</v>
      </c>
      <c r="B34" t="s">
        <v>1212</v>
      </c>
      <c r="C34" t="s">
        <v>487</v>
      </c>
      <c r="D34" t="str">
        <f>IF(ISNUMBER(MATCH(Tabla4[[#This Row],[Título]],CantoralDB[Título],0)),"OK","-")</f>
        <v>OK</v>
      </c>
      <c r="E34" t="s">
        <v>799</v>
      </c>
    </row>
    <row r="35" spans="1:5" x14ac:dyDescent="0.3">
      <c r="A35" s="16">
        <v>34</v>
      </c>
      <c r="B35" t="s">
        <v>27</v>
      </c>
      <c r="C35" t="s">
        <v>547</v>
      </c>
      <c r="D35" t="str">
        <f>IF(ISNUMBER(MATCH(Tabla4[[#This Row],[Título]],CantoralDB[Título],0)),"OK","-")</f>
        <v>OK</v>
      </c>
      <c r="E35" t="s">
        <v>612</v>
      </c>
    </row>
    <row r="36" spans="1:5" x14ac:dyDescent="0.3">
      <c r="A36" s="16">
        <v>35</v>
      </c>
      <c r="B36" t="s">
        <v>1213</v>
      </c>
      <c r="C36" t="s">
        <v>491</v>
      </c>
      <c r="D36" t="str">
        <f>IF(ISNUMBER(MATCH(Tabla4[[#This Row],[Título]],CantoralDB[Título],0)),"OK","-")</f>
        <v>OK</v>
      </c>
      <c r="E36" t="s">
        <v>612</v>
      </c>
    </row>
    <row r="37" spans="1:5" x14ac:dyDescent="0.3">
      <c r="A37" s="16">
        <v>36</v>
      </c>
      <c r="B37" t="s">
        <v>1216</v>
      </c>
      <c r="C37" t="s">
        <v>481</v>
      </c>
      <c r="D37" t="str">
        <f>IF(ISNUMBER(MATCH(Tabla4[[#This Row],[Título]],CantoralDB[Título],0)),"OK","-")</f>
        <v>-</v>
      </c>
      <c r="E37" t="s">
        <v>799</v>
      </c>
    </row>
    <row r="38" spans="1:5" x14ac:dyDescent="0.3">
      <c r="A38" s="16">
        <v>37</v>
      </c>
      <c r="B38" t="s">
        <v>1215</v>
      </c>
      <c r="C38" t="s">
        <v>510</v>
      </c>
      <c r="D38" t="str">
        <f>IF(ISNUMBER(MATCH(Tabla4[[#This Row],[Título]],CantoralDB[Título],0)),"OK","-")</f>
        <v>OK</v>
      </c>
      <c r="E38" t="s">
        <v>799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612</v>
      </c>
    </row>
    <row r="40" spans="1:5" x14ac:dyDescent="0.3">
      <c r="A40" s="16">
        <v>39</v>
      </c>
      <c r="B40" t="s">
        <v>1214</v>
      </c>
      <c r="C40" t="s">
        <v>491</v>
      </c>
      <c r="D40" t="str">
        <f>IF(ISNUMBER(MATCH(Tabla4[[#This Row],[Título]],CantoralDB[Título],0)),"OK","-")</f>
        <v>OK</v>
      </c>
      <c r="E40" t="s">
        <v>799</v>
      </c>
    </row>
    <row r="41" spans="1:5" x14ac:dyDescent="0.3">
      <c r="A41" s="16">
        <v>40</v>
      </c>
      <c r="B41" t="s">
        <v>550</v>
      </c>
      <c r="C41" t="s">
        <v>518</v>
      </c>
      <c r="D41" t="str">
        <f>IF(ISNUMBER(MATCH(Tabla4[[#This Row],[Título]],CantoralDB[Título],0)),"OK","-")</f>
        <v>OK</v>
      </c>
      <c r="E41" t="s">
        <v>612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612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612</v>
      </c>
    </row>
    <row r="44" spans="1:5" x14ac:dyDescent="0.3">
      <c r="A44" s="16">
        <v>43</v>
      </c>
      <c r="B44" t="s">
        <v>1217</v>
      </c>
      <c r="C44" t="s">
        <v>2142</v>
      </c>
      <c r="D44" t="str">
        <f>IF(ISNUMBER(MATCH(Tabla4[[#This Row],[Título]],CantoralDB[Título],0)),"OK","-")</f>
        <v>OK</v>
      </c>
      <c r="E44" t="s">
        <v>799</v>
      </c>
    </row>
    <row r="45" spans="1:5" x14ac:dyDescent="0.3">
      <c r="A45" s="16">
        <v>44</v>
      </c>
      <c r="B45" t="s">
        <v>1218</v>
      </c>
      <c r="C45" t="s">
        <v>479</v>
      </c>
      <c r="D45" t="str">
        <f>IF(ISNUMBER(MATCH(Tabla4[[#This Row],[Título]],CantoralDB[Título],0)),"OK","-")</f>
        <v>OK</v>
      </c>
      <c r="E45" t="s">
        <v>799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612</v>
      </c>
    </row>
    <row r="47" spans="1:5" x14ac:dyDescent="0.3">
      <c r="A47" s="16">
        <v>46</v>
      </c>
      <c r="B47" t="s">
        <v>1219</v>
      </c>
      <c r="C47" t="s">
        <v>2142</v>
      </c>
      <c r="D47" t="str">
        <f>IF(ISNUMBER(MATCH(Tabla4[[#This Row],[Título]],CantoralDB[Título],0)),"OK","-")</f>
        <v>OK</v>
      </c>
      <c r="E47" t="s">
        <v>799</v>
      </c>
    </row>
    <row r="48" spans="1:5" x14ac:dyDescent="0.3">
      <c r="A48" s="16">
        <v>47</v>
      </c>
      <c r="B48" t="s">
        <v>1220</v>
      </c>
      <c r="C48" t="s">
        <v>2143</v>
      </c>
      <c r="D48" t="str">
        <f>IF(ISNUMBER(MATCH(Tabla4[[#This Row],[Título]],CantoralDB[Título],0)),"OK","-")</f>
        <v>OK</v>
      </c>
      <c r="E48" t="s">
        <v>799</v>
      </c>
    </row>
    <row r="49" spans="1:5" x14ac:dyDescent="0.3">
      <c r="A49" s="16">
        <v>48</v>
      </c>
      <c r="B49" t="s">
        <v>1221</v>
      </c>
      <c r="C49" t="s">
        <v>485</v>
      </c>
      <c r="D49" t="str">
        <f>IF(ISNUMBER(MATCH(Tabla4[[#This Row],[Título]],CantoralDB[Título],0)),"OK","-")</f>
        <v>OK</v>
      </c>
      <c r="E49" t="s">
        <v>799</v>
      </c>
    </row>
    <row r="50" spans="1:5" x14ac:dyDescent="0.3">
      <c r="A50" s="16">
        <v>49</v>
      </c>
      <c r="B50" t="s">
        <v>1222</v>
      </c>
      <c r="C50" t="s">
        <v>2146</v>
      </c>
      <c r="D50" t="str">
        <f>IF(ISNUMBER(MATCH(Tabla4[[#This Row],[Título]],CantoralDB[Título],0)),"OK","-")</f>
        <v>OK</v>
      </c>
      <c r="E50" t="s">
        <v>799</v>
      </c>
    </row>
    <row r="51" spans="1:5" x14ac:dyDescent="0.3">
      <c r="A51" s="16">
        <v>50</v>
      </c>
      <c r="B51" t="s">
        <v>32</v>
      </c>
      <c r="C51" t="s">
        <v>547</v>
      </c>
      <c r="D51" t="str">
        <f>IF(ISNUMBER(MATCH(Tabla4[[#This Row],[Título]],CantoralDB[Título],0)),"OK","-")</f>
        <v>OK</v>
      </c>
      <c r="E51" t="s">
        <v>612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612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612</v>
      </c>
    </row>
    <row r="54" spans="1:5" x14ac:dyDescent="0.3">
      <c r="A54" s="16">
        <v>53</v>
      </c>
      <c r="B54" t="s">
        <v>1223</v>
      </c>
      <c r="C54" t="s">
        <v>510</v>
      </c>
      <c r="D54" t="str">
        <f>IF(ISNUMBER(MATCH(Tabla4[[#This Row],[Título]],CantoralDB[Título],0)),"OK","-")</f>
        <v>OK</v>
      </c>
      <c r="E54" t="s">
        <v>799</v>
      </c>
    </row>
    <row r="55" spans="1:5" x14ac:dyDescent="0.3">
      <c r="A55" s="16" t="s">
        <v>1229</v>
      </c>
      <c r="B55" t="s">
        <v>1224</v>
      </c>
      <c r="C55" t="s">
        <v>486</v>
      </c>
      <c r="D55" t="str">
        <f>IF(ISNUMBER(MATCH(Tabla4[[#This Row],[Título]],CantoralDB[Título],0)),"OK","-")</f>
        <v>OK</v>
      </c>
      <c r="E55" t="s">
        <v>799</v>
      </c>
    </row>
    <row r="56" spans="1:5" x14ac:dyDescent="0.3">
      <c r="A56" s="16">
        <v>54</v>
      </c>
      <c r="B56" t="s">
        <v>1225</v>
      </c>
      <c r="C56" t="s">
        <v>2139</v>
      </c>
      <c r="D56" t="str">
        <f>IF(ISNUMBER(MATCH(Tabla4[[#This Row],[Título]],CantoralDB[Título],0)),"OK","-")</f>
        <v>OK</v>
      </c>
      <c r="E56" t="s">
        <v>799</v>
      </c>
    </row>
    <row r="57" spans="1:5" x14ac:dyDescent="0.3">
      <c r="A57" s="16">
        <v>55</v>
      </c>
      <c r="B57" t="s">
        <v>1226</v>
      </c>
      <c r="C57" t="s">
        <v>479</v>
      </c>
      <c r="D57" t="str">
        <f>IF(ISNUMBER(MATCH(Tabla4[[#This Row],[Título]],CantoralDB[Título],0)),"OK","-")</f>
        <v>OK</v>
      </c>
      <c r="E57" t="s">
        <v>799</v>
      </c>
    </row>
    <row r="58" spans="1:5" x14ac:dyDescent="0.3">
      <c r="A58" s="16">
        <v>56</v>
      </c>
      <c r="B58" t="s">
        <v>1227</v>
      </c>
      <c r="C58" t="s">
        <v>488</v>
      </c>
      <c r="D58" t="str">
        <f>IF(ISNUMBER(MATCH(Tabla4[[#This Row],[Título]],CantoralDB[Título],0)),"OK","-")</f>
        <v>OK</v>
      </c>
      <c r="E58" t="s">
        <v>799</v>
      </c>
    </row>
    <row r="59" spans="1:5" x14ac:dyDescent="0.3">
      <c r="A59" s="16">
        <v>57</v>
      </c>
      <c r="B59" t="s">
        <v>1228</v>
      </c>
      <c r="C59" t="s">
        <v>479</v>
      </c>
      <c r="D59" t="str">
        <f>IF(ISNUMBER(MATCH(Tabla4[[#This Row],[Título]],CantoralDB[Título],0)),"OK","-")</f>
        <v>OK</v>
      </c>
      <c r="E59" t="s">
        <v>799</v>
      </c>
    </row>
    <row r="60" spans="1:5" x14ac:dyDescent="0.3">
      <c r="A60" s="16">
        <v>58</v>
      </c>
      <c r="B60" t="s">
        <v>1230</v>
      </c>
      <c r="C60" t="s">
        <v>479</v>
      </c>
      <c r="D60" t="str">
        <f>IF(ISNUMBER(MATCH(Tabla4[[#This Row],[Título]],CantoralDB[Título],0)),"OK","-")</f>
        <v>OK</v>
      </c>
      <c r="E60" t="s">
        <v>799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612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612</v>
      </c>
    </row>
    <row r="63" spans="1:5" x14ac:dyDescent="0.3">
      <c r="A63" s="16">
        <v>61</v>
      </c>
      <c r="B63" t="s">
        <v>1231</v>
      </c>
      <c r="C63" t="s">
        <v>2145</v>
      </c>
      <c r="D63" t="str">
        <f>IF(ISNUMBER(MATCH(Tabla4[[#This Row],[Título]],CantoralDB[Título],0)),"OK","-")</f>
        <v>OK</v>
      </c>
      <c r="E63" t="s">
        <v>799</v>
      </c>
    </row>
    <row r="64" spans="1:5" x14ac:dyDescent="0.3">
      <c r="A64" s="16">
        <v>62</v>
      </c>
      <c r="B64" t="s">
        <v>1232</v>
      </c>
      <c r="C64" t="s">
        <v>481</v>
      </c>
      <c r="D64" t="str">
        <f>IF(ISNUMBER(MATCH(Tabla4[[#This Row],[Título]],CantoralDB[Título],0)),"OK","-")</f>
        <v>OK</v>
      </c>
      <c r="E64" t="s">
        <v>799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612</v>
      </c>
    </row>
    <row r="66" spans="1:5" x14ac:dyDescent="0.3">
      <c r="A66" s="16">
        <v>64</v>
      </c>
      <c r="B66" t="s">
        <v>1233</v>
      </c>
      <c r="C66" t="s">
        <v>2144</v>
      </c>
      <c r="D66" t="str">
        <f>IF(ISNUMBER(MATCH(Tabla4[[#This Row],[Título]],CantoralDB[Título],0)),"OK","-")</f>
        <v>OK</v>
      </c>
      <c r="E66" t="s">
        <v>799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612</v>
      </c>
    </row>
    <row r="68" spans="1:5" x14ac:dyDescent="0.3">
      <c r="A68" s="16" t="s">
        <v>1234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612</v>
      </c>
    </row>
    <row r="69" spans="1:5" x14ac:dyDescent="0.3">
      <c r="A69" s="16">
        <v>66</v>
      </c>
      <c r="B69" t="s">
        <v>1235</v>
      </c>
      <c r="C69" t="s">
        <v>487</v>
      </c>
      <c r="D69" t="str">
        <f>IF(ISNUMBER(MATCH(Tabla4[[#This Row],[Título]],CantoralDB[Título],0)),"OK","-")</f>
        <v>OK</v>
      </c>
      <c r="E69" t="s">
        <v>799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612</v>
      </c>
    </row>
    <row r="71" spans="1:5" x14ac:dyDescent="0.3">
      <c r="A71" s="16">
        <v>68</v>
      </c>
      <c r="B71" t="s">
        <v>1236</v>
      </c>
      <c r="C71" t="s">
        <v>479</v>
      </c>
      <c r="D71" t="str">
        <f>IF(ISNUMBER(MATCH(Tabla4[[#This Row],[Título]],CantoralDB[Título],0)),"OK","-")</f>
        <v>OK</v>
      </c>
      <c r="E71" t="s">
        <v>799</v>
      </c>
    </row>
    <row r="72" spans="1:5" x14ac:dyDescent="0.3">
      <c r="A72" s="16">
        <v>69</v>
      </c>
      <c r="B72" t="s">
        <v>1237</v>
      </c>
      <c r="C72" t="s">
        <v>2147</v>
      </c>
      <c r="D72" t="str">
        <f>IF(ISNUMBER(MATCH(Tabla4[[#This Row],[Título]],CantoralDB[Título],0)),"OK","-")</f>
        <v>OK</v>
      </c>
      <c r="E72" t="s">
        <v>799</v>
      </c>
    </row>
    <row r="73" spans="1:5" x14ac:dyDescent="0.3">
      <c r="A73" s="16">
        <v>70</v>
      </c>
      <c r="B73" t="s">
        <v>1238</v>
      </c>
      <c r="C73" t="s">
        <v>483</v>
      </c>
      <c r="D73" t="str">
        <f>IF(ISNUMBER(MATCH(Tabla4[[#This Row],[Título]],CantoralDB[Título],0)),"OK","-")</f>
        <v>OK</v>
      </c>
      <c r="E73" t="s">
        <v>799</v>
      </c>
    </row>
    <row r="74" spans="1:5" x14ac:dyDescent="0.3">
      <c r="A74" s="16">
        <v>71</v>
      </c>
      <c r="B74" t="s">
        <v>1239</v>
      </c>
      <c r="C74" t="s">
        <v>481</v>
      </c>
      <c r="D74" t="str">
        <f>IF(ISNUMBER(MATCH(Tabla4[[#This Row],[Título]],CantoralDB[Título],0)),"OK","-")</f>
        <v>-</v>
      </c>
      <c r="E74" t="s">
        <v>799</v>
      </c>
    </row>
    <row r="75" spans="1:5" x14ac:dyDescent="0.3">
      <c r="A75" s="16">
        <v>72</v>
      </c>
      <c r="B75" t="s">
        <v>1240</v>
      </c>
      <c r="C75" t="s">
        <v>518</v>
      </c>
      <c r="D75" t="str">
        <f>IF(ISNUMBER(MATCH(Tabla4[[#This Row],[Título]],CantoralDB[Título],0)),"OK","-")</f>
        <v>OK</v>
      </c>
      <c r="E75" t="s">
        <v>799</v>
      </c>
    </row>
    <row r="76" spans="1:5" x14ac:dyDescent="0.3">
      <c r="A76" s="16">
        <v>73</v>
      </c>
      <c r="B76" t="s">
        <v>1241</v>
      </c>
      <c r="C76" t="s">
        <v>491</v>
      </c>
      <c r="D76" t="str">
        <f>IF(ISNUMBER(MATCH(Tabla4[[#This Row],[Título]],CantoralDB[Título],0)),"OK","-")</f>
        <v>OK</v>
      </c>
      <c r="E76" t="s">
        <v>799</v>
      </c>
    </row>
    <row r="77" spans="1:5" x14ac:dyDescent="0.3">
      <c r="A77" s="16">
        <v>74</v>
      </c>
      <c r="B77" t="s">
        <v>1242</v>
      </c>
      <c r="C77" t="s">
        <v>2136</v>
      </c>
      <c r="D77" t="str">
        <f>IF(ISNUMBER(MATCH(Tabla4[[#This Row],[Título]],CantoralDB[Título],0)),"OK","-")</f>
        <v>OK</v>
      </c>
      <c r="E77" t="s">
        <v>799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612</v>
      </c>
    </row>
    <row r="79" spans="1:5" x14ac:dyDescent="0.3">
      <c r="A79" s="16">
        <v>76</v>
      </c>
      <c r="B79" t="s">
        <v>1243</v>
      </c>
      <c r="C79" t="s">
        <v>510</v>
      </c>
      <c r="D79" t="str">
        <f>IF(ISNUMBER(MATCH(Tabla4[[#This Row],[Título]],CantoralDB[Título],0)),"OK","-")</f>
        <v>OK</v>
      </c>
      <c r="E79" t="s">
        <v>799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612</v>
      </c>
    </row>
    <row r="81" spans="1:6" x14ac:dyDescent="0.3">
      <c r="A81" s="16">
        <v>78</v>
      </c>
      <c r="B81" t="s">
        <v>1244</v>
      </c>
      <c r="C81" t="s">
        <v>510</v>
      </c>
      <c r="D81" t="str">
        <f>IF(ISNUMBER(MATCH(Tabla4[[#This Row],[Título]],CantoralDB[Título],0)),"OK","-")</f>
        <v>OK</v>
      </c>
      <c r="E81" t="s">
        <v>799</v>
      </c>
    </row>
    <row r="82" spans="1:6" x14ac:dyDescent="0.3">
      <c r="A82" s="16">
        <v>79</v>
      </c>
      <c r="B82" t="s">
        <v>2179</v>
      </c>
      <c r="C82" t="s">
        <v>487</v>
      </c>
      <c r="D82" t="str">
        <f>IF(ISNUMBER(MATCH(Tabla4[[#This Row],[Título]],CantoralDB[Título],0)),"OK","-")</f>
        <v>OK</v>
      </c>
      <c r="E82" t="s">
        <v>799</v>
      </c>
    </row>
    <row r="83" spans="1:6" x14ac:dyDescent="0.3">
      <c r="A83" s="16">
        <v>80</v>
      </c>
      <c r="B83" t="s">
        <v>1245</v>
      </c>
      <c r="C83" t="s">
        <v>2146</v>
      </c>
      <c r="D83" t="str">
        <f>IF(ISNUMBER(MATCH(Tabla4[[#This Row],[Título]],CantoralDB[Título],0)),"OK","-")</f>
        <v>OK</v>
      </c>
      <c r="E83" t="s">
        <v>799</v>
      </c>
    </row>
    <row r="84" spans="1:6" x14ac:dyDescent="0.3">
      <c r="A84" s="16">
        <v>81</v>
      </c>
      <c r="B84" t="s">
        <v>1246</v>
      </c>
      <c r="C84" t="s">
        <v>2141</v>
      </c>
      <c r="D84" t="str">
        <f>IF(ISNUMBER(MATCH(Tabla4[[#This Row],[Título]],CantoralDB[Título],0)),"OK","-")</f>
        <v>OK</v>
      </c>
      <c r="E84" t="s">
        <v>612</v>
      </c>
      <c r="F84" s="17" t="s">
        <v>1521</v>
      </c>
    </row>
    <row r="85" spans="1:6" x14ac:dyDescent="0.3">
      <c r="A85" s="16" t="s">
        <v>1248</v>
      </c>
      <c r="B85" t="s">
        <v>1247</v>
      </c>
      <c r="C85" t="s">
        <v>479</v>
      </c>
      <c r="D85" t="str">
        <f>IF(ISNUMBER(MATCH(Tabla4[[#This Row],[Título]],CantoralDB[Título],0)),"OK","-")</f>
        <v>OK</v>
      </c>
      <c r="E85" t="s">
        <v>799</v>
      </c>
      <c r="F85" s="17" t="s">
        <v>2169</v>
      </c>
    </row>
    <row r="86" spans="1:6" x14ac:dyDescent="0.3">
      <c r="A86" s="16">
        <v>82</v>
      </c>
      <c r="B86" t="s">
        <v>1249</v>
      </c>
      <c r="C86" t="s">
        <v>479</v>
      </c>
      <c r="D86" t="str">
        <f>IF(ISNUMBER(MATCH(Tabla4[[#This Row],[Título]],CantoralDB[Título],0)),"OK","-")</f>
        <v>OK</v>
      </c>
      <c r="E86" t="s">
        <v>799</v>
      </c>
    </row>
    <row r="87" spans="1:6" x14ac:dyDescent="0.3">
      <c r="A87" s="16">
        <v>83</v>
      </c>
      <c r="B87" t="s">
        <v>44</v>
      </c>
      <c r="C87" t="s">
        <v>2148</v>
      </c>
      <c r="D87" t="str">
        <f>IF(ISNUMBER(MATCH(Tabla4[[#This Row],[Título]],CantoralDB[Título],0)),"OK","-")</f>
        <v>OK</v>
      </c>
      <c r="E87" t="s">
        <v>612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612</v>
      </c>
    </row>
    <row r="89" spans="1:6" x14ac:dyDescent="0.3">
      <c r="A89" s="16">
        <v>85</v>
      </c>
      <c r="B89" t="s">
        <v>1250</v>
      </c>
      <c r="C89" t="s">
        <v>2149</v>
      </c>
      <c r="D89" t="str">
        <f>IF(ISNUMBER(MATCH(Tabla4[[#This Row],[Título]],CantoralDB[Título],0)),"OK","-")</f>
        <v>OK</v>
      </c>
      <c r="E89" t="s">
        <v>799</v>
      </c>
    </row>
    <row r="90" spans="1:6" x14ac:dyDescent="0.3">
      <c r="A90" s="16">
        <v>86</v>
      </c>
      <c r="B90" t="s">
        <v>552</v>
      </c>
      <c r="C90" t="s">
        <v>518</v>
      </c>
      <c r="D90" t="str">
        <f>IF(ISNUMBER(MATCH(Tabla4[[#This Row],[Título]],CantoralDB[Título],0)),"OK","-")</f>
        <v>OK</v>
      </c>
      <c r="E90" t="s">
        <v>612</v>
      </c>
    </row>
    <row r="91" spans="1:6" x14ac:dyDescent="0.3">
      <c r="A91" s="16">
        <v>87</v>
      </c>
      <c r="B91" t="s">
        <v>1251</v>
      </c>
      <c r="C91" t="s">
        <v>479</v>
      </c>
      <c r="D91" t="str">
        <f>IF(ISNUMBER(MATCH(Tabla4[[#This Row],[Título]],CantoralDB[Título],0)),"OK","-")</f>
        <v>OK</v>
      </c>
      <c r="E91" t="s">
        <v>799</v>
      </c>
    </row>
    <row r="92" spans="1:6" x14ac:dyDescent="0.3">
      <c r="A92" s="16">
        <v>88</v>
      </c>
      <c r="B92" t="s">
        <v>1252</v>
      </c>
      <c r="C92" t="s">
        <v>486</v>
      </c>
      <c r="D92" t="str">
        <f>IF(ISNUMBER(MATCH(Tabla4[[#This Row],[Título]],CantoralDB[Título],0)),"OK","-")</f>
        <v>OK</v>
      </c>
      <c r="E92" t="s">
        <v>799</v>
      </c>
    </row>
    <row r="93" spans="1:6" x14ac:dyDescent="0.3">
      <c r="A93" s="16">
        <v>89</v>
      </c>
      <c r="B93" t="s">
        <v>1253</v>
      </c>
      <c r="C93" t="s">
        <v>483</v>
      </c>
      <c r="D93" t="str">
        <f>IF(ISNUMBER(MATCH(Tabla4[[#This Row],[Título]],CantoralDB[Título],0)),"OK","-")</f>
        <v>OK</v>
      </c>
      <c r="E93" t="s">
        <v>799</v>
      </c>
    </row>
    <row r="94" spans="1:6" x14ac:dyDescent="0.3">
      <c r="A94" s="16">
        <v>90</v>
      </c>
      <c r="B94" t="s">
        <v>1254</v>
      </c>
      <c r="C94" t="s">
        <v>487</v>
      </c>
      <c r="D94" t="str">
        <f>IF(ISNUMBER(MATCH(Tabla4[[#This Row],[Título]],CantoralDB[Título],0)),"OK","-")</f>
        <v>OK</v>
      </c>
      <c r="E94" t="s">
        <v>799</v>
      </c>
    </row>
    <row r="95" spans="1:6" x14ac:dyDescent="0.3">
      <c r="A95" s="16">
        <v>91</v>
      </c>
      <c r="B95" t="s">
        <v>1255</v>
      </c>
      <c r="C95" t="s">
        <v>481</v>
      </c>
      <c r="D95" t="str">
        <f>IF(ISNUMBER(MATCH(Tabla4[[#This Row],[Título]],CantoralDB[Título],0)),"OK","-")</f>
        <v>-</v>
      </c>
      <c r="E95" t="s">
        <v>799</v>
      </c>
    </row>
    <row r="96" spans="1:6" x14ac:dyDescent="0.3">
      <c r="A96" s="16">
        <v>92</v>
      </c>
      <c r="B96" t="s">
        <v>54</v>
      </c>
      <c r="C96" t="s">
        <v>547</v>
      </c>
      <c r="D96" t="str">
        <f>IF(ISNUMBER(MATCH(Tabla4[[#This Row],[Título]],CantoralDB[Título],0)),"OK","-")</f>
        <v>OK</v>
      </c>
      <c r="E96" t="s">
        <v>612</v>
      </c>
    </row>
    <row r="97" spans="1:5" x14ac:dyDescent="0.3">
      <c r="A97" s="16">
        <v>93</v>
      </c>
      <c r="B97" t="s">
        <v>1256</v>
      </c>
      <c r="C97" t="s">
        <v>481</v>
      </c>
      <c r="D97" t="str">
        <f>IF(ISNUMBER(MATCH(Tabla4[[#This Row],[Título]],CantoralDB[Título],0)),"OK","-")</f>
        <v>OK</v>
      </c>
      <c r="E97" t="s">
        <v>799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612</v>
      </c>
    </row>
    <row r="99" spans="1:5" x14ac:dyDescent="0.3">
      <c r="A99" s="16">
        <v>95</v>
      </c>
      <c r="B99" t="s">
        <v>51</v>
      </c>
      <c r="C99" t="s">
        <v>518</v>
      </c>
      <c r="D99" t="str">
        <f>IF(ISNUMBER(MATCH(Tabla4[[#This Row],[Título]],CantoralDB[Título],0)),"OK","-")</f>
        <v>OK</v>
      </c>
      <c r="E99" t="s">
        <v>612</v>
      </c>
    </row>
    <row r="100" spans="1:5" x14ac:dyDescent="0.3">
      <c r="A100" s="16">
        <v>96</v>
      </c>
      <c r="B100" t="s">
        <v>52</v>
      </c>
      <c r="C100" t="s">
        <v>2148</v>
      </c>
      <c r="D100" t="str">
        <f>IF(ISNUMBER(MATCH(Tabla4[[#This Row],[Título]],CantoralDB[Título],0)),"OK","-")</f>
        <v>OK</v>
      </c>
      <c r="E100" t="s">
        <v>612</v>
      </c>
    </row>
    <row r="101" spans="1:5" x14ac:dyDescent="0.3">
      <c r="A101" s="16">
        <v>97</v>
      </c>
      <c r="B101" t="s">
        <v>1258</v>
      </c>
      <c r="C101" t="s">
        <v>2150</v>
      </c>
      <c r="D101" t="str">
        <f>IF(ISNUMBER(MATCH(Tabla4[[#This Row],[Título]],CantoralDB[Título],0)),"OK","-")</f>
        <v>OK</v>
      </c>
      <c r="E101" t="s">
        <v>799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612</v>
      </c>
    </row>
    <row r="103" spans="1:5" x14ac:dyDescent="0.3">
      <c r="A103" s="16">
        <v>99</v>
      </c>
      <c r="B103" t="s">
        <v>1257</v>
      </c>
      <c r="C103" t="s">
        <v>481</v>
      </c>
      <c r="D103" t="str">
        <f>IF(ISNUMBER(MATCH(Tabla4[[#This Row],[Título]],CantoralDB[Título],0)),"OK","-")</f>
        <v>OK</v>
      </c>
      <c r="E103" t="s">
        <v>799</v>
      </c>
    </row>
    <row r="104" spans="1:5" x14ac:dyDescent="0.3">
      <c r="A104" s="16">
        <v>100</v>
      </c>
      <c r="B104" t="s">
        <v>1259</v>
      </c>
      <c r="C104" t="s">
        <v>481</v>
      </c>
      <c r="D104" t="str">
        <f>IF(ISNUMBER(MATCH(Tabla4[[#This Row],[Título]],CantoralDB[Título],0)),"OK","-")</f>
        <v>OK</v>
      </c>
      <c r="E104" t="s">
        <v>799</v>
      </c>
    </row>
    <row r="105" spans="1:5" x14ac:dyDescent="0.3">
      <c r="A105" s="16">
        <v>101</v>
      </c>
      <c r="B105" t="s">
        <v>57</v>
      </c>
      <c r="C105" t="s">
        <v>518</v>
      </c>
      <c r="D105" t="str">
        <f>IF(ISNUMBER(MATCH(Tabla4[[#This Row],[Título]],CantoralDB[Título],0)),"OK","-")</f>
        <v>OK</v>
      </c>
      <c r="E105" t="s">
        <v>612</v>
      </c>
    </row>
    <row r="106" spans="1:5" x14ac:dyDescent="0.3">
      <c r="A106" s="16">
        <v>102</v>
      </c>
      <c r="B106" t="s">
        <v>1260</v>
      </c>
      <c r="C106" t="s">
        <v>491</v>
      </c>
      <c r="D106" t="str">
        <f>IF(ISNUMBER(MATCH(Tabla4[[#This Row],[Título]],CantoralDB[Título],0)),"OK","-")</f>
        <v>OK</v>
      </c>
      <c r="E106" t="s">
        <v>799</v>
      </c>
    </row>
    <row r="107" spans="1:5" x14ac:dyDescent="0.3">
      <c r="A107" s="16">
        <v>103</v>
      </c>
      <c r="B107" t="s">
        <v>1261</v>
      </c>
      <c r="C107" t="s">
        <v>481</v>
      </c>
      <c r="D107" t="str">
        <f>IF(ISNUMBER(MATCH(Tabla4[[#This Row],[Título]],CantoralDB[Título],0)),"OK","-")</f>
        <v>OK</v>
      </c>
      <c r="E107" t="s">
        <v>799</v>
      </c>
    </row>
    <row r="108" spans="1:5" x14ac:dyDescent="0.3">
      <c r="A108" s="16">
        <v>104</v>
      </c>
      <c r="B108" t="s">
        <v>55</v>
      </c>
      <c r="C108" t="s">
        <v>518</v>
      </c>
      <c r="D108" t="str">
        <f>IF(ISNUMBER(MATCH(Tabla4[[#This Row],[Título]],CantoralDB[Título],0)),"OK","-")</f>
        <v>OK</v>
      </c>
      <c r="E108" t="s">
        <v>612</v>
      </c>
    </row>
    <row r="109" spans="1:5" x14ac:dyDescent="0.3">
      <c r="A109" s="16">
        <v>105</v>
      </c>
      <c r="B109" t="s">
        <v>1287</v>
      </c>
      <c r="C109" t="s">
        <v>483</v>
      </c>
      <c r="D109" t="str">
        <f>IF(ISNUMBER(MATCH(Tabla4[[#This Row],[Título]],CantoralDB[Título],0)),"OK","-")</f>
        <v>OK</v>
      </c>
      <c r="E109" t="s">
        <v>799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612</v>
      </c>
    </row>
    <row r="111" spans="1:5" x14ac:dyDescent="0.3">
      <c r="A111" s="16">
        <v>107</v>
      </c>
      <c r="B111" t="s">
        <v>56</v>
      </c>
      <c r="C111" t="s">
        <v>518</v>
      </c>
      <c r="D111" t="str">
        <f>IF(ISNUMBER(MATCH(Tabla4[[#This Row],[Título]],CantoralDB[Título],0)),"OK","-")</f>
        <v>OK</v>
      </c>
      <c r="E111" t="s">
        <v>612</v>
      </c>
    </row>
    <row r="112" spans="1:5" x14ac:dyDescent="0.3">
      <c r="A112" s="16">
        <v>108</v>
      </c>
      <c r="B112" t="s">
        <v>2180</v>
      </c>
      <c r="C112" t="s">
        <v>491</v>
      </c>
      <c r="D112" t="str">
        <f>IF(ISNUMBER(MATCH(Tabla4[[#This Row],[Título]],CantoralDB[Título],0)),"OK","-")</f>
        <v>OK</v>
      </c>
      <c r="E112" t="s">
        <v>799</v>
      </c>
    </row>
    <row r="113" spans="1:5" x14ac:dyDescent="0.3">
      <c r="A113" s="16">
        <v>109</v>
      </c>
      <c r="B113" t="s">
        <v>1288</v>
      </c>
      <c r="C113" t="s">
        <v>503</v>
      </c>
      <c r="D113" t="str">
        <f>IF(ISNUMBER(MATCH(Tabla4[[#This Row],[Título]],CantoralDB[Título],0)),"OK","-")</f>
        <v>OK</v>
      </c>
      <c r="E113" t="s">
        <v>799</v>
      </c>
    </row>
    <row r="114" spans="1:5" x14ac:dyDescent="0.3">
      <c r="A114" s="16">
        <v>110</v>
      </c>
      <c r="B114" t="s">
        <v>1289</v>
      </c>
      <c r="C114" t="s">
        <v>481</v>
      </c>
      <c r="D114" t="str">
        <f>IF(ISNUMBER(MATCH(Tabla4[[#This Row],[Título]],CantoralDB[Título],0)),"OK","-")</f>
        <v>OK</v>
      </c>
      <c r="E114" t="s">
        <v>799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612</v>
      </c>
    </row>
    <row r="116" spans="1:5" x14ac:dyDescent="0.3">
      <c r="A116" s="16">
        <v>112</v>
      </c>
      <c r="B116" t="s">
        <v>1292</v>
      </c>
      <c r="C116" t="s">
        <v>2136</v>
      </c>
      <c r="D116" t="str">
        <f>IF(ISNUMBER(MATCH(Tabla4[[#This Row],[Título]],CantoralDB[Título],0)),"OK","-")</f>
        <v>OK</v>
      </c>
      <c r="E116" t="s">
        <v>799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612</v>
      </c>
    </row>
    <row r="118" spans="1:5" x14ac:dyDescent="0.3">
      <c r="A118" s="16">
        <v>114</v>
      </c>
      <c r="B118" t="s">
        <v>1291</v>
      </c>
      <c r="C118" t="s">
        <v>488</v>
      </c>
      <c r="D118" t="str">
        <f>IF(ISNUMBER(MATCH(Tabla4[[#This Row],[Título]],CantoralDB[Título],0)),"OK","-")</f>
        <v>OK</v>
      </c>
      <c r="E118" t="s">
        <v>799</v>
      </c>
    </row>
    <row r="119" spans="1:5" x14ac:dyDescent="0.3">
      <c r="A119" s="16">
        <v>115</v>
      </c>
      <c r="B119" t="s">
        <v>1290</v>
      </c>
      <c r="C119" t="s">
        <v>483</v>
      </c>
      <c r="D119" t="str">
        <f>IF(ISNUMBER(MATCH(Tabla4[[#This Row],[Título]],CantoralDB[Título],0)),"OK","-")</f>
        <v>OK</v>
      </c>
      <c r="E119" t="s">
        <v>799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OK</v>
      </c>
      <c r="E120" t="s">
        <v>612</v>
      </c>
    </row>
    <row r="121" spans="1:5" x14ac:dyDescent="0.3">
      <c r="A121" s="16">
        <v>117</v>
      </c>
      <c r="B121" t="s">
        <v>1293</v>
      </c>
      <c r="C121" t="s">
        <v>491</v>
      </c>
      <c r="D121" t="str">
        <f>IF(ISNUMBER(MATCH(Tabla4[[#This Row],[Título]],CantoralDB[Título],0)),"OK","-")</f>
        <v>OK</v>
      </c>
      <c r="E121" t="s">
        <v>799</v>
      </c>
    </row>
    <row r="122" spans="1:5" x14ac:dyDescent="0.3">
      <c r="A122" s="16">
        <v>118</v>
      </c>
      <c r="B122" t="s">
        <v>1294</v>
      </c>
      <c r="C122" t="s">
        <v>503</v>
      </c>
      <c r="D122" t="str">
        <f>IF(ISNUMBER(MATCH(Tabla4[[#This Row],[Título]],CantoralDB[Título],0)),"OK","-")</f>
        <v>OK</v>
      </c>
      <c r="E122" t="s">
        <v>799</v>
      </c>
    </row>
    <row r="123" spans="1:5" x14ac:dyDescent="0.3">
      <c r="A123" s="16">
        <v>119</v>
      </c>
      <c r="B123" t="s">
        <v>1295</v>
      </c>
      <c r="C123" t="s">
        <v>2138</v>
      </c>
      <c r="D123" t="str">
        <f>IF(ISNUMBER(MATCH(Tabla4[[#This Row],[Título]],CantoralDB[Título],0)),"OK","-")</f>
        <v>OK</v>
      </c>
      <c r="E123" t="s">
        <v>799</v>
      </c>
    </row>
    <row r="124" spans="1:5" x14ac:dyDescent="0.3">
      <c r="A124" s="16">
        <v>120</v>
      </c>
      <c r="B124" t="s">
        <v>1296</v>
      </c>
      <c r="C124" t="s">
        <v>486</v>
      </c>
      <c r="D124" t="str">
        <f>IF(ISNUMBER(MATCH(Tabla4[[#This Row],[Título]],CantoralDB[Título],0)),"OK","-")</f>
        <v>OK</v>
      </c>
      <c r="E124" t="s">
        <v>799</v>
      </c>
    </row>
    <row r="125" spans="1:5" x14ac:dyDescent="0.3">
      <c r="A125" s="16">
        <v>121</v>
      </c>
      <c r="B125" t="s">
        <v>937</v>
      </c>
      <c r="C125" t="s">
        <v>491</v>
      </c>
      <c r="D125" t="str">
        <f>IF(ISNUMBER(MATCH(Tabla4[[#This Row],[Título]],CantoralDB[Título],0)),"OK","-")</f>
        <v>OK</v>
      </c>
      <c r="E125" t="s">
        <v>612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612</v>
      </c>
    </row>
    <row r="127" spans="1:5" x14ac:dyDescent="0.3">
      <c r="A127" s="16">
        <v>123</v>
      </c>
      <c r="B127" t="s">
        <v>1297</v>
      </c>
      <c r="C127" t="s">
        <v>2151</v>
      </c>
      <c r="D127" t="str">
        <f>IF(ISNUMBER(MATCH(Tabla4[[#This Row],[Título]],CantoralDB[Título],0)),"OK","-")</f>
        <v>OK</v>
      </c>
      <c r="E127" t="s">
        <v>799</v>
      </c>
    </row>
    <row r="128" spans="1:5" x14ac:dyDescent="0.3">
      <c r="A128" s="16">
        <v>124</v>
      </c>
      <c r="B128" t="s">
        <v>71</v>
      </c>
      <c r="C128" t="s">
        <v>2153</v>
      </c>
      <c r="D128" t="str">
        <f>IF(ISNUMBER(MATCH(Tabla4[[#This Row],[Título]],CantoralDB[Título],0)),"OK","-")</f>
        <v>OK</v>
      </c>
      <c r="E128" t="s">
        <v>612</v>
      </c>
    </row>
    <row r="129" spans="1:5" x14ac:dyDescent="0.3">
      <c r="A129" s="16">
        <v>125</v>
      </c>
      <c r="B129" t="s">
        <v>1298</v>
      </c>
      <c r="C129" t="s">
        <v>491</v>
      </c>
      <c r="D129" t="str">
        <f>IF(ISNUMBER(MATCH(Tabla4[[#This Row],[Título]],CantoralDB[Título],0)),"OK","-")</f>
        <v>OK</v>
      </c>
      <c r="E129" t="s">
        <v>799</v>
      </c>
    </row>
    <row r="130" spans="1:5" x14ac:dyDescent="0.3">
      <c r="A130" s="16">
        <v>126</v>
      </c>
      <c r="B130" t="s">
        <v>1299</v>
      </c>
      <c r="C130" t="s">
        <v>479</v>
      </c>
      <c r="D130" t="str">
        <f>IF(ISNUMBER(MATCH(Tabla4[[#This Row],[Título]],CantoralDB[Título],0)),"OK","-")</f>
        <v>OK</v>
      </c>
      <c r="E130" t="s">
        <v>799</v>
      </c>
    </row>
    <row r="131" spans="1:5" x14ac:dyDescent="0.3">
      <c r="A131" s="16">
        <v>127</v>
      </c>
      <c r="B131" t="s">
        <v>505</v>
      </c>
      <c r="C131" t="s">
        <v>2152</v>
      </c>
      <c r="D131" t="str">
        <f>IF(ISNUMBER(MATCH(Tabla4[[#This Row],[Título]],CantoralDB[Título],0)),"OK","-")</f>
        <v>OK</v>
      </c>
      <c r="E131" t="s">
        <v>612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612</v>
      </c>
    </row>
    <row r="133" spans="1:5" x14ac:dyDescent="0.3">
      <c r="A133" s="16">
        <v>129</v>
      </c>
      <c r="B133" t="s">
        <v>1300</v>
      </c>
      <c r="C133" t="s">
        <v>498</v>
      </c>
      <c r="D133" t="str">
        <f>IF(ISNUMBER(MATCH(Tabla4[[#This Row],[Título]],CantoralDB[Título],0)),"OK","-")</f>
        <v>OK</v>
      </c>
      <c r="E133" t="s">
        <v>799</v>
      </c>
    </row>
    <row r="134" spans="1:5" x14ac:dyDescent="0.3">
      <c r="A134" s="16">
        <v>130</v>
      </c>
      <c r="B134" t="s">
        <v>1301</v>
      </c>
      <c r="C134" t="s">
        <v>480</v>
      </c>
      <c r="D134" t="str">
        <f>IF(ISNUMBER(MATCH(Tabla4[[#This Row],[Título]],CantoralDB[Título],0)),"OK","-")</f>
        <v>OK</v>
      </c>
      <c r="E134" t="s">
        <v>799</v>
      </c>
    </row>
    <row r="135" spans="1:5" x14ac:dyDescent="0.3">
      <c r="A135" s="16">
        <v>131</v>
      </c>
      <c r="B135" t="s">
        <v>1302</v>
      </c>
      <c r="C135" t="s">
        <v>2154</v>
      </c>
      <c r="D135" t="str">
        <f>IF(ISNUMBER(MATCH(Tabla4[[#This Row],[Título]],CantoralDB[Título],0)),"OK","-")</f>
        <v>OK</v>
      </c>
      <c r="E135" t="s">
        <v>799</v>
      </c>
    </row>
    <row r="136" spans="1:5" x14ac:dyDescent="0.3">
      <c r="A136" s="16">
        <v>132</v>
      </c>
      <c r="B136" t="s">
        <v>1303</v>
      </c>
      <c r="C136" t="s">
        <v>2144</v>
      </c>
      <c r="D136" t="str">
        <f>IF(ISNUMBER(MATCH(Tabla4[[#This Row],[Título]],CantoralDB[Título],0)),"OK","-")</f>
        <v>OK</v>
      </c>
      <c r="E136" t="s">
        <v>799</v>
      </c>
    </row>
    <row r="137" spans="1:5" x14ac:dyDescent="0.3">
      <c r="A137" s="16">
        <v>133</v>
      </c>
      <c r="B137" t="s">
        <v>1304</v>
      </c>
      <c r="C137" t="s">
        <v>483</v>
      </c>
      <c r="D137" t="str">
        <f>IF(ISNUMBER(MATCH(Tabla4[[#This Row],[Título]],CantoralDB[Título],0)),"OK","-")</f>
        <v>OK</v>
      </c>
      <c r="E137" t="s">
        <v>799</v>
      </c>
    </row>
    <row r="138" spans="1:5" x14ac:dyDescent="0.3">
      <c r="A138" s="16">
        <v>134</v>
      </c>
      <c r="B138" t="s">
        <v>1305</v>
      </c>
      <c r="C138" t="s">
        <v>2142</v>
      </c>
      <c r="D138" t="str">
        <f>IF(ISNUMBER(MATCH(Tabla4[[#This Row],[Título]],CantoralDB[Título],0)),"OK","-")</f>
        <v>OK</v>
      </c>
      <c r="E138" t="s">
        <v>799</v>
      </c>
    </row>
    <row r="139" spans="1:5" x14ac:dyDescent="0.3">
      <c r="A139" s="16">
        <v>135</v>
      </c>
      <c r="B139" t="s">
        <v>1306</v>
      </c>
      <c r="C139" t="s">
        <v>503</v>
      </c>
      <c r="D139" t="str">
        <f>IF(ISNUMBER(MATCH(Tabla4[[#This Row],[Título]],CantoralDB[Título],0)),"OK","-")</f>
        <v>OK</v>
      </c>
      <c r="E139" t="s">
        <v>799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612</v>
      </c>
    </row>
    <row r="141" spans="1:5" x14ac:dyDescent="0.3">
      <c r="A141" s="16">
        <v>137</v>
      </c>
      <c r="B141" t="s">
        <v>1307</v>
      </c>
      <c r="C141" t="s">
        <v>479</v>
      </c>
      <c r="D141" t="str">
        <f>IF(ISNUMBER(MATCH(Tabla4[[#This Row],[Título]],CantoralDB[Título],0)),"OK","-")</f>
        <v>OK</v>
      </c>
      <c r="E141" t="s">
        <v>799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612</v>
      </c>
    </row>
    <row r="143" spans="1:5" x14ac:dyDescent="0.3">
      <c r="A143" s="16">
        <v>139</v>
      </c>
      <c r="B143" t="s">
        <v>76</v>
      </c>
      <c r="C143" t="s">
        <v>2152</v>
      </c>
      <c r="D143" t="str">
        <f>IF(ISNUMBER(MATCH(Tabla4[[#This Row],[Título]],CantoralDB[Título],0)),"OK","-")</f>
        <v>OK</v>
      </c>
      <c r="E143" t="s">
        <v>612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612</v>
      </c>
    </row>
    <row r="145" spans="1:5" x14ac:dyDescent="0.3">
      <c r="A145" s="16">
        <v>141</v>
      </c>
      <c r="B145" t="s">
        <v>80</v>
      </c>
      <c r="C145" t="s">
        <v>2155</v>
      </c>
      <c r="D145" t="str">
        <f>IF(ISNUMBER(MATCH(Tabla4[[#This Row],[Título]],CantoralDB[Título],0)),"OK","-")</f>
        <v>OK</v>
      </c>
      <c r="E145" t="s">
        <v>612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612</v>
      </c>
    </row>
    <row r="147" spans="1:5" x14ac:dyDescent="0.3">
      <c r="A147" s="16">
        <v>143</v>
      </c>
      <c r="B147" t="s">
        <v>82</v>
      </c>
      <c r="C147" t="s">
        <v>2205</v>
      </c>
      <c r="D147" t="str">
        <f>IF(ISNUMBER(MATCH(Tabla4[[#This Row],[Título]],CantoralDB[Título],0)),"OK","-")</f>
        <v>OK</v>
      </c>
      <c r="E147" t="s">
        <v>612</v>
      </c>
    </row>
    <row r="148" spans="1:5" x14ac:dyDescent="0.3">
      <c r="A148" s="16">
        <v>144</v>
      </c>
      <c r="B148" t="s">
        <v>81</v>
      </c>
      <c r="C148" t="s">
        <v>2205</v>
      </c>
      <c r="D148" t="str">
        <f>IF(ISNUMBER(MATCH(Tabla4[[#This Row],[Título]],CantoralDB[Título],0)),"OK","-")</f>
        <v>OK</v>
      </c>
      <c r="E148" t="s">
        <v>612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612</v>
      </c>
    </row>
    <row r="150" spans="1:5" x14ac:dyDescent="0.3">
      <c r="A150" s="16">
        <v>146</v>
      </c>
      <c r="B150" t="s">
        <v>1308</v>
      </c>
      <c r="C150" t="s">
        <v>2156</v>
      </c>
      <c r="D150" t="str">
        <f>IF(ISNUMBER(MATCH(Tabla4[[#This Row],[Título]],CantoralDB[Título],0)),"OK","-")</f>
        <v>OK</v>
      </c>
      <c r="E150" t="s">
        <v>799</v>
      </c>
    </row>
    <row r="151" spans="1:5" x14ac:dyDescent="0.3">
      <c r="A151" s="16">
        <v>147</v>
      </c>
      <c r="B151" t="s">
        <v>1309</v>
      </c>
      <c r="C151" t="s">
        <v>480</v>
      </c>
      <c r="D151" t="str">
        <f>IF(ISNUMBER(MATCH(Tabla4[[#This Row],[Título]],CantoralDB[Título],0)),"OK","-")</f>
        <v>OK</v>
      </c>
      <c r="E151" t="s">
        <v>799</v>
      </c>
    </row>
    <row r="152" spans="1:5" x14ac:dyDescent="0.3">
      <c r="A152" s="16">
        <v>148</v>
      </c>
      <c r="B152" t="s">
        <v>1310</v>
      </c>
      <c r="C152" t="s">
        <v>2138</v>
      </c>
      <c r="D152" t="str">
        <f>IF(ISNUMBER(MATCH(Tabla4[[#This Row],[Título]],CantoralDB[Título],0)),"OK","-")</f>
        <v>-</v>
      </c>
      <c r="E152" t="s">
        <v>799</v>
      </c>
    </row>
    <row r="153" spans="1:5" x14ac:dyDescent="0.3">
      <c r="A153" s="16">
        <v>149</v>
      </c>
      <c r="B153" t="s">
        <v>1311</v>
      </c>
      <c r="C153" t="s">
        <v>480</v>
      </c>
      <c r="D153" t="str">
        <f>IF(ISNUMBER(MATCH(Tabla4[[#This Row],[Título]],CantoralDB[Título],0)),"OK","-")</f>
        <v>OK</v>
      </c>
      <c r="E153" t="s">
        <v>799</v>
      </c>
    </row>
    <row r="154" spans="1:5" x14ac:dyDescent="0.3">
      <c r="A154" s="16">
        <v>150</v>
      </c>
      <c r="B154" t="s">
        <v>1312</v>
      </c>
      <c r="C154" t="s">
        <v>2153</v>
      </c>
      <c r="D154" t="str">
        <f>IF(ISNUMBER(MATCH(Tabla4[[#This Row],[Título]],CantoralDB[Título],0)),"OK","-")</f>
        <v>OK</v>
      </c>
      <c r="E154" t="s">
        <v>799</v>
      </c>
    </row>
    <row r="155" spans="1:5" x14ac:dyDescent="0.3">
      <c r="A155" s="16">
        <v>151</v>
      </c>
      <c r="B155" t="s">
        <v>1313</v>
      </c>
      <c r="C155" t="s">
        <v>487</v>
      </c>
      <c r="D155" t="str">
        <f>IF(ISNUMBER(MATCH(Tabla4[[#This Row],[Título]],CantoralDB[Título],0)),"OK","-")</f>
        <v>OK</v>
      </c>
      <c r="E155" t="s">
        <v>799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612</v>
      </c>
    </row>
    <row r="157" spans="1:5" x14ac:dyDescent="0.3">
      <c r="A157" s="16">
        <v>153</v>
      </c>
      <c r="B157" t="s">
        <v>1314</v>
      </c>
      <c r="C157" t="s">
        <v>503</v>
      </c>
      <c r="D157" t="str">
        <f>IF(ISNUMBER(MATCH(Tabla4[[#This Row],[Título]],CantoralDB[Título],0)),"OK","-")</f>
        <v>OK</v>
      </c>
      <c r="E157" t="s">
        <v>799</v>
      </c>
    </row>
    <row r="158" spans="1:5" x14ac:dyDescent="0.3">
      <c r="A158" s="16">
        <v>154</v>
      </c>
      <c r="B158" t="s">
        <v>1315</v>
      </c>
      <c r="C158" t="s">
        <v>479</v>
      </c>
      <c r="D158" t="str">
        <f>IF(ISNUMBER(MATCH(Tabla4[[#This Row],[Título]],CantoralDB[Título],0)),"OK","-")</f>
        <v>OK</v>
      </c>
      <c r="E158" t="s">
        <v>799</v>
      </c>
    </row>
    <row r="159" spans="1:5" x14ac:dyDescent="0.3">
      <c r="A159" s="16">
        <v>155</v>
      </c>
      <c r="B159" t="s">
        <v>1316</v>
      </c>
      <c r="C159" t="s">
        <v>487</v>
      </c>
      <c r="D159" t="str">
        <f>IF(ISNUMBER(MATCH(Tabla4[[#This Row],[Título]],CantoralDB[Título],0)),"OK","-")</f>
        <v>OK</v>
      </c>
      <c r="E159" t="s">
        <v>799</v>
      </c>
    </row>
    <row r="160" spans="1:5" x14ac:dyDescent="0.3">
      <c r="A160" s="16">
        <v>156</v>
      </c>
      <c r="B160" t="s">
        <v>1317</v>
      </c>
      <c r="C160" t="s">
        <v>479</v>
      </c>
      <c r="D160" t="str">
        <f>IF(ISNUMBER(MATCH(Tabla4[[#This Row],[Título]],CantoralDB[Título],0)),"OK","-")</f>
        <v>OK</v>
      </c>
      <c r="E160" t="s">
        <v>799</v>
      </c>
    </row>
    <row r="161" spans="1:5" x14ac:dyDescent="0.3">
      <c r="A161" s="16">
        <v>157</v>
      </c>
      <c r="B161" t="s">
        <v>933</v>
      </c>
      <c r="C161" t="s">
        <v>268</v>
      </c>
      <c r="D161" t="str">
        <f>IF(ISNUMBER(MATCH(Tabla4[[#This Row],[Título]],CantoralDB[Título],0)),"OK","-")</f>
        <v>OK</v>
      </c>
      <c r="E161" t="s">
        <v>612</v>
      </c>
    </row>
    <row r="162" spans="1:5" x14ac:dyDescent="0.3">
      <c r="A162" s="16">
        <v>158</v>
      </c>
      <c r="B162" t="s">
        <v>87</v>
      </c>
      <c r="C162" t="s">
        <v>547</v>
      </c>
      <c r="D162" t="str">
        <f>IF(ISNUMBER(MATCH(Tabla4[[#This Row],[Título]],CantoralDB[Título],0)),"OK","-")</f>
        <v>OK</v>
      </c>
      <c r="E162" t="s">
        <v>612</v>
      </c>
    </row>
    <row r="163" spans="1:5" x14ac:dyDescent="0.3">
      <c r="A163" s="16">
        <v>159</v>
      </c>
      <c r="B163" t="s">
        <v>1318</v>
      </c>
      <c r="C163" t="s">
        <v>479</v>
      </c>
      <c r="D163" t="str">
        <f>IF(ISNUMBER(MATCH(Tabla4[[#This Row],[Título]],CantoralDB[Título],0)),"OK","-")</f>
        <v>OK</v>
      </c>
      <c r="E163" t="s">
        <v>799</v>
      </c>
    </row>
    <row r="164" spans="1:5" x14ac:dyDescent="0.3">
      <c r="A164" s="16">
        <v>160</v>
      </c>
      <c r="B164" t="s">
        <v>1319</v>
      </c>
      <c r="C164" t="s">
        <v>481</v>
      </c>
      <c r="D164" t="str">
        <f>IF(ISNUMBER(MATCH(Tabla4[[#This Row],[Título]],CantoralDB[Título],0)),"OK","-")</f>
        <v>OK</v>
      </c>
      <c r="E164" t="s">
        <v>799</v>
      </c>
    </row>
    <row r="165" spans="1:5" x14ac:dyDescent="0.3">
      <c r="A165" s="16">
        <v>161</v>
      </c>
      <c r="B165" t="s">
        <v>1320</v>
      </c>
      <c r="C165" t="s">
        <v>481</v>
      </c>
      <c r="D165" t="str">
        <f>IF(ISNUMBER(MATCH(Tabla4[[#This Row],[Título]],CantoralDB[Título],0)),"OK","-")</f>
        <v>OK</v>
      </c>
      <c r="E165" t="s">
        <v>799</v>
      </c>
    </row>
    <row r="166" spans="1:5" x14ac:dyDescent="0.3">
      <c r="A166" s="16">
        <v>162</v>
      </c>
      <c r="B166" t="s">
        <v>2181</v>
      </c>
      <c r="C166" t="s">
        <v>498</v>
      </c>
      <c r="D166" t="str">
        <f>IF(ISNUMBER(MATCH(Tabla4[[#This Row],[Título]],CantoralDB[Título],0)),"OK","-")</f>
        <v>OK</v>
      </c>
      <c r="E166" t="s">
        <v>799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612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612</v>
      </c>
    </row>
    <row r="169" spans="1:5" x14ac:dyDescent="0.3">
      <c r="A169" s="16">
        <v>165</v>
      </c>
      <c r="B169" t="s">
        <v>1321</v>
      </c>
      <c r="C169" t="s">
        <v>2139</v>
      </c>
      <c r="D169" t="str">
        <f>IF(ISNUMBER(MATCH(Tabla4[[#This Row],[Título]],CantoralDB[Título],0)),"OK","-")</f>
        <v>OK</v>
      </c>
      <c r="E169" t="s">
        <v>799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612</v>
      </c>
    </row>
    <row r="171" spans="1:5" x14ac:dyDescent="0.3">
      <c r="A171" s="16">
        <v>167</v>
      </c>
      <c r="B171" t="s">
        <v>1322</v>
      </c>
      <c r="C171" t="s">
        <v>479</v>
      </c>
      <c r="D171" t="str">
        <f>IF(ISNUMBER(MATCH(Tabla4[[#This Row],[Título]],CantoralDB[Título],0)),"OK","-")</f>
        <v>OK</v>
      </c>
      <c r="E171" t="s">
        <v>799</v>
      </c>
    </row>
    <row r="172" spans="1:5" x14ac:dyDescent="0.3">
      <c r="A172" s="16">
        <v>168</v>
      </c>
      <c r="B172" t="s">
        <v>93</v>
      </c>
      <c r="C172" t="s">
        <v>2155</v>
      </c>
      <c r="D172" t="str">
        <f>IF(ISNUMBER(MATCH(Tabla4[[#This Row],[Título]],CantoralDB[Título],0)),"OK","-")</f>
        <v>OK</v>
      </c>
      <c r="E172" t="s">
        <v>612</v>
      </c>
    </row>
    <row r="173" spans="1:5" x14ac:dyDescent="0.3">
      <c r="A173" s="16">
        <v>169</v>
      </c>
      <c r="B173" t="s">
        <v>1323</v>
      </c>
      <c r="C173" t="s">
        <v>498</v>
      </c>
      <c r="D173" t="str">
        <f>IF(ISNUMBER(MATCH(Tabla4[[#This Row],[Título]],CantoralDB[Título],0)),"OK","-")</f>
        <v>OK</v>
      </c>
      <c r="E173" t="s">
        <v>799</v>
      </c>
    </row>
    <row r="174" spans="1:5" x14ac:dyDescent="0.3">
      <c r="A174" s="16">
        <v>170</v>
      </c>
      <c r="B174" t="s">
        <v>1324</v>
      </c>
      <c r="C174" t="s">
        <v>518</v>
      </c>
      <c r="D174" t="str">
        <f>IF(ISNUMBER(MATCH(Tabla4[[#This Row],[Título]],CantoralDB[Título],0)),"OK","-")</f>
        <v>OK</v>
      </c>
      <c r="E174" t="s">
        <v>799</v>
      </c>
    </row>
    <row r="175" spans="1:5" x14ac:dyDescent="0.3">
      <c r="A175" s="16">
        <v>171</v>
      </c>
      <c r="B175" t="s">
        <v>555</v>
      </c>
      <c r="C175" t="s">
        <v>545</v>
      </c>
      <c r="D175" t="str">
        <f>IF(ISNUMBER(MATCH(Tabla4[[#This Row],[Título]],CantoralDB[Título],0)),"OK","-")</f>
        <v>OK</v>
      </c>
      <c r="E175" t="s">
        <v>612</v>
      </c>
    </row>
    <row r="176" spans="1:5" x14ac:dyDescent="0.3">
      <c r="A176" s="16">
        <v>172</v>
      </c>
      <c r="B176" t="s">
        <v>1325</v>
      </c>
      <c r="C176" t="s">
        <v>510</v>
      </c>
      <c r="D176" t="str">
        <f>IF(ISNUMBER(MATCH(Tabla4[[#This Row],[Título]],CantoralDB[Título],0)),"OK","-")</f>
        <v>OK</v>
      </c>
      <c r="E176" t="s">
        <v>799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612</v>
      </c>
    </row>
    <row r="178" spans="1:5" x14ac:dyDescent="0.3">
      <c r="A178" s="16">
        <v>174</v>
      </c>
      <c r="B178" t="s">
        <v>1326</v>
      </c>
      <c r="C178" t="s">
        <v>491</v>
      </c>
      <c r="D178" t="str">
        <f>IF(ISNUMBER(MATCH(Tabla4[[#This Row],[Título]],CantoralDB[Título],0)),"OK","-")</f>
        <v>OK</v>
      </c>
      <c r="E178" t="s">
        <v>799</v>
      </c>
    </row>
    <row r="179" spans="1:5" x14ac:dyDescent="0.3">
      <c r="A179" s="16">
        <v>175</v>
      </c>
      <c r="B179" t="s">
        <v>1327</v>
      </c>
      <c r="C179" t="s">
        <v>480</v>
      </c>
      <c r="D179" t="str">
        <f>IF(ISNUMBER(MATCH(Tabla4[[#This Row],[Título]],CantoralDB[Título],0)),"OK","-")</f>
        <v>OK</v>
      </c>
      <c r="E179" t="s">
        <v>612</v>
      </c>
    </row>
    <row r="180" spans="1:5" x14ac:dyDescent="0.3">
      <c r="A180" s="16">
        <v>176</v>
      </c>
      <c r="B180" t="s">
        <v>1328</v>
      </c>
      <c r="C180" t="s">
        <v>2145</v>
      </c>
      <c r="D180" t="str">
        <f>IF(ISNUMBER(MATCH(Tabla4[[#This Row],[Título]],CantoralDB[Título],0)),"OK","-")</f>
        <v>OK</v>
      </c>
      <c r="E180" t="s">
        <v>799</v>
      </c>
    </row>
    <row r="181" spans="1:5" x14ac:dyDescent="0.3">
      <c r="A181" s="16">
        <v>177</v>
      </c>
      <c r="B181" t="s">
        <v>1329</v>
      </c>
      <c r="C181" t="s">
        <v>2157</v>
      </c>
      <c r="D181" t="str">
        <f>IF(ISNUMBER(MATCH(Tabla4[[#This Row],[Título]],CantoralDB[Título],0)),"OK","-")</f>
        <v>OK</v>
      </c>
      <c r="E181" t="s">
        <v>799</v>
      </c>
    </row>
    <row r="182" spans="1:5" x14ac:dyDescent="0.3">
      <c r="A182" s="16">
        <v>178</v>
      </c>
      <c r="B182" t="s">
        <v>1330</v>
      </c>
      <c r="C182" t="s">
        <v>491</v>
      </c>
      <c r="D182" t="str">
        <f>IF(ISNUMBER(MATCH(Tabla4[[#This Row],[Título]],CantoralDB[Título],0)),"OK","-")</f>
        <v>OK</v>
      </c>
      <c r="E182" t="s">
        <v>799</v>
      </c>
    </row>
    <row r="183" spans="1:5" x14ac:dyDescent="0.3">
      <c r="A183" s="16">
        <v>179</v>
      </c>
      <c r="B183" t="s">
        <v>1331</v>
      </c>
      <c r="C183" t="s">
        <v>479</v>
      </c>
      <c r="D183" t="str">
        <f>IF(ISNUMBER(MATCH(Tabla4[[#This Row],[Título]],CantoralDB[Título],0)),"OK","-")</f>
        <v>OK</v>
      </c>
      <c r="E183" t="s">
        <v>799</v>
      </c>
    </row>
    <row r="184" spans="1:5" x14ac:dyDescent="0.3">
      <c r="A184" s="16">
        <v>180</v>
      </c>
      <c r="B184" t="s">
        <v>1332</v>
      </c>
      <c r="C184" t="s">
        <v>2158</v>
      </c>
      <c r="D184" t="str">
        <f>IF(ISNUMBER(MATCH(Tabla4[[#This Row],[Título]],CantoralDB[Título],0)),"OK","-")</f>
        <v>OK</v>
      </c>
      <c r="E184" t="s">
        <v>799</v>
      </c>
    </row>
    <row r="185" spans="1:5" x14ac:dyDescent="0.3">
      <c r="A185" s="16">
        <v>181</v>
      </c>
      <c r="B185" t="s">
        <v>1333</v>
      </c>
      <c r="C185" t="s">
        <v>486</v>
      </c>
      <c r="D185" t="str">
        <f>IF(ISNUMBER(MATCH(Tabla4[[#This Row],[Título]],CantoralDB[Título],0)),"OK","-")</f>
        <v>OK</v>
      </c>
      <c r="E185" t="s">
        <v>799</v>
      </c>
    </row>
    <row r="186" spans="1:5" x14ac:dyDescent="0.3">
      <c r="A186" s="16">
        <v>182</v>
      </c>
      <c r="B186" t="s">
        <v>1334</v>
      </c>
      <c r="C186" t="s">
        <v>2159</v>
      </c>
      <c r="D186" t="str">
        <f>IF(ISNUMBER(MATCH(Tabla4[[#This Row],[Título]],CantoralDB[Título],0)),"OK","-")</f>
        <v>OK</v>
      </c>
      <c r="E186" t="s">
        <v>799</v>
      </c>
    </row>
    <row r="187" spans="1:5" x14ac:dyDescent="0.3">
      <c r="A187" s="16">
        <v>183</v>
      </c>
      <c r="B187" t="s">
        <v>1335</v>
      </c>
      <c r="C187" t="s">
        <v>2152</v>
      </c>
      <c r="D187" t="str">
        <f>IF(ISNUMBER(MATCH(Tabla4[[#This Row],[Título]],CantoralDB[Título],0)),"OK","-")</f>
        <v>OK</v>
      </c>
      <c r="E187" t="s">
        <v>799</v>
      </c>
    </row>
    <row r="188" spans="1:5" x14ac:dyDescent="0.3">
      <c r="A188" s="16">
        <v>184</v>
      </c>
      <c r="B188" t="s">
        <v>2182</v>
      </c>
      <c r="C188" t="s">
        <v>479</v>
      </c>
      <c r="D188" t="str">
        <f>IF(ISNUMBER(MATCH(Tabla4[[#This Row],[Título]],CantoralDB[Título],0)),"OK","-")</f>
        <v>OK</v>
      </c>
      <c r="E188" t="s">
        <v>799</v>
      </c>
    </row>
    <row r="189" spans="1:5" x14ac:dyDescent="0.3">
      <c r="A189" s="16">
        <v>185</v>
      </c>
      <c r="B189" t="s">
        <v>1336</v>
      </c>
      <c r="C189" t="s">
        <v>503</v>
      </c>
      <c r="D189" t="str">
        <f>IF(ISNUMBER(MATCH(Tabla4[[#This Row],[Título]],CantoralDB[Título],0)),"OK","-")</f>
        <v>-</v>
      </c>
      <c r="E189" t="s">
        <v>799</v>
      </c>
    </row>
    <row r="190" spans="1:5" x14ac:dyDescent="0.3">
      <c r="A190" s="16">
        <v>186</v>
      </c>
      <c r="B190" t="s">
        <v>1337</v>
      </c>
      <c r="C190" t="s">
        <v>481</v>
      </c>
      <c r="D190" t="str">
        <f>IF(ISNUMBER(MATCH(Tabla4[[#This Row],[Título]],CantoralDB[Título],0)),"OK","-")</f>
        <v>-</v>
      </c>
      <c r="E190" t="s">
        <v>799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799</v>
      </c>
    </row>
    <row r="192" spans="1:5" x14ac:dyDescent="0.3">
      <c r="A192" s="16">
        <v>188</v>
      </c>
      <c r="B192" t="s">
        <v>1338</v>
      </c>
      <c r="C192" t="s">
        <v>510</v>
      </c>
      <c r="D192" t="str">
        <f>IF(ISNUMBER(MATCH(Tabla4[[#This Row],[Título]],CantoralDB[Título],0)),"OK","-")</f>
        <v>OK</v>
      </c>
      <c r="E192" t="s">
        <v>799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612</v>
      </c>
    </row>
    <row r="194" spans="1:5" x14ac:dyDescent="0.3">
      <c r="A194" s="16">
        <v>190</v>
      </c>
      <c r="B194" t="s">
        <v>1272</v>
      </c>
      <c r="C194" t="s">
        <v>2138</v>
      </c>
      <c r="D194" t="str">
        <f>IF(ISNUMBER(MATCH(Tabla4[[#This Row],[Título]],CantoralDB[Título],0)),"OK","-")</f>
        <v>OK</v>
      </c>
      <c r="E194" t="s">
        <v>799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612</v>
      </c>
    </row>
    <row r="196" spans="1:5" x14ac:dyDescent="0.3">
      <c r="A196" s="16">
        <v>192</v>
      </c>
      <c r="B196" t="s">
        <v>104</v>
      </c>
      <c r="C196" t="s">
        <v>510</v>
      </c>
      <c r="D196" t="str">
        <f>IF(ISNUMBER(MATCH(Tabla4[[#This Row],[Título]],CantoralDB[Título],0)),"OK","-")</f>
        <v>OK</v>
      </c>
      <c r="E196" t="s">
        <v>612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612</v>
      </c>
    </row>
    <row r="198" spans="1:5" x14ac:dyDescent="0.3">
      <c r="A198" s="16">
        <v>194</v>
      </c>
      <c r="B198" t="s">
        <v>1339</v>
      </c>
      <c r="C198" t="s">
        <v>2137</v>
      </c>
      <c r="D198" t="str">
        <f>IF(ISNUMBER(MATCH(Tabla4[[#This Row],[Título]],CantoralDB[Título],0)),"OK","-")</f>
        <v>OK</v>
      </c>
      <c r="E198" t="s">
        <v>799</v>
      </c>
    </row>
    <row r="199" spans="1:5" x14ac:dyDescent="0.3">
      <c r="A199" s="16">
        <v>195</v>
      </c>
      <c r="B199" t="s">
        <v>107</v>
      </c>
      <c r="C199" t="s">
        <v>2136</v>
      </c>
      <c r="D199" t="str">
        <f>IF(ISNUMBER(MATCH(Tabla4[[#This Row],[Título]],CantoralDB[Título],0)),"OK","-")</f>
        <v>OK</v>
      </c>
      <c r="E199" t="s">
        <v>612</v>
      </c>
    </row>
    <row r="200" spans="1:5" x14ac:dyDescent="0.3">
      <c r="A200" s="16">
        <v>196</v>
      </c>
      <c r="B200" t="s">
        <v>1340</v>
      </c>
      <c r="C200" t="s">
        <v>484</v>
      </c>
      <c r="D200" t="str">
        <f>IF(ISNUMBER(MATCH(Tabla4[[#This Row],[Título]],CantoralDB[Título],0)),"OK","-")</f>
        <v>OK</v>
      </c>
      <c r="E200" t="s">
        <v>799</v>
      </c>
    </row>
    <row r="201" spans="1:5" x14ac:dyDescent="0.3">
      <c r="A201" s="16">
        <v>197</v>
      </c>
      <c r="B201" t="s">
        <v>1341</v>
      </c>
      <c r="C201" t="s">
        <v>488</v>
      </c>
      <c r="D201" t="str">
        <f>IF(ISNUMBER(MATCH(Tabla4[[#This Row],[Título]],CantoralDB[Título],0)),"OK","-")</f>
        <v>OK</v>
      </c>
      <c r="E201" t="s">
        <v>799</v>
      </c>
    </row>
    <row r="202" spans="1:5" x14ac:dyDescent="0.3">
      <c r="A202" s="16">
        <v>198</v>
      </c>
      <c r="B202" t="s">
        <v>106</v>
      </c>
      <c r="C202" t="s">
        <v>2160</v>
      </c>
      <c r="D202" t="str">
        <f>IF(ISNUMBER(MATCH(Tabla4[[#This Row],[Título]],CantoralDB[Título],0)),"OK","-")</f>
        <v>OK</v>
      </c>
      <c r="E202" t="s">
        <v>612</v>
      </c>
    </row>
    <row r="203" spans="1:5" x14ac:dyDescent="0.3">
      <c r="A203" s="16">
        <v>199</v>
      </c>
      <c r="B203" t="s">
        <v>1342</v>
      </c>
      <c r="C203" t="s">
        <v>2144</v>
      </c>
      <c r="D203" t="str">
        <f>IF(ISNUMBER(MATCH(Tabla4[[#This Row],[Título]],CantoralDB[Título],0)),"OK","-")</f>
        <v>OK</v>
      </c>
      <c r="E203" t="s">
        <v>799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612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612</v>
      </c>
    </row>
    <row r="206" spans="1:5" x14ac:dyDescent="0.3">
      <c r="A206" s="16">
        <v>202</v>
      </c>
      <c r="B206" t="s">
        <v>116</v>
      </c>
      <c r="C206" t="s">
        <v>510</v>
      </c>
      <c r="D206" t="str">
        <f>IF(ISNUMBER(MATCH(Tabla4[[#This Row],[Título]],CantoralDB[Título],0)),"OK","-")</f>
        <v>OK</v>
      </c>
      <c r="E206" t="s">
        <v>612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612</v>
      </c>
    </row>
    <row r="208" spans="1:5" x14ac:dyDescent="0.3">
      <c r="A208" s="16">
        <v>204</v>
      </c>
      <c r="B208" t="s">
        <v>1343</v>
      </c>
      <c r="C208" t="s">
        <v>2144</v>
      </c>
      <c r="D208" t="str">
        <f>IF(ISNUMBER(MATCH(Tabla4[[#This Row],[Título]],CantoralDB[Título],0)),"OK","-")</f>
        <v>OK</v>
      </c>
      <c r="E208" t="s">
        <v>799</v>
      </c>
    </row>
    <row r="209" spans="1:5" x14ac:dyDescent="0.3">
      <c r="A209" s="16">
        <v>205</v>
      </c>
      <c r="B209" t="s">
        <v>117</v>
      </c>
      <c r="C209" t="s">
        <v>510</v>
      </c>
      <c r="D209" t="str">
        <f>IF(ISNUMBER(MATCH(Tabla4[[#This Row],[Título]],CantoralDB[Título],0)),"OK","-")</f>
        <v>OK</v>
      </c>
      <c r="E209" t="s">
        <v>612</v>
      </c>
    </row>
    <row r="210" spans="1:5" x14ac:dyDescent="0.3">
      <c r="A210" s="16">
        <v>206</v>
      </c>
      <c r="B210" t="s">
        <v>1344</v>
      </c>
      <c r="C210" t="s">
        <v>487</v>
      </c>
      <c r="D210" t="str">
        <f>IF(ISNUMBER(MATCH(Tabla4[[#This Row],[Título]],CantoralDB[Título],0)),"OK","-")</f>
        <v>OK</v>
      </c>
      <c r="E210" t="s">
        <v>799</v>
      </c>
    </row>
    <row r="211" spans="1:5" x14ac:dyDescent="0.3">
      <c r="A211" s="16">
        <v>207</v>
      </c>
      <c r="B211" t="s">
        <v>1345</v>
      </c>
      <c r="C211" t="s">
        <v>481</v>
      </c>
      <c r="D211" t="str">
        <f>IF(ISNUMBER(MATCH(Tabla4[[#This Row],[Título]],CantoralDB[Título],0)),"OK","-")</f>
        <v>-</v>
      </c>
      <c r="E211" t="s">
        <v>799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612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612</v>
      </c>
    </row>
    <row r="214" spans="1:5" x14ac:dyDescent="0.3">
      <c r="A214" s="16">
        <v>210</v>
      </c>
      <c r="B214" t="s">
        <v>1285</v>
      </c>
      <c r="C214" t="s">
        <v>503</v>
      </c>
      <c r="D214" t="str">
        <f>IF(ISNUMBER(MATCH(Tabla4[[#This Row],[Título]],CantoralDB[Título],0)),"OK","-")</f>
        <v>OK</v>
      </c>
      <c r="E214" t="s">
        <v>799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612</v>
      </c>
    </row>
    <row r="216" spans="1:5" x14ac:dyDescent="0.3">
      <c r="A216" s="16">
        <v>212</v>
      </c>
      <c r="B216" t="s">
        <v>1346</v>
      </c>
      <c r="C216" t="s">
        <v>491</v>
      </c>
      <c r="D216" t="str">
        <f>IF(ISNUMBER(MATCH(Tabla4[[#This Row],[Título]],CantoralDB[Título],0)),"OK","-")</f>
        <v>OK</v>
      </c>
      <c r="E216" t="s">
        <v>799</v>
      </c>
    </row>
    <row r="217" spans="1:5" x14ac:dyDescent="0.3">
      <c r="A217" s="16">
        <v>213</v>
      </c>
      <c r="B217" t="s">
        <v>1347</v>
      </c>
      <c r="C217" t="s">
        <v>488</v>
      </c>
      <c r="D217" t="str">
        <f>IF(ISNUMBER(MATCH(Tabla4[[#This Row],[Título]],CantoralDB[Título],0)),"OK","-")</f>
        <v>OK</v>
      </c>
      <c r="E217" t="s">
        <v>799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612</v>
      </c>
    </row>
    <row r="219" spans="1:5" x14ac:dyDescent="0.3">
      <c r="A219" s="16">
        <v>215</v>
      </c>
      <c r="B219" t="s">
        <v>1348</v>
      </c>
      <c r="C219" t="s">
        <v>480</v>
      </c>
      <c r="D219" t="str">
        <f>IF(ISNUMBER(MATCH(Tabla4[[#This Row],[Título]],CantoralDB[Título],0)),"OK","-")</f>
        <v>OK</v>
      </c>
      <c r="E219" t="s">
        <v>799</v>
      </c>
    </row>
    <row r="220" spans="1:5" x14ac:dyDescent="0.3">
      <c r="A220" s="16">
        <v>216</v>
      </c>
      <c r="B220" t="s">
        <v>1349</v>
      </c>
      <c r="C220" t="s">
        <v>2205</v>
      </c>
      <c r="D220" t="str">
        <f>IF(ISNUMBER(MATCH(Tabla4[[#This Row],[Título]],CantoralDB[Título],0)),"OK","-")</f>
        <v>OK</v>
      </c>
      <c r="E220" t="s">
        <v>799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612</v>
      </c>
    </row>
    <row r="222" spans="1:5" x14ac:dyDescent="0.3">
      <c r="A222" s="16">
        <v>218</v>
      </c>
      <c r="B222" t="s">
        <v>1350</v>
      </c>
      <c r="C222" t="s">
        <v>2146</v>
      </c>
      <c r="D222" t="str">
        <f>IF(ISNUMBER(MATCH(Tabla4[[#This Row],[Título]],CantoralDB[Título],0)),"OK","-")</f>
        <v>OK</v>
      </c>
      <c r="E222" t="s">
        <v>799</v>
      </c>
    </row>
    <row r="223" spans="1:5" x14ac:dyDescent="0.3">
      <c r="A223" s="16">
        <v>219</v>
      </c>
      <c r="B223" t="s">
        <v>1351</v>
      </c>
      <c r="C223" t="s">
        <v>2161</v>
      </c>
      <c r="D223" t="str">
        <f>IF(ISNUMBER(MATCH(Tabla4[[#This Row],[Título]],CantoralDB[Título],0)),"OK","-")</f>
        <v>OK</v>
      </c>
      <c r="E223" t="s">
        <v>799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612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612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612</v>
      </c>
    </row>
    <row r="227" spans="1:5" x14ac:dyDescent="0.3">
      <c r="A227" s="16">
        <v>223</v>
      </c>
      <c r="B227" t="s">
        <v>1352</v>
      </c>
      <c r="C227" t="s">
        <v>2144</v>
      </c>
      <c r="D227" t="str">
        <f>IF(ISNUMBER(MATCH(Tabla4[[#This Row],[Título]],CantoralDB[Título],0)),"OK","-")</f>
        <v>OK</v>
      </c>
      <c r="E227" t="s">
        <v>799</v>
      </c>
    </row>
    <row r="228" spans="1:5" x14ac:dyDescent="0.3">
      <c r="A228" s="16">
        <v>224</v>
      </c>
      <c r="B228" t="s">
        <v>1353</v>
      </c>
      <c r="C228" t="s">
        <v>2158</v>
      </c>
      <c r="D228" t="str">
        <f>IF(ISNUMBER(MATCH(Tabla4[[#This Row],[Título]],CantoralDB[Título],0)),"OK","-")</f>
        <v>OK</v>
      </c>
      <c r="E228" t="s">
        <v>799</v>
      </c>
    </row>
    <row r="229" spans="1:5" x14ac:dyDescent="0.3">
      <c r="A229" s="16">
        <v>225</v>
      </c>
      <c r="B229" t="s">
        <v>126</v>
      </c>
      <c r="C229" t="s">
        <v>582</v>
      </c>
      <c r="D229" t="str">
        <f>IF(ISNUMBER(MATCH(Tabla4[[#This Row],[Título]],CantoralDB[Título],0)),"OK","-")</f>
        <v>OK</v>
      </c>
      <c r="E229" t="s">
        <v>612</v>
      </c>
    </row>
    <row r="230" spans="1:5" x14ac:dyDescent="0.3">
      <c r="A230" s="16">
        <v>226</v>
      </c>
      <c r="B230" t="s">
        <v>1354</v>
      </c>
      <c r="C230" t="s">
        <v>484</v>
      </c>
      <c r="D230" t="str">
        <f>IF(ISNUMBER(MATCH(Tabla4[[#This Row],[Título]],CantoralDB[Título],0)),"OK","-")</f>
        <v>OK</v>
      </c>
      <c r="E230" t="s">
        <v>799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612</v>
      </c>
    </row>
    <row r="232" spans="1:5" x14ac:dyDescent="0.3">
      <c r="A232" s="16">
        <v>228</v>
      </c>
      <c r="B232" t="s">
        <v>1355</v>
      </c>
      <c r="C232" t="s">
        <v>2162</v>
      </c>
      <c r="D232" t="str">
        <f>IF(ISNUMBER(MATCH(Tabla4[[#This Row],[Título]],CantoralDB[Título],0)),"OK","-")</f>
        <v>OK</v>
      </c>
      <c r="E232" t="s">
        <v>799</v>
      </c>
    </row>
    <row r="233" spans="1:5" x14ac:dyDescent="0.3">
      <c r="A233" s="16">
        <v>229</v>
      </c>
      <c r="B233" t="s">
        <v>1356</v>
      </c>
      <c r="C233" t="s">
        <v>510</v>
      </c>
      <c r="D233" t="str">
        <f>IF(ISNUMBER(MATCH(Tabla4[[#This Row],[Título]],CantoralDB[Título],0)),"OK","-")</f>
        <v>OK</v>
      </c>
      <c r="E233" t="s">
        <v>799</v>
      </c>
    </row>
    <row r="234" spans="1:5" x14ac:dyDescent="0.3">
      <c r="A234" s="16">
        <v>230</v>
      </c>
      <c r="B234" t="s">
        <v>1357</v>
      </c>
      <c r="C234" t="s">
        <v>2136</v>
      </c>
      <c r="D234" t="str">
        <f>IF(ISNUMBER(MATCH(Tabla4[[#This Row],[Título]],CantoralDB[Título],0)),"OK","-")</f>
        <v>OK</v>
      </c>
      <c r="E234" t="s">
        <v>799</v>
      </c>
    </row>
    <row r="235" spans="1:5" x14ac:dyDescent="0.3">
      <c r="A235" s="16">
        <v>231</v>
      </c>
      <c r="B235" t="s">
        <v>528</v>
      </c>
      <c r="C235" t="s">
        <v>519</v>
      </c>
      <c r="D235" t="str">
        <f>IF(ISNUMBER(MATCH(Tabla4[[#This Row],[Título]],CantoralDB[Título],0)),"OK","-")</f>
        <v>OK</v>
      </c>
      <c r="E235" t="s">
        <v>612</v>
      </c>
    </row>
    <row r="236" spans="1:5" x14ac:dyDescent="0.3">
      <c r="A236" s="16">
        <v>232</v>
      </c>
      <c r="B236" t="s">
        <v>1358</v>
      </c>
      <c r="C236" t="s">
        <v>481</v>
      </c>
      <c r="D236" t="str">
        <f>IF(ISNUMBER(MATCH(Tabla4[[#This Row],[Título]],CantoralDB[Título],0)),"OK","-")</f>
        <v>-</v>
      </c>
      <c r="E236" t="s">
        <v>799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612</v>
      </c>
    </row>
    <row r="238" spans="1:5" x14ac:dyDescent="0.3">
      <c r="A238" s="16">
        <v>234</v>
      </c>
      <c r="B238" t="s">
        <v>134</v>
      </c>
      <c r="C238" t="s">
        <v>518</v>
      </c>
      <c r="D238" t="str">
        <f>IF(ISNUMBER(MATCH(Tabla4[[#This Row],[Título]],CantoralDB[Título],0)),"OK","-")</f>
        <v>OK</v>
      </c>
      <c r="E238" t="s">
        <v>612</v>
      </c>
    </row>
    <row r="239" spans="1:5" x14ac:dyDescent="0.3">
      <c r="A239" s="16">
        <v>235</v>
      </c>
      <c r="B239" t="s">
        <v>135</v>
      </c>
      <c r="C239" t="s">
        <v>518</v>
      </c>
      <c r="D239" t="str">
        <f>IF(ISNUMBER(MATCH(Tabla4[[#This Row],[Título]],CantoralDB[Título],0)),"OK","-")</f>
        <v>OK</v>
      </c>
      <c r="E239" t="s">
        <v>612</v>
      </c>
    </row>
    <row r="240" spans="1:5" x14ac:dyDescent="0.3">
      <c r="A240" s="16">
        <v>236</v>
      </c>
      <c r="B240" t="s">
        <v>1359</v>
      </c>
      <c r="C240" t="s">
        <v>503</v>
      </c>
      <c r="D240" t="str">
        <f>IF(ISNUMBER(MATCH(Tabla4[[#This Row],[Título]],CantoralDB[Título],0)),"OK","-")</f>
        <v>OK</v>
      </c>
      <c r="E240" t="s">
        <v>799</v>
      </c>
    </row>
    <row r="241" spans="1:5" x14ac:dyDescent="0.3">
      <c r="A241" s="16">
        <v>237</v>
      </c>
      <c r="B241" t="s">
        <v>138</v>
      </c>
      <c r="C241" t="s">
        <v>547</v>
      </c>
      <c r="D241" t="str">
        <f>IF(ISNUMBER(MATCH(Tabla4[[#This Row],[Título]],CantoralDB[Título],0)),"OK","-")</f>
        <v>OK</v>
      </c>
      <c r="E241" t="s">
        <v>612</v>
      </c>
    </row>
    <row r="242" spans="1:5" x14ac:dyDescent="0.3">
      <c r="A242" s="16">
        <v>238</v>
      </c>
      <c r="B242" t="s">
        <v>1360</v>
      </c>
      <c r="C242" t="s">
        <v>2143</v>
      </c>
      <c r="D242" t="str">
        <f>IF(ISNUMBER(MATCH(Tabla4[[#This Row],[Título]],CantoralDB[Título],0)),"OK","-")</f>
        <v>OK</v>
      </c>
      <c r="E242" t="s">
        <v>799</v>
      </c>
    </row>
    <row r="243" spans="1:5" x14ac:dyDescent="0.3">
      <c r="A243" s="16">
        <v>239</v>
      </c>
      <c r="B243" t="s">
        <v>1361</v>
      </c>
      <c r="C243" t="s">
        <v>547</v>
      </c>
      <c r="D243" t="str">
        <f>IF(ISNUMBER(MATCH(Tabla4[[#This Row],[Título]],CantoralDB[Título],0)),"OK","-")</f>
        <v>OK</v>
      </c>
      <c r="E243" t="s">
        <v>799</v>
      </c>
    </row>
    <row r="244" spans="1:5" x14ac:dyDescent="0.3">
      <c r="A244" s="16">
        <v>240</v>
      </c>
      <c r="B244" t="s">
        <v>1362</v>
      </c>
      <c r="C244" t="s">
        <v>481</v>
      </c>
      <c r="D244" t="str">
        <f>IF(ISNUMBER(MATCH(Tabla4[[#This Row],[Título]],CantoralDB[Título],0)),"OK","-")</f>
        <v>OK</v>
      </c>
      <c r="E244" t="s">
        <v>799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612</v>
      </c>
    </row>
    <row r="246" spans="1:5" x14ac:dyDescent="0.3">
      <c r="A246" s="16">
        <v>242</v>
      </c>
      <c r="B246" t="s">
        <v>1363</v>
      </c>
      <c r="C246" t="s">
        <v>2159</v>
      </c>
      <c r="D246" t="str">
        <f>IF(ISNUMBER(MATCH(Tabla4[[#This Row],[Título]],CantoralDB[Título],0)),"OK","-")</f>
        <v>OK</v>
      </c>
      <c r="E246" t="s">
        <v>799</v>
      </c>
    </row>
    <row r="247" spans="1:5" x14ac:dyDescent="0.3">
      <c r="A247" s="16">
        <v>243</v>
      </c>
      <c r="B247" t="s">
        <v>1364</v>
      </c>
      <c r="C247" t="s">
        <v>491</v>
      </c>
      <c r="D247" t="str">
        <f>IF(ISNUMBER(MATCH(Tabla4[[#This Row],[Título]],CantoralDB[Título],0)),"OK","-")</f>
        <v>OK</v>
      </c>
      <c r="E247" t="s">
        <v>799</v>
      </c>
    </row>
    <row r="248" spans="1:5" x14ac:dyDescent="0.3">
      <c r="A248" s="16">
        <v>244</v>
      </c>
      <c r="B248" t="s">
        <v>1365</v>
      </c>
      <c r="C248" t="s">
        <v>479</v>
      </c>
      <c r="D248" t="str">
        <f>IF(ISNUMBER(MATCH(Tabla4[[#This Row],[Título]],CantoralDB[Título],0)),"OK","-")</f>
        <v>OK</v>
      </c>
      <c r="E248" t="s">
        <v>799</v>
      </c>
    </row>
    <row r="249" spans="1:5" x14ac:dyDescent="0.3">
      <c r="A249" s="16">
        <v>245</v>
      </c>
      <c r="B249" t="s">
        <v>1277</v>
      </c>
      <c r="C249" t="s">
        <v>481</v>
      </c>
      <c r="D249" t="str">
        <f>IF(ISNUMBER(MATCH(Tabla4[[#This Row],[Título]],CantoralDB[Título],0)),"OK","-")</f>
        <v>OK</v>
      </c>
      <c r="E249" t="s">
        <v>612</v>
      </c>
    </row>
    <row r="250" spans="1:5" x14ac:dyDescent="0.3">
      <c r="A250" s="16">
        <v>246</v>
      </c>
      <c r="B250" t="s">
        <v>1366</v>
      </c>
      <c r="C250" t="s">
        <v>547</v>
      </c>
      <c r="D250" t="str">
        <f>IF(ISNUMBER(MATCH(Tabla4[[#This Row],[Título]],CantoralDB[Título],0)),"OK","-")</f>
        <v>OK</v>
      </c>
      <c r="E250" t="s">
        <v>799</v>
      </c>
    </row>
    <row r="251" spans="1:5" x14ac:dyDescent="0.3">
      <c r="A251" s="16" t="s">
        <v>2163</v>
      </c>
      <c r="B251" t="s">
        <v>1367</v>
      </c>
      <c r="C251" t="s">
        <v>486</v>
      </c>
      <c r="D251" t="str">
        <f>IF(ISNUMBER(MATCH(Tabla4[[#This Row],[Título]],CantoralDB[Título],0)),"OK","-")</f>
        <v>OK</v>
      </c>
      <c r="E251" t="s">
        <v>799</v>
      </c>
    </row>
    <row r="252" spans="1:5" x14ac:dyDescent="0.3">
      <c r="A252" s="16">
        <v>247</v>
      </c>
      <c r="B252" t="s">
        <v>1368</v>
      </c>
      <c r="C252" t="s">
        <v>480</v>
      </c>
      <c r="D252" t="str">
        <f>IF(ISNUMBER(MATCH(Tabla4[[#This Row],[Título]],CantoralDB[Título],0)),"OK","-")</f>
        <v>OK</v>
      </c>
      <c r="E252" t="s">
        <v>799</v>
      </c>
    </row>
    <row r="253" spans="1:5" x14ac:dyDescent="0.3">
      <c r="A253" s="16">
        <v>248</v>
      </c>
      <c r="B253" t="s">
        <v>2164</v>
      </c>
      <c r="C253" t="s">
        <v>518</v>
      </c>
      <c r="D253" t="str">
        <f>IF(ISNUMBER(MATCH(Tabla4[[#This Row],[Título]],CantoralDB[Título],0)),"OK","-")</f>
        <v>OK</v>
      </c>
      <c r="E253" t="s">
        <v>799</v>
      </c>
    </row>
    <row r="254" spans="1:5" x14ac:dyDescent="0.3">
      <c r="A254" s="16">
        <v>249</v>
      </c>
      <c r="B254" t="s">
        <v>1369</v>
      </c>
      <c r="C254" t="s">
        <v>2142</v>
      </c>
      <c r="D254" t="str">
        <f>IF(ISNUMBER(MATCH(Tabla4[[#This Row],[Título]],CantoralDB[Título],0)),"OK","-")</f>
        <v>OK</v>
      </c>
      <c r="E254" t="s">
        <v>799</v>
      </c>
    </row>
    <row r="255" spans="1:5" x14ac:dyDescent="0.3">
      <c r="A255" s="16">
        <v>250</v>
      </c>
      <c r="B255" t="s">
        <v>1370</v>
      </c>
      <c r="C255" t="s">
        <v>2142</v>
      </c>
      <c r="D255" t="str">
        <f>IF(ISNUMBER(MATCH(Tabla4[[#This Row],[Título]],CantoralDB[Título],0)),"OK","-")</f>
        <v>OK</v>
      </c>
      <c r="E255" t="s">
        <v>799</v>
      </c>
    </row>
    <row r="256" spans="1:5" x14ac:dyDescent="0.3">
      <c r="A256" s="16">
        <v>251</v>
      </c>
      <c r="B256" t="s">
        <v>601</v>
      </c>
      <c r="C256" t="s">
        <v>483</v>
      </c>
      <c r="D256" t="str">
        <f>IF(ISNUMBER(MATCH(Tabla4[[#This Row],[Título]],CantoralDB[Título],0)),"OK","-")</f>
        <v>OK</v>
      </c>
      <c r="E256" t="s">
        <v>612</v>
      </c>
    </row>
    <row r="257" spans="1:5" x14ac:dyDescent="0.3">
      <c r="A257" s="16">
        <v>252</v>
      </c>
      <c r="B257" t="s">
        <v>1371</v>
      </c>
      <c r="C257" t="s">
        <v>484</v>
      </c>
      <c r="D257" t="str">
        <f>IF(ISNUMBER(MATCH(Tabla4[[#This Row],[Título]],CantoralDB[Título],0)),"OK","-")</f>
        <v>OK</v>
      </c>
      <c r="E257" t="s">
        <v>799</v>
      </c>
    </row>
    <row r="258" spans="1:5" x14ac:dyDescent="0.3">
      <c r="A258" s="16">
        <v>253</v>
      </c>
      <c r="B258" t="s">
        <v>1372</v>
      </c>
      <c r="C258" t="s">
        <v>2158</v>
      </c>
      <c r="D258" t="str">
        <f>IF(ISNUMBER(MATCH(Tabla4[[#This Row],[Título]],CantoralDB[Título],0)),"OK","-")</f>
        <v>OK</v>
      </c>
      <c r="E258" t="s">
        <v>799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612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612</v>
      </c>
    </row>
    <row r="261" spans="1:5" x14ac:dyDescent="0.3">
      <c r="A261" s="16">
        <v>256</v>
      </c>
      <c r="B261" t="s">
        <v>1373</v>
      </c>
      <c r="C261" t="s">
        <v>547</v>
      </c>
      <c r="D261" t="str">
        <f>IF(ISNUMBER(MATCH(Tabla4[[#This Row],[Título]],CantoralDB[Título],0)),"OK","-")</f>
        <v>OK</v>
      </c>
      <c r="E261" t="s">
        <v>799</v>
      </c>
    </row>
    <row r="262" spans="1:5" x14ac:dyDescent="0.3">
      <c r="A262" s="16">
        <v>257</v>
      </c>
      <c r="B262" t="s">
        <v>141</v>
      </c>
      <c r="C262" t="s">
        <v>510</v>
      </c>
      <c r="D262" t="str">
        <f>IF(ISNUMBER(MATCH(Tabla4[[#This Row],[Título]],CantoralDB[Título],0)),"OK","-")</f>
        <v>OK</v>
      </c>
      <c r="E262" t="s">
        <v>612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612</v>
      </c>
    </row>
    <row r="264" spans="1:5" x14ac:dyDescent="0.3">
      <c r="A264" s="16">
        <v>259</v>
      </c>
      <c r="B264" t="s">
        <v>1374</v>
      </c>
      <c r="C264" t="s">
        <v>503</v>
      </c>
      <c r="D264" t="str">
        <f>IF(ISNUMBER(MATCH(Tabla4[[#This Row],[Título]],CantoralDB[Título],0)),"OK","-")</f>
        <v>OK</v>
      </c>
      <c r="E264" t="s">
        <v>799</v>
      </c>
    </row>
    <row r="265" spans="1:5" x14ac:dyDescent="0.3">
      <c r="A265" s="16">
        <v>260</v>
      </c>
      <c r="B265" t="s">
        <v>1375</v>
      </c>
      <c r="C265" t="s">
        <v>547</v>
      </c>
      <c r="D265" t="str">
        <f>IF(ISNUMBER(MATCH(Tabla4[[#This Row],[Título]],CantoralDB[Título],0)),"OK","-")</f>
        <v>OK</v>
      </c>
      <c r="E265" t="s">
        <v>799</v>
      </c>
    </row>
    <row r="266" spans="1:5" x14ac:dyDescent="0.3">
      <c r="A266" s="16">
        <v>261</v>
      </c>
      <c r="B266" t="s">
        <v>1376</v>
      </c>
      <c r="C266" t="s">
        <v>479</v>
      </c>
      <c r="D266" t="str">
        <f>IF(ISNUMBER(MATCH(Tabla4[[#This Row],[Título]],CantoralDB[Título],0)),"OK","-")</f>
        <v>OK</v>
      </c>
      <c r="E266" t="s">
        <v>799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612</v>
      </c>
    </row>
    <row r="268" spans="1:5" x14ac:dyDescent="0.3">
      <c r="A268" s="16">
        <v>263</v>
      </c>
      <c r="B268" t="s">
        <v>1377</v>
      </c>
      <c r="C268" t="s">
        <v>2136</v>
      </c>
      <c r="D268" t="str">
        <f>IF(ISNUMBER(MATCH(Tabla4[[#This Row],[Título]],CantoralDB[Título],0)),"OK","-")</f>
        <v>OK</v>
      </c>
      <c r="E268" t="s">
        <v>799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612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612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612</v>
      </c>
    </row>
    <row r="272" spans="1:5" x14ac:dyDescent="0.3">
      <c r="A272" s="16">
        <v>267</v>
      </c>
      <c r="B272" t="s">
        <v>1378</v>
      </c>
      <c r="C272" t="s">
        <v>2140</v>
      </c>
      <c r="D272" t="str">
        <f>IF(ISNUMBER(MATCH(Tabla4[[#This Row],[Título]],CantoralDB[Título],0)),"OK","-")</f>
        <v>OK</v>
      </c>
      <c r="E272" t="s">
        <v>799</v>
      </c>
    </row>
    <row r="273" spans="1:5" x14ac:dyDescent="0.3">
      <c r="A273" s="16">
        <v>268</v>
      </c>
      <c r="B273" t="s">
        <v>1379</v>
      </c>
      <c r="C273" t="s">
        <v>2137</v>
      </c>
      <c r="D273" t="str">
        <f>IF(ISNUMBER(MATCH(Tabla4[[#This Row],[Título]],CantoralDB[Título],0)),"OK","-")</f>
        <v>OK</v>
      </c>
      <c r="E273" t="s">
        <v>799</v>
      </c>
    </row>
    <row r="274" spans="1:5" x14ac:dyDescent="0.3">
      <c r="A274" s="16">
        <v>269</v>
      </c>
      <c r="B274" t="s">
        <v>1380</v>
      </c>
      <c r="C274" t="s">
        <v>491</v>
      </c>
      <c r="D274" t="str">
        <f>IF(ISNUMBER(MATCH(Tabla4[[#This Row],[Título]],CantoralDB[Título],0)),"OK","-")</f>
        <v>OK</v>
      </c>
      <c r="E274" t="s">
        <v>799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612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612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612</v>
      </c>
    </row>
    <row r="278" spans="1:5" x14ac:dyDescent="0.3">
      <c r="A278" s="16">
        <v>273</v>
      </c>
      <c r="B278" t="s">
        <v>1381</v>
      </c>
      <c r="C278" t="s">
        <v>2143</v>
      </c>
      <c r="D278" t="str">
        <f>IF(ISNUMBER(MATCH(Tabla4[[#This Row],[Título]],CantoralDB[Título],0)),"OK","-")</f>
        <v>OK</v>
      </c>
      <c r="E278" t="s">
        <v>799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612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612</v>
      </c>
    </row>
    <row r="281" spans="1:5" x14ac:dyDescent="0.3">
      <c r="A281" s="16" t="s">
        <v>2165</v>
      </c>
      <c r="B281" t="s">
        <v>1382</v>
      </c>
      <c r="C281" t="s">
        <v>486</v>
      </c>
      <c r="D281" t="str">
        <f>IF(ISNUMBER(MATCH(Tabla4[[#This Row],[Título]],CantoralDB[Título],0)),"OK","-")</f>
        <v>OK</v>
      </c>
      <c r="E281" t="s">
        <v>799</v>
      </c>
    </row>
    <row r="282" spans="1:5" x14ac:dyDescent="0.3">
      <c r="A282" s="16">
        <v>276</v>
      </c>
      <c r="B282" t="s">
        <v>2166</v>
      </c>
      <c r="C282" t="s">
        <v>480</v>
      </c>
      <c r="D282" t="str">
        <f>IF(ISNUMBER(MATCH(Tabla4[[#This Row],[Título]],CantoralDB[Título],0)),"OK","-")</f>
        <v>OK</v>
      </c>
      <c r="E282" t="s">
        <v>799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612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612</v>
      </c>
    </row>
    <row r="285" spans="1:5" x14ac:dyDescent="0.3">
      <c r="A285" s="16">
        <v>279</v>
      </c>
      <c r="B285" t="s">
        <v>1383</v>
      </c>
      <c r="C285" t="s">
        <v>2145</v>
      </c>
      <c r="D285" t="str">
        <f>IF(ISNUMBER(MATCH(Tabla4[[#This Row],[Título]],CantoralDB[Título],0)),"OK","-")</f>
        <v>OK</v>
      </c>
      <c r="E285" t="s">
        <v>799</v>
      </c>
    </row>
    <row r="286" spans="1:5" x14ac:dyDescent="0.3">
      <c r="A286" s="16">
        <v>280</v>
      </c>
      <c r="B286" t="s">
        <v>1384</v>
      </c>
      <c r="C286" t="s">
        <v>2167</v>
      </c>
      <c r="D286" t="str">
        <f>IF(ISNUMBER(MATCH(Tabla4[[#This Row],[Título]],CantoralDB[Título],0)),"OK","-")</f>
        <v>OK</v>
      </c>
      <c r="E286" t="s">
        <v>799</v>
      </c>
    </row>
    <row r="287" spans="1:5" x14ac:dyDescent="0.3">
      <c r="A287" s="16">
        <v>281</v>
      </c>
      <c r="B287" t="s">
        <v>1385</v>
      </c>
      <c r="C287" t="s">
        <v>481</v>
      </c>
      <c r="D287" t="str">
        <f>IF(ISNUMBER(MATCH(Tabla4[[#This Row],[Título]],CantoralDB[Título],0)),"OK","-")</f>
        <v>OK</v>
      </c>
      <c r="E287" t="s">
        <v>799</v>
      </c>
    </row>
    <row r="288" spans="1:5" x14ac:dyDescent="0.3">
      <c r="A288" s="16">
        <v>282</v>
      </c>
      <c r="B288" t="s">
        <v>1283</v>
      </c>
      <c r="C288" t="s">
        <v>547</v>
      </c>
      <c r="D288" t="str">
        <f>IF(ISNUMBER(MATCH(Tabla4[[#This Row],[Título]],CantoralDB[Título],0)),"OK","-")</f>
        <v>OK</v>
      </c>
      <c r="E288" t="s">
        <v>799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612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612</v>
      </c>
    </row>
    <row r="291" spans="1:5" x14ac:dyDescent="0.3">
      <c r="A291" s="16">
        <v>285</v>
      </c>
      <c r="B291" t="s">
        <v>158</v>
      </c>
      <c r="C291" t="s">
        <v>519</v>
      </c>
      <c r="D291" t="str">
        <f>IF(ISNUMBER(MATCH(Tabla4[[#This Row],[Título]],CantoralDB[Título],0)),"OK","-")</f>
        <v>OK</v>
      </c>
      <c r="E291" t="s">
        <v>612</v>
      </c>
    </row>
    <row r="292" spans="1:5" x14ac:dyDescent="0.3">
      <c r="A292" s="16">
        <v>286</v>
      </c>
      <c r="B292" t="s">
        <v>162</v>
      </c>
      <c r="C292" t="s">
        <v>2168</v>
      </c>
      <c r="D292" t="str">
        <f>IF(ISNUMBER(MATCH(Tabla4[[#This Row],[Título]],CantoralDB[Título],0)),"OK","-")</f>
        <v>OK</v>
      </c>
      <c r="E292" t="s">
        <v>612</v>
      </c>
    </row>
    <row r="293" spans="1:5" x14ac:dyDescent="0.3">
      <c r="A293" s="16">
        <v>287</v>
      </c>
      <c r="B293" t="s">
        <v>1386</v>
      </c>
      <c r="C293" t="s">
        <v>485</v>
      </c>
      <c r="D293" t="str">
        <f>IF(ISNUMBER(MATCH(Tabla4[[#This Row],[Título]],CantoralDB[Título],0)),"OK","-")</f>
        <v>OK</v>
      </c>
      <c r="E293" t="s">
        <v>799</v>
      </c>
    </row>
    <row r="294" spans="1:5" x14ac:dyDescent="0.3">
      <c r="A294" s="16">
        <v>288</v>
      </c>
      <c r="B294" t="s">
        <v>1387</v>
      </c>
      <c r="C294" t="s">
        <v>2139</v>
      </c>
      <c r="D294" t="str">
        <f>IF(ISNUMBER(MATCH(Tabla4[[#This Row],[Título]],CantoralDB[Título],0)),"OK","-")</f>
        <v>OK</v>
      </c>
      <c r="E294" t="s">
        <v>799</v>
      </c>
    </row>
    <row r="295" spans="1:5" x14ac:dyDescent="0.3">
      <c r="A295" s="16">
        <v>289</v>
      </c>
      <c r="B295" t="s">
        <v>1388</v>
      </c>
      <c r="C295" t="s">
        <v>518</v>
      </c>
      <c r="D295" t="str">
        <f>IF(ISNUMBER(MATCH(Tabla4[[#This Row],[Título]],CantoralDB[Título],0)),"OK","-")</f>
        <v>OK</v>
      </c>
      <c r="E295" t="s">
        <v>612</v>
      </c>
    </row>
    <row r="296" spans="1:5" x14ac:dyDescent="0.3">
      <c r="A296" s="16">
        <v>290</v>
      </c>
      <c r="B296" t="s">
        <v>1389</v>
      </c>
      <c r="C296" t="s">
        <v>479</v>
      </c>
      <c r="D296" t="str">
        <f>IF(ISNUMBER(MATCH(Tabla4[[#This Row],[Título]],CantoralDB[Título],0)),"OK","-")</f>
        <v>OK</v>
      </c>
      <c r="E296" t="s">
        <v>799</v>
      </c>
    </row>
    <row r="297" spans="1:5" x14ac:dyDescent="0.3">
      <c r="A297" s="16">
        <v>291</v>
      </c>
      <c r="B297" t="s">
        <v>1390</v>
      </c>
      <c r="C297" t="s">
        <v>486</v>
      </c>
      <c r="D297" t="str">
        <f>IF(ISNUMBER(MATCH(Tabla4[[#This Row],[Título]],CantoralDB[Título],0)),"OK","-")</f>
        <v>OK</v>
      </c>
      <c r="E297" t="s">
        <v>799</v>
      </c>
    </row>
    <row r="298" spans="1:5" x14ac:dyDescent="0.3">
      <c r="A298" s="16">
        <v>292</v>
      </c>
      <c r="B298" t="s">
        <v>1391</v>
      </c>
      <c r="C298" t="s">
        <v>483</v>
      </c>
      <c r="D298" t="str">
        <f>IF(ISNUMBER(MATCH(Tabla4[[#This Row],[Título]],CantoralDB[Título],0)),"OK","-")</f>
        <v>OK</v>
      </c>
      <c r="E298" t="s">
        <v>799</v>
      </c>
    </row>
    <row r="299" spans="1:5" x14ac:dyDescent="0.3">
      <c r="A299" s="16">
        <v>293</v>
      </c>
      <c r="B299" t="s">
        <v>2178</v>
      </c>
      <c r="C299" t="s">
        <v>2144</v>
      </c>
      <c r="D299" t="str">
        <f>IF(ISNUMBER(MATCH(Tabla4[[#This Row],[Título]],CantoralDB[Título],0)),"OK","-")</f>
        <v>OK</v>
      </c>
      <c r="E299" t="s">
        <v>799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612</v>
      </c>
    </row>
    <row r="301" spans="1:5" x14ac:dyDescent="0.3">
      <c r="A301" s="16">
        <v>295</v>
      </c>
      <c r="B301" t="s">
        <v>1392</v>
      </c>
      <c r="C301" t="s">
        <v>510</v>
      </c>
      <c r="D301" t="str">
        <f>IF(ISNUMBER(MATCH(Tabla4[[#This Row],[Título]],CantoralDB[Título],0)),"OK","-")</f>
        <v>OK</v>
      </c>
      <c r="E301" t="s">
        <v>799</v>
      </c>
    </row>
    <row r="302" spans="1:5" x14ac:dyDescent="0.3">
      <c r="A302" s="16">
        <v>296</v>
      </c>
      <c r="B302" t="s">
        <v>1393</v>
      </c>
      <c r="C302" t="s">
        <v>479</v>
      </c>
      <c r="D302" t="str">
        <f>IF(ISNUMBER(MATCH(Tabla4[[#This Row],[Título]],CantoralDB[Título],0)),"OK","-")</f>
        <v>OK</v>
      </c>
      <c r="E302" t="s">
        <v>799</v>
      </c>
    </row>
    <row r="303" spans="1:5" x14ac:dyDescent="0.3">
      <c r="A303" s="16">
        <v>297</v>
      </c>
      <c r="B303" t="s">
        <v>1284</v>
      </c>
      <c r="C303" t="s">
        <v>491</v>
      </c>
      <c r="D303" t="str">
        <f>IF(ISNUMBER(MATCH(Tabla4[[#This Row],[Título]],CantoralDB[Título],0)),"OK","-")</f>
        <v>OK</v>
      </c>
      <c r="E303" t="s">
        <v>799</v>
      </c>
    </row>
    <row r="304" spans="1:5" x14ac:dyDescent="0.3">
      <c r="A304" s="16">
        <v>300</v>
      </c>
      <c r="B304" t="s">
        <v>1262</v>
      </c>
      <c r="D304" t="str">
        <f>IF(ISNUMBER(MATCH(Tabla4[[#This Row],[Título]],CantoralDB[Título],0)),"OK","-")</f>
        <v>OK</v>
      </c>
      <c r="E304" t="s">
        <v>799</v>
      </c>
    </row>
    <row r="305" spans="1:6" x14ac:dyDescent="0.3">
      <c r="A305" s="16">
        <v>301</v>
      </c>
      <c r="B305" t="s">
        <v>1265</v>
      </c>
      <c r="D305" t="str">
        <f>IF(ISNUMBER(MATCH(Tabla4[[#This Row],[Título]],CantoralDB[Título],0)),"OK","-")</f>
        <v>OK</v>
      </c>
      <c r="E305" t="s">
        <v>799</v>
      </c>
    </row>
    <row r="306" spans="1:6" x14ac:dyDescent="0.3">
      <c r="A306" s="16">
        <v>302</v>
      </c>
      <c r="B306" t="s">
        <v>1266</v>
      </c>
      <c r="D306" t="str">
        <f>IF(ISNUMBER(MATCH(Tabla4[[#This Row],[Título]],CantoralDB[Título],0)),"OK","-")</f>
        <v>OK</v>
      </c>
      <c r="E306" t="s">
        <v>799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612</v>
      </c>
    </row>
    <row r="308" spans="1:6" x14ac:dyDescent="0.3">
      <c r="A308" s="16">
        <v>304</v>
      </c>
      <c r="B308" t="s">
        <v>1394</v>
      </c>
      <c r="D308" t="str">
        <f>IF(ISNUMBER(MATCH(Tabla4[[#This Row],[Título]],CantoralDB[Título],0)),"OK","-")</f>
        <v>OK</v>
      </c>
      <c r="E308" t="s">
        <v>799</v>
      </c>
    </row>
    <row r="309" spans="1:6" x14ac:dyDescent="0.3">
      <c r="A309" s="16">
        <v>305</v>
      </c>
      <c r="B309" t="s">
        <v>1395</v>
      </c>
      <c r="D309" t="str">
        <f>IF(ISNUMBER(MATCH(Tabla4[[#This Row],[Título]],CantoralDB[Título],0)),"OK","-")</f>
        <v>OK</v>
      </c>
      <c r="E309" t="s">
        <v>799</v>
      </c>
    </row>
    <row r="310" spans="1:6" x14ac:dyDescent="0.3">
      <c r="A310" s="16">
        <v>306</v>
      </c>
      <c r="B310" t="s">
        <v>1269</v>
      </c>
      <c r="D310" t="str">
        <f>IF(ISNUMBER(MATCH(Tabla4[[#This Row],[Título]],CantoralDB[Título],0)),"OK","-")</f>
        <v>OK</v>
      </c>
      <c r="E310" t="s">
        <v>799</v>
      </c>
    </row>
    <row r="311" spans="1:6" x14ac:dyDescent="0.3">
      <c r="A311" s="16">
        <v>307</v>
      </c>
      <c r="B311" t="s">
        <v>1270</v>
      </c>
      <c r="D311" t="str">
        <f>IF(ISNUMBER(MATCH(Tabla4[[#This Row],[Título]],CantoralDB[Título],0)),"OK","-")</f>
        <v>OK</v>
      </c>
      <c r="E311" t="s">
        <v>799</v>
      </c>
    </row>
    <row r="312" spans="1:6" x14ac:dyDescent="0.3">
      <c r="A312" s="16">
        <v>308</v>
      </c>
      <c r="B312" t="s">
        <v>1396</v>
      </c>
      <c r="D312" t="str">
        <f>IF(ISNUMBER(MATCH(Tabla4[[#This Row],[Título]],CantoralDB[Título],0)),"OK","-")</f>
        <v>OK</v>
      </c>
      <c r="E312" t="s">
        <v>799</v>
      </c>
    </row>
    <row r="313" spans="1:6" x14ac:dyDescent="0.3">
      <c r="A313" s="16">
        <v>309</v>
      </c>
      <c r="B313" t="s">
        <v>1397</v>
      </c>
      <c r="D313" t="str">
        <f>IF(ISNUMBER(MATCH(Tabla4[[#This Row],[Título]],CantoralDB[Título],0)),"OK","-")</f>
        <v>OK</v>
      </c>
      <c r="E313" t="s">
        <v>799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612</v>
      </c>
    </row>
    <row r="315" spans="1:6" x14ac:dyDescent="0.3">
      <c r="A315" s="16">
        <v>311</v>
      </c>
      <c r="B315" t="s">
        <v>1398</v>
      </c>
      <c r="D315" t="str">
        <f>IF(ISNUMBER(MATCH(Tabla4[[#This Row],[Título]],CantoralDB[Título],0)),"OK","-")</f>
        <v>OK</v>
      </c>
      <c r="E315" t="s">
        <v>799</v>
      </c>
    </row>
    <row r="316" spans="1:6" x14ac:dyDescent="0.3">
      <c r="A316" s="16">
        <v>312</v>
      </c>
      <c r="B316" t="s">
        <v>1281</v>
      </c>
      <c r="D316" t="str">
        <f>IF(ISNUMBER(MATCH(Tabla4[[#This Row],[Título]],CantoralDB[Título],0)),"OK","-")</f>
        <v>OK</v>
      </c>
      <c r="E316" t="s">
        <v>799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612</v>
      </c>
    </row>
    <row r="318" spans="1:6" x14ac:dyDescent="0.3">
      <c r="A318" s="16">
        <v>314</v>
      </c>
      <c r="B318" t="s">
        <v>1524</v>
      </c>
      <c r="D318" t="str">
        <f>IF(ISNUMBER(MATCH(Tabla4[[#This Row],[Título]],CantoralDB[Título],0)),"OK","-")</f>
        <v>OK</v>
      </c>
      <c r="E318" t="s">
        <v>799</v>
      </c>
      <c r="F318" s="17" t="s">
        <v>1523</v>
      </c>
    </row>
    <row r="319" spans="1:6" x14ac:dyDescent="0.3">
      <c r="A319" s="16">
        <v>315</v>
      </c>
      <c r="B319" t="s">
        <v>1399</v>
      </c>
      <c r="D319" t="str">
        <f>IF(ISNUMBER(MATCH(Tabla4[[#This Row],[Título]],CantoralDB[Título],0)),"OK","-")</f>
        <v>OK</v>
      </c>
      <c r="E319" t="s">
        <v>799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1286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1263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1267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1264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1268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1271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1273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1274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1275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1276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1278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1279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1280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1282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857"/>
  <sheetViews>
    <sheetView tabSelected="1" topLeftCell="N84" workbookViewId="0">
      <selection activeCell="S301" sqref="S301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bestFit="1" customWidth="1"/>
    <col min="4" max="4" width="12.33203125" style="1" bestFit="1" customWidth="1"/>
    <col min="5" max="6" width="12.33203125" style="1" customWidth="1"/>
    <col min="7" max="8" width="14.109375" style="1" customWidth="1"/>
    <col min="10" max="11" width="9.109375" style="1"/>
    <col min="12" max="12" width="26.88671875" style="1" bestFit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795</v>
      </c>
      <c r="C1" s="1" t="s">
        <v>2191</v>
      </c>
      <c r="D1" s="1" t="s">
        <v>650</v>
      </c>
      <c r="E1" s="1" t="s">
        <v>1195</v>
      </c>
      <c r="F1" s="1" t="s">
        <v>3332</v>
      </c>
      <c r="G1" s="1" t="s">
        <v>208</v>
      </c>
      <c r="H1" s="1" t="s">
        <v>255</v>
      </c>
      <c r="I1" s="1" t="s">
        <v>2184</v>
      </c>
      <c r="J1" s="1" t="s">
        <v>2183</v>
      </c>
      <c r="K1" s="1" t="s">
        <v>272</v>
      </c>
      <c r="L1" s="1" t="s">
        <v>478</v>
      </c>
      <c r="M1" s="1" t="s">
        <v>2188</v>
      </c>
      <c r="N1" s="1" t="s">
        <v>2189</v>
      </c>
      <c r="O1" s="1" t="s">
        <v>1886</v>
      </c>
      <c r="P1" s="1" t="s">
        <v>2192</v>
      </c>
      <c r="Q1" s="1" t="s">
        <v>1024</v>
      </c>
      <c r="R1" s="1" t="s">
        <v>800</v>
      </c>
      <c r="S1" s="1" t="s">
        <v>2185</v>
      </c>
      <c r="T1" s="15" t="s">
        <v>2190</v>
      </c>
      <c r="U1" s="15" t="s">
        <v>3029</v>
      </c>
      <c r="W1" s="1"/>
      <c r="X1" s="1"/>
      <c r="Y1" s="1"/>
    </row>
    <row r="2" spans="1:25" hidden="1" x14ac:dyDescent="0.3">
      <c r="A2" s="1">
        <f>ROW(CantoralDB[[#This Row],[Título]])-1</f>
        <v>1</v>
      </c>
      <c r="B2" s="1" t="s">
        <v>1</v>
      </c>
      <c r="C2" s="1" t="s">
        <v>476</v>
      </c>
      <c r="D2" s="1" t="s">
        <v>1400</v>
      </c>
      <c r="E2" s="1">
        <v>1</v>
      </c>
      <c r="G2" s="1" t="s">
        <v>209</v>
      </c>
      <c r="H2" s="1" t="s">
        <v>1035</v>
      </c>
      <c r="I2" s="1" t="s">
        <v>612</v>
      </c>
      <c r="L2" s="15" t="s">
        <v>487</v>
      </c>
      <c r="M2" s="15"/>
      <c r="N2" s="15"/>
      <c r="O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a_belen_se_va_y_se_viene.html</v>
      </c>
      <c r="R2" s="1"/>
      <c r="S2" s="1"/>
      <c r="T2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2" s="15" t="str">
        <f>_xlfn.TEXTBEFORE(_xlfn.TEXTAFTER(CantoralDB[[#This Row],[index.html]],"&gt;"),"&gt;")&amp;"&gt;"</f>
        <v>&lt;a href="canciones/miguel_manzano/a_belen_se_va_y_se_viene.html"&gt;</v>
      </c>
      <c r="W2" s="1"/>
      <c r="X2" s="1"/>
      <c r="Y2" s="1"/>
    </row>
    <row r="3" spans="1:25" hidden="1" x14ac:dyDescent="0.3">
      <c r="A3" s="1">
        <f>ROW(CantoralDB[[#This Row],[Título]])-1</f>
        <v>2</v>
      </c>
      <c r="B3" s="1" t="s">
        <v>1926</v>
      </c>
      <c r="C3" s="1"/>
      <c r="I3" s="1"/>
      <c r="L3" s="15" t="s">
        <v>1804</v>
      </c>
      <c r="M3" s="15" t="s">
        <v>1952</v>
      </c>
      <c r="N3" s="15">
        <v>1</v>
      </c>
      <c r="O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a_buscarme.html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href="canciones/ruah/a_buscarme.html"&gt;A buscarme&lt;/a&gt;&lt;/li&gt;</v>
      </c>
      <c r="U3" s="15" t="str">
        <f>_xlfn.TEXTBEFORE(_xlfn.TEXTAFTER(CantoralDB[[#This Row],[index.html]],"&gt;"),"&gt;")&amp;"&gt;"</f>
        <v>&lt;a href="canciones/ruah/a_buscarme.html"&gt;</v>
      </c>
      <c r="W3" s="1"/>
      <c r="X3" s="1"/>
      <c r="Y3" s="1"/>
    </row>
    <row r="4" spans="1:25" hidden="1" x14ac:dyDescent="0.3">
      <c r="A4" s="1">
        <f>ROW(CantoralDB[[#This Row],[Título]])-1</f>
        <v>3</v>
      </c>
      <c r="B4" s="1" t="s">
        <v>229</v>
      </c>
      <c r="C4" s="1" t="s">
        <v>201</v>
      </c>
      <c r="D4" s="1" t="s">
        <v>1401</v>
      </c>
      <c r="E4" s="1">
        <v>4</v>
      </c>
      <c r="G4" s="1" t="s">
        <v>216</v>
      </c>
      <c r="H4" s="1" t="s">
        <v>533</v>
      </c>
      <c r="I4" s="1" t="s">
        <v>612</v>
      </c>
      <c r="L4" s="15" t="s">
        <v>491</v>
      </c>
      <c r="M4" s="15"/>
      <c r="N4" s="15"/>
      <c r="O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a_dios_den_gracias_los_pueblos.html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4" s="15" t="str">
        <f>_xlfn.TEXTBEFORE(_xlfn.TEXTAFTER(CantoralDB[[#This Row],[index.html]],"&gt;"),"&gt;")&amp;"&gt;"</f>
        <v>&lt;a href="canciones/juan_antonio_espinosa/a_dios_den_gracias_los_pueblos.html"&gt;</v>
      </c>
      <c r="W4" s="1"/>
      <c r="X4" s="1"/>
      <c r="Y4" s="1"/>
    </row>
    <row r="5" spans="1:25" hidden="1" x14ac:dyDescent="0.3">
      <c r="A5" s="1">
        <f>ROW(CantoralDB[[#This Row],[Título]])-1</f>
        <v>4</v>
      </c>
      <c r="B5" s="1" t="s">
        <v>643</v>
      </c>
      <c r="C5" s="1" t="s">
        <v>201</v>
      </c>
      <c r="D5" s="1" t="s">
        <v>1402</v>
      </c>
      <c r="G5" s="1" t="s">
        <v>644</v>
      </c>
      <c r="H5" s="1" t="s">
        <v>532</v>
      </c>
      <c r="I5" s="1" t="s">
        <v>612</v>
      </c>
      <c r="L5" s="15" t="s">
        <v>570</v>
      </c>
      <c r="M5" s="15"/>
      <c r="N5" s="15"/>
      <c r="O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a_donde_me_quereis_llevar.html</v>
      </c>
      <c r="R5" s="1" t="s">
        <v>801</v>
      </c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5" s="15" t="str">
        <f>_xlfn.TEXTBEFORE(_xlfn.TEXTAFTER(CantoralDB[[#This Row],[index.html]],"&gt;"),"&gt;")&amp;"&gt;"</f>
        <v>&lt;a href="canciones/nsb/a_donde_me_quereis_llevar.html"&gt;</v>
      </c>
      <c r="W5" s="1"/>
      <c r="X5" s="1"/>
      <c r="Y5" s="1"/>
    </row>
    <row r="6" spans="1:25" hidden="1" x14ac:dyDescent="0.3">
      <c r="A6" s="1">
        <f>ROW(CantoralDB[[#This Row],[Título]])-1</f>
        <v>5</v>
      </c>
      <c r="B6" s="1" t="s">
        <v>3784</v>
      </c>
      <c r="C6" s="1"/>
      <c r="F6" s="1">
        <v>430</v>
      </c>
      <c r="I6" s="1"/>
      <c r="L6" s="15" t="s">
        <v>3782</v>
      </c>
      <c r="M6" s="15"/>
      <c r="N6" s="15"/>
      <c r="O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a_el_le_sea_la_gloria.html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6" s="15" t="str">
        <f>_xlfn.TEXTBEFORE(_xlfn.TEXTAFTER(CantoralDB[[#This Row],[index.html]],"&gt;"),"&gt;")&amp;"&gt;"</f>
        <v>&lt;a href="canciones/nuevas/a_el_le_sea_la_gloria.html"&gt;</v>
      </c>
      <c r="W6" s="1"/>
      <c r="X6" s="1"/>
      <c r="Y6" s="1"/>
    </row>
    <row r="7" spans="1:25" hidden="1" x14ac:dyDescent="0.3">
      <c r="A7" s="1">
        <f>ROW(CantoralDB[[#This Row],[Título]])-1</f>
        <v>6</v>
      </c>
      <c r="B7" s="1" t="s">
        <v>1921</v>
      </c>
      <c r="C7" s="1"/>
      <c r="I7" s="1" t="s">
        <v>612</v>
      </c>
      <c r="L7" s="15" t="s">
        <v>1804</v>
      </c>
      <c r="M7" s="15" t="s">
        <v>1951</v>
      </c>
      <c r="N7" s="15">
        <v>8</v>
      </c>
      <c r="O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a_fuego.html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href="canciones/ruah/a_fuego.html"&gt;A fuego&lt;/a&gt;&lt;/li&gt;</v>
      </c>
      <c r="U7" s="15" t="str">
        <f>_xlfn.TEXTBEFORE(_xlfn.TEXTAFTER(CantoralDB[[#This Row],[index.html]],"&gt;"),"&gt;")&amp;"&gt;"</f>
        <v>&lt;a href="canciones/ruah/a_fuego.html"&gt;</v>
      </c>
      <c r="W7" s="1"/>
      <c r="X7" s="1"/>
      <c r="Y7" s="1"/>
    </row>
    <row r="8" spans="1:25" hidden="1" x14ac:dyDescent="0.3">
      <c r="A8" s="1">
        <f>ROW(CantoralDB[[#This Row],[Título]])-1</f>
        <v>7</v>
      </c>
      <c r="B8" s="1" t="s">
        <v>2</v>
      </c>
      <c r="C8" s="1" t="s">
        <v>191</v>
      </c>
      <c r="D8" s="1" t="s">
        <v>1403</v>
      </c>
      <c r="E8" s="1">
        <v>32</v>
      </c>
      <c r="G8" s="1" t="s">
        <v>209</v>
      </c>
      <c r="H8" s="1" t="s">
        <v>532</v>
      </c>
      <c r="I8" s="1" t="s">
        <v>612</v>
      </c>
      <c r="L8" s="15" t="s">
        <v>480</v>
      </c>
      <c r="M8" s="15"/>
      <c r="N8" s="15"/>
      <c r="O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a_la_fiesta_del_señor.html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8" s="15" t="str">
        <f>_xlfn.TEXTBEFORE(_xlfn.TEXTAFTER(CantoralDB[[#This Row],[index.html]],"&gt;"),"&gt;")&amp;"&gt;"</f>
        <v>&lt;a href="canciones/juanjo_elezkano/a_la_fiesta_del_señor.html"&gt;</v>
      </c>
      <c r="W8" s="1"/>
      <c r="X8" s="1"/>
      <c r="Y8" s="1"/>
    </row>
    <row r="9" spans="1:25" hidden="1" x14ac:dyDescent="0.3">
      <c r="A9" s="1">
        <f>ROW(CantoralDB[[#This Row],[Título]])-1</f>
        <v>8</v>
      </c>
      <c r="B9" s="1" t="s">
        <v>1930</v>
      </c>
      <c r="C9" s="1"/>
      <c r="I9" s="1" t="s">
        <v>612</v>
      </c>
      <c r="L9" s="15" t="s">
        <v>1804</v>
      </c>
      <c r="M9" s="15" t="s">
        <v>1952</v>
      </c>
      <c r="N9" s="15">
        <v>5</v>
      </c>
      <c r="O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a_la_puerta.html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href="canciones/ruah/a_la_puerta.html"&gt;A la puerta&lt;/a&gt;&lt;/li&gt;</v>
      </c>
      <c r="U9" s="15" t="str">
        <f>_xlfn.TEXTBEFORE(_xlfn.TEXTAFTER(CantoralDB[[#This Row],[index.html]],"&gt;"),"&gt;")&amp;"&gt;"</f>
        <v>&lt;a href="canciones/ruah/a_la_puerta.html"&gt;</v>
      </c>
      <c r="W9" s="1"/>
      <c r="X9" s="1"/>
      <c r="Y9" s="1"/>
    </row>
    <row r="10" spans="1:25" hidden="1" x14ac:dyDescent="0.3">
      <c r="A10" s="1">
        <f>ROW(CantoralDB[[#This Row],[Título]])-1</f>
        <v>9</v>
      </c>
      <c r="B10" s="1" t="s">
        <v>1749</v>
      </c>
      <c r="C10" s="1"/>
      <c r="I10" s="1" t="s">
        <v>612</v>
      </c>
      <c r="L10" s="15" t="s">
        <v>484</v>
      </c>
      <c r="M10" s="15" t="s">
        <v>1542</v>
      </c>
      <c r="N10" s="15">
        <v>11</v>
      </c>
      <c r="O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a_las_tres_de_la_tarde.html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10" s="15" t="str">
        <f>_xlfn.TEXTBEFORE(_xlfn.TEXTAFTER(CantoralDB[[#This Row],[index.html]],"&gt;"),"&gt;")&amp;"&gt;"</f>
        <v>&lt;a href="canciones/kairoi/a_las_tres_de_la_tarde.html"&gt;</v>
      </c>
      <c r="W10" s="1"/>
      <c r="X10" s="1"/>
      <c r="Y10" s="1"/>
    </row>
    <row r="11" spans="1:25" hidden="1" x14ac:dyDescent="0.3">
      <c r="A11" s="1">
        <f>ROW(CantoralDB[[#This Row],[Título]])-1</f>
        <v>10</v>
      </c>
      <c r="B11" s="1" t="s">
        <v>3542</v>
      </c>
      <c r="C11" s="1"/>
      <c r="F11" s="1">
        <v>196</v>
      </c>
      <c r="I11" s="1"/>
      <c r="L11" s="15" t="s">
        <v>799</v>
      </c>
      <c r="M11" s="15"/>
      <c r="N11" s="15"/>
      <c r="O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a_que_tu_no_sabes.html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href="canciones/nuevas/a_que_tu_no_sabes.html"&gt;A que tú no sabes&lt;/a&gt;&lt;/li&gt;</v>
      </c>
      <c r="U11" s="15" t="str">
        <f>_xlfn.TEXTBEFORE(_xlfn.TEXTAFTER(CantoralDB[[#This Row],[index.html]],"&gt;"),"&gt;")&amp;"&gt;"</f>
        <v>&lt;a href="canciones/nuevas/a_que_tu_no_sabes.html"&gt;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991</v>
      </c>
      <c r="C12" s="1" t="s">
        <v>1025</v>
      </c>
      <c r="D12" s="1" t="s">
        <v>1112</v>
      </c>
      <c r="H12" s="1" t="s">
        <v>1051</v>
      </c>
      <c r="I12" s="1" t="s">
        <v>612</v>
      </c>
      <c r="L12" s="15" t="s">
        <v>1991</v>
      </c>
      <c r="M12" s="15"/>
      <c r="N12" s="15"/>
      <c r="O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2" s="1" t="s">
        <v>992</v>
      </c>
      <c r="S12" s="1" t="s">
        <v>472</v>
      </c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2" s="15" t="str">
        <f>_xlfn.TEXTBEFORE(_xlfn.TEXTAFTER(CantoralDB[[#This Row],[index.html]],"&gt;"),"&gt;")&amp;"&gt;"</f>
        <v>&lt;a href="canciones/taize/zu_wem_sollen_wir_gehen.html"&gt;</v>
      </c>
      <c r="W12" s="1"/>
      <c r="X12" s="1"/>
      <c r="Y12" s="1"/>
    </row>
    <row r="13" spans="1:25" hidden="1" x14ac:dyDescent="0.3">
      <c r="A13" s="1">
        <f>ROW(CantoralDB[[#This Row],[Título]])-1</f>
        <v>12</v>
      </c>
      <c r="B13" s="1" t="s">
        <v>2112</v>
      </c>
      <c r="C13" s="1"/>
      <c r="E13" s="1">
        <v>91</v>
      </c>
      <c r="I13" s="1"/>
      <c r="L13" s="15" t="s">
        <v>481</v>
      </c>
      <c r="M13" s="15" t="s">
        <v>2104</v>
      </c>
      <c r="N13" s="15">
        <v>7</v>
      </c>
      <c r="O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a_quien_se_parece.html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13" s="15" t="str">
        <f>_xlfn.TEXTBEFORE(_xlfn.TEXTAFTER(CantoralDB[[#This Row],[index.html]],"&gt;"),"&gt;")&amp;"&gt;"</f>
        <v>&lt;a href="canciones/francisco_palazon/a_quien_se_parece.html"&gt;</v>
      </c>
      <c r="W13" s="1"/>
      <c r="X13" s="1"/>
      <c r="Y13" s="1"/>
    </row>
    <row r="14" spans="1:25" hidden="1" x14ac:dyDescent="0.3">
      <c r="A14" s="25">
        <f>ROW(CantoralDB[[#This Row],[Título]])-1</f>
        <v>13</v>
      </c>
      <c r="B14" s="1" t="s">
        <v>3815</v>
      </c>
      <c r="C14" s="1"/>
      <c r="D14" s="25"/>
      <c r="E14" s="25"/>
      <c r="I14" s="1"/>
      <c r="L14" s="15" t="s">
        <v>483</v>
      </c>
      <c r="M14" s="15"/>
      <c r="N14" s="15"/>
      <c r="O14" s="26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4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cesareo_gabarain</v>
      </c>
      <c r="Q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a_quien_temere.html</v>
      </c>
      <c r="R14" s="27"/>
      <c r="S14" s="25"/>
      <c r="T14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14" s="26" t="str">
        <f>_xlfn.TEXTBEFORE(_xlfn.TEXTAFTER(CantoralDB[[#This Row],[index.html]],"&gt;"),"&gt;")&amp;"&gt;"</f>
        <v>&lt;a href="canciones/cesareo_gabarain/a_quien_temere.html"&gt;</v>
      </c>
      <c r="W14" s="1"/>
      <c r="X14" s="1"/>
      <c r="Y14" s="1"/>
    </row>
    <row r="15" spans="1:25" hidden="1" x14ac:dyDescent="0.3">
      <c r="A15" s="1">
        <f>ROW(CantoralDB[[#This Row],[Título]])-1</f>
        <v>14</v>
      </c>
      <c r="B15" s="1" t="s">
        <v>1773</v>
      </c>
      <c r="C15" s="1"/>
      <c r="I15" s="1"/>
      <c r="L15" s="15" t="s">
        <v>484</v>
      </c>
      <c r="M15" s="15" t="s">
        <v>1544</v>
      </c>
      <c r="N15" s="15">
        <v>11</v>
      </c>
      <c r="O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a_su_imagen_y_semejanza.html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15" s="15" t="str">
        <f>_xlfn.TEXTBEFORE(_xlfn.TEXTAFTER(CantoralDB[[#This Row],[index.html]],"&gt;"),"&gt;")&amp;"&gt;"</f>
        <v>&lt;a href="canciones/kairoi/a_su_imagen_y_semejanza.html"&gt;</v>
      </c>
      <c r="W15" s="1"/>
      <c r="X15" s="1"/>
      <c r="Y15" s="1"/>
    </row>
    <row r="16" spans="1:25" hidden="1" x14ac:dyDescent="0.3">
      <c r="A16" s="1">
        <f>ROW(CantoralDB[[#This Row],[Título]])-1</f>
        <v>15</v>
      </c>
      <c r="B16" s="1" t="s">
        <v>1815</v>
      </c>
      <c r="C16" s="1"/>
      <c r="I16" s="1" t="s">
        <v>612</v>
      </c>
      <c r="L16" s="15" t="s">
        <v>501</v>
      </c>
      <c r="M16" s="15" t="s">
        <v>1549</v>
      </c>
      <c r="N16" s="15">
        <v>7</v>
      </c>
      <c r="O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href="canciones/ain_karem/a_ti.html"&gt;A Ti&lt;/a&gt;&lt;/li&gt;</v>
      </c>
      <c r="U16" s="15" t="str">
        <f>_xlfn.TEXTBEFORE(_xlfn.TEXTAFTER(CantoralDB[[#This Row],[index.html]],"&gt;"),"&gt;")&amp;"&gt;"</f>
        <v>&lt;a href="canciones/ain_karem/a_ti.html"&gt;</v>
      </c>
      <c r="W16" s="1"/>
      <c r="X16" s="1"/>
      <c r="Y16" s="1"/>
    </row>
    <row r="17" spans="1:25" hidden="1" x14ac:dyDescent="0.3">
      <c r="A17" s="1">
        <f>ROW(CantoralDB[[#This Row],[Título]])-1</f>
        <v>16</v>
      </c>
      <c r="B17" s="1" t="s">
        <v>3</v>
      </c>
      <c r="C17" s="1" t="s">
        <v>201</v>
      </c>
      <c r="D17" s="1" t="s">
        <v>1404</v>
      </c>
      <c r="E17" s="1">
        <v>28</v>
      </c>
      <c r="G17" s="1" t="s">
        <v>209</v>
      </c>
      <c r="H17" s="1" t="s">
        <v>1043</v>
      </c>
      <c r="I17" s="1" t="s">
        <v>612</v>
      </c>
      <c r="L17" s="15" t="s">
        <v>498</v>
      </c>
      <c r="M17" s="15"/>
      <c r="N17" s="15"/>
      <c r="O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a_ti_acudo.html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data-nnew="D03" data-nold="28"&gt;&lt;a href="canciones/pedro_nuñez/a_ti_acudo.html"&gt;A ti acudo&lt;/a&gt;&lt;/li&gt;</v>
      </c>
      <c r="U17" s="15" t="str">
        <f>_xlfn.TEXTBEFORE(_xlfn.TEXTAFTER(CantoralDB[[#This Row],[index.html]],"&gt;"),"&gt;")&amp;"&gt;"</f>
        <v>&lt;a href="canciones/pedro_nuñez/a_ti_acudo.html"&gt;</v>
      </c>
      <c r="W17" s="1"/>
      <c r="X17" s="1"/>
      <c r="Y17" s="1"/>
    </row>
    <row r="18" spans="1:25" hidden="1" x14ac:dyDescent="0.3">
      <c r="A18" s="1">
        <f>ROW(CantoralDB[[#This Row],[Título]])-1</f>
        <v>17</v>
      </c>
      <c r="B18" s="1" t="s">
        <v>1209</v>
      </c>
      <c r="C18" s="1"/>
      <c r="E18" s="1">
        <v>27</v>
      </c>
      <c r="I18" s="1" t="s">
        <v>612</v>
      </c>
      <c r="L18" s="15" t="s">
        <v>481</v>
      </c>
      <c r="M18" s="15" t="s">
        <v>1976</v>
      </c>
      <c r="N18" s="15">
        <v>3</v>
      </c>
      <c r="O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a_ti_levanto_mi_alma.html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18" s="15" t="str">
        <f>_xlfn.TEXTBEFORE(_xlfn.TEXTAFTER(CantoralDB[[#This Row],[index.html]],"&gt;"),"&gt;")&amp;"&gt;"</f>
        <v>&lt;a href="canciones/francisco_palazon/a_ti_levanto_mi_alma.html"&gt;</v>
      </c>
      <c r="W18" s="1"/>
      <c r="X18" s="1"/>
      <c r="Y18" s="1"/>
    </row>
    <row r="19" spans="1:25" hidden="1" x14ac:dyDescent="0.3">
      <c r="A19" s="1">
        <f>ROW(CantoralDB[[#This Row],[Título]])-1</f>
        <v>18</v>
      </c>
      <c r="B19" s="1" t="s">
        <v>1208</v>
      </c>
      <c r="C19" s="1"/>
      <c r="E19" s="1">
        <v>25</v>
      </c>
      <c r="I19" s="1"/>
      <c r="L19" s="15" t="s">
        <v>487</v>
      </c>
      <c r="M19" s="15"/>
      <c r="N19" s="15"/>
      <c r="O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a_ti_levanto_mis_ojos.html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19" s="15" t="str">
        <f>_xlfn.TEXTBEFORE(_xlfn.TEXTAFTER(CantoralDB[[#This Row],[index.html]],"&gt;"),"&gt;")&amp;"&gt;"</f>
        <v>&lt;a href="canciones/miguel_manzano/a_ti_levanto_mis_ojos.html"&gt;</v>
      </c>
      <c r="W19" s="1"/>
      <c r="X19" s="1"/>
      <c r="Y19" s="1"/>
    </row>
    <row r="20" spans="1:25" hidden="1" x14ac:dyDescent="0.3">
      <c r="A20" s="1">
        <f>ROW(CantoralDB[[#This Row],[Título]])-1</f>
        <v>19</v>
      </c>
      <c r="B20" s="1" t="s">
        <v>4</v>
      </c>
      <c r="C20" s="1" t="s">
        <v>200</v>
      </c>
      <c r="D20" s="1" t="s">
        <v>1405</v>
      </c>
      <c r="E20" s="1">
        <v>31</v>
      </c>
      <c r="G20" s="1" t="s">
        <v>209</v>
      </c>
      <c r="H20" s="1" t="s">
        <v>532</v>
      </c>
      <c r="I20" s="1" t="s">
        <v>612</v>
      </c>
      <c r="L20" s="15" t="s">
        <v>573</v>
      </c>
      <c r="M20" s="15"/>
      <c r="N20" s="15"/>
      <c r="O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a_ti_que_eres_el_signo.html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20" s="15" t="str">
        <f>_xlfn.TEXTBEFORE(_xlfn.TEXTAFTER(CantoralDB[[#This Row],[index.html]],"&gt;"),"&gt;")&amp;"&gt;"</f>
        <v>&lt;a href="canciones/nsb/a_ti_que_eres_el_signo.html"&gt;</v>
      </c>
      <c r="W20" s="1"/>
      <c r="X20" s="1"/>
      <c r="Y20" s="1"/>
    </row>
    <row r="21" spans="1:25" hidden="1" x14ac:dyDescent="0.3">
      <c r="A21" s="1">
        <f>ROW(CantoralDB[[#This Row],[Título]])-1</f>
        <v>20</v>
      </c>
      <c r="B21" s="1" t="s">
        <v>1985</v>
      </c>
      <c r="C21" s="1"/>
      <c r="I21" s="1" t="s">
        <v>612</v>
      </c>
      <c r="L21" s="15" t="s">
        <v>481</v>
      </c>
      <c r="M21" s="15" t="s">
        <v>1320</v>
      </c>
      <c r="N21" s="15">
        <v>3</v>
      </c>
      <c r="O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a_ti_suspiramos.html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21" s="15" t="str">
        <f>_xlfn.TEXTBEFORE(_xlfn.TEXTAFTER(CantoralDB[[#This Row],[index.html]],"&gt;"),"&gt;")&amp;"&gt;"</f>
        <v>&lt;a href="canciones/francisco_palazon/a_ti_suspiramos.html"&gt;</v>
      </c>
      <c r="W21" s="1"/>
      <c r="X21" s="1"/>
      <c r="Y21" s="1"/>
    </row>
    <row r="22" spans="1:25" hidden="1" x14ac:dyDescent="0.3">
      <c r="A22" s="1">
        <f>ROW(CantoralDB[[#This Row],[Título]])-1</f>
        <v>21</v>
      </c>
      <c r="B22" s="1" t="s">
        <v>2056</v>
      </c>
      <c r="C22" s="1"/>
      <c r="I22" s="1"/>
      <c r="L22" s="15" t="s">
        <v>261</v>
      </c>
      <c r="M22" s="15"/>
      <c r="N22" s="15"/>
      <c r="O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a_ti_te_alabo.html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href="canciones/hakuna/a_ti_te_alabo.html"&gt;A ti te alabo&lt;/a&gt;&lt;/li&gt;</v>
      </c>
      <c r="U22" s="15" t="str">
        <f>_xlfn.TEXTBEFORE(_xlfn.TEXTAFTER(CantoralDB[[#This Row],[index.html]],"&gt;"),"&gt;")&amp;"&gt;"</f>
        <v>&lt;a href="canciones/hakuna/a_ti_te_alabo.html"&gt;</v>
      </c>
      <c r="W22" s="1"/>
      <c r="X22" s="1"/>
      <c r="Y22" s="1"/>
    </row>
    <row r="23" spans="1:25" hidden="1" x14ac:dyDescent="0.3">
      <c r="A23" s="1">
        <f>ROW(CantoralDB[[#This Row],[Título]])-1</f>
        <v>22</v>
      </c>
      <c r="B23" s="1" t="s">
        <v>3236</v>
      </c>
      <c r="C23" s="1"/>
      <c r="I23" s="1"/>
      <c r="L23" s="15" t="s">
        <v>3160</v>
      </c>
      <c r="M23" s="15" t="s">
        <v>53</v>
      </c>
      <c r="N23" s="15">
        <v>7</v>
      </c>
      <c r="O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a_ti_señor_levanto_mi_alma.html</v>
      </c>
      <c r="R23" s="1" t="s">
        <v>3241</v>
      </c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href="canciones/hermana_glenda/a_ti_señor_levanto_mi_alma.html"&gt;A ti, Señor, levanto mi alma&lt;/a&gt;&lt;/li&gt;</v>
      </c>
      <c r="U23" s="15" t="str">
        <f>_xlfn.TEXTBEFORE(_xlfn.TEXTAFTER(CantoralDB[[#This Row],[index.html]],"&gt;"),"&gt;")&amp;"&gt;"</f>
        <v>&lt;a href="canciones/hermana_glenda/a_ti_señor_levanto_mi_alma.html"&gt;</v>
      </c>
      <c r="W23" s="1"/>
      <c r="X23" s="1"/>
      <c r="Y23" s="1"/>
    </row>
    <row r="24" spans="1:25" hidden="1" x14ac:dyDescent="0.3">
      <c r="A24" s="1">
        <f>ROW(CantoralDB[[#This Row],[Título]])-1</f>
        <v>23</v>
      </c>
      <c r="B24" s="1" t="s">
        <v>1823</v>
      </c>
      <c r="C24" s="1"/>
      <c r="I24" s="1" t="s">
        <v>612</v>
      </c>
      <c r="L24" s="15" t="s">
        <v>501</v>
      </c>
      <c r="M24" s="15" t="s">
        <v>1550</v>
      </c>
      <c r="N24" s="15">
        <v>2</v>
      </c>
      <c r="O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a_toda_la_tierra_alcanza_su_pregon.html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24" s="15" t="str">
        <f>_xlfn.TEXTBEFORE(_xlfn.TEXTAFTER(CantoralDB[[#This Row],[index.html]],"&gt;"),"&gt;")&amp;"&gt;"</f>
        <v>&lt;a href="canciones/ain_karem/a_toda_la_tierra_alcanza_su_pregon.html"&gt;</v>
      </c>
      <c r="W24" s="1"/>
      <c r="X24" s="1"/>
      <c r="Y24" s="1"/>
    </row>
    <row r="25" spans="1:25" hidden="1" x14ac:dyDescent="0.3">
      <c r="A25" s="1">
        <f>ROW(CantoralDB[[#This Row],[Título]])-1</f>
        <v>24</v>
      </c>
      <c r="B25" s="1" t="s">
        <v>1532</v>
      </c>
      <c r="C25" s="1"/>
      <c r="I25" s="1" t="s">
        <v>612</v>
      </c>
      <c r="L25" s="15" t="s">
        <v>484</v>
      </c>
      <c r="M25" s="15" t="s">
        <v>1532</v>
      </c>
      <c r="N25" s="15">
        <v>9</v>
      </c>
      <c r="O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a_tu_lado_señor.html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25" s="15" t="str">
        <f>_xlfn.TEXTBEFORE(_xlfn.TEXTAFTER(CantoralDB[[#This Row],[index.html]],"&gt;"),"&gt;")&amp;"&gt;"</f>
        <v>&lt;a href="canciones/kairoi/a_tu_lado_señor.html"&gt;</v>
      </c>
      <c r="W25" s="1"/>
      <c r="X25" s="1"/>
      <c r="Y25" s="1"/>
    </row>
    <row r="26" spans="1:25" hidden="1" x14ac:dyDescent="0.3">
      <c r="A26" s="1">
        <f>ROW(CantoralDB[[#This Row],[Título]])-1</f>
        <v>25</v>
      </c>
      <c r="B26" s="1" t="s">
        <v>1946</v>
      </c>
      <c r="C26" s="1"/>
      <c r="I26" s="1" t="s">
        <v>612</v>
      </c>
      <c r="L26" s="15" t="s">
        <v>1804</v>
      </c>
      <c r="M26" s="15" t="s">
        <v>1945</v>
      </c>
      <c r="N26" s="15">
        <v>8</v>
      </c>
      <c r="O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a_tu_medida.html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href="canciones/ruah/a_tu_medida.html"&gt;A tu medida&lt;/a&gt;&lt;/li&gt;</v>
      </c>
      <c r="U26" s="15" t="str">
        <f>_xlfn.TEXTBEFORE(_xlfn.TEXTAFTER(CantoralDB[[#This Row],[index.html]],"&gt;"),"&gt;")&amp;"&gt;"</f>
        <v>&lt;a href="canciones/ruah/a_tu_medida.html"&gt;</v>
      </c>
      <c r="W26" s="1"/>
      <c r="X26" s="1"/>
      <c r="Y26" s="1"/>
    </row>
    <row r="27" spans="1:25" hidden="1" x14ac:dyDescent="0.3">
      <c r="A27" s="1">
        <f>ROW(CantoralDB[[#This Row],[Título]])-1</f>
        <v>26</v>
      </c>
      <c r="B27" s="1" t="s">
        <v>3523</v>
      </c>
      <c r="C27" s="1"/>
      <c r="F27" s="1">
        <v>177</v>
      </c>
      <c r="I27" s="1"/>
      <c r="L27" s="15" t="s">
        <v>799</v>
      </c>
      <c r="M27" s="15"/>
      <c r="N27" s="15"/>
      <c r="O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href="canciones/nuevas/abba.html"&gt;Abbá&lt;/a&gt;&lt;/li&gt;</v>
      </c>
      <c r="U27" s="15" t="str">
        <f>_xlfn.TEXTBEFORE(_xlfn.TEXTAFTER(CantoralDB[[#This Row],[index.html]],"&gt;"),"&gt;")&amp;"&gt;"</f>
        <v>&lt;a href="canciones/nuevas/abba.html"&gt;</v>
      </c>
      <c r="W27" s="1"/>
      <c r="X27" s="1"/>
      <c r="Y27" s="1"/>
    </row>
    <row r="28" spans="1:25" hidden="1" x14ac:dyDescent="0.3">
      <c r="A28" s="1">
        <f>ROW(CantoralDB[[#This Row],[Título]])-1</f>
        <v>27</v>
      </c>
      <c r="B28" s="1" t="s">
        <v>3642</v>
      </c>
      <c r="C28" s="1" t="s">
        <v>191</v>
      </c>
      <c r="D28" s="1" t="s">
        <v>1406</v>
      </c>
      <c r="E28" s="1">
        <v>401</v>
      </c>
      <c r="F28" s="1">
        <v>365</v>
      </c>
      <c r="G28" s="1" t="s">
        <v>209</v>
      </c>
      <c r="H28" s="1" t="s">
        <v>533</v>
      </c>
      <c r="I28" s="1" t="s">
        <v>612</v>
      </c>
      <c r="L28" s="15" t="s">
        <v>594</v>
      </c>
      <c r="M28" s="15"/>
      <c r="N28" s="15"/>
      <c r="O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abba_padre.html</v>
      </c>
      <c r="R28" s="1" t="s">
        <v>803</v>
      </c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28" s="15" t="str">
        <f>_xlfn.TEXTBEFORE(_xlfn.TEXTAFTER(CantoralDB[[#This Row],[index.html]],"&gt;"),"&gt;")&amp;"&gt;"</f>
        <v>&lt;a href="canciones/alejandro_ruiz/abba_padre.html"&gt;</v>
      </c>
      <c r="Y28" s="1"/>
    </row>
    <row r="29" spans="1:25" hidden="1" x14ac:dyDescent="0.3">
      <c r="A29" s="1">
        <f>ROW(CantoralDB[[#This Row],[Título]])-1</f>
        <v>28</v>
      </c>
      <c r="B29" s="1" t="s">
        <v>3643</v>
      </c>
      <c r="C29" s="1"/>
      <c r="F29" s="1">
        <v>309</v>
      </c>
      <c r="I29" s="1"/>
      <c r="L29" s="15" t="s">
        <v>3619</v>
      </c>
      <c r="M29" s="15"/>
      <c r="N29" s="15"/>
      <c r="O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abba_padre_escuchame.html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href="canciones/nuevas/abba_padre_escuchame.html"&gt;Abbá, Padre, escúchame&lt;/a&gt;&lt;/li&gt;</v>
      </c>
      <c r="U29" s="15" t="str">
        <f>_xlfn.TEXTBEFORE(_xlfn.TEXTAFTER(CantoralDB[[#This Row],[index.html]],"&gt;"),"&gt;")&amp;"&gt;"</f>
        <v>&lt;a href="canciones/nuevas/abba_padre_escuchame.html"&gt;</v>
      </c>
      <c r="W29" s="1"/>
      <c r="X29" s="1"/>
      <c r="Y29" s="1"/>
    </row>
    <row r="30" spans="1:25" hidden="1" x14ac:dyDescent="0.3">
      <c r="A30" s="1">
        <f>ROW(CantoralDB[[#This Row],[Título]])-1</f>
        <v>29</v>
      </c>
      <c r="B30" s="1" t="s">
        <v>277</v>
      </c>
      <c r="C30" s="1" t="s">
        <v>1026</v>
      </c>
      <c r="D30" s="1" t="s">
        <v>1113</v>
      </c>
      <c r="H30" s="1" t="s">
        <v>1038</v>
      </c>
      <c r="I30" s="1" t="s">
        <v>612</v>
      </c>
      <c r="L30" s="15" t="s">
        <v>2201</v>
      </c>
      <c r="M30" s="15"/>
      <c r="N30" s="15"/>
      <c r="O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30" s="15" t="str">
        <f>_xlfn.TEXTBEFORE(_xlfn.TEXTAFTER(CantoralDB[[#This Row],[index.html]],"&gt;"),"&gt;")&amp;"&gt;"</f>
        <v>&lt;a href="canciones/taize/aber_du_weisst_den_weg_für_mich.html"&gt;</v>
      </c>
      <c r="W30" s="1"/>
      <c r="X30" s="1"/>
      <c r="Y30" s="1"/>
    </row>
    <row r="31" spans="1:25" hidden="1" x14ac:dyDescent="0.3">
      <c r="A31" s="1">
        <f>ROW(CantoralDB[[#This Row],[Título]])-1</f>
        <v>30</v>
      </c>
      <c r="B31" s="1" t="s">
        <v>3494</v>
      </c>
      <c r="C31" s="1"/>
      <c r="F31" s="1">
        <v>150</v>
      </c>
      <c r="I31" s="1"/>
      <c r="L31" s="15" t="s">
        <v>799</v>
      </c>
      <c r="M31" s="15"/>
      <c r="N31" s="15"/>
      <c r="O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abre_mis_labios.html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href="canciones/nuevas/abre_mis_labios.html"&gt;Abre mis labios&lt;/a&gt;&lt;/li&gt;</v>
      </c>
      <c r="U31" s="15" t="str">
        <f>_xlfn.TEXTBEFORE(_xlfn.TEXTAFTER(CantoralDB[[#This Row],[index.html]],"&gt;"),"&gt;")&amp;"&gt;"</f>
        <v>&lt;a href="canciones/nuevas/abre_mis_labios.html"&gt;</v>
      </c>
      <c r="W31" s="1"/>
      <c r="X31" s="1"/>
      <c r="Y31" s="1"/>
    </row>
    <row r="32" spans="1:25" hidden="1" x14ac:dyDescent="0.3">
      <c r="A32" s="1">
        <f>ROW(CantoralDB[[#This Row],[Título]])-1</f>
        <v>31</v>
      </c>
      <c r="B32" s="1" t="s">
        <v>1858</v>
      </c>
      <c r="C32" s="1"/>
      <c r="I32" s="1" t="s">
        <v>612</v>
      </c>
      <c r="L32" s="15" t="s">
        <v>501</v>
      </c>
      <c r="M32" s="15" t="s">
        <v>1554</v>
      </c>
      <c r="N32" s="15">
        <v>4</v>
      </c>
      <c r="O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abre_mis_puertas.html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32" s="15" t="str">
        <f>_xlfn.TEXTBEFORE(_xlfn.TEXTAFTER(CantoralDB[[#This Row],[index.html]],"&gt;"),"&gt;")&amp;"&gt;"</f>
        <v>&lt;a href="canciones/ain_karem/abre_mis_puertas.html"&gt;</v>
      </c>
      <c r="W32" s="1"/>
      <c r="X32" s="1"/>
      <c r="Y32" s="1"/>
    </row>
    <row r="33" spans="1:25" hidden="1" x14ac:dyDescent="0.3">
      <c r="A33" s="1">
        <f>ROW(CantoralDB[[#This Row],[Título]])-1</f>
        <v>32</v>
      </c>
      <c r="B33" s="1" t="s">
        <v>6</v>
      </c>
      <c r="C33" s="1" t="s">
        <v>191</v>
      </c>
      <c r="D33" s="1" t="s">
        <v>1407</v>
      </c>
      <c r="E33" s="1">
        <v>8</v>
      </c>
      <c r="G33" s="1" t="s">
        <v>209</v>
      </c>
      <c r="H33" s="1" t="s">
        <v>1031</v>
      </c>
      <c r="I33" s="1" t="s">
        <v>612</v>
      </c>
      <c r="L33" s="15" t="s">
        <v>479</v>
      </c>
      <c r="M33" s="15"/>
      <c r="N33" s="15"/>
      <c r="O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abre_tu_tienda_al_señor.html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33" s="15" t="str">
        <f>_xlfn.TEXTBEFORE(_xlfn.TEXTAFTER(CantoralDB[[#This Row],[index.html]],"&gt;"),"&gt;")&amp;"&gt;"</f>
        <v>&lt;a href="canciones/carmelo_erdozain/abre_tu_tienda_al_señor.html"&gt;</v>
      </c>
      <c r="W33" s="1"/>
      <c r="X33" s="1"/>
      <c r="Y33" s="1"/>
    </row>
    <row r="34" spans="1:25" hidden="1" x14ac:dyDescent="0.3">
      <c r="A34" s="1">
        <f>ROW(CantoralDB[[#This Row],[Título]])-1</f>
        <v>33</v>
      </c>
      <c r="B34" s="1" t="s">
        <v>1198</v>
      </c>
      <c r="C34" s="1"/>
      <c r="E34" s="1">
        <v>5</v>
      </c>
      <c r="I34" s="1" t="s">
        <v>612</v>
      </c>
      <c r="L34" s="15" t="s">
        <v>2207</v>
      </c>
      <c r="M34" s="15"/>
      <c r="N34" s="15"/>
      <c r="O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abrid_de_par_en_par.html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34" s="15" t="str">
        <f>_xlfn.TEXTBEFORE(_xlfn.TEXTAFTER(CantoralDB[[#This Row],[index.html]],"&gt;"),"&gt;")&amp;"&gt;"</f>
        <v>&lt;a href="canciones/perpetuo_socorro/abrid_de_par_en_par.html"&gt;</v>
      </c>
      <c r="W34" s="1"/>
      <c r="X34" s="1"/>
      <c r="Y34" s="1"/>
    </row>
    <row r="35" spans="1:25" hidden="1" x14ac:dyDescent="0.3">
      <c r="A35" s="1">
        <f>ROW(CantoralDB[[#This Row],[Título]])-1</f>
        <v>34</v>
      </c>
      <c r="B35" s="1" t="s">
        <v>7</v>
      </c>
      <c r="C35" s="1" t="s">
        <v>997</v>
      </c>
      <c r="D35" s="1" t="s">
        <v>1056</v>
      </c>
      <c r="E35" s="1">
        <v>402</v>
      </c>
      <c r="F35" s="1">
        <v>124</v>
      </c>
      <c r="G35" s="1" t="s">
        <v>216</v>
      </c>
      <c r="H35" s="1" t="s">
        <v>1039</v>
      </c>
      <c r="I35" s="1" t="s">
        <v>612</v>
      </c>
      <c r="L35" s="15" t="s">
        <v>574</v>
      </c>
      <c r="M35" s="15"/>
      <c r="N35" s="15"/>
      <c r="O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abro_mi_ser.html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35" s="15" t="str">
        <f>_xlfn.TEXTBEFORE(_xlfn.TEXTAFTER(CantoralDB[[#This Row],[index.html]],"&gt;"),"&gt;")&amp;"&gt;"</f>
        <v>&lt;a href="canciones/pelayo_sanchez/abro_mi_ser.html"&gt;</v>
      </c>
      <c r="W35" s="1"/>
      <c r="X35" s="1"/>
      <c r="Y35" s="1"/>
    </row>
    <row r="36" spans="1:25" hidden="1" x14ac:dyDescent="0.3">
      <c r="A36" s="1">
        <f>ROW(CantoralDB[[#This Row],[Título]])-1</f>
        <v>35</v>
      </c>
      <c r="B36" s="1" t="s">
        <v>1969</v>
      </c>
      <c r="C36" s="1"/>
      <c r="I36" s="1" t="s">
        <v>612</v>
      </c>
      <c r="L36" s="15" t="s">
        <v>481</v>
      </c>
      <c r="M36" s="15" t="s">
        <v>21</v>
      </c>
      <c r="N36" s="15">
        <v>4</v>
      </c>
      <c r="O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acabamos_de_oir_tu_palabra.html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36" s="15" t="str">
        <f>_xlfn.TEXTBEFORE(_xlfn.TEXTAFTER(CantoralDB[[#This Row],[index.html]],"&gt;"),"&gt;")&amp;"&gt;"</f>
        <v>&lt;a href="canciones/francisco_palazon/acabamos_de_oir_tu_palabra.html"&gt;</v>
      </c>
      <c r="W36" s="1"/>
      <c r="X36" s="1"/>
      <c r="Y36" s="1"/>
    </row>
    <row r="37" spans="1:25" hidden="1" x14ac:dyDescent="0.3">
      <c r="A37" s="1">
        <f>ROW(CantoralDB[[#This Row],[Título]])-1</f>
        <v>36</v>
      </c>
      <c r="B37" s="1" t="s">
        <v>3079</v>
      </c>
      <c r="C37" s="15"/>
      <c r="I37" s="1" t="s">
        <v>612</v>
      </c>
      <c r="L37" s="15" t="s">
        <v>581</v>
      </c>
      <c r="M37" s="15"/>
      <c r="N37" s="15"/>
      <c r="O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acaso_no_estoy_yo_aqui_que_soy_tu_madre.html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37" s="15" t="str">
        <f>_xlfn.TEXTBEFORE(_xlfn.TEXTAFTER(CantoralDB[[#This Row],[index.html]],"&gt;"),"&gt;")&amp;"&gt;"</f>
        <v>&lt;a href="canciones/nuevas/acaso_no_estoy_yo_aqui_que_soy_tu_madre.html"&gt;</v>
      </c>
      <c r="W37" s="1"/>
      <c r="X37" s="1"/>
      <c r="Y37" s="1"/>
    </row>
    <row r="38" spans="1:25" hidden="1" x14ac:dyDescent="0.3">
      <c r="A38" s="1">
        <f>ROW(CantoralDB[[#This Row],[Título]])-1</f>
        <v>37</v>
      </c>
      <c r="B38" s="1" t="s">
        <v>8</v>
      </c>
      <c r="C38" s="1" t="s">
        <v>191</v>
      </c>
      <c r="D38" s="1" t="s">
        <v>1408</v>
      </c>
      <c r="E38" s="1">
        <v>9</v>
      </c>
      <c r="G38" s="1" t="s">
        <v>209</v>
      </c>
      <c r="H38" s="1" t="s">
        <v>1032</v>
      </c>
      <c r="I38" s="1" t="s">
        <v>612</v>
      </c>
      <c r="L38" s="15" t="s">
        <v>481</v>
      </c>
      <c r="M38" s="15" t="s">
        <v>21</v>
      </c>
      <c r="N38" s="15">
        <v>11</v>
      </c>
      <c r="O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acerquemonos_todos_al_altar.html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38" s="15" t="str">
        <f>_xlfn.TEXTBEFORE(_xlfn.TEXTAFTER(CantoralDB[[#This Row],[index.html]],"&gt;"),"&gt;")&amp;"&gt;"</f>
        <v>&lt;a href="canciones/francisco_palazon/acerquemonos_todos_al_altar.html"&gt;</v>
      </c>
      <c r="W38" s="1"/>
      <c r="X38" s="1"/>
      <c r="Y38" s="1"/>
    </row>
    <row r="39" spans="1:25" hidden="1" x14ac:dyDescent="0.3">
      <c r="A39" s="1">
        <f>ROW(CantoralDB[[#This Row],[Título]])-1</f>
        <v>38</v>
      </c>
      <c r="B39" s="1" t="s">
        <v>1201</v>
      </c>
      <c r="C39" s="1"/>
      <c r="E39" s="1">
        <v>11</v>
      </c>
      <c r="I39" s="1" t="s">
        <v>612</v>
      </c>
      <c r="L39" s="15" t="s">
        <v>487</v>
      </c>
      <c r="M39" s="15"/>
      <c r="N39" s="15"/>
      <c r="O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aclama_al_señor_tierra_entera.html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39" s="15" t="str">
        <f>_xlfn.TEXTBEFORE(_xlfn.TEXTAFTER(CantoralDB[[#This Row],[index.html]],"&gt;"),"&gt;")&amp;"&gt;"</f>
        <v>&lt;a href="canciones/miguel_manzano/aclama_al_señor_tierra_entera.html"&gt;</v>
      </c>
      <c r="W39" s="1"/>
      <c r="X39" s="1"/>
      <c r="Y39" s="1"/>
    </row>
    <row r="40" spans="1:25" hidden="1" x14ac:dyDescent="0.3">
      <c r="A40" s="1">
        <f>ROW(CantoralDB[[#This Row],[Título]])-1</f>
        <v>39</v>
      </c>
      <c r="B40" s="1" t="s">
        <v>3446</v>
      </c>
      <c r="C40" s="1"/>
      <c r="F40" s="1">
        <v>109</v>
      </c>
      <c r="I40" s="1"/>
      <c r="L40" s="15" t="s">
        <v>799</v>
      </c>
      <c r="M40" s="15"/>
      <c r="N40" s="15"/>
      <c r="O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href="canciones/nuevas/aclamad.html"&gt;Aclamad&lt;/a&gt;&lt;/li&gt;</v>
      </c>
      <c r="U40" s="15" t="str">
        <f>_xlfn.TEXTBEFORE(_xlfn.TEXTAFTER(CantoralDB[[#This Row],[index.html]],"&gt;"),"&gt;")&amp;"&gt;"</f>
        <v>&lt;a href="canciones/nuevas/aclamad.html"&gt;</v>
      </c>
      <c r="W40" s="1"/>
      <c r="X40" s="1"/>
      <c r="Y40" s="1"/>
    </row>
    <row r="41" spans="1:25" hidden="1" x14ac:dyDescent="0.3">
      <c r="A41" s="1">
        <f>ROW(CantoralDB[[#This Row],[Título]])-1</f>
        <v>40</v>
      </c>
      <c r="B41" s="1" t="s">
        <v>3750</v>
      </c>
      <c r="C41" s="1"/>
      <c r="F41" s="1">
        <v>405</v>
      </c>
      <c r="I41" s="1"/>
      <c r="L41" s="15" t="s">
        <v>3751</v>
      </c>
      <c r="M41" s="15"/>
      <c r="N41" s="15"/>
      <c r="O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aclamad_al_señor.html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41" s="15" t="str">
        <f>_xlfn.TEXTBEFORE(_xlfn.TEXTAFTER(CantoralDB[[#This Row],[index.html]],"&gt;"),"&gt;")&amp;"&gt;"</f>
        <v>&lt;a href="canciones/nuevas/aclamad_al_señor.html"&gt;</v>
      </c>
      <c r="W41" s="1"/>
      <c r="X41" s="1"/>
      <c r="Y41" s="1"/>
    </row>
    <row r="42" spans="1:25" hidden="1" x14ac:dyDescent="0.3">
      <c r="A42" s="1">
        <f>ROW(CantoralDB[[#This Row],[Título]])-1</f>
        <v>41</v>
      </c>
      <c r="B42" s="1" t="s">
        <v>1196</v>
      </c>
      <c r="C42" s="1"/>
      <c r="E42" s="1">
        <v>2</v>
      </c>
      <c r="I42" s="1" t="s">
        <v>612</v>
      </c>
      <c r="L42" s="15" t="s">
        <v>481</v>
      </c>
      <c r="M42" s="15" t="s">
        <v>1979</v>
      </c>
      <c r="N42" s="15">
        <v>10</v>
      </c>
      <c r="O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aclamad_justos_al_señor.html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42" s="15" t="str">
        <f>_xlfn.TEXTBEFORE(_xlfn.TEXTAFTER(CantoralDB[[#This Row],[index.html]],"&gt;"),"&gt;")&amp;"&gt;"</f>
        <v>&lt;a href="canciones/francisco_palazon/aclamad_justos_al_señor.html"&gt;</v>
      </c>
      <c r="W42" s="1"/>
      <c r="X42" s="1"/>
      <c r="Y42" s="1"/>
    </row>
    <row r="43" spans="1:25" hidden="1" x14ac:dyDescent="0.3">
      <c r="A43" s="1">
        <f>ROW(CantoralDB[[#This Row],[Título]])-1</f>
        <v>42</v>
      </c>
      <c r="B43" s="1" t="s">
        <v>1606</v>
      </c>
      <c r="C43" s="1"/>
      <c r="I43" s="1" t="s">
        <v>612</v>
      </c>
      <c r="L43" s="15" t="s">
        <v>484</v>
      </c>
      <c r="M43" s="15" t="s">
        <v>1529</v>
      </c>
      <c r="N43" s="15">
        <v>4</v>
      </c>
      <c r="O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acogeme_dios.html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href="canciones/kairoi/acogeme_dios.html"&gt;Acógeme, Dios&lt;/a&gt;&lt;/li&gt;</v>
      </c>
      <c r="U43" s="15" t="str">
        <f>_xlfn.TEXTBEFORE(_xlfn.TEXTAFTER(CantoralDB[[#This Row],[index.html]],"&gt;"),"&gt;")&amp;"&gt;"</f>
        <v>&lt;a href="canciones/kairoi/acogeme_dios.html"&gt;</v>
      </c>
      <c r="W43" s="1"/>
      <c r="X43" s="1"/>
      <c r="Y43" s="1"/>
    </row>
    <row r="44" spans="1:25" hidden="1" x14ac:dyDescent="0.3">
      <c r="A44" s="1">
        <f>ROW(CantoralDB[[#This Row],[Título]])-1</f>
        <v>43</v>
      </c>
      <c r="B44" s="1" t="s">
        <v>1199</v>
      </c>
      <c r="C44" s="1"/>
      <c r="E44" s="1">
        <v>6</v>
      </c>
      <c r="I44" s="1" t="s">
        <v>612</v>
      </c>
      <c r="L44" s="15" t="s">
        <v>3314</v>
      </c>
      <c r="M44" s="15" t="s">
        <v>3155</v>
      </c>
      <c r="N44" s="15"/>
      <c r="O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acompañame_señor_en_la_tribulacion.html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44" s="15" t="str">
        <f>_xlfn.TEXTBEFORE(_xlfn.TEXTAFTER(CantoralDB[[#This Row],[index.html]],"&gt;"),"&gt;")&amp;"&gt;"</f>
        <v>&lt;a href="canciones/nsb/acompañame_señor_en_la_tribulacion.html"&gt;</v>
      </c>
      <c r="W44" s="1"/>
      <c r="X44" s="1"/>
      <c r="Y44" s="1"/>
    </row>
    <row r="45" spans="1:25" hidden="1" x14ac:dyDescent="0.3">
      <c r="A45" s="1">
        <f>ROW(CantoralDB[[#This Row],[Título]])-1</f>
        <v>44</v>
      </c>
      <c r="B45" s="1" t="s">
        <v>1197</v>
      </c>
      <c r="C45" s="1"/>
      <c r="E45" s="1">
        <v>3</v>
      </c>
      <c r="I45" s="1" t="s">
        <v>612</v>
      </c>
      <c r="L45" s="15" t="s">
        <v>2203</v>
      </c>
      <c r="M45" s="15"/>
      <c r="N45" s="15"/>
      <c r="O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acuerdate_de_jesucristo.html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45" s="15" t="str">
        <f>_xlfn.TEXTBEFORE(_xlfn.TEXTAFTER(CantoralDB[[#This Row],[index.html]],"&gt;"),"&gt;")&amp;"&gt;"</f>
        <v>&lt;a href="canciones/nsb/acuerdate_de_jesucristo.html"&gt;</v>
      </c>
      <c r="W45" s="1"/>
      <c r="X45" s="1"/>
      <c r="Y45" s="1"/>
    </row>
    <row r="46" spans="1:25" hidden="1" x14ac:dyDescent="0.3">
      <c r="A46" s="1">
        <f>ROW(CantoralDB[[#This Row],[Título]])-1</f>
        <v>45</v>
      </c>
      <c r="B46" s="1" t="s">
        <v>1723</v>
      </c>
      <c r="C46" s="1"/>
      <c r="I46" s="1" t="s">
        <v>612</v>
      </c>
      <c r="L46" s="15" t="s">
        <v>484</v>
      </c>
      <c r="M46" s="15" t="s">
        <v>1539</v>
      </c>
      <c r="N46" s="15">
        <v>12</v>
      </c>
      <c r="O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acuerdate_maria.html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46" s="15" t="str">
        <f>_xlfn.TEXTBEFORE(_xlfn.TEXTAFTER(CantoralDB[[#This Row],[index.html]],"&gt;"),"&gt;")&amp;"&gt;"</f>
        <v>&lt;a href="canciones/kairoi/acuerdate_maria.html"&gt;</v>
      </c>
      <c r="W46" s="1"/>
      <c r="X46" s="1"/>
      <c r="Y46" s="1"/>
    </row>
    <row r="47" spans="1:25" hidden="1" x14ac:dyDescent="0.3">
      <c r="A47" s="1">
        <f>ROW(CantoralDB[[#This Row],[Título]])-1</f>
        <v>46</v>
      </c>
      <c r="B47" s="1" t="s">
        <v>2127</v>
      </c>
      <c r="C47" s="1"/>
      <c r="I47" s="1"/>
      <c r="L47" s="15" t="s">
        <v>481</v>
      </c>
      <c r="M47" s="15" t="s">
        <v>1978</v>
      </c>
      <c r="N47" s="15">
        <v>2</v>
      </c>
      <c r="O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acuerdate_señor.html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47" s="15" t="str">
        <f>_xlfn.TEXTBEFORE(_xlfn.TEXTAFTER(CantoralDB[[#This Row],[index.html]],"&gt;"),"&gt;")&amp;"&gt;"</f>
        <v>&lt;a href="canciones/francisco_palazon/acuerdate_señor.html"&gt;</v>
      </c>
      <c r="W47" s="1"/>
      <c r="X47" s="1"/>
      <c r="Y47" s="1"/>
    </row>
    <row r="48" spans="1:25" hidden="1" x14ac:dyDescent="0.3">
      <c r="A48" s="1">
        <f>ROW(CantoralDB[[#This Row],[Título]])-1</f>
        <v>47</v>
      </c>
      <c r="B48" s="1" t="s">
        <v>278</v>
      </c>
      <c r="C48" s="1" t="s">
        <v>1026</v>
      </c>
      <c r="D48" s="1" t="s">
        <v>1114</v>
      </c>
      <c r="H48" s="1" t="s">
        <v>1077</v>
      </c>
      <c r="I48" s="1" t="s">
        <v>612</v>
      </c>
      <c r="L48" s="15" t="s">
        <v>2201</v>
      </c>
      <c r="M48" s="15"/>
      <c r="N48" s="15"/>
      <c r="O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48" s="15" t="str">
        <f>_xlfn.TEXTBEFORE(_xlfn.TEXTAFTER(CantoralDB[[#This Row],[index.html]],"&gt;"),"&gt;")&amp;"&gt;"</f>
        <v>&lt;a href="canciones/taize/ad_te_jesu_christe.html"&gt;</v>
      </c>
      <c r="W48" s="1"/>
      <c r="X48" s="1"/>
      <c r="Y48" s="1"/>
    </row>
    <row r="49" spans="1:25" hidden="1" x14ac:dyDescent="0.3">
      <c r="A49" s="1">
        <f>ROW(CantoralDB[[#This Row],[Título]])-1</f>
        <v>48</v>
      </c>
      <c r="B49" s="1" t="s">
        <v>1745</v>
      </c>
      <c r="C49" s="1"/>
      <c r="I49" s="1"/>
      <c r="L49" s="15" t="s">
        <v>484</v>
      </c>
      <c r="M49" s="15" t="s">
        <v>1542</v>
      </c>
      <c r="N49" s="15">
        <v>5</v>
      </c>
      <c r="O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adela.html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href="canciones/kairoi/adela.html"&gt;Adela&lt;/a&gt;&lt;/li&gt;</v>
      </c>
      <c r="U49" s="15" t="str">
        <f>_xlfn.TEXTBEFORE(_xlfn.TEXTAFTER(CantoralDB[[#This Row],[index.html]],"&gt;"),"&gt;")&amp;"&gt;"</f>
        <v>&lt;a href="canciones/kairoi/adela.html"&gt;</v>
      </c>
      <c r="W49" s="1"/>
      <c r="X49" s="1"/>
      <c r="Y49" s="1"/>
    </row>
    <row r="50" spans="1:25" hidden="1" x14ac:dyDescent="0.3">
      <c r="A50" s="1">
        <f>ROW(CantoralDB[[#This Row],[Título]])-1</f>
        <v>49</v>
      </c>
      <c r="B50" s="1" t="s">
        <v>1915</v>
      </c>
      <c r="C50" s="1"/>
      <c r="I50" s="1" t="s">
        <v>612</v>
      </c>
      <c r="L50" s="15" t="s">
        <v>1804</v>
      </c>
      <c r="M50" s="15" t="s">
        <v>1951</v>
      </c>
      <c r="N50" s="15">
        <v>1</v>
      </c>
      <c r="O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adentrate.html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href="canciones/ruah/adentrate.html"&gt;Adéntrate&lt;/a&gt;&lt;/li&gt;</v>
      </c>
      <c r="U50" s="15" t="str">
        <f>_xlfn.TEXTBEFORE(_xlfn.TEXTAFTER(CantoralDB[[#This Row],[index.html]],"&gt;"),"&gt;")&amp;"&gt;"</f>
        <v>&lt;a href="canciones/ruah/adentrate.html"&gt;</v>
      </c>
      <c r="W50" s="1"/>
      <c r="X50" s="1"/>
      <c r="Y50" s="1"/>
    </row>
    <row r="51" spans="1:25" hidden="1" x14ac:dyDescent="0.3">
      <c r="A51" s="1">
        <f>ROW(CantoralDB[[#This Row],[Título]])-1</f>
        <v>50</v>
      </c>
      <c r="B51" s="1" t="s">
        <v>1204</v>
      </c>
      <c r="C51" s="1"/>
      <c r="E51" s="1">
        <v>17</v>
      </c>
      <c r="I51" s="1" t="s">
        <v>612</v>
      </c>
      <c r="L51" s="15" t="s">
        <v>2200</v>
      </c>
      <c r="M51" s="15"/>
      <c r="N51" s="15"/>
      <c r="O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adeste_fideles.html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data-nold="17"&gt;&lt;a href="canciones/villancicos/adeste_fideles.html"&gt;Adeste, fideles&lt;/a&gt;&lt;/li&gt;</v>
      </c>
      <c r="U51" s="15" t="str">
        <f>_xlfn.TEXTBEFORE(_xlfn.TEXTAFTER(CantoralDB[[#This Row],[index.html]],"&gt;"),"&gt;")&amp;"&gt;"</f>
        <v>&lt;a href="canciones/villancicos/adeste_fideles.html"&gt;</v>
      </c>
      <c r="W51" s="1"/>
      <c r="X51" s="1"/>
      <c r="Y51" s="1"/>
    </row>
    <row r="52" spans="1:25" hidden="1" x14ac:dyDescent="0.3">
      <c r="A52" s="1">
        <f>ROW(CantoralDB[[#This Row],[Título]])-1</f>
        <v>51</v>
      </c>
      <c r="B52" s="1" t="s">
        <v>1262</v>
      </c>
      <c r="C52" s="1"/>
      <c r="E52" s="1">
        <v>300</v>
      </c>
      <c r="I52" s="1"/>
      <c r="L52" s="15" t="s">
        <v>799</v>
      </c>
      <c r="M52" s="15"/>
      <c r="N52" s="15"/>
      <c r="O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adios_adios_amigos.html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data-nold="300"&gt;&lt;a href="canciones/nsb/adios_adios_amigos.html"&gt;Adiós, adiós amigos&lt;/a&gt;&lt;/li&gt;</v>
      </c>
      <c r="U52" s="15" t="str">
        <f>_xlfn.TEXTBEFORE(_xlfn.TEXTAFTER(CantoralDB[[#This Row],[index.html]],"&gt;"),"&gt;")&amp;"&gt;"</f>
        <v>&lt;a href="canciones/nsb/adios_adios_amigos.html"&gt;</v>
      </c>
      <c r="W52" s="1"/>
      <c r="X52" s="1"/>
      <c r="Y52" s="1"/>
    </row>
    <row r="53" spans="1:25" hidden="1" x14ac:dyDescent="0.3">
      <c r="A53" s="1">
        <f>ROW(CantoralDB[[#This Row],[Título]])-1</f>
        <v>52</v>
      </c>
      <c r="B53" s="1" t="s">
        <v>2109</v>
      </c>
      <c r="C53" s="1"/>
      <c r="I53" s="1"/>
      <c r="L53" s="15" t="s">
        <v>481</v>
      </c>
      <c r="M53" s="15" t="s">
        <v>2104</v>
      </c>
      <c r="N53" s="15">
        <v>4</v>
      </c>
      <c r="O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administradores_del_amor.html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53" s="15" t="str">
        <f>_xlfn.TEXTBEFORE(_xlfn.TEXTAFTER(CantoralDB[[#This Row],[index.html]],"&gt;"),"&gt;")&amp;"&gt;"</f>
        <v>&lt;a href="canciones/francisco_palazon/administradores_del_amor.html"&gt;</v>
      </c>
      <c r="W53" s="1"/>
      <c r="X53" s="1"/>
      <c r="Y53" s="1"/>
    </row>
    <row r="54" spans="1:25" hidden="1" x14ac:dyDescent="0.3">
      <c r="A54" s="1">
        <f>ROW(CantoralDB[[#This Row],[Título]])-1</f>
        <v>53</v>
      </c>
      <c r="B54" s="1" t="s">
        <v>3697</v>
      </c>
      <c r="C54" s="1"/>
      <c r="F54" s="1">
        <v>360</v>
      </c>
      <c r="I54" s="1"/>
      <c r="L54" s="15" t="s">
        <v>799</v>
      </c>
      <c r="M54" s="15"/>
      <c r="N54" s="15"/>
      <c r="O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adonai.html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href="canciones/nuevas/adonai.html"&gt;Adonai&lt;/a&gt;&lt;/li&gt;</v>
      </c>
      <c r="U54" s="15" t="str">
        <f>_xlfn.TEXTBEFORE(_xlfn.TEXTAFTER(CantoralDB[[#This Row],[index.html]],"&gt;"),"&gt;")&amp;"&gt;"</f>
        <v>&lt;a href="canciones/nuevas/adonai.html"&gt;</v>
      </c>
      <c r="W54" s="1"/>
      <c r="X54" s="1"/>
      <c r="Y54" s="1"/>
    </row>
    <row r="55" spans="1:25" hidden="1" x14ac:dyDescent="0.3">
      <c r="A55" s="1">
        <f>ROW(CantoralDB[[#This Row],[Título]])-1</f>
        <v>54</v>
      </c>
      <c r="B55" s="1" t="s">
        <v>3194</v>
      </c>
      <c r="C55" s="1"/>
      <c r="I55" s="1"/>
      <c r="L55" s="15" t="s">
        <v>3160</v>
      </c>
      <c r="M55" s="15" t="s">
        <v>3192</v>
      </c>
      <c r="N55" s="15">
        <v>2</v>
      </c>
      <c r="O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adonde_te_escondiste_amado.html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href="canciones/hermana_glenda/adonde_te_escondiste_amado.html"&gt;Adónde te escondiste, amado&lt;/a&gt;&lt;/li&gt;</v>
      </c>
      <c r="U55" s="15" t="str">
        <f>_xlfn.TEXTBEFORE(_xlfn.TEXTAFTER(CantoralDB[[#This Row],[index.html]],"&gt;"),"&gt;")&amp;"&gt;"</f>
        <v>&lt;a href="canciones/hermana_glenda/adonde_te_escondiste_amado.html"&gt;</v>
      </c>
      <c r="W55" s="1"/>
      <c r="X55" s="1"/>
      <c r="Y55" s="1"/>
    </row>
    <row r="56" spans="1:25" hidden="1" x14ac:dyDescent="0.3">
      <c r="A56" s="1">
        <f>ROW(CantoralDB[[#This Row],[Título]])-1</f>
        <v>55</v>
      </c>
      <c r="B56" s="1" t="s">
        <v>281</v>
      </c>
      <c r="C56" s="1" t="s">
        <v>1026</v>
      </c>
      <c r="D56" s="1" t="s">
        <v>1115</v>
      </c>
      <c r="H56" s="1" t="s">
        <v>1076</v>
      </c>
      <c r="I56" s="1" t="s">
        <v>612</v>
      </c>
      <c r="L56" s="15" t="s">
        <v>2201</v>
      </c>
      <c r="M56" s="15"/>
      <c r="N56" s="15"/>
      <c r="O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56" s="15" t="str">
        <f>_xlfn.TEXTBEFORE(_xlfn.TEXTAFTER(CantoralDB[[#This Row],[index.html]],"&gt;"),"&gt;")&amp;"&gt;"</f>
        <v>&lt;a href="canciones/taize/adoramus_te_o_christe.html"&gt;</v>
      </c>
      <c r="W56" s="1"/>
      <c r="X56" s="1"/>
      <c r="Y56" s="1"/>
    </row>
    <row r="57" spans="1:25" hidden="1" x14ac:dyDescent="0.3">
      <c r="A57" s="1">
        <f>ROW(CantoralDB[[#This Row],[Título]])-1</f>
        <v>56</v>
      </c>
      <c r="B57" s="1" t="s">
        <v>596</v>
      </c>
      <c r="C57" s="1" t="s">
        <v>997</v>
      </c>
      <c r="D57" s="1" t="s">
        <v>1058</v>
      </c>
      <c r="G57" s="1" t="s">
        <v>537</v>
      </c>
      <c r="H57" s="1" t="s">
        <v>1034</v>
      </c>
      <c r="I57" s="1" t="s">
        <v>612</v>
      </c>
      <c r="L57" s="15" t="s">
        <v>628</v>
      </c>
      <c r="M57" s="15"/>
      <c r="N57" s="15"/>
      <c r="O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adorando.html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57" s="15" t="str">
        <f>_xlfn.TEXTBEFORE(_xlfn.TEXTAFTER(CantoralDB[[#This Row],[index.html]],"&gt;"),"&gt;")&amp;"&gt;"</f>
        <v>&lt;a href="canciones/nsb/adorando.html"&gt;</v>
      </c>
      <c r="W57" s="1"/>
      <c r="X57" s="1"/>
      <c r="Y57" s="1"/>
    </row>
    <row r="58" spans="1:25" hidden="1" x14ac:dyDescent="0.3">
      <c r="A58" s="1">
        <f>ROW(CantoralDB[[#This Row],[Título]])-1</f>
        <v>57</v>
      </c>
      <c r="B58" s="1" t="s">
        <v>171</v>
      </c>
      <c r="C58" s="1" t="s">
        <v>997</v>
      </c>
      <c r="D58" s="1" t="s">
        <v>1057</v>
      </c>
      <c r="F58" s="1">
        <v>400</v>
      </c>
      <c r="G58" s="1" t="s">
        <v>209</v>
      </c>
      <c r="H58" s="1" t="s">
        <v>533</v>
      </c>
      <c r="I58" s="1" t="s">
        <v>612</v>
      </c>
      <c r="L58" s="15" t="s">
        <v>543</v>
      </c>
      <c r="M58" s="15"/>
      <c r="N58" s="15"/>
      <c r="O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adorare_tu_cuerpo_herido.html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58" s="15" t="str">
        <f>_xlfn.TEXTBEFORE(_xlfn.TEXTAFTER(CantoralDB[[#This Row],[index.html]],"&gt;"),"&gt;")&amp;"&gt;"</f>
        <v>&lt;a href="canciones/josep_asuncion/adorare_tu_cuerpo_herido.html"&gt;</v>
      </c>
      <c r="W58" s="1"/>
      <c r="X58" s="1"/>
      <c r="Y58" s="1"/>
    </row>
    <row r="59" spans="1:25" hidden="1" x14ac:dyDescent="0.3">
      <c r="A59" s="1">
        <f>ROW(CantoralDB[[#This Row],[Título]])-1</f>
        <v>58</v>
      </c>
      <c r="B59" s="1" t="s">
        <v>3755</v>
      </c>
      <c r="C59" s="1"/>
      <c r="F59" s="1">
        <v>408</v>
      </c>
      <c r="I59" s="1"/>
      <c r="L59" s="15" t="s">
        <v>3756</v>
      </c>
      <c r="M59" s="15"/>
      <c r="N59" s="15"/>
      <c r="O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agnus_dei.html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59" s="15" t="str">
        <f>_xlfn.TEXTBEFORE(_xlfn.TEXTAFTER(CantoralDB[[#This Row],[index.html]],"&gt;"),"&gt;")&amp;"&gt;"</f>
        <v>&lt;a href="canciones/nuevas/agnus_dei.html"&gt;</v>
      </c>
      <c r="W59" s="1"/>
      <c r="X59" s="1"/>
      <c r="Y59" s="1"/>
    </row>
    <row r="60" spans="1:25" hidden="1" x14ac:dyDescent="0.3">
      <c r="A60" s="1">
        <f>ROW(CantoralDB[[#This Row],[Título]])-1</f>
        <v>59</v>
      </c>
      <c r="B60" s="1" t="s">
        <v>1863</v>
      </c>
      <c r="C60" s="1"/>
      <c r="I60" s="1" t="s">
        <v>612</v>
      </c>
      <c r="L60" s="15" t="s">
        <v>501</v>
      </c>
      <c r="M60" s="15" t="s">
        <v>1554</v>
      </c>
      <c r="N60" s="15">
        <v>9</v>
      </c>
      <c r="O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agua_viva.html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href="canciones/ain_karem/agua_viva.html"&gt;Agua viva&lt;/a&gt;&lt;/li&gt;</v>
      </c>
      <c r="U60" s="15" t="str">
        <f>_xlfn.TEXTBEFORE(_xlfn.TEXTAFTER(CantoralDB[[#This Row],[index.html]],"&gt;"),"&gt;")&amp;"&gt;"</f>
        <v>&lt;a href="canciones/ain_karem/agua_viva.html"&gt;</v>
      </c>
      <c r="W60" s="1"/>
      <c r="X60" s="1"/>
      <c r="Y60" s="1"/>
    </row>
    <row r="61" spans="1:25" hidden="1" x14ac:dyDescent="0.3">
      <c r="A61" s="1">
        <f>ROW(CantoralDB[[#This Row],[Título]])-1</f>
        <v>60</v>
      </c>
      <c r="B61" s="1" t="s">
        <v>227</v>
      </c>
      <c r="C61" s="1" t="s">
        <v>192</v>
      </c>
      <c r="D61" s="1" t="s">
        <v>1409</v>
      </c>
      <c r="F61" s="1">
        <v>431</v>
      </c>
      <c r="G61" s="1" t="s">
        <v>216</v>
      </c>
      <c r="H61" s="1" t="s">
        <v>532</v>
      </c>
      <c r="I61" s="1" t="s">
        <v>612</v>
      </c>
      <c r="L61" s="15" t="s">
        <v>499</v>
      </c>
      <c r="M61" s="15"/>
      <c r="N61" s="15"/>
      <c r="O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agua_lavame.html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61" s="15" t="str">
        <f>_xlfn.TEXTBEFORE(_xlfn.TEXTAFTER(CantoralDB[[#This Row],[index.html]],"&gt;"),"&gt;")&amp;"&gt;"</f>
        <v>&lt;a href="canciones/brotes_de_olivo/agua_lavame.html"&gt;</v>
      </c>
      <c r="W61" s="1"/>
      <c r="X61" s="1"/>
      <c r="Y61" s="1"/>
    </row>
    <row r="62" spans="1:25" hidden="1" x14ac:dyDescent="0.3">
      <c r="A62" s="1">
        <f>ROW(CantoralDB[[#This Row],[Título]])-1</f>
        <v>61</v>
      </c>
      <c r="B62" s="1" t="s">
        <v>3206</v>
      </c>
      <c r="C62" s="1"/>
      <c r="I62" s="1" t="s">
        <v>612</v>
      </c>
      <c r="L62" s="15" t="s">
        <v>3160</v>
      </c>
      <c r="M62" s="15" t="s">
        <v>3190</v>
      </c>
      <c r="N62" s="15">
        <v>1</v>
      </c>
      <c r="O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ahi_tienes_a_tu_madre.html</v>
      </c>
      <c r="R62" s="1" t="s">
        <v>3306</v>
      </c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62" s="15" t="str">
        <f>_xlfn.TEXTBEFORE(_xlfn.TEXTAFTER(CantoralDB[[#This Row],[index.html]],"&gt;"),"&gt;")&amp;"&gt;"</f>
        <v>&lt;a href="canciones/hermana_glenda/ahi_tienes_a_tu_madre.html"&gt;</v>
      </c>
      <c r="W62" s="1"/>
      <c r="X62" s="1"/>
      <c r="Y62" s="1"/>
    </row>
    <row r="63" spans="1:25" hidden="1" x14ac:dyDescent="0.3">
      <c r="A63" s="1">
        <f>ROW(CantoralDB[[#This Row],[Título]])-1</f>
        <v>62</v>
      </c>
      <c r="B63" s="1" t="s">
        <v>3552</v>
      </c>
      <c r="C63" s="1"/>
      <c r="F63" s="1">
        <v>209</v>
      </c>
      <c r="I63" s="1"/>
      <c r="L63" s="15" t="s">
        <v>3553</v>
      </c>
      <c r="M63" s="15"/>
      <c r="N63" s="15"/>
      <c r="O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ahora_es_tiempo.html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63" s="15" t="str">
        <f>_xlfn.TEXTBEFORE(_xlfn.TEXTAFTER(CantoralDB[[#This Row],[index.html]],"&gt;"),"&gt;")&amp;"&gt;"</f>
        <v>&lt;a href="canciones/nuevas/ahora_es_tiempo.html"&gt;</v>
      </c>
      <c r="W63" s="1"/>
      <c r="X63" s="1"/>
      <c r="Y63" s="1"/>
    </row>
    <row r="64" spans="1:25" hidden="1" x14ac:dyDescent="0.3">
      <c r="A64" s="1">
        <f>ROW(CantoralDB[[#This Row],[Título]])-1</f>
        <v>63</v>
      </c>
      <c r="B64" s="1" t="s">
        <v>3748</v>
      </c>
      <c r="C64" s="1"/>
      <c r="F64" s="1">
        <v>404</v>
      </c>
      <c r="I64" s="1"/>
      <c r="L64" s="15" t="s">
        <v>3749</v>
      </c>
      <c r="M64" s="15"/>
      <c r="N64" s="15"/>
      <c r="O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ahora_mas_que_nunca.html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64" s="15" t="str">
        <f>_xlfn.TEXTBEFORE(_xlfn.TEXTAFTER(CantoralDB[[#This Row],[index.html]],"&gt;"),"&gt;")&amp;"&gt;"</f>
        <v>&lt;a href="canciones/nuevas/ahora_mas_que_nunca.html"&gt;</v>
      </c>
      <c r="W64" s="1"/>
      <c r="X64" s="1"/>
      <c r="Y64" s="1"/>
    </row>
    <row r="65" spans="1:25" hidden="1" x14ac:dyDescent="0.3">
      <c r="A65" s="1">
        <f>ROW(CantoralDB[[#This Row],[Título]])-1</f>
        <v>64</v>
      </c>
      <c r="B65" s="1" t="s">
        <v>3528</v>
      </c>
      <c r="C65" s="1"/>
      <c r="F65" s="1">
        <v>181</v>
      </c>
      <c r="I65" s="1"/>
      <c r="L65" s="15" t="s">
        <v>3347</v>
      </c>
      <c r="M65" s="15"/>
      <c r="N65" s="15"/>
      <c r="O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ahora_no_tengo.html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65" s="15" t="str">
        <f>_xlfn.TEXTBEFORE(_xlfn.TEXTAFTER(CantoralDB[[#This Row],[index.html]],"&gt;"),"&gt;")&amp;"&gt;"</f>
        <v>&lt;a href="canciones/luis_alfredo_diaz/ahora_no_tengo.html"&gt;</v>
      </c>
      <c r="W65" s="1"/>
      <c r="X65" s="1"/>
      <c r="Y65" s="1"/>
    </row>
    <row r="66" spans="1:25" hidden="1" x14ac:dyDescent="0.3">
      <c r="A66" s="1">
        <f>ROW(CantoralDB[[#This Row],[Título]])-1</f>
        <v>65</v>
      </c>
      <c r="B66" s="1" t="s">
        <v>501</v>
      </c>
      <c r="C66" s="1"/>
      <c r="I66" s="1" t="s">
        <v>612</v>
      </c>
      <c r="L66" s="15" t="s">
        <v>501</v>
      </c>
      <c r="M66" s="15" t="s">
        <v>1548</v>
      </c>
      <c r="N66" s="15">
        <v>1</v>
      </c>
      <c r="O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ain_karem.html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href="canciones/ain_karem/ain_karem.html"&gt;Ain Karem&lt;/a&gt;&lt;/li&gt;</v>
      </c>
      <c r="U66" s="15" t="str">
        <f>_xlfn.TEXTBEFORE(_xlfn.TEXTAFTER(CantoralDB[[#This Row],[index.html]],"&gt;"),"&gt;")&amp;"&gt;"</f>
        <v>&lt;a href="canciones/ain_karem/ain_karem.html"&gt;</v>
      </c>
      <c r="W66" s="1"/>
      <c r="X66" s="1"/>
      <c r="Y66" s="1"/>
    </row>
    <row r="67" spans="1:25" hidden="1" x14ac:dyDescent="0.3">
      <c r="A67" s="1">
        <f>ROW(CantoralDB[[#This Row],[Título]])-1</f>
        <v>66</v>
      </c>
      <c r="B67" s="1" t="s">
        <v>9</v>
      </c>
      <c r="C67" s="1" t="s">
        <v>997</v>
      </c>
      <c r="D67" s="1" t="s">
        <v>1059</v>
      </c>
      <c r="E67" s="1">
        <v>19</v>
      </c>
      <c r="G67" s="1" t="s">
        <v>209</v>
      </c>
      <c r="H67" s="1" t="s">
        <v>1051</v>
      </c>
      <c r="I67" s="1" t="s">
        <v>612</v>
      </c>
      <c r="L67" s="15" t="s">
        <v>483</v>
      </c>
      <c r="M67" s="15"/>
      <c r="N67" s="15"/>
      <c r="O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al_atardecer_de_la_vida.html</v>
      </c>
      <c r="R67" s="1" t="s">
        <v>802</v>
      </c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67" s="15" t="str">
        <f>_xlfn.TEXTBEFORE(_xlfn.TEXTAFTER(CantoralDB[[#This Row],[index.html]],"&gt;"),"&gt;")&amp;"&gt;"</f>
        <v>&lt;a href="canciones/cesareo_gabarain/al_atardecer_de_la_vida.html"&gt;</v>
      </c>
      <c r="W67" s="1"/>
      <c r="X67" s="1"/>
      <c r="Y67" s="1"/>
    </row>
    <row r="68" spans="1:25" hidden="1" x14ac:dyDescent="0.3">
      <c r="A68" s="1">
        <f>ROW(CantoralDB[[#This Row],[Título]])-1</f>
        <v>67</v>
      </c>
      <c r="B68" s="1" t="s">
        <v>3538</v>
      </c>
      <c r="C68" s="1"/>
      <c r="F68" s="1">
        <v>190</v>
      </c>
      <c r="I68" s="1"/>
      <c r="L68" s="15" t="s">
        <v>799</v>
      </c>
      <c r="M68" s="15"/>
      <c r="N68" s="15"/>
      <c r="O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al_estar_aqui.html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href="canciones/nuevas/al_estar_aqui.html"&gt;Al estar aquí&lt;/a&gt;&lt;/li&gt;</v>
      </c>
      <c r="U68" s="15" t="str">
        <f>_xlfn.TEXTBEFORE(_xlfn.TEXTAFTER(CantoralDB[[#This Row],[index.html]],"&gt;"),"&gt;")&amp;"&gt;"</f>
        <v>&lt;a href="canciones/nuevas/al_estar_aqui.html"&gt;</v>
      </c>
      <c r="W68" s="1"/>
      <c r="X68" s="1"/>
      <c r="Y68" s="1"/>
    </row>
    <row r="69" spans="1:25" hidden="1" x14ac:dyDescent="0.3">
      <c r="A69" s="1">
        <f>ROW(CantoralDB[[#This Row],[Título]])-1</f>
        <v>68</v>
      </c>
      <c r="B69" s="1" t="s">
        <v>2010</v>
      </c>
      <c r="C69" s="1"/>
      <c r="I69" s="1" t="s">
        <v>612</v>
      </c>
      <c r="L69" s="15" t="s">
        <v>261</v>
      </c>
      <c r="M69" s="15"/>
      <c r="N69" s="15"/>
      <c r="O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al_estar_en_la_presencia.html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69" s="15" t="str">
        <f>_xlfn.TEXTBEFORE(_xlfn.TEXTAFTER(CantoralDB[[#This Row],[index.html]],"&gt;"),"&gt;")&amp;"&gt;"</f>
        <v>&lt;a href="canciones/hakuna/al_estar_en_la_presencia.html"&gt;</v>
      </c>
      <c r="W69" s="1"/>
      <c r="X69" s="1"/>
      <c r="Y69" s="1"/>
    </row>
    <row r="70" spans="1:25" hidden="1" x14ac:dyDescent="0.3">
      <c r="A70" s="1">
        <f>ROW(CantoralDB[[#This Row],[Título]])-1</f>
        <v>69</v>
      </c>
      <c r="B70" s="1" t="s">
        <v>1664</v>
      </c>
      <c r="C70" s="1"/>
      <c r="I70" s="1"/>
      <c r="L70" s="15" t="s">
        <v>484</v>
      </c>
      <c r="M70" s="15" t="s">
        <v>1531</v>
      </c>
      <c r="N70" s="15">
        <v>9</v>
      </c>
      <c r="O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al_nacer_el_nuevo_dia.html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70" s="15" t="str">
        <f>_xlfn.TEXTBEFORE(_xlfn.TEXTAFTER(CantoralDB[[#This Row],[index.html]],"&gt;"),"&gt;")&amp;"&gt;"</f>
        <v>&lt;a href="canciones/kairoi/al_nacer_el_nuevo_dia.html"&gt;</v>
      </c>
      <c r="W70" s="1"/>
      <c r="X70" s="1"/>
      <c r="Y70" s="1"/>
    </row>
    <row r="71" spans="1:25" hidden="1" x14ac:dyDescent="0.3">
      <c r="A71" s="1">
        <f>ROW(CantoralDB[[#This Row],[Título]])-1</f>
        <v>70</v>
      </c>
      <c r="B71" s="1" t="s">
        <v>3635</v>
      </c>
      <c r="C71" s="1"/>
      <c r="F71" s="1">
        <v>300</v>
      </c>
      <c r="I71" s="1"/>
      <c r="L71" s="15" t="s">
        <v>3451</v>
      </c>
      <c r="M71" s="15"/>
      <c r="N71" s="15"/>
      <c r="O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al_nombre_de_jesus.html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71" s="15" t="str">
        <f>_xlfn.TEXTBEFORE(_xlfn.TEXTAFTER(CantoralDB[[#This Row],[index.html]],"&gt;"),"&gt;")&amp;"&gt;"</f>
        <v>&lt;a href="canciones/rosa_cruz/al_nombre_de_jesus.html"&gt;</v>
      </c>
      <c r="W71" s="1"/>
      <c r="X71" s="1"/>
      <c r="Y71" s="1"/>
    </row>
    <row r="72" spans="1:25" hidden="1" x14ac:dyDescent="0.3">
      <c r="A72" s="1">
        <f>ROW(CantoralDB[[#This Row],[Título]])-1</f>
        <v>71</v>
      </c>
      <c r="B72" s="1" t="s">
        <v>2093</v>
      </c>
      <c r="C72" s="1"/>
      <c r="I72" s="1"/>
      <c r="L72" s="15" t="s">
        <v>481</v>
      </c>
      <c r="M72" s="15" t="s">
        <v>2097</v>
      </c>
      <c r="N72" s="15">
        <v>9</v>
      </c>
      <c r="O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al_paraiso_te_lleven_los_angeles.html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72" s="15" t="str">
        <f>_xlfn.TEXTBEFORE(_xlfn.TEXTAFTER(CantoralDB[[#This Row],[index.html]],"&gt;"),"&gt;")&amp;"&gt;"</f>
        <v>&lt;a href="canciones/francisco_palazon/al_paraiso_te_lleven_los_angeles.html"&gt;</v>
      </c>
      <c r="W72" s="1"/>
      <c r="X72" s="1"/>
      <c r="Y72" s="1"/>
    </row>
    <row r="73" spans="1:25" hidden="1" x14ac:dyDescent="0.3">
      <c r="A73" s="1">
        <f>ROW(CantoralDB[[#This Row],[Título]])-1</f>
        <v>72</v>
      </c>
      <c r="B73" s="1" t="s">
        <v>3550</v>
      </c>
      <c r="C73" s="1"/>
      <c r="F73" s="1">
        <v>205</v>
      </c>
      <c r="I73" s="1"/>
      <c r="L73" s="15" t="s">
        <v>3099</v>
      </c>
      <c r="M73" s="15"/>
      <c r="N73" s="15"/>
      <c r="O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href="canciones/nuevas/al_que_esta_sentado_en_el_trono.html"&gt;Al que está sentado en el trono&lt;/a&gt;&lt;/li&gt;</v>
      </c>
      <c r="U73" s="15" t="str">
        <f>_xlfn.TEXTBEFORE(_xlfn.TEXTAFTER(CantoralDB[[#This Row],[index.html]],"&gt;"),"&gt;")&amp;"&gt;"</f>
        <v>&lt;a href="canciones/nuevas/al_que_esta_sentado_en_el_trono.html"&gt;</v>
      </c>
      <c r="W73" s="1"/>
      <c r="X73" s="1"/>
      <c r="Y73" s="1"/>
    </row>
    <row r="74" spans="1:25" hidden="1" x14ac:dyDescent="0.3">
      <c r="A74" s="1">
        <f>ROW(CantoralDB[[#This Row],[Título]])-1</f>
        <v>73</v>
      </c>
      <c r="B74" s="1" t="s">
        <v>3080</v>
      </c>
      <c r="C74" s="15"/>
      <c r="I74" s="1" t="s">
        <v>612</v>
      </c>
      <c r="L74" s="15" t="s">
        <v>3099</v>
      </c>
      <c r="M74" s="15"/>
      <c r="N74" s="15"/>
      <c r="O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al_que_esta_sentado_en_el_trono_y_al_cordero.html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74" s="15" t="str">
        <f>_xlfn.TEXTBEFORE(_xlfn.TEXTAFTER(CantoralDB[[#This Row],[index.html]],"&gt;"),"&gt;")&amp;"&gt;"</f>
        <v>&lt;a href="canciones/nuevas/al_que_esta_sentado_en_el_trono_y_al_cordero.html"&gt;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924</v>
      </c>
      <c r="C75" s="1" t="s">
        <v>1025</v>
      </c>
      <c r="D75" s="1" t="s">
        <v>1116</v>
      </c>
      <c r="H75" s="1" t="s">
        <v>1040</v>
      </c>
      <c r="I75" s="1" t="s">
        <v>612</v>
      </c>
      <c r="L75" s="15" t="s">
        <v>1991</v>
      </c>
      <c r="M75" s="15"/>
      <c r="N75" s="15"/>
      <c r="O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75" s="1" t="s">
        <v>976</v>
      </c>
      <c r="S75" s="1" t="s">
        <v>383</v>
      </c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75" s="15" t="str">
        <f>_xlfn.TEXTBEFORE(_xlfn.TEXTAFTER(CantoralDB[[#This Row],[index.html]],"&gt;"),"&gt;")&amp;"&gt;"</f>
        <v>&lt;a href="canciones/taize/jubilate_deo.html"&gt;</v>
      </c>
      <c r="W75" s="1"/>
      <c r="X75" s="1"/>
      <c r="Y75" s="1"/>
    </row>
    <row r="76" spans="1:25" hidden="1" x14ac:dyDescent="0.3">
      <c r="A76" s="1">
        <f>ROW(CantoralDB[[#This Row],[Título]])-1</f>
        <v>75</v>
      </c>
      <c r="B76" s="1" t="s">
        <v>1666</v>
      </c>
      <c r="C76" s="1"/>
      <c r="I76" s="1"/>
      <c r="L76" s="15" t="s">
        <v>484</v>
      </c>
      <c r="M76" s="15" t="s">
        <v>1531</v>
      </c>
      <c r="N76" s="15">
        <v>11</v>
      </c>
      <c r="O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al_señor_cantad.html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76" s="15" t="str">
        <f>_xlfn.TEXTBEFORE(_xlfn.TEXTAFTER(CantoralDB[[#This Row],[index.html]],"&gt;"),"&gt;")&amp;"&gt;"</f>
        <v>&lt;a href="canciones/kairoi/al_señor_cantad.html"&gt;</v>
      </c>
      <c r="W76" s="1"/>
      <c r="X76" s="1"/>
      <c r="Y76" s="1"/>
    </row>
    <row r="77" spans="1:25" hidden="1" x14ac:dyDescent="0.3">
      <c r="A77" s="1">
        <f>ROW(CantoralDB[[#This Row],[Título]])-1</f>
        <v>76</v>
      </c>
      <c r="B77" s="1" t="s">
        <v>10</v>
      </c>
      <c r="C77" s="1" t="s">
        <v>997</v>
      </c>
      <c r="D77" s="1" t="s">
        <v>1060</v>
      </c>
      <c r="E77" s="1">
        <v>12</v>
      </c>
      <c r="G77" s="1" t="s">
        <v>209</v>
      </c>
      <c r="H77" s="1" t="s">
        <v>532</v>
      </c>
      <c r="I77" s="1" t="s">
        <v>612</v>
      </c>
      <c r="L77" s="15" t="s">
        <v>485</v>
      </c>
      <c r="M77" s="15"/>
      <c r="N77" s="15"/>
      <c r="O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al_ver_jesus.html</v>
      </c>
      <c r="R77" s="1" t="s">
        <v>804</v>
      </c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77" s="15" t="str">
        <f>_xlfn.TEXTBEFORE(_xlfn.TEXTAFTER(CantoralDB[[#This Row],[index.html]],"&gt;"),"&gt;")&amp;"&gt;"</f>
        <v>&lt;a href="canciones/joaquin_madurga/al_ver_jesus.html"&gt;</v>
      </c>
      <c r="W77" s="1"/>
      <c r="X77" s="1"/>
      <c r="Y77" s="1"/>
    </row>
    <row r="78" spans="1:25" hidden="1" x14ac:dyDescent="0.3">
      <c r="A78" s="1">
        <f>ROW(CantoralDB[[#This Row],[Título]])-1</f>
        <v>77</v>
      </c>
      <c r="B78" s="1" t="s">
        <v>3727</v>
      </c>
      <c r="C78" s="1"/>
      <c r="F78" s="1">
        <v>386</v>
      </c>
      <c r="I78" s="1"/>
      <c r="L78" s="15" t="s">
        <v>3470</v>
      </c>
      <c r="M78" s="15"/>
      <c r="N78" s="15"/>
      <c r="O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alabad_a_yahve.html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78" s="15" t="str">
        <f>_xlfn.TEXTBEFORE(_xlfn.TEXTAFTER(CantoralDB[[#This Row],[index.html]],"&gt;"),"&gt;")&amp;"&gt;"</f>
        <v>&lt;a href="canciones/nuevas/alabad_a_yahve.html"&gt;</v>
      </c>
      <c r="W78" s="1"/>
      <c r="X78" s="1"/>
      <c r="Y78" s="1"/>
    </row>
    <row r="79" spans="1:25" hidden="1" x14ac:dyDescent="0.3">
      <c r="A79" s="1">
        <f>ROW(CantoralDB[[#This Row],[Título]])-1</f>
        <v>78</v>
      </c>
      <c r="B79" s="1" t="s">
        <v>1202</v>
      </c>
      <c r="C79" s="1"/>
      <c r="F79" s="1">
        <v>253</v>
      </c>
      <c r="I79" s="1"/>
      <c r="L79" s="15" t="s">
        <v>799</v>
      </c>
      <c r="M79" s="15"/>
      <c r="N79" s="15"/>
      <c r="O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79" s="15" t="str">
        <f>_xlfn.TEXTBEFORE(_xlfn.TEXTAFTER(CantoralDB[[#This Row],[index.html]],"&gt;"),"&gt;")&amp;"&gt;"</f>
        <v>&lt;a href="canciones/nuevas/alabad_al_señor_en_su_templo.html"&gt;</v>
      </c>
      <c r="W79" s="1"/>
      <c r="X79" s="1"/>
      <c r="Y79" s="1"/>
    </row>
    <row r="80" spans="1:25" hidden="1" x14ac:dyDescent="0.3">
      <c r="A80" s="1">
        <f>ROW(CantoralDB[[#This Row],[Título]])-1</f>
        <v>79</v>
      </c>
      <c r="B80" s="1" t="s">
        <v>1202</v>
      </c>
      <c r="C80" s="1"/>
      <c r="E80" s="1">
        <v>15</v>
      </c>
      <c r="I80" s="1"/>
      <c r="L80" s="15" t="s">
        <v>3315</v>
      </c>
      <c r="M80" s="15"/>
      <c r="N80" s="15"/>
      <c r="O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data-nold="15"&gt;&lt;a href="canciones/nsb/alabad_al_señor_en_su_templo.html"&gt;Alabad al Señor en su templo&lt;/a&gt;&lt;/li&gt;</v>
      </c>
      <c r="U80" s="15" t="str">
        <f>_xlfn.TEXTBEFORE(_xlfn.TEXTAFTER(CantoralDB[[#This Row],[index.html]],"&gt;"),"&gt;")&amp;"&gt;"</f>
        <v>&lt;a href="canciones/nsb/alabad_al_señor_en_su_templo.html"&gt;</v>
      </c>
      <c r="W80" s="1"/>
      <c r="X80" s="1"/>
      <c r="Y80" s="1"/>
    </row>
    <row r="81" spans="1:25" hidden="1" x14ac:dyDescent="0.3">
      <c r="A81" s="1">
        <f>ROW(CantoralDB[[#This Row],[Título]])-1</f>
        <v>80</v>
      </c>
      <c r="B81" s="1" t="s">
        <v>2085</v>
      </c>
      <c r="C81" s="1"/>
      <c r="I81" s="1" t="s">
        <v>612</v>
      </c>
      <c r="L81" s="15" t="s">
        <v>481</v>
      </c>
      <c r="M81" s="15" t="s">
        <v>1979</v>
      </c>
      <c r="N81" s="15">
        <v>5</v>
      </c>
      <c r="O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alabad_al_señor_por_su_inmensa_grandeza.html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81" s="15" t="str">
        <f>_xlfn.TEXTBEFORE(_xlfn.TEXTAFTER(CantoralDB[[#This Row],[index.html]],"&gt;"),"&gt;")&amp;"&gt;"</f>
        <v>&lt;a href="canciones/francisco_palazon/alabad_al_señor_por_su_inmensa_grandeza.html"&gt;</v>
      </c>
      <c r="W81" s="1"/>
      <c r="X81" s="1"/>
      <c r="Y81" s="1"/>
    </row>
    <row r="82" spans="1:25" hidden="1" x14ac:dyDescent="0.3">
      <c r="A82" s="1">
        <f>ROW(CantoralDB[[#This Row],[Título]])-1</f>
        <v>81</v>
      </c>
      <c r="B82" s="1" t="s">
        <v>3793</v>
      </c>
      <c r="C82" s="1"/>
      <c r="F82" s="1">
        <v>438</v>
      </c>
      <c r="I82" s="1"/>
      <c r="L82" s="15" t="s">
        <v>594</v>
      </c>
      <c r="M82" s="15"/>
      <c r="N82" s="15"/>
      <c r="O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alabad_al_señor_todas_las_naciones.html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82" s="15" t="str">
        <f>_xlfn.TEXTBEFORE(_xlfn.TEXTAFTER(CantoralDB[[#This Row],[index.html]],"&gt;"),"&gt;")&amp;"&gt;"</f>
        <v>&lt;a href="canciones/alejandro_ruiz/alabad_al_señor_todas_las_naciones.html"&gt;</v>
      </c>
      <c r="W82" s="1"/>
      <c r="X82" s="1"/>
      <c r="Y82" s="1"/>
    </row>
    <row r="83" spans="1:25" hidden="1" x14ac:dyDescent="0.3">
      <c r="A83" s="1">
        <f>ROW(CantoralDB[[#This Row],[Título]])-1</f>
        <v>82</v>
      </c>
      <c r="B83" s="1" t="s">
        <v>3148</v>
      </c>
      <c r="C83" s="1"/>
      <c r="I83" s="1" t="s">
        <v>612</v>
      </c>
      <c r="L83" s="15" t="s">
        <v>481</v>
      </c>
      <c r="M83" s="15" t="s">
        <v>1974</v>
      </c>
      <c r="N83" s="15">
        <v>10</v>
      </c>
      <c r="O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alabad_siervos_de_dios.html</v>
      </c>
      <c r="R83" s="1" t="s">
        <v>3137</v>
      </c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83" s="15" t="str">
        <f>_xlfn.TEXTBEFORE(_xlfn.TEXTAFTER(CantoralDB[[#This Row],[index.html]],"&gt;"),"&gt;")&amp;"&gt;"</f>
        <v>&lt;a href="canciones/francisco_palazon/alabad_siervos_de_dios.html"&gt;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949</v>
      </c>
      <c r="C84" s="1" t="s">
        <v>1025</v>
      </c>
      <c r="D84" s="1" t="s">
        <v>1117</v>
      </c>
      <c r="H84" s="1" t="s">
        <v>1031</v>
      </c>
      <c r="I84" s="1" t="s">
        <v>612</v>
      </c>
      <c r="L84" s="15" t="s">
        <v>1991</v>
      </c>
      <c r="M84" s="15"/>
      <c r="N84" s="15"/>
      <c r="O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84" s="1"/>
      <c r="S84" s="1" t="s">
        <v>471</v>
      </c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84" s="15" t="str">
        <f>_xlfn.TEXTBEFORE(_xlfn.TEXTAFTER(CantoralDB[[#This Row],[index.html]],"&gt;"),"&gt;")&amp;"&gt;"</f>
        <v>&lt;a href="canciones/taize/wysławiajcie_pana.html"&gt;</v>
      </c>
      <c r="W84" s="1"/>
      <c r="X84" s="1"/>
      <c r="Y84" s="1"/>
    </row>
    <row r="85" spans="1:25" hidden="1" x14ac:dyDescent="0.3">
      <c r="A85" s="1">
        <f>ROW(CantoralDB[[#This Row],[Título]])-1</f>
        <v>84</v>
      </c>
      <c r="B85" s="1" t="s">
        <v>3624</v>
      </c>
      <c r="C85" s="1"/>
      <c r="F85" s="1">
        <v>291</v>
      </c>
      <c r="I85" s="1"/>
      <c r="L85" s="15" t="s">
        <v>543</v>
      </c>
      <c r="M85" s="15"/>
      <c r="N85" s="15"/>
      <c r="O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alabandote.html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85" s="15" t="str">
        <f>_xlfn.TEXTBEFORE(_xlfn.TEXTAFTER(CantoralDB[[#This Row],[index.html]],"&gt;"),"&gt;")&amp;"&gt;"</f>
        <v>&lt;a href="canciones/josep_asuncion/alabandote.html"&gt;</v>
      </c>
      <c r="W85" s="1"/>
      <c r="X85" s="1"/>
      <c r="Y85" s="1"/>
    </row>
    <row r="86" spans="1:25" hidden="1" x14ac:dyDescent="0.3">
      <c r="A86" s="1">
        <f>ROW(CantoralDB[[#This Row],[Título]])-1</f>
        <v>85</v>
      </c>
      <c r="B86" s="1" t="s">
        <v>3525</v>
      </c>
      <c r="C86" s="1"/>
      <c r="F86" s="1">
        <v>179</v>
      </c>
      <c r="I86" s="1"/>
      <c r="L86" s="15" t="s">
        <v>799</v>
      </c>
      <c r="M86" s="15"/>
      <c r="N86" s="15"/>
      <c r="O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alabare.html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href="canciones/nuevas/alabare.html"&gt;Alabaré&lt;/a&gt;&lt;/li&gt;</v>
      </c>
      <c r="U86" s="15" t="str">
        <f>_xlfn.TEXTBEFORE(_xlfn.TEXTAFTER(CantoralDB[[#This Row],[index.html]],"&gt;"),"&gt;")&amp;"&gt;"</f>
        <v>&lt;a href="canciones/nuevas/alabare.html"&gt;</v>
      </c>
      <c r="W86" s="1"/>
      <c r="X86" s="1"/>
      <c r="Y86" s="1"/>
    </row>
    <row r="87" spans="1:25" hidden="1" x14ac:dyDescent="0.3">
      <c r="A87" s="1">
        <f>ROW(CantoralDB[[#This Row],[Título]])-1</f>
        <v>86</v>
      </c>
      <c r="B87" s="1" t="s">
        <v>1934</v>
      </c>
      <c r="C87" s="1"/>
      <c r="I87" s="1" t="s">
        <v>612</v>
      </c>
      <c r="L87" s="15" t="s">
        <v>1804</v>
      </c>
      <c r="M87" s="15" t="s">
        <v>1952</v>
      </c>
      <c r="N87" s="15">
        <v>10</v>
      </c>
      <c r="O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alabarte.html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href="canciones/ruah/alabarte.html"&gt;Alabarte&lt;/a&gt;&lt;/li&gt;</v>
      </c>
      <c r="U87" s="15" t="str">
        <f>_xlfn.TEXTBEFORE(_xlfn.TEXTAFTER(CantoralDB[[#This Row],[index.html]],"&gt;"),"&gt;")&amp;"&gt;"</f>
        <v>&lt;a href="canciones/ruah/alabarte.html"&gt;</v>
      </c>
      <c r="W87" s="1"/>
      <c r="X87" s="1"/>
      <c r="Y87" s="1"/>
    </row>
    <row r="88" spans="1:25" hidden="1" x14ac:dyDescent="0.3">
      <c r="A88" s="1">
        <f>ROW(CantoralDB[[#This Row],[Título]])-1</f>
        <v>87</v>
      </c>
      <c r="B88" s="1" t="s">
        <v>1912</v>
      </c>
      <c r="C88" s="1"/>
      <c r="I88" s="1" t="s">
        <v>612</v>
      </c>
      <c r="L88" s="15" t="s">
        <v>1804</v>
      </c>
      <c r="M88" s="15" t="s">
        <v>1950</v>
      </c>
      <c r="N88" s="15">
        <v>9</v>
      </c>
      <c r="O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alegraos.html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href="canciones/ruah/alegraos.html"&gt;Alegraos&lt;/a&gt;&lt;/li&gt;</v>
      </c>
      <c r="U88" s="15" t="str">
        <f>_xlfn.TEXTBEFORE(_xlfn.TEXTAFTER(CantoralDB[[#This Row],[index.html]],"&gt;"),"&gt;")&amp;"&gt;"</f>
        <v>&lt;a href="canciones/ruah/alegraos.html"&gt;</v>
      </c>
      <c r="W88" s="1"/>
      <c r="X88" s="1"/>
      <c r="Y88" s="1"/>
    </row>
    <row r="89" spans="1:25" hidden="1" x14ac:dyDescent="0.3">
      <c r="A89" s="1">
        <f>ROW(CantoralDB[[#This Row],[Título]])-1</f>
        <v>88</v>
      </c>
      <c r="B89" s="1" t="s">
        <v>1548</v>
      </c>
      <c r="C89" s="1"/>
      <c r="F89" s="1">
        <v>87</v>
      </c>
      <c r="I89" s="1"/>
      <c r="L89" s="15" t="s">
        <v>3426</v>
      </c>
      <c r="M89" s="15"/>
      <c r="N89" s="15"/>
      <c r="O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89" s="15" t="str">
        <f>_xlfn.TEXTBEFORE(_xlfn.TEXTAFTER(CantoralDB[[#This Row],[index.html]],"&gt;"),"&gt;")&amp;"&gt;"</f>
        <v>&lt;a href="canciones/nuevas/alegrate.html"&gt;</v>
      </c>
      <c r="W89" s="1"/>
      <c r="X89" s="1"/>
      <c r="Y89" s="1"/>
    </row>
    <row r="90" spans="1:25" hidden="1" x14ac:dyDescent="0.3">
      <c r="A90" s="1">
        <f>ROW(CantoralDB[[#This Row],[Título]])-1</f>
        <v>89</v>
      </c>
      <c r="B90" s="1" t="s">
        <v>1548</v>
      </c>
      <c r="C90" s="1"/>
      <c r="F90" s="1">
        <v>9</v>
      </c>
      <c r="I90" s="1"/>
      <c r="L90" s="15" t="s">
        <v>490</v>
      </c>
      <c r="M90" s="15"/>
      <c r="N90" s="15"/>
      <c r="O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href="canciones/nuevas/alegrate.html"&gt;Alégrate&lt;/a&gt;&lt;/li&gt;</v>
      </c>
      <c r="U90" s="15" t="str">
        <f>_xlfn.TEXTBEFORE(_xlfn.TEXTAFTER(CantoralDB[[#This Row],[index.html]],"&gt;"),"&gt;")&amp;"&gt;"</f>
        <v>&lt;a href="canciones/nuevas/alegrate.html"&gt;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922</v>
      </c>
      <c r="C91" s="1" t="s">
        <v>1025</v>
      </c>
      <c r="D91" s="1" t="s">
        <v>1118</v>
      </c>
      <c r="H91" s="1" t="s">
        <v>473</v>
      </c>
      <c r="I91" s="1" t="s">
        <v>612</v>
      </c>
      <c r="L91" s="15" t="s">
        <v>1991</v>
      </c>
      <c r="M91" s="15"/>
      <c r="N91" s="15"/>
      <c r="O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91" s="1" t="s">
        <v>975</v>
      </c>
      <c r="S91" s="1" t="s">
        <v>380</v>
      </c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91" s="15" t="str">
        <f>_xlfn.TEXTBEFORE(_xlfn.TEXTAFTER(CantoralDB[[#This Row],[index.html]],"&gt;"),"&gt;")&amp;"&gt;"</f>
        <v>&lt;a href="canciones/taize/jubelt_und_freut_euch.html"&gt;</v>
      </c>
      <c r="W91" s="1"/>
      <c r="X91" s="1"/>
      <c r="Y91" s="1"/>
    </row>
    <row r="92" spans="1:25" hidden="1" x14ac:dyDescent="0.3">
      <c r="A92" s="1">
        <f>ROW(CantoralDB[[#This Row],[Título]])-1</f>
        <v>91</v>
      </c>
      <c r="B92" s="1" t="s">
        <v>2082</v>
      </c>
      <c r="C92" s="1"/>
      <c r="I92" s="1" t="s">
        <v>612</v>
      </c>
      <c r="L92" s="15" t="s">
        <v>481</v>
      </c>
      <c r="M92" s="15" t="s">
        <v>1979</v>
      </c>
      <c r="N92" s="15">
        <v>2</v>
      </c>
      <c r="O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alegrate_y_goza_jerusalen.html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92" s="15" t="str">
        <f>_xlfn.TEXTBEFORE(_xlfn.TEXTAFTER(CantoralDB[[#This Row],[index.html]],"&gt;"),"&gt;")&amp;"&gt;"</f>
        <v>&lt;a href="canciones/francisco_palazon/alegrate_y_goza_jerusalen.html"&gt;</v>
      </c>
      <c r="W92" s="1"/>
      <c r="X92" s="1"/>
      <c r="Y92" s="1"/>
    </row>
    <row r="93" spans="1:25" hidden="1" x14ac:dyDescent="0.3">
      <c r="A93" s="1">
        <f>ROW(CantoralDB[[#This Row],[Título]])-1</f>
        <v>92</v>
      </c>
      <c r="B93" s="1" t="s">
        <v>3213</v>
      </c>
      <c r="C93" s="1"/>
      <c r="I93" s="1"/>
      <c r="L93" s="15" t="s">
        <v>3160</v>
      </c>
      <c r="M93" s="15" t="s">
        <v>3190</v>
      </c>
      <c r="N93" s="15">
        <v>13</v>
      </c>
      <c r="O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alegrate_maria.html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href="canciones/hermana_glenda/alegrate_maria.html"&gt;Alégrate, María&lt;/a&gt;&lt;/li&gt;</v>
      </c>
      <c r="U93" s="15" t="str">
        <f>_xlfn.TEXTBEFORE(_xlfn.TEXTAFTER(CantoralDB[[#This Row],[index.html]],"&gt;"),"&gt;")&amp;"&gt;"</f>
        <v>&lt;a href="canciones/hermana_glenda/alegrate_maria.html"&gt;</v>
      </c>
      <c r="W93" s="1"/>
      <c r="X93" s="1"/>
      <c r="Y93" s="1"/>
    </row>
    <row r="94" spans="1:25" hidden="1" x14ac:dyDescent="0.3">
      <c r="A94" s="1">
        <f>ROW(CantoralDB[[#This Row],[Título]])-1</f>
        <v>93</v>
      </c>
      <c r="B94" s="1" t="s">
        <v>11</v>
      </c>
      <c r="C94" s="1" t="s">
        <v>191</v>
      </c>
      <c r="D94" s="1" t="s">
        <v>1410</v>
      </c>
      <c r="E94" s="1">
        <v>16</v>
      </c>
      <c r="F94" s="1">
        <v>301</v>
      </c>
      <c r="G94" s="1" t="s">
        <v>209</v>
      </c>
      <c r="H94" s="1" t="s">
        <v>1031</v>
      </c>
      <c r="I94" s="1" t="s">
        <v>612</v>
      </c>
      <c r="L94" s="15" t="s">
        <v>491</v>
      </c>
      <c r="M94" s="15"/>
      <c r="N94" s="15"/>
      <c r="O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alegre_la_mañana.html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94" s="15" t="str">
        <f>_xlfn.TEXTBEFORE(_xlfn.TEXTAFTER(CantoralDB[[#This Row],[index.html]],"&gt;"),"&gt;")&amp;"&gt;"</f>
        <v>&lt;a href="canciones/juan_antonio_espinosa/alegre_la_mañana.html"&gt;</v>
      </c>
      <c r="W94" s="1"/>
      <c r="X94" s="1"/>
      <c r="Y94" s="1"/>
    </row>
    <row r="95" spans="1:25" hidden="1" x14ac:dyDescent="0.3">
      <c r="A95" s="1">
        <f>ROW(CantoralDB[[#This Row],[Título]])-1</f>
        <v>94</v>
      </c>
      <c r="B95" s="1" t="s">
        <v>12</v>
      </c>
      <c r="C95" s="1" t="s">
        <v>191</v>
      </c>
      <c r="D95" s="1" t="s">
        <v>1411</v>
      </c>
      <c r="E95" s="1">
        <v>10</v>
      </c>
      <c r="G95" s="1" t="s">
        <v>209</v>
      </c>
      <c r="H95" s="1" t="s">
        <v>532</v>
      </c>
      <c r="I95" s="1" t="s">
        <v>612</v>
      </c>
      <c r="L95" s="15" t="s">
        <v>2205</v>
      </c>
      <c r="M95" s="15"/>
      <c r="N95" s="15"/>
      <c r="O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alegremonos_hermanos.html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5" s="15" t="str">
        <f>_xlfn.TEXTBEFORE(_xlfn.TEXTAFTER(CantoralDB[[#This Row],[index.html]],"&gt;"),"&gt;")&amp;"&gt;"</f>
        <v>&lt;a href="canciones/nsb/alegremonos_hermanos.html"&gt;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918</v>
      </c>
      <c r="C96" s="1" t="s">
        <v>1025</v>
      </c>
      <c r="D96" s="1" t="s">
        <v>1119</v>
      </c>
      <c r="H96" s="1" t="s">
        <v>1041</v>
      </c>
      <c r="I96" s="1" t="s">
        <v>612</v>
      </c>
      <c r="L96" s="15" t="s">
        <v>1991</v>
      </c>
      <c r="M96" s="15"/>
      <c r="N96" s="15"/>
      <c r="O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96" s="1"/>
      <c r="S96" s="1" t="s">
        <v>371</v>
      </c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96" s="15" t="str">
        <f>_xlfn.TEXTBEFORE(_xlfn.TEXTAFTER(CantoralDB[[#This Row],[index.html]],"&gt;"),"&gt;")&amp;"&gt;"</f>
        <v>&lt;a href="canciones/taize/in_resurrectione_tua.html"&gt;</v>
      </c>
      <c r="W96" s="1"/>
      <c r="X96" s="1"/>
      <c r="Y96" s="1"/>
    </row>
    <row r="97" spans="1:25" hidden="1" x14ac:dyDescent="0.3">
      <c r="A97" s="1">
        <f>ROW(CantoralDB[[#This Row],[Título]])-1</f>
        <v>96</v>
      </c>
      <c r="B97" s="1" t="s">
        <v>3176</v>
      </c>
      <c r="C97" s="1"/>
      <c r="I97" s="1"/>
      <c r="L97" s="15" t="s">
        <v>3160</v>
      </c>
      <c r="M97" s="15" t="s">
        <v>3175</v>
      </c>
      <c r="N97" s="15">
        <v>2</v>
      </c>
      <c r="O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alegrense_en_el_señor.html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href="canciones/hermana_glenda/alegrense_en_el_señor.html"&gt;Alégrense en el Señor&lt;/a&gt;&lt;/li&gt;</v>
      </c>
      <c r="U97" s="15" t="str">
        <f>_xlfn.TEXTBEFORE(_xlfn.TEXTAFTER(CantoralDB[[#This Row],[index.html]],"&gt;"),"&gt;")&amp;"&gt;"</f>
        <v>&lt;a href="canciones/hermana_glenda/alegrense_en_el_señor.html"&gt;</v>
      </c>
      <c r="W97" s="1"/>
      <c r="X97" s="1"/>
      <c r="Y97" s="1"/>
    </row>
    <row r="98" spans="1:25" hidden="1" x14ac:dyDescent="0.3">
      <c r="A98" s="1">
        <f>ROW(CantoralDB[[#This Row],[Título]])-1</f>
        <v>97</v>
      </c>
      <c r="B98" s="1" t="s">
        <v>549</v>
      </c>
      <c r="C98" s="1" t="s">
        <v>476</v>
      </c>
      <c r="D98" s="1" t="s">
        <v>1412</v>
      </c>
      <c r="H98" s="1" t="s">
        <v>473</v>
      </c>
      <c r="I98" s="1" t="s">
        <v>612</v>
      </c>
      <c r="L98" s="15" t="s">
        <v>2200</v>
      </c>
      <c r="M98" s="15"/>
      <c r="N98" s="15"/>
      <c r="O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alegria_alegria_alegria.html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98" s="15" t="str">
        <f>_xlfn.TEXTBEFORE(_xlfn.TEXTAFTER(CantoralDB[[#This Row],[index.html]],"&gt;"),"&gt;")&amp;"&gt;"</f>
        <v>&lt;a href="canciones/villancicos/alegria_alegria_alegria.html"&gt;</v>
      </c>
      <c r="W98" s="1"/>
      <c r="X98" s="1"/>
      <c r="Y98" s="1"/>
    </row>
    <row r="99" spans="1:25" hidden="1" x14ac:dyDescent="0.3">
      <c r="A99" s="1">
        <f>ROW(CantoralDB[[#This Row],[Título]])-1</f>
        <v>98</v>
      </c>
      <c r="B99" s="1" t="s">
        <v>13</v>
      </c>
      <c r="C99" s="1" t="s">
        <v>194</v>
      </c>
      <c r="D99" s="1" t="s">
        <v>1413</v>
      </c>
      <c r="E99" s="1">
        <v>20</v>
      </c>
      <c r="F99" s="1">
        <v>293</v>
      </c>
      <c r="G99" s="1" t="s">
        <v>209</v>
      </c>
      <c r="H99" s="1" t="s">
        <v>532</v>
      </c>
      <c r="I99" s="1" t="s">
        <v>612</v>
      </c>
      <c r="L99" s="15" t="s">
        <v>483</v>
      </c>
      <c r="M99" s="15"/>
      <c r="N99" s="15"/>
      <c r="O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alelu-aleluya.html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99" s="15" t="str">
        <f>_xlfn.TEXTBEFORE(_xlfn.TEXTAFTER(CantoralDB[[#This Row],[index.html]],"&gt;"),"&gt;")&amp;"&gt;"</f>
        <v>&lt;a href="canciones/cesareo_gabarain/alelu-aleluya.html"&gt;</v>
      </c>
      <c r="W99" s="1"/>
      <c r="X99" s="1"/>
      <c r="Y99" s="1"/>
    </row>
    <row r="100" spans="1:25" hidden="1" x14ac:dyDescent="0.3">
      <c r="A100" s="1">
        <f>ROW(CantoralDB[[#This Row],[Título]])-1</f>
        <v>99</v>
      </c>
      <c r="B100" s="1" t="s">
        <v>194</v>
      </c>
      <c r="C100" s="1"/>
      <c r="I100" s="1" t="s">
        <v>612</v>
      </c>
      <c r="L100" s="15" t="s">
        <v>501</v>
      </c>
      <c r="M100" s="15" t="s">
        <v>1552</v>
      </c>
      <c r="N100" s="15">
        <v>1</v>
      </c>
      <c r="O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href="canciones/ain_karem/aleluya.html"&gt;Aleluya&lt;/a&gt;&lt;/li&gt;</v>
      </c>
      <c r="U100" s="15" t="str">
        <f>_xlfn.TEXTBEFORE(_xlfn.TEXTAFTER(CantoralDB[[#This Row],[index.html]],"&gt;"),"&gt;")&amp;"&gt;"</f>
        <v>&lt;a href="canciones/ain_karem/aleluya.html"&gt;</v>
      </c>
      <c r="W100" s="1"/>
      <c r="X100" s="1"/>
      <c r="Y100" s="1"/>
    </row>
    <row r="101" spans="1:25" hidden="1" x14ac:dyDescent="0.3">
      <c r="A101" s="1">
        <f>ROW(CantoralDB[[#This Row],[Título]])-1</f>
        <v>100</v>
      </c>
      <c r="B101" s="1" t="s">
        <v>194</v>
      </c>
      <c r="C101" s="1"/>
      <c r="F101" s="1">
        <v>146</v>
      </c>
      <c r="I101" s="1"/>
      <c r="L101" s="15" t="s">
        <v>3489</v>
      </c>
      <c r="M101" s="15"/>
      <c r="N101" s="15"/>
      <c r="O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Pablo Culebras"&gt;&lt;a href="canciones/nuevas/aleluya.html"&gt;Aleluya&lt;/a&gt;&lt;/li&gt;</v>
      </c>
      <c r="U101" s="15" t="str">
        <f>_xlfn.TEXTBEFORE(_xlfn.TEXTAFTER(CantoralDB[[#This Row],[index.html]],"&gt;"),"&gt;")&amp;"&gt;"</f>
        <v>&lt;a href="canciones/nuevas/aleluya.html"&gt;</v>
      </c>
      <c r="W101" s="1"/>
      <c r="X101" s="1"/>
      <c r="Y101" s="1"/>
    </row>
    <row r="102" spans="1:25" hidden="1" x14ac:dyDescent="0.3">
      <c r="A102" s="1">
        <f>ROW(CantoralDB[[#This Row],[Título]])-1</f>
        <v>101</v>
      </c>
      <c r="B102" s="1" t="s">
        <v>194</v>
      </c>
      <c r="C102" s="1"/>
      <c r="I102" s="1" t="s">
        <v>612</v>
      </c>
      <c r="L102" s="15" t="s">
        <v>484</v>
      </c>
      <c r="M102" s="15" t="s">
        <v>1537</v>
      </c>
      <c r="N102" s="15">
        <v>5</v>
      </c>
      <c r="O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href="canciones/kairoi/aleluya.html"&gt;Aleluya&lt;/a&gt;&lt;/li&gt;</v>
      </c>
      <c r="U102" s="15" t="str">
        <f>_xlfn.TEXTBEFORE(_xlfn.TEXTAFTER(CantoralDB[[#This Row],[index.html]],"&gt;"),"&gt;")&amp;"&gt;"</f>
        <v>&lt;a href="canciones/kairoi/aleluya.html"&gt;</v>
      </c>
      <c r="W102" s="1"/>
      <c r="X102" s="1"/>
      <c r="Y102" s="1"/>
    </row>
    <row r="103" spans="1:25" hidden="1" x14ac:dyDescent="0.3">
      <c r="A103" s="1">
        <f>ROW(CantoralDB[[#This Row],[Título]])-1</f>
        <v>102</v>
      </c>
      <c r="B103" s="1" t="s">
        <v>1052</v>
      </c>
      <c r="C103" s="1"/>
      <c r="H103" s="1" t="s">
        <v>1039</v>
      </c>
      <c r="I103" s="1" t="s">
        <v>612</v>
      </c>
      <c r="L103" s="15" t="s">
        <v>2209</v>
      </c>
      <c r="M103" s="15"/>
      <c r="N103" s="15"/>
      <c r="O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aleluya_(cohen).html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103" s="15" t="str">
        <f>_xlfn.TEXTBEFORE(_xlfn.TEXTAFTER(CantoralDB[[#This Row],[index.html]],"&gt;"),"&gt;")&amp;"&gt;"</f>
        <v>&lt;a href="canciones/nuevas/aleluya_(cohen).html"&gt;</v>
      </c>
      <c r="W103" s="1"/>
      <c r="X103" s="1"/>
      <c r="Y103" s="1"/>
    </row>
    <row r="104" spans="1:25" hidden="1" x14ac:dyDescent="0.3">
      <c r="A104" s="1">
        <f>ROW(CantoralDB[[#This Row],[Título]])-1</f>
        <v>103</v>
      </c>
      <c r="B104" s="1" t="s">
        <v>558</v>
      </c>
      <c r="C104" s="1" t="s">
        <v>194</v>
      </c>
      <c r="D104" s="1" t="s">
        <v>1414</v>
      </c>
      <c r="G104" s="1" t="s">
        <v>209</v>
      </c>
      <c r="H104" s="1" t="s">
        <v>1041</v>
      </c>
      <c r="I104" s="1" t="s">
        <v>612</v>
      </c>
      <c r="L104" s="15" t="s">
        <v>484</v>
      </c>
      <c r="M104" s="15" t="s">
        <v>1532</v>
      </c>
      <c r="N104" s="15">
        <v>8</v>
      </c>
      <c r="O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aleluya_(junto_a_ti_jesus).html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104" s="15" t="str">
        <f>_xlfn.TEXTBEFORE(_xlfn.TEXTAFTER(CantoralDB[[#This Row],[index.html]],"&gt;"),"&gt;")&amp;"&gt;"</f>
        <v>&lt;a href="canciones/kairoi/aleluya_(junto_a_ti_jesus).html"&gt;</v>
      </c>
      <c r="W104" s="1"/>
      <c r="X104" s="1"/>
      <c r="Y104" s="1"/>
    </row>
    <row r="105" spans="1:25" hidden="1" x14ac:dyDescent="0.3">
      <c r="A105" s="1">
        <f>ROW(CantoralDB[[#This Row],[Título]])-1</f>
        <v>104</v>
      </c>
      <c r="B105" s="1" t="s">
        <v>2100</v>
      </c>
      <c r="C105" s="1"/>
      <c r="I105" s="1" t="s">
        <v>612</v>
      </c>
      <c r="L105" s="15" t="s">
        <v>481</v>
      </c>
      <c r="M105" s="15" t="s">
        <v>2135</v>
      </c>
      <c r="N105" s="15">
        <v>4</v>
      </c>
      <c r="O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aleluya_(misa_coral).html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href="canciones/francisco_palazon/aleluya_(misa_coral).html"&gt;Aleluya (misa coral)&lt;/a&gt;&lt;/li&gt;</v>
      </c>
      <c r="U105" s="15" t="str">
        <f>_xlfn.TEXTBEFORE(_xlfn.TEXTAFTER(CantoralDB[[#This Row],[index.html]],"&gt;"),"&gt;")&amp;"&gt;"</f>
        <v>&lt;a href="canciones/francisco_palazon/aleluya_(misa_coral).html"&gt;</v>
      </c>
      <c r="W105" s="1"/>
      <c r="X105" s="1"/>
      <c r="Y105" s="1"/>
    </row>
    <row r="106" spans="1:25" hidden="1" x14ac:dyDescent="0.3">
      <c r="A106" s="1">
        <f>ROW(CantoralDB[[#This Row],[Título]])-1</f>
        <v>105</v>
      </c>
      <c r="B106" s="1" t="s">
        <v>14</v>
      </c>
      <c r="C106" s="1" t="s">
        <v>194</v>
      </c>
      <c r="D106" s="1" t="s">
        <v>1415</v>
      </c>
      <c r="E106" s="1">
        <v>403</v>
      </c>
      <c r="G106" s="1" t="s">
        <v>209</v>
      </c>
      <c r="H106" s="1" t="s">
        <v>1037</v>
      </c>
      <c r="I106" s="1" t="s">
        <v>612</v>
      </c>
      <c r="L106" s="15" t="s">
        <v>512</v>
      </c>
      <c r="M106" s="15"/>
      <c r="N106" s="15"/>
      <c r="O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aleluya_(santiago).html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106" s="15" t="str">
        <f>_xlfn.TEXTBEFORE(_xlfn.TEXTAFTER(CantoralDB[[#This Row],[index.html]],"&gt;"),"&gt;")&amp;"&gt;"</f>
        <v>&lt;a href="canciones/nsb/aleluya_(santiago).html"&gt;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879</v>
      </c>
      <c r="C107" s="1" t="s">
        <v>1025</v>
      </c>
      <c r="D107" s="1" t="s">
        <v>1120</v>
      </c>
      <c r="H107" s="1" t="s">
        <v>1078</v>
      </c>
      <c r="I107" s="1" t="s">
        <v>612</v>
      </c>
      <c r="L107" s="15" t="s">
        <v>1991</v>
      </c>
      <c r="M107" s="15"/>
      <c r="N107" s="15"/>
      <c r="O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07" s="1"/>
      <c r="S107" s="1" t="s">
        <v>297</v>
      </c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07" s="15" t="str">
        <f>_xlfn.TEXTBEFORE(_xlfn.TEXTAFTER(CantoralDB[[#This Row],[index.html]],"&gt;"),"&gt;")&amp;"&gt;"</f>
        <v>&lt;a href="canciones/taize/alleluia_11.html"&gt;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880</v>
      </c>
      <c r="C108" s="1" t="s">
        <v>1025</v>
      </c>
      <c r="D108" s="1" t="s">
        <v>1121</v>
      </c>
      <c r="H108" s="1" t="s">
        <v>1079</v>
      </c>
      <c r="I108" s="1" t="s">
        <v>612</v>
      </c>
      <c r="L108" s="15" t="s">
        <v>1991</v>
      </c>
      <c r="M108" s="15"/>
      <c r="N108" s="15"/>
      <c r="O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08" s="1"/>
      <c r="S108" s="1" t="s">
        <v>299</v>
      </c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08" s="15" t="str">
        <f>_xlfn.TEXTBEFORE(_xlfn.TEXTAFTER(CantoralDB[[#This Row],[index.html]],"&gt;"),"&gt;")&amp;"&gt;"</f>
        <v>&lt;a href="canciones/taize/alleluia_17.html"&gt;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881</v>
      </c>
      <c r="C109" s="1" t="s">
        <v>1025</v>
      </c>
      <c r="D109" s="1" t="s">
        <v>1122</v>
      </c>
      <c r="H109" s="1" t="s">
        <v>1032</v>
      </c>
      <c r="I109" s="1" t="s">
        <v>612</v>
      </c>
      <c r="L109" s="15" t="s">
        <v>1991</v>
      </c>
      <c r="M109" s="15"/>
      <c r="N109" s="15"/>
      <c r="O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09" s="1"/>
      <c r="S109" s="1" t="s">
        <v>303</v>
      </c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09" s="15" t="str">
        <f>_xlfn.TEXTBEFORE(_xlfn.TEXTAFTER(CantoralDB[[#This Row],[index.html]],"&gt;"),"&gt;")&amp;"&gt;"</f>
        <v>&lt;a href="canciones/taize/alleluia_22.html"&gt;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882</v>
      </c>
      <c r="C110" s="1" t="s">
        <v>1025</v>
      </c>
      <c r="D110" s="1" t="s">
        <v>1123</v>
      </c>
      <c r="H110" s="1" t="s">
        <v>1047</v>
      </c>
      <c r="I110" s="1" t="s">
        <v>612</v>
      </c>
      <c r="L110" s="15" t="s">
        <v>1991</v>
      </c>
      <c r="M110" s="15"/>
      <c r="N110" s="15"/>
      <c r="O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10" s="1"/>
      <c r="S110" s="1" t="s">
        <v>294</v>
      </c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10" s="15" t="str">
        <f>_xlfn.TEXTBEFORE(_xlfn.TEXTAFTER(CantoralDB[[#This Row],[index.html]],"&gt;"),"&gt;")&amp;"&gt;"</f>
        <v>&lt;a href="canciones/taize/alleluia_7.html"&gt;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883</v>
      </c>
      <c r="C111" s="1" t="s">
        <v>1025</v>
      </c>
      <c r="D111" s="1" t="s">
        <v>1124</v>
      </c>
      <c r="H111" s="1" t="s">
        <v>1080</v>
      </c>
      <c r="I111" s="1" t="s">
        <v>612</v>
      </c>
      <c r="L111" s="15" t="s">
        <v>1991</v>
      </c>
      <c r="M111" s="15"/>
      <c r="N111" s="15"/>
      <c r="O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11" s="1"/>
      <c r="S111" s="1" t="s">
        <v>790</v>
      </c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11" s="15" t="str">
        <f>_xlfn.TEXTBEFORE(_xlfn.TEXTAFTER(CantoralDB[[#This Row],[index.html]],"&gt;"),"&gt;")&amp;"&gt;"</f>
        <v>&lt;a href="canciones/taize/alleluia_94.html"&gt;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884</v>
      </c>
      <c r="C112" s="1" t="s">
        <v>1025</v>
      </c>
      <c r="D112" s="1" t="s">
        <v>1125</v>
      </c>
      <c r="H112" s="1" t="s">
        <v>533</v>
      </c>
      <c r="I112" s="1" t="s">
        <v>612</v>
      </c>
      <c r="L112" s="15" t="s">
        <v>1991</v>
      </c>
      <c r="M112" s="15"/>
      <c r="N112" s="15"/>
      <c r="O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12" s="1"/>
      <c r="S112" s="1" t="s">
        <v>791</v>
      </c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12" s="15" t="str">
        <f>_xlfn.TEXTBEFORE(_xlfn.TEXTAFTER(CantoralDB[[#This Row],[index.html]],"&gt;"),"&gt;")&amp;"&gt;"</f>
        <v>&lt;a href="canciones/taize/alleluia_96.html"&gt;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885</v>
      </c>
      <c r="C113" s="1" t="s">
        <v>1025</v>
      </c>
      <c r="D113" s="1" t="s">
        <v>1126</v>
      </c>
      <c r="H113" s="1" t="s">
        <v>1065</v>
      </c>
      <c r="I113" s="1" t="s">
        <v>612</v>
      </c>
      <c r="L113" s="15" t="s">
        <v>1991</v>
      </c>
      <c r="M113" s="15"/>
      <c r="N113" s="15"/>
      <c r="O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13" s="1"/>
      <c r="S113" s="1" t="s">
        <v>792</v>
      </c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13" s="15" t="str">
        <f>_xlfn.TEXTBEFORE(_xlfn.TEXTAFTER(CantoralDB[[#This Row],[index.html]],"&gt;"),"&gt;")&amp;"&gt;"</f>
        <v>&lt;a href="canciones/taize/alleluia_97.html"&gt;</v>
      </c>
      <c r="W113" s="1"/>
      <c r="X113" s="1"/>
      <c r="Y113" s="1"/>
    </row>
    <row r="114" spans="1:25" hidden="1" x14ac:dyDescent="0.3">
      <c r="A114" s="1">
        <f>ROW(CantoralDB[[#This Row],[Título]])-1</f>
        <v>113</v>
      </c>
      <c r="B114" s="1" t="s">
        <v>15</v>
      </c>
      <c r="C114" s="1" t="s">
        <v>194</v>
      </c>
      <c r="D114" s="1" t="s">
        <v>1416</v>
      </c>
      <c r="E114" s="1">
        <v>405</v>
      </c>
      <c r="G114" s="1" t="s">
        <v>209</v>
      </c>
      <c r="H114" s="1" t="s">
        <v>1039</v>
      </c>
      <c r="I114" s="1" t="s">
        <v>612</v>
      </c>
      <c r="L114" s="15" t="s">
        <v>499</v>
      </c>
      <c r="M114" s="15"/>
      <c r="N114" s="15"/>
      <c r="O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aleluya_cantara.html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14" s="15" t="str">
        <f>_xlfn.TEXTBEFORE(_xlfn.TEXTAFTER(CantoralDB[[#This Row],[index.html]],"&gt;"),"&gt;")&amp;"&gt;"</f>
        <v>&lt;a href="canciones/brotes_de_olivo/aleluya_cantara.html"&gt;</v>
      </c>
      <c r="W114" s="1"/>
      <c r="X114" s="1"/>
      <c r="Y114" s="1"/>
    </row>
    <row r="115" spans="1:25" hidden="1" x14ac:dyDescent="0.3">
      <c r="A115" s="1">
        <f>ROW(CantoralDB[[#This Row],[Título]])-1</f>
        <v>114</v>
      </c>
      <c r="B115" s="1" t="s">
        <v>993</v>
      </c>
      <c r="C115" s="1" t="s">
        <v>194</v>
      </c>
      <c r="D115" s="1" t="s">
        <v>1417</v>
      </c>
      <c r="G115" s="1" t="s">
        <v>995</v>
      </c>
      <c r="H115" s="1" t="s">
        <v>1037</v>
      </c>
      <c r="I115" s="1" t="s">
        <v>612</v>
      </c>
      <c r="L115" s="15" t="s">
        <v>799</v>
      </c>
      <c r="M115" s="15"/>
      <c r="N115" s="15"/>
      <c r="O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aleluya_de_adviento.html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115" s="15" t="str">
        <f>_xlfn.TEXTBEFORE(_xlfn.TEXTAFTER(CantoralDB[[#This Row],[index.html]],"&gt;"),"&gt;")&amp;"&gt;"</f>
        <v>&lt;a href="canciones/nsb/aleluya_de_adviento.html"&gt;</v>
      </c>
      <c r="W115" s="1"/>
      <c r="X115" s="1"/>
      <c r="Y115" s="1"/>
    </row>
    <row r="116" spans="1:25" hidden="1" x14ac:dyDescent="0.3">
      <c r="A116" s="1">
        <f>ROW(CantoralDB[[#This Row],[Título]])-1</f>
        <v>115</v>
      </c>
      <c r="B116" s="1" t="s">
        <v>1903</v>
      </c>
      <c r="C116" s="1"/>
      <c r="I116" s="1" t="s">
        <v>612</v>
      </c>
      <c r="L116" s="15" t="s">
        <v>482</v>
      </c>
      <c r="M116" s="15" t="s">
        <v>1893</v>
      </c>
      <c r="N116" s="15">
        <v>5</v>
      </c>
      <c r="O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16" s="15" t="str">
        <f>_xlfn.TEXTBEFORE(_xlfn.TEXTAFTER(CantoralDB[[#This Row],[index.html]],"&gt;"),"&gt;")&amp;"&gt;"</f>
        <v>&lt;a href="canciones/toño_casado/aleluya_i.html"&gt;</v>
      </c>
      <c r="W116" s="1"/>
      <c r="X116" s="1"/>
      <c r="Y116" s="1"/>
    </row>
    <row r="117" spans="1:25" hidden="1" x14ac:dyDescent="0.3">
      <c r="A117" s="1">
        <f>ROW(CantoralDB[[#This Row],[Título]])-1</f>
        <v>116</v>
      </c>
      <c r="B117" s="1" t="s">
        <v>1904</v>
      </c>
      <c r="C117" s="1"/>
      <c r="I117" s="1" t="s">
        <v>612</v>
      </c>
      <c r="L117" s="15" t="s">
        <v>482</v>
      </c>
      <c r="M117" s="15" t="s">
        <v>1899</v>
      </c>
      <c r="N117" s="15">
        <v>5</v>
      </c>
      <c r="O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aleluya_ii.html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17" s="15" t="str">
        <f>_xlfn.TEXTBEFORE(_xlfn.TEXTAFTER(CantoralDB[[#This Row],[index.html]],"&gt;"),"&gt;")&amp;"&gt;"</f>
        <v>&lt;a href="canciones/toño_casado/aleluya_ii.html"&gt;</v>
      </c>
      <c r="W117" s="1"/>
      <c r="X117" s="1"/>
      <c r="Y117" s="1"/>
    </row>
    <row r="118" spans="1:25" hidden="1" x14ac:dyDescent="0.3">
      <c r="A118" s="1">
        <f>ROW(CantoralDB[[#This Row],[Título]])-1</f>
        <v>117</v>
      </c>
      <c r="B118" s="1" t="s">
        <v>16</v>
      </c>
      <c r="C118" s="1" t="s">
        <v>194</v>
      </c>
      <c r="D118" s="1" t="s">
        <v>1418</v>
      </c>
      <c r="E118" s="1">
        <v>406</v>
      </c>
      <c r="G118" s="1" t="s">
        <v>209</v>
      </c>
      <c r="H118" s="1" t="s">
        <v>532</v>
      </c>
      <c r="I118" s="1" t="s">
        <v>612</v>
      </c>
      <c r="L118" s="15" t="s">
        <v>515</v>
      </c>
      <c r="M118" s="15"/>
      <c r="N118" s="15"/>
      <c r="O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aleluya_por_esa_gente.html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118" s="15" t="str">
        <f>_xlfn.TEXTBEFORE(_xlfn.TEXTAFTER(CantoralDB[[#This Row],[index.html]],"&gt;"),"&gt;")&amp;"&gt;"</f>
        <v>&lt;a href="canciones/nsb/aleluya_por_esa_gente.html"&gt;</v>
      </c>
      <c r="W118" s="1"/>
      <c r="X118" s="1"/>
      <c r="Y118" s="1"/>
    </row>
    <row r="119" spans="1:25" hidden="1" x14ac:dyDescent="0.3">
      <c r="A119" s="1">
        <f>ROW(CantoralDB[[#This Row],[Título]])-1</f>
        <v>118</v>
      </c>
      <c r="B119" s="1" t="s">
        <v>3403</v>
      </c>
      <c r="C119" s="1"/>
      <c r="F119" s="1">
        <v>64</v>
      </c>
      <c r="I119" s="1"/>
      <c r="L119" s="15" t="s">
        <v>799</v>
      </c>
      <c r="M119" s="15"/>
      <c r="N119" s="15"/>
      <c r="O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aleluya_alabad_a_dios.html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href="canciones/nuevas/aleluya_alabad_a_dios.html"&gt;Aleluya, alabad a Dios&lt;/a&gt;&lt;/li&gt;</v>
      </c>
      <c r="U119" s="15" t="str">
        <f>_xlfn.TEXTBEFORE(_xlfn.TEXTAFTER(CantoralDB[[#This Row],[index.html]],"&gt;"),"&gt;")&amp;"&gt;"</f>
        <v>&lt;a href="canciones/nuevas/aleluya_alabad_a_dios.html"&gt;</v>
      </c>
      <c r="W119" s="1"/>
      <c r="X119" s="1"/>
      <c r="Y119" s="1"/>
    </row>
    <row r="120" spans="1:25" hidden="1" x14ac:dyDescent="0.3">
      <c r="A120" s="1">
        <f>ROW(CantoralDB[[#This Row],[Título]])-1</f>
        <v>119</v>
      </c>
      <c r="B120" s="1" t="s">
        <v>2084</v>
      </c>
      <c r="C120" s="1"/>
      <c r="I120" s="1" t="s">
        <v>612</v>
      </c>
      <c r="L120" s="15" t="s">
        <v>481</v>
      </c>
      <c r="M120" s="15" t="s">
        <v>1979</v>
      </c>
      <c r="N120" s="15">
        <v>4</v>
      </c>
      <c r="O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aleluya_aleluya_aleluya.html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120" s="15" t="str">
        <f>_xlfn.TEXTBEFORE(_xlfn.TEXTAFTER(CantoralDB[[#This Row],[index.html]],"&gt;"),"&gt;")&amp;"&gt;"</f>
        <v>&lt;a href="canciones/francisco_palazon/aleluya_aleluya_aleluya.html"&gt;</v>
      </c>
      <c r="W120" s="1"/>
      <c r="X120" s="1"/>
      <c r="Y120" s="1"/>
    </row>
    <row r="121" spans="1:25" hidden="1" x14ac:dyDescent="0.3">
      <c r="A121" s="1">
        <f>ROW(CantoralDB[[#This Row],[Título]])-1</f>
        <v>120</v>
      </c>
      <c r="B121" s="1" t="s">
        <v>17</v>
      </c>
      <c r="C121" s="1" t="s">
        <v>194</v>
      </c>
      <c r="D121" s="1" t="s">
        <v>1419</v>
      </c>
      <c r="G121" s="1" t="s">
        <v>209</v>
      </c>
      <c r="H121" s="1" t="s">
        <v>1033</v>
      </c>
      <c r="I121" s="1" t="s">
        <v>612</v>
      </c>
      <c r="L121" s="15" t="s">
        <v>483</v>
      </c>
      <c r="M121" s="15"/>
      <c r="N121" s="15"/>
      <c r="O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aleluya_creo_en_ti_señor.html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121" s="15" t="str">
        <f>_xlfn.TEXTBEFORE(_xlfn.TEXTAFTER(CantoralDB[[#This Row],[index.html]],"&gt;"),"&gt;")&amp;"&gt;"</f>
        <v>&lt;a href="canciones/cesareo_gabarain/aleluya_creo_en_ti_señor.html"&gt;</v>
      </c>
      <c r="W121" s="1"/>
      <c r="X121" s="1"/>
      <c r="Y121" s="1"/>
    </row>
    <row r="122" spans="1:25" hidden="1" x14ac:dyDescent="0.3">
      <c r="A122" s="1">
        <f>ROW(CantoralDB[[#This Row],[Título]])-1</f>
        <v>121</v>
      </c>
      <c r="B122" s="1" t="s">
        <v>3479</v>
      </c>
      <c r="C122" s="1"/>
      <c r="F122" s="1">
        <v>136</v>
      </c>
      <c r="I122" s="1"/>
      <c r="L122" s="15" t="s">
        <v>3480</v>
      </c>
      <c r="M122" s="15"/>
      <c r="N122" s="15"/>
      <c r="O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aleluya_cristo_vive.html</v>
      </c>
      <c r="R122" s="1"/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22" s="15" t="str">
        <f>_xlfn.TEXTBEFORE(_xlfn.TEXTAFTER(CantoralDB[[#This Row],[index.html]],"&gt;"),"&gt;")&amp;"&gt;"</f>
        <v>&lt;a href="canciones/nuevas/aleluya_cristo_vive.html"&gt;</v>
      </c>
      <c r="W122" s="1"/>
      <c r="X122" s="1"/>
      <c r="Y122" s="1"/>
    </row>
    <row r="123" spans="1:25" hidden="1" x14ac:dyDescent="0.3">
      <c r="A123" s="1">
        <f>ROW(CantoralDB[[#This Row],[Título]])-1</f>
        <v>122</v>
      </c>
      <c r="B123" s="1" t="s">
        <v>3509</v>
      </c>
      <c r="C123" s="1"/>
      <c r="F123" s="1">
        <v>164</v>
      </c>
      <c r="I123" s="1"/>
      <c r="L123" s="15" t="s">
        <v>3510</v>
      </c>
      <c r="M123" s="15"/>
      <c r="N123" s="15"/>
      <c r="O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aleluya_cristo_vivo_esta.html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23" s="15" t="str">
        <f>_xlfn.TEXTBEFORE(_xlfn.TEXTAFTER(CantoralDB[[#This Row],[index.html]],"&gt;"),"&gt;")&amp;"&gt;"</f>
        <v>&lt;a href="canciones/nuevas/aleluya_cristo_vivo_esta.html"&gt;</v>
      </c>
      <c r="W123" s="1"/>
      <c r="X123" s="1"/>
      <c r="Y123" s="1"/>
    </row>
    <row r="124" spans="1:25" hidden="1" x14ac:dyDescent="0.3">
      <c r="A124" s="1">
        <f>ROW(CantoralDB[[#This Row],[Título]])-1</f>
        <v>123</v>
      </c>
      <c r="B124" s="1" t="s">
        <v>3631</v>
      </c>
      <c r="C124" s="1"/>
      <c r="F124" s="1">
        <v>297</v>
      </c>
      <c r="I124" s="1" t="s">
        <v>612</v>
      </c>
      <c r="L124" s="15" t="s">
        <v>3632</v>
      </c>
      <c r="M124" s="15"/>
      <c r="N124" s="15"/>
      <c r="O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aleluya_demos_gracias.html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124" s="15" t="str">
        <f>_xlfn.TEXTBEFORE(_xlfn.TEXTAFTER(CantoralDB[[#This Row],[index.html]],"&gt;"),"&gt;")&amp;"&gt;"</f>
        <v>&lt;a href="canciones/nuevas/aleluya_demos_gracias.html"&gt;</v>
      </c>
      <c r="W124" s="1"/>
      <c r="X124" s="1"/>
      <c r="Y124" s="1"/>
    </row>
    <row r="125" spans="1:25" hidden="1" x14ac:dyDescent="0.3">
      <c r="A125" s="1">
        <f>ROW(CantoralDB[[#This Row],[Título]])-1</f>
        <v>124</v>
      </c>
      <c r="B125" s="1" t="s">
        <v>18</v>
      </c>
      <c r="C125" s="1" t="s">
        <v>194</v>
      </c>
      <c r="D125" s="1" t="s">
        <v>1420</v>
      </c>
      <c r="E125" s="1">
        <v>14</v>
      </c>
      <c r="G125" s="1" t="s">
        <v>209</v>
      </c>
      <c r="H125" s="1" t="s">
        <v>1035</v>
      </c>
      <c r="I125" s="1" t="s">
        <v>612</v>
      </c>
      <c r="L125" s="15" t="s">
        <v>487</v>
      </c>
      <c r="M125" s="15"/>
      <c r="N125" s="15"/>
      <c r="O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aleluya_el_señor_es_nuestro_rey.html</v>
      </c>
      <c r="R125" s="1" t="s">
        <v>805</v>
      </c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125" s="15" t="str">
        <f>_xlfn.TEXTBEFORE(_xlfn.TEXTAFTER(CantoralDB[[#This Row],[index.html]],"&gt;"),"&gt;")&amp;"&gt;"</f>
        <v>&lt;a href="canciones/miguel_manzano/aleluya_el_señor_es_nuestro_rey.html"&gt;</v>
      </c>
      <c r="W125" s="1"/>
      <c r="X125" s="1"/>
      <c r="Y125" s="1"/>
    </row>
    <row r="126" spans="1:25" hidden="1" x14ac:dyDescent="0.3">
      <c r="A126" s="1">
        <f>ROW(CantoralDB[[#This Row],[Título]])-1</f>
        <v>125</v>
      </c>
      <c r="B126" s="1" t="s">
        <v>3331</v>
      </c>
      <c r="C126" s="1"/>
      <c r="I126" s="1" t="s">
        <v>612</v>
      </c>
      <c r="L126" s="15" t="s">
        <v>499</v>
      </c>
      <c r="M126" s="15" t="s">
        <v>3316</v>
      </c>
      <c r="N126" s="15">
        <v>15</v>
      </c>
      <c r="O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aleluya_el_señor_resucito.html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26" s="15" t="str">
        <f>_xlfn.TEXTBEFORE(_xlfn.TEXTAFTER(CantoralDB[[#This Row],[index.html]],"&gt;"),"&gt;")&amp;"&gt;"</f>
        <v>&lt;a href="canciones/brotes_de_olivo/aleluya_el_señor_resucito.html"&gt;</v>
      </c>
      <c r="W126" s="1"/>
      <c r="X126" s="1"/>
      <c r="Y126" s="1"/>
    </row>
    <row r="127" spans="1:25" hidden="1" x14ac:dyDescent="0.3">
      <c r="A127" s="1">
        <f>ROW(CantoralDB[[#This Row],[Título]])-1</f>
        <v>126</v>
      </c>
      <c r="B127" s="1" t="s">
        <v>19</v>
      </c>
      <c r="C127" s="1" t="s">
        <v>194</v>
      </c>
      <c r="D127" s="1" t="s">
        <v>1421</v>
      </c>
      <c r="E127" s="1">
        <v>13</v>
      </c>
      <c r="G127" s="1" t="s">
        <v>209</v>
      </c>
      <c r="H127" s="1" t="s">
        <v>1031</v>
      </c>
      <c r="I127" s="1" t="s">
        <v>612</v>
      </c>
      <c r="L127" s="15" t="s">
        <v>479</v>
      </c>
      <c r="M127" s="15"/>
      <c r="N127" s="15"/>
      <c r="O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aleluya_es_la_fiesta_del_señor.html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27" s="15" t="str">
        <f>_xlfn.TEXTBEFORE(_xlfn.TEXTAFTER(CantoralDB[[#This Row],[index.html]],"&gt;"),"&gt;")&amp;"&gt;"</f>
        <v>&lt;a href="canciones/carmelo_erdozain/aleluya_es_la_fiesta_del_señor.html"&gt;</v>
      </c>
      <c r="W127" s="1"/>
      <c r="X127" s="1"/>
      <c r="Y127" s="1"/>
    </row>
    <row r="128" spans="1:25" hidden="1" x14ac:dyDescent="0.3">
      <c r="A128" s="1">
        <f>ROW(CantoralDB[[#This Row],[Título]])-1</f>
        <v>127</v>
      </c>
      <c r="B128" s="1" t="s">
        <v>231</v>
      </c>
      <c r="C128" s="1" t="s">
        <v>194</v>
      </c>
      <c r="D128" s="1" t="s">
        <v>651</v>
      </c>
      <c r="G128" s="1" t="s">
        <v>209</v>
      </c>
      <c r="H128" s="1" t="s">
        <v>1037</v>
      </c>
      <c r="I128" s="1" t="s">
        <v>612</v>
      </c>
      <c r="L128" s="15" t="s">
        <v>485</v>
      </c>
      <c r="M128" s="15"/>
      <c r="N128" s="15"/>
      <c r="O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aleluya_ha_nacido_el_salvador.html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128" s="15" t="str">
        <f>_xlfn.TEXTBEFORE(_xlfn.TEXTAFTER(CantoralDB[[#This Row],[index.html]],"&gt;"),"&gt;")&amp;"&gt;"</f>
        <v>&lt;a href="canciones/joaquin_madurga/aleluya_ha_nacido_el_salvador.html"&gt;</v>
      </c>
      <c r="W128" s="1"/>
      <c r="X128" s="1"/>
      <c r="Y128" s="1"/>
    </row>
    <row r="129" spans="1:25" hidden="1" x14ac:dyDescent="0.3">
      <c r="A129" s="1">
        <f>ROW(CantoralDB[[#This Row],[Título]])-1</f>
        <v>128</v>
      </c>
      <c r="B129" s="1" t="s">
        <v>3653</v>
      </c>
      <c r="C129" s="1"/>
      <c r="F129" s="1">
        <v>321</v>
      </c>
      <c r="I129" s="1"/>
      <c r="L129" s="15" t="s">
        <v>3654</v>
      </c>
      <c r="M129" s="15"/>
      <c r="N129" s="15"/>
      <c r="O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aleluya_jesus_es_el_señor.html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129" s="15" t="str">
        <f>_xlfn.TEXTBEFORE(_xlfn.TEXTAFTER(CantoralDB[[#This Row],[index.html]],"&gt;"),"&gt;")&amp;"&gt;"</f>
        <v>&lt;a href="canciones/nuevas/aleluya_jesus_es_el_señor.html"&gt;</v>
      </c>
      <c r="W129" s="1"/>
      <c r="X129" s="1"/>
      <c r="Y129" s="1"/>
    </row>
    <row r="130" spans="1:25" hidden="1" x14ac:dyDescent="0.3">
      <c r="A130" s="1">
        <f>ROW(CantoralDB[[#This Row],[Título]])-1</f>
        <v>129</v>
      </c>
      <c r="B130" s="1" t="s">
        <v>3369</v>
      </c>
      <c r="C130" s="1"/>
      <c r="F130" s="1">
        <v>35</v>
      </c>
      <c r="I130" s="1"/>
      <c r="L130" s="15" t="s">
        <v>3354</v>
      </c>
      <c r="M130" s="15"/>
      <c r="N130" s="15"/>
      <c r="O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aleluya_mirad_la_muerte.html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130" s="15" t="str">
        <f>_xlfn.TEXTBEFORE(_xlfn.TEXTAFTER(CantoralDB[[#This Row],[index.html]],"&gt;"),"&gt;")&amp;"&gt;"</f>
        <v>&lt;a href="canciones/lazaro_iparraguirre/aleluya_mirad_la_muerte.html"&gt;</v>
      </c>
      <c r="W130" s="1"/>
      <c r="X130" s="1"/>
      <c r="Y130" s="1"/>
    </row>
    <row r="131" spans="1:25" hidden="1" x14ac:dyDescent="0.3">
      <c r="A131" s="1">
        <f>ROW(CantoralDB[[#This Row],[Título]])-1</f>
        <v>130</v>
      </c>
      <c r="B131" s="1" t="s">
        <v>3081</v>
      </c>
      <c r="C131" s="15"/>
      <c r="F131" s="1">
        <v>315</v>
      </c>
      <c r="I131" s="1" t="s">
        <v>612</v>
      </c>
      <c r="L131" s="15" t="s">
        <v>3100</v>
      </c>
      <c r="M131" s="15"/>
      <c r="N131" s="15"/>
      <c r="O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aleluya_yo_creo_en_tu_amor.html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31" s="15" t="str">
        <f>_xlfn.TEXTBEFORE(_xlfn.TEXTAFTER(CantoralDB[[#This Row],[index.html]],"&gt;"),"&gt;")&amp;"&gt;"</f>
        <v>&lt;a href="canciones/nuevas/aleluya_yo_creo_en_tu_amor.html"&gt;</v>
      </c>
      <c r="W131" s="1"/>
      <c r="X131" s="1"/>
      <c r="Y131" s="1"/>
    </row>
    <row r="132" spans="1:25" hidden="1" x14ac:dyDescent="0.3">
      <c r="A132" s="1">
        <f>ROW(CantoralDB[[#This Row],[Título]])-1</f>
        <v>131</v>
      </c>
      <c r="B132" s="1" t="s">
        <v>3172</v>
      </c>
      <c r="C132" s="1"/>
      <c r="I132" s="1"/>
      <c r="L132" s="15" t="s">
        <v>3160</v>
      </c>
      <c r="M132" s="15" t="s">
        <v>3161</v>
      </c>
      <c r="N132" s="15">
        <v>12</v>
      </c>
      <c r="O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alfarero.html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href="canciones/hermana_glenda/alfarero.html"&gt;Alfarero&lt;/a&gt;&lt;/li&gt;</v>
      </c>
      <c r="U132" s="15" t="str">
        <f>_xlfn.TEXTBEFORE(_xlfn.TEXTAFTER(CantoralDB[[#This Row],[index.html]],"&gt;"),"&gt;")&amp;"&gt;"</f>
        <v>&lt;a href="canciones/hermana_glenda/alfarero.html"&gt;</v>
      </c>
      <c r="W132" s="1"/>
      <c r="X132" s="1"/>
      <c r="Y132" s="1"/>
    </row>
    <row r="133" spans="1:25" hidden="1" x14ac:dyDescent="0.3">
      <c r="A133" s="1">
        <f>ROW(CantoralDB[[#This Row],[Título]])-1</f>
        <v>132</v>
      </c>
      <c r="B133" s="1" t="s">
        <v>1729</v>
      </c>
      <c r="C133" s="1"/>
      <c r="I133" s="1"/>
      <c r="L133" s="15" t="s">
        <v>484</v>
      </c>
      <c r="M133" s="15" t="s">
        <v>1540</v>
      </c>
      <c r="N133" s="15">
        <v>6</v>
      </c>
      <c r="O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alfonsa_hermana_y_amiga.html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133" s="15" t="str">
        <f>_xlfn.TEXTBEFORE(_xlfn.TEXTAFTER(CantoralDB[[#This Row],[index.html]],"&gt;"),"&gt;")&amp;"&gt;"</f>
        <v>&lt;a href="canciones/kairoi/alfonsa_hermana_y_amiga.html"&gt;</v>
      </c>
      <c r="W133" s="1"/>
      <c r="X133" s="1"/>
      <c r="Y133" s="1"/>
    </row>
    <row r="134" spans="1:25" hidden="1" x14ac:dyDescent="0.3">
      <c r="A134" s="1">
        <f>ROW(CantoralDB[[#This Row],[Título]])-1</f>
        <v>133</v>
      </c>
      <c r="B134" s="1" t="s">
        <v>3082</v>
      </c>
      <c r="C134" s="15"/>
      <c r="I134" s="1" t="s">
        <v>612</v>
      </c>
      <c r="L134" s="15" t="s">
        <v>3101</v>
      </c>
      <c r="M134" s="15"/>
      <c r="N134" s="15"/>
      <c r="O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algo_esta_cayendo_aqui.html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34" s="15" t="str">
        <f>_xlfn.TEXTBEFORE(_xlfn.TEXTAFTER(CantoralDB[[#This Row],[index.html]],"&gt;"),"&gt;")&amp;"&gt;"</f>
        <v>&lt;a href="canciones/nuevas/algo_esta_cayendo_aqui.html"&gt;</v>
      </c>
      <c r="W134" s="1"/>
      <c r="X134" s="1"/>
      <c r="Y134" s="1"/>
    </row>
    <row r="135" spans="1:25" hidden="1" x14ac:dyDescent="0.3">
      <c r="A135" s="1">
        <f>ROW(CantoralDB[[#This Row],[Título]])-1</f>
        <v>134</v>
      </c>
      <c r="B135" s="1" t="s">
        <v>3565</v>
      </c>
      <c r="C135" s="1"/>
      <c r="F135" s="1">
        <v>223</v>
      </c>
      <c r="I135" s="1"/>
      <c r="L135" s="15" t="s">
        <v>799</v>
      </c>
      <c r="M135" s="15"/>
      <c r="N135" s="15"/>
      <c r="O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algo_esta_descendiendo.html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href="canciones/nuevas/algo_esta_descendiendo.html"&gt;Algo está descendiendo&lt;/a&gt;&lt;/li&gt;</v>
      </c>
      <c r="U135" s="15" t="str">
        <f>_xlfn.TEXTBEFORE(_xlfn.TEXTAFTER(CantoralDB[[#This Row],[index.html]],"&gt;"),"&gt;")&amp;"&gt;"</f>
        <v>&lt;a href="canciones/nuevas/algo_esta_descendiendo.html"&gt;</v>
      </c>
      <c r="W135" s="1"/>
      <c r="X135" s="1"/>
      <c r="Y135" s="1"/>
    </row>
    <row r="136" spans="1:25" hidden="1" x14ac:dyDescent="0.3">
      <c r="A136" s="1">
        <f>ROW(CantoralDB[[#This Row],[Título]])-1</f>
        <v>135</v>
      </c>
      <c r="B136" s="1" t="s">
        <v>589</v>
      </c>
      <c r="C136" s="1" t="s">
        <v>201</v>
      </c>
      <c r="D136" s="1" t="s">
        <v>1422</v>
      </c>
      <c r="G136" s="1" t="s">
        <v>570</v>
      </c>
      <c r="H136" s="1" t="s">
        <v>1046</v>
      </c>
      <c r="I136" s="1" t="s">
        <v>612</v>
      </c>
      <c r="L136" s="15" t="s">
        <v>570</v>
      </c>
      <c r="M136" s="15"/>
      <c r="N136" s="15"/>
      <c r="O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algo_nuevo.html</v>
      </c>
      <c r="R136" s="1" t="s">
        <v>806</v>
      </c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136" s="15" t="str">
        <f>_xlfn.TEXTBEFORE(_xlfn.TEXTAFTER(CantoralDB[[#This Row],[index.html]],"&gt;"),"&gt;")&amp;"&gt;"</f>
        <v>&lt;a href="canciones/nsb/algo_nuevo.html"&gt;</v>
      </c>
      <c r="W136" s="1"/>
      <c r="X136" s="1"/>
      <c r="Y136" s="1"/>
    </row>
    <row r="137" spans="1:25" hidden="1" x14ac:dyDescent="0.3">
      <c r="A137" s="1">
        <f>ROW(CantoralDB[[#This Row],[Título]])-1</f>
        <v>136</v>
      </c>
      <c r="B137" s="1" t="s">
        <v>3453</v>
      </c>
      <c r="C137" s="1"/>
      <c r="F137" s="1">
        <v>117</v>
      </c>
      <c r="I137" s="1"/>
      <c r="L137" s="15" t="s">
        <v>3454</v>
      </c>
      <c r="M137" s="15"/>
      <c r="N137" s="15"/>
      <c r="O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algo_nuevo_esta_naciendo.html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137" s="15" t="str">
        <f>_xlfn.TEXTBEFORE(_xlfn.TEXTAFTER(CantoralDB[[#This Row],[index.html]],"&gt;"),"&gt;")&amp;"&gt;"</f>
        <v>&lt;a href="canciones/nuevas/algo_nuevo_esta_naciendo.html"&gt;</v>
      </c>
      <c r="W137" s="1"/>
      <c r="X137" s="1"/>
      <c r="Y137" s="1"/>
    </row>
    <row r="138" spans="1:25" hidden="1" x14ac:dyDescent="0.3">
      <c r="A138" s="1">
        <f>ROW(CantoralDB[[#This Row],[Título]])-1</f>
        <v>137</v>
      </c>
      <c r="B138" s="1" t="s">
        <v>3439</v>
      </c>
      <c r="C138" s="1"/>
      <c r="F138" s="1">
        <v>100</v>
      </c>
      <c r="I138" s="1"/>
      <c r="L138" s="15" t="s">
        <v>3441</v>
      </c>
      <c r="M138" s="15"/>
      <c r="N138" s="15"/>
      <c r="O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alguien_cerca_esta_de_mi.html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38" s="15" t="str">
        <f>_xlfn.TEXTBEFORE(_xlfn.TEXTAFTER(CantoralDB[[#This Row],[index.html]],"&gt;"),"&gt;")&amp;"&gt;"</f>
        <v>&lt;a href="canciones/nuevas/alguien_cerca_esta_de_mi.html"&gt;</v>
      </c>
      <c r="W138" s="1"/>
      <c r="X138" s="1"/>
      <c r="Y138" s="1"/>
    </row>
    <row r="139" spans="1:25" hidden="1" x14ac:dyDescent="0.3">
      <c r="A139" s="1">
        <f>ROW(CantoralDB[[#This Row],[Título]])-1</f>
        <v>138</v>
      </c>
      <c r="B139" s="1" t="s">
        <v>3248</v>
      </c>
      <c r="C139" s="1"/>
      <c r="I139" s="1"/>
      <c r="L139" s="15" t="s">
        <v>3160</v>
      </c>
      <c r="M139" s="15" t="s">
        <v>3248</v>
      </c>
      <c r="N139" s="15">
        <v>1</v>
      </c>
      <c r="O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alguien_esta_orando_por_mi.html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href="canciones/hermana_glenda/alguien_esta_orando_por_mi.html"&gt;Alguien está orando por mí&lt;/a&gt;&lt;/li&gt;</v>
      </c>
      <c r="U139" s="15" t="str">
        <f>_xlfn.TEXTBEFORE(_xlfn.TEXTAFTER(CantoralDB[[#This Row],[index.html]],"&gt;"),"&gt;")&amp;"&gt;"</f>
        <v>&lt;a href="canciones/hermana_glenda/alguien_esta_orando_por_mi.html"&gt;</v>
      </c>
      <c r="W139" s="1"/>
      <c r="X139" s="1"/>
      <c r="Y139" s="1"/>
    </row>
    <row r="140" spans="1:25" hidden="1" x14ac:dyDescent="0.3">
      <c r="A140" s="1">
        <f>ROW(CantoralDB[[#This Row],[Título]])-1</f>
        <v>139</v>
      </c>
      <c r="B140" s="1" t="s">
        <v>1923</v>
      </c>
      <c r="C140" s="1"/>
      <c r="I140" s="1"/>
      <c r="L140" s="15" t="s">
        <v>3160</v>
      </c>
      <c r="M140" s="15" t="s">
        <v>3248</v>
      </c>
      <c r="N140" s="15">
        <v>10</v>
      </c>
      <c r="O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href="canciones/hermana_glenda/alianza.html"&gt;Alianza&lt;/a&gt;&lt;/li&gt;</v>
      </c>
      <c r="U140" s="15" t="str">
        <f>_xlfn.TEXTBEFORE(_xlfn.TEXTAFTER(CantoralDB[[#This Row],[index.html]],"&gt;"),"&gt;")&amp;"&gt;"</f>
        <v>&lt;a href="canciones/hermana_glenda/alianza.html"&gt;</v>
      </c>
      <c r="W140" s="1"/>
      <c r="X140" s="1"/>
      <c r="Y140" s="1"/>
    </row>
    <row r="141" spans="1:25" hidden="1" x14ac:dyDescent="0.3">
      <c r="A141" s="1">
        <f>ROW(CantoralDB[[#This Row],[Título]])-1</f>
        <v>140</v>
      </c>
      <c r="B141" s="1" t="s">
        <v>1923</v>
      </c>
      <c r="C141" s="1"/>
      <c r="I141" s="1" t="s">
        <v>612</v>
      </c>
      <c r="L141" s="15" t="s">
        <v>1804</v>
      </c>
      <c r="M141" s="15" t="s">
        <v>1951</v>
      </c>
      <c r="N141" s="15">
        <v>10</v>
      </c>
      <c r="O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href="canciones/ruah/alianza.html"&gt;Alianza&lt;/a&gt;&lt;/li&gt;</v>
      </c>
      <c r="U141" s="15" t="str">
        <f>_xlfn.TEXTBEFORE(_xlfn.TEXTAFTER(CantoralDB[[#This Row],[index.html]],"&gt;"),"&gt;")&amp;"&gt;"</f>
        <v>&lt;a href="canciones/ruah/alianza.html"&gt;</v>
      </c>
      <c r="W141" s="1"/>
      <c r="X141" s="1"/>
      <c r="Y141" s="1"/>
    </row>
    <row r="142" spans="1:25" hidden="1" x14ac:dyDescent="0.3">
      <c r="A142" s="1">
        <f>ROW(CantoralDB[[#This Row],[Título]])-1</f>
        <v>141</v>
      </c>
      <c r="B142" s="1" t="s">
        <v>3305</v>
      </c>
      <c r="C142" s="1"/>
      <c r="I142" s="1"/>
      <c r="L142" s="15" t="s">
        <v>3160</v>
      </c>
      <c r="M142" s="15" t="s">
        <v>3299</v>
      </c>
      <c r="N142" s="15">
        <v>16</v>
      </c>
      <c r="O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alianza_de_amor_entre_tu_y_yo.html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href="canciones/hermana_glenda/alianza_de_amor_entre_tu_y_yo.html"&gt;Alianza de amor entre tú y yo&lt;/a&gt;&lt;/li&gt;</v>
      </c>
      <c r="U142" s="15" t="str">
        <f>_xlfn.TEXTBEFORE(_xlfn.TEXTAFTER(CantoralDB[[#This Row],[index.html]],"&gt;"),"&gt;")&amp;"&gt;"</f>
        <v>&lt;a href="canciones/hermana_glenda/alianza_de_amor_entre_tu_y_yo.html"&gt;</v>
      </c>
      <c r="W142" s="1"/>
      <c r="X142" s="1"/>
      <c r="Y142" s="1"/>
    </row>
    <row r="143" spans="1:25" hidden="1" x14ac:dyDescent="0.3">
      <c r="A143" s="1">
        <f>ROW(CantoralDB[[#This Row],[Título]])-1</f>
        <v>142</v>
      </c>
      <c r="B143" s="1" t="s">
        <v>172</v>
      </c>
      <c r="C143" s="1" t="s">
        <v>195</v>
      </c>
      <c r="D143" s="1" t="s">
        <v>1423</v>
      </c>
      <c r="G143" s="1" t="s">
        <v>209</v>
      </c>
      <c r="H143" s="1" t="s">
        <v>1044</v>
      </c>
      <c r="I143" s="1" t="s">
        <v>612</v>
      </c>
      <c r="L143" s="15" t="s">
        <v>520</v>
      </c>
      <c r="M143" s="15"/>
      <c r="N143" s="15"/>
      <c r="O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alimento_de_amor_(el_loco).html</v>
      </c>
      <c r="R143" s="1"/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143" s="15" t="str">
        <f>_xlfn.TEXTBEFORE(_xlfn.TEXTAFTER(CantoralDB[[#This Row],[index.html]],"&gt;"),"&gt;")&amp;"&gt;"</f>
        <v>&lt;a href="canciones/nsb/alimento_de_amor_(el_loco).html"&gt;</v>
      </c>
      <c r="W143" s="1"/>
      <c r="X143" s="1"/>
      <c r="Y143" s="1"/>
    </row>
    <row r="144" spans="1:25" hidden="1" x14ac:dyDescent="0.3">
      <c r="A144" s="1">
        <f>ROW(CantoralDB[[#This Row],[Título]])-1</f>
        <v>143</v>
      </c>
      <c r="B144" s="1" t="s">
        <v>3317</v>
      </c>
      <c r="C144" s="1"/>
      <c r="I144" s="1" t="s">
        <v>612</v>
      </c>
      <c r="L144" s="15" t="s">
        <v>499</v>
      </c>
      <c r="M144" s="15" t="s">
        <v>3316</v>
      </c>
      <c r="N144" s="15">
        <v>1</v>
      </c>
      <c r="O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allanad_los_caminos.html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44" s="15" t="str">
        <f>_xlfn.TEXTBEFORE(_xlfn.TEXTAFTER(CantoralDB[[#This Row],[index.html]],"&gt;"),"&gt;")&amp;"&gt;"</f>
        <v>&lt;a href="canciones/brotes_de_olivo/allanad_los_caminos.html"&gt;</v>
      </c>
      <c r="W144" s="1"/>
      <c r="X144" s="1"/>
      <c r="Y144" s="1"/>
    </row>
    <row r="145" spans="1:25" hidden="1" x14ac:dyDescent="0.3">
      <c r="A145" s="1">
        <f>ROW(CantoralDB[[#This Row],[Título]])-1</f>
        <v>144</v>
      </c>
      <c r="B145" s="1" t="s">
        <v>297</v>
      </c>
      <c r="C145" s="1" t="s">
        <v>1026</v>
      </c>
      <c r="D145" s="1" t="s">
        <v>1120</v>
      </c>
      <c r="H145" s="1" t="s">
        <v>1078</v>
      </c>
      <c r="I145" s="1" t="s">
        <v>612</v>
      </c>
      <c r="L145" s="15" t="s">
        <v>2201</v>
      </c>
      <c r="M145" s="15"/>
      <c r="N145" s="15"/>
      <c r="O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45" s="15" t="str">
        <f>_xlfn.TEXTBEFORE(_xlfn.TEXTAFTER(CantoralDB[[#This Row],[index.html]],"&gt;"),"&gt;")&amp;"&gt;"</f>
        <v>&lt;a href="canciones/taize/alleluia_11.html"&gt;</v>
      </c>
      <c r="W145" s="1"/>
      <c r="X145" s="1"/>
      <c r="Y145" s="1"/>
    </row>
    <row r="146" spans="1:25" hidden="1" x14ac:dyDescent="0.3">
      <c r="A146" s="1">
        <f>ROW(CantoralDB[[#This Row],[Título]])-1</f>
        <v>145</v>
      </c>
      <c r="B146" s="1" t="s">
        <v>299</v>
      </c>
      <c r="C146" s="1" t="s">
        <v>1026</v>
      </c>
      <c r="D146" s="1" t="s">
        <v>1121</v>
      </c>
      <c r="H146" s="1" t="s">
        <v>1079</v>
      </c>
      <c r="I146" s="1" t="s">
        <v>612</v>
      </c>
      <c r="L146" s="15" t="s">
        <v>2201</v>
      </c>
      <c r="M146" s="15"/>
      <c r="N146" s="15"/>
      <c r="O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46" s="15" t="str">
        <f>_xlfn.TEXTBEFORE(_xlfn.TEXTAFTER(CantoralDB[[#This Row],[index.html]],"&gt;"),"&gt;")&amp;"&gt;"</f>
        <v>&lt;a href="canciones/taize/alleluia_17.html"&gt;</v>
      </c>
      <c r="W146" s="1"/>
      <c r="X146" s="1"/>
      <c r="Y146" s="1"/>
    </row>
    <row r="147" spans="1:25" hidden="1" x14ac:dyDescent="0.3">
      <c r="A147" s="1">
        <f>ROW(CantoralDB[[#This Row],[Título]])-1</f>
        <v>146</v>
      </c>
      <c r="B147" s="1" t="s">
        <v>303</v>
      </c>
      <c r="C147" s="1" t="s">
        <v>1026</v>
      </c>
      <c r="D147" s="1" t="s">
        <v>1122</v>
      </c>
      <c r="H147" s="1" t="s">
        <v>1032</v>
      </c>
      <c r="I147" s="1" t="s">
        <v>612</v>
      </c>
      <c r="L147" s="15" t="s">
        <v>2201</v>
      </c>
      <c r="M147" s="15"/>
      <c r="N147" s="15"/>
      <c r="O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47" s="15" t="str">
        <f>_xlfn.TEXTBEFORE(_xlfn.TEXTAFTER(CantoralDB[[#This Row],[index.html]],"&gt;"),"&gt;")&amp;"&gt;"</f>
        <v>&lt;a href="canciones/taize/alleluia_22.html"&gt;</v>
      </c>
      <c r="W147" s="1"/>
      <c r="X147" s="1"/>
      <c r="Y147" s="1"/>
    </row>
    <row r="148" spans="1:25" hidden="1" x14ac:dyDescent="0.3">
      <c r="A148" s="1">
        <f>ROW(CantoralDB[[#This Row],[Título]])-1</f>
        <v>147</v>
      </c>
      <c r="B148" s="1" t="s">
        <v>294</v>
      </c>
      <c r="C148" s="1" t="s">
        <v>1026</v>
      </c>
      <c r="D148" s="1" t="s">
        <v>1123</v>
      </c>
      <c r="H148" s="1" t="s">
        <v>1047</v>
      </c>
      <c r="I148" s="1" t="s">
        <v>612</v>
      </c>
      <c r="L148" s="15" t="s">
        <v>2201</v>
      </c>
      <c r="M148" s="15"/>
      <c r="N148" s="15"/>
      <c r="O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48" s="15" t="str">
        <f>_xlfn.TEXTBEFORE(_xlfn.TEXTAFTER(CantoralDB[[#This Row],[index.html]],"&gt;"),"&gt;")&amp;"&gt;"</f>
        <v>&lt;a href="canciones/taize/alleluia_7.html"&gt;</v>
      </c>
      <c r="W148" s="1"/>
      <c r="X148" s="1"/>
      <c r="Y148" s="1"/>
    </row>
    <row r="149" spans="1:25" hidden="1" x14ac:dyDescent="0.3">
      <c r="A149" s="1">
        <f>ROW(CantoralDB[[#This Row],[Título]])-1</f>
        <v>148</v>
      </c>
      <c r="B149" s="1" t="s">
        <v>790</v>
      </c>
      <c r="C149" s="1" t="s">
        <v>1026</v>
      </c>
      <c r="D149" s="1" t="s">
        <v>1124</v>
      </c>
      <c r="H149" s="1" t="s">
        <v>1080</v>
      </c>
      <c r="I149" s="1" t="s">
        <v>612</v>
      </c>
      <c r="L149" s="15" t="s">
        <v>2201</v>
      </c>
      <c r="M149" s="15"/>
      <c r="N149" s="15"/>
      <c r="O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49" s="15" t="str">
        <f>_xlfn.TEXTBEFORE(_xlfn.TEXTAFTER(CantoralDB[[#This Row],[index.html]],"&gt;"),"&gt;")&amp;"&gt;"</f>
        <v>&lt;a href="canciones/taize/alleluia_94.html"&gt;</v>
      </c>
      <c r="W149" s="1"/>
      <c r="X149" s="1"/>
      <c r="Y149" s="1"/>
    </row>
    <row r="150" spans="1:25" hidden="1" x14ac:dyDescent="0.3">
      <c r="A150" s="1">
        <f>ROW(CantoralDB[[#This Row],[Título]])-1</f>
        <v>149</v>
      </c>
      <c r="B150" s="1" t="s">
        <v>791</v>
      </c>
      <c r="C150" s="1" t="s">
        <v>1026</v>
      </c>
      <c r="D150" s="1" t="s">
        <v>1125</v>
      </c>
      <c r="H150" s="1" t="s">
        <v>533</v>
      </c>
      <c r="I150" s="1" t="s">
        <v>612</v>
      </c>
      <c r="L150" s="15" t="s">
        <v>2201</v>
      </c>
      <c r="M150" s="15"/>
      <c r="N150" s="15"/>
      <c r="O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50" s="15" t="str">
        <f>_xlfn.TEXTBEFORE(_xlfn.TEXTAFTER(CantoralDB[[#This Row],[index.html]],"&gt;"),"&gt;")&amp;"&gt;"</f>
        <v>&lt;a href="canciones/taize/alleluia_96.html"&gt;</v>
      </c>
      <c r="W150" s="1"/>
      <c r="X150" s="1"/>
      <c r="Y150" s="1"/>
    </row>
    <row r="151" spans="1:25" hidden="1" x14ac:dyDescent="0.3">
      <c r="A151" s="1">
        <f>ROW(CantoralDB[[#This Row],[Título]])-1</f>
        <v>150</v>
      </c>
      <c r="B151" s="1" t="s">
        <v>792</v>
      </c>
      <c r="C151" s="1" t="s">
        <v>1026</v>
      </c>
      <c r="D151" s="1" t="s">
        <v>1126</v>
      </c>
      <c r="H151" s="1" t="s">
        <v>1065</v>
      </c>
      <c r="I151" s="1" t="s">
        <v>612</v>
      </c>
      <c r="L151" s="15" t="s">
        <v>2201</v>
      </c>
      <c r="M151" s="15"/>
      <c r="N151" s="15"/>
      <c r="O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51" s="15" t="str">
        <f>_xlfn.TEXTBEFORE(_xlfn.TEXTAFTER(CantoralDB[[#This Row],[index.html]],"&gt;"),"&gt;")&amp;"&gt;"</f>
        <v>&lt;a href="canciones/taize/alleluia_97.html"&gt;</v>
      </c>
      <c r="W151" s="1"/>
      <c r="X151" s="1"/>
      <c r="Y151" s="1"/>
    </row>
    <row r="152" spans="1:25" hidden="1" x14ac:dyDescent="0.3">
      <c r="A152" s="1">
        <f>ROW(CantoralDB[[#This Row],[Título]])-1</f>
        <v>151</v>
      </c>
      <c r="B152" s="1" t="s">
        <v>1673</v>
      </c>
      <c r="C152" s="1"/>
      <c r="I152" s="1" t="s">
        <v>612</v>
      </c>
      <c r="L152" s="15" t="s">
        <v>484</v>
      </c>
      <c r="M152" s="15" t="s">
        <v>1533</v>
      </c>
      <c r="N152" s="15">
        <v>4</v>
      </c>
      <c r="O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alli_estas_tu.html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152" s="15" t="str">
        <f>_xlfn.TEXTBEFORE(_xlfn.TEXTAFTER(CantoralDB[[#This Row],[index.html]],"&gt;"),"&gt;")&amp;"&gt;"</f>
        <v>&lt;a href="canciones/kairoi/alli_estas_tu.html"&gt;</v>
      </c>
      <c r="W152" s="1"/>
      <c r="X152" s="1"/>
      <c r="Y152" s="1"/>
    </row>
    <row r="153" spans="1:25" hidden="1" x14ac:dyDescent="0.3">
      <c r="A153" s="1">
        <f>ROW(CantoralDB[[#This Row],[Título]])-1</f>
        <v>152</v>
      </c>
      <c r="B153" s="1" t="s">
        <v>3201</v>
      </c>
      <c r="C153" s="1"/>
      <c r="I153" s="1"/>
      <c r="L153" s="15" t="s">
        <v>3160</v>
      </c>
      <c r="M153" s="15" t="s">
        <v>3192</v>
      </c>
      <c r="N153" s="15">
        <v>9</v>
      </c>
      <c r="O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alli_me_mostrarias.html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href="canciones/hermana_glenda/alli_me_mostrarias.html"&gt;Allí me mostrarías&lt;/a&gt;&lt;/li&gt;</v>
      </c>
      <c r="U153" s="15" t="str">
        <f>_xlfn.TEXTBEFORE(_xlfn.TEXTAFTER(CantoralDB[[#This Row],[index.html]],"&gt;"),"&gt;")&amp;"&gt;"</f>
        <v>&lt;a href="canciones/hermana_glenda/alli_me_mostrarias.html"&gt;</v>
      </c>
      <c r="W153" s="1"/>
      <c r="X153" s="1"/>
      <c r="Y153" s="1"/>
    </row>
    <row r="154" spans="1:25" hidden="1" x14ac:dyDescent="0.3">
      <c r="A154" s="1">
        <f>ROW(CantoralDB[[#This Row],[Título]])-1</f>
        <v>153</v>
      </c>
      <c r="B154" s="1" t="s">
        <v>3083</v>
      </c>
      <c r="C154" s="15"/>
      <c r="I154" s="1" t="s">
        <v>612</v>
      </c>
      <c r="L154" s="15" t="s">
        <v>799</v>
      </c>
      <c r="M154" s="15"/>
      <c r="N154" s="15"/>
      <c r="O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alma_de_cristo.html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href="canciones/nuevas/alma_de_cristo.html"&gt;Alma de Cristo&lt;/a&gt;&lt;/li&gt;</v>
      </c>
      <c r="U154" s="15" t="str">
        <f>_xlfn.TEXTBEFORE(_xlfn.TEXTAFTER(CantoralDB[[#This Row],[index.html]],"&gt;"),"&gt;")&amp;"&gt;"</f>
        <v>&lt;a href="canciones/nuevas/alma_de_cristo.html"&gt;</v>
      </c>
      <c r="W154" s="1"/>
      <c r="X154" s="1"/>
      <c r="Y154" s="1"/>
    </row>
    <row r="155" spans="1:25" hidden="1" x14ac:dyDescent="0.3">
      <c r="A155" s="1">
        <f>ROW(CantoralDB[[#This Row],[Título]])-1</f>
        <v>154</v>
      </c>
      <c r="B155" s="1" t="s">
        <v>1212</v>
      </c>
      <c r="C155" s="1"/>
      <c r="E155" s="1">
        <v>33</v>
      </c>
      <c r="I155" s="1"/>
      <c r="L155" s="15" t="s">
        <v>487</v>
      </c>
      <c r="M155" s="15"/>
      <c r="N155" s="15"/>
      <c r="O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alma_mia_recobra_tu_calma.html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155" s="15" t="str">
        <f>_xlfn.TEXTBEFORE(_xlfn.TEXTAFTER(CantoralDB[[#This Row],[index.html]],"&gt;"),"&gt;")&amp;"&gt;"</f>
        <v>&lt;a href="canciones/miguel_manzano/alma_mia_recobra_tu_calma.html"&gt;</v>
      </c>
      <c r="W155" s="1"/>
      <c r="X155" s="1"/>
      <c r="Y155" s="1"/>
    </row>
    <row r="156" spans="1:25" hidden="1" x14ac:dyDescent="0.3">
      <c r="A156" s="1">
        <f>ROW(CantoralDB[[#This Row],[Título]])-1</f>
        <v>155</v>
      </c>
      <c r="B156" s="1" t="s">
        <v>20</v>
      </c>
      <c r="C156" s="1" t="s">
        <v>997</v>
      </c>
      <c r="D156" s="1" t="s">
        <v>1061</v>
      </c>
      <c r="E156" s="1">
        <v>407</v>
      </c>
      <c r="G156" s="1" t="s">
        <v>209</v>
      </c>
      <c r="H156" s="1" t="s">
        <v>1039</v>
      </c>
      <c r="I156" s="1" t="s">
        <v>612</v>
      </c>
      <c r="L156" s="15" t="s">
        <v>544</v>
      </c>
      <c r="M156" s="15"/>
      <c r="N156" s="15"/>
      <c r="O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alma_misionera.html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156" s="15" t="str">
        <f>_xlfn.TEXTBEFORE(_xlfn.TEXTAFTER(CantoralDB[[#This Row],[index.html]],"&gt;"),"&gt;")&amp;"&gt;"</f>
        <v>&lt;a href="canciones/nsb/alma_misionera.html"&gt;</v>
      </c>
      <c r="W156" s="1"/>
      <c r="X156" s="1"/>
      <c r="Y156" s="1"/>
    </row>
    <row r="157" spans="1:25" hidden="1" x14ac:dyDescent="0.3">
      <c r="A157" s="1">
        <f>ROW(CantoralDB[[#This Row],[Título]])-1</f>
        <v>156</v>
      </c>
      <c r="B157" s="1" t="s">
        <v>21</v>
      </c>
      <c r="C157" s="1" t="s">
        <v>191</v>
      </c>
      <c r="D157" s="1" t="s">
        <v>1424</v>
      </c>
      <c r="E157" s="1">
        <v>21</v>
      </c>
      <c r="G157" s="1" t="s">
        <v>209</v>
      </c>
      <c r="H157" s="1" t="s">
        <v>1031</v>
      </c>
      <c r="I157" s="1" t="s">
        <v>612</v>
      </c>
      <c r="L157" s="15" t="s">
        <v>481</v>
      </c>
      <c r="M157" s="15" t="s">
        <v>21</v>
      </c>
      <c r="N157" s="15">
        <v>1</v>
      </c>
      <c r="O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alrededor_de_tu_mesa.html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157" s="15" t="str">
        <f>_xlfn.TEXTBEFORE(_xlfn.TEXTAFTER(CantoralDB[[#This Row],[index.html]],"&gt;"),"&gt;")&amp;"&gt;"</f>
        <v>&lt;a href="canciones/francisco_palazon/alrededor_de_tu_mesa.html"&gt;</v>
      </c>
      <c r="W157" s="1"/>
      <c r="X157" s="1"/>
      <c r="Y157" s="1"/>
    </row>
    <row r="158" spans="1:25" hidden="1" x14ac:dyDescent="0.3">
      <c r="A158" s="25">
        <f>ROW(CantoralDB[[#This Row],[Título]])-1</f>
        <v>157</v>
      </c>
      <c r="B158" s="1" t="s">
        <v>3814</v>
      </c>
      <c r="C158" s="1"/>
      <c r="D158" s="25"/>
      <c r="E158" s="25"/>
      <c r="I158" s="1" t="s">
        <v>612</v>
      </c>
      <c r="L158" s="15" t="s">
        <v>3817</v>
      </c>
      <c r="M158" s="15"/>
      <c r="N158" s="15"/>
      <c r="O158" s="26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8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alza_la_mirada.html</v>
      </c>
      <c r="R158" s="27"/>
      <c r="S158" s="25"/>
      <c r="T158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58" s="26" t="str">
        <f>_xlfn.TEXTBEFORE(_xlfn.TEXTAFTER(CantoralDB[[#This Row],[index.html]],"&gt;"),"&gt;")&amp;"&gt;"</f>
        <v>&lt;a href="canciones/nuevas/alza_la_mirada.html"&gt;</v>
      </c>
      <c r="W158" s="1"/>
      <c r="X158" s="1"/>
      <c r="Y158" s="1"/>
    </row>
    <row r="159" spans="1:25" hidden="1" x14ac:dyDescent="0.3">
      <c r="A159" s="1">
        <f>ROW(CantoralDB[[#This Row],[Título]])-1</f>
        <v>158</v>
      </c>
      <c r="B159" s="1" t="s">
        <v>204</v>
      </c>
      <c r="C159" s="1" t="s">
        <v>997</v>
      </c>
      <c r="D159" s="1" t="s">
        <v>1062</v>
      </c>
      <c r="E159" s="1">
        <v>23</v>
      </c>
      <c r="G159" s="1" t="s">
        <v>209</v>
      </c>
      <c r="H159" s="1" t="s">
        <v>1031</v>
      </c>
      <c r="I159" s="1" t="s">
        <v>612</v>
      </c>
      <c r="L159" s="15" t="s">
        <v>545</v>
      </c>
      <c r="M159" s="15"/>
      <c r="N159" s="15"/>
      <c r="O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alza_tu_mano_(comunidad).html</v>
      </c>
      <c r="R159" s="1"/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159" s="15" t="str">
        <f>_xlfn.TEXTBEFORE(_xlfn.TEXTAFTER(CantoralDB[[#This Row],[index.html]],"&gt;"),"&gt;")&amp;"&gt;"</f>
        <v>&lt;a href="canciones/nsb/alza_tu_mano_(comunidad).html"&gt;</v>
      </c>
      <c r="W159" s="1"/>
      <c r="X159" s="1"/>
      <c r="Y159" s="1"/>
    </row>
    <row r="160" spans="1:25" hidden="1" x14ac:dyDescent="0.3">
      <c r="A160" s="1">
        <f>ROW(CantoralDB[[#This Row],[Título]])-1</f>
        <v>159</v>
      </c>
      <c r="B160" s="1" t="s">
        <v>22</v>
      </c>
      <c r="C160" s="1" t="s">
        <v>997</v>
      </c>
      <c r="D160" s="1" t="s">
        <v>1064</v>
      </c>
      <c r="E160" s="1">
        <v>408</v>
      </c>
      <c r="G160" s="1" t="s">
        <v>209</v>
      </c>
      <c r="H160" s="1" t="s">
        <v>1045</v>
      </c>
      <c r="I160" s="1" t="s">
        <v>612</v>
      </c>
      <c r="L160" s="15" t="s">
        <v>546</v>
      </c>
      <c r="M160" s="15"/>
      <c r="N160" s="15"/>
      <c r="O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amando_hasta_el_extremo.html</v>
      </c>
      <c r="R160" s="1" t="s">
        <v>808</v>
      </c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160" s="15" t="str">
        <f>_xlfn.TEXTBEFORE(_xlfn.TEXTAFTER(CantoralDB[[#This Row],[index.html]],"&gt;"),"&gt;")&amp;"&gt;"</f>
        <v>&lt;a href="canciones/nsb/amando_hasta_el_extremo.html"&gt;</v>
      </c>
      <c r="W160" s="1"/>
      <c r="X160" s="1"/>
      <c r="Y160" s="1"/>
    </row>
    <row r="161" spans="1:25" hidden="1" x14ac:dyDescent="0.3">
      <c r="A161" s="1">
        <f>ROW(CantoralDB[[#This Row],[Título]])-1</f>
        <v>160</v>
      </c>
      <c r="B161" s="1" t="s">
        <v>23</v>
      </c>
      <c r="C161" s="1" t="s">
        <v>997</v>
      </c>
      <c r="D161" s="1" t="s">
        <v>687</v>
      </c>
      <c r="E161" s="1">
        <v>409</v>
      </c>
      <c r="F161" s="1">
        <v>239</v>
      </c>
      <c r="G161" s="1" t="s">
        <v>209</v>
      </c>
      <c r="H161" s="1" t="s">
        <v>532</v>
      </c>
      <c r="I161" s="1" t="s">
        <v>612</v>
      </c>
      <c r="L161" s="15" t="s">
        <v>484</v>
      </c>
      <c r="M161" s="15" t="s">
        <v>1528</v>
      </c>
      <c r="N161" s="15">
        <v>11</v>
      </c>
      <c r="O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amaos_(como_el_padre_me_amo).html</v>
      </c>
      <c r="R161" s="1" t="s">
        <v>807</v>
      </c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161" s="15" t="str">
        <f>_xlfn.TEXTBEFORE(_xlfn.TEXTAFTER(CantoralDB[[#This Row],[index.html]],"&gt;"),"&gt;")&amp;"&gt;"</f>
        <v>&lt;a href="canciones/kairoi/amaos_(como_el_padre_me_amo).html"&gt;</v>
      </c>
      <c r="W161" s="1"/>
      <c r="X161" s="1"/>
      <c r="Y161" s="1"/>
    </row>
    <row r="162" spans="1:25" hidden="1" x14ac:dyDescent="0.3">
      <c r="A162" s="1">
        <f>ROW(CantoralDB[[#This Row],[Título]])-1</f>
        <v>161</v>
      </c>
      <c r="B162" s="1" t="s">
        <v>3326</v>
      </c>
      <c r="C162" s="1"/>
      <c r="I162" s="1" t="s">
        <v>612</v>
      </c>
      <c r="L162" s="15" t="s">
        <v>499</v>
      </c>
      <c r="M162" s="15" t="s">
        <v>3316</v>
      </c>
      <c r="N162" s="15">
        <v>10</v>
      </c>
      <c r="O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amaos_unos_a_otros.html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62" s="15" t="str">
        <f>_xlfn.TEXTBEFORE(_xlfn.TEXTAFTER(CantoralDB[[#This Row],[index.html]],"&gt;"),"&gt;")&amp;"&gt;"</f>
        <v>&lt;a href="canciones/brotes_de_olivo/amaos_unos_a_otros.html"&gt;</v>
      </c>
      <c r="W162" s="1"/>
      <c r="X162" s="1"/>
      <c r="Y162" s="1"/>
    </row>
    <row r="163" spans="1:25" hidden="1" x14ac:dyDescent="0.3">
      <c r="A163" s="1">
        <f>ROW(CantoralDB[[#This Row],[Título]])-1</f>
        <v>162</v>
      </c>
      <c r="B163" s="1" t="s">
        <v>3520</v>
      </c>
      <c r="C163" s="1"/>
      <c r="F163" s="1">
        <v>173</v>
      </c>
      <c r="I163" s="1"/>
      <c r="L163" s="15" t="s">
        <v>3347</v>
      </c>
      <c r="M163" s="15"/>
      <c r="N163" s="15"/>
      <c r="O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163" s="15" t="str">
        <f>_xlfn.TEXTBEFORE(_xlfn.TEXTAFTER(CantoralDB[[#This Row],[index.html]],"&gt;"),"&gt;")&amp;"&gt;"</f>
        <v>&lt;a href="canciones/luis_alfredo_diaz/amar.html"&gt;</v>
      </c>
      <c r="W163" s="1"/>
      <c r="X163" s="1"/>
      <c r="Y163" s="1"/>
    </row>
    <row r="164" spans="1:25" hidden="1" x14ac:dyDescent="0.3">
      <c r="A164" s="1">
        <f>ROW(CantoralDB[[#This Row],[Título]])-1</f>
        <v>163</v>
      </c>
      <c r="B164" s="1" t="s">
        <v>24</v>
      </c>
      <c r="C164" s="1" t="s">
        <v>997</v>
      </c>
      <c r="D164" s="1" t="s">
        <v>1063</v>
      </c>
      <c r="E164" s="1">
        <v>410</v>
      </c>
      <c r="G164" s="1" t="s">
        <v>209</v>
      </c>
      <c r="H164" s="1" t="s">
        <v>1034</v>
      </c>
      <c r="I164" s="1" t="s">
        <v>612</v>
      </c>
      <c r="L164" s="15" t="s">
        <v>547</v>
      </c>
      <c r="M164" s="15"/>
      <c r="N164" s="15"/>
      <c r="O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amar_es_darse.html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164" s="15" t="str">
        <f>_xlfn.TEXTBEFORE(_xlfn.TEXTAFTER(CantoralDB[[#This Row],[index.html]],"&gt;"),"&gt;")&amp;"&gt;"</f>
        <v>&lt;a href="canciones/emilio_vicente_mateu/amar_es_darse.html"&gt;</v>
      </c>
      <c r="W164" s="1"/>
      <c r="X164" s="1"/>
      <c r="Y164" s="1"/>
    </row>
    <row r="165" spans="1:25" hidden="1" x14ac:dyDescent="0.3">
      <c r="A165" s="1">
        <f>ROW(CantoralDB[[#This Row],[Título]])-1</f>
        <v>164</v>
      </c>
      <c r="B165" s="1" t="s">
        <v>1200</v>
      </c>
      <c r="C165" s="1"/>
      <c r="E165" s="1">
        <v>7</v>
      </c>
      <c r="I165" s="1"/>
      <c r="L165" s="15" t="s">
        <v>2207</v>
      </c>
      <c r="M165" s="15"/>
      <c r="N165" s="15"/>
      <c r="O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amaras_al_señor_tu_dios.html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data-nold="7"&gt;&lt;a href="canciones/perpetuo_socorro/amaras_al_señor_tu_dios.html"&gt;Amáras al Señor tu Dios&lt;/a&gt;&lt;/li&gt;</v>
      </c>
      <c r="U165" s="15" t="str">
        <f>_xlfn.TEXTBEFORE(_xlfn.TEXTAFTER(CantoralDB[[#This Row],[index.html]],"&gt;"),"&gt;")&amp;"&gt;"</f>
        <v>&lt;a href="canciones/perpetuo_socorro/amaras_al_señor_tu_dios.html"&gt;</v>
      </c>
      <c r="W165" s="1"/>
      <c r="X165" s="1"/>
      <c r="Y165" s="1"/>
    </row>
    <row r="166" spans="1:25" hidden="1" x14ac:dyDescent="0.3">
      <c r="A166" s="1">
        <f>ROW(CantoralDB[[#This Row],[Título]])-1</f>
        <v>165</v>
      </c>
      <c r="B166" s="1" t="s">
        <v>1531</v>
      </c>
      <c r="C166" s="1"/>
      <c r="I166" s="1"/>
      <c r="L166" s="15" t="s">
        <v>484</v>
      </c>
      <c r="M166" s="15" t="s">
        <v>1531</v>
      </c>
      <c r="N166" s="15">
        <v>3</v>
      </c>
      <c r="O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amigos.html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href="canciones/kairoi/amigos.html"&gt;Amigos&lt;/a&gt;&lt;/li&gt;</v>
      </c>
      <c r="U166" s="15" t="str">
        <f>_xlfn.TEXTBEFORE(_xlfn.TEXTAFTER(CantoralDB[[#This Row],[index.html]],"&gt;"),"&gt;")&amp;"&gt;"</f>
        <v>&lt;a href="canciones/kairoi/amigos.html"&gt;</v>
      </c>
      <c r="W166" s="1"/>
      <c r="X166" s="1"/>
      <c r="Y166" s="1"/>
    </row>
    <row r="167" spans="1:25" hidden="1" x14ac:dyDescent="0.3">
      <c r="A167" s="1">
        <f>ROW(CantoralDB[[#This Row],[Título]])-1</f>
        <v>166</v>
      </c>
      <c r="B167" s="1" t="s">
        <v>3433</v>
      </c>
      <c r="C167" s="1"/>
      <c r="F167" s="1">
        <v>94</v>
      </c>
      <c r="I167" s="1"/>
      <c r="L167" s="15" t="s">
        <v>543</v>
      </c>
      <c r="M167" s="15"/>
      <c r="N167" s="15"/>
      <c r="O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amor_loco.html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167" s="15" t="str">
        <f>_xlfn.TEXTBEFORE(_xlfn.TEXTAFTER(CantoralDB[[#This Row],[index.html]],"&gt;"),"&gt;")&amp;"&gt;"</f>
        <v>&lt;a href="canciones/josep_asuncion/amor_loco.html"&gt;</v>
      </c>
      <c r="W167" s="1"/>
      <c r="X167" s="1"/>
      <c r="Y167" s="1"/>
    </row>
    <row r="168" spans="1:25" hidden="1" x14ac:dyDescent="0.3">
      <c r="A168" s="1">
        <f>ROW(CantoralDB[[#This Row],[Título]])-1</f>
        <v>167</v>
      </c>
      <c r="B168" s="1" t="s">
        <v>3499</v>
      </c>
      <c r="C168" s="1"/>
      <c r="F168" s="1">
        <v>155</v>
      </c>
      <c r="I168" s="1"/>
      <c r="L168" s="15" t="s">
        <v>799</v>
      </c>
      <c r="M168" s="15"/>
      <c r="N168" s="15"/>
      <c r="O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amor_tan_grande.html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href="canciones/nuevas/amor_tan_grande.html"&gt;Amor tan grande&lt;/a&gt;&lt;/li&gt;</v>
      </c>
      <c r="U168" s="15" t="str">
        <f>_xlfn.TEXTBEFORE(_xlfn.TEXTAFTER(CantoralDB[[#This Row],[index.html]],"&gt;"),"&gt;")&amp;"&gt;"</f>
        <v>&lt;a href="canciones/nuevas/amor_tan_grande.html"&gt;</v>
      </c>
      <c r="W168" s="1"/>
      <c r="X168" s="1"/>
      <c r="Y168" s="1"/>
    </row>
    <row r="169" spans="1:25" hidden="1" x14ac:dyDescent="0.3">
      <c r="A169" s="1">
        <f>ROW(CantoralDB[[#This Row],[Título]])-1</f>
        <v>168</v>
      </c>
      <c r="B169" s="1" t="s">
        <v>25</v>
      </c>
      <c r="C169" s="1" t="s">
        <v>195</v>
      </c>
      <c r="D169" s="1" t="s">
        <v>1425</v>
      </c>
      <c r="E169" s="1">
        <v>26</v>
      </c>
      <c r="G169" s="1" t="s">
        <v>209</v>
      </c>
      <c r="H169" s="1" t="s">
        <v>1051</v>
      </c>
      <c r="I169" s="1" t="s">
        <v>612</v>
      </c>
      <c r="L169" s="15" t="s">
        <v>485</v>
      </c>
      <c r="M169" s="15"/>
      <c r="N169" s="15"/>
      <c r="O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andando_por_el_camino.html</v>
      </c>
      <c r="R169" s="1" t="s">
        <v>809</v>
      </c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169" s="15" t="str">
        <f>_xlfn.TEXTBEFORE(_xlfn.TEXTAFTER(CantoralDB[[#This Row],[index.html]],"&gt;"),"&gt;")&amp;"&gt;"</f>
        <v>&lt;a href="canciones/joaquin_madurga/andando_por_el_camino.html"&gt;</v>
      </c>
      <c r="W169" s="1"/>
      <c r="X169" s="1"/>
      <c r="Y169" s="1"/>
    </row>
    <row r="170" spans="1:25" hidden="1" x14ac:dyDescent="0.3">
      <c r="A170" s="1">
        <f>ROW(CantoralDB[[#This Row],[Título]])-1</f>
        <v>169</v>
      </c>
      <c r="B170" s="1" t="s">
        <v>1767</v>
      </c>
      <c r="C170" s="1"/>
      <c r="I170" s="1"/>
      <c r="L170" s="15" t="s">
        <v>484</v>
      </c>
      <c r="M170" s="15" t="s">
        <v>1544</v>
      </c>
      <c r="N170" s="15">
        <v>5</v>
      </c>
      <c r="O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href="canciones/kairoi/angel.html"&gt;Ángel&lt;/a&gt;&lt;/li&gt;</v>
      </c>
      <c r="U170" s="15" t="str">
        <f>_xlfn.TEXTBEFORE(_xlfn.TEXTAFTER(CantoralDB[[#This Row],[index.html]],"&gt;"),"&gt;")&amp;"&gt;"</f>
        <v>&lt;a href="canciones/kairoi/angel.html"&gt;</v>
      </c>
      <c r="W170" s="1"/>
      <c r="X170" s="1"/>
      <c r="Y170" s="1"/>
    </row>
    <row r="171" spans="1:25" hidden="1" x14ac:dyDescent="0.3">
      <c r="A171" s="1">
        <f>ROW(CantoralDB[[#This Row],[Título]])-1</f>
        <v>170</v>
      </c>
      <c r="B171" s="1" t="s">
        <v>1775</v>
      </c>
      <c r="C171" s="1"/>
      <c r="I171" s="1"/>
      <c r="L171" s="15" t="s">
        <v>484</v>
      </c>
      <c r="M171" s="15" t="s">
        <v>1544</v>
      </c>
      <c r="N171" s="15">
        <v>13</v>
      </c>
      <c r="O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angel_remix.html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href="canciones/kairoi/angel_remix.html"&gt;Angel Remix&lt;/a&gt;&lt;/li&gt;</v>
      </c>
      <c r="U171" s="15" t="str">
        <f>_xlfn.TEXTBEFORE(_xlfn.TEXTAFTER(CantoralDB[[#This Row],[index.html]],"&gt;"),"&gt;")&amp;"&gt;"</f>
        <v>&lt;a href="canciones/kairoi/angel_remix.html"&gt;</v>
      </c>
      <c r="W171" s="1"/>
      <c r="X171" s="1"/>
      <c r="Y171" s="1"/>
    </row>
    <row r="172" spans="1:25" hidden="1" x14ac:dyDescent="0.3">
      <c r="A172" s="1">
        <f>ROW(CantoralDB[[#This Row],[Título]])-1</f>
        <v>171</v>
      </c>
      <c r="B172" s="1" t="s">
        <v>1587</v>
      </c>
      <c r="C172" s="1"/>
      <c r="I172" s="1" t="s">
        <v>612</v>
      </c>
      <c r="L172" s="15" t="s">
        <v>484</v>
      </c>
      <c r="M172" s="15" t="s">
        <v>92</v>
      </c>
      <c r="N172" s="15">
        <v>5</v>
      </c>
      <c r="O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href="canciones/kairoi/angelus.html"&gt;Angelus&lt;/a&gt;&lt;/li&gt;</v>
      </c>
      <c r="U172" s="15" t="str">
        <f>_xlfn.TEXTBEFORE(_xlfn.TEXTAFTER(CantoralDB[[#This Row],[index.html]],"&gt;"),"&gt;")&amp;"&gt;"</f>
        <v>&lt;a href="canciones/kairoi/angelus.html"&gt;</v>
      </c>
      <c r="W172" s="1"/>
      <c r="X172" s="1"/>
      <c r="Y172" s="1"/>
    </row>
    <row r="173" spans="1:25" hidden="1" x14ac:dyDescent="0.3">
      <c r="A173" s="1">
        <f>ROW(CantoralDB[[#This Row],[Título]])-1</f>
        <v>172</v>
      </c>
      <c r="B173" s="1" t="s">
        <v>1988</v>
      </c>
      <c r="C173" s="1"/>
      <c r="I173" s="1" t="s">
        <v>612</v>
      </c>
      <c r="L173" s="15" t="s">
        <v>481</v>
      </c>
      <c r="M173" s="15" t="s">
        <v>1320</v>
      </c>
      <c r="N173" s="15">
        <v>8</v>
      </c>
      <c r="O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173" s="15" t="str">
        <f>_xlfn.TEXTBEFORE(_xlfn.TEXTAFTER(CantoralDB[[#This Row],[index.html]],"&gt;"),"&gt;")&amp;"&gt;"</f>
        <v>&lt;a href="canciones/francisco_palazon/angelus.html"&gt;</v>
      </c>
      <c r="W173" s="1"/>
      <c r="X173" s="1"/>
      <c r="Y173" s="1"/>
    </row>
    <row r="174" spans="1:25" hidden="1" x14ac:dyDescent="0.3">
      <c r="A174" s="1">
        <f>ROW(CantoralDB[[#This Row],[Título]])-1</f>
        <v>173</v>
      </c>
      <c r="B174" s="1" t="s">
        <v>1988</v>
      </c>
      <c r="C174" s="1"/>
      <c r="I174" s="1"/>
      <c r="L174" s="15" t="s">
        <v>3160</v>
      </c>
      <c r="M174" s="15" t="s">
        <v>3190</v>
      </c>
      <c r="N174" s="15">
        <v>12</v>
      </c>
      <c r="O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href="canciones/hermana_glenda/angelus.html"&gt;Ángelus&lt;/a&gt;&lt;/li&gt;</v>
      </c>
      <c r="U174" s="15" t="str">
        <f>_xlfn.TEXTBEFORE(_xlfn.TEXTAFTER(CantoralDB[[#This Row],[index.html]],"&gt;"),"&gt;")&amp;"&gt;"</f>
        <v>&lt;a href="canciones/hermana_glenda/angelus.html"&gt;</v>
      </c>
      <c r="W174" s="1"/>
      <c r="X174" s="1"/>
      <c r="Y174" s="1"/>
    </row>
    <row r="175" spans="1:25" hidden="1" x14ac:dyDescent="0.3">
      <c r="A175" s="1">
        <f>ROW(CantoralDB[[#This Row],[Título]])-1</f>
        <v>174</v>
      </c>
      <c r="B175" s="1" t="s">
        <v>1889</v>
      </c>
      <c r="C175" s="1"/>
      <c r="I175" s="1" t="s">
        <v>612</v>
      </c>
      <c r="L175" s="15" t="s">
        <v>501</v>
      </c>
      <c r="M175" s="15" t="s">
        <v>1549</v>
      </c>
      <c r="N175" s="15">
        <v>10</v>
      </c>
      <c r="O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animo_soy_yo.html</v>
      </c>
      <c r="R175" s="1"/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175" s="15" t="str">
        <f>_xlfn.TEXTBEFORE(_xlfn.TEXTAFTER(CantoralDB[[#This Row],[index.html]],"&gt;"),"&gt;")&amp;"&gt;"</f>
        <v>&lt;a href="canciones/ain_karem/animo_soy_yo.html"&gt;</v>
      </c>
      <c r="W175" s="1"/>
      <c r="X175" s="1"/>
      <c r="Y175" s="1"/>
    </row>
    <row r="176" spans="1:25" hidden="1" x14ac:dyDescent="0.3">
      <c r="A176" s="1">
        <f>ROW(CantoralDB[[#This Row],[Título]])-1</f>
        <v>175</v>
      </c>
      <c r="B176" s="1" t="s">
        <v>1774</v>
      </c>
      <c r="C176" s="1"/>
      <c r="I176" s="1"/>
      <c r="L176" s="15" t="s">
        <v>484</v>
      </c>
      <c r="M176" s="15" t="s">
        <v>1544</v>
      </c>
      <c r="N176" s="15">
        <v>12</v>
      </c>
      <c r="O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ante_el_espejo.html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176" s="15" t="str">
        <f>_xlfn.TEXTBEFORE(_xlfn.TEXTAFTER(CantoralDB[[#This Row],[index.html]],"&gt;"),"&gt;")&amp;"&gt;"</f>
        <v>&lt;a href="canciones/kairoi/ante_el_espejo.html"&gt;</v>
      </c>
      <c r="W176" s="1"/>
      <c r="X176" s="1"/>
      <c r="Y176" s="1"/>
    </row>
    <row r="177" spans="1:25" hidden="1" x14ac:dyDescent="0.3">
      <c r="A177" s="1">
        <f>ROW(CantoralDB[[#This Row],[Título]])-1</f>
        <v>176</v>
      </c>
      <c r="B177" s="1" t="s">
        <v>3700</v>
      </c>
      <c r="C177" s="1"/>
      <c r="F177" s="1">
        <v>363</v>
      </c>
      <c r="I177" s="1"/>
      <c r="L177" s="15" t="s">
        <v>799</v>
      </c>
      <c r="M177" s="15"/>
      <c r="N177" s="15"/>
      <c r="O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ante_su_nombre_todo_caera.html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77" s="15" t="str">
        <f>_xlfn.TEXTBEFORE(_xlfn.TEXTAFTER(CantoralDB[[#This Row],[index.html]],"&gt;"),"&gt;")&amp;"&gt;"</f>
        <v>&lt;a href="canciones/nuevas/ante_su_nombre_todo_caera.html"&gt;</v>
      </c>
      <c r="W177" s="1"/>
      <c r="X177" s="1"/>
      <c r="Y177" s="1"/>
    </row>
    <row r="178" spans="1:25" hidden="1" x14ac:dyDescent="0.3">
      <c r="A178" s="1">
        <f>ROW(CantoralDB[[#This Row],[Título]])-1</f>
        <v>177</v>
      </c>
      <c r="B178" s="1" t="s">
        <v>1207</v>
      </c>
      <c r="C178" s="1" t="s">
        <v>195</v>
      </c>
      <c r="D178" s="1" t="s">
        <v>1426</v>
      </c>
      <c r="E178" s="1">
        <v>24</v>
      </c>
      <c r="G178" s="1" t="s">
        <v>209</v>
      </c>
      <c r="H178" s="1" t="s">
        <v>1041</v>
      </c>
      <c r="I178" s="1" t="s">
        <v>612</v>
      </c>
      <c r="L178" s="15" t="s">
        <v>479</v>
      </c>
      <c r="M178" s="15"/>
      <c r="N178" s="15"/>
      <c r="O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ante_ti_señor.html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78" s="15" t="str">
        <f>_xlfn.TEXTBEFORE(_xlfn.TEXTAFTER(CantoralDB[[#This Row],[index.html]],"&gt;"),"&gt;")&amp;"&gt;"</f>
        <v>&lt;a href="canciones/carmelo_erdozain/ante_ti_señor.html"&gt;</v>
      </c>
      <c r="W178" s="1"/>
      <c r="X178" s="1"/>
      <c r="Y178" s="1"/>
    </row>
    <row r="179" spans="1:25" hidden="1" x14ac:dyDescent="0.3">
      <c r="A179" s="1">
        <f>ROW(CantoralDB[[#This Row],[Título]])-1</f>
        <v>178</v>
      </c>
      <c r="B179" s="1" t="s">
        <v>1210</v>
      </c>
      <c r="C179" s="1"/>
      <c r="E179" s="1">
        <v>29</v>
      </c>
      <c r="I179" s="1"/>
      <c r="L179" s="15" t="s">
        <v>2140</v>
      </c>
      <c r="M179" s="15"/>
      <c r="N179" s="15"/>
      <c r="O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antes_de_ser_llevado_a_la_muerte.html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data-nold="29"&gt;&lt;a href="canciones/nsb/antes_de_ser_llevado_a_la_muerte.html"&gt;Antes de ser llevado a la muerte&lt;/a&gt;&lt;/li&gt;</v>
      </c>
      <c r="U179" s="15" t="str">
        <f>_xlfn.TEXTBEFORE(_xlfn.TEXTAFTER(CantoralDB[[#This Row],[index.html]],"&gt;"),"&gt;")&amp;"&gt;"</f>
        <v>&lt;a href="canciones/nsb/antes_de_ser_llevado_a_la_muerte.html"&gt;</v>
      </c>
      <c r="W179" s="1"/>
      <c r="X179" s="1"/>
      <c r="Y179" s="1"/>
    </row>
    <row r="180" spans="1:25" hidden="1" x14ac:dyDescent="0.3">
      <c r="A180" s="1">
        <f>ROW(CantoralDB[[#This Row],[Título]])-1</f>
        <v>179</v>
      </c>
      <c r="B180" s="1" t="s">
        <v>3555</v>
      </c>
      <c r="C180" s="1"/>
      <c r="F180" s="1">
        <v>212</v>
      </c>
      <c r="I180" s="1"/>
      <c r="L180" s="15" t="s">
        <v>3451</v>
      </c>
      <c r="M180" s="15"/>
      <c r="N180" s="15"/>
      <c r="O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anunciamos_con_poder.html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80" s="15" t="str">
        <f>_xlfn.TEXTBEFORE(_xlfn.TEXTAFTER(CantoralDB[[#This Row],[index.html]],"&gt;"),"&gt;")&amp;"&gt;"</f>
        <v>&lt;a href="canciones/rosa_cruz/anunciamos_con_poder.html"&gt;</v>
      </c>
      <c r="W180" s="1"/>
      <c r="X180" s="1"/>
      <c r="Y180" s="1"/>
    </row>
    <row r="181" spans="1:25" hidden="1" x14ac:dyDescent="0.3">
      <c r="A181" s="1">
        <f>ROW(CantoralDB[[#This Row],[Título]])-1</f>
        <v>180</v>
      </c>
      <c r="B181" s="1" t="s">
        <v>1971</v>
      </c>
      <c r="C181" s="1"/>
      <c r="I181" s="1" t="s">
        <v>612</v>
      </c>
      <c r="L181" s="15" t="s">
        <v>481</v>
      </c>
      <c r="M181" s="15" t="s">
        <v>21</v>
      </c>
      <c r="N181" s="15">
        <v>7</v>
      </c>
      <c r="O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anunciamos_tu_muerte.html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181" s="15" t="str">
        <f>_xlfn.TEXTBEFORE(_xlfn.TEXTAFTER(CantoralDB[[#This Row],[index.html]],"&gt;"),"&gt;")&amp;"&gt;"</f>
        <v>&lt;a href="canciones/francisco_palazon/anunciamos_tu_muerte.html"&gt;</v>
      </c>
      <c r="W181" s="1"/>
      <c r="X181" s="1"/>
      <c r="Y181" s="1"/>
    </row>
    <row r="182" spans="1:25" hidden="1" x14ac:dyDescent="0.3">
      <c r="A182" s="1">
        <f>ROW(CantoralDB[[#This Row],[Título]])-1</f>
        <v>181</v>
      </c>
      <c r="B182" s="1" t="s">
        <v>1973</v>
      </c>
      <c r="C182" s="1"/>
      <c r="I182" s="1" t="s">
        <v>612</v>
      </c>
      <c r="L182" s="15" t="s">
        <v>481</v>
      </c>
      <c r="M182" s="15" t="s">
        <v>21</v>
      </c>
      <c r="N182" s="15">
        <v>12</v>
      </c>
      <c r="O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anunciando_tu_venida.html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182" s="15" t="str">
        <f>_xlfn.TEXTBEFORE(_xlfn.TEXTAFTER(CantoralDB[[#This Row],[index.html]],"&gt;"),"&gt;")&amp;"&gt;"</f>
        <v>&lt;a href="canciones/francisco_palazon/anunciando_tu_venida.html"&gt;</v>
      </c>
      <c r="W182" s="1"/>
      <c r="X182" s="1"/>
      <c r="Y182" s="1"/>
    </row>
    <row r="183" spans="1:25" hidden="1" x14ac:dyDescent="0.3">
      <c r="A183" s="1">
        <f>ROW(CantoralDB[[#This Row],[Título]])-1</f>
        <v>182</v>
      </c>
      <c r="B183" s="1" t="s">
        <v>1206</v>
      </c>
      <c r="C183" s="1" t="s">
        <v>199</v>
      </c>
      <c r="D183" s="1" t="s">
        <v>1427</v>
      </c>
      <c r="E183" s="1">
        <v>22</v>
      </c>
      <c r="G183" s="1" t="s">
        <v>209</v>
      </c>
      <c r="H183" s="1" t="s">
        <v>1047</v>
      </c>
      <c r="I183" s="1" t="s">
        <v>612</v>
      </c>
      <c r="L183" s="15" t="s">
        <v>2203</v>
      </c>
      <c r="M183" s="15"/>
      <c r="N183" s="15"/>
      <c r="O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anunciaremos_tu_reino_señor.html</v>
      </c>
      <c r="R183" s="1" t="s">
        <v>810</v>
      </c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183" s="15" t="str">
        <f>_xlfn.TEXTBEFORE(_xlfn.TEXTAFTER(CantoralDB[[#This Row],[index.html]],"&gt;"),"&gt;")&amp;"&gt;"</f>
        <v>&lt;a href="canciones/nsb/anunciaremos_tu_reino_señor.html"&gt;</v>
      </c>
      <c r="W183" s="1"/>
      <c r="X183" s="1"/>
      <c r="Y183" s="1"/>
    </row>
    <row r="184" spans="1:25" hidden="1" x14ac:dyDescent="0.3">
      <c r="A184" s="1">
        <f>ROW(CantoralDB[[#This Row],[Título]])-1</f>
        <v>183</v>
      </c>
      <c r="B184" s="1" t="s">
        <v>1825</v>
      </c>
      <c r="C184" s="1"/>
      <c r="I184" s="1" t="s">
        <v>612</v>
      </c>
      <c r="L184" s="15" t="s">
        <v>501</v>
      </c>
      <c r="M184" s="15" t="s">
        <v>1550</v>
      </c>
      <c r="N184" s="15">
        <v>5</v>
      </c>
      <c r="O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anunciarte.html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href="canciones/ain_karem/anunciarte.html"&gt;Anunciarte&lt;/a&gt;&lt;/li&gt;</v>
      </c>
      <c r="U184" s="15" t="str">
        <f>_xlfn.TEXTBEFORE(_xlfn.TEXTAFTER(CantoralDB[[#This Row],[index.html]],"&gt;"),"&gt;")&amp;"&gt;"</f>
        <v>&lt;a href="canciones/ain_karem/anunciarte.html"&gt;</v>
      </c>
      <c r="W184" s="1"/>
      <c r="X184" s="1"/>
      <c r="Y184" s="1"/>
    </row>
    <row r="185" spans="1:25" hidden="1" x14ac:dyDescent="0.3">
      <c r="A185" s="1">
        <f>ROW(CantoralDB[[#This Row],[Título]])-1</f>
        <v>184</v>
      </c>
      <c r="B185" s="1" t="s">
        <v>1922</v>
      </c>
      <c r="C185" s="1"/>
      <c r="I185" s="1" t="s">
        <v>612</v>
      </c>
      <c r="L185" s="15" t="s">
        <v>1804</v>
      </c>
      <c r="M185" s="15" t="s">
        <v>1951</v>
      </c>
      <c r="N185" s="15">
        <v>9</v>
      </c>
      <c r="O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aprendiendo.html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href="canciones/ruah/aprendiendo.html"&gt;Aprendiendo&lt;/a&gt;&lt;/li&gt;</v>
      </c>
      <c r="U185" s="15" t="str">
        <f>_xlfn.TEXTBEFORE(_xlfn.TEXTAFTER(CantoralDB[[#This Row],[index.html]],"&gt;"),"&gt;")&amp;"&gt;"</f>
        <v>&lt;a href="canciones/ruah/aprendiendo.html"&gt;</v>
      </c>
      <c r="W185" s="1"/>
      <c r="X185" s="1"/>
      <c r="Y185" s="1"/>
    </row>
    <row r="186" spans="1:25" hidden="1" x14ac:dyDescent="0.3">
      <c r="A186" s="1">
        <f>ROW(CantoralDB[[#This Row],[Título]])-1</f>
        <v>185</v>
      </c>
      <c r="B186" s="1" t="s">
        <v>3497</v>
      </c>
      <c r="C186" s="1"/>
      <c r="F186" s="1">
        <v>153</v>
      </c>
      <c r="I186" s="1"/>
      <c r="L186" s="15" t="s">
        <v>3347</v>
      </c>
      <c r="M186" s="15"/>
      <c r="N186" s="15"/>
      <c r="O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aqui_el_esta.html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186" s="15" t="str">
        <f>_xlfn.TEXTBEFORE(_xlfn.TEXTAFTER(CantoralDB[[#This Row],[index.html]],"&gt;"),"&gt;")&amp;"&gt;"</f>
        <v>&lt;a href="canciones/luis_alfredo_diaz/aqui_el_esta.html"&gt;</v>
      </c>
      <c r="W186" s="1"/>
      <c r="X186" s="1"/>
      <c r="Y186" s="1"/>
    </row>
    <row r="187" spans="1:25" hidden="1" x14ac:dyDescent="0.3">
      <c r="A187" s="1">
        <f>ROW(CantoralDB[[#This Row],[Título]])-1</f>
        <v>186</v>
      </c>
      <c r="B187" s="1" t="s">
        <v>3571</v>
      </c>
      <c r="C187" s="1"/>
      <c r="F187" s="1">
        <v>231</v>
      </c>
      <c r="I187" s="1"/>
      <c r="L187" s="15" t="s">
        <v>799</v>
      </c>
      <c r="M187" s="15"/>
      <c r="N187" s="15"/>
      <c r="O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aqui_se_alaba.html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href="canciones/nuevas/aqui_se_alaba.html"&gt;Aquí se alaba&lt;/a&gt;&lt;/li&gt;</v>
      </c>
      <c r="U187" s="15" t="str">
        <f>_xlfn.TEXTBEFORE(_xlfn.TEXTAFTER(CantoralDB[[#This Row],[index.html]],"&gt;"),"&gt;")&amp;"&gt;"</f>
        <v>&lt;a href="canciones/nuevas/aqui_se_alaba.html"&gt;</v>
      </c>
      <c r="W187" s="1"/>
      <c r="X187" s="1"/>
      <c r="Y187" s="1"/>
    </row>
    <row r="188" spans="1:25" hidden="1" x14ac:dyDescent="0.3">
      <c r="A188" s="1">
        <f>ROW(CantoralDB[[#This Row],[Título]])-1</f>
        <v>187</v>
      </c>
      <c r="B188" s="1" t="s">
        <v>556</v>
      </c>
      <c r="C188" s="1" t="s">
        <v>195</v>
      </c>
      <c r="D188" s="1" t="s">
        <v>1428</v>
      </c>
      <c r="G188" s="1" t="s">
        <v>557</v>
      </c>
      <c r="H188" s="1" t="s">
        <v>1039</v>
      </c>
      <c r="I188" s="1" t="s">
        <v>612</v>
      </c>
      <c r="L188" s="15" t="s">
        <v>798</v>
      </c>
      <c r="M188" s="15"/>
      <c r="N188" s="15"/>
      <c r="O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aqui_tienes_el_pan.html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188" s="15" t="str">
        <f>_xlfn.TEXTBEFORE(_xlfn.TEXTAFTER(CantoralDB[[#This Row],[index.html]],"&gt;"),"&gt;")&amp;"&gt;"</f>
        <v>&lt;a href="canciones/nsb/aqui_tienes_el_pan.html"&gt;</v>
      </c>
      <c r="W188" s="1"/>
      <c r="X188" s="1"/>
      <c r="Y188" s="1"/>
    </row>
    <row r="189" spans="1:25" hidden="1" x14ac:dyDescent="0.3">
      <c r="A189" s="1">
        <f>ROW(CantoralDB[[#This Row],[Título]])-1</f>
        <v>188</v>
      </c>
      <c r="B189" s="1" t="s">
        <v>1914</v>
      </c>
      <c r="C189" s="1"/>
      <c r="I189" s="1" t="s">
        <v>612</v>
      </c>
      <c r="L189" s="15" t="s">
        <v>1804</v>
      </c>
      <c r="M189" s="15" t="s">
        <v>1950</v>
      </c>
      <c r="N189" s="15">
        <v>11</v>
      </c>
      <c r="O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aqui_y_ahora.html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href="canciones/ruah/aqui_y_ahora.html"&gt;Aquí y ahora&lt;/a&gt;&lt;/li&gt;</v>
      </c>
      <c r="U189" s="15" t="str">
        <f>_xlfn.TEXTBEFORE(_xlfn.TEXTAFTER(CantoralDB[[#This Row],[index.html]],"&gt;"),"&gt;")&amp;"&gt;"</f>
        <v>&lt;a href="canciones/ruah/aqui_y_ahora.html"&gt;</v>
      </c>
      <c r="W189" s="1"/>
      <c r="X189" s="1"/>
      <c r="Y189" s="1"/>
    </row>
    <row r="190" spans="1:25" hidden="1" x14ac:dyDescent="0.3">
      <c r="A190" s="1">
        <f>ROW(CantoralDB[[#This Row],[Título]])-1</f>
        <v>189</v>
      </c>
      <c r="B190" s="1" t="s">
        <v>1589</v>
      </c>
      <c r="C190" s="1"/>
      <c r="I190" s="1" t="s">
        <v>612</v>
      </c>
      <c r="L190" s="15" t="s">
        <v>484</v>
      </c>
      <c r="M190" s="15" t="s">
        <v>92</v>
      </c>
      <c r="N190" s="15">
        <v>9</v>
      </c>
      <c r="O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arcilla_entre_sus_manos.html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190" s="15" t="str">
        <f>_xlfn.TEXTBEFORE(_xlfn.TEXTAFTER(CantoralDB[[#This Row],[index.html]],"&gt;"),"&gt;")&amp;"&gt;"</f>
        <v>&lt;a href="canciones/kairoi/arcilla_entre_sus_manos.html"&gt;</v>
      </c>
      <c r="W190" s="1"/>
      <c r="X190" s="1"/>
      <c r="Y190" s="1"/>
    </row>
    <row r="191" spans="1:25" hidden="1" x14ac:dyDescent="0.3">
      <c r="A191" s="1">
        <f>ROW(CantoralDB[[#This Row],[Título]])-1</f>
        <v>190</v>
      </c>
      <c r="B191" s="1" t="s">
        <v>2030</v>
      </c>
      <c r="C191" s="1"/>
      <c r="I191" s="1"/>
      <c r="L191" s="15" t="s">
        <v>261</v>
      </c>
      <c r="M191" s="15"/>
      <c r="N191" s="15"/>
      <c r="O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arde_(san_jose).html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191" s="15" t="str">
        <f>_xlfn.TEXTBEFORE(_xlfn.TEXTAFTER(CantoralDB[[#This Row],[index.html]],"&gt;"),"&gt;")&amp;"&gt;"</f>
        <v>&lt;a href="canciones/hakuna/arde_(san_jose).html"&gt;</v>
      </c>
      <c r="W191" s="1"/>
      <c r="X191" s="1"/>
      <c r="Y191" s="1"/>
    </row>
    <row r="192" spans="1:25" hidden="1" x14ac:dyDescent="0.3">
      <c r="A192" s="1">
        <f>ROW(CantoralDB[[#This Row],[Título]])-1</f>
        <v>191</v>
      </c>
      <c r="B192" s="1" t="s">
        <v>1793</v>
      </c>
      <c r="C192" s="1"/>
      <c r="I192" s="1" t="s">
        <v>612</v>
      </c>
      <c r="L192" s="15" t="s">
        <v>501</v>
      </c>
      <c r="M192" s="15" t="s">
        <v>1547</v>
      </c>
      <c r="N192" s="15">
        <v>8</v>
      </c>
      <c r="O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ardo_en_celo.html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192" s="15" t="str">
        <f>_xlfn.TEXTBEFORE(_xlfn.TEXTAFTER(CantoralDB[[#This Row],[index.html]],"&gt;"),"&gt;")&amp;"&gt;"</f>
        <v>&lt;a href="canciones/ain_karem/ardo_en_celo.html"&gt;</v>
      </c>
      <c r="W192" s="1"/>
      <c r="X192" s="1"/>
      <c r="Y192" s="1"/>
    </row>
    <row r="193" spans="1:25" hidden="1" x14ac:dyDescent="0.3">
      <c r="A193" s="1">
        <f>ROW(CantoralDB[[#This Row],[Título]])-1</f>
        <v>192</v>
      </c>
      <c r="B193" s="1" t="s">
        <v>3664</v>
      </c>
      <c r="C193" s="1"/>
      <c r="F193" s="1">
        <v>332</v>
      </c>
      <c r="I193" s="1"/>
      <c r="L193" s="15" t="s">
        <v>594</v>
      </c>
      <c r="M193" s="15"/>
      <c r="N193" s="15"/>
      <c r="O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arranca_de_mi_pecho.html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193" s="15" t="str">
        <f>_xlfn.TEXTBEFORE(_xlfn.TEXTAFTER(CantoralDB[[#This Row],[index.html]],"&gt;"),"&gt;")&amp;"&gt;"</f>
        <v>&lt;a href="canciones/alejandro_ruiz/arranca_de_mi_pecho.html"&gt;</v>
      </c>
      <c r="W193" s="1"/>
      <c r="X193" s="1"/>
      <c r="Y193" s="1"/>
    </row>
    <row r="194" spans="1:25" hidden="1" x14ac:dyDescent="0.3">
      <c r="A194" s="1">
        <f>ROW(CantoralDB[[#This Row],[Título]])-1</f>
        <v>193</v>
      </c>
      <c r="B194" s="1" t="s">
        <v>3114</v>
      </c>
      <c r="C194" s="1"/>
      <c r="I194" s="1" t="s">
        <v>612</v>
      </c>
      <c r="L194" s="15" t="s">
        <v>2200</v>
      </c>
      <c r="M194" s="15"/>
      <c r="N194" s="15"/>
      <c r="O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arre_borriquito.html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94" s="15" t="str">
        <f>_xlfn.TEXTBEFORE(_xlfn.TEXTAFTER(CantoralDB[[#This Row],[index.html]],"&gt;"),"&gt;")&amp;"&gt;"</f>
        <v>&lt;a href="canciones/villancicos/arre_borriquito.html"&gt;</v>
      </c>
      <c r="W194" s="1"/>
      <c r="X194" s="1"/>
      <c r="Y194" s="1"/>
    </row>
    <row r="195" spans="1:25" hidden="1" x14ac:dyDescent="0.3">
      <c r="A195" s="1">
        <f>ROW(CantoralDB[[#This Row],[Título]])-1</f>
        <v>194</v>
      </c>
      <c r="B195" s="1" t="s">
        <v>1211</v>
      </c>
      <c r="C195" s="1"/>
      <c r="E195" s="1">
        <v>30</v>
      </c>
      <c r="I195" s="1"/>
      <c r="L195" s="15" t="s">
        <v>2141</v>
      </c>
      <c r="M195" s="15"/>
      <c r="N195" s="15"/>
      <c r="O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arriba_nubes_negras.html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195" s="15" t="str">
        <f>_xlfn.TEXTBEFORE(_xlfn.TEXTAFTER(CantoralDB[[#This Row],[index.html]],"&gt;"),"&gt;")&amp;"&gt;"</f>
        <v>&lt;a href="canciones/nsb/arriba_nubes_negras.html"&gt;</v>
      </c>
      <c r="W195" s="1"/>
      <c r="X195" s="1"/>
      <c r="Y195" s="1"/>
    </row>
    <row r="196" spans="1:25" hidden="1" x14ac:dyDescent="0.3">
      <c r="A196" s="1">
        <f>ROW(CantoralDB[[#This Row],[Título]])-1</f>
        <v>195</v>
      </c>
      <c r="B196" s="1" t="s">
        <v>3721</v>
      </c>
      <c r="C196" s="1"/>
      <c r="F196" s="1">
        <v>383</v>
      </c>
      <c r="I196" s="1"/>
      <c r="L196" s="15" t="s">
        <v>3724</v>
      </c>
      <c r="M196" s="15"/>
      <c r="N196" s="15"/>
      <c r="O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asi_es_dios.html</v>
      </c>
      <c r="R196" s="1"/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96" s="15" t="str">
        <f>_xlfn.TEXTBEFORE(_xlfn.TEXTAFTER(CantoralDB[[#This Row],[index.html]],"&gt;"),"&gt;")&amp;"&gt;"</f>
        <v>&lt;a href="canciones/nuevas/asi_es_dios.html"&gt;</v>
      </c>
      <c r="W196" s="1"/>
      <c r="X196" s="1"/>
      <c r="Y196" s="1"/>
    </row>
    <row r="197" spans="1:25" hidden="1" x14ac:dyDescent="0.3">
      <c r="A197" s="1">
        <f>ROW(CantoralDB[[#This Row],[Título]])-1</f>
        <v>196</v>
      </c>
      <c r="B197" s="1" t="s">
        <v>1806</v>
      </c>
      <c r="C197" s="1"/>
      <c r="I197" s="1"/>
      <c r="L197" s="15" t="s">
        <v>501</v>
      </c>
      <c r="M197" s="15" t="s">
        <v>1548</v>
      </c>
      <c r="N197" s="15">
        <v>11</v>
      </c>
      <c r="O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atraeme.html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href="canciones/ain_karem/atraeme.html"&gt;Atráeme&lt;/a&gt;&lt;/li&gt;</v>
      </c>
      <c r="U197" s="15" t="str">
        <f>_xlfn.TEXTBEFORE(_xlfn.TEXTAFTER(CantoralDB[[#This Row],[index.html]],"&gt;"),"&gt;")&amp;"&gt;"</f>
        <v>&lt;a href="canciones/ain_karem/atraeme.html"&gt;</v>
      </c>
      <c r="W197" s="1"/>
      <c r="X197" s="1"/>
      <c r="Y197" s="1"/>
    </row>
    <row r="198" spans="1:25" hidden="1" x14ac:dyDescent="0.3">
      <c r="A198" s="1">
        <f>ROW(CantoralDB[[#This Row],[Título]])-1</f>
        <v>197</v>
      </c>
      <c r="B198" s="1" t="s">
        <v>1835</v>
      </c>
      <c r="C198" s="1"/>
      <c r="I198" s="1" t="s">
        <v>612</v>
      </c>
      <c r="L198" s="15" t="s">
        <v>501</v>
      </c>
      <c r="M198" s="15" t="s">
        <v>1551</v>
      </c>
      <c r="N198" s="15">
        <v>4</v>
      </c>
      <c r="O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atraviesas.html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href="canciones/ain_karem/atraviesas.html"&gt;Atraviesas&lt;/a&gt;&lt;/li&gt;</v>
      </c>
      <c r="U198" s="15" t="str">
        <f>_xlfn.TEXTBEFORE(_xlfn.TEXTAFTER(CantoralDB[[#This Row],[index.html]],"&gt;"),"&gt;")&amp;"&gt;"</f>
        <v>&lt;a href="canciones/ain_karem/atraviesas.html"&gt;</v>
      </c>
      <c r="W198" s="1"/>
      <c r="X198" s="1"/>
      <c r="Y198" s="1"/>
    </row>
    <row r="199" spans="1:25" hidden="1" x14ac:dyDescent="0.3">
      <c r="A199" s="1">
        <f>ROW(CantoralDB[[#This Row],[Título]])-1</f>
        <v>198</v>
      </c>
      <c r="B199" s="1" t="s">
        <v>497</v>
      </c>
      <c r="C199" s="1"/>
      <c r="I199" s="1" t="s">
        <v>612</v>
      </c>
      <c r="L199" s="15" t="s">
        <v>481</v>
      </c>
      <c r="M199" s="15" t="s">
        <v>1320</v>
      </c>
      <c r="N199" s="15">
        <v>10</v>
      </c>
      <c r="O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199" s="15" t="str">
        <f>_xlfn.TEXTBEFORE(_xlfn.TEXTAFTER(CantoralDB[[#This Row],[index.html]],"&gt;"),"&gt;")&amp;"&gt;"</f>
        <v>&lt;a href="canciones/francisco_palazon/ave_maria.html"&gt;</v>
      </c>
      <c r="W199" s="1"/>
      <c r="X199" s="1"/>
      <c r="Y199" s="1"/>
    </row>
    <row r="200" spans="1:25" hidden="1" x14ac:dyDescent="0.3">
      <c r="A200" s="1">
        <f>ROW(CantoralDB[[#This Row],[Título]])-1</f>
        <v>199</v>
      </c>
      <c r="B200" s="1" t="s">
        <v>497</v>
      </c>
      <c r="C200" s="1"/>
      <c r="I200" s="1"/>
      <c r="L200" s="15" t="s">
        <v>484</v>
      </c>
      <c r="M200" s="15" t="s">
        <v>1543</v>
      </c>
      <c r="N200" s="15">
        <v>4</v>
      </c>
      <c r="O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200" s="1"/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href="canciones/kairoi/ave_maria.html"&gt;Ave María&lt;/a&gt;&lt;/li&gt;</v>
      </c>
      <c r="U200" s="15" t="str">
        <f>_xlfn.TEXTBEFORE(_xlfn.TEXTAFTER(CantoralDB[[#This Row],[index.html]],"&gt;"),"&gt;")&amp;"&gt;"</f>
        <v>&lt;a href="canciones/kairoi/ave_maria.html"&gt;</v>
      </c>
      <c r="W200" s="1"/>
      <c r="X200" s="1"/>
      <c r="Y200" s="1"/>
    </row>
    <row r="201" spans="1:25" hidden="1" x14ac:dyDescent="0.3">
      <c r="A201" s="1">
        <f>ROW(CantoralDB[[#This Row],[Título]])-1</f>
        <v>200</v>
      </c>
      <c r="B201" s="1" t="s">
        <v>497</v>
      </c>
      <c r="C201" s="1"/>
      <c r="I201" s="1" t="s">
        <v>612</v>
      </c>
      <c r="L201" s="15" t="s">
        <v>484</v>
      </c>
      <c r="M201" s="15" t="s">
        <v>92</v>
      </c>
      <c r="N201" s="15">
        <v>1</v>
      </c>
      <c r="O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href="canciones/kairoi/ave_maria.html"&gt;Ave María&lt;/a&gt;&lt;/li&gt;</v>
      </c>
      <c r="U201" s="15" t="str">
        <f>_xlfn.TEXTBEFORE(_xlfn.TEXTAFTER(CantoralDB[[#This Row],[index.html]],"&gt;"),"&gt;")&amp;"&gt;"</f>
        <v>&lt;a href="canciones/kairoi/ave_maria.html"&gt;</v>
      </c>
      <c r="W201" s="1"/>
      <c r="X201" s="1"/>
      <c r="Y201" s="1"/>
    </row>
    <row r="202" spans="1:25" hidden="1" x14ac:dyDescent="0.3">
      <c r="A202" s="1">
        <f>ROW(CantoralDB[[#This Row],[Título]])-1</f>
        <v>201</v>
      </c>
      <c r="B202" s="1" t="s">
        <v>497</v>
      </c>
      <c r="C202" s="1" t="s">
        <v>200</v>
      </c>
      <c r="D202" s="1" t="s">
        <v>1429</v>
      </c>
      <c r="G202" s="1" t="s">
        <v>220</v>
      </c>
      <c r="H202" s="1" t="s">
        <v>1033</v>
      </c>
      <c r="I202" s="1" t="s">
        <v>612</v>
      </c>
      <c r="L202" s="15" t="s">
        <v>482</v>
      </c>
      <c r="M202" s="15" t="s">
        <v>1900</v>
      </c>
      <c r="N202" s="15">
        <v>1</v>
      </c>
      <c r="O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202" s="15" t="str">
        <f>_xlfn.TEXTBEFORE(_xlfn.TEXTAFTER(CantoralDB[[#This Row],[index.html]],"&gt;"),"&gt;")&amp;"&gt;"</f>
        <v>&lt;a href="canciones/toño_casado/ave_maria.html"&gt;</v>
      </c>
      <c r="W202" s="1"/>
      <c r="X202" s="1"/>
      <c r="Y202" s="1"/>
    </row>
    <row r="203" spans="1:25" hidden="1" x14ac:dyDescent="0.3">
      <c r="A203" s="1">
        <f>ROW(CantoralDB[[#This Row],[Título]])-1</f>
        <v>202</v>
      </c>
      <c r="B203" s="1" t="s">
        <v>3413</v>
      </c>
      <c r="C203" s="1"/>
      <c r="F203" s="1">
        <v>76</v>
      </c>
      <c r="I203" s="1"/>
      <c r="L203" s="15" t="s">
        <v>574</v>
      </c>
      <c r="M203" s="15"/>
      <c r="N203" s="15"/>
      <c r="O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avemaria.html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203" s="15" t="str">
        <f>_xlfn.TEXTBEFORE(_xlfn.TEXTAFTER(CantoralDB[[#This Row],[index.html]],"&gt;"),"&gt;")&amp;"&gt;"</f>
        <v>&lt;a href="canciones/pelayo_sanchez/avemaria.html"&gt;</v>
      </c>
      <c r="W203" s="1"/>
      <c r="X203" s="1"/>
      <c r="Y203" s="1"/>
    </row>
    <row r="204" spans="1:25" hidden="1" x14ac:dyDescent="0.3">
      <c r="A204" s="1">
        <f>ROW(CantoralDB[[#This Row],[Título]])-1</f>
        <v>203</v>
      </c>
      <c r="B204" s="1" t="s">
        <v>3556</v>
      </c>
      <c r="C204" s="1"/>
      <c r="F204" s="1">
        <v>213</v>
      </c>
      <c r="I204" s="1"/>
      <c r="L204" s="15" t="s">
        <v>799</v>
      </c>
      <c r="M204" s="15"/>
      <c r="N204" s="15"/>
      <c r="O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ay_de_mi_si_no_evangelizara.html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204" s="15" t="str">
        <f>_xlfn.TEXTBEFORE(_xlfn.TEXTAFTER(CantoralDB[[#This Row],[index.html]],"&gt;"),"&gt;")&amp;"&gt;"</f>
        <v>&lt;a href="canciones/nuevas/ay_de_mi_si_no_evangelizara.html"&gt;</v>
      </c>
      <c r="W204" s="1"/>
      <c r="X204" s="1"/>
      <c r="Y204" s="1"/>
    </row>
    <row r="205" spans="1:25" hidden="1" x14ac:dyDescent="0.3">
      <c r="A205" s="1">
        <f>ROW(CantoralDB[[#This Row],[Título]])-1</f>
        <v>204</v>
      </c>
      <c r="B205" s="1" t="s">
        <v>551</v>
      </c>
      <c r="C205" s="1" t="s">
        <v>476</v>
      </c>
      <c r="D205" s="1" t="s">
        <v>1430</v>
      </c>
      <c r="H205" s="1" t="s">
        <v>1037</v>
      </c>
      <c r="I205" s="1" t="s">
        <v>612</v>
      </c>
      <c r="L205" s="15" t="s">
        <v>2200</v>
      </c>
      <c r="M205" s="15"/>
      <c r="N205" s="15"/>
      <c r="O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ay_del_chiquirritin.html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205" s="15" t="str">
        <f>_xlfn.TEXTBEFORE(_xlfn.TEXTAFTER(CantoralDB[[#This Row],[index.html]],"&gt;"),"&gt;")&amp;"&gt;"</f>
        <v>&lt;a href="canciones/villancicos/ay_del_chiquirritin.html"&gt;</v>
      </c>
      <c r="W205" s="1"/>
      <c r="X205" s="1"/>
      <c r="Y205" s="1"/>
    </row>
    <row r="206" spans="1:25" hidden="1" x14ac:dyDescent="0.3">
      <c r="A206" s="1">
        <f>ROW(CantoralDB[[#This Row],[Título]])-1</f>
        <v>205</v>
      </c>
      <c r="B206" s="1" t="s">
        <v>566</v>
      </c>
      <c r="C206" s="1" t="s">
        <v>201</v>
      </c>
      <c r="D206" s="1" t="s">
        <v>1431</v>
      </c>
      <c r="G206" s="1" t="s">
        <v>557</v>
      </c>
      <c r="H206" s="1" t="s">
        <v>1034</v>
      </c>
      <c r="I206" s="1" t="s">
        <v>612</v>
      </c>
      <c r="L206" s="15" t="s">
        <v>614</v>
      </c>
      <c r="M206" s="15"/>
      <c r="N206" s="15"/>
      <c r="O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ayudame_a_caminar.html</v>
      </c>
      <c r="R206" s="1" t="s">
        <v>811</v>
      </c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206" s="15" t="str">
        <f>_xlfn.TEXTBEFORE(_xlfn.TEXTAFTER(CantoralDB[[#This Row],[index.html]],"&gt;"),"&gt;")&amp;"&gt;"</f>
        <v>&lt;a href="canciones/nsb/ayudame_a_caminar.html"&gt;</v>
      </c>
      <c r="W206" s="1"/>
      <c r="X206" s="1"/>
      <c r="Y206" s="1"/>
    </row>
    <row r="207" spans="1:25" hidden="1" x14ac:dyDescent="0.3">
      <c r="A207" s="1">
        <f>ROW(CantoralDB[[#This Row],[Título]])-1</f>
        <v>206</v>
      </c>
      <c r="B207" s="1" t="s">
        <v>2011</v>
      </c>
      <c r="C207" s="1"/>
      <c r="I207" s="1" t="s">
        <v>612</v>
      </c>
      <c r="L207" s="15" t="s">
        <v>261</v>
      </c>
      <c r="M207" s="15"/>
      <c r="N207" s="15"/>
      <c r="O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baila_y_dejate_de_historias.html</v>
      </c>
      <c r="R207" s="1"/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207" s="15" t="str">
        <f>_xlfn.TEXTBEFORE(_xlfn.TEXTAFTER(CantoralDB[[#This Row],[index.html]],"&gt;"),"&gt;")&amp;"&gt;"</f>
        <v>&lt;a href="canciones/hakuna/baila_y_dejate_de_historias.html"&gt;</v>
      </c>
      <c r="W207" s="1"/>
      <c r="X207" s="1"/>
      <c r="Y207" s="1"/>
    </row>
    <row r="208" spans="1:25" hidden="1" x14ac:dyDescent="0.3">
      <c r="A208" s="1">
        <f>ROW(CantoralDB[[#This Row],[Título]])-1</f>
        <v>207</v>
      </c>
      <c r="B208" s="1" t="s">
        <v>1953</v>
      </c>
      <c r="C208" s="1"/>
      <c r="I208" s="1" t="s">
        <v>612</v>
      </c>
      <c r="L208" s="15" t="s">
        <v>1804</v>
      </c>
      <c r="M208" s="15" t="s">
        <v>1952</v>
      </c>
      <c r="N208" s="15">
        <v>11</v>
      </c>
      <c r="O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bailare.html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href="canciones/ruah/bailare.html"&gt;Bailaré&lt;/a&gt;&lt;/li&gt;</v>
      </c>
      <c r="U208" s="15" t="str">
        <f>_xlfn.TEXTBEFORE(_xlfn.TEXTAFTER(CantoralDB[[#This Row],[index.html]],"&gt;"),"&gt;")&amp;"&gt;"</f>
        <v>&lt;a href="canciones/ruah/bailare.html"&gt;</v>
      </c>
      <c r="W208" s="1"/>
      <c r="X208" s="1"/>
      <c r="Y208" s="1"/>
    </row>
    <row r="209" spans="1:25" hidden="1" x14ac:dyDescent="0.3">
      <c r="A209" s="1">
        <f>ROW(CantoralDB[[#This Row],[Título]])-1</f>
        <v>208</v>
      </c>
      <c r="B209" s="1" t="s">
        <v>310</v>
      </c>
      <c r="C209" s="1" t="s">
        <v>1026</v>
      </c>
      <c r="D209" s="1" t="s">
        <v>1127</v>
      </c>
      <c r="H209" s="1" t="s">
        <v>1032</v>
      </c>
      <c r="I209" s="1" t="s">
        <v>612</v>
      </c>
      <c r="L209" s="15" t="s">
        <v>2201</v>
      </c>
      <c r="M209" s="15"/>
      <c r="N209" s="15"/>
      <c r="O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209" s="15" t="str">
        <f>_xlfn.TEXTBEFORE(_xlfn.TEXTAFTER(CantoralDB[[#This Row],[index.html]],"&gt;"),"&gt;")&amp;"&gt;"</f>
        <v>&lt;a href="canciones/taize/beati_voi_poveri.html"&gt;</v>
      </c>
      <c r="W209" s="1"/>
      <c r="X209" s="1"/>
      <c r="Y209" s="1"/>
    </row>
    <row r="210" spans="1:25" hidden="1" x14ac:dyDescent="0.3">
      <c r="A210" s="1">
        <f>ROW(CantoralDB[[#This Row],[Título]])-1</f>
        <v>209</v>
      </c>
      <c r="B210" s="1" t="s">
        <v>312</v>
      </c>
      <c r="C210" s="1" t="s">
        <v>1026</v>
      </c>
      <c r="D210" s="1" t="s">
        <v>1128</v>
      </c>
      <c r="H210" s="1" t="s">
        <v>1049</v>
      </c>
      <c r="I210" s="1" t="s">
        <v>612</v>
      </c>
      <c r="L210" s="15" t="s">
        <v>2201</v>
      </c>
      <c r="M210" s="15"/>
      <c r="N210" s="15"/>
      <c r="O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210" s="15" t="str">
        <f>_xlfn.TEXTBEFORE(_xlfn.TEXTAFTER(CantoralDB[[#This Row],[index.html]],"&gt;"),"&gt;")&amp;"&gt;"</f>
        <v>&lt;a href="canciones/taize/behüte_mich_gott.html"&gt;</v>
      </c>
      <c r="W210" s="1"/>
      <c r="X210" s="1"/>
      <c r="Y210" s="1"/>
    </row>
    <row r="211" spans="1:25" hidden="1" x14ac:dyDescent="0.3">
      <c r="A211" s="1">
        <f>ROW(CantoralDB[[#This Row],[Título]])-1</f>
        <v>210</v>
      </c>
      <c r="B211" s="1" t="s">
        <v>889</v>
      </c>
      <c r="C211" s="1"/>
      <c r="F211" s="1">
        <v>53</v>
      </c>
      <c r="I211" s="1"/>
      <c r="L211" s="15" t="s">
        <v>799</v>
      </c>
      <c r="M211" s="15"/>
      <c r="N211" s="15"/>
      <c r="O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11" s="15" t="str">
        <f>_xlfn.TEXTBEFORE(_xlfn.TEXTAFTER(CantoralDB[[#This Row],[index.html]],"&gt;"),"&gt;")&amp;"&gt;"</f>
        <v>&lt;a href="canciones/nuevas/bendecid_al_señor.html"&gt;</v>
      </c>
      <c r="W211" s="1"/>
      <c r="X211" s="1"/>
      <c r="Y211" s="1"/>
    </row>
    <row r="212" spans="1:25" hidden="1" x14ac:dyDescent="0.3">
      <c r="A212" s="1">
        <f>ROW(CantoralDB[[#This Row],[Título]])-1</f>
        <v>211</v>
      </c>
      <c r="B212" s="1" t="s">
        <v>889</v>
      </c>
      <c r="C212" s="1"/>
      <c r="F212" s="1">
        <v>364</v>
      </c>
      <c r="I212" s="1"/>
      <c r="L212" s="15" t="s">
        <v>799</v>
      </c>
      <c r="M212" s="15"/>
      <c r="N212" s="15"/>
      <c r="O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12" s="15" t="str">
        <f>_xlfn.TEXTBEFORE(_xlfn.TEXTAFTER(CantoralDB[[#This Row],[index.html]],"&gt;"),"&gt;")&amp;"&gt;"</f>
        <v>&lt;a href="canciones/nuevas/bendecid_al_señor.html"&gt;</v>
      </c>
      <c r="W212" s="1"/>
      <c r="X212" s="1"/>
      <c r="Y212" s="1"/>
    </row>
    <row r="213" spans="1:25" hidden="1" x14ac:dyDescent="0.3">
      <c r="A213" s="1">
        <f>ROW(CantoralDB[[#This Row],[Título]])-1</f>
        <v>212</v>
      </c>
      <c r="B213" s="1" t="s">
        <v>889</v>
      </c>
      <c r="C213" s="1"/>
      <c r="F213" s="1">
        <v>320</v>
      </c>
      <c r="I213" s="1"/>
      <c r="L213" s="15" t="s">
        <v>3652</v>
      </c>
      <c r="M213" s="15"/>
      <c r="N213" s="15"/>
      <c r="O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213" s="15" t="str">
        <f>_xlfn.TEXTBEFORE(_xlfn.TEXTAFTER(CantoralDB[[#This Row],[index.html]],"&gt;"),"&gt;")&amp;"&gt;"</f>
        <v>&lt;a href="canciones/nuevas/bendecid_al_señor.html"&gt;</v>
      </c>
      <c r="W213" s="1"/>
      <c r="X213" s="1"/>
      <c r="Y213" s="1"/>
    </row>
    <row r="214" spans="1:25" hidden="1" x14ac:dyDescent="0.3">
      <c r="A214" s="1">
        <f>ROW(CantoralDB[[#This Row],[Título]])-1</f>
        <v>213</v>
      </c>
      <c r="B214" s="1" t="s">
        <v>889</v>
      </c>
      <c r="C214" s="1"/>
      <c r="F214" s="1">
        <v>133</v>
      </c>
      <c r="I214" s="1"/>
      <c r="L214" s="15" t="s">
        <v>3354</v>
      </c>
      <c r="M214" s="15"/>
      <c r="N214" s="15"/>
      <c r="O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214" s="15" t="str">
        <f>_xlfn.TEXTBEFORE(_xlfn.TEXTAFTER(CantoralDB[[#This Row],[index.html]],"&gt;"),"&gt;")&amp;"&gt;"</f>
        <v>&lt;a href="canciones/lazaro_iparraguirre/bendecid_al_señor.html"&gt;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889</v>
      </c>
      <c r="C215" s="1" t="s">
        <v>1025</v>
      </c>
      <c r="D215" s="1" t="s">
        <v>1129</v>
      </c>
      <c r="H215" s="1" t="s">
        <v>1041</v>
      </c>
      <c r="I215" s="1" t="s">
        <v>612</v>
      </c>
      <c r="L215" s="15" t="s">
        <v>1991</v>
      </c>
      <c r="M215" s="15"/>
      <c r="N215" s="15"/>
      <c r="O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15" s="1" t="s">
        <v>955</v>
      </c>
      <c r="S215" s="1" t="s">
        <v>316</v>
      </c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215" s="15" t="str">
        <f>_xlfn.TEXTBEFORE(_xlfn.TEXTAFTER(CantoralDB[[#This Row],[index.html]],"&gt;"),"&gt;")&amp;"&gt;"</f>
        <v>&lt;a href="canciones/taize/benissez_le_seigneur.html"&gt;</v>
      </c>
      <c r="W215" s="1"/>
      <c r="X215" s="1"/>
      <c r="Y215" s="1"/>
    </row>
    <row r="216" spans="1:25" hidden="1" x14ac:dyDescent="0.3">
      <c r="A216" s="1">
        <f>ROW(CantoralDB[[#This Row],[Título]])-1</f>
        <v>215</v>
      </c>
      <c r="B216" s="1" t="s">
        <v>2081</v>
      </c>
      <c r="C216" s="1"/>
      <c r="I216" s="1" t="s">
        <v>612</v>
      </c>
      <c r="L216" s="15" t="s">
        <v>481</v>
      </c>
      <c r="M216" s="15" t="s">
        <v>1979</v>
      </c>
      <c r="N216" s="15">
        <v>1</v>
      </c>
      <c r="O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bendice_alma_mia_al_señor.html</v>
      </c>
      <c r="R216" s="1"/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216" s="15" t="str">
        <f>_xlfn.TEXTBEFORE(_xlfn.TEXTAFTER(CantoralDB[[#This Row],[index.html]],"&gt;"),"&gt;")&amp;"&gt;"</f>
        <v>&lt;a href="canciones/francisco_palazon/bendice_alma_mia_al_señor.html"&gt;</v>
      </c>
      <c r="W216" s="1"/>
      <c r="X216" s="1"/>
      <c r="Y216" s="1"/>
    </row>
    <row r="217" spans="1:25" hidden="1" x14ac:dyDescent="0.3">
      <c r="A217" s="1">
        <f>ROW(CantoralDB[[#This Row],[Título]])-1</f>
        <v>216</v>
      </c>
      <c r="B217" s="1" t="s">
        <v>26</v>
      </c>
      <c r="C217" s="1"/>
      <c r="I217" s="1"/>
      <c r="L217" s="15" t="s">
        <v>481</v>
      </c>
      <c r="M217" s="15" t="s">
        <v>1978</v>
      </c>
      <c r="N217" s="15">
        <v>10</v>
      </c>
      <c r="O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217" s="15" t="str">
        <f>_xlfn.TEXTBEFORE(_xlfn.TEXTAFTER(CantoralDB[[#This Row],[index.html]],"&gt;"),"&gt;")&amp;"&gt;"</f>
        <v>&lt;a href="canciones/francisco_palazon/bendigamos_al_señor.html"&gt;</v>
      </c>
      <c r="W217" s="1"/>
      <c r="X217" s="1"/>
      <c r="Y217" s="1"/>
    </row>
    <row r="218" spans="1:25" hidden="1" x14ac:dyDescent="0.3">
      <c r="A218" s="1">
        <f>ROW(CantoralDB[[#This Row],[Título]])-1</f>
        <v>217</v>
      </c>
      <c r="B218" s="1" t="s">
        <v>26</v>
      </c>
      <c r="C218" s="1" t="s">
        <v>219</v>
      </c>
      <c r="D218" s="1" t="s">
        <v>1432</v>
      </c>
      <c r="E218" s="1">
        <v>411</v>
      </c>
      <c r="F218" s="1">
        <v>325</v>
      </c>
      <c r="G218" s="1" t="s">
        <v>209</v>
      </c>
      <c r="H218" s="1" t="s">
        <v>1067</v>
      </c>
      <c r="I218" s="1" t="s">
        <v>612</v>
      </c>
      <c r="L218" s="15" t="s">
        <v>574</v>
      </c>
      <c r="M218" s="15"/>
      <c r="N218" s="15"/>
      <c r="O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18" s="1" t="s">
        <v>812</v>
      </c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218" s="15" t="str">
        <f>_xlfn.TEXTBEFORE(_xlfn.TEXTAFTER(CantoralDB[[#This Row],[index.html]],"&gt;"),"&gt;")&amp;"&gt;"</f>
        <v>&lt;a href="canciones/pelayo_sanchez/bendigamos_al_señor.html"&gt;</v>
      </c>
      <c r="W218" s="1"/>
      <c r="X218" s="1"/>
      <c r="Y218" s="1"/>
    </row>
    <row r="219" spans="1:25" hidden="1" x14ac:dyDescent="0.3">
      <c r="A219" s="1">
        <f>ROW(CantoralDB[[#This Row],[Título]])-1</f>
        <v>218</v>
      </c>
      <c r="B219" s="1" t="s">
        <v>313</v>
      </c>
      <c r="C219" s="1"/>
      <c r="I219" s="1"/>
      <c r="L219" s="15" t="s">
        <v>3160</v>
      </c>
      <c r="M219" s="15" t="s">
        <v>891</v>
      </c>
      <c r="N219" s="15">
        <v>5</v>
      </c>
      <c r="O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bendigo_al_señor.html</v>
      </c>
      <c r="R219" s="1" t="s">
        <v>3284</v>
      </c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href="canciones/hermana_glenda/bendigo_al_señor.html"&gt;Bendigo al Señor&lt;/a&gt;&lt;/li&gt;</v>
      </c>
      <c r="U219" s="15" t="str">
        <f>_xlfn.TEXTBEFORE(_xlfn.TEXTAFTER(CantoralDB[[#This Row],[index.html]],"&gt;"),"&gt;")&amp;"&gt;"</f>
        <v>&lt;a href="canciones/hermana_glenda/bendigo_al_señor.html"&gt;</v>
      </c>
      <c r="W219" s="1"/>
      <c r="X219" s="1"/>
      <c r="Y219" s="1"/>
    </row>
    <row r="220" spans="1:25" hidden="1" x14ac:dyDescent="0.3">
      <c r="A220" s="1">
        <f>ROW(CantoralDB[[#This Row],[Título]])-1</f>
        <v>219</v>
      </c>
      <c r="B220" s="1" t="s">
        <v>3400</v>
      </c>
      <c r="C220" s="1"/>
      <c r="F220" s="1">
        <v>62</v>
      </c>
      <c r="I220" s="1"/>
      <c r="L220" s="15" t="s">
        <v>799</v>
      </c>
      <c r="M220" s="15"/>
      <c r="N220" s="15"/>
      <c r="O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bendita_entre_las_mujeres.html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220" s="15" t="str">
        <f>_xlfn.TEXTBEFORE(_xlfn.TEXTAFTER(CantoralDB[[#This Row],[index.html]],"&gt;"),"&gt;")&amp;"&gt;"</f>
        <v>&lt;a href="canciones/nuevas/bendita_entre_las_mujeres.html"&gt;</v>
      </c>
      <c r="W220" s="1"/>
      <c r="X220" s="1"/>
      <c r="Y220" s="1"/>
    </row>
    <row r="221" spans="1:25" hidden="1" x14ac:dyDescent="0.3">
      <c r="A221" s="1">
        <f>ROW(CantoralDB[[#This Row],[Título]])-1</f>
        <v>220</v>
      </c>
      <c r="B221" s="1" t="s">
        <v>3532</v>
      </c>
      <c r="C221" s="1"/>
      <c r="F221" s="1">
        <v>185</v>
      </c>
      <c r="I221" s="1"/>
      <c r="L221" s="15" t="s">
        <v>499</v>
      </c>
      <c r="M221" s="15"/>
      <c r="N221" s="15"/>
      <c r="O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bendita_la_nacion.html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221" s="15" t="str">
        <f>_xlfn.TEXTBEFORE(_xlfn.TEXTAFTER(CantoralDB[[#This Row],[index.html]],"&gt;"),"&gt;")&amp;"&gt;"</f>
        <v>&lt;a href="canciones/brotes_de_olivo/bendita_la_nacion.html"&gt;</v>
      </c>
      <c r="W221" s="1"/>
      <c r="X221" s="1"/>
      <c r="Y221" s="1"/>
    </row>
    <row r="222" spans="1:25" hidden="1" x14ac:dyDescent="0.3">
      <c r="A222" s="1">
        <f>ROW(CantoralDB[[#This Row],[Título]])-1</f>
        <v>221</v>
      </c>
      <c r="B222" s="1" t="s">
        <v>1263</v>
      </c>
      <c r="C222" s="1"/>
      <c r="I222" s="1" t="s">
        <v>612</v>
      </c>
      <c r="L222" s="15" t="s">
        <v>261</v>
      </c>
      <c r="M222" s="15"/>
      <c r="N222" s="15"/>
      <c r="O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222" s="15" t="str">
        <f>_xlfn.TEXTBEFORE(_xlfn.TEXTAFTER(CantoralDB[[#This Row],[index.html]],"&gt;"),"&gt;")&amp;"&gt;"</f>
        <v>&lt;a href="canciones/hakuna/bendita_sea_tu_pureza.html"&gt;</v>
      </c>
      <c r="W222" s="1"/>
      <c r="X222" s="1"/>
      <c r="Y222" s="1"/>
    </row>
    <row r="223" spans="1:25" hidden="1" x14ac:dyDescent="0.3">
      <c r="A223" s="1">
        <f>ROW(CantoralDB[[#This Row],[Título]])-1</f>
        <v>222</v>
      </c>
      <c r="B223" s="1" t="s">
        <v>1263</v>
      </c>
      <c r="C223" s="1"/>
      <c r="I223" s="1"/>
      <c r="L223" s="15" t="s">
        <v>3160</v>
      </c>
      <c r="M223" s="15" t="s">
        <v>3190</v>
      </c>
      <c r="N223" s="15">
        <v>6</v>
      </c>
      <c r="O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href="canciones/hermana_glenda/bendita_sea_tu_pureza.html"&gt;Bendita sea tu pureza&lt;/a&gt;&lt;/li&gt;</v>
      </c>
      <c r="U223" s="15" t="str">
        <f>_xlfn.TEXTBEFORE(_xlfn.TEXTAFTER(CantoralDB[[#This Row],[index.html]],"&gt;"),"&gt;")&amp;"&gt;"</f>
        <v>&lt;a href="canciones/hermana_glenda/bendita_sea_tu_pureza.html"&gt;</v>
      </c>
      <c r="W223" s="1"/>
      <c r="X223" s="1"/>
      <c r="Y223" s="1"/>
    </row>
    <row r="224" spans="1:25" hidden="1" x14ac:dyDescent="0.3">
      <c r="A224" s="1">
        <f>ROW(CantoralDB[[#This Row],[Título]])-1</f>
        <v>223</v>
      </c>
      <c r="B224" s="1" t="s">
        <v>1992</v>
      </c>
      <c r="C224" s="1"/>
      <c r="I224" s="1" t="s">
        <v>612</v>
      </c>
      <c r="L224" s="15" t="s">
        <v>261</v>
      </c>
      <c r="M224" s="15"/>
      <c r="N224" s="15"/>
      <c r="O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bendito.html</v>
      </c>
      <c r="R224" s="1"/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href="canciones/hakuna/bendito.html"&gt;Bendito&lt;/a&gt;&lt;/li&gt;</v>
      </c>
      <c r="U224" s="15" t="str">
        <f>_xlfn.TEXTBEFORE(_xlfn.TEXTAFTER(CantoralDB[[#This Row],[index.html]],"&gt;"),"&gt;")&amp;"&gt;"</f>
        <v>&lt;a href="canciones/hakuna/bendito.html"&gt;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888</v>
      </c>
      <c r="C225" s="1" t="s">
        <v>1025</v>
      </c>
      <c r="D225" s="1" t="s">
        <v>1130</v>
      </c>
      <c r="H225" s="1" t="s">
        <v>1050</v>
      </c>
      <c r="I225" s="1" t="s">
        <v>612</v>
      </c>
      <c r="L225" s="15" t="s">
        <v>1991</v>
      </c>
      <c r="M225" s="15"/>
      <c r="N225" s="15"/>
      <c r="O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25" s="1" t="s">
        <v>954</v>
      </c>
      <c r="S225" s="1" t="s">
        <v>314</v>
      </c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225" s="15" t="str">
        <f>_xlfn.TEXTBEFORE(_xlfn.TEXTAFTER(CantoralDB[[#This Row],[index.html]],"&gt;"),"&gt;")&amp;"&gt;"</f>
        <v>&lt;a href="canciones/taize/benedictus_qui_venit_(canon).html"&gt;</v>
      </c>
      <c r="W225" s="1"/>
      <c r="X225" s="1"/>
      <c r="Y225" s="1"/>
    </row>
    <row r="226" spans="1:25" hidden="1" x14ac:dyDescent="0.3">
      <c r="A226" s="1">
        <f>ROW(CantoralDB[[#This Row],[Título]])-1</f>
        <v>225</v>
      </c>
      <c r="B226" s="1" t="s">
        <v>3185</v>
      </c>
      <c r="C226" s="1"/>
      <c r="I226" s="1"/>
      <c r="L226" s="15" t="s">
        <v>3160</v>
      </c>
      <c r="M226" s="15" t="s">
        <v>3175</v>
      </c>
      <c r="N226" s="15">
        <v>11</v>
      </c>
      <c r="O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bendito_sea_dios.html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href="canciones/hermana_glenda/bendito_sea_dios.html"&gt;Bendito sea Dios&lt;/a&gt;&lt;/li&gt;</v>
      </c>
      <c r="U226" s="15" t="str">
        <f>_xlfn.TEXTBEFORE(_xlfn.TEXTAFTER(CantoralDB[[#This Row],[index.html]],"&gt;"),"&gt;")&amp;"&gt;"</f>
        <v>&lt;a href="canciones/hermana_glenda/bendito_sea_dios.html"&gt;</v>
      </c>
      <c r="W226" s="1"/>
      <c r="X226" s="1"/>
      <c r="Y226" s="1"/>
    </row>
    <row r="227" spans="1:25" hidden="1" x14ac:dyDescent="0.3">
      <c r="A227" s="1">
        <f>ROW(CantoralDB[[#This Row],[Título]])-1</f>
        <v>226</v>
      </c>
      <c r="B227" s="1" t="s">
        <v>3734</v>
      </c>
      <c r="C227" s="1"/>
      <c r="F227" s="1">
        <v>390</v>
      </c>
      <c r="I227" s="1"/>
      <c r="L227" s="15" t="s">
        <v>3733</v>
      </c>
      <c r="M227" s="15"/>
      <c r="N227" s="15"/>
      <c r="O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bendito_sea_el_señor.html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227" s="15" t="str">
        <f>_xlfn.TEXTBEFORE(_xlfn.TEXTAFTER(CantoralDB[[#This Row],[index.html]],"&gt;"),"&gt;")&amp;"&gt;"</f>
        <v>&lt;a href="canciones/nuevas/bendito_sea_el_señor.html"&gt;</v>
      </c>
      <c r="W227" s="1"/>
      <c r="X227" s="1"/>
      <c r="Y227" s="1"/>
    </row>
    <row r="228" spans="1:25" hidden="1" x14ac:dyDescent="0.3">
      <c r="A228" s="1">
        <f>ROW(CantoralDB[[#This Row],[Título]])-1</f>
        <v>227</v>
      </c>
      <c r="B228" s="1" t="s">
        <v>3452</v>
      </c>
      <c r="C228" s="1"/>
      <c r="F228" s="1">
        <v>116</v>
      </c>
      <c r="I228" s="1"/>
      <c r="L228" s="15" t="s">
        <v>799</v>
      </c>
      <c r="M228" s="15"/>
      <c r="N228" s="15"/>
      <c r="O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bendito_sea_tu_nombre.html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href="canciones/nuevas/bendito_sea_tu_nombre.html"&gt;Bendito sea tu nombre&lt;/a&gt;&lt;/li&gt;</v>
      </c>
      <c r="U228" s="15" t="str">
        <f>_xlfn.TEXTBEFORE(_xlfn.TEXTAFTER(CantoralDB[[#This Row],[index.html]],"&gt;"),"&gt;")&amp;"&gt;"</f>
        <v>&lt;a href="canciones/nuevas/bendito_sea_tu_nombre.html"&gt;</v>
      </c>
      <c r="W228" s="1"/>
      <c r="X228" s="1"/>
      <c r="Y228" s="1"/>
    </row>
    <row r="229" spans="1:25" hidden="1" x14ac:dyDescent="0.3">
      <c r="A229" s="1">
        <f>ROW(CantoralDB[[#This Row],[Título]])-1</f>
        <v>228</v>
      </c>
      <c r="B229" s="1" t="s">
        <v>1970</v>
      </c>
      <c r="C229" s="1"/>
      <c r="I229" s="1" t="s">
        <v>612</v>
      </c>
      <c r="L229" s="15" t="s">
        <v>481</v>
      </c>
      <c r="M229" s="15" t="s">
        <v>21</v>
      </c>
      <c r="N229" s="15">
        <v>5</v>
      </c>
      <c r="O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bendito_seas_señor.html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229" s="15" t="str">
        <f>_xlfn.TEXTBEFORE(_xlfn.TEXTAFTER(CantoralDB[[#This Row],[index.html]],"&gt;"),"&gt;")&amp;"&gt;"</f>
        <v>&lt;a href="canciones/francisco_palazon/bendito_seas_señor.html"&gt;</v>
      </c>
      <c r="W229" s="1"/>
      <c r="X229" s="1"/>
      <c r="Y229" s="1"/>
    </row>
    <row r="230" spans="1:25" hidden="1" x14ac:dyDescent="0.3">
      <c r="A230" s="1">
        <f>ROW(CantoralDB[[#This Row],[Título]])-1</f>
        <v>229</v>
      </c>
      <c r="B230" s="1" t="s">
        <v>1829</v>
      </c>
      <c r="C230" s="1"/>
      <c r="I230" s="1" t="s">
        <v>612</v>
      </c>
      <c r="L230" s="15" t="s">
        <v>501</v>
      </c>
      <c r="M230" s="15" t="s">
        <v>1550</v>
      </c>
      <c r="N230" s="15">
        <v>11</v>
      </c>
      <c r="O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href="canciones/ain_karem/benedictus.html"&gt;Benedictus&lt;/a&gt;&lt;/li&gt;</v>
      </c>
      <c r="U230" s="15" t="str">
        <f>_xlfn.TEXTBEFORE(_xlfn.TEXTAFTER(CantoralDB[[#This Row],[index.html]],"&gt;"),"&gt;")&amp;"&gt;"</f>
        <v>&lt;a href="canciones/ain_karem/benedictus.html"&gt;</v>
      </c>
      <c r="W230" s="1"/>
      <c r="X230" s="1"/>
      <c r="Y230" s="1"/>
    </row>
    <row r="231" spans="1:25" hidden="1" x14ac:dyDescent="0.3">
      <c r="A231" s="1">
        <f>ROW(CantoralDB[[#This Row],[Título]])-1</f>
        <v>230</v>
      </c>
      <c r="B231" s="1" t="s">
        <v>314</v>
      </c>
      <c r="C231" s="1" t="s">
        <v>1026</v>
      </c>
      <c r="D231" s="1" t="s">
        <v>1130</v>
      </c>
      <c r="H231" s="1" t="s">
        <v>1050</v>
      </c>
      <c r="I231" s="1" t="s">
        <v>612</v>
      </c>
      <c r="L231" s="15" t="s">
        <v>2201</v>
      </c>
      <c r="M231" s="15"/>
      <c r="N231" s="15"/>
      <c r="O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231" s="15" t="str">
        <f>_xlfn.TEXTBEFORE(_xlfn.TEXTAFTER(CantoralDB[[#This Row],[index.html]],"&gt;"),"&gt;")&amp;"&gt;"</f>
        <v>&lt;a href="canciones/taize/benedictus_qui_venit_(canon).html"&gt;</v>
      </c>
      <c r="W231" s="1"/>
      <c r="X231" s="1"/>
      <c r="Y231" s="1"/>
    </row>
    <row r="232" spans="1:25" hidden="1" x14ac:dyDescent="0.3">
      <c r="A232" s="1">
        <f>ROW(CantoralDB[[#This Row],[Título]])-1</f>
        <v>231</v>
      </c>
      <c r="B232" s="1" t="s">
        <v>316</v>
      </c>
      <c r="C232" s="1" t="s">
        <v>1026</v>
      </c>
      <c r="D232" s="1" t="s">
        <v>1129</v>
      </c>
      <c r="H232" s="1" t="s">
        <v>1041</v>
      </c>
      <c r="I232" s="1" t="s">
        <v>612</v>
      </c>
      <c r="L232" s="15" t="s">
        <v>2201</v>
      </c>
      <c r="M232" s="15"/>
      <c r="N232" s="15"/>
      <c r="O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232" s="15" t="str">
        <f>_xlfn.TEXTBEFORE(_xlfn.TEXTAFTER(CantoralDB[[#This Row],[index.html]],"&gt;"),"&gt;")&amp;"&gt;"</f>
        <v>&lt;a href="canciones/taize/benissez_le_seigneur.html"&gt;</v>
      </c>
      <c r="W232" s="1"/>
      <c r="X232" s="1"/>
      <c r="Y232" s="1"/>
    </row>
    <row r="233" spans="1:25" hidden="1" x14ac:dyDescent="0.3">
      <c r="A233" s="1">
        <f>ROW(CantoralDB[[#This Row],[Título]])-1</f>
        <v>232</v>
      </c>
      <c r="B233" s="1" t="s">
        <v>2012</v>
      </c>
      <c r="C233" s="1"/>
      <c r="I233" s="1" t="s">
        <v>612</v>
      </c>
      <c r="L233" s="15" t="s">
        <v>261</v>
      </c>
      <c r="M233" s="15"/>
      <c r="N233" s="15"/>
      <c r="O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bien_amado_señor.html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233" s="15" t="str">
        <f>_xlfn.TEXTBEFORE(_xlfn.TEXTAFTER(CantoralDB[[#This Row],[index.html]],"&gt;"),"&gt;")&amp;"&gt;"</f>
        <v>&lt;a href="canciones/hakuna/bien_amado_señor.html"&gt;</v>
      </c>
      <c r="W233" s="1"/>
      <c r="X233" s="1"/>
      <c r="Y233" s="1"/>
    </row>
    <row r="234" spans="1:25" hidden="1" x14ac:dyDescent="0.3">
      <c r="A234" s="1">
        <f>ROW(CantoralDB[[#This Row],[Título]])-1</f>
        <v>233</v>
      </c>
      <c r="B234" s="1" t="s">
        <v>27</v>
      </c>
      <c r="C234" s="1" t="s">
        <v>997</v>
      </c>
      <c r="D234" s="1" t="s">
        <v>690</v>
      </c>
      <c r="E234" s="1">
        <v>34</v>
      </c>
      <c r="G234" s="1" t="s">
        <v>209</v>
      </c>
      <c r="H234" s="1" t="s">
        <v>1065</v>
      </c>
      <c r="I234" s="1" t="s">
        <v>612</v>
      </c>
      <c r="L234" s="15" t="s">
        <v>547</v>
      </c>
      <c r="M234" s="15"/>
      <c r="N234" s="15"/>
      <c r="O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bienaventurados_seremos_señor.html</v>
      </c>
      <c r="R234" s="1" t="s">
        <v>813</v>
      </c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34" s="15" t="str">
        <f>_xlfn.TEXTBEFORE(_xlfn.TEXTAFTER(CantoralDB[[#This Row],[index.html]],"&gt;"),"&gt;")&amp;"&gt;"</f>
        <v>&lt;a href="canciones/emilio_vicente_mateu/bienaventurados_seremos_señor.html"&gt;</v>
      </c>
      <c r="W234" s="1"/>
      <c r="X234" s="1"/>
      <c r="Y234" s="1"/>
    </row>
    <row r="235" spans="1:25" hidden="1" x14ac:dyDescent="0.3">
      <c r="A235" s="1">
        <f>ROW(CantoralDB[[#This Row],[Título]])-1</f>
        <v>234</v>
      </c>
      <c r="B235" s="1" t="s">
        <v>173</v>
      </c>
      <c r="C235" s="1" t="s">
        <v>997</v>
      </c>
      <c r="D235" s="1" t="s">
        <v>688</v>
      </c>
      <c r="G235" s="1" t="s">
        <v>209</v>
      </c>
      <c r="H235" s="1" t="s">
        <v>1039</v>
      </c>
      <c r="I235" s="1" t="s">
        <v>612</v>
      </c>
      <c r="L235" s="15" t="s">
        <v>482</v>
      </c>
      <c r="M235" s="15" t="s">
        <v>1900</v>
      </c>
      <c r="N235" s="15">
        <v>2</v>
      </c>
      <c r="O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bienaventuranzas_(33_el_musical).html</v>
      </c>
      <c r="R235" s="1" t="s">
        <v>813</v>
      </c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235" s="15" t="str">
        <f>_xlfn.TEXTBEFORE(_xlfn.TEXTAFTER(CantoralDB[[#This Row],[index.html]],"&gt;"),"&gt;")&amp;"&gt;"</f>
        <v>&lt;a href="canciones/toño_casado/bienaventuranzas_(33_el_musical).html"&gt;</v>
      </c>
      <c r="W235" s="1"/>
      <c r="X235" s="1"/>
      <c r="Y235" s="1"/>
    </row>
    <row r="236" spans="1:25" hidden="1" x14ac:dyDescent="0.3">
      <c r="A236" s="1">
        <f>ROW(CantoralDB[[#This Row],[Título]])-1</f>
        <v>235</v>
      </c>
      <c r="B236" s="1" t="s">
        <v>174</v>
      </c>
      <c r="C236" s="1" t="s">
        <v>997</v>
      </c>
      <c r="D236" s="1" t="s">
        <v>689</v>
      </c>
      <c r="G236" s="1" t="s">
        <v>209</v>
      </c>
      <c r="H236" s="1" t="s">
        <v>533</v>
      </c>
      <c r="I236" s="1" t="s">
        <v>612</v>
      </c>
      <c r="L236" s="15" t="s">
        <v>484</v>
      </c>
      <c r="M236" s="15" t="s">
        <v>1534</v>
      </c>
      <c r="N236" s="15">
        <v>9</v>
      </c>
      <c r="O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bienaventuranzas_(kairoi).html</v>
      </c>
      <c r="R236" s="1" t="s">
        <v>814</v>
      </c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236" s="15" t="str">
        <f>_xlfn.TEXTBEFORE(_xlfn.TEXTAFTER(CantoralDB[[#This Row],[index.html]],"&gt;"),"&gt;")&amp;"&gt;"</f>
        <v>&lt;a href="canciones/kairoi/bienaventuranzas_(kairoi).html"&gt;</v>
      </c>
      <c r="W236" s="1"/>
      <c r="X236" s="1"/>
      <c r="Y236" s="1"/>
    </row>
    <row r="237" spans="1:25" hidden="1" x14ac:dyDescent="0.3">
      <c r="A237" s="1">
        <f>ROW(CantoralDB[[#This Row],[Título]])-1</f>
        <v>236</v>
      </c>
      <c r="B237" s="1" t="s">
        <v>245</v>
      </c>
      <c r="C237" s="1"/>
      <c r="F237" s="1">
        <v>252</v>
      </c>
      <c r="I237" s="1"/>
      <c r="L237" s="15" t="s">
        <v>799</v>
      </c>
      <c r="M237" s="15"/>
      <c r="N237" s="15"/>
      <c r="O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href="canciones/nuevas/bienvenidos.html"&gt;Bienvenidos&lt;/a&gt;&lt;/li&gt;</v>
      </c>
      <c r="U237" s="15" t="str">
        <f>_xlfn.TEXTBEFORE(_xlfn.TEXTAFTER(CantoralDB[[#This Row],[index.html]],"&gt;"),"&gt;")&amp;"&gt;"</f>
        <v>&lt;a href="canciones/nuevas/bienvenidos.html"&gt;</v>
      </c>
      <c r="W237" s="1"/>
      <c r="X237" s="1"/>
      <c r="Y237" s="1"/>
    </row>
    <row r="238" spans="1:25" hidden="1" x14ac:dyDescent="0.3">
      <c r="A238" s="1">
        <f>ROW(CantoralDB[[#This Row],[Título]])-1</f>
        <v>237</v>
      </c>
      <c r="B238" s="1" t="s">
        <v>245</v>
      </c>
      <c r="C238" s="1" t="s">
        <v>191</v>
      </c>
      <c r="D238" s="1" t="s">
        <v>1433</v>
      </c>
      <c r="G238" s="1" t="s">
        <v>220</v>
      </c>
      <c r="H238" s="1" t="s">
        <v>534</v>
      </c>
      <c r="I238" s="1" t="s">
        <v>612</v>
      </c>
      <c r="L238" s="15" t="s">
        <v>482</v>
      </c>
      <c r="M238" s="15" t="s">
        <v>1899</v>
      </c>
      <c r="N238" s="15">
        <v>1</v>
      </c>
      <c r="O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238" s="15" t="str">
        <f>_xlfn.TEXTBEFORE(_xlfn.TEXTAFTER(CantoralDB[[#This Row],[index.html]],"&gt;"),"&gt;")&amp;"&gt;"</f>
        <v>&lt;a href="canciones/toño_casado/bienvenidos.html"&gt;</v>
      </c>
      <c r="W238" s="1"/>
      <c r="X238" s="1"/>
      <c r="Y238" s="1"/>
    </row>
    <row r="239" spans="1:25" hidden="1" x14ac:dyDescent="0.3">
      <c r="A239" s="1">
        <f>ROW(CantoralDB[[#This Row],[Título]])-1</f>
        <v>238</v>
      </c>
      <c r="B239" s="1" t="s">
        <v>318</v>
      </c>
      <c r="C239" s="1" t="s">
        <v>1026</v>
      </c>
      <c r="D239" s="1" t="s">
        <v>1131</v>
      </c>
      <c r="H239" s="1" t="s">
        <v>1069</v>
      </c>
      <c r="I239" s="1" t="s">
        <v>612</v>
      </c>
      <c r="L239" s="15" t="s">
        <v>2201</v>
      </c>
      <c r="M239" s="15"/>
      <c r="N239" s="15"/>
      <c r="O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239" s="15" t="str">
        <f>_xlfn.TEXTBEFORE(_xlfn.TEXTAFTER(CantoralDB[[#This Row],[index.html]],"&gt;"),"&gt;")&amp;"&gt;"</f>
        <v>&lt;a href="canciones/taize/bleibet_hier.html"&gt;</v>
      </c>
      <c r="W239" s="1"/>
      <c r="X239" s="1"/>
      <c r="Y239" s="1"/>
    </row>
    <row r="240" spans="1:25" hidden="1" x14ac:dyDescent="0.3">
      <c r="A240" s="1">
        <f>ROW(CantoralDB[[#This Row],[Título]])-1</f>
        <v>239</v>
      </c>
      <c r="B240" s="1" t="s">
        <v>319</v>
      </c>
      <c r="C240" s="1" t="s">
        <v>1026</v>
      </c>
      <c r="D240" s="1" t="s">
        <v>1132</v>
      </c>
      <c r="H240" s="1" t="s">
        <v>1069</v>
      </c>
      <c r="I240" s="1" t="s">
        <v>612</v>
      </c>
      <c r="L240" s="15" t="s">
        <v>2201</v>
      </c>
      <c r="M240" s="15"/>
      <c r="N240" s="15"/>
      <c r="O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240" s="15" t="str">
        <f>_xlfn.TEXTBEFORE(_xlfn.TEXTAFTER(CantoralDB[[#This Row],[index.html]],"&gt;"),"&gt;")&amp;"&gt;"</f>
        <v>&lt;a href="canciones/taize/bless_the_lord.html"&gt;</v>
      </c>
      <c r="W240" s="1"/>
      <c r="X240" s="1"/>
      <c r="Y240" s="1"/>
    </row>
    <row r="241" spans="1:25" hidden="1" x14ac:dyDescent="0.3">
      <c r="A241" s="1">
        <f>ROW(CantoralDB[[#This Row],[Título]])-1</f>
        <v>240</v>
      </c>
      <c r="B241" s="1" t="s">
        <v>320</v>
      </c>
      <c r="C241" s="1" t="s">
        <v>1026</v>
      </c>
      <c r="D241" s="1" t="s">
        <v>1133</v>
      </c>
      <c r="H241" s="1" t="s">
        <v>1033</v>
      </c>
      <c r="I241" s="1" t="s">
        <v>612</v>
      </c>
      <c r="L241" s="15" t="s">
        <v>2201</v>
      </c>
      <c r="M241" s="15"/>
      <c r="N241" s="15"/>
      <c r="O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241" s="1"/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241" s="15" t="str">
        <f>_xlfn.TEXTBEFORE(_xlfn.TEXTAFTER(CantoralDB[[#This Row],[index.html]],"&gt;"),"&gt;")&amp;"&gt;"</f>
        <v>&lt;a href="canciones/taize/bog_jest_miłością.html"&gt;</v>
      </c>
      <c r="W241" s="1"/>
      <c r="X241" s="1"/>
      <c r="Y241" s="1"/>
    </row>
    <row r="242" spans="1:25" hidden="1" x14ac:dyDescent="0.3">
      <c r="A242" s="1">
        <f>ROW(CantoralDB[[#This Row],[Título]])-1</f>
        <v>241</v>
      </c>
      <c r="B242" s="1" t="s">
        <v>1791</v>
      </c>
      <c r="C242" s="1"/>
      <c r="I242" s="1" t="s">
        <v>612</v>
      </c>
      <c r="L242" s="15" t="s">
        <v>501</v>
      </c>
      <c r="M242" s="15" t="s">
        <v>1547</v>
      </c>
      <c r="N242" s="15">
        <v>5</v>
      </c>
      <c r="O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boga_mar_adentro.html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242" s="15" t="str">
        <f>_xlfn.TEXTBEFORE(_xlfn.TEXTAFTER(CantoralDB[[#This Row],[index.html]],"&gt;"),"&gt;")&amp;"&gt;"</f>
        <v>&lt;a href="canciones/ain_karem/boga_mar_adentro.html"&gt;</v>
      </c>
      <c r="W242" s="1"/>
      <c r="X242" s="1"/>
      <c r="Y242" s="1"/>
    </row>
    <row r="243" spans="1:25" hidden="1" x14ac:dyDescent="0.3">
      <c r="A243" s="1">
        <f>ROW(CantoralDB[[#This Row],[Título]])-1</f>
        <v>242</v>
      </c>
      <c r="B243" s="1" t="s">
        <v>321</v>
      </c>
      <c r="C243" s="1" t="s">
        <v>1026</v>
      </c>
      <c r="D243" s="1" t="s">
        <v>1134</v>
      </c>
      <c r="H243" s="1" t="s">
        <v>1039</v>
      </c>
      <c r="I243" s="1" t="s">
        <v>612</v>
      </c>
      <c r="L243" s="15" t="s">
        <v>2201</v>
      </c>
      <c r="M243" s="15"/>
      <c r="N243" s="15"/>
      <c r="O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243" s="15" t="str">
        <f>_xlfn.TEXTBEFORE(_xlfn.TEXTAFTER(CantoralDB[[#This Row],[index.html]],"&gt;"),"&gt;")&amp;"&gt;"</f>
        <v>&lt;a href="canciones/taize/bogoroditse_dievo_1.html"&gt;</v>
      </c>
      <c r="W243" s="1"/>
      <c r="X243" s="1"/>
      <c r="Y243" s="1"/>
    </row>
    <row r="244" spans="1:25" hidden="1" x14ac:dyDescent="0.3">
      <c r="A244" s="1">
        <f>ROW(CantoralDB[[#This Row],[Título]])-1</f>
        <v>243</v>
      </c>
      <c r="B244" s="1" t="s">
        <v>323</v>
      </c>
      <c r="C244" s="1" t="s">
        <v>1026</v>
      </c>
      <c r="D244" s="1" t="s">
        <v>1135</v>
      </c>
      <c r="H244" s="1" t="s">
        <v>1069</v>
      </c>
      <c r="I244" s="1" t="s">
        <v>612</v>
      </c>
      <c r="L244" s="15" t="s">
        <v>2201</v>
      </c>
      <c r="M244" s="15"/>
      <c r="N244" s="15"/>
      <c r="O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244" s="15" t="str">
        <f>_xlfn.TEXTBEFORE(_xlfn.TEXTAFTER(CantoralDB[[#This Row],[index.html]],"&gt;"),"&gt;")&amp;"&gt;"</f>
        <v>&lt;a href="canciones/taize/bonum_est_confidere.html"&gt;</v>
      </c>
      <c r="W244" s="1"/>
      <c r="X244" s="1"/>
      <c r="Y244" s="1"/>
    </row>
    <row r="245" spans="1:25" hidden="1" x14ac:dyDescent="0.3">
      <c r="A245" s="1">
        <f>ROW(CantoralDB[[#This Row],[Título]])-1</f>
        <v>244</v>
      </c>
      <c r="B245" s="1" t="s">
        <v>1944</v>
      </c>
      <c r="C245" s="1"/>
      <c r="I245" s="1" t="s">
        <v>612</v>
      </c>
      <c r="L245" s="15" t="s">
        <v>1804</v>
      </c>
      <c r="M245" s="15" t="s">
        <v>1945</v>
      </c>
      <c r="N245" s="15">
        <v>6</v>
      </c>
      <c r="O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bosque.html</v>
      </c>
      <c r="R245" s="1"/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href="canciones/ruah/bosque.html"&gt;Bosque&lt;/a&gt;&lt;/li&gt;</v>
      </c>
      <c r="U245" s="15" t="str">
        <f>_xlfn.TEXTBEFORE(_xlfn.TEXTAFTER(CantoralDB[[#This Row],[index.html]],"&gt;"),"&gt;")&amp;"&gt;"</f>
        <v>&lt;a href="canciones/ruah/bosque.html"&gt;</v>
      </c>
      <c r="W245" s="1"/>
      <c r="X245" s="1"/>
      <c r="Y245" s="1"/>
    </row>
    <row r="246" spans="1:25" hidden="1" x14ac:dyDescent="0.3">
      <c r="A246" s="1">
        <f>ROW(CantoralDB[[#This Row],[Título]])-1</f>
        <v>245</v>
      </c>
      <c r="B246" s="1" t="s">
        <v>1949</v>
      </c>
      <c r="C246" s="1"/>
      <c r="I246" s="1" t="s">
        <v>612</v>
      </c>
      <c r="L246" s="15" t="s">
        <v>1804</v>
      </c>
      <c r="M246" s="15" t="s">
        <v>1945</v>
      </c>
      <c r="N246" s="15">
        <v>11</v>
      </c>
      <c r="O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brasas.html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href="canciones/ruah/brasas.html"&gt;Brasas&lt;/a&gt;&lt;/li&gt;</v>
      </c>
      <c r="U246" s="15" t="str">
        <f>_xlfn.TEXTBEFORE(_xlfn.TEXTAFTER(CantoralDB[[#This Row],[index.html]],"&gt;"),"&gt;")&amp;"&gt;"</f>
        <v>&lt;a href="canciones/ruah/brasas.html"&gt;</v>
      </c>
      <c r="W246" s="1"/>
      <c r="X246" s="1"/>
      <c r="Y246" s="1"/>
    </row>
    <row r="247" spans="1:25" hidden="1" x14ac:dyDescent="0.3">
      <c r="A247" s="1">
        <f>ROW(CantoralDB[[#This Row],[Título]])-1</f>
        <v>246</v>
      </c>
      <c r="B247" s="1" t="s">
        <v>3343</v>
      </c>
      <c r="C247" s="1"/>
      <c r="F247" s="1">
        <v>12</v>
      </c>
      <c r="I247" s="1"/>
      <c r="L247" s="15" t="s">
        <v>3344</v>
      </c>
      <c r="M247" s="15"/>
      <c r="N247" s="15"/>
      <c r="O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brilla_jesus.html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247" s="15" t="str">
        <f>_xlfn.TEXTBEFORE(_xlfn.TEXTAFTER(CantoralDB[[#This Row],[index.html]],"&gt;"),"&gt;")&amp;"&gt;"</f>
        <v>&lt;a href="canciones/nuevas/brilla_jesus.html"&gt;</v>
      </c>
      <c r="W247" s="1"/>
      <c r="X247" s="1"/>
      <c r="Y247" s="1"/>
    </row>
    <row r="248" spans="1:25" hidden="1" x14ac:dyDescent="0.3">
      <c r="A248" s="1">
        <f>ROW(CantoralDB[[#This Row],[Título]])-1</f>
        <v>247</v>
      </c>
      <c r="B248" s="1" t="s">
        <v>2123</v>
      </c>
      <c r="C248" s="1"/>
      <c r="I248" s="1" t="s">
        <v>612</v>
      </c>
      <c r="L248" s="15" t="s">
        <v>481</v>
      </c>
      <c r="M248" s="15" t="s">
        <v>2105</v>
      </c>
      <c r="N248" s="15">
        <v>8</v>
      </c>
      <c r="O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buen_pastor.html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248" s="15" t="str">
        <f>_xlfn.TEXTBEFORE(_xlfn.TEXTAFTER(CantoralDB[[#This Row],[index.html]],"&gt;"),"&gt;")&amp;"&gt;"</f>
        <v>&lt;a href="canciones/francisco_palazon/buen_pastor.html"&gt;</v>
      </c>
      <c r="W248" s="1"/>
      <c r="X248" s="1"/>
      <c r="Y248" s="1"/>
    </row>
    <row r="249" spans="1:25" hidden="1" x14ac:dyDescent="0.3">
      <c r="A249" s="1">
        <f>ROW(CantoralDB[[#This Row],[Título]])-1</f>
        <v>248</v>
      </c>
      <c r="B249" s="1" t="s">
        <v>1654</v>
      </c>
      <c r="C249" s="1"/>
      <c r="I249" s="1" t="s">
        <v>612</v>
      </c>
      <c r="L249" s="15" t="s">
        <v>484</v>
      </c>
      <c r="M249" s="15" t="s">
        <v>1539</v>
      </c>
      <c r="N249" s="15">
        <v>2</v>
      </c>
      <c r="O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buena_madre.html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href="canciones/kairoi/buena_madre.html"&gt;Buena Madre&lt;/a&gt;&lt;/li&gt;</v>
      </c>
      <c r="U249" s="15" t="str">
        <f>_xlfn.TEXTBEFORE(_xlfn.TEXTAFTER(CantoralDB[[#This Row],[index.html]],"&gt;"),"&gt;")&amp;"&gt;"</f>
        <v>&lt;a href="canciones/kairoi/buena_madre.html"&gt;</v>
      </c>
      <c r="W249" s="1"/>
      <c r="X249" s="1"/>
      <c r="Y249" s="1"/>
    </row>
    <row r="250" spans="1:25" hidden="1" x14ac:dyDescent="0.3">
      <c r="A250" s="1">
        <f>ROW(CantoralDB[[#This Row],[Título]])-1</f>
        <v>249</v>
      </c>
      <c r="B250" s="1" t="s">
        <v>3783</v>
      </c>
      <c r="C250" s="1"/>
      <c r="F250" s="1">
        <v>428</v>
      </c>
      <c r="I250" s="1"/>
      <c r="L250" s="15" t="s">
        <v>799</v>
      </c>
      <c r="M250" s="15"/>
      <c r="N250" s="15"/>
      <c r="O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buenas_noches_maria.html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href="canciones/nuevas/buenas_noches_maria.html"&gt;Buenas noches, María&lt;/a&gt;&lt;/li&gt;</v>
      </c>
      <c r="U250" s="15" t="str">
        <f>_xlfn.TEXTBEFORE(_xlfn.TEXTAFTER(CantoralDB[[#This Row],[index.html]],"&gt;"),"&gt;")&amp;"&gt;"</f>
        <v>&lt;a href="canciones/nuevas/buenas_noches_maria.html"&gt;</v>
      </c>
      <c r="W250" s="1"/>
      <c r="X250" s="1"/>
      <c r="Y250" s="1"/>
    </row>
    <row r="251" spans="1:25" hidden="1" x14ac:dyDescent="0.3">
      <c r="A251" s="1">
        <f>ROW(CantoralDB[[#This Row],[Título]])-1</f>
        <v>250</v>
      </c>
      <c r="B251" s="1" t="s">
        <v>1552</v>
      </c>
      <c r="C251" s="1"/>
      <c r="I251" s="1" t="s">
        <v>612</v>
      </c>
      <c r="L251" s="15" t="s">
        <v>501</v>
      </c>
      <c r="M251" s="15" t="s">
        <v>1552</v>
      </c>
      <c r="N251" s="15">
        <v>8</v>
      </c>
      <c r="O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busca_mi_rostro.html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251" s="15" t="str">
        <f>_xlfn.TEXTBEFORE(_xlfn.TEXTAFTER(CantoralDB[[#This Row],[index.html]],"&gt;"),"&gt;")&amp;"&gt;"</f>
        <v>&lt;a href="canciones/ain_karem/busca_mi_rostro.html"&gt;</v>
      </c>
      <c r="W251" s="1"/>
      <c r="X251" s="1"/>
      <c r="Y251" s="1"/>
    </row>
    <row r="252" spans="1:25" hidden="1" x14ac:dyDescent="0.3">
      <c r="A252" s="1">
        <f>ROW(CantoralDB[[#This Row],[Título]])-1</f>
        <v>251</v>
      </c>
      <c r="B252" s="1" t="s">
        <v>1917</v>
      </c>
      <c r="C252" s="1"/>
      <c r="I252" s="1" t="s">
        <v>612</v>
      </c>
      <c r="L252" s="15" t="s">
        <v>1804</v>
      </c>
      <c r="M252" s="15" t="s">
        <v>1951</v>
      </c>
      <c r="N252" s="15">
        <v>3</v>
      </c>
      <c r="O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cada_mañana.html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href="canciones/ruah/cada_mañana.html"&gt;Cada mañana&lt;/a&gt;&lt;/li&gt;</v>
      </c>
      <c r="U252" s="15" t="str">
        <f>_xlfn.TEXTBEFORE(_xlfn.TEXTAFTER(CantoralDB[[#This Row],[index.html]],"&gt;"),"&gt;")&amp;"&gt;"</f>
        <v>&lt;a href="canciones/ruah/cada_mañana.html"&gt;</v>
      </c>
      <c r="W252" s="1"/>
      <c r="X252" s="1"/>
      <c r="Y252" s="1"/>
    </row>
    <row r="253" spans="1:25" hidden="1" x14ac:dyDescent="0.3">
      <c r="A253" s="1">
        <f>ROW(CantoralDB[[#This Row],[Título]])-1</f>
        <v>252</v>
      </c>
      <c r="B253" s="1" t="s">
        <v>1605</v>
      </c>
      <c r="C253" s="1"/>
      <c r="I253" s="1" t="s">
        <v>612</v>
      </c>
      <c r="L253" s="15" t="s">
        <v>484</v>
      </c>
      <c r="M253" s="15" t="s">
        <v>1529</v>
      </c>
      <c r="N253" s="15">
        <v>4</v>
      </c>
      <c r="O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caminad.html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href="canciones/kairoi/caminad.html"&gt;Caminad&lt;/a&gt;&lt;/li&gt;</v>
      </c>
      <c r="U253" s="15" t="str">
        <f>_xlfn.TEXTBEFORE(_xlfn.TEXTAFTER(CantoralDB[[#This Row],[index.html]],"&gt;"),"&gt;")&amp;"&gt;"</f>
        <v>&lt;a href="canciones/kairoi/caminad.html"&gt;</v>
      </c>
      <c r="W253" s="1"/>
      <c r="X253" s="1"/>
      <c r="Y253" s="1"/>
    </row>
    <row r="254" spans="1:25" hidden="1" x14ac:dyDescent="0.3">
      <c r="A254" s="1">
        <f>ROW(CantoralDB[[#This Row],[Título]])-1</f>
        <v>253</v>
      </c>
      <c r="B254" s="1" t="s">
        <v>1213</v>
      </c>
      <c r="C254" s="1" t="s">
        <v>191</v>
      </c>
      <c r="D254" s="1" t="s">
        <v>1434</v>
      </c>
      <c r="E254" s="1">
        <v>35</v>
      </c>
      <c r="G254" s="1" t="s">
        <v>209</v>
      </c>
      <c r="H254" s="1" t="s">
        <v>1033</v>
      </c>
      <c r="I254" s="1" t="s">
        <v>612</v>
      </c>
      <c r="L254" s="15" t="s">
        <v>491</v>
      </c>
      <c r="M254" s="15"/>
      <c r="N254" s="15"/>
      <c r="O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caminamos_hacia_el_sol.html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254" s="15" t="str">
        <f>_xlfn.TEXTBEFORE(_xlfn.TEXTAFTER(CantoralDB[[#This Row],[index.html]],"&gt;"),"&gt;")&amp;"&gt;"</f>
        <v>&lt;a href="canciones/juan_antonio_espinosa/caminamos_hacia_el_sol.html"&gt;</v>
      </c>
      <c r="W254" s="1"/>
      <c r="X254" s="1"/>
      <c r="Y254" s="1"/>
    </row>
    <row r="255" spans="1:25" hidden="1" x14ac:dyDescent="0.3">
      <c r="A255" s="1">
        <f>ROW(CantoralDB[[#This Row],[Título]])-1</f>
        <v>254</v>
      </c>
      <c r="B255" s="1" t="s">
        <v>28</v>
      </c>
      <c r="C255" s="1" t="s">
        <v>191</v>
      </c>
      <c r="D255" s="1" t="s">
        <v>734</v>
      </c>
      <c r="E255" s="1">
        <v>38</v>
      </c>
      <c r="G255" s="1" t="s">
        <v>209</v>
      </c>
      <c r="H255" s="1" t="s">
        <v>1034</v>
      </c>
      <c r="I255" s="1" t="s">
        <v>612</v>
      </c>
      <c r="L255" s="15" t="s">
        <v>483</v>
      </c>
      <c r="M255" s="15"/>
      <c r="N255" s="15"/>
      <c r="O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caminando_voy.html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55" s="15" t="str">
        <f>_xlfn.TEXTBEFORE(_xlfn.TEXTAFTER(CantoralDB[[#This Row],[index.html]],"&gt;"),"&gt;")&amp;"&gt;"</f>
        <v>&lt;a href="canciones/cesareo_gabarain/caminando_voy.html"&gt;</v>
      </c>
      <c r="W255" s="1"/>
      <c r="X255" s="1"/>
      <c r="Y255" s="1"/>
    </row>
    <row r="256" spans="1:25" hidden="1" x14ac:dyDescent="0.3">
      <c r="A256" s="1">
        <f>ROW(CantoralDB[[#This Row],[Título]])-1</f>
        <v>255</v>
      </c>
      <c r="B256" s="1" t="s">
        <v>1769</v>
      </c>
      <c r="C256" s="1"/>
      <c r="I256" s="1"/>
      <c r="L256" s="15" t="s">
        <v>484</v>
      </c>
      <c r="M256" s="15" t="s">
        <v>1544</v>
      </c>
      <c r="N256" s="15">
        <v>7</v>
      </c>
      <c r="O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256" s="1"/>
      <c r="S256" s="1" t="s">
        <v>535</v>
      </c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256" s="15" t="e">
        <f>_xlfn.TEXTBEFORE(_xlfn.TEXTAFTER(CantoralDB[[#This Row],[index.html]],"&gt;"),"&gt;")&amp;"&gt;"</f>
        <v>#N/A</v>
      </c>
      <c r="W256" s="1"/>
      <c r="X256" s="1"/>
      <c r="Y256" s="1"/>
    </row>
    <row r="257" spans="1:25" hidden="1" x14ac:dyDescent="0.3">
      <c r="A257" s="1">
        <f>ROW(CantoralDB[[#This Row],[Título]])-1</f>
        <v>256</v>
      </c>
      <c r="B257" s="1" t="s">
        <v>1769</v>
      </c>
      <c r="C257" s="1"/>
      <c r="I257" s="1"/>
      <c r="L257" s="15" t="s">
        <v>484</v>
      </c>
      <c r="M257" s="15" t="s">
        <v>1546</v>
      </c>
      <c r="N257" s="15">
        <v>6</v>
      </c>
      <c r="O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257" s="1"/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href="canciones/kairoi/caminar.html"&gt;Caminar&lt;/a&gt;&lt;/li&gt;</v>
      </c>
      <c r="U257" s="15" t="str">
        <f>_xlfn.TEXTBEFORE(_xlfn.TEXTAFTER(CantoralDB[[#This Row],[index.html]],"&gt;"),"&gt;")&amp;"&gt;"</f>
        <v>&lt;a href="canciones/kairoi/caminar.html"&gt;</v>
      </c>
      <c r="W257" s="1"/>
      <c r="X257" s="1"/>
      <c r="Y257" s="1"/>
    </row>
    <row r="258" spans="1:25" hidden="1" x14ac:dyDescent="0.3">
      <c r="A258" s="1">
        <f>ROW(CantoralDB[[#This Row],[Título]])-1</f>
        <v>257</v>
      </c>
      <c r="B258" s="1" t="s">
        <v>1214</v>
      </c>
      <c r="C258" s="1"/>
      <c r="E258" s="1">
        <v>36</v>
      </c>
      <c r="I258" s="1" t="s">
        <v>612</v>
      </c>
      <c r="L258" s="15" t="s">
        <v>481</v>
      </c>
      <c r="M258" s="15" t="s">
        <v>1976</v>
      </c>
      <c r="N258" s="15">
        <v>8</v>
      </c>
      <c r="O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258" s="15" t="str">
        <f>_xlfn.TEXTBEFORE(_xlfn.TEXTAFTER(CantoralDB[[#This Row],[index.html]],"&gt;"),"&gt;")&amp;"&gt;"</f>
        <v>&lt;a href="canciones/francisco_palazon/caminare_en_presencia_del_señor.html"&gt;</v>
      </c>
      <c r="W258" s="1"/>
      <c r="X258" s="1"/>
      <c r="Y258" s="1"/>
    </row>
    <row r="259" spans="1:25" hidden="1" x14ac:dyDescent="0.3">
      <c r="A259" s="1">
        <f>ROW(CantoralDB[[#This Row],[Título]])-1</f>
        <v>258</v>
      </c>
      <c r="B259" s="1" t="s">
        <v>1214</v>
      </c>
      <c r="C259" s="1"/>
      <c r="E259" s="1">
        <v>39</v>
      </c>
      <c r="I259" s="1"/>
      <c r="L259" s="15" t="s">
        <v>491</v>
      </c>
      <c r="M259" s="15"/>
      <c r="N259" s="15"/>
      <c r="O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259" s="15" t="str">
        <f>_xlfn.TEXTBEFORE(_xlfn.TEXTAFTER(CantoralDB[[#This Row],[index.html]],"&gt;"),"&gt;")&amp;"&gt;"</f>
        <v>&lt;a href="canciones/juan_antonio_espinosa/caminare_en_presencia_del_señor.html"&gt;</v>
      </c>
      <c r="W259" s="1"/>
      <c r="X259" s="1"/>
      <c r="Y259" s="1"/>
    </row>
    <row r="260" spans="1:25" hidden="1" x14ac:dyDescent="0.3">
      <c r="A260" s="1">
        <f>ROW(CantoralDB[[#This Row],[Título]])-1</f>
        <v>259</v>
      </c>
      <c r="B260" s="1" t="s">
        <v>615</v>
      </c>
      <c r="C260" s="1" t="s">
        <v>201</v>
      </c>
      <c r="D260" s="1" t="s">
        <v>1435</v>
      </c>
      <c r="G260" s="1" t="s">
        <v>557</v>
      </c>
      <c r="H260" s="1" t="s">
        <v>533</v>
      </c>
      <c r="I260" s="1" t="s">
        <v>612</v>
      </c>
      <c r="L260" s="15" t="s">
        <v>522</v>
      </c>
      <c r="M260" s="15"/>
      <c r="N260" s="15"/>
      <c r="O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caminare_hoy_en_tu_presencia.html</v>
      </c>
      <c r="R260" s="1" t="s">
        <v>815</v>
      </c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260" s="15" t="str">
        <f>_xlfn.TEXTBEFORE(_xlfn.TEXTAFTER(CantoralDB[[#This Row],[index.html]],"&gt;"),"&gt;")&amp;"&gt;"</f>
        <v>&lt;a href="canciones/nsb/caminare_hoy_en_tu_presencia.html"&gt;</v>
      </c>
      <c r="W260" s="1"/>
      <c r="X260" s="1"/>
      <c r="Y260" s="1"/>
    </row>
    <row r="261" spans="1:25" hidden="1" x14ac:dyDescent="0.3">
      <c r="A261" s="1">
        <f>ROW(CantoralDB[[#This Row],[Título]])-1</f>
        <v>260</v>
      </c>
      <c r="B261" s="1" t="s">
        <v>3485</v>
      </c>
      <c r="C261" s="1"/>
      <c r="F261" s="1">
        <v>142</v>
      </c>
      <c r="I261" s="1" t="s">
        <v>612</v>
      </c>
      <c r="L261" s="15" t="s">
        <v>3354</v>
      </c>
      <c r="M261" s="15"/>
      <c r="N261" s="15"/>
      <c r="O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caminaremos.html</v>
      </c>
      <c r="R261" s="1"/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261" s="15" t="str">
        <f>_xlfn.TEXTBEFORE(_xlfn.TEXTAFTER(CantoralDB[[#This Row],[index.html]],"&gt;"),"&gt;")&amp;"&gt;"</f>
        <v>&lt;a href="canciones/lazaro_iparraguirre/caminaremos.html"&gt;</v>
      </c>
      <c r="W261" s="1"/>
      <c r="X261" s="1"/>
      <c r="Y261" s="1"/>
    </row>
    <row r="262" spans="1:25" hidden="1" x14ac:dyDescent="0.3">
      <c r="A262" s="1">
        <f>ROW(CantoralDB[[#This Row],[Título]])-1</f>
        <v>261</v>
      </c>
      <c r="B262" s="1" t="s">
        <v>2107</v>
      </c>
      <c r="C262" s="1"/>
      <c r="I262" s="1"/>
      <c r="L262" s="15" t="s">
        <v>481</v>
      </c>
      <c r="M262" s="15" t="s">
        <v>2104</v>
      </c>
      <c r="N262" s="15">
        <v>2</v>
      </c>
      <c r="O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camino_a_jerico.html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262" s="15" t="str">
        <f>_xlfn.TEXTBEFORE(_xlfn.TEXTAFTER(CantoralDB[[#This Row],[index.html]],"&gt;"),"&gt;")&amp;"&gt;"</f>
        <v>&lt;a href="canciones/francisco_palazon/camino_a_jerico.html"&gt;</v>
      </c>
      <c r="W262" s="1"/>
      <c r="X262" s="1"/>
      <c r="Y262" s="1"/>
    </row>
    <row r="263" spans="1:25" hidden="1" x14ac:dyDescent="0.3">
      <c r="A263" s="1">
        <f>ROW(CantoralDB[[#This Row],[Título]])-1</f>
        <v>262</v>
      </c>
      <c r="B263" s="1" t="s">
        <v>550</v>
      </c>
      <c r="C263" s="1" t="s">
        <v>476</v>
      </c>
      <c r="D263" s="1" t="s">
        <v>1436</v>
      </c>
      <c r="E263" s="1">
        <v>40</v>
      </c>
      <c r="H263" s="1" t="s">
        <v>532</v>
      </c>
      <c r="I263" s="1" t="s">
        <v>612</v>
      </c>
      <c r="L263" s="15" t="s">
        <v>2200</v>
      </c>
      <c r="M263" s="15"/>
      <c r="N263" s="15"/>
      <c r="O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campana_sobre_campana.html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263" s="15" t="str">
        <f>_xlfn.TEXTBEFORE(_xlfn.TEXTAFTER(CantoralDB[[#This Row],[index.html]],"&gt;"),"&gt;")&amp;"&gt;"</f>
        <v>&lt;a href="canciones/villancicos/campana_sobre_campana.html"&gt;</v>
      </c>
      <c r="W263" s="1"/>
      <c r="X263" s="1"/>
      <c r="Y263" s="1"/>
    </row>
    <row r="264" spans="1:25" hidden="1" x14ac:dyDescent="0.3">
      <c r="A264" s="1">
        <f>ROW(CantoralDB[[#This Row],[Título]])-1</f>
        <v>263</v>
      </c>
      <c r="B264" s="1" t="s">
        <v>1817</v>
      </c>
      <c r="C264" s="1"/>
      <c r="I264" s="1" t="s">
        <v>612</v>
      </c>
      <c r="L264" s="15" t="s">
        <v>501</v>
      </c>
      <c r="M264" s="15" t="s">
        <v>1549</v>
      </c>
      <c r="N264" s="15">
        <v>9</v>
      </c>
      <c r="O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cana.html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href="canciones/ain_karem/cana.html"&gt;Caná&lt;/a&gt;&lt;/li&gt;</v>
      </c>
      <c r="U264" s="15" t="str">
        <f>_xlfn.TEXTBEFORE(_xlfn.TEXTAFTER(CantoralDB[[#This Row],[index.html]],"&gt;"),"&gt;")&amp;"&gt;"</f>
        <v>&lt;a href="canciones/ain_karem/cana.html"&gt;</v>
      </c>
      <c r="W264" s="1"/>
      <c r="X264" s="1"/>
      <c r="Y264" s="1"/>
    </row>
    <row r="265" spans="1:25" hidden="1" x14ac:dyDescent="0.3">
      <c r="A265" s="1">
        <f>ROW(CantoralDB[[#This Row],[Título]])-1</f>
        <v>264</v>
      </c>
      <c r="B265" s="1" t="s">
        <v>1709</v>
      </c>
      <c r="C265" s="1"/>
      <c r="I265" s="1"/>
      <c r="L265" s="15" t="s">
        <v>484</v>
      </c>
      <c r="M265" s="15" t="s">
        <v>1537</v>
      </c>
      <c r="N265" s="15">
        <v>10</v>
      </c>
      <c r="O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cancion_de_paz.html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265" s="15" t="str">
        <f>_xlfn.TEXTBEFORE(_xlfn.TEXTAFTER(CantoralDB[[#This Row],[index.html]],"&gt;"),"&gt;")&amp;"&gt;"</f>
        <v>&lt;a href="canciones/kairoi/cancion_de_paz.html"&gt;</v>
      </c>
      <c r="W265" s="1"/>
      <c r="X265" s="1"/>
      <c r="Y265" s="1"/>
    </row>
    <row r="266" spans="1:25" hidden="1" x14ac:dyDescent="0.3">
      <c r="A266" s="1">
        <f>ROW(CantoralDB[[#This Row],[Título]])-1</f>
        <v>265</v>
      </c>
      <c r="B266" s="1" t="s">
        <v>3790</v>
      </c>
      <c r="C266" s="1"/>
      <c r="F266" s="1">
        <v>435</v>
      </c>
      <c r="I266" s="1"/>
      <c r="L266" s="15" t="s">
        <v>3104</v>
      </c>
      <c r="M266" s="15"/>
      <c r="N266" s="15"/>
      <c r="O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cansado_del_camino.html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266" s="15" t="str">
        <f>_xlfn.TEXTBEFORE(_xlfn.TEXTAFTER(CantoralDB[[#This Row],[index.html]],"&gt;"),"&gt;")&amp;"&gt;"</f>
        <v>&lt;a href="canciones/nuevas/cansado_del_camino.html"&gt;</v>
      </c>
      <c r="W266" s="1"/>
      <c r="X266" s="1"/>
      <c r="Y266" s="1"/>
    </row>
    <row r="267" spans="1:25" hidden="1" x14ac:dyDescent="0.3">
      <c r="A267" s="1">
        <f>ROW(CantoralDB[[#This Row],[Título]])-1</f>
        <v>266</v>
      </c>
      <c r="B267" s="1" t="s">
        <v>29</v>
      </c>
      <c r="C267" s="1" t="s">
        <v>194</v>
      </c>
      <c r="D267" s="1" t="s">
        <v>994</v>
      </c>
      <c r="E267" s="1">
        <v>413</v>
      </c>
      <c r="F267" s="1">
        <v>152</v>
      </c>
      <c r="G267" s="1" t="s">
        <v>209</v>
      </c>
      <c r="H267" s="1" t="s">
        <v>1051</v>
      </c>
      <c r="I267" s="1" t="s">
        <v>612</v>
      </c>
      <c r="L267" s="15" t="s">
        <v>590</v>
      </c>
      <c r="M267" s="15"/>
      <c r="N267" s="15"/>
      <c r="O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canta_aleluya.html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267" s="15" t="str">
        <f>_xlfn.TEXTBEFORE(_xlfn.TEXTAFTER(CantoralDB[[#This Row],[index.html]],"&gt;"),"&gt;")&amp;"&gt;"</f>
        <v>&lt;a href="canciones/nsb/canta_aleluya.html"&gt;</v>
      </c>
      <c r="W267" s="1"/>
      <c r="X267" s="1"/>
      <c r="Y267" s="1"/>
    </row>
    <row r="268" spans="1:25" hidden="1" x14ac:dyDescent="0.3">
      <c r="A268" s="1">
        <f>ROW(CantoralDB[[#This Row],[Título]])-1</f>
        <v>267</v>
      </c>
      <c r="B268" s="1" t="s">
        <v>1583</v>
      </c>
      <c r="C268" s="1"/>
      <c r="I268" s="1" t="s">
        <v>612</v>
      </c>
      <c r="L268" s="15" t="s">
        <v>484</v>
      </c>
      <c r="M268" s="15" t="s">
        <v>1525</v>
      </c>
      <c r="N268" s="15">
        <v>12</v>
      </c>
      <c r="O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canta_jerusalen.html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268" s="15" t="str">
        <f>_xlfn.TEXTBEFORE(_xlfn.TEXTAFTER(CantoralDB[[#This Row],[index.html]],"&gt;"),"&gt;")&amp;"&gt;"</f>
        <v>&lt;a href="canciones/kairoi/canta_jerusalen.html"&gt;</v>
      </c>
      <c r="W268" s="1"/>
      <c r="X268" s="1"/>
      <c r="Y268" s="1"/>
    </row>
    <row r="269" spans="1:25" hidden="1" x14ac:dyDescent="0.3">
      <c r="A269" s="1">
        <f>ROW(CantoralDB[[#This Row],[Título]])-1</f>
        <v>268</v>
      </c>
      <c r="B269" s="1" t="s">
        <v>30</v>
      </c>
      <c r="C269" s="1" t="s">
        <v>201</v>
      </c>
      <c r="D269" s="1" t="s">
        <v>1437</v>
      </c>
      <c r="E269" s="1">
        <v>45</v>
      </c>
      <c r="G269" s="1" t="s">
        <v>209</v>
      </c>
      <c r="H269" s="1" t="s">
        <v>1039</v>
      </c>
      <c r="I269" s="1" t="s">
        <v>612</v>
      </c>
      <c r="L269" s="15" t="s">
        <v>498</v>
      </c>
      <c r="M269" s="15"/>
      <c r="N269" s="15"/>
      <c r="O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cantad_a_dios.html</v>
      </c>
      <c r="R269" s="1" t="s">
        <v>816</v>
      </c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data-nnew="D07" data-nold="45"&gt;&lt;a href="canciones/pedro_nuñez/cantad_a_dios.html"&gt;Cantad a Dios&lt;/a&gt;&lt;/li&gt;</v>
      </c>
      <c r="U269" s="15" t="str">
        <f>_xlfn.TEXTBEFORE(_xlfn.TEXTAFTER(CantoralDB[[#This Row],[index.html]],"&gt;"),"&gt;")&amp;"&gt;"</f>
        <v>&lt;a href="canciones/pedro_nuñez/cantad_a_dios.html"&gt;</v>
      </c>
      <c r="W269" s="1"/>
      <c r="X269" s="1"/>
      <c r="Y269" s="1"/>
    </row>
    <row r="270" spans="1:25" hidden="1" x14ac:dyDescent="0.3">
      <c r="A270" s="1">
        <f>ROW(CantoralDB[[#This Row],[Título]])-1</f>
        <v>269</v>
      </c>
      <c r="B270" s="1" t="s">
        <v>1862</v>
      </c>
      <c r="C270" s="1"/>
      <c r="I270" s="1" t="s">
        <v>612</v>
      </c>
      <c r="L270" s="15" t="s">
        <v>501</v>
      </c>
      <c r="M270" s="15" t="s">
        <v>1554</v>
      </c>
      <c r="N270" s="15">
        <v>8</v>
      </c>
      <c r="O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cantad_al_señor.html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270" s="15" t="str">
        <f>_xlfn.TEXTBEFORE(_xlfn.TEXTAFTER(CantoralDB[[#This Row],[index.html]],"&gt;"),"&gt;")&amp;"&gt;"</f>
        <v>&lt;a href="canciones/ain_karem/cantad_al_señor.html"&gt;</v>
      </c>
      <c r="W270" s="1"/>
      <c r="X270" s="1"/>
      <c r="Y270" s="1"/>
    </row>
    <row r="271" spans="1:25" hidden="1" x14ac:dyDescent="0.3">
      <c r="A271" s="1">
        <f>ROW(CantoralDB[[#This Row],[Título]])-1</f>
        <v>270</v>
      </c>
      <c r="B271" s="1" t="s">
        <v>1219</v>
      </c>
      <c r="C271" s="1"/>
      <c r="E271" s="1">
        <v>46</v>
      </c>
      <c r="I271" s="1"/>
      <c r="L271" s="15" t="s">
        <v>517</v>
      </c>
      <c r="M271" s="15"/>
      <c r="N271" s="15"/>
      <c r="O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cantan_los_angeles_en_belen.html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data-nold="46"&gt;&lt;a href="canciones/gregorio_fernandez/cantan_los_angeles_en_belen.html"&gt;Cantan los ángeles en Belén&lt;/a&gt;&lt;/li&gt;</v>
      </c>
      <c r="U271" s="15" t="str">
        <f>_xlfn.TEXTBEFORE(_xlfn.TEXTAFTER(CantoralDB[[#This Row],[index.html]],"&gt;"),"&gt;")&amp;"&gt;"</f>
        <v>&lt;a href="canciones/gregorio_fernandez/cantan_los_angeles_en_belen.html"&gt;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895</v>
      </c>
      <c r="C272" s="1" t="s">
        <v>1025</v>
      </c>
      <c r="D272" s="1" t="s">
        <v>1136</v>
      </c>
      <c r="H272" s="1" t="s">
        <v>533</v>
      </c>
      <c r="I272" s="1" t="s">
        <v>612</v>
      </c>
      <c r="L272" s="15" t="s">
        <v>1991</v>
      </c>
      <c r="M272" s="15"/>
      <c r="N272" s="15"/>
      <c r="O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72" s="1" t="s">
        <v>959</v>
      </c>
      <c r="S272" s="1" t="s">
        <v>325</v>
      </c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272" s="15" t="str">
        <f>_xlfn.TEXTBEFORE(_xlfn.TEXTAFTER(CantoralDB[[#This Row],[index.html]],"&gt;"),"&gt;")&amp;"&gt;"</f>
        <v>&lt;a href="canciones/taize/cantarei_ao_senhor.html"&gt;</v>
      </c>
      <c r="W272" s="1"/>
      <c r="X272" s="1"/>
      <c r="Y272" s="1"/>
    </row>
    <row r="273" spans="1:25" hidden="1" x14ac:dyDescent="0.3">
      <c r="A273" s="1">
        <f>ROW(CantoralDB[[#This Row],[Título]])-1</f>
        <v>272</v>
      </c>
      <c r="B273" s="1" t="s">
        <v>31</v>
      </c>
      <c r="C273" s="1" t="s">
        <v>201</v>
      </c>
      <c r="D273" s="1" t="s">
        <v>1438</v>
      </c>
      <c r="E273" s="1">
        <v>41</v>
      </c>
      <c r="G273" s="1" t="s">
        <v>209</v>
      </c>
      <c r="H273" s="1" t="s">
        <v>1047</v>
      </c>
      <c r="I273" s="1" t="s">
        <v>612</v>
      </c>
      <c r="L273" s="15" t="s">
        <v>481</v>
      </c>
      <c r="M273" s="15" t="s">
        <v>1979</v>
      </c>
      <c r="N273" s="15">
        <v>8</v>
      </c>
      <c r="O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cantare_eternamente.html</v>
      </c>
      <c r="R273" s="1" t="s">
        <v>817</v>
      </c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273" s="15" t="str">
        <f>_xlfn.TEXTBEFORE(_xlfn.TEXTAFTER(CantoralDB[[#This Row],[index.html]],"&gt;"),"&gt;")&amp;"&gt;"</f>
        <v>&lt;a href="canciones/francisco_palazon/cantare_eternamente.html"&gt;</v>
      </c>
      <c r="W273" s="1"/>
      <c r="X273" s="1"/>
      <c r="Y273" s="1"/>
    </row>
    <row r="274" spans="1:25" hidden="1" x14ac:dyDescent="0.3">
      <c r="A274" s="1">
        <f>ROW(CantoralDB[[#This Row],[Título]])-1</f>
        <v>273</v>
      </c>
      <c r="B274" s="1" t="s">
        <v>2126</v>
      </c>
      <c r="C274" s="1"/>
      <c r="I274" s="1" t="s">
        <v>612</v>
      </c>
      <c r="L274" s="15" t="s">
        <v>481</v>
      </c>
      <c r="M274" s="15" t="s">
        <v>1978</v>
      </c>
      <c r="N274" s="15">
        <v>1</v>
      </c>
      <c r="O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cantare_eternamente_(ii).html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274" s="15" t="str">
        <f>_xlfn.TEXTBEFORE(_xlfn.TEXTAFTER(CantoralDB[[#This Row],[index.html]],"&gt;"),"&gt;")&amp;"&gt;"</f>
        <v>&lt;a href="canciones/francisco_palazon/cantare_eternamente_(ii).html"&gt;</v>
      </c>
      <c r="W274" s="1"/>
      <c r="X274" s="1"/>
      <c r="Y274" s="1"/>
    </row>
    <row r="275" spans="1:25" hidden="1" x14ac:dyDescent="0.3">
      <c r="A275" s="1">
        <f>ROW(CantoralDB[[#This Row],[Título]])-1</f>
        <v>274</v>
      </c>
      <c r="B275" s="1" t="s">
        <v>325</v>
      </c>
      <c r="C275" s="1" t="s">
        <v>1026</v>
      </c>
      <c r="D275" s="1" t="s">
        <v>1136</v>
      </c>
      <c r="H275" s="1" t="s">
        <v>533</v>
      </c>
      <c r="I275" s="1" t="s">
        <v>612</v>
      </c>
      <c r="L275" s="15" t="s">
        <v>2201</v>
      </c>
      <c r="M275" s="15"/>
      <c r="N275" s="15"/>
      <c r="O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275" s="15" t="str">
        <f>_xlfn.TEXTBEFORE(_xlfn.TEXTAFTER(CantoralDB[[#This Row],[index.html]],"&gt;"),"&gt;")&amp;"&gt;"</f>
        <v>&lt;a href="canciones/taize/cantarei_ao_senhor.html"&gt;</v>
      </c>
      <c r="W275" s="1"/>
      <c r="X275" s="1"/>
      <c r="Y275" s="1"/>
    </row>
    <row r="276" spans="1:25" hidden="1" x14ac:dyDescent="0.3">
      <c r="A276" s="1">
        <f>ROW(CantoralDB[[#This Row],[Título]])-1</f>
        <v>275</v>
      </c>
      <c r="B276" s="1" t="s">
        <v>327</v>
      </c>
      <c r="C276" s="1" t="s">
        <v>1026</v>
      </c>
      <c r="D276" s="1" t="s">
        <v>1137</v>
      </c>
      <c r="H276" s="1" t="s">
        <v>1039</v>
      </c>
      <c r="I276" s="1" t="s">
        <v>612</v>
      </c>
      <c r="L276" s="15" t="s">
        <v>2201</v>
      </c>
      <c r="M276" s="15"/>
      <c r="N276" s="15"/>
      <c r="O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276" s="15" t="str">
        <f>_xlfn.TEXTBEFORE(_xlfn.TEXTAFTER(CantoralDB[[#This Row],[index.html]],"&gt;"),"&gt;")&amp;"&gt;"</f>
        <v>&lt;a href="canciones/taize/cantate_domino_canticum_novum.html"&gt;</v>
      </c>
      <c r="W276" s="1"/>
      <c r="X276" s="1"/>
      <c r="Y276" s="1"/>
    </row>
    <row r="277" spans="1:25" hidden="1" x14ac:dyDescent="0.3">
      <c r="A277" s="1">
        <f>ROW(CantoralDB[[#This Row],[Título]])-1</f>
        <v>276</v>
      </c>
      <c r="B277" s="1" t="s">
        <v>210</v>
      </c>
      <c r="C277" s="1" t="s">
        <v>211</v>
      </c>
      <c r="D277" s="1" t="s">
        <v>1439</v>
      </c>
      <c r="F277" s="1">
        <v>195</v>
      </c>
      <c r="G277" s="1" t="s">
        <v>209</v>
      </c>
      <c r="H277" s="1" t="s">
        <v>1034</v>
      </c>
      <c r="I277" s="1" t="s">
        <v>612</v>
      </c>
      <c r="L277" s="15" t="s">
        <v>3541</v>
      </c>
      <c r="M277" s="15"/>
      <c r="N277" s="15"/>
      <c r="O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cantemos_al_amor_de_los_amores.html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277" s="15" t="str">
        <f>_xlfn.TEXTBEFORE(_xlfn.TEXTAFTER(CantoralDB[[#This Row],[index.html]],"&gt;"),"&gt;")&amp;"&gt;"</f>
        <v>&lt;a href="canciones/nsb/cantemos_al_amor_de_los_amores.html"&gt;</v>
      </c>
      <c r="W277" s="1"/>
      <c r="X277" s="1"/>
      <c r="Y277" s="1"/>
    </row>
    <row r="278" spans="1:25" hidden="1" x14ac:dyDescent="0.3">
      <c r="A278" s="1">
        <f>ROW(CantoralDB[[#This Row],[Título]])-1</f>
        <v>277</v>
      </c>
      <c r="B278" s="1" t="s">
        <v>3663</v>
      </c>
      <c r="C278" s="1"/>
      <c r="F278" s="1">
        <v>331</v>
      </c>
      <c r="I278" s="1"/>
      <c r="L278" s="15" t="s">
        <v>799</v>
      </c>
      <c r="M278" s="15"/>
      <c r="N278" s="15"/>
      <c r="O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cantemos_al_señor.html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href="canciones/nuevas/cantemos_al_señor.html"&gt;Cantemos al Señor&lt;/a&gt;&lt;/li&gt;</v>
      </c>
      <c r="U278" s="15" t="str">
        <f>_xlfn.TEXTBEFORE(_xlfn.TEXTAFTER(CantoralDB[[#This Row],[index.html]],"&gt;"),"&gt;")&amp;"&gt;"</f>
        <v>&lt;a href="canciones/nuevas/cantemos_al_señor.html"&gt;</v>
      </c>
      <c r="W278" s="1"/>
      <c r="X278" s="1"/>
      <c r="Y278" s="1"/>
    </row>
    <row r="279" spans="1:25" hidden="1" x14ac:dyDescent="0.3">
      <c r="A279" s="1">
        <f>ROW(CantoralDB[[#This Row],[Título]])-1</f>
        <v>278</v>
      </c>
      <c r="B279" s="1" t="s">
        <v>2177</v>
      </c>
      <c r="C279" s="1"/>
      <c r="I279" s="1"/>
      <c r="L279" s="15" t="s">
        <v>481</v>
      </c>
      <c r="M279" s="15" t="s">
        <v>1975</v>
      </c>
      <c r="N279" s="15">
        <v>11</v>
      </c>
      <c r="O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cantemos_el_gozo_de_la_resurreccion.html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279" s="15" t="str">
        <f>_xlfn.TEXTBEFORE(_xlfn.TEXTAFTER(CantoralDB[[#This Row],[index.html]],"&gt;"),"&gt;")&amp;"&gt;"</f>
        <v>&lt;a href="canciones/francisco_palazon/cantemos_el_gozo_de_la_resurreccion.html"&gt;</v>
      </c>
      <c r="W279" s="1"/>
      <c r="X279" s="1"/>
      <c r="Y279" s="1"/>
    </row>
    <row r="280" spans="1:25" hidden="1" x14ac:dyDescent="0.3">
      <c r="A280" s="1">
        <f>ROW(CantoralDB[[#This Row],[Título]])-1</f>
        <v>279</v>
      </c>
      <c r="B280" s="1" t="s">
        <v>32</v>
      </c>
      <c r="C280" s="1" t="s">
        <v>476</v>
      </c>
      <c r="D280" s="1" t="s">
        <v>1440</v>
      </c>
      <c r="E280" s="1">
        <v>50</v>
      </c>
      <c r="G280" s="1" t="s">
        <v>209</v>
      </c>
      <c r="H280" s="1" t="s">
        <v>1034</v>
      </c>
      <c r="I280" s="1" t="s">
        <v>612</v>
      </c>
      <c r="L280" s="15" t="s">
        <v>547</v>
      </c>
      <c r="M280" s="15"/>
      <c r="N280" s="15"/>
      <c r="O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cantemos_todos_la_navidad.html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80" s="15" t="str">
        <f>_xlfn.TEXTBEFORE(_xlfn.TEXTAFTER(CantoralDB[[#This Row],[index.html]],"&gt;"),"&gt;")&amp;"&gt;"</f>
        <v>&lt;a href="canciones/emilio_vicente_mateu/cantemos_todos_la_navidad.html"&gt;</v>
      </c>
      <c r="W280" s="1"/>
      <c r="X280" s="1"/>
      <c r="Y280" s="1"/>
    </row>
    <row r="281" spans="1:25" hidden="1" x14ac:dyDescent="0.3">
      <c r="A281" s="1">
        <f>ROW(CantoralDB[[#This Row],[Título]])-1</f>
        <v>280</v>
      </c>
      <c r="B281" s="1" t="s">
        <v>1983</v>
      </c>
      <c r="C281" s="1"/>
      <c r="E281" s="1">
        <v>62</v>
      </c>
      <c r="I281" s="1" t="s">
        <v>612</v>
      </c>
      <c r="L281" s="15" t="s">
        <v>481</v>
      </c>
      <c r="M281" s="15" t="s">
        <v>1976</v>
      </c>
      <c r="N281" s="15">
        <v>2</v>
      </c>
      <c r="O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cantico_de_daniel.html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281" s="15" t="str">
        <f>_xlfn.TEXTBEFORE(_xlfn.TEXTAFTER(CantoralDB[[#This Row],[index.html]],"&gt;"),"&gt;")&amp;"&gt;"</f>
        <v>&lt;a href="canciones/francisco_palazon/cantico_de_daniel.html"&gt;</v>
      </c>
      <c r="W281" s="1"/>
      <c r="X281" s="1"/>
      <c r="Y281" s="1"/>
    </row>
    <row r="282" spans="1:25" hidden="1" x14ac:dyDescent="0.3">
      <c r="A282" s="1">
        <f>ROW(CantoralDB[[#This Row],[Título]])-1</f>
        <v>281</v>
      </c>
      <c r="B282" s="1" t="s">
        <v>1690</v>
      </c>
      <c r="C282" s="1"/>
      <c r="I282" s="1" t="s">
        <v>612</v>
      </c>
      <c r="L282" s="15" t="s">
        <v>484</v>
      </c>
      <c r="M282" s="15" t="s">
        <v>1535</v>
      </c>
      <c r="N282" s="15">
        <v>5</v>
      </c>
      <c r="O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cantico_de_las_criaturas.html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282" s="15" t="str">
        <f>_xlfn.TEXTBEFORE(_xlfn.TEXTAFTER(CantoralDB[[#This Row],[index.html]],"&gt;"),"&gt;")&amp;"&gt;"</f>
        <v>&lt;a href="canciones/kairoi/cantico_de_las_criaturas.html"&gt;</v>
      </c>
      <c r="W282" s="1"/>
      <c r="X282" s="1"/>
      <c r="Y282" s="1"/>
    </row>
    <row r="283" spans="1:25" hidden="1" x14ac:dyDescent="0.3">
      <c r="A283" s="1">
        <f>ROW(CantoralDB[[#This Row],[Título]])-1</f>
        <v>282</v>
      </c>
      <c r="B283" s="1" t="s">
        <v>3272</v>
      </c>
      <c r="C283" s="1"/>
      <c r="I283" s="1"/>
      <c r="L283" s="15" t="s">
        <v>3160</v>
      </c>
      <c r="M283" s="15" t="s">
        <v>415</v>
      </c>
      <c r="N283" s="15">
        <v>11</v>
      </c>
      <c r="O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cantico_de_simeon.html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href="canciones/hermana_glenda/cantico_de_simeon.html"&gt;Cántico de Simeón&lt;/a&gt;&lt;/li&gt;</v>
      </c>
      <c r="U283" s="15" t="str">
        <f>_xlfn.TEXTBEFORE(_xlfn.TEXTAFTER(CantoralDB[[#This Row],[index.html]],"&gt;"),"&gt;")&amp;"&gt;"</f>
        <v>&lt;a href="canciones/hermana_glenda/cantico_de_simeon.html"&gt;</v>
      </c>
      <c r="W283" s="1"/>
      <c r="X283" s="1"/>
      <c r="Y283" s="1"/>
    </row>
    <row r="284" spans="1:25" hidden="1" x14ac:dyDescent="0.3">
      <c r="A284" s="1">
        <f>ROW(CantoralDB[[#This Row],[Título]])-1</f>
        <v>283</v>
      </c>
      <c r="B284" s="1" t="s">
        <v>3786</v>
      </c>
      <c r="C284" s="1"/>
      <c r="F284" s="1">
        <v>433</v>
      </c>
      <c r="I284" s="1"/>
      <c r="L284" s="15" t="s">
        <v>3788</v>
      </c>
      <c r="M284" s="15"/>
      <c r="N284" s="15"/>
      <c r="O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cantico_de_victoria.html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284" s="15" t="str">
        <f>_xlfn.TEXTBEFORE(_xlfn.TEXTAFTER(CantoralDB[[#This Row],[index.html]],"&gt;"),"&gt;")&amp;"&gt;"</f>
        <v>&lt;a href="canciones/nuevas/cantico_de_victoria.html"&gt;</v>
      </c>
      <c r="W284" s="1"/>
      <c r="X284" s="1"/>
      <c r="Y284" s="1"/>
    </row>
    <row r="285" spans="1:25" hidden="1" x14ac:dyDescent="0.3">
      <c r="A285" s="1">
        <f>ROW(CantoralDB[[#This Row],[Título]])-1</f>
        <v>284</v>
      </c>
      <c r="B285" s="1" t="s">
        <v>1874</v>
      </c>
      <c r="C285" s="1"/>
      <c r="I285" s="1" t="s">
        <v>612</v>
      </c>
      <c r="L285" s="15" t="s">
        <v>501</v>
      </c>
      <c r="M285" s="15" t="s">
        <v>1553</v>
      </c>
      <c r="N285" s="15">
        <v>2</v>
      </c>
      <c r="O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canto_de_ana.html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285" s="15" t="str">
        <f>_xlfn.TEXTBEFORE(_xlfn.TEXTAFTER(CantoralDB[[#This Row],[index.html]],"&gt;"),"&gt;")&amp;"&gt;"</f>
        <v>&lt;a href="canciones/ain_karem/canto_de_ana.html"&gt;</v>
      </c>
      <c r="W285" s="1"/>
      <c r="X285" s="1"/>
      <c r="Y285" s="1"/>
    </row>
    <row r="286" spans="1:25" hidden="1" x14ac:dyDescent="0.3">
      <c r="A286" s="1">
        <f>ROW(CantoralDB[[#This Row],[Título]])-1</f>
        <v>285</v>
      </c>
      <c r="B286" s="1" t="s">
        <v>1615</v>
      </c>
      <c r="C286" s="1"/>
      <c r="I286" s="1" t="s">
        <v>612</v>
      </c>
      <c r="L286" s="15" t="s">
        <v>484</v>
      </c>
      <c r="M286" s="15" t="s">
        <v>1532</v>
      </c>
      <c r="N286" s="15">
        <v>10</v>
      </c>
      <c r="O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canto_de_maria.html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286" s="15" t="str">
        <f>_xlfn.TEXTBEFORE(_xlfn.TEXTAFTER(CantoralDB[[#This Row],[index.html]],"&gt;"),"&gt;")&amp;"&gt;"</f>
        <v>&lt;a href="canciones/kairoi/canto_de_maria.html"&gt;</v>
      </c>
      <c r="W286" s="1"/>
      <c r="X286" s="1"/>
      <c r="Y286" s="1"/>
    </row>
    <row r="287" spans="1:25" hidden="1" x14ac:dyDescent="0.3">
      <c r="A287" s="1">
        <f>ROW(CantoralDB[[#This Row],[Título]])-1</f>
        <v>286</v>
      </c>
      <c r="B287" s="1" t="s">
        <v>1993</v>
      </c>
      <c r="C287" s="1"/>
      <c r="I287" s="1" t="s">
        <v>612</v>
      </c>
      <c r="L287" s="15" t="s">
        <v>261</v>
      </c>
      <c r="M287" s="15"/>
      <c r="N287" s="15"/>
      <c r="O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capricho.html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href="canciones/hakuna/capricho.html"&gt;Capricho&lt;/a&gt;&lt;/li&gt;</v>
      </c>
      <c r="U287" s="15" t="str">
        <f>_xlfn.TEXTBEFORE(_xlfn.TEXTAFTER(CantoralDB[[#This Row],[index.html]],"&gt;"),"&gt;")&amp;"&gt;"</f>
        <v>&lt;a href="canciones/hakuna/capricho.html"&gt;</v>
      </c>
      <c r="W287" s="1"/>
      <c r="X287" s="1"/>
      <c r="Y287" s="1"/>
    </row>
    <row r="288" spans="1:25" hidden="1" x14ac:dyDescent="0.3">
      <c r="A288" s="1">
        <f>ROW(CantoralDB[[#This Row],[Título]])-1</f>
        <v>287</v>
      </c>
      <c r="B288" s="1" t="s">
        <v>1765</v>
      </c>
      <c r="C288" s="1"/>
      <c r="I288" s="1"/>
      <c r="L288" s="15" t="s">
        <v>484</v>
      </c>
      <c r="M288" s="15" t="s">
        <v>1544</v>
      </c>
      <c r="N288" s="15">
        <v>3</v>
      </c>
      <c r="O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carta_a_un_general.html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288" s="15" t="str">
        <f>_xlfn.TEXTBEFORE(_xlfn.TEXTAFTER(CantoralDB[[#This Row],[index.html]],"&gt;"),"&gt;")&amp;"&gt;"</f>
        <v>&lt;a href="canciones/kairoi/carta_a_un_general.html"&gt;</v>
      </c>
      <c r="W288" s="1"/>
      <c r="X288" s="1"/>
      <c r="Y288" s="1"/>
    </row>
    <row r="289" spans="1:25" hidden="1" x14ac:dyDescent="0.3">
      <c r="A289" s="1">
        <f>ROW(CantoralDB[[#This Row],[Título]])-1</f>
        <v>288</v>
      </c>
      <c r="B289" s="1" t="s">
        <v>3679</v>
      </c>
      <c r="C289" s="1"/>
      <c r="F289" s="1">
        <v>346</v>
      </c>
      <c r="I289" s="1"/>
      <c r="L289" s="15" t="s">
        <v>3680</v>
      </c>
      <c r="M289" s="15"/>
      <c r="N289" s="15"/>
      <c r="O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celebrad_a_cristo.html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289" s="15" t="str">
        <f>_xlfn.TEXTBEFORE(_xlfn.TEXTAFTER(CantoralDB[[#This Row],[index.html]],"&gt;"),"&gt;")&amp;"&gt;"</f>
        <v>&lt;a href="canciones/nuevas/celebrad_a_cristo.html"&gt;</v>
      </c>
      <c r="W289" s="1"/>
      <c r="X289" s="1"/>
      <c r="Y289" s="1"/>
    </row>
    <row r="290" spans="1:25" hidden="1" x14ac:dyDescent="0.3">
      <c r="A290" s="1">
        <f>ROW(CantoralDB[[#This Row],[Título]])-1</f>
        <v>289</v>
      </c>
      <c r="B290" s="1" t="s">
        <v>175</v>
      </c>
      <c r="C290" s="1" t="s">
        <v>997</v>
      </c>
      <c r="D290" s="1" t="s">
        <v>691</v>
      </c>
      <c r="G290" s="1" t="s">
        <v>209</v>
      </c>
      <c r="H290" s="1" t="s">
        <v>1034</v>
      </c>
      <c r="I290" s="1" t="s">
        <v>612</v>
      </c>
      <c r="L290" s="15" t="s">
        <v>575</v>
      </c>
      <c r="M290" s="15"/>
      <c r="N290" s="15"/>
      <c r="O2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cerca_de_ti_señor.html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290" s="15" t="str">
        <f>_xlfn.TEXTBEFORE(_xlfn.TEXTAFTER(CantoralDB[[#This Row],[index.html]],"&gt;"),"&gt;")&amp;"&gt;"</f>
        <v>&lt;a href="canciones/nsb/cerca_de_ti_señor.html"&gt;</v>
      </c>
      <c r="W290" s="1"/>
      <c r="X290" s="1"/>
      <c r="Y290" s="1"/>
    </row>
    <row r="291" spans="1:25" hidden="1" x14ac:dyDescent="0.3">
      <c r="A291" s="1">
        <f>ROW(CantoralDB[[#This Row],[Título]])-1</f>
        <v>290</v>
      </c>
      <c r="B291" s="1" t="s">
        <v>33</v>
      </c>
      <c r="C291" s="1" t="s">
        <v>997</v>
      </c>
      <c r="D291" s="1" t="s">
        <v>692</v>
      </c>
      <c r="E291" s="1">
        <v>52</v>
      </c>
      <c r="G291" s="1" t="s">
        <v>209</v>
      </c>
      <c r="H291" s="1" t="s">
        <v>1032</v>
      </c>
      <c r="I291" s="1" t="s">
        <v>612</v>
      </c>
      <c r="L291" s="15" t="s">
        <v>479</v>
      </c>
      <c r="M291" s="15"/>
      <c r="N291" s="15"/>
      <c r="O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cerca_esta_el_señor.html</v>
      </c>
      <c r="R291" s="1" t="s">
        <v>818</v>
      </c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91" s="15" t="str">
        <f>_xlfn.TEXTBEFORE(_xlfn.TEXTAFTER(CantoralDB[[#This Row],[index.html]],"&gt;"),"&gt;")&amp;"&gt;"</f>
        <v>&lt;a href="canciones/carmelo_erdozain/cerca_esta_el_señor.html"&gt;</v>
      </c>
      <c r="W291" s="1"/>
      <c r="X291" s="1"/>
      <c r="Y291" s="1"/>
    </row>
    <row r="292" spans="1:25" hidden="1" x14ac:dyDescent="0.3">
      <c r="A292" s="1">
        <f>ROW(CantoralDB[[#This Row],[Título]])-1</f>
        <v>291</v>
      </c>
      <c r="B292" s="1" t="s">
        <v>1747</v>
      </c>
      <c r="C292" s="1"/>
      <c r="I292" s="1"/>
      <c r="L292" s="15" t="s">
        <v>484</v>
      </c>
      <c r="M292" s="15" t="s">
        <v>1542</v>
      </c>
      <c r="N292" s="15">
        <v>8</v>
      </c>
      <c r="O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chaminade.html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href="canciones/kairoi/chaminade.html"&gt;Chaminade&lt;/a&gt;&lt;/li&gt;</v>
      </c>
      <c r="U292" s="15" t="str">
        <f>_xlfn.TEXTBEFORE(_xlfn.TEXTAFTER(CantoralDB[[#This Row],[index.html]],"&gt;"),"&gt;")&amp;"&gt;"</f>
        <v>&lt;a href="canciones/kairoi/chaminade.html"&gt;</v>
      </c>
      <c r="W292" s="1"/>
      <c r="X292" s="1"/>
      <c r="Y292" s="1"/>
    </row>
    <row r="293" spans="1:25" hidden="1" x14ac:dyDescent="0.3">
      <c r="A293" s="1">
        <f>ROW(CantoralDB[[#This Row],[Título]])-1</f>
        <v>292</v>
      </c>
      <c r="B293" s="1" t="s">
        <v>330</v>
      </c>
      <c r="C293" s="1" t="s">
        <v>1026</v>
      </c>
      <c r="D293" s="1" t="s">
        <v>1138</v>
      </c>
      <c r="H293" s="1" t="s">
        <v>1046</v>
      </c>
      <c r="I293" s="1" t="s">
        <v>612</v>
      </c>
      <c r="L293" s="15" t="s">
        <v>2201</v>
      </c>
      <c r="M293" s="15"/>
      <c r="N293" s="15"/>
      <c r="O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293" s="15" t="str">
        <f>_xlfn.TEXTBEFORE(_xlfn.TEXTAFTER(CantoralDB[[#This Row],[index.html]],"&gt;"),"&gt;")&amp;"&gt;"</f>
        <v>&lt;a href="canciones/taize/christe_salvator.html"&gt;</v>
      </c>
      <c r="W293" s="1"/>
      <c r="X293" s="1"/>
      <c r="Y293" s="1"/>
    </row>
    <row r="294" spans="1:25" hidden="1" x14ac:dyDescent="0.3">
      <c r="A294" s="1">
        <f>ROW(CantoralDB[[#This Row],[Título]])-1</f>
        <v>293</v>
      </c>
      <c r="B294" s="1" t="s">
        <v>329</v>
      </c>
      <c r="C294" s="1" t="s">
        <v>1026</v>
      </c>
      <c r="D294" s="1" t="s">
        <v>1139</v>
      </c>
      <c r="H294" s="1" t="s">
        <v>1081</v>
      </c>
      <c r="I294" s="1" t="s">
        <v>612</v>
      </c>
      <c r="L294" s="15" t="s">
        <v>2201</v>
      </c>
      <c r="M294" s="15"/>
      <c r="N294" s="15"/>
      <c r="O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294" s="15" t="str">
        <f>_xlfn.TEXTBEFORE(_xlfn.TEXTAFTER(CantoralDB[[#This Row],[index.html]],"&gt;"),"&gt;")&amp;"&gt;"</f>
        <v>&lt;a href="canciones/taize/christe_lux_mundi.html"&gt;</v>
      </c>
      <c r="W294" s="1"/>
      <c r="X294" s="1"/>
      <c r="Y294" s="1"/>
    </row>
    <row r="295" spans="1:25" hidden="1" x14ac:dyDescent="0.3">
      <c r="A295" s="1">
        <f>ROW(CantoralDB[[#This Row],[Título]])-1</f>
        <v>294</v>
      </c>
      <c r="B295" s="1" t="s">
        <v>1224</v>
      </c>
      <c r="C295" s="1"/>
      <c r="E295" s="1" t="s">
        <v>1229</v>
      </c>
      <c r="I295" s="1"/>
      <c r="L295" s="15" t="s">
        <v>486</v>
      </c>
      <c r="M295" s="15"/>
      <c r="N295" s="15"/>
      <c r="O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cielos_destilad_el_rocio.html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295" s="15" t="str">
        <f>_xlfn.TEXTBEFORE(_xlfn.TEXTAFTER(CantoralDB[[#This Row],[index.html]],"&gt;"),"&gt;")&amp;"&gt;"</f>
        <v>&lt;a href="canciones/antonio_alcalde/cielos_destilad_el_rocio.html"&gt;</v>
      </c>
      <c r="W295" s="1"/>
      <c r="X295" s="1"/>
      <c r="Y295" s="1"/>
    </row>
    <row r="296" spans="1:25" hidden="1" x14ac:dyDescent="0.3">
      <c r="A296" s="1">
        <f>ROW(CantoralDB[[#This Row],[Título]])-1</f>
        <v>295</v>
      </c>
      <c r="B296" s="1" t="s">
        <v>3685</v>
      </c>
      <c r="C296" s="1"/>
      <c r="F296" s="1">
        <v>350</v>
      </c>
      <c r="I296" s="1"/>
      <c r="L296" s="15" t="s">
        <v>3686</v>
      </c>
      <c r="M296" s="15"/>
      <c r="N296" s="15"/>
      <c r="O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clamamos_a_ti.html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296" s="15" t="str">
        <f>_xlfn.TEXTBEFORE(_xlfn.TEXTAFTER(CantoralDB[[#This Row],[index.html]],"&gt;"),"&gt;")&amp;"&gt;"</f>
        <v>&lt;a href="canciones/nuevas/clamamos_a_ti.html"&gt;</v>
      </c>
      <c r="W296" s="1"/>
      <c r="X296" s="1"/>
      <c r="Y296" s="1"/>
    </row>
    <row r="297" spans="1:25" hidden="1" x14ac:dyDescent="0.3">
      <c r="A297" s="1">
        <f>ROW(CantoralDB[[#This Row],[Título]])-1</f>
        <v>296</v>
      </c>
      <c r="B297" s="1" t="s">
        <v>3544</v>
      </c>
      <c r="C297" s="1"/>
      <c r="F297" s="1">
        <v>199</v>
      </c>
      <c r="I297" s="1"/>
      <c r="L297" s="15" t="s">
        <v>3545</v>
      </c>
      <c r="M297" s="15"/>
      <c r="N297" s="15"/>
      <c r="O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clamaremos_al_señor.html</v>
      </c>
      <c r="R297" s="1"/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297" s="15" t="str">
        <f>_xlfn.TEXTBEFORE(_xlfn.TEXTAFTER(CantoralDB[[#This Row],[index.html]],"&gt;"),"&gt;")&amp;"&gt;"</f>
        <v>&lt;a href="canciones/nuevas/clamaremos_al_señor.html"&gt;</v>
      </c>
      <c r="W297" s="1"/>
      <c r="X297" s="1"/>
      <c r="Y297" s="1"/>
    </row>
    <row r="298" spans="1:25" hidden="1" x14ac:dyDescent="0.3">
      <c r="A298" s="1">
        <f>ROW(CantoralDB[[#This Row],[Título]])-1</f>
        <v>297</v>
      </c>
      <c r="B298" s="1" t="s">
        <v>1687</v>
      </c>
      <c r="C298" s="1"/>
      <c r="I298" s="1"/>
      <c r="L298" s="15" t="s">
        <v>484</v>
      </c>
      <c r="M298" s="15" t="s">
        <v>1535</v>
      </c>
      <c r="N298" s="15">
        <v>1</v>
      </c>
      <c r="O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clara_hija_de_la_luz.html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298" s="15" t="str">
        <f>_xlfn.TEXTBEFORE(_xlfn.TEXTAFTER(CantoralDB[[#This Row],[index.html]],"&gt;"),"&gt;")&amp;"&gt;"</f>
        <v>&lt;a href="canciones/kairoi/clara_hija_de_la_luz.html"&gt;</v>
      </c>
      <c r="W298" s="1"/>
      <c r="X298" s="1"/>
      <c r="Y298" s="1"/>
    </row>
    <row r="299" spans="1:25" hidden="1" x14ac:dyDescent="0.3">
      <c r="A299" s="1">
        <f>ROW(CantoralDB[[#This Row],[Título]])-1</f>
        <v>298</v>
      </c>
      <c r="B299" s="1" t="s">
        <v>1688</v>
      </c>
      <c r="C299" s="1"/>
      <c r="I299" s="1"/>
      <c r="L299" s="15" t="s">
        <v>484</v>
      </c>
      <c r="M299" s="15" t="s">
        <v>1535</v>
      </c>
      <c r="N299" s="15">
        <v>2</v>
      </c>
      <c r="O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clara_imagen_de_dios.html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299" s="15" t="str">
        <f>_xlfn.TEXTBEFORE(_xlfn.TEXTAFTER(CantoralDB[[#This Row],[index.html]],"&gt;"),"&gt;")&amp;"&gt;"</f>
        <v>&lt;a href="canciones/kairoi/clara_imagen_de_dios.html"&gt;</v>
      </c>
      <c r="W299" s="1"/>
      <c r="X299" s="1"/>
      <c r="Y299" s="1"/>
    </row>
    <row r="300" spans="1:25" hidden="1" x14ac:dyDescent="0.3">
      <c r="A300" s="1">
        <f>ROW(CantoralDB[[#This Row],[Título]])-1</f>
        <v>299</v>
      </c>
      <c r="B300" s="1" t="s">
        <v>1994</v>
      </c>
      <c r="C300" s="1"/>
      <c r="I300" s="1" t="s">
        <v>612</v>
      </c>
      <c r="L300" s="15" t="s">
        <v>261</v>
      </c>
      <c r="M300" s="15"/>
      <c r="N300" s="15"/>
      <c r="O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colombia.html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href="canciones/hakuna/colombia.html"&gt;Colombia&lt;/a&gt;&lt;/li&gt;</v>
      </c>
      <c r="U300" s="15" t="str">
        <f>_xlfn.TEXTBEFORE(_xlfn.TEXTAFTER(CantoralDB[[#This Row],[index.html]],"&gt;"),"&gt;")&amp;"&gt;"</f>
        <v>&lt;a href="canciones/hakuna/colombia.html"&gt;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909</v>
      </c>
      <c r="C301" s="1" t="s">
        <v>1025</v>
      </c>
      <c r="D301" s="1" t="s">
        <v>1140</v>
      </c>
      <c r="H301" s="1" t="s">
        <v>1076</v>
      </c>
      <c r="I301" s="1" t="s">
        <v>612</v>
      </c>
      <c r="L301" s="15" t="s">
        <v>1991</v>
      </c>
      <c r="M301" s="15"/>
      <c r="N301" s="15"/>
      <c r="O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301" s="1" t="s">
        <v>873</v>
      </c>
      <c r="S301" s="1" t="s">
        <v>345</v>
      </c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301" s="15" t="str">
        <f>_xlfn.TEXTBEFORE(_xlfn.TEXTAFTER(CantoralDB[[#This Row],[index.html]],"&gt;"),"&gt;")&amp;"&gt;"</f>
        <v>&lt;a href="canciones/taize/eat_this_bread.html"&gt;</v>
      </c>
      <c r="W301" s="1"/>
      <c r="X301" s="1"/>
      <c r="Y301" s="1"/>
    </row>
    <row r="302" spans="1:25" hidden="1" x14ac:dyDescent="0.3">
      <c r="A302" s="1">
        <f>ROW(CantoralDB[[#This Row],[Título]])-1</f>
        <v>301</v>
      </c>
      <c r="B302" s="1" t="s">
        <v>34</v>
      </c>
      <c r="C302" s="1" t="s">
        <v>191</v>
      </c>
      <c r="D302" s="1" t="s">
        <v>735</v>
      </c>
      <c r="E302" s="1" t="s">
        <v>1234</v>
      </c>
      <c r="G302" s="1" t="s">
        <v>209</v>
      </c>
      <c r="H302" s="1" t="s">
        <v>473</v>
      </c>
      <c r="I302" s="1" t="s">
        <v>612</v>
      </c>
      <c r="L302" s="15" t="s">
        <v>480</v>
      </c>
      <c r="M302" s="15"/>
      <c r="N302" s="15"/>
      <c r="O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comeremos_de_la_mesa.html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302" s="15" t="str">
        <f>_xlfn.TEXTBEFORE(_xlfn.TEXTAFTER(CantoralDB[[#This Row],[index.html]],"&gt;"),"&gt;")&amp;"&gt;"</f>
        <v>&lt;a href="canciones/juanjo_elezkano/comeremos_de_la_mesa.html"&gt;</v>
      </c>
      <c r="W302" s="1"/>
      <c r="X302" s="1"/>
      <c r="Y302" s="1"/>
    </row>
    <row r="303" spans="1:25" hidden="1" x14ac:dyDescent="0.3">
      <c r="A303" s="1">
        <f>ROW(CantoralDB[[#This Row],[Título]])-1</f>
        <v>302</v>
      </c>
      <c r="B303" s="1" t="s">
        <v>1221</v>
      </c>
      <c r="C303" s="1"/>
      <c r="E303" s="1">
        <v>48</v>
      </c>
      <c r="I303" s="1" t="s">
        <v>612</v>
      </c>
      <c r="L303" s="15" t="s">
        <v>485</v>
      </c>
      <c r="M303" s="15"/>
      <c r="N303" s="15"/>
      <c r="O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comiendo_del_mismo_pan.html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303" s="15" t="str">
        <f>_xlfn.TEXTBEFORE(_xlfn.TEXTAFTER(CantoralDB[[#This Row],[index.html]],"&gt;"),"&gt;")&amp;"&gt;"</f>
        <v>&lt;a href="canciones/joaquin_madurga/comiendo_del_mismo_pan.html"&gt;</v>
      </c>
      <c r="W303" s="1"/>
      <c r="X303" s="1"/>
      <c r="Y303" s="1"/>
    </row>
    <row r="304" spans="1:25" hidden="1" x14ac:dyDescent="0.3">
      <c r="A304" s="1">
        <f>ROW(CantoralDB[[#This Row],[Título]])-1</f>
        <v>303</v>
      </c>
      <c r="B304" s="1" t="s">
        <v>2176</v>
      </c>
      <c r="C304" s="1"/>
      <c r="I304" s="1"/>
      <c r="L304" s="15" t="s">
        <v>481</v>
      </c>
      <c r="M304" s="15" t="s">
        <v>1975</v>
      </c>
      <c r="N304" s="15">
        <v>10</v>
      </c>
      <c r="O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como_busca_la_cierva.html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304" s="15" t="str">
        <f>_xlfn.TEXTBEFORE(_xlfn.TEXTAFTER(CantoralDB[[#This Row],[index.html]],"&gt;"),"&gt;")&amp;"&gt;"</f>
        <v>&lt;a href="canciones/francisco_palazon/como_busca_la_cierva.html"&gt;</v>
      </c>
      <c r="W304" s="1"/>
      <c r="X304" s="1"/>
      <c r="Y304" s="1"/>
    </row>
    <row r="305" spans="1:25" hidden="1" x14ac:dyDescent="0.3">
      <c r="A305" s="1">
        <f>ROW(CantoralDB[[#This Row],[Título]])-1</f>
        <v>304</v>
      </c>
      <c r="B305" s="1" t="s">
        <v>3575</v>
      </c>
      <c r="C305" s="1"/>
      <c r="F305" s="1">
        <v>236</v>
      </c>
      <c r="I305" s="1"/>
      <c r="L305" s="15" t="s">
        <v>799</v>
      </c>
      <c r="M305" s="15"/>
      <c r="N305" s="15"/>
      <c r="O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como_corre_un_rio.html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href="canciones/nuevas/como_corre_un_rio.html"&gt;Como corre un río&lt;/a&gt;&lt;/li&gt;</v>
      </c>
      <c r="U305" s="15" t="str">
        <f>_xlfn.TEXTBEFORE(_xlfn.TEXTAFTER(CantoralDB[[#This Row],[index.html]],"&gt;"),"&gt;")&amp;"&gt;"</f>
        <v>&lt;a href="canciones/nuevas/como_corre_un_rio.html"&gt;</v>
      </c>
      <c r="W305" s="1"/>
      <c r="X305" s="1"/>
      <c r="Y305" s="1"/>
    </row>
    <row r="306" spans="1:25" hidden="1" x14ac:dyDescent="0.3">
      <c r="A306" s="1">
        <f>ROW(CantoralDB[[#This Row],[Título]])-1</f>
        <v>305</v>
      </c>
      <c r="B306" s="1" t="s">
        <v>2178</v>
      </c>
      <c r="C306" s="1"/>
      <c r="E306" s="1">
        <v>293</v>
      </c>
      <c r="I306" s="1" t="s">
        <v>612</v>
      </c>
      <c r="L306" s="15" t="s">
        <v>2206</v>
      </c>
      <c r="M306" s="15"/>
      <c r="N306" s="15"/>
      <c r="O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como_era_pedro.html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306" s="15" t="str">
        <f>_xlfn.TEXTBEFORE(_xlfn.TEXTAFTER(CantoralDB[[#This Row],[index.html]],"&gt;"),"&gt;")&amp;"&gt;"</f>
        <v>&lt;a href="canciones/fernando_viejo/como_era_pedro.html"&gt;</v>
      </c>
      <c r="W306" s="1"/>
      <c r="X306" s="1"/>
      <c r="Y306" s="1"/>
    </row>
    <row r="307" spans="1:25" hidden="1" x14ac:dyDescent="0.3">
      <c r="A307" s="1">
        <f>ROW(CantoralDB[[#This Row],[Título]])-1</f>
        <v>306</v>
      </c>
      <c r="B307" s="1" t="s">
        <v>1217</v>
      </c>
      <c r="C307" s="1"/>
      <c r="E307" s="1">
        <v>43</v>
      </c>
      <c r="I307" s="1"/>
      <c r="L307" s="15" t="s">
        <v>517</v>
      </c>
      <c r="M307" s="15"/>
      <c r="N307" s="15"/>
      <c r="O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como_habian_dicho_los_profetas.html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data-nold="43"&gt;&lt;a href="canciones/gregorio_fernandez/como_habian_dicho_los_profetas.html"&gt;Como habían dicho los profetas&lt;/a&gt;&lt;/li&gt;</v>
      </c>
      <c r="U307" s="15" t="str">
        <f>_xlfn.TEXTBEFORE(_xlfn.TEXTAFTER(CantoralDB[[#This Row],[index.html]],"&gt;"),"&gt;")&amp;"&gt;"</f>
        <v>&lt;a href="canciones/gregorio_fernandez/como_habian_dicho_los_profetas.html"&gt;</v>
      </c>
      <c r="W307" s="1"/>
      <c r="X307" s="1"/>
      <c r="Y307" s="1"/>
    </row>
    <row r="308" spans="1:25" hidden="1" x14ac:dyDescent="0.3">
      <c r="A308" s="1">
        <f>ROW(CantoralDB[[#This Row],[Título]])-1</f>
        <v>307</v>
      </c>
      <c r="B308" s="1" t="s">
        <v>1227</v>
      </c>
      <c r="C308" s="1"/>
      <c r="E308" s="1">
        <v>56</v>
      </c>
      <c r="I308" s="1"/>
      <c r="L308" s="15" t="s">
        <v>488</v>
      </c>
      <c r="M308" s="15"/>
      <c r="N308" s="15"/>
      <c r="O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como_jonas.html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308" s="15" t="str">
        <f>_xlfn.TEXTBEFORE(_xlfn.TEXTAFTER(CantoralDB[[#This Row],[index.html]],"&gt;"),"&gt;")&amp;"&gt;"</f>
        <v>&lt;a href="canciones/al-haraca/como_jonas.html"&gt;</v>
      </c>
      <c r="W308" s="1"/>
      <c r="X308" s="1"/>
      <c r="Y308" s="1"/>
    </row>
    <row r="309" spans="1:25" hidden="1" x14ac:dyDescent="0.3">
      <c r="A309" s="1">
        <f>ROW(CantoralDB[[#This Row],[Título]])-1</f>
        <v>308</v>
      </c>
      <c r="B309" s="1" t="s">
        <v>1847</v>
      </c>
      <c r="C309" s="1"/>
      <c r="I309" s="1" t="s">
        <v>612</v>
      </c>
      <c r="L309" s="15" t="s">
        <v>501</v>
      </c>
      <c r="M309" s="15" t="s">
        <v>1552</v>
      </c>
      <c r="N309" s="15">
        <v>4</v>
      </c>
      <c r="O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como_la_cierva.html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309" s="15" t="str">
        <f>_xlfn.TEXTBEFORE(_xlfn.TEXTAFTER(CantoralDB[[#This Row],[index.html]],"&gt;"),"&gt;")&amp;"&gt;"</f>
        <v>&lt;a href="canciones/ain_karem/como_la_cierva.html"&gt;</v>
      </c>
      <c r="W309" s="1"/>
      <c r="X309" s="1"/>
      <c r="Y309" s="1"/>
    </row>
    <row r="310" spans="1:25" hidden="1" x14ac:dyDescent="0.3">
      <c r="A310" s="1">
        <f>ROW(CantoralDB[[#This Row],[Título]])-1</f>
        <v>309</v>
      </c>
      <c r="B310" s="1" t="s">
        <v>3484</v>
      </c>
      <c r="C310" s="1"/>
      <c r="F310" s="1">
        <v>141</v>
      </c>
      <c r="I310" s="1"/>
      <c r="L310" s="15" t="s">
        <v>543</v>
      </c>
      <c r="M310" s="15"/>
      <c r="N310" s="15"/>
      <c r="O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como_las_tiendas_de_quedar.html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310" s="15" t="str">
        <f>_xlfn.TEXTBEFORE(_xlfn.TEXTAFTER(CantoralDB[[#This Row],[index.html]],"&gt;"),"&gt;")&amp;"&gt;"</f>
        <v>&lt;a href="canciones/josep_asuncion/como_las_tiendas_de_quedar.html"&gt;</v>
      </c>
      <c r="W310" s="1"/>
      <c r="X310" s="1"/>
      <c r="Y310" s="1"/>
    </row>
    <row r="311" spans="1:25" hidden="1" x14ac:dyDescent="0.3">
      <c r="A311" s="1">
        <f>ROW(CantoralDB[[#This Row],[Título]])-1</f>
        <v>310</v>
      </c>
      <c r="B311" s="1" t="s">
        <v>1223</v>
      </c>
      <c r="C311" s="1"/>
      <c r="E311" s="1">
        <v>53</v>
      </c>
      <c r="I311" s="1"/>
      <c r="L311" s="15" t="s">
        <v>510</v>
      </c>
      <c r="M311" s="15"/>
      <c r="N311" s="15"/>
      <c r="O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como_le_cantare_al_señor.html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311" s="15" t="str">
        <f>_xlfn.TEXTBEFORE(_xlfn.TEXTAFTER(CantoralDB[[#This Row],[index.html]],"&gt;"),"&gt;")&amp;"&gt;"</f>
        <v>&lt;a href="canciones/ricardo_cantalapiedra/como_le_cantare_al_señor.html"&gt;</v>
      </c>
      <c r="W311" s="1"/>
      <c r="X311" s="1"/>
      <c r="Y311" s="1"/>
    </row>
    <row r="312" spans="1:25" hidden="1" x14ac:dyDescent="0.3">
      <c r="A312" s="1">
        <f>ROW(CantoralDB[[#This Row],[Título]])-1</f>
        <v>311</v>
      </c>
      <c r="B312" s="1" t="s">
        <v>1225</v>
      </c>
      <c r="C312" s="1"/>
      <c r="E312" s="1">
        <v>54</v>
      </c>
      <c r="I312" s="1"/>
      <c r="L312" s="15" t="s">
        <v>573</v>
      </c>
      <c r="M312" s="15"/>
      <c r="N312" s="15"/>
      <c r="O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como_lo_habia_anunciado.html</v>
      </c>
      <c r="R312" s="1"/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312" s="15" t="str">
        <f>_xlfn.TEXTBEFORE(_xlfn.TEXTAFTER(CantoralDB[[#This Row],[index.html]],"&gt;"),"&gt;")&amp;"&gt;"</f>
        <v>&lt;a href="canciones/nsb/como_lo_habia_anunciado.html"&gt;</v>
      </c>
      <c r="W312" s="1"/>
      <c r="X312" s="1"/>
      <c r="Y312" s="1"/>
    </row>
    <row r="313" spans="1:25" hidden="1" x14ac:dyDescent="0.3">
      <c r="A313" s="1">
        <f>ROW(CantoralDB[[#This Row],[Título]])-1</f>
        <v>312</v>
      </c>
      <c r="B313" s="1" t="s">
        <v>1647</v>
      </c>
      <c r="C313" s="1"/>
      <c r="I313" s="1"/>
      <c r="L313" s="15" t="s">
        <v>484</v>
      </c>
      <c r="M313" s="15" t="s">
        <v>1530</v>
      </c>
      <c r="N313" s="15">
        <v>3</v>
      </c>
      <c r="O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como_marcelino.html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313" s="15" t="str">
        <f>_xlfn.TEXTBEFORE(_xlfn.TEXTAFTER(CantoralDB[[#This Row],[index.html]],"&gt;"),"&gt;")&amp;"&gt;"</f>
        <v>&lt;a href="canciones/kairoi/como_marcelino.html"&gt;</v>
      </c>
      <c r="W313" s="1"/>
      <c r="X313" s="1"/>
      <c r="Y313" s="1"/>
    </row>
    <row r="314" spans="1:25" hidden="1" x14ac:dyDescent="0.3">
      <c r="A314" s="1">
        <f>ROW(CantoralDB[[#This Row],[Título]])-1</f>
        <v>313</v>
      </c>
      <c r="B314" s="1" t="s">
        <v>1727</v>
      </c>
      <c r="C314" s="1"/>
      <c r="I314" s="1" t="s">
        <v>612</v>
      </c>
      <c r="L314" s="15" t="s">
        <v>484</v>
      </c>
      <c r="M314" s="15" t="s">
        <v>1540</v>
      </c>
      <c r="N314" s="15">
        <v>4</v>
      </c>
      <c r="O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como_maria.html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href="canciones/kairoi/como_maria.html"&gt;Como María&lt;/a&gt;&lt;/li&gt;</v>
      </c>
      <c r="U314" s="15" t="str">
        <f>_xlfn.TEXTBEFORE(_xlfn.TEXTAFTER(CantoralDB[[#This Row],[index.html]],"&gt;"),"&gt;")&amp;"&gt;"</f>
        <v>&lt;a href="canciones/kairoi/como_maria.html"&gt;</v>
      </c>
      <c r="W314" s="1"/>
      <c r="X314" s="1"/>
      <c r="Y314" s="1"/>
    </row>
    <row r="315" spans="1:25" hidden="1" x14ac:dyDescent="0.3">
      <c r="A315" s="1">
        <f>ROW(CantoralDB[[#This Row],[Título]])-1</f>
        <v>314</v>
      </c>
      <c r="B315" s="1" t="s">
        <v>1937</v>
      </c>
      <c r="C315" s="1"/>
      <c r="I315" s="1" t="s">
        <v>612</v>
      </c>
      <c r="L315" s="15" t="s">
        <v>1804</v>
      </c>
      <c r="M315" s="15" t="s">
        <v>1952</v>
      </c>
      <c r="N315" s="15">
        <v>15</v>
      </c>
      <c r="O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como_niños.html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href="canciones/ruah/como_niños.html"&gt;Como niños&lt;/a&gt;&lt;/li&gt;</v>
      </c>
      <c r="U315" s="15" t="str">
        <f>_xlfn.TEXTBEFORE(_xlfn.TEXTAFTER(CantoralDB[[#This Row],[index.html]],"&gt;"),"&gt;")&amp;"&gt;"</f>
        <v>&lt;a href="canciones/ruah/como_niños.html"&gt;</v>
      </c>
      <c r="W315" s="1"/>
      <c r="X315" s="1"/>
      <c r="Y315" s="1"/>
    </row>
    <row r="316" spans="1:25" hidden="1" x14ac:dyDescent="0.3">
      <c r="A316" s="1">
        <f>ROW(CantoralDB[[#This Row],[Título]])-1</f>
        <v>315</v>
      </c>
      <c r="B316" s="1" t="s">
        <v>1869</v>
      </c>
      <c r="C316" s="1"/>
      <c r="I316" s="1"/>
      <c r="L316" s="15" t="s">
        <v>501</v>
      </c>
      <c r="M316" s="15" t="s">
        <v>1554</v>
      </c>
      <c r="N316" s="15">
        <v>17</v>
      </c>
      <c r="O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como_pan_pequeño.html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316" s="15" t="str">
        <f>_xlfn.TEXTBEFORE(_xlfn.TEXTAFTER(CantoralDB[[#This Row],[index.html]],"&gt;"),"&gt;")&amp;"&gt;"</f>
        <v>&lt;a href="canciones/ain_karem/como_pan_pequeño.html"&gt;</v>
      </c>
      <c r="W316" s="1"/>
      <c r="X316" s="1"/>
      <c r="Y316" s="1"/>
    </row>
    <row r="317" spans="1:25" hidden="1" x14ac:dyDescent="0.3">
      <c r="A317" s="1">
        <f>ROW(CantoralDB[[#This Row],[Título]])-1</f>
        <v>316</v>
      </c>
      <c r="B317" s="1" t="s">
        <v>1892</v>
      </c>
      <c r="C317" s="1"/>
      <c r="I317" s="1" t="s">
        <v>612</v>
      </c>
      <c r="L317" s="15" t="s">
        <v>501</v>
      </c>
      <c r="M317" s="15" t="s">
        <v>1548</v>
      </c>
      <c r="N317" s="15">
        <v>5</v>
      </c>
      <c r="O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como_podre_pagarte.html</v>
      </c>
      <c r="R317" s="1"/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317" s="15" t="str">
        <f>_xlfn.TEXTBEFORE(_xlfn.TEXTAFTER(CantoralDB[[#This Row],[index.html]],"&gt;"),"&gt;")&amp;"&gt;"</f>
        <v>&lt;a href="canciones/ain_karem/como_podre_pagarte.html"&gt;</v>
      </c>
      <c r="W317" s="1"/>
      <c r="X317" s="1"/>
      <c r="Y317" s="1"/>
    </row>
    <row r="318" spans="1:25" hidden="1" x14ac:dyDescent="0.3">
      <c r="A318" s="1">
        <f>ROW(CantoralDB[[#This Row],[Título]])-1</f>
        <v>317</v>
      </c>
      <c r="B318" s="1" t="s">
        <v>640</v>
      </c>
      <c r="C318" s="1" t="s">
        <v>201</v>
      </c>
      <c r="D318" s="1" t="s">
        <v>1441</v>
      </c>
      <c r="G318" s="1" t="s">
        <v>641</v>
      </c>
      <c r="H318" s="1" t="s">
        <v>1039</v>
      </c>
      <c r="I318" s="1" t="s">
        <v>612</v>
      </c>
      <c r="L318" s="15" t="s">
        <v>522</v>
      </c>
      <c r="M318" s="15"/>
      <c r="N318" s="15"/>
      <c r="O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como_sal_como_luz.html</v>
      </c>
      <c r="R318" s="1" t="s">
        <v>819</v>
      </c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318" s="15" t="str">
        <f>_xlfn.TEXTBEFORE(_xlfn.TEXTAFTER(CantoralDB[[#This Row],[index.html]],"&gt;"),"&gt;")&amp;"&gt;"</f>
        <v>&lt;a href="canciones/nsb/como_sal_como_luz.html"&gt;</v>
      </c>
      <c r="W318" s="1"/>
      <c r="X318" s="1"/>
      <c r="Y318" s="1"/>
    </row>
    <row r="319" spans="1:25" hidden="1" x14ac:dyDescent="0.3">
      <c r="A319" s="1">
        <f>ROW(CantoralDB[[#This Row],[Título]])-1</f>
        <v>318</v>
      </c>
      <c r="B319" s="1" t="s">
        <v>1882</v>
      </c>
      <c r="C319" s="1"/>
      <c r="I319" s="1" t="s">
        <v>612</v>
      </c>
      <c r="L319" s="15" t="s">
        <v>501</v>
      </c>
      <c r="M319" s="15" t="s">
        <v>1553</v>
      </c>
      <c r="N319" s="15">
        <v>12</v>
      </c>
      <c r="O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href="canciones/ain_karem/como_tu.html"&gt;Como Tú&lt;/a&gt;&lt;/li&gt;</v>
      </c>
      <c r="U319" s="15" t="str">
        <f>_xlfn.TEXTBEFORE(_xlfn.TEXTAFTER(CantoralDB[[#This Row],[index.html]],"&gt;"),"&gt;")&amp;"&gt;"</f>
        <v>&lt;a href="canciones/ain_karem/como_tu.html"&gt;</v>
      </c>
      <c r="W319" s="1"/>
      <c r="X319" s="1"/>
      <c r="Y319" s="1"/>
    </row>
    <row r="320" spans="1:25" hidden="1" x14ac:dyDescent="0.3">
      <c r="A320" s="1">
        <f>ROW(CantoralDB[[#This Row],[Título]])-1</f>
        <v>319</v>
      </c>
      <c r="B320" s="1" t="s">
        <v>1734</v>
      </c>
      <c r="C320" s="1"/>
      <c r="I320" s="1"/>
      <c r="L320" s="15" t="s">
        <v>484</v>
      </c>
      <c r="M320" s="15" t="s">
        <v>1541</v>
      </c>
      <c r="N320" s="15">
        <v>3</v>
      </c>
      <c r="O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href="canciones/kairoi/como_tu.html"&gt;Como tú&lt;/a&gt;&lt;/li&gt;</v>
      </c>
      <c r="U320" s="15" t="str">
        <f>_xlfn.TEXTBEFORE(_xlfn.TEXTAFTER(CantoralDB[[#This Row],[index.html]],"&gt;"),"&gt;")&amp;"&gt;"</f>
        <v>&lt;a href="canciones/kairoi/como_tu.html"&gt;</v>
      </c>
      <c r="W320" s="1"/>
      <c r="X320" s="1"/>
      <c r="Y320" s="1"/>
    </row>
    <row r="321" spans="1:25" hidden="1" x14ac:dyDescent="0.3">
      <c r="A321" s="1">
        <f>ROW(CantoralDB[[#This Row],[Título]])-1</f>
        <v>320</v>
      </c>
      <c r="B321" s="1" t="s">
        <v>3757</v>
      </c>
      <c r="C321" s="1"/>
      <c r="F321" s="1">
        <v>409</v>
      </c>
      <c r="I321" s="1"/>
      <c r="L321" s="15" t="s">
        <v>3451</v>
      </c>
      <c r="M321" s="15"/>
      <c r="N321" s="15"/>
      <c r="O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como_un_niño.html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321" s="15" t="str">
        <f>_xlfn.TEXTBEFORE(_xlfn.TEXTAFTER(CantoralDB[[#This Row],[index.html]],"&gt;"),"&gt;")&amp;"&gt;"</f>
        <v>&lt;a href="canciones/rosa_cruz/como_un_niño.html"&gt;</v>
      </c>
      <c r="W321" s="1"/>
      <c r="X321" s="1"/>
      <c r="Y321" s="1"/>
    </row>
    <row r="322" spans="1:25" hidden="1" x14ac:dyDescent="0.3">
      <c r="A322" s="1">
        <f>ROW(CantoralDB[[#This Row],[Título]])-1</f>
        <v>321</v>
      </c>
      <c r="B322" s="1" t="s">
        <v>3254</v>
      </c>
      <c r="C322" s="1"/>
      <c r="I322" s="1"/>
      <c r="L322" s="15" t="s">
        <v>3160</v>
      </c>
      <c r="M322" s="15" t="s">
        <v>3248</v>
      </c>
      <c r="N322" s="15">
        <v>7</v>
      </c>
      <c r="O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como_una_madre.html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href="canciones/hermana_glenda/como_una_madre.html"&gt;Como una madre&lt;/a&gt;&lt;/li&gt;</v>
      </c>
      <c r="U322" s="15" t="str">
        <f>_xlfn.TEXTBEFORE(_xlfn.TEXTAFTER(CantoralDB[[#This Row],[index.html]],"&gt;"),"&gt;")&amp;"&gt;"</f>
        <v>&lt;a href="canciones/hermana_glenda/como_una_madre.html"&gt;</v>
      </c>
      <c r="W322" s="1"/>
      <c r="X322" s="1"/>
      <c r="Y322" s="1"/>
    </row>
    <row r="323" spans="1:25" hidden="1" x14ac:dyDescent="0.3">
      <c r="A323" s="1">
        <f>ROW(CantoralDB[[#This Row],[Título]])-1</f>
        <v>322</v>
      </c>
      <c r="B323" s="1" t="s">
        <v>35</v>
      </c>
      <c r="C323" s="1" t="s">
        <v>201</v>
      </c>
      <c r="D323" s="1" t="s">
        <v>652</v>
      </c>
      <c r="E323" s="1">
        <v>51</v>
      </c>
      <c r="G323" s="1" t="s">
        <v>209</v>
      </c>
      <c r="H323" s="1" t="s">
        <v>1046</v>
      </c>
      <c r="I323" s="1" t="s">
        <v>612</v>
      </c>
      <c r="L323" s="15" t="s">
        <v>479</v>
      </c>
      <c r="M323" s="15"/>
      <c r="N323" s="15"/>
      <c r="O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compartir_junto_al_señor.html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323" s="15" t="str">
        <f>_xlfn.TEXTBEFORE(_xlfn.TEXTAFTER(CantoralDB[[#This Row],[index.html]],"&gt;"),"&gt;")&amp;"&gt;"</f>
        <v>&lt;a href="canciones/carmelo_erdozain/compartir_junto_al_señor.html"&gt;</v>
      </c>
      <c r="W323" s="1"/>
      <c r="X323" s="1"/>
      <c r="Y323" s="1"/>
    </row>
    <row r="324" spans="1:25" hidden="1" x14ac:dyDescent="0.3">
      <c r="A324" s="1">
        <f>ROW(CantoralDB[[#This Row],[Título]])-1</f>
        <v>323</v>
      </c>
      <c r="B324" s="1" t="s">
        <v>1220</v>
      </c>
      <c r="C324" s="1"/>
      <c r="E324" s="1">
        <v>47</v>
      </c>
      <c r="I324" s="1"/>
      <c r="L324" s="15" t="s">
        <v>3347</v>
      </c>
      <c r="M324" s="15"/>
      <c r="N324" s="15"/>
      <c r="O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compartir_hay_que_compartir.html</v>
      </c>
      <c r="R324" s="1"/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data-nold="47"&gt;&lt;a href="canciones/luis_alfredo_diaz/compartir_hay_que_compartir.html"&gt;Compartir, hay que compartir&lt;/a&gt;&lt;/li&gt;</v>
      </c>
      <c r="U324" s="15" t="str">
        <f>_xlfn.TEXTBEFORE(_xlfn.TEXTAFTER(CantoralDB[[#This Row],[index.html]],"&gt;"),"&gt;")&amp;"&gt;"</f>
        <v>&lt;a href="canciones/luis_alfredo_diaz/compartir_hay_que_compartir.html"&gt;</v>
      </c>
      <c r="W324" s="1"/>
      <c r="X324" s="1"/>
      <c r="Y324" s="1"/>
    </row>
    <row r="325" spans="1:25" hidden="1" x14ac:dyDescent="0.3">
      <c r="A325" s="1">
        <f>ROW(CantoralDB[[#This Row],[Título]])-1</f>
        <v>324</v>
      </c>
      <c r="B325" s="1" t="s">
        <v>2035</v>
      </c>
      <c r="C325" s="1"/>
      <c r="I325" s="1" t="s">
        <v>612</v>
      </c>
      <c r="L325" s="15" t="s">
        <v>261</v>
      </c>
      <c r="M325" s="15"/>
      <c r="N325" s="15"/>
      <c r="O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comunion_espiritual.html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325" s="15" t="str">
        <f>_xlfn.TEXTBEFORE(_xlfn.TEXTAFTER(CantoralDB[[#This Row],[index.html]],"&gt;"),"&gt;")&amp;"&gt;"</f>
        <v>&lt;a href="canciones/hakuna/comunion_espiritual.html"&gt;</v>
      </c>
      <c r="W325" s="1"/>
      <c r="X325" s="1"/>
      <c r="Y325" s="1"/>
    </row>
    <row r="326" spans="1:25" hidden="1" x14ac:dyDescent="0.3">
      <c r="A326" s="1">
        <f>ROW(CantoralDB[[#This Row],[Título]])-1</f>
        <v>325</v>
      </c>
      <c r="B326" s="1" t="s">
        <v>1824</v>
      </c>
      <c r="C326" s="1"/>
      <c r="I326" s="1" t="s">
        <v>612</v>
      </c>
      <c r="L326" s="15" t="s">
        <v>501</v>
      </c>
      <c r="M326" s="15" t="s">
        <v>1550</v>
      </c>
      <c r="N326" s="15">
        <v>3</v>
      </c>
      <c r="O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con_amor_eterno.html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326" s="15" t="str">
        <f>_xlfn.TEXTBEFORE(_xlfn.TEXTAFTER(CantoralDB[[#This Row],[index.html]],"&gt;"),"&gt;")&amp;"&gt;"</f>
        <v>&lt;a href="canciones/ain_karem/con_amor_eterno.html"&gt;</v>
      </c>
      <c r="W326" s="1"/>
      <c r="X326" s="1"/>
      <c r="Y326" s="1"/>
    </row>
    <row r="327" spans="1:25" hidden="1" x14ac:dyDescent="0.3">
      <c r="A327" s="1">
        <f>ROW(CantoralDB[[#This Row],[Título]])-1</f>
        <v>326</v>
      </c>
      <c r="B327" s="1" t="s">
        <v>3701</v>
      </c>
      <c r="C327" s="1"/>
      <c r="F327" s="1">
        <v>366</v>
      </c>
      <c r="I327" s="1"/>
      <c r="L327" s="15" t="s">
        <v>3702</v>
      </c>
      <c r="M327" s="15"/>
      <c r="N327" s="15"/>
      <c r="O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con_gozo_al_señor_cantare.html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327" s="15" t="str">
        <f>_xlfn.TEXTBEFORE(_xlfn.TEXTAFTER(CantoralDB[[#This Row],[index.html]],"&gt;"),"&gt;")&amp;"&gt;"</f>
        <v>&lt;a href="canciones/nuevas/con_gozo_al_señor_cantare.html"&gt;</v>
      </c>
      <c r="W327" s="1"/>
      <c r="X327" s="1"/>
      <c r="Y327" s="1"/>
    </row>
    <row r="328" spans="1:25" hidden="1" x14ac:dyDescent="0.3">
      <c r="A328" s="1">
        <f>ROW(CantoralDB[[#This Row],[Título]])-1</f>
        <v>327</v>
      </c>
      <c r="B328" s="1" t="s">
        <v>1662</v>
      </c>
      <c r="C328" s="1"/>
      <c r="I328" s="1"/>
      <c r="L328" s="15" t="s">
        <v>484</v>
      </c>
      <c r="M328" s="15" t="s">
        <v>1531</v>
      </c>
      <c r="N328" s="15">
        <v>7</v>
      </c>
      <c r="O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con_los_niños.html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328" s="15" t="str">
        <f>_xlfn.TEXTBEFORE(_xlfn.TEXTAFTER(CantoralDB[[#This Row],[index.html]],"&gt;"),"&gt;")&amp;"&gt;"</f>
        <v>&lt;a href="canciones/kairoi/con_los_niños.html"&gt;</v>
      </c>
      <c r="W328" s="1"/>
      <c r="X328" s="1"/>
      <c r="Y328" s="1"/>
    </row>
    <row r="329" spans="1:25" hidden="1" x14ac:dyDescent="0.3">
      <c r="A329" s="1">
        <f>ROW(CantoralDB[[#This Row],[Título]])-1</f>
        <v>328</v>
      </c>
      <c r="B329" s="1" t="s">
        <v>3336</v>
      </c>
      <c r="C329" s="1"/>
      <c r="F329" s="1">
        <v>3</v>
      </c>
      <c r="I329" s="1"/>
      <c r="L329" s="15" t="s">
        <v>3335</v>
      </c>
      <c r="M329" s="15"/>
      <c r="N329" s="15"/>
      <c r="O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con_mis_manos_alzadas.html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329" s="15" t="str">
        <f>_xlfn.TEXTBEFORE(_xlfn.TEXTAFTER(CantoralDB[[#This Row],[index.html]],"&gt;"),"&gt;")&amp;"&gt;"</f>
        <v>&lt;a href="canciones/nuevas/con_mis_manos_alzadas.html"&gt;</v>
      </c>
      <c r="W329" s="1"/>
      <c r="X329" s="1"/>
      <c r="Y329" s="1"/>
    </row>
    <row r="330" spans="1:25" hidden="1" x14ac:dyDescent="0.3">
      <c r="A330" s="1">
        <f>ROW(CantoralDB[[#This Row],[Título]])-1</f>
        <v>329</v>
      </c>
      <c r="B330" s="1" t="s">
        <v>1218</v>
      </c>
      <c r="C330" s="1"/>
      <c r="E330" s="1">
        <v>44</v>
      </c>
      <c r="I330" s="1" t="s">
        <v>612</v>
      </c>
      <c r="L330" s="15" t="s">
        <v>479</v>
      </c>
      <c r="M330" s="15"/>
      <c r="N330" s="15"/>
      <c r="O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con_nosotros_esta_el_señor.html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330" s="15" t="str">
        <f>_xlfn.TEXTBEFORE(_xlfn.TEXTAFTER(CantoralDB[[#This Row],[index.html]],"&gt;"),"&gt;")&amp;"&gt;"</f>
        <v>&lt;a href="canciones/carmelo_erdozain/con_nosotros_esta_el_señor.html"&gt;</v>
      </c>
      <c r="W330" s="1"/>
      <c r="X330" s="1"/>
      <c r="Y330" s="1"/>
    </row>
    <row r="331" spans="1:25" hidden="1" x14ac:dyDescent="0.3">
      <c r="A331" s="1">
        <f>ROW(CantoralDB[[#This Row],[Título]])-1</f>
        <v>330</v>
      </c>
      <c r="B331" s="1" t="s">
        <v>3290</v>
      </c>
      <c r="C331" s="1"/>
      <c r="I331" s="1"/>
      <c r="L331" s="15" t="s">
        <v>3160</v>
      </c>
      <c r="M331" s="15" t="s">
        <v>3188</v>
      </c>
      <c r="N331" s="15">
        <v>1</v>
      </c>
      <c r="O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con_nostalgia_de_ti.html</v>
      </c>
      <c r="R331" s="1"/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href="canciones/hermana_glenda/con_nostalgia_de_ti.html"&gt;Con nostalgia de Ti&lt;/a&gt;&lt;/li&gt;</v>
      </c>
      <c r="U331" s="15" t="str">
        <f>_xlfn.TEXTBEFORE(_xlfn.TEXTAFTER(CantoralDB[[#This Row],[index.html]],"&gt;"),"&gt;")&amp;"&gt;"</f>
        <v>&lt;a href="canciones/hermana_glenda/con_nostalgia_de_ti.html"&gt;</v>
      </c>
      <c r="W331" s="1"/>
      <c r="X331" s="1"/>
      <c r="Y331" s="1"/>
    </row>
    <row r="332" spans="1:25" hidden="1" x14ac:dyDescent="0.3">
      <c r="A332" s="1">
        <f>ROW(CantoralDB[[#This Row],[Título]])-1</f>
        <v>331</v>
      </c>
      <c r="B332" s="1" t="s">
        <v>1715</v>
      </c>
      <c r="C332" s="1"/>
      <c r="I332" s="1" t="s">
        <v>612</v>
      </c>
      <c r="L332" s="15" t="s">
        <v>484</v>
      </c>
      <c r="M332" s="15" t="s">
        <v>1538</v>
      </c>
      <c r="N332" s="15">
        <v>4</v>
      </c>
      <c r="O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con_sencillo_corazon.html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332" s="15" t="str">
        <f>_xlfn.TEXTBEFORE(_xlfn.TEXTAFTER(CantoralDB[[#This Row],[index.html]],"&gt;"),"&gt;")&amp;"&gt;"</f>
        <v>&lt;a href="canciones/kairoi/con_sencillo_corazon.html"&gt;</v>
      </c>
      <c r="W332" s="1"/>
      <c r="X332" s="1"/>
      <c r="Y332" s="1"/>
    </row>
    <row r="333" spans="1:25" hidden="1" x14ac:dyDescent="0.3">
      <c r="A333" s="1">
        <f>ROW(CantoralDB[[#This Row],[Título]])-1</f>
        <v>332</v>
      </c>
      <c r="B333" s="1" t="s">
        <v>1215</v>
      </c>
      <c r="C333" s="1"/>
      <c r="E333" s="1">
        <v>37</v>
      </c>
      <c r="I333" s="1"/>
      <c r="L333" s="15" t="s">
        <v>510</v>
      </c>
      <c r="M333" s="15"/>
      <c r="N333" s="15"/>
      <c r="O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con_su_muerte_nos_justificara.html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333" s="15" t="str">
        <f>_xlfn.TEXTBEFORE(_xlfn.TEXTAFTER(CantoralDB[[#This Row],[index.html]],"&gt;"),"&gt;")&amp;"&gt;"</f>
        <v>&lt;a href="canciones/ricardo_cantalapiedra/con_su_muerte_nos_justificara.html"&gt;</v>
      </c>
      <c r="W333" s="1"/>
      <c r="X333" s="1"/>
      <c r="Y333" s="1"/>
    </row>
    <row r="334" spans="1:25" hidden="1" x14ac:dyDescent="0.3">
      <c r="A334" s="1">
        <f>ROW(CantoralDB[[#This Row],[Título]])-1</f>
        <v>333</v>
      </c>
      <c r="B334" s="1" t="s">
        <v>36</v>
      </c>
      <c r="C334" s="1" t="s">
        <v>997</v>
      </c>
      <c r="D334" s="1" t="s">
        <v>693</v>
      </c>
      <c r="E334" s="1">
        <v>60</v>
      </c>
      <c r="G334" s="1" t="s">
        <v>209</v>
      </c>
      <c r="H334" s="1" t="s">
        <v>1066</v>
      </c>
      <c r="I334" s="1" t="s">
        <v>612</v>
      </c>
      <c r="L334" s="15" t="s">
        <v>487</v>
      </c>
      <c r="M334" s="15"/>
      <c r="N334" s="15"/>
      <c r="O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con_vosotros_esta.html</v>
      </c>
      <c r="R334" s="1" t="s">
        <v>820</v>
      </c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334" s="15" t="str">
        <f>_xlfn.TEXTBEFORE(_xlfn.TEXTAFTER(CantoralDB[[#This Row],[index.html]],"&gt;"),"&gt;")&amp;"&gt;"</f>
        <v>&lt;a href="canciones/miguel_manzano/con_vosotros_esta.html"&gt;</v>
      </c>
      <c r="W334" s="1"/>
      <c r="X334" s="1"/>
      <c r="Y334" s="1"/>
    </row>
    <row r="335" spans="1:25" hidden="1" x14ac:dyDescent="0.3">
      <c r="A335" s="1">
        <f>ROW(CantoralDB[[#This Row],[Título]])-1</f>
        <v>334</v>
      </c>
      <c r="B335" s="1" t="s">
        <v>3275</v>
      </c>
      <c r="C335" s="1"/>
      <c r="I335" s="1"/>
      <c r="L335" s="15" t="s">
        <v>3160</v>
      </c>
      <c r="M335" s="15" t="s">
        <v>415</v>
      </c>
      <c r="N335" s="15">
        <v>14</v>
      </c>
      <c r="O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con_vosotros_estoy.html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href="canciones/hermana_glenda/con_vosotros_estoy.html"&gt;Con vosotros estoy&lt;/a&gt;&lt;/li&gt;</v>
      </c>
      <c r="U335" s="15" t="str">
        <f>_xlfn.TEXTBEFORE(_xlfn.TEXTAFTER(CantoralDB[[#This Row],[index.html]],"&gt;"),"&gt;")&amp;"&gt;"</f>
        <v>&lt;a href="canciones/hermana_glenda/con_vosotros_estoy.html"&gt;</v>
      </c>
      <c r="W335" s="1"/>
      <c r="X335" s="1"/>
      <c r="Y335" s="1"/>
    </row>
    <row r="336" spans="1:25" hidden="1" x14ac:dyDescent="0.3">
      <c r="A336" s="1">
        <f>ROW(CantoralDB[[#This Row],[Título]])-1</f>
        <v>335</v>
      </c>
      <c r="B336" s="1" t="s">
        <v>1995</v>
      </c>
      <c r="C336" s="1"/>
      <c r="I336" s="1" t="s">
        <v>612</v>
      </c>
      <c r="L336" s="15" t="s">
        <v>261</v>
      </c>
      <c r="M336" s="15"/>
      <c r="N336" s="15"/>
      <c r="O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concienciame.html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href="canciones/hakuna/concienciame.html"&gt;Conciénciame&lt;/a&gt;&lt;/li&gt;</v>
      </c>
      <c r="U336" s="15" t="str">
        <f>_xlfn.TEXTBEFORE(_xlfn.TEXTAFTER(CantoralDB[[#This Row],[index.html]],"&gt;"),"&gt;")&amp;"&gt;"</f>
        <v>&lt;a href="canciones/hakuna/concienciame.html"&gt;</v>
      </c>
      <c r="W336" s="1"/>
      <c r="X336" s="1"/>
      <c r="Y336" s="1"/>
    </row>
    <row r="337" spans="1:25" hidden="1" x14ac:dyDescent="0.3">
      <c r="A337" s="1">
        <f>ROW(CantoralDB[[#This Row],[Título]])-1</f>
        <v>336</v>
      </c>
      <c r="B337" s="1" t="s">
        <v>1881</v>
      </c>
      <c r="C337" s="1"/>
      <c r="I337" s="1" t="s">
        <v>612</v>
      </c>
      <c r="L337" s="15" t="s">
        <v>501</v>
      </c>
      <c r="M337" s="15" t="s">
        <v>1553</v>
      </c>
      <c r="N337" s="15">
        <v>11</v>
      </c>
      <c r="O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confia.html</v>
      </c>
      <c r="R337" s="1"/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href="canciones/ain_karem/confia.html"&gt;Confia&lt;/a&gt;&lt;/li&gt;</v>
      </c>
      <c r="U337" s="15" t="str">
        <f>_xlfn.TEXTBEFORE(_xlfn.TEXTAFTER(CantoralDB[[#This Row],[index.html]],"&gt;"),"&gt;")&amp;"&gt;"</f>
        <v>&lt;a href="canciones/ain_karem/confia.html"&gt;</v>
      </c>
      <c r="W337" s="1"/>
      <c r="X337" s="1"/>
      <c r="Y337" s="1"/>
    </row>
    <row r="338" spans="1:25" hidden="1" x14ac:dyDescent="0.3">
      <c r="A338" s="1">
        <f>ROW(CantoralDB[[#This Row],[Título]])-1</f>
        <v>337</v>
      </c>
      <c r="B338" s="1" t="s">
        <v>3754</v>
      </c>
      <c r="C338" s="1"/>
      <c r="F338" s="1">
        <v>407</v>
      </c>
      <c r="I338" s="1"/>
      <c r="L338" s="15" t="s">
        <v>594</v>
      </c>
      <c r="M338" s="15"/>
      <c r="N338" s="15"/>
      <c r="O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338" s="15" t="str">
        <f>_xlfn.TEXTBEFORE(_xlfn.TEXTAFTER(CantoralDB[[#This Row],[index.html]],"&gt;"),"&gt;")&amp;"&gt;"</f>
        <v>&lt;a href="canciones/alejandro_ruiz/confiad.html"&gt;</v>
      </c>
      <c r="W338" s="1"/>
      <c r="X338" s="1"/>
      <c r="Y338" s="1"/>
    </row>
    <row r="339" spans="1:25" hidden="1" x14ac:dyDescent="0.3">
      <c r="A339" s="1">
        <f>ROW(CantoralDB[[#This Row],[Título]])-1</f>
        <v>338</v>
      </c>
      <c r="B339" s="1" t="s">
        <v>1641</v>
      </c>
      <c r="C339" s="1"/>
      <c r="I339" s="1"/>
      <c r="L339" s="15" t="s">
        <v>484</v>
      </c>
      <c r="M339" s="15" t="s">
        <v>1527</v>
      </c>
      <c r="N339" s="15">
        <v>8</v>
      </c>
      <c r="O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confiad_recurrid.html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339" s="15" t="str">
        <f>_xlfn.TEXTBEFORE(_xlfn.TEXTAFTER(CantoralDB[[#This Row],[index.html]],"&gt;"),"&gt;")&amp;"&gt;"</f>
        <v>&lt;a href="canciones/kairoi/confiad_recurrid.html"&gt;</v>
      </c>
      <c r="W339" s="1"/>
      <c r="X339" s="1"/>
      <c r="Y339" s="1"/>
    </row>
    <row r="340" spans="1:25" hidden="1" x14ac:dyDescent="0.3">
      <c r="A340" s="1">
        <f>ROW(CantoralDB[[#This Row],[Título]])-1</f>
        <v>339</v>
      </c>
      <c r="B340" s="1" t="s">
        <v>1811</v>
      </c>
      <c r="C340" s="1"/>
      <c r="I340" s="1" t="s">
        <v>612</v>
      </c>
      <c r="L340" s="15" t="s">
        <v>501</v>
      </c>
      <c r="M340" s="15" t="s">
        <v>1549</v>
      </c>
      <c r="N340" s="15">
        <v>3</v>
      </c>
      <c r="O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href="canciones/ain_karem/confianza.html"&gt;Confianza&lt;/a&gt;&lt;/li&gt;</v>
      </c>
      <c r="U340" s="15" t="str">
        <f>_xlfn.TEXTBEFORE(_xlfn.TEXTAFTER(CantoralDB[[#This Row],[index.html]],"&gt;"),"&gt;")&amp;"&gt;"</f>
        <v>&lt;a href="canciones/ain_karem/confianza.html"&gt;</v>
      </c>
      <c r="W340" s="1"/>
      <c r="X340" s="1"/>
      <c r="Y340" s="1"/>
    </row>
    <row r="341" spans="1:25" hidden="1" x14ac:dyDescent="0.3">
      <c r="A341" s="1">
        <f>ROW(CantoralDB[[#This Row],[Título]])-1</f>
        <v>340</v>
      </c>
      <c r="B341" s="1" t="s">
        <v>1713</v>
      </c>
      <c r="C341" s="1"/>
      <c r="I341" s="1" t="s">
        <v>612</v>
      </c>
      <c r="L341" s="15" t="s">
        <v>484</v>
      </c>
      <c r="M341" s="15" t="s">
        <v>1538</v>
      </c>
      <c r="N341" s="15">
        <v>2</v>
      </c>
      <c r="O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confianza_en_dios.html</v>
      </c>
      <c r="R341" s="1"/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341" s="15" t="str">
        <f>_xlfn.TEXTBEFORE(_xlfn.TEXTAFTER(CantoralDB[[#This Row],[index.html]],"&gt;"),"&gt;")&amp;"&gt;"</f>
        <v>&lt;a href="canciones/kairoi/confianza_en_dios.html"&gt;</v>
      </c>
      <c r="W341" s="1"/>
      <c r="X341" s="1"/>
      <c r="Y341" s="1"/>
    </row>
    <row r="342" spans="1:25" hidden="1" x14ac:dyDescent="0.3">
      <c r="A342" s="1">
        <f>ROW(CantoralDB[[#This Row],[Título]])-1</f>
        <v>341</v>
      </c>
      <c r="B342" s="1" t="s">
        <v>3280</v>
      </c>
      <c r="C342" s="1"/>
      <c r="I342" s="1"/>
      <c r="L342" s="15" t="s">
        <v>3160</v>
      </c>
      <c r="M342" s="15" t="s">
        <v>891</v>
      </c>
      <c r="N342" s="15">
        <v>10</v>
      </c>
      <c r="O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confiare_en_ti.html</v>
      </c>
      <c r="R342" s="1" t="s">
        <v>3288</v>
      </c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href="canciones/hermana_glenda/confiare_en_ti.html"&gt;Confiaré en Ti&lt;/a&gt;&lt;/li&gt;</v>
      </c>
      <c r="U342" s="15" t="str">
        <f>_xlfn.TEXTBEFORE(_xlfn.TEXTAFTER(CantoralDB[[#This Row],[index.html]],"&gt;"),"&gt;")&amp;"&gt;"</f>
        <v>&lt;a href="canciones/hermana_glenda/confiare_en_ti.html"&gt;</v>
      </c>
      <c r="W342" s="1"/>
      <c r="X342" s="1"/>
      <c r="Y342" s="1"/>
    </row>
    <row r="343" spans="1:25" hidden="1" x14ac:dyDescent="0.3">
      <c r="A343" s="1">
        <f>ROW(CantoralDB[[#This Row],[Título]])-1</f>
        <v>342</v>
      </c>
      <c r="B343" s="1" t="s">
        <v>494</v>
      </c>
      <c r="C343" s="1" t="s">
        <v>192</v>
      </c>
      <c r="D343" s="1" t="s">
        <v>1442</v>
      </c>
      <c r="G343" s="1" t="s">
        <v>495</v>
      </c>
      <c r="H343" s="1" t="s">
        <v>533</v>
      </c>
      <c r="I343" s="1" t="s">
        <v>612</v>
      </c>
      <c r="L343" s="15" t="s">
        <v>500</v>
      </c>
      <c r="M343" s="15"/>
      <c r="N343" s="15"/>
      <c r="O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confieso.html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343" s="15" t="str">
        <f>_xlfn.TEXTBEFORE(_xlfn.TEXTAFTER(CantoralDB[[#This Row],[index.html]],"&gt;"),"&gt;")&amp;"&gt;"</f>
        <v>&lt;a href="canciones/nsb/confieso.html"&gt;</v>
      </c>
      <c r="W343" s="1"/>
      <c r="X343" s="1"/>
      <c r="Y343" s="1"/>
    </row>
    <row r="344" spans="1:25" hidden="1" x14ac:dyDescent="0.3">
      <c r="A344" s="1">
        <f>ROW(CantoralDB[[#This Row],[Título]])-1</f>
        <v>343</v>
      </c>
      <c r="B344" s="1" t="s">
        <v>332</v>
      </c>
      <c r="C344" s="1" t="s">
        <v>1026</v>
      </c>
      <c r="D344" s="1" t="s">
        <v>1141</v>
      </c>
      <c r="F344" s="1">
        <v>423</v>
      </c>
      <c r="H344" s="1" t="s">
        <v>1041</v>
      </c>
      <c r="I344" s="1" t="s">
        <v>612</v>
      </c>
      <c r="L344" s="15" t="s">
        <v>2201</v>
      </c>
      <c r="M344" s="15"/>
      <c r="N344" s="15"/>
      <c r="O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344" s="15" t="str">
        <f>_xlfn.TEXTBEFORE(_xlfn.TEXTAFTER(CantoralDB[[#This Row],[index.html]],"&gt;"),"&gt;")&amp;"&gt;"</f>
        <v>&lt;a href="canciones/taize/confitemini_domino.html"&gt;</v>
      </c>
      <c r="W344" s="1"/>
      <c r="X344" s="1"/>
      <c r="Y344" s="1"/>
    </row>
    <row r="345" spans="1:25" hidden="1" x14ac:dyDescent="0.3">
      <c r="A345" s="1">
        <f>ROW(CantoralDB[[#This Row],[Título]])-1</f>
        <v>344</v>
      </c>
      <c r="B345" s="1" t="s">
        <v>1592</v>
      </c>
      <c r="C345" s="1"/>
      <c r="I345" s="1" t="s">
        <v>612</v>
      </c>
      <c r="L345" s="15" t="s">
        <v>484</v>
      </c>
      <c r="M345" s="15" t="s">
        <v>1539</v>
      </c>
      <c r="N345" s="15">
        <v>3</v>
      </c>
      <c r="O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construyenos_la_casa.html</v>
      </c>
      <c r="R345" s="1"/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345" s="15" t="str">
        <f>_xlfn.TEXTBEFORE(_xlfn.TEXTAFTER(CantoralDB[[#This Row],[index.html]],"&gt;"),"&gt;")&amp;"&gt;"</f>
        <v>&lt;a href="canciones/kairoi/construyenos_la_casa.html"&gt;</v>
      </c>
      <c r="W345" s="1"/>
      <c r="X345" s="1"/>
      <c r="Y345" s="1"/>
    </row>
    <row r="346" spans="1:25" hidden="1" x14ac:dyDescent="0.3">
      <c r="A346" s="1">
        <f>ROW(CantoralDB[[#This Row],[Título]])-1</f>
        <v>345</v>
      </c>
      <c r="B346" s="1" t="s">
        <v>3261</v>
      </c>
      <c r="C346" s="1"/>
      <c r="I346" s="1"/>
      <c r="L346" s="15" t="s">
        <v>3160</v>
      </c>
      <c r="M346" s="15" t="s">
        <v>3248</v>
      </c>
      <c r="N346" s="15">
        <v>15</v>
      </c>
      <c r="O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consuela_a_mi_pueblo.html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href="canciones/hermana_glenda/consuela_a_mi_pueblo.html"&gt;Consuela a mi pueblo&lt;/a&gt;&lt;/li&gt;</v>
      </c>
      <c r="U346" s="15" t="str">
        <f>_xlfn.TEXTBEFORE(_xlfn.TEXTAFTER(CantoralDB[[#This Row],[index.html]],"&gt;"),"&gt;")&amp;"&gt;"</f>
        <v>&lt;a href="canciones/hermana_glenda/consuela_a_mi_pueblo.html"&gt;</v>
      </c>
      <c r="W346" s="1"/>
      <c r="X346" s="1"/>
      <c r="Y346" s="1"/>
    </row>
    <row r="347" spans="1:25" hidden="1" x14ac:dyDescent="0.3">
      <c r="A347" s="1">
        <f>ROW(CantoralDB[[#This Row],[Título]])-1</f>
        <v>346</v>
      </c>
      <c r="B347" s="1" t="s">
        <v>3303</v>
      </c>
      <c r="C347" s="1"/>
      <c r="I347" s="1"/>
      <c r="L347" s="15" t="s">
        <v>3160</v>
      </c>
      <c r="M347" s="15" t="s">
        <v>3299</v>
      </c>
      <c r="N347" s="15">
        <v>11</v>
      </c>
      <c r="O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contemple_al_señor.html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href="canciones/hermana_glenda/contemple_al_señor.html"&gt;Contemplé al Señor&lt;/a&gt;&lt;/li&gt;</v>
      </c>
      <c r="U347" s="15" t="str">
        <f>_xlfn.TEXTBEFORE(_xlfn.TEXTAFTER(CantoralDB[[#This Row],[index.html]],"&gt;"),"&gt;")&amp;"&gt;"</f>
        <v>&lt;a href="canciones/hermana_glenda/contemple_al_señor.html"&gt;</v>
      </c>
      <c r="W347" s="1"/>
      <c r="X347" s="1"/>
      <c r="Y347" s="1"/>
    </row>
    <row r="348" spans="1:25" hidden="1" x14ac:dyDescent="0.3">
      <c r="A348" s="1">
        <f>ROW(CantoralDB[[#This Row],[Título]])-1</f>
        <v>347</v>
      </c>
      <c r="B348" s="1" t="s">
        <v>3084</v>
      </c>
      <c r="C348" s="15"/>
      <c r="I348" s="1" t="s">
        <v>612</v>
      </c>
      <c r="L348" s="15" t="s">
        <v>3102</v>
      </c>
      <c r="M348" s="15"/>
      <c r="N348" s="15"/>
      <c r="O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contigo_me_la_juego.html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348" s="15" t="str">
        <f>_xlfn.TEXTBEFORE(_xlfn.TEXTAFTER(CantoralDB[[#This Row],[index.html]],"&gt;"),"&gt;")&amp;"&gt;"</f>
        <v>&lt;a href="canciones/nuevas/contigo_me_la_juego.html"&gt;</v>
      </c>
      <c r="W348" s="1"/>
      <c r="X348" s="1"/>
      <c r="Y348" s="1"/>
    </row>
    <row r="349" spans="1:25" hidden="1" x14ac:dyDescent="0.3">
      <c r="A349" s="1">
        <f>ROW(CantoralDB[[#This Row],[Título]])-1</f>
        <v>348</v>
      </c>
      <c r="B349" s="1" t="s">
        <v>3139</v>
      </c>
      <c r="C349" s="1"/>
      <c r="I349" s="1" t="s">
        <v>612</v>
      </c>
      <c r="L349" s="15" t="s">
        <v>481</v>
      </c>
      <c r="M349" s="15" t="s">
        <v>1974</v>
      </c>
      <c r="N349" s="15">
        <v>12</v>
      </c>
      <c r="O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contra_ti_solo_peque.html</v>
      </c>
      <c r="R349" s="1" t="s">
        <v>854</v>
      </c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349" s="15" t="str">
        <f>_xlfn.TEXTBEFORE(_xlfn.TEXTAFTER(CantoralDB[[#This Row],[index.html]],"&gt;"),"&gt;")&amp;"&gt;"</f>
        <v>&lt;a href="canciones/francisco_palazon/contra_ti_solo_peque.html"&gt;</v>
      </c>
      <c r="W349" s="1"/>
      <c r="X349" s="1"/>
      <c r="Y349" s="1"/>
    </row>
    <row r="350" spans="1:25" hidden="1" x14ac:dyDescent="0.3">
      <c r="A350" s="1">
        <f>ROW(CantoralDB[[#This Row],[Título]])-1</f>
        <v>349</v>
      </c>
      <c r="B350" s="1" t="s">
        <v>3595</v>
      </c>
      <c r="C350" s="1"/>
      <c r="F350" s="1">
        <v>260</v>
      </c>
      <c r="I350" s="1"/>
      <c r="L350" s="15" t="s">
        <v>799</v>
      </c>
      <c r="M350" s="15"/>
      <c r="N350" s="15"/>
      <c r="O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conviene_que_cristo_crezca.html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350" s="15" t="str">
        <f>_xlfn.TEXTBEFORE(_xlfn.TEXTAFTER(CantoralDB[[#This Row],[index.html]],"&gt;"),"&gt;")&amp;"&gt;"</f>
        <v>&lt;a href="canciones/nuevas/conviene_que_cristo_crezca.html"&gt;</v>
      </c>
      <c r="W350" s="1"/>
      <c r="X350" s="1"/>
      <c r="Y350" s="1"/>
    </row>
    <row r="351" spans="1:25" hidden="1" x14ac:dyDescent="0.3">
      <c r="A351" s="1">
        <f>ROW(CantoralDB[[#This Row],[Título]])-1</f>
        <v>350</v>
      </c>
      <c r="B351" s="1" t="s">
        <v>1966</v>
      </c>
      <c r="C351" s="1"/>
      <c r="I351" s="1" t="s">
        <v>612</v>
      </c>
      <c r="L351" s="15" t="s">
        <v>484</v>
      </c>
      <c r="M351" s="15" t="s">
        <v>1537</v>
      </c>
      <c r="N351" s="15">
        <v>7</v>
      </c>
      <c r="O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conviviendo_en_armonia.html</v>
      </c>
      <c r="R351" s="1"/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351" s="15" t="str">
        <f>_xlfn.TEXTBEFORE(_xlfn.TEXTAFTER(CantoralDB[[#This Row],[index.html]],"&gt;"),"&gt;")&amp;"&gt;"</f>
        <v>&lt;a href="canciones/kairoi/conviviendo_en_armonia.html"&gt;</v>
      </c>
      <c r="W351" s="1"/>
      <c r="X351" s="1"/>
      <c r="Y351" s="1"/>
    </row>
    <row r="352" spans="1:25" hidden="1" x14ac:dyDescent="0.3">
      <c r="A352" s="1">
        <f>ROW(CantoralDB[[#This Row],[Título]])-1</f>
        <v>351</v>
      </c>
      <c r="B352" s="1" t="s">
        <v>37</v>
      </c>
      <c r="C352" s="1" t="s">
        <v>997</v>
      </c>
      <c r="D352" s="1" t="s">
        <v>695</v>
      </c>
      <c r="E352" s="1">
        <v>414</v>
      </c>
      <c r="G352" s="1" t="s">
        <v>209</v>
      </c>
      <c r="H352" s="1" t="s">
        <v>532</v>
      </c>
      <c r="I352" s="1" t="s">
        <v>612</v>
      </c>
      <c r="L352" s="15" t="s">
        <v>623</v>
      </c>
      <c r="M352" s="15"/>
      <c r="N352" s="15"/>
      <c r="O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corazon_inquieto.html</v>
      </c>
      <c r="R352" s="1" t="s">
        <v>821</v>
      </c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352" s="15" t="str">
        <f>_xlfn.TEXTBEFORE(_xlfn.TEXTAFTER(CantoralDB[[#This Row],[index.html]],"&gt;"),"&gt;")&amp;"&gt;"</f>
        <v>&lt;a href="canciones/nsb/corazon_inquieto.html"&gt;</v>
      </c>
      <c r="W352" s="1"/>
      <c r="X352" s="1"/>
      <c r="Y352" s="1"/>
    </row>
    <row r="353" spans="1:25" hidden="1" x14ac:dyDescent="0.3">
      <c r="A353" s="1">
        <f>ROW(CantoralDB[[#This Row],[Título]])-1</f>
        <v>352</v>
      </c>
      <c r="B353" s="1" t="s">
        <v>1776</v>
      </c>
      <c r="C353" s="1"/>
      <c r="I353" s="1"/>
      <c r="L353" s="15" t="s">
        <v>484</v>
      </c>
      <c r="M353" s="15" t="s">
        <v>1545</v>
      </c>
      <c r="N353" s="15">
        <v>1</v>
      </c>
      <c r="O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corazones_nomadas.html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353" s="15" t="str">
        <f>_xlfn.TEXTBEFORE(_xlfn.TEXTAFTER(CantoralDB[[#This Row],[index.html]],"&gt;"),"&gt;")&amp;"&gt;"</f>
        <v>&lt;a href="canciones/kairoi/corazones_nomadas.html"&gt;</v>
      </c>
      <c r="W353" s="1"/>
      <c r="X353" s="1"/>
      <c r="Y353" s="1"/>
    </row>
    <row r="354" spans="1:25" hidden="1" x14ac:dyDescent="0.3">
      <c r="A354" s="1">
        <f>ROW(CantoralDB[[#This Row],[Título]])-1</f>
        <v>353</v>
      </c>
      <c r="B354" s="1" t="s">
        <v>202</v>
      </c>
      <c r="C354" s="1"/>
      <c r="I354" s="1" t="s">
        <v>612</v>
      </c>
      <c r="L354" s="15" t="s">
        <v>481</v>
      </c>
      <c r="M354" s="15" t="s">
        <v>21</v>
      </c>
      <c r="N354" s="15">
        <v>10</v>
      </c>
      <c r="O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354" s="15" t="str">
        <f>_xlfn.TEXTBEFORE(_xlfn.TEXTAFTER(CantoralDB[[#This Row],[index.html]],"&gt;"),"&gt;")&amp;"&gt;"</f>
        <v>&lt;a href="canciones/francisco_palazon/cordero_de_dios.html"&gt;</v>
      </c>
      <c r="W354" s="1"/>
      <c r="X354" s="1"/>
      <c r="Y354" s="1"/>
    </row>
    <row r="355" spans="1:25" hidden="1" x14ac:dyDescent="0.3">
      <c r="A355" s="1">
        <f>ROW(CantoralDB[[#This Row],[Título]])-1</f>
        <v>354</v>
      </c>
      <c r="B355" s="1" t="s">
        <v>202</v>
      </c>
      <c r="C355" s="1"/>
      <c r="F355" s="1">
        <v>129</v>
      </c>
      <c r="I355" s="1"/>
      <c r="L355" s="15" t="s">
        <v>3442</v>
      </c>
      <c r="M355" s="15"/>
      <c r="N355" s="15"/>
      <c r="O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355" s="15" t="str">
        <f>_xlfn.TEXTBEFORE(_xlfn.TEXTAFTER(CantoralDB[[#This Row],[index.html]],"&gt;"),"&gt;")&amp;"&gt;"</f>
        <v>&lt;a href="canciones/nuevas/cordero_de_dios.html"&gt;</v>
      </c>
      <c r="W355" s="1"/>
      <c r="X355" s="1"/>
      <c r="Y355" s="1"/>
    </row>
    <row r="356" spans="1:25" hidden="1" x14ac:dyDescent="0.3">
      <c r="A356" s="1">
        <f>ROW(CantoralDB[[#This Row],[Título]])-1</f>
        <v>355</v>
      </c>
      <c r="B356" s="1" t="s">
        <v>786</v>
      </c>
      <c r="C356" s="1" t="s">
        <v>202</v>
      </c>
      <c r="D356" s="1" t="s">
        <v>1443</v>
      </c>
      <c r="G356" s="1" t="s">
        <v>537</v>
      </c>
      <c r="H356" s="1" t="s">
        <v>473</v>
      </c>
      <c r="I356" s="1" t="s">
        <v>612</v>
      </c>
      <c r="L356" s="15" t="s">
        <v>799</v>
      </c>
      <c r="M356" s="15"/>
      <c r="N356" s="15"/>
      <c r="O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cordero_de_dios_(algete).html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356" s="15" t="str">
        <f>_xlfn.TEXTBEFORE(_xlfn.TEXTAFTER(CantoralDB[[#This Row],[index.html]],"&gt;"),"&gt;")&amp;"&gt;"</f>
        <v>&lt;a href="canciones/nsb/cordero_de_dios_(algete).html"&gt;</v>
      </c>
      <c r="W356" s="1"/>
      <c r="X356" s="1"/>
      <c r="Y356" s="1"/>
    </row>
    <row r="357" spans="1:25" hidden="1" x14ac:dyDescent="0.3">
      <c r="A357" s="1">
        <f>ROW(CantoralDB[[#This Row],[Título]])-1</f>
        <v>356</v>
      </c>
      <c r="B357" s="1" t="s">
        <v>249</v>
      </c>
      <c r="C357" s="1" t="s">
        <v>202</v>
      </c>
      <c r="D357" s="1" t="s">
        <v>1444</v>
      </c>
      <c r="G357" s="1" t="s">
        <v>248</v>
      </c>
      <c r="H357" s="1" t="s">
        <v>1055</v>
      </c>
      <c r="I357" s="1" t="s">
        <v>612</v>
      </c>
      <c r="L357" s="15" t="s">
        <v>542</v>
      </c>
      <c r="M357" s="15"/>
      <c r="N357" s="15"/>
      <c r="O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cordero_de_dios_(aragües).html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357" s="15" t="str">
        <f>_xlfn.TEXTBEFORE(_xlfn.TEXTAFTER(CantoralDB[[#This Row],[index.html]],"&gt;"),"&gt;")&amp;"&gt;"</f>
        <v>&lt;a href="canciones/nsb/cordero_de_dios_(aragües).html"&gt;</v>
      </c>
      <c r="W357" s="1"/>
      <c r="X357" s="1"/>
      <c r="Y357" s="1"/>
    </row>
    <row r="358" spans="1:25" hidden="1" x14ac:dyDescent="0.3">
      <c r="A358" s="1">
        <f>ROW(CantoralDB[[#This Row],[Título]])-1</f>
        <v>357</v>
      </c>
      <c r="B358" s="1" t="s">
        <v>38</v>
      </c>
      <c r="C358" s="1" t="s">
        <v>202</v>
      </c>
      <c r="D358" s="1" t="s">
        <v>1445</v>
      </c>
      <c r="E358" s="1">
        <v>415</v>
      </c>
      <c r="G358" s="1" t="s">
        <v>209</v>
      </c>
      <c r="H358" s="1" t="s">
        <v>533</v>
      </c>
      <c r="I358" s="1" t="s">
        <v>612</v>
      </c>
      <c r="L358" s="15" t="s">
        <v>799</v>
      </c>
      <c r="M358" s="15"/>
      <c r="N358" s="15"/>
      <c r="O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cordero_de_dios_(boliviano).html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358" s="15" t="str">
        <f>_xlfn.TEXTBEFORE(_xlfn.TEXTAFTER(CantoralDB[[#This Row],[index.html]],"&gt;"),"&gt;")&amp;"&gt;"</f>
        <v>&lt;a href="canciones/nsb/cordero_de_dios_(boliviano).html"&gt;</v>
      </c>
      <c r="W358" s="1"/>
      <c r="X358" s="1"/>
      <c r="Y358" s="1"/>
    </row>
    <row r="359" spans="1:25" hidden="1" x14ac:dyDescent="0.3">
      <c r="A359" s="1">
        <f>ROW(CantoralDB[[#This Row],[Título]])-1</f>
        <v>358</v>
      </c>
      <c r="B359" s="1" t="s">
        <v>250</v>
      </c>
      <c r="C359" s="1" t="s">
        <v>202</v>
      </c>
      <c r="D359" s="1" t="s">
        <v>1446</v>
      </c>
      <c r="G359" s="1" t="s">
        <v>248</v>
      </c>
      <c r="H359" s="1" t="s">
        <v>1034</v>
      </c>
      <c r="I359" s="1" t="s">
        <v>612</v>
      </c>
      <c r="L359" s="15" t="s">
        <v>487</v>
      </c>
      <c r="M359" s="15"/>
      <c r="N359" s="15"/>
      <c r="O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cordero_de_dios_(manzano).html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359" s="15" t="str">
        <f>_xlfn.TEXTBEFORE(_xlfn.TEXTAFTER(CantoralDB[[#This Row],[index.html]],"&gt;"),"&gt;")&amp;"&gt;"</f>
        <v>&lt;a href="canciones/miguel_manzano/cordero_de_dios_(manzano).html"&gt;</v>
      </c>
      <c r="W359" s="1"/>
      <c r="X359" s="1"/>
      <c r="Y359" s="1"/>
    </row>
    <row r="360" spans="1:25" hidden="1" x14ac:dyDescent="0.3">
      <c r="A360" s="1">
        <f>ROW(CantoralDB[[#This Row],[Título]])-1</f>
        <v>359</v>
      </c>
      <c r="B360" s="1" t="s">
        <v>625</v>
      </c>
      <c r="C360" s="1" t="s">
        <v>202</v>
      </c>
      <c r="D360" s="1" t="s">
        <v>1447</v>
      </c>
      <c r="G360" s="1" t="s">
        <v>209</v>
      </c>
      <c r="H360" s="1" t="s">
        <v>533</v>
      </c>
      <c r="I360" s="1" t="s">
        <v>612</v>
      </c>
      <c r="L360" s="15" t="s">
        <v>624</v>
      </c>
      <c r="M360" s="15"/>
      <c r="N360" s="15"/>
      <c r="O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cordero_de_dios_(maristas).html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360" s="15" t="str">
        <f>_xlfn.TEXTBEFORE(_xlfn.TEXTAFTER(CantoralDB[[#This Row],[index.html]],"&gt;"),"&gt;")&amp;"&gt;"</f>
        <v>&lt;a href="canciones/nsb/cordero_de_dios_(maristas).html"&gt;</v>
      </c>
      <c r="W360" s="1"/>
      <c r="X360" s="1"/>
      <c r="Y360" s="1"/>
    </row>
    <row r="361" spans="1:25" hidden="1" x14ac:dyDescent="0.3">
      <c r="A361" s="1">
        <f>ROW(CantoralDB[[#This Row],[Título]])-1</f>
        <v>360</v>
      </c>
      <c r="B361" s="1" t="s">
        <v>626</v>
      </c>
      <c r="C361" s="1" t="s">
        <v>202</v>
      </c>
      <c r="D361" s="1" t="s">
        <v>1448</v>
      </c>
      <c r="G361" s="1" t="s">
        <v>557</v>
      </c>
      <c r="H361" s="1" t="s">
        <v>532</v>
      </c>
      <c r="I361" s="1" t="s">
        <v>612</v>
      </c>
      <c r="L361" s="15" t="s">
        <v>627</v>
      </c>
      <c r="M361" s="15"/>
      <c r="N361" s="15"/>
      <c r="O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cordero_de_dios_(mies).html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361" s="15" t="str">
        <f>_xlfn.TEXTBEFORE(_xlfn.TEXTAFTER(CantoralDB[[#This Row],[index.html]],"&gt;"),"&gt;")&amp;"&gt;"</f>
        <v>&lt;a href="canciones/nsb/cordero_de_dios_(mies).html"&gt;</v>
      </c>
      <c r="W361" s="1"/>
      <c r="X361" s="1"/>
      <c r="Y361" s="1"/>
    </row>
    <row r="362" spans="1:25" hidden="1" x14ac:dyDescent="0.3">
      <c r="A362" s="1">
        <f>ROW(CantoralDB[[#This Row],[Título]])-1</f>
        <v>361</v>
      </c>
      <c r="B362" s="1" t="s">
        <v>2103</v>
      </c>
      <c r="C362" s="1"/>
      <c r="I362" s="1" t="s">
        <v>612</v>
      </c>
      <c r="L362" s="15" t="s">
        <v>481</v>
      </c>
      <c r="M362" s="15" t="s">
        <v>2135</v>
      </c>
      <c r="N362" s="15">
        <v>7</v>
      </c>
      <c r="O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cordero_de_dios_(misa_coral).html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href="canciones/francisco_palazon/cordero_de_dios_(misa_coral).html"&gt;Cordero de Dios (misa coral)&lt;/a&gt;&lt;/li&gt;</v>
      </c>
      <c r="U362" s="15" t="str">
        <f>_xlfn.TEXTBEFORE(_xlfn.TEXTAFTER(CantoralDB[[#This Row],[index.html]],"&gt;"),"&gt;")&amp;"&gt;"</f>
        <v>&lt;a href="canciones/francisco_palazon/cordero_de_dios_(misa_coral).html"&gt;</v>
      </c>
      <c r="W362" s="1"/>
      <c r="X362" s="1"/>
      <c r="Y362" s="1"/>
    </row>
    <row r="363" spans="1:25" hidden="1" x14ac:dyDescent="0.3">
      <c r="A363" s="1">
        <f>ROW(CantoralDB[[#This Row],[Título]])-1</f>
        <v>362</v>
      </c>
      <c r="B363" s="1" t="s">
        <v>2096</v>
      </c>
      <c r="C363" s="1"/>
      <c r="I363" s="1"/>
      <c r="L363" s="15" t="s">
        <v>481</v>
      </c>
      <c r="M363" s="15" t="s">
        <v>2097</v>
      </c>
      <c r="N363" s="15">
        <v>7</v>
      </c>
      <c r="O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cordero_de_dios_(requiem).html</v>
      </c>
      <c r="R363" s="1"/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63" s="15" t="str">
        <f>_xlfn.TEXTBEFORE(_xlfn.TEXTAFTER(CantoralDB[[#This Row],[index.html]],"&gt;"),"&gt;")&amp;"&gt;"</f>
        <v>&lt;a href="canciones/francisco_palazon/cordero_de_dios_(requiem).html"&gt;</v>
      </c>
      <c r="W363" s="1"/>
      <c r="X363" s="1"/>
      <c r="Y363" s="1"/>
    </row>
    <row r="364" spans="1:25" hidden="1" x14ac:dyDescent="0.3">
      <c r="A364" s="1">
        <f>ROW(CantoralDB[[#This Row],[Título]])-1</f>
        <v>363</v>
      </c>
      <c r="B364" s="1" t="s">
        <v>3125</v>
      </c>
      <c r="C364" s="1"/>
      <c r="I364" s="1"/>
      <c r="L364" s="15" t="s">
        <v>481</v>
      </c>
      <c r="M364" s="15" t="s">
        <v>1977</v>
      </c>
      <c r="N364" s="15">
        <v>8</v>
      </c>
      <c r="O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cordero_de_dios_(reunidos_en_su_nombre).html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64" s="15" t="str">
        <f>_xlfn.TEXTBEFORE(_xlfn.TEXTAFTER(CantoralDB[[#This Row],[index.html]],"&gt;"),"&gt;")&amp;"&gt;"</f>
        <v>&lt;a href="canciones/francisco_palazon/cordero_de_dios_(reunidos_en_su_nombre).html"&gt;</v>
      </c>
      <c r="W364" s="1"/>
      <c r="X364" s="1"/>
      <c r="Y364" s="1"/>
    </row>
    <row r="365" spans="1:25" hidden="1" x14ac:dyDescent="0.3">
      <c r="A365" s="1">
        <f>ROW(CantoralDB[[#This Row],[Título]])-1</f>
        <v>364</v>
      </c>
      <c r="B365" s="1" t="s">
        <v>1593</v>
      </c>
      <c r="C365" s="1"/>
      <c r="I365" s="1" t="s">
        <v>612</v>
      </c>
      <c r="L365" s="15" t="s">
        <v>484</v>
      </c>
      <c r="M365" s="15" t="s">
        <v>1527</v>
      </c>
      <c r="N365" s="15">
        <v>10</v>
      </c>
      <c r="O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corto_la_roca.html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href="canciones/kairoi/corto_la_roca.html"&gt;Cortó la roca&lt;/a&gt;&lt;/li&gt;</v>
      </c>
      <c r="U365" s="15" t="str">
        <f>_xlfn.TEXTBEFORE(_xlfn.TEXTAFTER(CantoralDB[[#This Row],[index.html]],"&gt;"),"&gt;")&amp;"&gt;"</f>
        <v>&lt;a href="canciones/kairoi/corto_la_roca.html"&gt;</v>
      </c>
      <c r="W365" s="1"/>
      <c r="X365" s="1"/>
      <c r="Y365" s="1"/>
    </row>
    <row r="366" spans="1:25" hidden="1" x14ac:dyDescent="0.3">
      <c r="A366" s="1">
        <f>ROW(CantoralDB[[#This Row],[Título]])-1</f>
        <v>365</v>
      </c>
      <c r="B366" s="1" t="s">
        <v>1827</v>
      </c>
      <c r="C366" s="1"/>
      <c r="I366" s="1" t="s">
        <v>612</v>
      </c>
      <c r="L366" s="15" t="s">
        <v>501</v>
      </c>
      <c r="M366" s="15" t="s">
        <v>1550</v>
      </c>
      <c r="N366" s="15">
        <v>8</v>
      </c>
      <c r="O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creatura_habitada.html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366" s="15" t="str">
        <f>_xlfn.TEXTBEFORE(_xlfn.TEXTAFTER(CantoralDB[[#This Row],[index.html]],"&gt;"),"&gt;")&amp;"&gt;"</f>
        <v>&lt;a href="canciones/ain_karem/creatura_habitada.html"&gt;</v>
      </c>
      <c r="Y366" s="1"/>
    </row>
    <row r="367" spans="1:25" hidden="1" x14ac:dyDescent="0.3">
      <c r="A367" s="1">
        <f>ROW(CantoralDB[[#This Row],[Título]])-1</f>
        <v>366</v>
      </c>
      <c r="B367" s="1" t="s">
        <v>1708</v>
      </c>
      <c r="C367" s="1"/>
      <c r="I367" s="1" t="s">
        <v>612</v>
      </c>
      <c r="L367" s="15" t="s">
        <v>484</v>
      </c>
      <c r="M367" s="15" t="s">
        <v>1542</v>
      </c>
      <c r="N367" s="15">
        <v>9</v>
      </c>
      <c r="O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credo.html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href="canciones/kairoi/credo.html"&gt;Credo&lt;/a&gt;&lt;/li&gt;</v>
      </c>
      <c r="U367" s="15" t="str">
        <f>_xlfn.TEXTBEFORE(_xlfn.TEXTAFTER(CantoralDB[[#This Row],[index.html]],"&gt;"),"&gt;")&amp;"&gt;"</f>
        <v>&lt;a href="canciones/kairoi/credo.html"&gt;</v>
      </c>
      <c r="Y367" s="1"/>
    </row>
    <row r="368" spans="1:25" hidden="1" x14ac:dyDescent="0.3">
      <c r="A368" s="1">
        <f>ROW(CantoralDB[[#This Row],[Título]])-1</f>
        <v>367</v>
      </c>
      <c r="B368" s="1" t="s">
        <v>3640</v>
      </c>
      <c r="C368" s="1"/>
      <c r="F368" s="1">
        <v>307</v>
      </c>
      <c r="I368" s="1"/>
      <c r="L368" s="15" t="s">
        <v>3458</v>
      </c>
      <c r="M368" s="15"/>
      <c r="N368" s="15"/>
      <c r="O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cree_y_veras_la_gloria_de_dios.html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368" s="15" t="str">
        <f>_xlfn.TEXTBEFORE(_xlfn.TEXTAFTER(CantoralDB[[#This Row],[index.html]],"&gt;"),"&gt;")&amp;"&gt;"</f>
        <v>&lt;a href="canciones/marta_gil-delgado/cree_y_veras_la_gloria_de_dios.html"&gt;</v>
      </c>
      <c r="Y368" s="1"/>
    </row>
    <row r="369" spans="1:25" hidden="1" x14ac:dyDescent="0.3">
      <c r="A369" s="1">
        <f>ROW(CantoralDB[[#This Row],[Título]])-1</f>
        <v>368</v>
      </c>
      <c r="B369" s="1" t="s">
        <v>1233</v>
      </c>
      <c r="C369" s="1"/>
      <c r="E369" s="1">
        <v>64</v>
      </c>
      <c r="I369" s="1"/>
      <c r="L369" s="15" t="s">
        <v>2206</v>
      </c>
      <c r="M369" s="15"/>
      <c r="N369" s="15"/>
      <c r="O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creo_en_dios_y_en_su_palabra.html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369" s="15" t="str">
        <f>_xlfn.TEXTBEFORE(_xlfn.TEXTAFTER(CantoralDB[[#This Row],[index.html]],"&gt;"),"&gt;")&amp;"&gt;"</f>
        <v>&lt;a href="canciones/fernando_viejo/creo_en_dios_y_en_su_palabra.html"&gt;</v>
      </c>
      <c r="Y369" s="1"/>
    </row>
    <row r="370" spans="1:25" hidden="1" x14ac:dyDescent="0.3">
      <c r="A370" s="1">
        <f>ROW(CantoralDB[[#This Row],[Título]])-1</f>
        <v>369</v>
      </c>
      <c r="B370" s="1" t="s">
        <v>1265</v>
      </c>
      <c r="C370" s="1"/>
      <c r="E370" s="1">
        <v>301</v>
      </c>
      <c r="I370" s="1"/>
      <c r="L370" s="15" t="s">
        <v>799</v>
      </c>
      <c r="M370" s="15"/>
      <c r="N370" s="15"/>
      <c r="O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creo_en_jesus.html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data-nold="301"&gt;&lt;a href="canciones/nsb/creo_en_jesus.html"&gt;Creo en Jesús&lt;/a&gt;&lt;/li&gt;</v>
      </c>
      <c r="U370" s="15" t="str">
        <f>_xlfn.TEXTBEFORE(_xlfn.TEXTAFTER(CantoralDB[[#This Row],[index.html]],"&gt;"),"&gt;")&amp;"&gt;"</f>
        <v>&lt;a href="canciones/nsb/creo_en_jesus.html"&gt;</v>
      </c>
      <c r="Y370" s="1"/>
    </row>
    <row r="371" spans="1:25" hidden="1" x14ac:dyDescent="0.3">
      <c r="A371" s="1">
        <f>ROW(CantoralDB[[#This Row],[Título]])-1</f>
        <v>370</v>
      </c>
      <c r="B371" s="1" t="s">
        <v>1748</v>
      </c>
      <c r="C371" s="1"/>
      <c r="I371" s="1" t="s">
        <v>612</v>
      </c>
      <c r="L371" s="15" t="s">
        <v>484</v>
      </c>
      <c r="M371" s="15" t="s">
        <v>1542</v>
      </c>
      <c r="N371" s="15">
        <v>10</v>
      </c>
      <c r="O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href="canciones/kairoi/creo_en_ti.html"&gt;Creo en ti&lt;/a&gt;&lt;/li&gt;</v>
      </c>
      <c r="U371" s="15" t="str">
        <f>_xlfn.TEXTBEFORE(_xlfn.TEXTAFTER(CantoralDB[[#This Row],[index.html]],"&gt;"),"&gt;")&amp;"&gt;"</f>
        <v>&lt;a href="canciones/kairoi/creo_en_ti.html"&gt;</v>
      </c>
      <c r="Y371" s="1"/>
    </row>
    <row r="372" spans="1:25" hidden="1" x14ac:dyDescent="0.3">
      <c r="A372" s="1">
        <f>ROW(CantoralDB[[#This Row],[Título]])-1</f>
        <v>371</v>
      </c>
      <c r="B372" s="1" t="s">
        <v>1748</v>
      </c>
      <c r="C372" s="1"/>
      <c r="F372" s="1">
        <v>171</v>
      </c>
      <c r="I372" s="1"/>
      <c r="L372" s="15" t="s">
        <v>3519</v>
      </c>
      <c r="M372" s="15"/>
      <c r="N372" s="15"/>
      <c r="O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data-author="Noemí Liste"&gt;&lt;a href="canciones/nuevas/creo_en_ti.html"&gt;Creo en ti&lt;/a&gt;&lt;/li&gt;</v>
      </c>
      <c r="U372" s="15" t="str">
        <f>_xlfn.TEXTBEFORE(_xlfn.TEXTAFTER(CantoralDB[[#This Row],[index.html]],"&gt;"),"&gt;")&amp;"&gt;"</f>
        <v>&lt;a href="canciones/nuevas/creo_en_ti.html"&gt;</v>
      </c>
      <c r="Y372" s="1"/>
    </row>
    <row r="373" spans="1:25" hidden="1" x14ac:dyDescent="0.3">
      <c r="A373" s="1">
        <f>ROW(CantoralDB[[#This Row],[Título]])-1</f>
        <v>372</v>
      </c>
      <c r="B373" s="1" t="s">
        <v>1231</v>
      </c>
      <c r="C373" s="1"/>
      <c r="E373" s="1">
        <v>61</v>
      </c>
      <c r="I373" s="1"/>
      <c r="L373" s="15" t="s">
        <v>2145</v>
      </c>
      <c r="M373" s="15"/>
      <c r="N373" s="15"/>
      <c r="O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creo_señor_firmemente.html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373" s="15" t="str">
        <f>_xlfn.TEXTBEFORE(_xlfn.TEXTAFTER(CantoralDB[[#This Row],[index.html]],"&gt;"),"&gt;")&amp;"&gt;"</f>
        <v>&lt;a href="canciones/nsb/creo_señor_firmemente.html"&gt;</v>
      </c>
      <c r="Y373" s="1"/>
    </row>
    <row r="374" spans="1:25" hidden="1" x14ac:dyDescent="0.3">
      <c r="A374" s="1">
        <f>ROW(CantoralDB[[#This Row],[Título]])-1</f>
        <v>373</v>
      </c>
      <c r="B374" s="1" t="s">
        <v>1232</v>
      </c>
      <c r="C374" s="1"/>
      <c r="F374" s="1">
        <v>268</v>
      </c>
      <c r="I374" s="1"/>
      <c r="L374" s="15" t="s">
        <v>799</v>
      </c>
      <c r="M374" s="15"/>
      <c r="N374" s="15"/>
      <c r="O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criaturas_del_señor.html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href="canciones/nuevas/criaturas_del_señor.html"&gt;Criaturas del Señor&lt;/a&gt;&lt;/li&gt;</v>
      </c>
      <c r="U374" s="15" t="str">
        <f>_xlfn.TEXTBEFORE(_xlfn.TEXTAFTER(CantoralDB[[#This Row],[index.html]],"&gt;"),"&gt;")&amp;"&gt;"</f>
        <v>&lt;a href="canciones/nuevas/criaturas_del_señor.html"&gt;</v>
      </c>
      <c r="Y374" s="1"/>
    </row>
    <row r="375" spans="1:25" hidden="1" x14ac:dyDescent="0.3">
      <c r="A375" s="1">
        <f>ROW(CantoralDB[[#This Row],[Título]])-1</f>
        <v>374</v>
      </c>
      <c r="B375" s="1" t="s">
        <v>1222</v>
      </c>
      <c r="C375" s="1"/>
      <c r="E375" s="1">
        <v>49</v>
      </c>
      <c r="I375" s="1"/>
      <c r="L375" s="15" t="s">
        <v>2146</v>
      </c>
      <c r="M375" s="15"/>
      <c r="N375" s="15"/>
      <c r="O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cristiano_es_vivir.html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data-nold="49"&gt;&lt;a href="canciones/nsb/cristiano_es_vivir.html"&gt;Cristiano es vivir&lt;/a&gt;&lt;/li&gt;</v>
      </c>
      <c r="U375" s="15" t="str">
        <f>_xlfn.TEXTBEFORE(_xlfn.TEXTAFTER(CantoralDB[[#This Row],[index.html]],"&gt;"),"&gt;")&amp;"&gt;"</f>
        <v>&lt;a href="canciones/nsb/cristiano_es_vivir.html"&gt;</v>
      </c>
      <c r="Y375" s="1"/>
    </row>
    <row r="376" spans="1:25" hidden="1" x14ac:dyDescent="0.3">
      <c r="A376" s="1">
        <f>ROW(CantoralDB[[#This Row],[Título]])-1</f>
        <v>375</v>
      </c>
      <c r="B376" s="1" t="s">
        <v>1672</v>
      </c>
      <c r="C376" s="1"/>
      <c r="I376" s="1" t="s">
        <v>612</v>
      </c>
      <c r="L376" s="15" t="s">
        <v>484</v>
      </c>
      <c r="M376" s="15" t="s">
        <v>1533</v>
      </c>
      <c r="N376" s="15">
        <v>3</v>
      </c>
      <c r="O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href="canciones/kairoi/cristo.html"&gt;Cristo&lt;/a&gt;&lt;/li&gt;</v>
      </c>
      <c r="U376" s="15" t="str">
        <f>_xlfn.TEXTBEFORE(_xlfn.TEXTAFTER(CantoralDB[[#This Row],[index.html]],"&gt;"),"&gt;")&amp;"&gt;"</f>
        <v>&lt;a href="canciones/kairoi/cristo.html"&gt;</v>
      </c>
      <c r="Y376" s="1"/>
    </row>
    <row r="377" spans="1:25" hidden="1" x14ac:dyDescent="0.3">
      <c r="A377" s="1">
        <f>ROW(CantoralDB[[#This Row],[Título]])-1</f>
        <v>376</v>
      </c>
      <c r="B377" s="1" t="s">
        <v>1672</v>
      </c>
      <c r="C377" s="1"/>
      <c r="F377" s="1">
        <v>193</v>
      </c>
      <c r="I377" s="1"/>
      <c r="L377" s="15" t="s">
        <v>3458</v>
      </c>
      <c r="M377" s="15"/>
      <c r="N377" s="15"/>
      <c r="O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377" s="15" t="str">
        <f>_xlfn.TEXTBEFORE(_xlfn.TEXTAFTER(CantoralDB[[#This Row],[index.html]],"&gt;"),"&gt;")&amp;"&gt;"</f>
        <v>&lt;a href="canciones/marta_gil-delgado/cristo.html"&gt;</v>
      </c>
      <c r="Y377" s="1"/>
    </row>
    <row r="378" spans="1:25" x14ac:dyDescent="0.3">
      <c r="A378" s="1">
        <f>ROW(CantoralDB[[#This Row],[Título]])-1</f>
        <v>377</v>
      </c>
      <c r="B378" s="1" t="s">
        <v>906</v>
      </c>
      <c r="C378" s="1" t="s">
        <v>1025</v>
      </c>
      <c r="D378" s="1" t="s">
        <v>1142</v>
      </c>
      <c r="H378" s="1" t="s">
        <v>1044</v>
      </c>
      <c r="I378" s="1" t="s">
        <v>612</v>
      </c>
      <c r="L378" s="15" t="s">
        <v>1991</v>
      </c>
      <c r="M378" s="15"/>
      <c r="N378" s="15"/>
      <c r="O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378" s="1" t="s">
        <v>965</v>
      </c>
      <c r="S378" s="1" t="s">
        <v>342</v>
      </c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378" s="15" t="str">
        <f>_xlfn.TEXTBEFORE(_xlfn.TEXTAFTER(CantoralDB[[#This Row],[index.html]],"&gt;"),"&gt;")&amp;"&gt;"</f>
        <v>&lt;a href="canciones/taize/dominus_spiritus_est.html"&gt;</v>
      </c>
      <c r="Y378" s="1"/>
    </row>
    <row r="379" spans="1:25" hidden="1" x14ac:dyDescent="0.3">
      <c r="A379" s="1">
        <f>ROW(CantoralDB[[#This Row],[Título]])-1</f>
        <v>378</v>
      </c>
      <c r="B379" s="1" t="s">
        <v>1230</v>
      </c>
      <c r="C379" s="1"/>
      <c r="E379" s="1">
        <v>58</v>
      </c>
      <c r="I379" s="1"/>
      <c r="L379" s="15" t="s">
        <v>479</v>
      </c>
      <c r="M379" s="15"/>
      <c r="N379" s="15"/>
      <c r="O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cristo_es_la_imagen_de_dios.html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379" s="15" t="str">
        <f>_xlfn.TEXTBEFORE(_xlfn.TEXTAFTER(CantoralDB[[#This Row],[index.html]],"&gt;"),"&gt;")&amp;"&gt;"</f>
        <v>&lt;a href="canciones/carmelo_erdozain/cristo_es_la_imagen_de_dios.html"&gt;</v>
      </c>
      <c r="Y379" s="1"/>
    </row>
    <row r="380" spans="1:25" x14ac:dyDescent="0.3">
      <c r="A380" s="1">
        <f>ROW(CantoralDB[[#This Row],[Título]])-1</f>
        <v>379</v>
      </c>
      <c r="B380" s="1" t="s">
        <v>941</v>
      </c>
      <c r="C380" s="1" t="s">
        <v>1025</v>
      </c>
      <c r="D380" s="1" t="s">
        <v>1143</v>
      </c>
      <c r="H380" s="1" t="s">
        <v>1041</v>
      </c>
      <c r="I380" s="1" t="s">
        <v>612</v>
      </c>
      <c r="L380" s="15" t="s">
        <v>1991</v>
      </c>
      <c r="M380" s="15"/>
      <c r="N380" s="15"/>
      <c r="O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380" s="1"/>
      <c r="S380" s="1" t="s">
        <v>444</v>
      </c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380" s="15" t="str">
        <f>_xlfn.TEXTBEFORE(_xlfn.TEXTAFTER(CantoralDB[[#This Row],[index.html]],"&gt;"),"&gt;")&amp;"&gt;"</f>
        <v>&lt;a href="canciones/taize/surrexit_christus.html"&gt;</v>
      </c>
      <c r="Y380" s="1"/>
    </row>
    <row r="381" spans="1:25" hidden="1" x14ac:dyDescent="0.3">
      <c r="A381" s="1">
        <f>ROW(CantoralDB[[#This Row],[Título]])-1</f>
        <v>380</v>
      </c>
      <c r="B381" s="1" t="s">
        <v>1226</v>
      </c>
      <c r="C381" s="1"/>
      <c r="E381" s="1">
        <v>55</v>
      </c>
      <c r="I381" s="1"/>
      <c r="L381" s="15" t="s">
        <v>479</v>
      </c>
      <c r="M381" s="15"/>
      <c r="N381" s="15"/>
      <c r="O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cristo_fue_sincero.html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381" s="15" t="str">
        <f>_xlfn.TEXTBEFORE(_xlfn.TEXTAFTER(CantoralDB[[#This Row],[index.html]],"&gt;"),"&gt;")&amp;"&gt;"</f>
        <v>&lt;a href="canciones/carmelo_erdozain/cristo_fue_sincero.html"&gt;</v>
      </c>
      <c r="Y381" s="1"/>
    </row>
    <row r="382" spans="1:25" hidden="1" x14ac:dyDescent="0.3">
      <c r="A382" s="1">
        <f>ROW(CantoralDB[[#This Row],[Título]])-1</f>
        <v>381</v>
      </c>
      <c r="B382" s="1" t="s">
        <v>39</v>
      </c>
      <c r="C382" s="1" t="s">
        <v>997</v>
      </c>
      <c r="D382" s="1" t="s">
        <v>694</v>
      </c>
      <c r="E382" s="1">
        <v>65</v>
      </c>
      <c r="G382" s="1" t="s">
        <v>209</v>
      </c>
      <c r="H382" s="1" t="s">
        <v>1048</v>
      </c>
      <c r="I382" s="1" t="s">
        <v>612</v>
      </c>
      <c r="L382" s="15" t="s">
        <v>268</v>
      </c>
      <c r="M382" s="15"/>
      <c r="N382" s="15"/>
      <c r="O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cristo_ha_resucitado.html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382" s="15" t="str">
        <f>_xlfn.TEXTBEFORE(_xlfn.TEXTAFTER(CantoralDB[[#This Row],[index.html]],"&gt;"),"&gt;")&amp;"&gt;"</f>
        <v>&lt;a href="canciones/taize/cristo_ha_resucitado.html"&gt;</v>
      </c>
      <c r="Y382" s="1"/>
    </row>
    <row r="383" spans="1:25" x14ac:dyDescent="0.3">
      <c r="A383" s="1">
        <f>ROW(CantoralDB[[#This Row],[Título]])-1</f>
        <v>382</v>
      </c>
      <c r="B383" s="1" t="s">
        <v>942</v>
      </c>
      <c r="C383" s="1" t="s">
        <v>1025</v>
      </c>
      <c r="D383" s="1" t="s">
        <v>1144</v>
      </c>
      <c r="H383" s="1" t="s">
        <v>1032</v>
      </c>
      <c r="I383" s="1" t="s">
        <v>612</v>
      </c>
      <c r="L383" s="15" t="s">
        <v>1991</v>
      </c>
      <c r="M383" s="15"/>
      <c r="N383" s="15"/>
      <c r="O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383" s="1" t="s">
        <v>988</v>
      </c>
      <c r="S383" s="1" t="s">
        <v>445</v>
      </c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383" s="15" t="str">
        <f>_xlfn.TEXTBEFORE(_xlfn.TEXTAFTER(CantoralDB[[#This Row],[index.html]],"&gt;"),"&gt;")&amp;"&gt;"</f>
        <v>&lt;a href="canciones/taize/surrexit_dominus_vere_(canon).html"&gt;</v>
      </c>
      <c r="Y383" s="1"/>
    </row>
    <row r="384" spans="1:25" x14ac:dyDescent="0.3">
      <c r="A384" s="1">
        <f>ROW(CantoralDB[[#This Row],[Título]])-1</f>
        <v>383</v>
      </c>
      <c r="B384" s="1" t="s">
        <v>919</v>
      </c>
      <c r="C384" s="1" t="s">
        <v>1025</v>
      </c>
      <c r="D384" s="1" t="s">
        <v>1145</v>
      </c>
      <c r="H384" s="1" t="s">
        <v>1051</v>
      </c>
      <c r="I384" s="1" t="s">
        <v>612</v>
      </c>
      <c r="L384" s="15" t="s">
        <v>1991</v>
      </c>
      <c r="M384" s="15"/>
      <c r="N384" s="15"/>
      <c r="O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384" s="1"/>
      <c r="S384" s="1" t="s">
        <v>377</v>
      </c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384" s="15" t="str">
        <f>_xlfn.TEXTBEFORE(_xlfn.TEXTAFTER(CantoralDB[[#This Row],[index.html]],"&gt;"),"&gt;")&amp;"&gt;"</f>
        <v>&lt;a href="canciones/taize/jesus_le_christ.html"&gt;</v>
      </c>
      <c r="Y384" s="1"/>
    </row>
    <row r="385" spans="1:25" hidden="1" x14ac:dyDescent="0.3">
      <c r="A385" s="1">
        <f>ROW(CantoralDB[[#This Row],[Título]])-1</f>
        <v>384</v>
      </c>
      <c r="B385" s="1" t="s">
        <v>40</v>
      </c>
      <c r="C385" s="1" t="s">
        <v>997</v>
      </c>
      <c r="D385" s="1" t="s">
        <v>696</v>
      </c>
      <c r="E385" s="1">
        <v>63</v>
      </c>
      <c r="G385" s="1" t="s">
        <v>209</v>
      </c>
      <c r="H385" s="1" t="s">
        <v>532</v>
      </c>
      <c r="I385" s="1" t="s">
        <v>612</v>
      </c>
      <c r="L385" s="15" t="s">
        <v>479</v>
      </c>
      <c r="M385" s="15"/>
      <c r="N385" s="15"/>
      <c r="O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cristo_nos_da_la_libertad.html</v>
      </c>
      <c r="R385" s="1"/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385" s="15" t="str">
        <f>_xlfn.TEXTBEFORE(_xlfn.TEXTAFTER(CantoralDB[[#This Row],[index.html]],"&gt;"),"&gt;")&amp;"&gt;"</f>
        <v>&lt;a href="canciones/carmelo_erdozain/cristo_nos_da_la_libertad.html"&gt;</v>
      </c>
      <c r="Y385" s="1"/>
    </row>
    <row r="386" spans="1:25" hidden="1" x14ac:dyDescent="0.3">
      <c r="A386" s="1">
        <f>ROW(CantoralDB[[#This Row],[Título]])-1</f>
        <v>385</v>
      </c>
      <c r="B386" s="1" t="s">
        <v>41</v>
      </c>
      <c r="C386" s="1" t="s">
        <v>201</v>
      </c>
      <c r="D386" s="1" t="s">
        <v>653</v>
      </c>
      <c r="E386" s="1">
        <v>59</v>
      </c>
      <c r="G386" s="1" t="s">
        <v>209</v>
      </c>
      <c r="H386" s="1" t="s">
        <v>1048</v>
      </c>
      <c r="I386" s="1" t="s">
        <v>612</v>
      </c>
      <c r="L386" s="15" t="s">
        <v>479</v>
      </c>
      <c r="M386" s="15"/>
      <c r="N386" s="15"/>
      <c r="O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86" s="1" t="s">
        <v>822</v>
      </c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386" s="15" t="str">
        <f>_xlfn.TEXTBEFORE(_xlfn.TEXTAFTER(CantoralDB[[#This Row],[index.html]],"&gt;"),"&gt;")&amp;"&gt;"</f>
        <v>&lt;a href="canciones/carmelo_erdozain/cristo_por_nosotros.html"&gt;</v>
      </c>
      <c r="Y386" s="1"/>
    </row>
    <row r="387" spans="1:25" hidden="1" x14ac:dyDescent="0.3">
      <c r="A387" s="1">
        <f>ROW(CantoralDB[[#This Row],[Título]])-1</f>
        <v>386</v>
      </c>
      <c r="B387" s="1" t="s">
        <v>41</v>
      </c>
      <c r="C387" s="1"/>
      <c r="I387" s="1"/>
      <c r="L387" s="15" t="s">
        <v>481</v>
      </c>
      <c r="M387" s="15" t="s">
        <v>1975</v>
      </c>
      <c r="N387" s="15">
        <v>7</v>
      </c>
      <c r="O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87" s="15" t="str">
        <f>_xlfn.TEXTBEFORE(_xlfn.TEXTAFTER(CantoralDB[[#This Row],[index.html]],"&gt;"),"&gt;")&amp;"&gt;"</f>
        <v>&lt;a href="canciones/francisco_palazon/cristo_por_nosotros.html"&gt;</v>
      </c>
      <c r="Y387" s="1"/>
    </row>
    <row r="388" spans="1:25" hidden="1" x14ac:dyDescent="0.3">
      <c r="A388" s="1">
        <f>ROW(CantoralDB[[#This Row],[Título]])-1</f>
        <v>387</v>
      </c>
      <c r="B388" s="1" t="s">
        <v>1228</v>
      </c>
      <c r="C388" s="1"/>
      <c r="E388" s="1">
        <v>57</v>
      </c>
      <c r="I388" s="1"/>
      <c r="L388" s="15" t="s">
        <v>479</v>
      </c>
      <c r="M388" s="15"/>
      <c r="N388" s="15"/>
      <c r="O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cristo_se_entrego_por_nosotros.html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388" s="15" t="str">
        <f>_xlfn.TEXTBEFORE(_xlfn.TEXTAFTER(CantoralDB[[#This Row],[index.html]],"&gt;"),"&gt;")&amp;"&gt;"</f>
        <v>&lt;a href="canciones/carmelo_erdozain/cristo_se_entrego_por_nosotros.html"&gt;</v>
      </c>
      <c r="Y388" s="1"/>
    </row>
    <row r="389" spans="1:25" hidden="1" x14ac:dyDescent="0.3">
      <c r="A389" s="1">
        <f>ROW(CantoralDB[[#This Row],[Título]])-1</f>
        <v>388</v>
      </c>
      <c r="B389" s="1" t="s">
        <v>1266</v>
      </c>
      <c r="C389" s="1"/>
      <c r="E389" s="1">
        <v>302</v>
      </c>
      <c r="I389" s="1"/>
      <c r="L389" s="15" t="s">
        <v>799</v>
      </c>
      <c r="M389" s="15"/>
      <c r="N389" s="15"/>
      <c r="O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cristo_te_necesita_para_amar.html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data-nold="302"&gt;&lt;a href="canciones/nsb/cristo_te_necesita_para_amar.html"&gt;Cristo te necesita para amar&lt;/a&gt;&lt;/li&gt;</v>
      </c>
      <c r="U389" s="15" t="str">
        <f>_xlfn.TEXTBEFORE(_xlfn.TEXTAFTER(CantoralDB[[#This Row],[index.html]],"&gt;"),"&gt;")&amp;"&gt;"</f>
        <v>&lt;a href="canciones/nsb/cristo_te_necesita_para_amar.html"&gt;</v>
      </c>
      <c r="Y389" s="1"/>
    </row>
    <row r="390" spans="1:25" hidden="1" x14ac:dyDescent="0.3">
      <c r="A390" s="1">
        <f>ROW(CantoralDB[[#This Row],[Título]])-1</f>
        <v>389</v>
      </c>
      <c r="B390" s="1" t="s">
        <v>3182</v>
      </c>
      <c r="C390" s="1"/>
      <c r="F390" s="1">
        <v>261</v>
      </c>
      <c r="I390" s="1"/>
      <c r="L390" s="15" t="s">
        <v>799</v>
      </c>
      <c r="M390" s="15"/>
      <c r="N390" s="15"/>
      <c r="O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href="canciones/nuevas/cristo_vive_en_mi.html"&gt;Cristo vive en mí&lt;/a&gt;&lt;/li&gt;</v>
      </c>
      <c r="U390" s="15" t="str">
        <f>_xlfn.TEXTBEFORE(_xlfn.TEXTAFTER(CantoralDB[[#This Row],[index.html]],"&gt;"),"&gt;")&amp;"&gt;"</f>
        <v>&lt;a href="canciones/nuevas/cristo_vive_en_mi.html"&gt;</v>
      </c>
      <c r="Y390" s="1"/>
    </row>
    <row r="391" spans="1:25" hidden="1" x14ac:dyDescent="0.3">
      <c r="A391" s="1">
        <f>ROW(CantoralDB[[#This Row],[Título]])-1</f>
        <v>390</v>
      </c>
      <c r="B391" s="1" t="s">
        <v>3182</v>
      </c>
      <c r="C391" s="1"/>
      <c r="I391" s="1"/>
      <c r="L391" s="15" t="s">
        <v>3160</v>
      </c>
      <c r="M391" s="15" t="s">
        <v>3175</v>
      </c>
      <c r="N391" s="15">
        <v>8</v>
      </c>
      <c r="O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91" s="1"/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href="canciones/hermana_glenda/cristo_vive_en_mi.html"&gt;Cristo vive en mí&lt;/a&gt;&lt;/li&gt;</v>
      </c>
      <c r="U391" s="15" t="str">
        <f>_xlfn.TEXTBEFORE(_xlfn.TEXTAFTER(CantoralDB[[#This Row],[index.html]],"&gt;"),"&gt;")&amp;"&gt;"</f>
        <v>&lt;a href="canciones/hermana_glenda/cristo_vive_en_mi.html"&gt;</v>
      </c>
      <c r="Y391" s="1"/>
    </row>
    <row r="392" spans="1:25" hidden="1" x14ac:dyDescent="0.3">
      <c r="A392" s="1">
        <f>ROW(CantoralDB[[#This Row],[Título]])-1</f>
        <v>391</v>
      </c>
      <c r="B392" s="1" t="s">
        <v>3349</v>
      </c>
      <c r="C392" s="1"/>
      <c r="F392" s="1">
        <v>15</v>
      </c>
      <c r="I392" s="1"/>
      <c r="L392" s="15" t="s">
        <v>3348</v>
      </c>
      <c r="M392" s="15"/>
      <c r="N392" s="15"/>
      <c r="O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cristo_heme_aqui.html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392" s="15" t="str">
        <f>_xlfn.TEXTBEFORE(_xlfn.TEXTAFTER(CantoralDB[[#This Row],[index.html]],"&gt;"),"&gt;")&amp;"&gt;"</f>
        <v>&lt;a href="canciones/nuevas/cristo_heme_aqui.html"&gt;</v>
      </c>
      <c r="Y392" s="1"/>
    </row>
    <row r="393" spans="1:25" hidden="1" x14ac:dyDescent="0.3">
      <c r="A393" s="1">
        <f>ROW(CantoralDB[[#This Row],[Título]])-1</f>
        <v>392</v>
      </c>
      <c r="B393" s="1" t="s">
        <v>3662</v>
      </c>
      <c r="C393" s="1"/>
      <c r="F393" s="1">
        <v>330</v>
      </c>
      <c r="I393" s="1"/>
      <c r="L393" s="15" t="s">
        <v>799</v>
      </c>
      <c r="M393" s="15"/>
      <c r="N393" s="15"/>
      <c r="O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cristo_maravilloso_eres_tu.html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393" s="15" t="str">
        <f>_xlfn.TEXTBEFORE(_xlfn.TEXTAFTER(CantoralDB[[#This Row],[index.html]],"&gt;"),"&gt;")&amp;"&gt;"</f>
        <v>&lt;a href="canciones/nuevas/cristo_maravilloso_eres_tu.html"&gt;</v>
      </c>
      <c r="Y393" s="1"/>
    </row>
    <row r="394" spans="1:25" hidden="1" x14ac:dyDescent="0.3">
      <c r="A394" s="1">
        <f>ROW(CantoralDB[[#This Row],[Título]])-1</f>
        <v>393</v>
      </c>
      <c r="B394" s="1" t="s">
        <v>1670</v>
      </c>
      <c r="C394" s="1"/>
      <c r="I394" s="1" t="s">
        <v>612</v>
      </c>
      <c r="L394" s="15" t="s">
        <v>484</v>
      </c>
      <c r="M394" s="15" t="s">
        <v>1533</v>
      </c>
      <c r="N394" s="15">
        <v>1</v>
      </c>
      <c r="O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cristo_señor.html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href="canciones/kairoi/cristo_señor.html"&gt;Cristo, Señor&lt;/a&gt;&lt;/li&gt;</v>
      </c>
      <c r="U394" s="15" t="str">
        <f>_xlfn.TEXTBEFORE(_xlfn.TEXTAFTER(CantoralDB[[#This Row],[index.html]],"&gt;"),"&gt;")&amp;"&gt;"</f>
        <v>&lt;a href="canciones/kairoi/cristo_señor.html"&gt;</v>
      </c>
      <c r="Y394" s="1"/>
    </row>
    <row r="395" spans="1:25" hidden="1" x14ac:dyDescent="0.3">
      <c r="A395" s="1">
        <f>ROW(CantoralDB[[#This Row],[Título]])-1</f>
        <v>394</v>
      </c>
      <c r="B395" s="1" t="s">
        <v>333</v>
      </c>
      <c r="C395" s="1" t="s">
        <v>1026</v>
      </c>
      <c r="D395" s="1" t="s">
        <v>1146</v>
      </c>
      <c r="H395" s="1" t="s">
        <v>1050</v>
      </c>
      <c r="I395" s="1" t="s">
        <v>612</v>
      </c>
      <c r="L395" s="15" t="s">
        <v>2201</v>
      </c>
      <c r="M395" s="15"/>
      <c r="N395" s="15"/>
      <c r="O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395" s="1"/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395" s="15" t="str">
        <f>_xlfn.TEXTBEFORE(_xlfn.TEXTAFTER(CantoralDB[[#This Row],[index.html]],"&gt;"),"&gt;")&amp;"&gt;"</f>
        <v>&lt;a href="canciones/taize/crucem_tuam.html"&gt;</v>
      </c>
      <c r="Y395" s="1"/>
    </row>
    <row r="396" spans="1:25" hidden="1" x14ac:dyDescent="0.3">
      <c r="A396" s="1">
        <f>ROW(CantoralDB[[#This Row],[Título]])-1</f>
        <v>395</v>
      </c>
      <c r="B396" s="1" t="s">
        <v>3620</v>
      </c>
      <c r="C396" s="1"/>
      <c r="F396" s="1">
        <v>286</v>
      </c>
      <c r="I396" s="1"/>
      <c r="L396" s="15" t="s">
        <v>3340</v>
      </c>
      <c r="M396" s="15"/>
      <c r="N396" s="15"/>
      <c r="O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cuan_bello_es_el_señor.html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396" s="15" t="str">
        <f>_xlfn.TEXTBEFORE(_xlfn.TEXTAFTER(CantoralDB[[#This Row],[index.html]],"&gt;"),"&gt;")&amp;"&gt;"</f>
        <v>&lt;a href="canciones/marcos_witt/cuan_bello_es_el_señor.html"&gt;</v>
      </c>
      <c r="Y396" s="1"/>
    </row>
    <row r="397" spans="1:25" hidden="1" x14ac:dyDescent="0.3">
      <c r="A397" s="1">
        <f>ROW(CantoralDB[[#This Row],[Título]])-1</f>
        <v>396</v>
      </c>
      <c r="B397" s="1" t="s">
        <v>3200</v>
      </c>
      <c r="C397" s="1"/>
      <c r="I397" s="1"/>
      <c r="L397" s="15" t="s">
        <v>3160</v>
      </c>
      <c r="M397" s="15" t="s">
        <v>3192</v>
      </c>
      <c r="N397" s="15">
        <v>8</v>
      </c>
      <c r="O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cuan_manso_y_amoroso.html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href="canciones/hermana_glenda/cuan_manso_y_amoroso.html"&gt;Cuán manso y amoroso&lt;/a&gt;&lt;/li&gt;</v>
      </c>
      <c r="U397" s="15" t="str">
        <f>_xlfn.TEXTBEFORE(_xlfn.TEXTAFTER(CantoralDB[[#This Row],[index.html]],"&gt;"),"&gt;")&amp;"&gt;"</f>
        <v>&lt;a href="canciones/hermana_glenda/cuan_manso_y_amoroso.html"&gt;</v>
      </c>
      <c r="Y397" s="1"/>
    </row>
    <row r="398" spans="1:25" hidden="1" x14ac:dyDescent="0.3">
      <c r="A398" s="1">
        <f>ROW(CantoralDB[[#This Row],[Título]])-1</f>
        <v>397</v>
      </c>
      <c r="B398" s="1" t="s">
        <v>2133</v>
      </c>
      <c r="C398" s="1"/>
      <c r="I398" s="1"/>
      <c r="L398" s="15" t="s">
        <v>481</v>
      </c>
      <c r="M398" s="15" t="s">
        <v>1978</v>
      </c>
      <c r="N398" s="15">
        <v>9</v>
      </c>
      <c r="O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cuando_bajas_señor.html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98" s="15" t="str">
        <f>_xlfn.TEXTBEFORE(_xlfn.TEXTAFTER(CantoralDB[[#This Row],[index.html]],"&gt;"),"&gt;")&amp;"&gt;"</f>
        <v>&lt;a href="canciones/francisco_palazon/cuando_bajas_señor.html"&gt;</v>
      </c>
      <c r="Y398" s="1"/>
    </row>
    <row r="399" spans="1:25" hidden="1" x14ac:dyDescent="0.3">
      <c r="A399" s="1">
        <f>ROW(CantoralDB[[#This Row],[Título]])-1</f>
        <v>398</v>
      </c>
      <c r="B399" s="1" t="s">
        <v>3512</v>
      </c>
      <c r="C399" s="1"/>
      <c r="F399" s="1">
        <v>166</v>
      </c>
      <c r="I399" s="1"/>
      <c r="L399" s="15" t="s">
        <v>799</v>
      </c>
      <c r="M399" s="15"/>
      <c r="N399" s="15"/>
      <c r="O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cuando_con_el_corazon.html</v>
      </c>
      <c r="R399" s="1"/>
      <c r="S399" s="1"/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href="canciones/nuevas/cuando_con_el_corazon.html"&gt;Cuando con el corazón&lt;/a&gt;&lt;/li&gt;</v>
      </c>
      <c r="U399" s="15" t="str">
        <f>_xlfn.TEXTBEFORE(_xlfn.TEXTAFTER(CantoralDB[[#This Row],[index.html]],"&gt;"),"&gt;")&amp;"&gt;"</f>
        <v>&lt;a href="canciones/nuevas/cuando_con_el_corazon.html"&gt;</v>
      </c>
      <c r="Y399" s="1"/>
    </row>
    <row r="400" spans="1:25" hidden="1" x14ac:dyDescent="0.3">
      <c r="A400" s="1">
        <f>ROW(CantoralDB[[#This Row],[Título]])-1</f>
        <v>399</v>
      </c>
      <c r="B400" s="1" t="s">
        <v>3735</v>
      </c>
      <c r="C400" s="1"/>
      <c r="F400" s="1">
        <v>391</v>
      </c>
      <c r="I400" s="1"/>
      <c r="L400" s="15" t="s">
        <v>799</v>
      </c>
      <c r="M400" s="15"/>
      <c r="N400" s="15"/>
      <c r="O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cuando_cristo_venga_en_gloria.html</v>
      </c>
      <c r="R400" s="1"/>
      <c r="S400" s="1"/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400" s="15" t="str">
        <f>_xlfn.TEXTBEFORE(_xlfn.TEXTAFTER(CantoralDB[[#This Row],[index.html]],"&gt;"),"&gt;")&amp;"&gt;"</f>
        <v>&lt;a href="canciones/nuevas/cuando_cristo_venga_en_gloria.html"&gt;</v>
      </c>
      <c r="Y400" s="1"/>
    </row>
    <row r="401" spans="1:25" hidden="1" x14ac:dyDescent="0.3">
      <c r="A401" s="1">
        <f>ROW(CantoralDB[[#This Row],[Título]])-1</f>
        <v>400</v>
      </c>
      <c r="B401" s="1" t="s">
        <v>1237</v>
      </c>
      <c r="C401" s="1"/>
      <c r="E401" s="1">
        <v>69</v>
      </c>
      <c r="I401" s="1"/>
      <c r="L401" s="15" t="s">
        <v>2147</v>
      </c>
      <c r="M401" s="15"/>
      <c r="N401" s="15"/>
      <c r="O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cuando_el_pan_que_esta_en_mi_vida.html</v>
      </c>
      <c r="R401" s="1"/>
      <c r="S401" s="1"/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401" s="15" t="str">
        <f>_xlfn.TEXTBEFORE(_xlfn.TEXTAFTER(CantoralDB[[#This Row],[index.html]],"&gt;"),"&gt;")&amp;"&gt;"</f>
        <v>&lt;a href="canciones/nsb/cuando_el_pan_que_esta_en_mi_vida.html"&gt;</v>
      </c>
      <c r="Y401" s="1"/>
    </row>
    <row r="402" spans="1:25" hidden="1" x14ac:dyDescent="0.3">
      <c r="A402" s="1">
        <f>ROW(CantoralDB[[#This Row],[Título]])-1</f>
        <v>401</v>
      </c>
      <c r="B402" s="1" t="s">
        <v>42</v>
      </c>
      <c r="C402" s="1" t="s">
        <v>195</v>
      </c>
      <c r="D402" s="1" t="s">
        <v>1449</v>
      </c>
      <c r="E402" s="1">
        <v>67</v>
      </c>
      <c r="G402" s="1" t="s">
        <v>209</v>
      </c>
      <c r="H402" s="1" t="s">
        <v>1051</v>
      </c>
      <c r="I402" s="1" t="s">
        <v>612</v>
      </c>
      <c r="L402" s="15" t="s">
        <v>487</v>
      </c>
      <c r="M402" s="15"/>
      <c r="N402" s="15"/>
      <c r="O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cuando_el_pobre_nada_tiene.html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402" s="15" t="str">
        <f>_xlfn.TEXTBEFORE(_xlfn.TEXTAFTER(CantoralDB[[#This Row],[index.html]],"&gt;"),"&gt;")&amp;"&gt;"</f>
        <v>&lt;a href="canciones/miguel_manzano/cuando_el_pobre_nada_tiene.html"&gt;</v>
      </c>
      <c r="Y402" s="1"/>
    </row>
    <row r="403" spans="1:25" hidden="1" x14ac:dyDescent="0.3">
      <c r="A403" s="1">
        <f>ROW(CantoralDB[[#This Row],[Título]])-1</f>
        <v>402</v>
      </c>
      <c r="B403" s="1" t="s">
        <v>3431</v>
      </c>
      <c r="C403" s="1"/>
      <c r="F403" s="1">
        <v>92</v>
      </c>
      <c r="I403" s="1"/>
      <c r="L403" s="15" t="s">
        <v>3347</v>
      </c>
      <c r="M403" s="15"/>
      <c r="N403" s="15"/>
      <c r="O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cuando_escuches.html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403" s="15" t="str">
        <f>_xlfn.TEXTBEFORE(_xlfn.TEXTAFTER(CantoralDB[[#This Row],[index.html]],"&gt;"),"&gt;")&amp;"&gt;"</f>
        <v>&lt;a href="canciones/luis_alfredo_diaz/cuando_escuches.html"&gt;</v>
      </c>
      <c r="Y403" s="1"/>
    </row>
    <row r="404" spans="1:25" hidden="1" x14ac:dyDescent="0.3">
      <c r="A404" s="1">
        <f>ROW(CantoralDB[[#This Row],[Título]])-1</f>
        <v>403</v>
      </c>
      <c r="B404" s="1" t="s">
        <v>1694</v>
      </c>
      <c r="C404" s="1"/>
      <c r="I404" s="1"/>
      <c r="L404" s="15" t="s">
        <v>484</v>
      </c>
      <c r="M404" s="15" t="s">
        <v>1536</v>
      </c>
      <c r="N404" s="15">
        <v>2</v>
      </c>
      <c r="O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cuando_la_muerte.html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404" s="15" t="str">
        <f>_xlfn.TEXTBEFORE(_xlfn.TEXTAFTER(CantoralDB[[#This Row],[index.html]],"&gt;"),"&gt;")&amp;"&gt;"</f>
        <v>&lt;a href="canciones/kairoi/cuando_la_muerte.html"&gt;</v>
      </c>
      <c r="Y404" s="1"/>
    </row>
    <row r="405" spans="1:25" hidden="1" x14ac:dyDescent="0.3">
      <c r="A405" s="1">
        <f>ROW(CantoralDB[[#This Row],[Título]])-1</f>
        <v>404</v>
      </c>
      <c r="B405" s="1" t="s">
        <v>1238</v>
      </c>
      <c r="C405" s="1"/>
      <c r="E405" s="1">
        <v>70</v>
      </c>
      <c r="I405" s="1"/>
      <c r="L405" s="15" t="s">
        <v>483</v>
      </c>
      <c r="M405" s="15"/>
      <c r="N405" s="15"/>
      <c r="O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cuando_rezamos_cuando_cantamos.html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405" s="15" t="str">
        <f>_xlfn.TEXTBEFORE(_xlfn.TEXTAFTER(CantoralDB[[#This Row],[index.html]],"&gt;"),"&gt;")&amp;"&gt;"</f>
        <v>&lt;a href="canciones/cesareo_gabarain/cuando_rezamos_cuando_cantamos.html"&gt;</v>
      </c>
      <c r="Y405" s="1"/>
    </row>
    <row r="406" spans="1:25" hidden="1" x14ac:dyDescent="0.3">
      <c r="A406" s="1">
        <f>ROW(CantoralDB[[#This Row],[Título]])-1</f>
        <v>405</v>
      </c>
      <c r="B406" s="1" t="s">
        <v>1235</v>
      </c>
      <c r="C406" s="1"/>
      <c r="E406" s="1">
        <v>66</v>
      </c>
      <c r="I406" s="1"/>
      <c r="L406" s="15" t="s">
        <v>487</v>
      </c>
      <c r="M406" s="15"/>
      <c r="N406" s="15"/>
      <c r="O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cuando_vendras_señor.html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406" s="15" t="str">
        <f>_xlfn.TEXTBEFORE(_xlfn.TEXTAFTER(CantoralDB[[#This Row],[index.html]],"&gt;"),"&gt;")&amp;"&gt;"</f>
        <v>&lt;a href="canciones/miguel_manzano/cuando_vendras_señor.html"&gt;</v>
      </c>
      <c r="Y406" s="1"/>
    </row>
    <row r="407" spans="1:25" hidden="1" x14ac:dyDescent="0.3">
      <c r="A407" s="1">
        <f>ROW(CantoralDB[[#This Row],[Título]])-1</f>
        <v>406</v>
      </c>
      <c r="B407" s="1" t="s">
        <v>1236</v>
      </c>
      <c r="C407" s="1"/>
      <c r="E407" s="1">
        <v>68</v>
      </c>
      <c r="I407" s="1"/>
      <c r="L407" s="15" t="s">
        <v>479</v>
      </c>
      <c r="M407" s="15"/>
      <c r="N407" s="15"/>
      <c r="O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cuantos_años_han_de_pasar.html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407" s="15" t="str">
        <f>_xlfn.TEXTBEFORE(_xlfn.TEXTAFTER(CantoralDB[[#This Row],[index.html]],"&gt;"),"&gt;")&amp;"&gt;"</f>
        <v>&lt;a href="canciones/carmelo_erdozain/cuantos_años_han_de_pasar.html"&gt;</v>
      </c>
      <c r="Y407" s="1"/>
    </row>
    <row r="408" spans="1:25" hidden="1" x14ac:dyDescent="0.3">
      <c r="A408" s="1">
        <f>ROW(CantoralDB[[#This Row],[Título]])-1</f>
        <v>407</v>
      </c>
      <c r="B408" s="1" t="s">
        <v>2046</v>
      </c>
      <c r="C408" s="1"/>
      <c r="I408" s="1" t="s">
        <v>612</v>
      </c>
      <c r="L408" s="15" t="s">
        <v>261</v>
      </c>
      <c r="M408" s="15"/>
      <c r="N408" s="15"/>
      <c r="O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cuarto_lugar.html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href="canciones/hakuna/cuarto_lugar.html"&gt;Cuarto lugar&lt;/a&gt;&lt;/li&gt;</v>
      </c>
      <c r="U408" s="15" t="str">
        <f>_xlfn.TEXTBEFORE(_xlfn.TEXTAFTER(CantoralDB[[#This Row],[index.html]],"&gt;"),"&gt;")&amp;"&gt;"</f>
        <v>&lt;a href="canciones/hakuna/cuarto_lugar.html"&gt;</v>
      </c>
      <c r="Y408" s="1"/>
    </row>
    <row r="409" spans="1:25" hidden="1" x14ac:dyDescent="0.3">
      <c r="A409" s="1">
        <f>ROW(CantoralDB[[#This Row],[Título]])-1</f>
        <v>408</v>
      </c>
      <c r="B409" s="1" t="s">
        <v>2058</v>
      </c>
      <c r="C409" s="1"/>
      <c r="I409" s="1" t="s">
        <v>612</v>
      </c>
      <c r="L409" s="15" t="s">
        <v>261</v>
      </c>
      <c r="M409" s="15"/>
      <c r="N409" s="15"/>
      <c r="O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cuatro_vientos.html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409" s="15" t="str">
        <f>_xlfn.TEXTBEFORE(_xlfn.TEXTAFTER(CantoralDB[[#This Row],[index.html]],"&gt;"),"&gt;")&amp;"&gt;"</f>
        <v>&lt;a href="canciones/hakuna/cuatro_vientos.html"&gt;</v>
      </c>
      <c r="Y409" s="1"/>
    </row>
    <row r="410" spans="1:25" hidden="1" x14ac:dyDescent="0.3">
      <c r="A410" s="1">
        <f>ROW(CantoralDB[[#This Row],[Título]])-1</f>
        <v>409</v>
      </c>
      <c r="B410" s="1" t="s">
        <v>3586</v>
      </c>
      <c r="C410" s="1"/>
      <c r="F410" s="1">
        <v>251</v>
      </c>
      <c r="I410" s="1"/>
      <c r="L410" s="15" t="s">
        <v>3451</v>
      </c>
      <c r="M410" s="15"/>
      <c r="N410" s="15"/>
      <c r="O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cuida_de_mi.html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410" s="15" t="str">
        <f>_xlfn.TEXTBEFORE(_xlfn.TEXTAFTER(CantoralDB[[#This Row],[index.html]],"&gt;"),"&gt;")&amp;"&gt;"</f>
        <v>&lt;a href="canciones/rosa_cruz/cuida_de_mi.html"&gt;</v>
      </c>
      <c r="Y410" s="1"/>
    </row>
    <row r="411" spans="1:25" hidden="1" x14ac:dyDescent="0.3">
      <c r="A411" s="1">
        <f>ROW(CantoralDB[[#This Row],[Título]])-1</f>
        <v>410</v>
      </c>
      <c r="B411" s="1" t="s">
        <v>241</v>
      </c>
      <c r="C411" s="1" t="s">
        <v>198</v>
      </c>
      <c r="D411" s="1" t="s">
        <v>1450</v>
      </c>
      <c r="G411" s="1" t="s">
        <v>220</v>
      </c>
      <c r="H411" s="1" t="s">
        <v>1037</v>
      </c>
      <c r="I411" s="1" t="s">
        <v>612</v>
      </c>
      <c r="L411" s="15" t="s">
        <v>482</v>
      </c>
      <c r="M411" s="15" t="s">
        <v>1893</v>
      </c>
      <c r="N411" s="15">
        <v>9</v>
      </c>
      <c r="O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da_la_paz_al_mundo.html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411" s="15" t="str">
        <f>_xlfn.TEXTBEFORE(_xlfn.TEXTAFTER(CantoralDB[[#This Row],[index.html]],"&gt;"),"&gt;")&amp;"&gt;"</f>
        <v>&lt;a href="canciones/toño_casado/da_la_paz_al_mundo.html"&gt;</v>
      </c>
      <c r="Y411" s="1"/>
    </row>
    <row r="412" spans="1:25" hidden="1" x14ac:dyDescent="0.3">
      <c r="A412" s="1">
        <f>ROW(CantoralDB[[#This Row],[Título]])-1</f>
        <v>411</v>
      </c>
      <c r="B412" s="1" t="s">
        <v>334</v>
      </c>
      <c r="C412" s="1" t="s">
        <v>1026</v>
      </c>
      <c r="D412" s="1" t="s">
        <v>1147</v>
      </c>
      <c r="H412" s="1" t="s">
        <v>1046</v>
      </c>
      <c r="I412" s="1" t="s">
        <v>612</v>
      </c>
      <c r="L412" s="15" t="s">
        <v>2201</v>
      </c>
      <c r="M412" s="15"/>
      <c r="N412" s="15"/>
      <c r="O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412" s="15" t="str">
        <f>_xlfn.TEXTBEFORE(_xlfn.TEXTAFTER(CantoralDB[[#This Row],[index.html]],"&gt;"),"&gt;")&amp;"&gt;"</f>
        <v>&lt;a href="canciones/taize/da_pacem_cordium_(canon).html"&gt;</v>
      </c>
      <c r="Y412" s="1"/>
    </row>
    <row r="413" spans="1:25" hidden="1" x14ac:dyDescent="0.3">
      <c r="A413" s="1">
        <f>ROW(CantoralDB[[#This Row],[Título]])-1</f>
        <v>412</v>
      </c>
      <c r="B413" s="1" t="s">
        <v>335</v>
      </c>
      <c r="C413" s="1" t="s">
        <v>1026</v>
      </c>
      <c r="D413" s="1" t="s">
        <v>1148</v>
      </c>
      <c r="H413" s="1" t="s">
        <v>1082</v>
      </c>
      <c r="I413" s="1" t="s">
        <v>612</v>
      </c>
      <c r="L413" s="15" t="s">
        <v>2201</v>
      </c>
      <c r="M413" s="15"/>
      <c r="N413" s="15"/>
      <c r="O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413" s="15" t="str">
        <f>_xlfn.TEXTBEFORE(_xlfn.TEXTAFTER(CantoralDB[[#This Row],[index.html]],"&gt;"),"&gt;")&amp;"&gt;"</f>
        <v>&lt;a href="canciones/taize/da_pacem..._in_diebus.html"&gt;</v>
      </c>
      <c r="Y413" s="1"/>
    </row>
    <row r="414" spans="1:25" hidden="1" x14ac:dyDescent="0.3">
      <c r="A414" s="1">
        <f>ROW(CantoralDB[[#This Row],[Título]])-1</f>
        <v>413</v>
      </c>
      <c r="B414" s="1" t="s">
        <v>3145</v>
      </c>
      <c r="C414" s="1"/>
      <c r="E414" s="1">
        <v>71</v>
      </c>
      <c r="I414" s="1" t="s">
        <v>612</v>
      </c>
      <c r="L414" s="15" t="s">
        <v>481</v>
      </c>
      <c r="M414" s="15" t="s">
        <v>1974</v>
      </c>
      <c r="N414" s="15">
        <v>6</v>
      </c>
      <c r="O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dad_gracias_al_señor.html</v>
      </c>
      <c r="R414" s="1" t="s">
        <v>3133</v>
      </c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414" s="15" t="str">
        <f>_xlfn.TEXTBEFORE(_xlfn.TEXTAFTER(CantoralDB[[#This Row],[index.html]],"&gt;"),"&gt;")&amp;"&gt;"</f>
        <v>&lt;a href="canciones/francisco_palazon/dad_gracias_al_señor.html"&gt;</v>
      </c>
      <c r="Y414" s="1"/>
    </row>
    <row r="415" spans="1:25" hidden="1" x14ac:dyDescent="0.3">
      <c r="A415" s="1">
        <f>ROW(CantoralDB[[#This Row],[Título]])-1</f>
        <v>414</v>
      </c>
      <c r="B415" s="1" t="s">
        <v>1241</v>
      </c>
      <c r="C415" s="1"/>
      <c r="E415" s="1">
        <v>73</v>
      </c>
      <c r="I415" s="1"/>
      <c r="L415" s="15" t="s">
        <v>491</v>
      </c>
      <c r="M415" s="15"/>
      <c r="N415" s="15"/>
      <c r="O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dad_gracias_al_señor_porque_es_bueno_porque_su_amor_no_tiene_fin.html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data-nold="73"&gt;&lt;a href="canciones/juan_antonio_espinosa/dad_gracias_al_señor_porque_es_bueno_porque_su_amor_no_tiene_fin.html"&gt;Dad gracias al Señor porque es bueno, porque su amor no tiene fin&lt;/a&gt;&lt;/li&gt;</v>
      </c>
      <c r="U415" s="15" t="str">
        <f>_xlfn.TEXTBEFORE(_xlfn.TEXTAFTER(CantoralDB[[#This Row],[index.html]],"&gt;"),"&gt;")&amp;"&gt;"</f>
        <v>&lt;a href="canciones/juan_antonio_espinosa/dad_gracias_al_señor_porque_es_bueno_porque_su_amor_no_tiene_fin.html"&gt;</v>
      </c>
      <c r="Y415" s="1"/>
    </row>
    <row r="416" spans="1:25" hidden="1" x14ac:dyDescent="0.3">
      <c r="A416" s="1">
        <f>ROW(CantoralDB[[#This Row],[Título]])-1</f>
        <v>415</v>
      </c>
      <c r="B416" s="1" t="s">
        <v>2088</v>
      </c>
      <c r="C416" s="1"/>
      <c r="I416" s="1"/>
      <c r="L416" s="15" t="s">
        <v>481</v>
      </c>
      <c r="M416" s="15" t="s">
        <v>2097</v>
      </c>
      <c r="N416" s="15">
        <v>2</v>
      </c>
      <c r="O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dale_señor.html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416" s="15" t="str">
        <f>_xlfn.TEXTBEFORE(_xlfn.TEXTAFTER(CantoralDB[[#This Row],[index.html]],"&gt;"),"&gt;")&amp;"&gt;"</f>
        <v>&lt;a href="canciones/francisco_palazon/dale_señor.html"&gt;</v>
      </c>
      <c r="Y416" s="1"/>
    </row>
    <row r="417" spans="1:25" hidden="1" x14ac:dyDescent="0.3">
      <c r="A417" s="1">
        <f>ROW(CantoralDB[[#This Row],[Título]])-1</f>
        <v>416</v>
      </c>
      <c r="B417" s="1" t="s">
        <v>2134</v>
      </c>
      <c r="C417" s="1"/>
      <c r="I417" s="1" t="s">
        <v>612</v>
      </c>
      <c r="L417" s="15" t="s">
        <v>481</v>
      </c>
      <c r="M417" s="15" t="s">
        <v>2097</v>
      </c>
      <c r="N417" s="15">
        <v>1</v>
      </c>
      <c r="O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dales_señor_el_descanso_eterno.html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417" s="15" t="str">
        <f>_xlfn.TEXTBEFORE(_xlfn.TEXTAFTER(CantoralDB[[#This Row],[index.html]],"&gt;"),"&gt;")&amp;"&gt;"</f>
        <v>&lt;a href="canciones/francisco_palazon/dales_señor_el_descanso_eterno.html"&gt;</v>
      </c>
      <c r="Y417" s="1"/>
    </row>
    <row r="418" spans="1:25" hidden="1" x14ac:dyDescent="0.3">
      <c r="A418" s="1">
        <f>ROW(CantoralDB[[#This Row],[Título]])-1</f>
        <v>417</v>
      </c>
      <c r="B418" s="1" t="s">
        <v>1842</v>
      </c>
      <c r="C418" s="1"/>
      <c r="I418" s="1" t="s">
        <v>612</v>
      </c>
      <c r="L418" s="15" t="s">
        <v>501</v>
      </c>
      <c r="M418" s="15" t="s">
        <v>1551</v>
      </c>
      <c r="N418" s="15">
        <v>13</v>
      </c>
      <c r="O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dame_una_palabra.html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418" s="15" t="str">
        <f>_xlfn.TEXTBEFORE(_xlfn.TEXTAFTER(CantoralDB[[#This Row],[index.html]],"&gt;"),"&gt;")&amp;"&gt;"</f>
        <v>&lt;a href="canciones/ain_karem/dame_una_palabra.html"&gt;</v>
      </c>
      <c r="Y418" s="1"/>
    </row>
    <row r="419" spans="1:25" hidden="1" x14ac:dyDescent="0.3">
      <c r="A419" s="1">
        <f>ROW(CantoralDB[[#This Row],[Título]])-1</f>
        <v>418</v>
      </c>
      <c r="B419" s="1" t="s">
        <v>3646</v>
      </c>
      <c r="C419" s="1"/>
      <c r="F419" s="1">
        <v>311</v>
      </c>
      <c r="I419" s="1"/>
      <c r="L419" s="15" t="s">
        <v>3647</v>
      </c>
      <c r="M419" s="15"/>
      <c r="N419" s="15"/>
      <c r="O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dame_vida.html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419" s="15" t="str">
        <f>_xlfn.TEXTBEFORE(_xlfn.TEXTAFTER(CantoralDB[[#This Row],[index.html]],"&gt;"),"&gt;")&amp;"&gt;"</f>
        <v>&lt;a href="canciones/brotes_de_olivo/dame_vida.html"&gt;</v>
      </c>
      <c r="Y419" s="1"/>
    </row>
    <row r="420" spans="1:25" hidden="1" x14ac:dyDescent="0.3">
      <c r="A420" s="1">
        <f>ROW(CantoralDB[[#This Row],[Título]])-1</f>
        <v>419</v>
      </c>
      <c r="B420" s="1" t="s">
        <v>1242</v>
      </c>
      <c r="C420" s="1"/>
      <c r="E420" s="1">
        <v>74</v>
      </c>
      <c r="I420" s="1"/>
      <c r="L420" s="15" t="s">
        <v>2207</v>
      </c>
      <c r="M420" s="15"/>
      <c r="N420" s="15"/>
      <c r="O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dame_señor_un_corazon_feliz.html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data-nold="74"&gt;&lt;a href="canciones/perpetuo_socorro/dame_señor_un_corazon_feliz.html"&gt;Dame, Señor, un corazón feliz&lt;/a&gt;&lt;/li&gt;</v>
      </c>
      <c r="U420" s="15" t="str">
        <f>_xlfn.TEXTBEFORE(_xlfn.TEXTAFTER(CantoralDB[[#This Row],[index.html]],"&gt;"),"&gt;")&amp;"&gt;"</f>
        <v>&lt;a href="canciones/perpetuo_socorro/dame_señor_un_corazon_feliz.html"&gt;</v>
      </c>
      <c r="Y420" s="1"/>
    </row>
    <row r="421" spans="1:25" hidden="1" x14ac:dyDescent="0.3">
      <c r="A421" s="1">
        <f>ROW(CantoralDB[[#This Row],[Título]])-1</f>
        <v>420</v>
      </c>
      <c r="B421" s="1" t="s">
        <v>1859</v>
      </c>
      <c r="C421" s="1"/>
      <c r="I421" s="1" t="s">
        <v>612</v>
      </c>
      <c r="L421" s="15" t="s">
        <v>501</v>
      </c>
      <c r="M421" s="15" t="s">
        <v>1554</v>
      </c>
      <c r="N421" s="15">
        <v>5</v>
      </c>
      <c r="O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danos_de_beber.html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421" s="15" t="str">
        <f>_xlfn.TEXTBEFORE(_xlfn.TEXTAFTER(CantoralDB[[#This Row],[index.html]],"&gt;"),"&gt;")&amp;"&gt;"</f>
        <v>&lt;a href="canciones/ain_karem/danos_de_beber.html"&gt;</v>
      </c>
      <c r="Y421" s="1"/>
    </row>
    <row r="422" spans="1:25" x14ac:dyDescent="0.3">
      <c r="A422" s="1">
        <f>ROW(CantoralDB[[#This Row],[Título]])-1</f>
        <v>421</v>
      </c>
      <c r="B422" s="1" t="s">
        <v>908</v>
      </c>
      <c r="C422" s="1" t="s">
        <v>1025</v>
      </c>
      <c r="D422" s="1" t="s">
        <v>1149</v>
      </c>
      <c r="H422" s="1" t="s">
        <v>1055</v>
      </c>
      <c r="I422" s="1" t="s">
        <v>612</v>
      </c>
      <c r="L422" s="15" t="s">
        <v>1991</v>
      </c>
      <c r="M422" s="15"/>
      <c r="N422" s="15"/>
      <c r="O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422" s="1"/>
      <c r="S422" s="1" t="s">
        <v>344</v>
      </c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422" s="15" t="str">
        <f>_xlfn.TEXTBEFORE(_xlfn.TEXTAFTER(CantoralDB[[#This Row],[index.html]],"&gt;"),"&gt;")&amp;"&gt;"</f>
        <v>&lt;a href="canciones/taize/dona_nobis_pacem.html"&gt;</v>
      </c>
      <c r="Y422" s="1"/>
    </row>
    <row r="423" spans="1:25" x14ac:dyDescent="0.3">
      <c r="A423" s="1">
        <f>ROW(CantoralDB[[#This Row],[Título]])-1</f>
        <v>422</v>
      </c>
      <c r="B423" s="1" t="s">
        <v>907</v>
      </c>
      <c r="C423" s="1" t="s">
        <v>1025</v>
      </c>
      <c r="D423" s="1" t="s">
        <v>1150</v>
      </c>
      <c r="H423" s="1" t="s">
        <v>1055</v>
      </c>
      <c r="I423" s="1" t="s">
        <v>612</v>
      </c>
      <c r="L423" s="15" t="s">
        <v>1991</v>
      </c>
      <c r="M423" s="15"/>
      <c r="N423" s="15"/>
      <c r="O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423" s="1"/>
      <c r="S423" s="1" t="s">
        <v>343</v>
      </c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423" s="15" t="str">
        <f>_xlfn.TEXTBEFORE(_xlfn.TEXTAFTER(CantoralDB[[#This Row],[index.html]],"&gt;"),"&gt;")&amp;"&gt;"</f>
        <v>&lt;a href="canciones/taize/dona_la_pace.html"&gt;</v>
      </c>
      <c r="Y423" s="1"/>
    </row>
    <row r="424" spans="1:25" x14ac:dyDescent="0.3">
      <c r="A424" s="1">
        <f>ROW(CantoralDB[[#This Row],[Título]])-1</f>
        <v>423</v>
      </c>
      <c r="B424" s="1" t="s">
        <v>902</v>
      </c>
      <c r="C424" s="1" t="s">
        <v>1025</v>
      </c>
      <c r="D424" s="1" t="s">
        <v>1148</v>
      </c>
      <c r="H424" s="1" t="s">
        <v>1082</v>
      </c>
      <c r="I424" s="1" t="s">
        <v>612</v>
      </c>
      <c r="L424" s="15" t="s">
        <v>1991</v>
      </c>
      <c r="M424" s="15"/>
      <c r="N424" s="15"/>
      <c r="O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24" s="1" t="s">
        <v>962</v>
      </c>
      <c r="S424" s="1" t="s">
        <v>335</v>
      </c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424" s="15" t="str">
        <f>_xlfn.TEXTBEFORE(_xlfn.TEXTAFTER(CantoralDB[[#This Row],[index.html]],"&gt;"),"&gt;")&amp;"&gt;"</f>
        <v>&lt;a href="canciones/taize/da_pacem..._in_diebus.html"&gt;</v>
      </c>
      <c r="Y424" s="1"/>
    </row>
    <row r="425" spans="1:25" hidden="1" x14ac:dyDescent="0.3">
      <c r="A425" s="1">
        <f>ROW(CantoralDB[[#This Row],[Título]])-1</f>
        <v>424</v>
      </c>
      <c r="B425" s="1" t="s">
        <v>1240</v>
      </c>
      <c r="C425" s="1"/>
      <c r="E425" s="1">
        <v>72</v>
      </c>
      <c r="I425" s="1"/>
      <c r="L425" s="15" t="s">
        <v>518</v>
      </c>
      <c r="M425" s="15"/>
      <c r="N425" s="15"/>
      <c r="O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data-nold="72"&gt;&lt;a href="canciones/nsb/danos_paz.html"&gt;Danos paz&lt;/a&gt;&lt;/li&gt;</v>
      </c>
      <c r="U425" s="15" t="str">
        <f>_xlfn.TEXTBEFORE(_xlfn.TEXTAFTER(CantoralDB[[#This Row],[index.html]],"&gt;"),"&gt;")&amp;"&gt;"</f>
        <v>&lt;a href="canciones/nsb/danos_paz.html"&gt;</v>
      </c>
      <c r="Y425" s="1"/>
    </row>
    <row r="426" spans="1:25" hidden="1" x14ac:dyDescent="0.3">
      <c r="A426" s="1">
        <f>ROW(CantoralDB[[#This Row],[Título]])-1</f>
        <v>425</v>
      </c>
      <c r="B426" s="1" t="s">
        <v>1240</v>
      </c>
      <c r="C426" s="1"/>
      <c r="I426" s="1"/>
      <c r="L426" s="15" t="s">
        <v>482</v>
      </c>
      <c r="M426" s="15" t="s">
        <v>1899</v>
      </c>
      <c r="N426" s="15">
        <v>9</v>
      </c>
      <c r="O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426" s="15" t="str">
        <f>_xlfn.TEXTBEFORE(_xlfn.TEXTAFTER(CantoralDB[[#This Row],[index.html]],"&gt;"),"&gt;")&amp;"&gt;"</f>
        <v>&lt;a href="canciones/toño_casado/danos_paz.html"&gt;</v>
      </c>
      <c r="Y426" s="1"/>
    </row>
    <row r="427" spans="1:25" hidden="1" x14ac:dyDescent="0.3">
      <c r="A427" s="1">
        <f>ROW(CantoralDB[[#This Row],[Título]])-1</f>
        <v>426</v>
      </c>
      <c r="B427" s="1" t="s">
        <v>1744</v>
      </c>
      <c r="C427" s="1"/>
      <c r="I427" s="1" t="s">
        <v>612</v>
      </c>
      <c r="L427" s="15" t="s">
        <v>484</v>
      </c>
      <c r="M427" s="15" t="s">
        <v>1542</v>
      </c>
      <c r="N427" s="15">
        <v>4</v>
      </c>
      <c r="O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danos_tu_espiritu.html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427" s="15" t="str">
        <f>_xlfn.TEXTBEFORE(_xlfn.TEXTAFTER(CantoralDB[[#This Row],[index.html]],"&gt;"),"&gt;")&amp;"&gt;"</f>
        <v>&lt;a href="canciones/kairoi/danos_tu_espiritu.html"&gt;</v>
      </c>
      <c r="Y427" s="1"/>
    </row>
    <row r="428" spans="1:25" hidden="1" x14ac:dyDescent="0.3">
      <c r="A428" s="1">
        <f>ROW(CantoralDB[[#This Row],[Título]])-1</f>
        <v>427</v>
      </c>
      <c r="B428" s="1" t="s">
        <v>43</v>
      </c>
      <c r="C428" s="1" t="s">
        <v>997</v>
      </c>
      <c r="D428" s="1" t="s">
        <v>698</v>
      </c>
      <c r="E428" s="1">
        <v>75</v>
      </c>
      <c r="G428" s="1" t="s">
        <v>209</v>
      </c>
      <c r="H428" s="1" t="s">
        <v>1046</v>
      </c>
      <c r="I428" s="1" t="s">
        <v>612</v>
      </c>
      <c r="L428" s="15" t="s">
        <v>491</v>
      </c>
      <c r="M428" s="15"/>
      <c r="N428" s="15"/>
      <c r="O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danos_un_corazon.html</v>
      </c>
      <c r="R428" s="1" t="s">
        <v>823</v>
      </c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428" s="15" t="str">
        <f>_xlfn.TEXTBEFORE(_xlfn.TEXTAFTER(CantoralDB[[#This Row],[index.html]],"&gt;"),"&gt;")&amp;"&gt;"</f>
        <v>&lt;a href="canciones/juan_antonio_espinosa/danos_un_corazon.html"&gt;</v>
      </c>
      <c r="Y428" s="1"/>
    </row>
    <row r="429" spans="1:25" x14ac:dyDescent="0.3">
      <c r="A429" s="1">
        <f>ROW(CantoralDB[[#This Row],[Título]])-1</f>
        <v>428</v>
      </c>
      <c r="B429" s="1" t="s">
        <v>901</v>
      </c>
      <c r="C429" s="1" t="s">
        <v>1025</v>
      </c>
      <c r="D429" s="1" t="s">
        <v>1147</v>
      </c>
      <c r="H429" s="1" t="s">
        <v>1046</v>
      </c>
      <c r="I429" s="1" t="s">
        <v>612</v>
      </c>
      <c r="L429" s="15" t="s">
        <v>1991</v>
      </c>
      <c r="M429" s="15"/>
      <c r="N429" s="15"/>
      <c r="O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29" s="1"/>
      <c r="S429" s="1" t="s">
        <v>334</v>
      </c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429" s="15" t="str">
        <f>_xlfn.TEXTBEFORE(_xlfn.TEXTAFTER(CantoralDB[[#This Row],[index.html]],"&gt;"),"&gt;")&amp;"&gt;"</f>
        <v>&lt;a href="canciones/taize/da_pacem_cordium_(canon).html"&gt;</v>
      </c>
      <c r="Y429" s="1"/>
    </row>
    <row r="430" spans="1:25" hidden="1" x14ac:dyDescent="0.3">
      <c r="A430" s="1">
        <f>ROW(CantoralDB[[#This Row],[Título]])-1</f>
        <v>429</v>
      </c>
      <c r="B430" s="1" t="s">
        <v>336</v>
      </c>
      <c r="C430" s="1" t="s">
        <v>1026</v>
      </c>
      <c r="D430" s="1" t="s">
        <v>1151</v>
      </c>
      <c r="H430" s="1" t="s">
        <v>1053</v>
      </c>
      <c r="I430" s="1" t="s">
        <v>612</v>
      </c>
      <c r="L430" s="15" t="s">
        <v>2201</v>
      </c>
      <c r="M430" s="15"/>
      <c r="N430" s="15"/>
      <c r="O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430" s="15" t="str">
        <f>_xlfn.TEXTBEFORE(_xlfn.TEXTAFTER(CantoralDB[[#This Row],[index.html]],"&gt;"),"&gt;")&amp;"&gt;"</f>
        <v>&lt;a href="canciones/taize/dans_nos_obscurites.html"&gt;</v>
      </c>
      <c r="Y430" s="1"/>
    </row>
    <row r="431" spans="1:25" hidden="1" x14ac:dyDescent="0.3">
      <c r="A431" s="1">
        <f>ROW(CantoralDB[[#This Row],[Título]])-1</f>
        <v>430</v>
      </c>
      <c r="B431" s="1" t="s">
        <v>2118</v>
      </c>
      <c r="C431" s="1"/>
      <c r="I431" s="1" t="s">
        <v>612</v>
      </c>
      <c r="L431" s="15" t="s">
        <v>481</v>
      </c>
      <c r="M431" s="15" t="s">
        <v>2105</v>
      </c>
      <c r="N431" s="15">
        <v>3</v>
      </c>
      <c r="O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de_cosas_sencillas.html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431" s="15" t="str">
        <f>_xlfn.TEXTBEFORE(_xlfn.TEXTAFTER(CantoralDB[[#This Row],[index.html]],"&gt;"),"&gt;")&amp;"&gt;"</f>
        <v>&lt;a href="canciones/francisco_palazon/de_cosas_sencillas.html"&gt;</v>
      </c>
      <c r="Y431" s="1"/>
    </row>
    <row r="432" spans="1:25" hidden="1" x14ac:dyDescent="0.3">
      <c r="A432" s="1">
        <f>ROW(CantoralDB[[#This Row],[Título]])-1</f>
        <v>431</v>
      </c>
      <c r="B432" s="1" t="s">
        <v>1246</v>
      </c>
      <c r="C432" s="1"/>
      <c r="E432" s="1">
        <v>81</v>
      </c>
      <c r="I432" s="1"/>
      <c r="L432" s="15" t="s">
        <v>2141</v>
      </c>
      <c r="M432" s="15"/>
      <c r="N432" s="15"/>
      <c r="O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de_jerusalen_bajaba_a_jerico.html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432" s="15" t="str">
        <f>_xlfn.TEXTBEFORE(_xlfn.TEXTAFTER(CantoralDB[[#This Row],[index.html]],"&gt;"),"&gt;")&amp;"&gt;"</f>
        <v>&lt;a href="canciones/nsb/de_jerusalen_bajaba_a_jerico.html"&gt;</v>
      </c>
      <c r="Y432" s="1"/>
    </row>
    <row r="433" spans="1:25" hidden="1" x14ac:dyDescent="0.3">
      <c r="A433" s="1">
        <f>ROW(CantoralDB[[#This Row],[Título]])-1</f>
        <v>432</v>
      </c>
      <c r="B433" s="1" t="s">
        <v>2131</v>
      </c>
      <c r="C433" s="1"/>
      <c r="I433" s="1"/>
      <c r="L433" s="15" t="s">
        <v>481</v>
      </c>
      <c r="M433" s="15" t="s">
        <v>1978</v>
      </c>
      <c r="N433" s="15">
        <v>6</v>
      </c>
      <c r="O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de_la_gloria_del_señor_llena_esta_la_tierra.html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433" s="15" t="str">
        <f>_xlfn.TEXTBEFORE(_xlfn.TEXTAFTER(CantoralDB[[#This Row],[index.html]],"&gt;"),"&gt;")&amp;"&gt;"</f>
        <v>&lt;a href="canciones/francisco_palazon/de_la_gloria_del_señor_llena_esta_la_tierra.html"&gt;</v>
      </c>
      <c r="Y433" s="1"/>
    </row>
    <row r="434" spans="1:25" hidden="1" x14ac:dyDescent="0.3">
      <c r="A434" s="1">
        <f>ROW(CantoralDB[[#This Row],[Título]])-1</f>
        <v>433</v>
      </c>
      <c r="B434" s="1" t="s">
        <v>1777</v>
      </c>
      <c r="C434" s="1"/>
      <c r="I434" s="1"/>
      <c r="L434" s="15" t="s">
        <v>484</v>
      </c>
      <c r="M434" s="15" t="s">
        <v>1545</v>
      </c>
      <c r="N434" s="15">
        <v>2</v>
      </c>
      <c r="O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de_la_mano.html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href="canciones/kairoi/de_la_mano.html"&gt;De la mano&lt;/a&gt;&lt;/li&gt;</v>
      </c>
      <c r="U434" s="15" t="str">
        <f>_xlfn.TEXTBEFORE(_xlfn.TEXTAFTER(CantoralDB[[#This Row],[index.html]],"&gt;"),"&gt;")&amp;"&gt;"</f>
        <v>&lt;a href="canciones/kairoi/de_la_mano.html"&gt;</v>
      </c>
      <c r="Y434" s="1"/>
    </row>
    <row r="435" spans="1:25" hidden="1" x14ac:dyDescent="0.3">
      <c r="A435" s="1">
        <f>ROW(CantoralDB[[#This Row],[Título]])-1</f>
        <v>434</v>
      </c>
      <c r="B435" s="1" t="s">
        <v>1252</v>
      </c>
      <c r="C435" s="1"/>
      <c r="E435" s="1">
        <v>88</v>
      </c>
      <c r="I435" s="1"/>
      <c r="L435" s="15" t="s">
        <v>486</v>
      </c>
      <c r="M435" s="15"/>
      <c r="N435" s="15"/>
      <c r="O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de_la_virgen_ha_nacido_el_niño.html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435" s="15" t="str">
        <f>_xlfn.TEXTBEFORE(_xlfn.TEXTAFTER(CantoralDB[[#This Row],[index.html]],"&gt;"),"&gt;")&amp;"&gt;"</f>
        <v>&lt;a href="canciones/antonio_alcalde/de_la_virgen_ha_nacido_el_niño.html"&gt;</v>
      </c>
      <c r="Y435" s="1"/>
    </row>
    <row r="436" spans="1:25" hidden="1" x14ac:dyDescent="0.3">
      <c r="A436" s="1">
        <f>ROW(CantoralDB[[#This Row],[Título]])-1</f>
        <v>435</v>
      </c>
      <c r="B436" s="1" t="s">
        <v>1623</v>
      </c>
      <c r="C436" s="1"/>
      <c r="I436" s="1" t="s">
        <v>612</v>
      </c>
      <c r="L436" s="15" t="s">
        <v>484</v>
      </c>
      <c r="M436" s="15" t="s">
        <v>1536</v>
      </c>
      <c r="N436" s="15">
        <v>9</v>
      </c>
      <c r="O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de_lo_debil_saca_fuerzas_dios.html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436" s="15" t="str">
        <f>_xlfn.TEXTBEFORE(_xlfn.TEXTAFTER(CantoralDB[[#This Row],[index.html]],"&gt;"),"&gt;")&amp;"&gt;"</f>
        <v>&lt;a href="canciones/kairoi/de_lo_debil_saca_fuerzas_dios.html"&gt;</v>
      </c>
      <c r="Y436" s="1"/>
    </row>
    <row r="437" spans="1:25" hidden="1" x14ac:dyDescent="0.3">
      <c r="A437" s="1">
        <f>ROW(CantoralDB[[#This Row],[Título]])-1</f>
        <v>436</v>
      </c>
      <c r="B437" s="1" t="s">
        <v>337</v>
      </c>
      <c r="C437" s="1" t="s">
        <v>1026</v>
      </c>
      <c r="D437" s="1" t="s">
        <v>1152</v>
      </c>
      <c r="F437" s="1">
        <v>415</v>
      </c>
      <c r="H437" s="1" t="s">
        <v>1069</v>
      </c>
      <c r="I437" s="1" t="s">
        <v>612</v>
      </c>
      <c r="L437" s="15" t="s">
        <v>2201</v>
      </c>
      <c r="M437" s="15"/>
      <c r="N437" s="15"/>
      <c r="O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de_noche.html</v>
      </c>
      <c r="R437" s="1" t="s">
        <v>963</v>
      </c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437" s="15" t="str">
        <f>_xlfn.TEXTBEFORE(_xlfn.TEXTAFTER(CantoralDB[[#This Row],[index.html]],"&gt;"),"&gt;")&amp;"&gt;"</f>
        <v>&lt;a href="canciones/taize/de_noche.html"&gt;</v>
      </c>
      <c r="Y437" s="1"/>
    </row>
    <row r="438" spans="1:25" hidden="1" x14ac:dyDescent="0.3">
      <c r="A438" s="1">
        <f>ROW(CantoralDB[[#This Row],[Título]])-1</f>
        <v>437</v>
      </c>
      <c r="B438" s="1" t="s">
        <v>2114</v>
      </c>
      <c r="C438" s="1"/>
      <c r="I438" s="1"/>
      <c r="L438" s="15" t="s">
        <v>481</v>
      </c>
      <c r="M438" s="15" t="s">
        <v>2104</v>
      </c>
      <c r="N438" s="15">
        <v>9</v>
      </c>
      <c r="O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de_par_en_par.html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438" s="15" t="str">
        <f>_xlfn.TEXTBEFORE(_xlfn.TEXTAFTER(CantoralDB[[#This Row],[index.html]],"&gt;"),"&gt;")&amp;"&gt;"</f>
        <v>&lt;a href="canciones/francisco_palazon/de_par_en_par.html"&gt;</v>
      </c>
      <c r="Y438" s="1"/>
    </row>
    <row r="439" spans="1:25" hidden="1" x14ac:dyDescent="0.3">
      <c r="A439" s="1">
        <f>ROW(CantoralDB[[#This Row],[Título]])-1</f>
        <v>438</v>
      </c>
      <c r="B439" s="1" t="s">
        <v>1706</v>
      </c>
      <c r="C439" s="1"/>
      <c r="I439" s="1"/>
      <c r="L439" s="15" t="s">
        <v>484</v>
      </c>
      <c r="M439" s="15" t="s">
        <v>1578</v>
      </c>
      <c r="N439" s="15">
        <v>13</v>
      </c>
      <c r="O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de_pura_raza.html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href="canciones/kairoi/de_pura_raza.html"&gt;De pura raza&lt;/a&gt;&lt;/li&gt;</v>
      </c>
      <c r="U439" s="15" t="str">
        <f>_xlfn.TEXTBEFORE(_xlfn.TEXTAFTER(CantoralDB[[#This Row],[index.html]],"&gt;"),"&gt;")&amp;"&gt;"</f>
        <v>&lt;a href="canciones/kairoi/de_pura_raza.html"&gt;</v>
      </c>
      <c r="Y439" s="1"/>
    </row>
    <row r="440" spans="1:25" hidden="1" x14ac:dyDescent="0.3">
      <c r="A440" s="1">
        <f>ROW(CantoralDB[[#This Row],[Título]])-1</f>
        <v>439</v>
      </c>
      <c r="B440" s="1" t="s">
        <v>1933</v>
      </c>
      <c r="C440" s="1"/>
      <c r="I440" s="1" t="s">
        <v>612</v>
      </c>
      <c r="L440" s="15" t="s">
        <v>1804</v>
      </c>
      <c r="M440" s="15" t="s">
        <v>1952</v>
      </c>
      <c r="N440" s="15">
        <v>8</v>
      </c>
      <c r="O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de_repente.html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href="canciones/ruah/de_repente.html"&gt;De repente&lt;/a&gt;&lt;/li&gt;</v>
      </c>
      <c r="U440" s="15" t="str">
        <f>_xlfn.TEXTBEFORE(_xlfn.TEXTAFTER(CantoralDB[[#This Row],[index.html]],"&gt;"),"&gt;")&amp;"&gt;"</f>
        <v>&lt;a href="canciones/ruah/de_repente.html"&gt;</v>
      </c>
      <c r="Y440" s="1"/>
    </row>
    <row r="441" spans="1:25" hidden="1" x14ac:dyDescent="0.3">
      <c r="A441" s="1">
        <f>ROW(CantoralDB[[#This Row],[Título]])-1</f>
        <v>440</v>
      </c>
      <c r="B441" s="1" t="s">
        <v>3761</v>
      </c>
      <c r="C441" s="1"/>
      <c r="F441" s="1">
        <v>411</v>
      </c>
      <c r="I441" s="1"/>
      <c r="L441" s="15" t="s">
        <v>3760</v>
      </c>
      <c r="M441" s="15"/>
      <c r="N441" s="15"/>
      <c r="O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de_rodillas_madre.html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441" s="15" t="str">
        <f>_xlfn.TEXTBEFORE(_xlfn.TEXTAFTER(CantoralDB[[#This Row],[index.html]],"&gt;"),"&gt;")&amp;"&gt;"</f>
        <v>&lt;a href="canciones/nuevas/de_rodillas_madre.html"&gt;</v>
      </c>
      <c r="Y441" s="1"/>
    </row>
    <row r="442" spans="1:25" hidden="1" x14ac:dyDescent="0.3">
      <c r="A442" s="1">
        <f>ROW(CantoralDB[[#This Row],[Título]])-1</f>
        <v>441</v>
      </c>
      <c r="B442" s="1" t="s">
        <v>1873</v>
      </c>
      <c r="C442" s="1"/>
      <c r="I442" s="1" t="s">
        <v>612</v>
      </c>
      <c r="L442" s="15" t="s">
        <v>501</v>
      </c>
      <c r="M442" s="15" t="s">
        <v>1553</v>
      </c>
      <c r="N442" s="15">
        <v>1</v>
      </c>
      <c r="O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de_todo_corazon.html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442" s="15" t="str">
        <f>_xlfn.TEXTBEFORE(_xlfn.TEXTAFTER(CantoralDB[[#This Row],[index.html]],"&gt;"),"&gt;")&amp;"&gt;"</f>
        <v>&lt;a href="canciones/ain_karem/de_todo_corazon.html"&gt;</v>
      </c>
      <c r="Y442" s="1"/>
    </row>
    <row r="443" spans="1:25" hidden="1" x14ac:dyDescent="0.3">
      <c r="A443" s="1">
        <f>ROW(CantoralDB[[#This Row],[Título]])-1</f>
        <v>442</v>
      </c>
      <c r="B443" s="1" t="s">
        <v>1758</v>
      </c>
      <c r="C443" s="1"/>
      <c r="I443" s="1"/>
      <c r="L443" s="15" t="s">
        <v>484</v>
      </c>
      <c r="M443" s="15" t="s">
        <v>1543</v>
      </c>
      <c r="N443" s="15">
        <v>9</v>
      </c>
      <c r="O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decid_si.html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href="canciones/kairoi/decid_si.html"&gt;Decid sí&lt;/a&gt;&lt;/li&gt;</v>
      </c>
      <c r="U443" s="15" t="str">
        <f>_xlfn.TEXTBEFORE(_xlfn.TEXTAFTER(CantoralDB[[#This Row],[index.html]],"&gt;"),"&gt;")&amp;"&gt;"</f>
        <v>&lt;a href="canciones/kairoi/decid_si.html"&gt;</v>
      </c>
      <c r="Y443" s="1"/>
    </row>
    <row r="444" spans="1:25" hidden="1" x14ac:dyDescent="0.3">
      <c r="A444" s="1">
        <f>ROW(CantoralDB[[#This Row],[Título]])-1</f>
        <v>443</v>
      </c>
      <c r="B444" s="1" t="s">
        <v>1780</v>
      </c>
      <c r="C444" s="1"/>
      <c r="I444" s="1"/>
      <c r="L444" s="15" t="s">
        <v>484</v>
      </c>
      <c r="M444" s="15" t="s">
        <v>1545</v>
      </c>
      <c r="N444" s="15">
        <v>5</v>
      </c>
      <c r="O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decir_tu_nombre_maria.html</v>
      </c>
      <c r="R444" s="1"/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444" s="15" t="str">
        <f>_xlfn.TEXTBEFORE(_xlfn.TEXTAFTER(CantoralDB[[#This Row],[index.html]],"&gt;"),"&gt;")&amp;"&gt;"</f>
        <v>&lt;a href="canciones/kairoi/decir_tu_nombre_maria.html"&gt;</v>
      </c>
      <c r="Y444" s="1"/>
    </row>
    <row r="445" spans="1:25" x14ac:dyDescent="0.3">
      <c r="A445" s="1">
        <f>ROW(CantoralDB[[#This Row],[Título]])-1</f>
        <v>444</v>
      </c>
      <c r="B445" s="1" t="s">
        <v>934</v>
      </c>
      <c r="C445" s="1" t="s">
        <v>1025</v>
      </c>
      <c r="D445" s="1" t="s">
        <v>1153</v>
      </c>
      <c r="H445" s="1" t="s">
        <v>1039</v>
      </c>
      <c r="I445" s="1" t="s">
        <v>612</v>
      </c>
      <c r="L445" s="15" t="s">
        <v>1991</v>
      </c>
      <c r="M445" s="15"/>
      <c r="N445" s="15"/>
      <c r="O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445" s="1" t="s">
        <v>983</v>
      </c>
      <c r="S445" s="1" t="s">
        <v>420</v>
      </c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445" s="15" t="str">
        <f>_xlfn.TEXTBEFORE(_xlfn.TEXTAFTER(CantoralDB[[#This Row],[index.html]],"&gt;"),"&gt;")&amp;"&gt;"</f>
        <v>&lt;a href="canciones/taize/nunc_dimittis.html"&gt;</v>
      </c>
      <c r="Y445" s="1"/>
    </row>
    <row r="446" spans="1:25" hidden="1" x14ac:dyDescent="0.3">
      <c r="A446" s="1">
        <f>ROW(CantoralDB[[#This Row],[Título]])-1</f>
        <v>445</v>
      </c>
      <c r="B446" s="1" t="s">
        <v>1675</v>
      </c>
      <c r="C446" s="1"/>
      <c r="I446" s="1" t="s">
        <v>612</v>
      </c>
      <c r="L446" s="15" t="s">
        <v>484</v>
      </c>
      <c r="M446" s="15" t="s">
        <v>1533</v>
      </c>
      <c r="N446" s="15">
        <v>6</v>
      </c>
      <c r="O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deja_que_en_tu_vida_cante_el.html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446" s="15" t="str">
        <f>_xlfn.TEXTBEFORE(_xlfn.TEXTAFTER(CantoralDB[[#This Row],[index.html]],"&gt;"),"&gt;")&amp;"&gt;"</f>
        <v>&lt;a href="canciones/kairoi/deja_que_en_tu_vida_cante_el.html"&gt;</v>
      </c>
      <c r="Y446" s="1"/>
    </row>
    <row r="447" spans="1:25" hidden="1" x14ac:dyDescent="0.3">
      <c r="A447" s="1">
        <f>ROW(CantoralDB[[#This Row],[Título]])-1</f>
        <v>446</v>
      </c>
      <c r="B447" s="1" t="s">
        <v>2042</v>
      </c>
      <c r="C447" s="1"/>
      <c r="I447" s="1" t="s">
        <v>612</v>
      </c>
      <c r="L447" s="15" t="s">
        <v>261</v>
      </c>
      <c r="M447" s="15"/>
      <c r="N447" s="15"/>
      <c r="O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del_cielo.html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href="canciones/hakuna/del_cielo.html"&gt;Del cielo&lt;/a&gt;&lt;/li&gt;</v>
      </c>
      <c r="U447" s="15" t="str">
        <f>_xlfn.TEXTBEFORE(_xlfn.TEXTAFTER(CantoralDB[[#This Row],[index.html]],"&gt;"),"&gt;")&amp;"&gt;"</f>
        <v>&lt;a href="canciones/hakuna/del_cielo.html"&gt;</v>
      </c>
      <c r="Y447" s="1"/>
    </row>
    <row r="448" spans="1:25" hidden="1" x14ac:dyDescent="0.3">
      <c r="A448" s="1">
        <f>ROW(CantoralDB[[#This Row],[Título]])-1</f>
        <v>447</v>
      </c>
      <c r="B448" s="1" t="s">
        <v>3785</v>
      </c>
      <c r="C448" s="1"/>
      <c r="F448" s="1">
        <v>432</v>
      </c>
      <c r="I448" s="1"/>
      <c r="L448" s="15" t="s">
        <v>594</v>
      </c>
      <c r="M448" s="15"/>
      <c r="N448" s="15"/>
      <c r="O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demos_gloria.html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448" s="15" t="str">
        <f>_xlfn.TEXTBEFORE(_xlfn.TEXTAFTER(CantoralDB[[#This Row],[index.html]],"&gt;"),"&gt;")&amp;"&gt;"</f>
        <v>&lt;a href="canciones/alejandro_ruiz/demos_gloria.html"&gt;</v>
      </c>
      <c r="Y448" s="1"/>
    </row>
    <row r="449" spans="1:25" x14ac:dyDescent="0.3">
      <c r="A449" s="1">
        <f>ROW(CantoralDB[[#This Row],[Título]])-1</f>
        <v>448</v>
      </c>
      <c r="B449" s="1" t="s">
        <v>1029</v>
      </c>
      <c r="C449" s="1" t="s">
        <v>1025</v>
      </c>
      <c r="D449" s="1" t="s">
        <v>1154</v>
      </c>
      <c r="H449" s="1" t="s">
        <v>1031</v>
      </c>
      <c r="I449" s="1" t="s">
        <v>612</v>
      </c>
      <c r="L449" s="15" t="s">
        <v>1991</v>
      </c>
      <c r="M449" s="15"/>
      <c r="N449" s="15"/>
      <c r="O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449" s="1"/>
      <c r="S449" s="1" t="s">
        <v>1030</v>
      </c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449" s="15" t="str">
        <f>_xlfn.TEXTBEFORE(_xlfn.TEXTAFTER(CantoralDB[[#This Row],[index.html]],"&gt;"),"&gt;")&amp;"&gt;"</f>
        <v>&lt;a href="canciones/taize/v_tebi_je_izvir_življenja.html"&gt;</v>
      </c>
      <c r="Y449" s="1"/>
    </row>
    <row r="450" spans="1:25" hidden="1" x14ac:dyDescent="0.3">
      <c r="A450" s="1">
        <f>ROW(CantoralDB[[#This Row],[Título]])-1</f>
        <v>449</v>
      </c>
      <c r="B450" s="1" t="s">
        <v>1245</v>
      </c>
      <c r="C450" s="1"/>
      <c r="E450" s="1">
        <v>80</v>
      </c>
      <c r="I450" s="1"/>
      <c r="L450" s="15" t="s">
        <v>2146</v>
      </c>
      <c r="M450" s="15"/>
      <c r="N450" s="15"/>
      <c r="O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depende_de_ti_y_de_mi.html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data-nold="80"&gt;&lt;a href="canciones/nsb/depende_de_ti_y_de_mi.html"&gt;Depende de ti y de mí&lt;/a&gt;&lt;/li&gt;</v>
      </c>
      <c r="U450" s="15" t="str">
        <f>_xlfn.TEXTBEFORE(_xlfn.TEXTAFTER(CantoralDB[[#This Row],[index.html]],"&gt;"),"&gt;")&amp;"&gt;"</f>
        <v>&lt;a href="canciones/nsb/depende_de_ti_y_de_mi.html"&gt;</v>
      </c>
      <c r="Y450" s="1"/>
    </row>
    <row r="451" spans="1:25" hidden="1" x14ac:dyDescent="0.3">
      <c r="A451" s="1">
        <f>ROW(CantoralDB[[#This Row],[Título]])-1</f>
        <v>450</v>
      </c>
      <c r="B451" s="1" t="s">
        <v>1547</v>
      </c>
      <c r="C451" s="1"/>
      <c r="I451" s="1" t="s">
        <v>612</v>
      </c>
      <c r="L451" s="15" t="s">
        <v>501</v>
      </c>
      <c r="M451" s="15" t="s">
        <v>1547</v>
      </c>
      <c r="N451" s="15">
        <v>1</v>
      </c>
      <c r="O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descalzate.html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href="canciones/ain_karem/descalzate.html"&gt;Descálzate&lt;/a&gt;&lt;/li&gt;</v>
      </c>
      <c r="U451" s="15" t="str">
        <f>_xlfn.TEXTBEFORE(_xlfn.TEXTAFTER(CantoralDB[[#This Row],[index.html]],"&gt;"),"&gt;")&amp;"&gt;"</f>
        <v>&lt;a href="canciones/ain_karem/descalzate.html"&gt;</v>
      </c>
      <c r="Y451" s="1"/>
    </row>
    <row r="452" spans="1:25" hidden="1" x14ac:dyDescent="0.3">
      <c r="A452" s="1">
        <f>ROW(CantoralDB[[#This Row],[Título]])-1</f>
        <v>451</v>
      </c>
      <c r="B452" s="1" t="s">
        <v>1996</v>
      </c>
      <c r="C452" s="1"/>
      <c r="I452" s="1" t="s">
        <v>612</v>
      </c>
      <c r="L452" s="15" t="s">
        <v>261</v>
      </c>
      <c r="M452" s="15"/>
      <c r="N452" s="15"/>
      <c r="O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descalzos.html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href="canciones/hakuna/descalzos.html"&gt;Descalzos&lt;/a&gt;&lt;/li&gt;</v>
      </c>
      <c r="U452" s="15" t="str">
        <f>_xlfn.TEXTBEFORE(_xlfn.TEXTAFTER(CantoralDB[[#This Row],[index.html]],"&gt;"),"&gt;")&amp;"&gt;"</f>
        <v>&lt;a href="canciones/hakuna/descalzos.html"&gt;</v>
      </c>
      <c r="Y452" s="1"/>
    </row>
    <row r="453" spans="1:25" hidden="1" x14ac:dyDescent="0.3">
      <c r="A453" s="1">
        <f>ROW(CantoralDB[[#This Row],[Título]])-1</f>
        <v>452</v>
      </c>
      <c r="B453" s="1" t="s">
        <v>1851</v>
      </c>
      <c r="C453" s="1"/>
      <c r="I453" s="1" t="s">
        <v>612</v>
      </c>
      <c r="L453" s="15" t="s">
        <v>501</v>
      </c>
      <c r="M453" s="15" t="s">
        <v>1552</v>
      </c>
      <c r="N453" s="15">
        <v>10</v>
      </c>
      <c r="O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descansa_en_ti_su_mirada.html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453" s="15" t="str">
        <f>_xlfn.TEXTBEFORE(_xlfn.TEXTAFTER(CantoralDB[[#This Row],[index.html]],"&gt;"),"&gt;")&amp;"&gt;"</f>
        <v>&lt;a href="canciones/ain_karem/descansa_en_ti_su_mirada.html"&gt;</v>
      </c>
      <c r="Y453" s="1"/>
    </row>
    <row r="454" spans="1:25" hidden="1" x14ac:dyDescent="0.3">
      <c r="A454" s="1">
        <f>ROW(CantoralDB[[#This Row],[Título]])-1</f>
        <v>453</v>
      </c>
      <c r="B454" s="1" t="s">
        <v>1846</v>
      </c>
      <c r="C454" s="1"/>
      <c r="I454" s="1" t="s">
        <v>612</v>
      </c>
      <c r="L454" s="15" t="s">
        <v>501</v>
      </c>
      <c r="M454" s="15" t="s">
        <v>1552</v>
      </c>
      <c r="N454" s="15">
        <v>3</v>
      </c>
      <c r="O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desde_abajo.html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454" s="15" t="str">
        <f>_xlfn.TEXTBEFORE(_xlfn.TEXTAFTER(CantoralDB[[#This Row],[index.html]],"&gt;"),"&gt;")&amp;"&gt;"</f>
        <v>&lt;a href="canciones/ain_karem/desde_abajo.html"&gt;</v>
      </c>
      <c r="Y454" s="1"/>
    </row>
    <row r="455" spans="1:25" hidden="1" x14ac:dyDescent="0.3">
      <c r="A455" s="1">
        <f>ROW(CantoralDB[[#This Row],[Título]])-1</f>
        <v>454</v>
      </c>
      <c r="B455" s="1" t="s">
        <v>3676</v>
      </c>
      <c r="C455" s="1"/>
      <c r="F455" s="1">
        <v>344</v>
      </c>
      <c r="I455" s="1"/>
      <c r="L455" s="15" t="s">
        <v>574</v>
      </c>
      <c r="M455" s="15"/>
      <c r="N455" s="15"/>
      <c r="O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desde_cualquier_rincon.html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455" s="15" t="str">
        <f>_xlfn.TEXTBEFORE(_xlfn.TEXTAFTER(CantoralDB[[#This Row],[index.html]],"&gt;"),"&gt;")&amp;"&gt;"</f>
        <v>&lt;a href="canciones/pelayo_sanchez/desde_cualquier_rincon.html"&gt;</v>
      </c>
      <c r="Y455" s="1"/>
    </row>
    <row r="456" spans="1:25" hidden="1" x14ac:dyDescent="0.3">
      <c r="A456" s="1">
        <f>ROW(CantoralDB[[#This Row],[Título]])-1</f>
        <v>455</v>
      </c>
      <c r="B456" s="1" t="s">
        <v>2179</v>
      </c>
      <c r="C456" s="1"/>
      <c r="E456" s="1">
        <v>79</v>
      </c>
      <c r="I456" s="1" t="s">
        <v>612</v>
      </c>
      <c r="L456" s="15" t="s">
        <v>487</v>
      </c>
      <c r="M456" s="15"/>
      <c r="N456" s="15"/>
      <c r="O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desde_lo_hondo.html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456" s="15" t="str">
        <f>_xlfn.TEXTBEFORE(_xlfn.TEXTAFTER(CantoralDB[[#This Row],[index.html]],"&gt;"),"&gt;")&amp;"&gt;"</f>
        <v>&lt;a href="canciones/miguel_manzano/desde_lo_hondo.html"&gt;</v>
      </c>
      <c r="Y456" s="1"/>
    </row>
    <row r="457" spans="1:25" hidden="1" x14ac:dyDescent="0.3">
      <c r="A457" s="1">
        <f>ROW(CantoralDB[[#This Row],[Título]])-1</f>
        <v>456</v>
      </c>
      <c r="B457" s="1" t="s">
        <v>1753</v>
      </c>
      <c r="C457" s="1"/>
      <c r="I457" s="1"/>
      <c r="L457" s="15" t="s">
        <v>484</v>
      </c>
      <c r="M457" s="15" t="s">
        <v>1543</v>
      </c>
      <c r="N457" s="15">
        <v>1</v>
      </c>
      <c r="O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desde_tu_gesto.html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457" s="15" t="str">
        <f>_xlfn.TEXTBEFORE(_xlfn.TEXTAFTER(CantoralDB[[#This Row],[index.html]],"&gt;"),"&gt;")&amp;"&gt;"</f>
        <v>&lt;a href="canciones/kairoi/desde_tu_gesto.html"&gt;</v>
      </c>
      <c r="Y457" s="1"/>
    </row>
    <row r="458" spans="1:25" hidden="1" x14ac:dyDescent="0.3">
      <c r="A458" s="1">
        <f>ROW(CantoralDB[[#This Row],[Título]])-1</f>
        <v>457</v>
      </c>
      <c r="B458" s="1" t="s">
        <v>1997</v>
      </c>
      <c r="C458" s="1"/>
      <c r="I458" s="1" t="s">
        <v>612</v>
      </c>
      <c r="L458" s="15" t="s">
        <v>261</v>
      </c>
      <c r="M458" s="15"/>
      <c r="N458" s="15"/>
      <c r="O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href="canciones/hakuna/deseo.html"&gt;Deseo&lt;/a&gt;&lt;/li&gt;</v>
      </c>
      <c r="U458" s="15" t="str">
        <f>_xlfn.TEXTBEFORE(_xlfn.TEXTAFTER(CantoralDB[[#This Row],[index.html]],"&gt;"),"&gt;")&amp;"&gt;"</f>
        <v>&lt;a href="canciones/hakuna/deseo.html"&gt;</v>
      </c>
      <c r="Y458" s="1"/>
    </row>
    <row r="459" spans="1:25" hidden="1" x14ac:dyDescent="0.3">
      <c r="A459" s="1">
        <f>ROW(CantoralDB[[#This Row],[Título]])-1</f>
        <v>458</v>
      </c>
      <c r="B459" s="1" t="s">
        <v>1681</v>
      </c>
      <c r="C459" s="1"/>
      <c r="I459" s="1"/>
      <c r="L459" s="15" t="s">
        <v>484</v>
      </c>
      <c r="M459" s="15" t="s">
        <v>1534</v>
      </c>
      <c r="N459" s="15">
        <v>3</v>
      </c>
      <c r="O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deseo_paz.html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href="canciones/kairoi/deseo_paz.html"&gt;Deseo paz&lt;/a&gt;&lt;/li&gt;</v>
      </c>
      <c r="U459" s="15" t="str">
        <f>_xlfn.TEXTBEFORE(_xlfn.TEXTAFTER(CantoralDB[[#This Row],[index.html]],"&gt;"),"&gt;")&amp;"&gt;"</f>
        <v>&lt;a href="canciones/kairoi/deseo_paz.html"&gt;</v>
      </c>
      <c r="Y459" s="1"/>
    </row>
    <row r="460" spans="1:25" hidden="1" x14ac:dyDescent="0.3">
      <c r="A460" s="1">
        <f>ROW(CantoralDB[[#This Row],[Título]])-1</f>
        <v>459</v>
      </c>
      <c r="B460" s="1" t="s">
        <v>3531</v>
      </c>
      <c r="C460" s="1"/>
      <c r="F460" s="1">
        <v>184</v>
      </c>
      <c r="I460" s="1"/>
      <c r="L460" s="15" t="s">
        <v>3347</v>
      </c>
      <c r="M460" s="15"/>
      <c r="N460" s="15"/>
      <c r="O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deseo_ser_santa.html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460" s="15" t="str">
        <f>_xlfn.TEXTBEFORE(_xlfn.TEXTAFTER(CantoralDB[[#This Row],[index.html]],"&gt;"),"&gt;")&amp;"&gt;"</f>
        <v>&lt;a href="canciones/luis_alfredo_diaz/deseo_ser_santa.html"&gt;</v>
      </c>
      <c r="Y460" s="1"/>
    </row>
    <row r="461" spans="1:25" hidden="1" x14ac:dyDescent="0.3">
      <c r="A461" s="1">
        <f>ROW(CantoralDB[[#This Row],[Título]])-1</f>
        <v>460</v>
      </c>
      <c r="B461" s="1" t="s">
        <v>3475</v>
      </c>
      <c r="C461" s="1"/>
      <c r="F461" s="1">
        <v>131</v>
      </c>
      <c r="I461" s="1"/>
      <c r="L461" s="15" t="s">
        <v>3476</v>
      </c>
      <c r="M461" s="15"/>
      <c r="N461" s="15"/>
      <c r="O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despertemos.html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461" s="15" t="str">
        <f>_xlfn.TEXTBEFORE(_xlfn.TEXTAFTER(CantoralDB[[#This Row],[index.html]],"&gt;"),"&gt;")&amp;"&gt;"</f>
        <v>&lt;a href="canciones/nuevas/despertemos.html"&gt;</v>
      </c>
      <c r="Y461" s="1"/>
    </row>
    <row r="462" spans="1:25" hidden="1" x14ac:dyDescent="0.3">
      <c r="A462" s="1">
        <f>ROW(CantoralDB[[#This Row],[Título]])-1</f>
        <v>461</v>
      </c>
      <c r="B462" s="1" t="s">
        <v>338</v>
      </c>
      <c r="C462" s="1" t="s">
        <v>1026</v>
      </c>
      <c r="D462" s="1" t="s">
        <v>1155</v>
      </c>
      <c r="H462" s="1" t="s">
        <v>1041</v>
      </c>
      <c r="I462" s="1" t="s">
        <v>612</v>
      </c>
      <c r="L462" s="15" t="s">
        <v>2201</v>
      </c>
      <c r="M462" s="15"/>
      <c r="N462" s="15"/>
      <c r="O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despierta_tu_que_duermes.html</v>
      </c>
      <c r="R462" s="1" t="s">
        <v>964</v>
      </c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462" s="15" t="str">
        <f>_xlfn.TEXTBEFORE(_xlfn.TEXTAFTER(CantoralDB[[#This Row],[index.html]],"&gt;"),"&gt;")&amp;"&gt;"</f>
        <v>&lt;a href="canciones/taize/despierta_tu_que_duermes.html"&gt;</v>
      </c>
      <c r="Y462" s="1"/>
    </row>
    <row r="463" spans="1:25" hidden="1" x14ac:dyDescent="0.3">
      <c r="A463" s="1">
        <f>ROW(CantoralDB[[#This Row],[Título]])-1</f>
        <v>462</v>
      </c>
      <c r="B463" s="1" t="s">
        <v>1247</v>
      </c>
      <c r="C463" s="1"/>
      <c r="E463" s="1" t="s">
        <v>1248</v>
      </c>
      <c r="I463" s="1"/>
      <c r="L463" s="15" t="s">
        <v>479</v>
      </c>
      <c r="M463" s="15"/>
      <c r="N463" s="15"/>
      <c r="O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despiertanos_levantanos.html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data-nold="81b"&gt;&lt;a href="canciones/carmelo_erdozain/despiertanos_levantanos.html"&gt;Despiértanos, levántanos&lt;/a&gt;&lt;/li&gt;</v>
      </c>
      <c r="U463" s="15" t="str">
        <f>_xlfn.TEXTBEFORE(_xlfn.TEXTAFTER(CantoralDB[[#This Row],[index.html]],"&gt;"),"&gt;")&amp;"&gt;"</f>
        <v>&lt;a href="canciones/carmelo_erdozain/despiertanos_levantanos.html"&gt;</v>
      </c>
      <c r="Y463" s="1"/>
    </row>
    <row r="464" spans="1:25" hidden="1" x14ac:dyDescent="0.3">
      <c r="A464" s="1">
        <f>ROW(CantoralDB[[#This Row],[Título]])-1</f>
        <v>463</v>
      </c>
      <c r="B464" s="1" t="s">
        <v>1936</v>
      </c>
      <c r="C464" s="1"/>
      <c r="I464" s="1" t="s">
        <v>612</v>
      </c>
      <c r="L464" s="15" t="s">
        <v>1804</v>
      </c>
      <c r="M464" s="15" t="s">
        <v>1952</v>
      </c>
      <c r="N464" s="15">
        <v>14</v>
      </c>
      <c r="O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despierto.html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href="canciones/ruah/despierto.html"&gt;Despierto&lt;/a&gt;&lt;/li&gt;</v>
      </c>
      <c r="U464" s="15" t="str">
        <f>_xlfn.TEXTBEFORE(_xlfn.TEXTAFTER(CantoralDB[[#This Row],[index.html]],"&gt;"),"&gt;")&amp;"&gt;"</f>
        <v>&lt;a href="canciones/ruah/despierto.html"&gt;</v>
      </c>
      <c r="Y464" s="1"/>
    </row>
    <row r="465" spans="1:25" hidden="1" x14ac:dyDescent="0.3">
      <c r="A465" s="1">
        <f>ROW(CantoralDB[[#This Row],[Título]])-1</f>
        <v>464</v>
      </c>
      <c r="B465" s="1" t="s">
        <v>3308</v>
      </c>
      <c r="C465" s="1"/>
      <c r="I465" s="1" t="s">
        <v>612</v>
      </c>
      <c r="L465" s="15" t="s">
        <v>481</v>
      </c>
      <c r="M465" s="15" t="s">
        <v>2105</v>
      </c>
      <c r="N465" s="15">
        <v>10</v>
      </c>
      <c r="O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despues_de_la_medianoche.html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465" s="15" t="str">
        <f>_xlfn.TEXTBEFORE(_xlfn.TEXTAFTER(CantoralDB[[#This Row],[index.html]],"&gt;"),"&gt;")&amp;"&gt;"</f>
        <v>&lt;a href="canciones/francisco_palazon/despues_de_la_medianoche.html"&gt;</v>
      </c>
      <c r="Y465" s="1"/>
    </row>
    <row r="466" spans="1:25" hidden="1" x14ac:dyDescent="0.3">
      <c r="A466" s="1">
        <f>ROW(CantoralDB[[#This Row],[Título]])-1</f>
        <v>465</v>
      </c>
      <c r="B466" s="1" t="s">
        <v>339</v>
      </c>
      <c r="C466" s="1" t="s">
        <v>1026</v>
      </c>
      <c r="D466" s="1" t="s">
        <v>1156</v>
      </c>
      <c r="H466" s="1" t="s">
        <v>1066</v>
      </c>
      <c r="I466" s="1" t="s">
        <v>612</v>
      </c>
      <c r="L466" s="15" t="s">
        <v>2201</v>
      </c>
      <c r="M466" s="15"/>
      <c r="N466" s="15"/>
      <c r="O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466" s="15" t="str">
        <f>_xlfn.TEXTBEFORE(_xlfn.TEXTAFTER(CantoralDB[[#This Row],[index.html]],"&gt;"),"&gt;")&amp;"&gt;"</f>
        <v>&lt;a href="canciones/taize/deus_deus_meus_(canon).html"&gt;</v>
      </c>
      <c r="Y466" s="1"/>
    </row>
    <row r="467" spans="1:25" hidden="1" x14ac:dyDescent="0.3">
      <c r="A467" s="1">
        <f>ROW(CantoralDB[[#This Row],[Título]])-1</f>
        <v>466</v>
      </c>
      <c r="B467" s="1" t="s">
        <v>3141</v>
      </c>
      <c r="C467" s="1"/>
      <c r="I467" s="1" t="s">
        <v>612</v>
      </c>
      <c r="L467" s="15" t="s">
        <v>481</v>
      </c>
      <c r="M467" s="15" t="s">
        <v>1974</v>
      </c>
      <c r="N467" s="15">
        <v>2</v>
      </c>
      <c r="O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dichoso_quien_se_acuerda_del_hermano.html</v>
      </c>
      <c r="R467" s="1" t="s">
        <v>3129</v>
      </c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467" s="15" t="str">
        <f>_xlfn.TEXTBEFORE(_xlfn.TEXTAFTER(CantoralDB[[#This Row],[index.html]],"&gt;"),"&gt;")&amp;"&gt;"</f>
        <v>&lt;a href="canciones/francisco_palazon/dichoso_quien_se_acuerda_del_hermano.html"&gt;</v>
      </c>
      <c r="Y467" s="1"/>
    </row>
    <row r="468" spans="1:25" x14ac:dyDescent="0.3">
      <c r="A468" s="1">
        <f>ROW(CantoralDB[[#This Row],[Título]])-1</f>
        <v>467</v>
      </c>
      <c r="B468" s="1" t="s">
        <v>886</v>
      </c>
      <c r="C468" s="1" t="s">
        <v>1025</v>
      </c>
      <c r="D468" s="1" t="s">
        <v>1127</v>
      </c>
      <c r="H468" s="1" t="s">
        <v>1032</v>
      </c>
      <c r="I468" s="1" t="s">
        <v>612</v>
      </c>
      <c r="L468" s="15" t="s">
        <v>1991</v>
      </c>
      <c r="M468" s="15"/>
      <c r="N468" s="15"/>
      <c r="O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468" s="1" t="s">
        <v>952</v>
      </c>
      <c r="S468" s="1" t="s">
        <v>310</v>
      </c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468" s="15" t="str">
        <f>_xlfn.TEXTBEFORE(_xlfn.TEXTAFTER(CantoralDB[[#This Row],[index.html]],"&gt;"),"&gt;")&amp;"&gt;"</f>
        <v>&lt;a href="canciones/taize/beati_voi_poveri.html"&gt;</v>
      </c>
      <c r="Y468" s="1"/>
    </row>
    <row r="469" spans="1:25" hidden="1" x14ac:dyDescent="0.3">
      <c r="A469" s="1">
        <f>ROW(CantoralDB[[#This Row],[Título]])-1</f>
        <v>468</v>
      </c>
      <c r="B469" s="1" t="s">
        <v>2089</v>
      </c>
      <c r="C469" s="1"/>
      <c r="I469" s="1"/>
      <c r="L469" s="15" t="s">
        <v>481</v>
      </c>
      <c r="M469" s="15" t="s">
        <v>2097</v>
      </c>
      <c r="N469" s="15">
        <v>3</v>
      </c>
      <c r="O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dichosos_los_que_mueren_en_el_señor.html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469" s="15" t="str">
        <f>_xlfn.TEXTBEFORE(_xlfn.TEXTAFTER(CantoralDB[[#This Row],[index.html]],"&gt;"),"&gt;")&amp;"&gt;"</f>
        <v>&lt;a href="canciones/francisco_palazon/dichosos_los_que_mueren_en_el_señor.html"&gt;</v>
      </c>
      <c r="Y469" s="1"/>
    </row>
    <row r="470" spans="1:25" hidden="1" x14ac:dyDescent="0.3">
      <c r="A470" s="1">
        <f>ROW(CantoralDB[[#This Row],[Título]])-1</f>
        <v>469</v>
      </c>
      <c r="B470" s="1" t="s">
        <v>340</v>
      </c>
      <c r="C470" s="1" t="s">
        <v>1026</v>
      </c>
      <c r="D470" s="1" t="s">
        <v>1157</v>
      </c>
      <c r="H470" s="1" t="s">
        <v>1041</v>
      </c>
      <c r="I470" s="1" t="s">
        <v>612</v>
      </c>
      <c r="L470" s="15" t="s">
        <v>2201</v>
      </c>
      <c r="M470" s="15"/>
      <c r="N470" s="15"/>
      <c r="O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470" s="15" t="str">
        <f>_xlfn.TEXTBEFORE(_xlfn.TEXTAFTER(CantoralDB[[#This Row],[index.html]],"&gt;"),"&gt;")&amp;"&gt;"</f>
        <v>&lt;a href="canciones/taize/dieu_ne_peut_que_donner.html"&gt;</v>
      </c>
      <c r="Y470" s="1"/>
    </row>
    <row r="471" spans="1:25" hidden="1" x14ac:dyDescent="0.3">
      <c r="A471" s="1">
        <f>ROW(CantoralDB[[#This Row],[Título]])-1</f>
        <v>470</v>
      </c>
      <c r="B471" s="1" t="s">
        <v>3626</v>
      </c>
      <c r="C471" s="1"/>
      <c r="F471" s="1">
        <v>294</v>
      </c>
      <c r="I471" s="1"/>
      <c r="L471" s="15" t="s">
        <v>3627</v>
      </c>
      <c r="M471" s="15"/>
      <c r="N471" s="15"/>
      <c r="O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digno_eres.html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471" s="15" t="str">
        <f>_xlfn.TEXTBEFORE(_xlfn.TEXTAFTER(CantoralDB[[#This Row],[index.html]],"&gt;"),"&gt;")&amp;"&gt;"</f>
        <v>&lt;a href="canciones/nuevas/digno_eres.html"&gt;</v>
      </c>
      <c r="Y471" s="1"/>
    </row>
    <row r="472" spans="1:25" hidden="1" x14ac:dyDescent="0.3">
      <c r="A472" s="1">
        <f>ROW(CantoralDB[[#This Row],[Título]])-1</f>
        <v>471</v>
      </c>
      <c r="B472" s="1" t="s">
        <v>3364</v>
      </c>
      <c r="C472" s="1"/>
      <c r="F472" s="1">
        <v>30</v>
      </c>
      <c r="I472" s="1"/>
      <c r="L472" s="15" t="s">
        <v>3365</v>
      </c>
      <c r="M472" s="15"/>
      <c r="N472" s="15"/>
      <c r="O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digo_que_jesus_el_nazareno.html</v>
      </c>
      <c r="R472" s="1"/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472" s="15" t="str">
        <f>_xlfn.TEXTBEFORE(_xlfn.TEXTAFTER(CantoralDB[[#This Row],[index.html]],"&gt;"),"&gt;")&amp;"&gt;"</f>
        <v>&lt;a href="canciones/nuevas/digo_que_jesus_el_nazareno.html"&gt;</v>
      </c>
      <c r="Y472" s="1"/>
    </row>
    <row r="473" spans="1:25" hidden="1" x14ac:dyDescent="0.3">
      <c r="A473" s="1">
        <f>ROW(CantoralDB[[#This Row],[Título]])-1</f>
        <v>472</v>
      </c>
      <c r="B473" s="1" t="s">
        <v>3085</v>
      </c>
      <c r="C473" s="15"/>
      <c r="I473" s="1" t="s">
        <v>612</v>
      </c>
      <c r="L473" s="15" t="s">
        <v>3103</v>
      </c>
      <c r="M473" s="15"/>
      <c r="N473" s="15"/>
      <c r="O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dijiste_si.html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 Anunciación y Luispo"&gt;&lt;a href="canciones/nuevas/dijiste_si.html"&gt;Dijiste sí&lt;/a&gt;&lt;/li&gt;</v>
      </c>
      <c r="U473" s="15" t="str">
        <f>_xlfn.TEXTBEFORE(_xlfn.TEXTAFTER(CantoralDB[[#This Row],[index.html]],"&gt;"),"&gt;")&amp;"&gt;"</f>
        <v>&lt;a href="canciones/nuevas/dijiste_si.html"&gt;</v>
      </c>
      <c r="Y473" s="1"/>
    </row>
    <row r="474" spans="1:25" hidden="1" x14ac:dyDescent="0.3">
      <c r="A474" s="1">
        <f>ROW(CantoralDB[[#This Row],[Título]])-1</f>
        <v>473</v>
      </c>
      <c r="B474" s="1" t="s">
        <v>176</v>
      </c>
      <c r="C474" s="1" t="s">
        <v>997</v>
      </c>
      <c r="D474" s="1" t="s">
        <v>697</v>
      </c>
      <c r="G474" s="1" t="s">
        <v>209</v>
      </c>
      <c r="H474" s="1" t="s">
        <v>473</v>
      </c>
      <c r="I474" s="1" t="s">
        <v>612</v>
      </c>
      <c r="L474" s="15" t="s">
        <v>577</v>
      </c>
      <c r="M474" s="15"/>
      <c r="N474" s="15"/>
      <c r="O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dime_como_ser_pan.html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474" s="15" t="str">
        <f>_xlfn.TEXTBEFORE(_xlfn.TEXTAFTER(CantoralDB[[#This Row],[index.html]],"&gt;"),"&gt;")&amp;"&gt;"</f>
        <v>&lt;a href="canciones/nsb/dime_como_ser_pan.html"&gt;</v>
      </c>
      <c r="Y474" s="1"/>
    </row>
    <row r="475" spans="1:25" hidden="1" x14ac:dyDescent="0.3">
      <c r="A475" s="1">
        <f>ROW(CantoralDB[[#This Row],[Título]])-1</f>
        <v>474</v>
      </c>
      <c r="B475" s="1" t="s">
        <v>552</v>
      </c>
      <c r="C475" s="1" t="s">
        <v>476</v>
      </c>
      <c r="D475" s="1" t="s">
        <v>1451</v>
      </c>
      <c r="E475" s="1">
        <v>86</v>
      </c>
      <c r="H475" s="1" t="s">
        <v>1039</v>
      </c>
      <c r="I475" s="1" t="s">
        <v>612</v>
      </c>
      <c r="L475" s="15" t="s">
        <v>2200</v>
      </c>
      <c r="M475" s="15"/>
      <c r="N475" s="15"/>
      <c r="O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dime_niño.html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475" s="15" t="str">
        <f>_xlfn.TEXTBEFORE(_xlfn.TEXTAFTER(CantoralDB[[#This Row],[index.html]],"&gt;"),"&gt;")&amp;"&gt;"</f>
        <v>&lt;a href="canciones/villancicos/dime_niño.html"&gt;</v>
      </c>
      <c r="Y475" s="1"/>
    </row>
    <row r="476" spans="1:25" hidden="1" x14ac:dyDescent="0.3">
      <c r="A476" s="1">
        <f>ROW(CantoralDB[[#This Row],[Título]])-1</f>
        <v>475</v>
      </c>
      <c r="B476" s="1" t="s">
        <v>2041</v>
      </c>
      <c r="C476" s="1"/>
      <c r="I476" s="1" t="s">
        <v>612</v>
      </c>
      <c r="L476" s="15" t="s">
        <v>261</v>
      </c>
      <c r="M476" s="15"/>
      <c r="N476" s="15"/>
      <c r="O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dime_padre.html</v>
      </c>
      <c r="R476" s="1"/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href="canciones/hakuna/dime_padre.html"&gt;Dime, Padre&lt;/a&gt;&lt;/li&gt;</v>
      </c>
      <c r="U476" s="15" t="str">
        <f>_xlfn.TEXTBEFORE(_xlfn.TEXTAFTER(CantoralDB[[#This Row],[index.html]],"&gt;"),"&gt;")&amp;"&gt;"</f>
        <v>&lt;a href="canciones/hakuna/dime_padre.html"&gt;</v>
      </c>
      <c r="Y476" s="1"/>
    </row>
    <row r="477" spans="1:25" hidden="1" x14ac:dyDescent="0.3">
      <c r="A477" s="1">
        <f>ROW(CantoralDB[[#This Row],[Título]])-1</f>
        <v>476</v>
      </c>
      <c r="B477" s="1" t="s">
        <v>1968</v>
      </c>
      <c r="C477" s="1"/>
      <c r="I477" s="1" t="s">
        <v>612</v>
      </c>
      <c r="L477" s="15" t="s">
        <v>1804</v>
      </c>
      <c r="M477" s="15" t="s">
        <v>1951</v>
      </c>
      <c r="N477" s="15">
        <v>12</v>
      </c>
      <c r="O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477" s="15" t="str">
        <f>_xlfn.TEXTBEFORE(_xlfn.TEXTAFTER(CantoralDB[[#This Row],[index.html]],"&gt;"),"&gt;")&amp;"&gt;"</f>
        <v>&lt;a href="canciones/ruah/dios_de_la_historia.html"&gt;</v>
      </c>
      <c r="Y477" s="1"/>
    </row>
    <row r="478" spans="1:25" hidden="1" x14ac:dyDescent="0.3">
      <c r="A478" s="1">
        <f>ROW(CantoralDB[[#This Row],[Título]])-1</f>
        <v>477</v>
      </c>
      <c r="B478" s="1" t="s">
        <v>1807</v>
      </c>
      <c r="C478" s="1"/>
      <c r="I478" s="1" t="s">
        <v>612</v>
      </c>
      <c r="L478" s="15" t="s">
        <v>501</v>
      </c>
      <c r="M478" s="15" t="s">
        <v>1548</v>
      </c>
      <c r="N478" s="15">
        <v>12</v>
      </c>
      <c r="O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dios_de_la_historia_bendice.html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478" s="15" t="str">
        <f>_xlfn.TEXTBEFORE(_xlfn.TEXTAFTER(CantoralDB[[#This Row],[index.html]],"&gt;"),"&gt;")&amp;"&gt;"</f>
        <v>&lt;a href="canciones/ain_karem/dios_de_la_historia_bendice.html"&gt;</v>
      </c>
      <c r="Y478" s="1"/>
    </row>
    <row r="479" spans="1:25" hidden="1" x14ac:dyDescent="0.3">
      <c r="A479" s="1">
        <f>ROW(CantoralDB[[#This Row],[Título]])-1</f>
        <v>478</v>
      </c>
      <c r="B479" s="1" t="s">
        <v>897</v>
      </c>
      <c r="C479" s="1"/>
      <c r="I479" s="1" t="s">
        <v>612</v>
      </c>
      <c r="L479" s="15" t="s">
        <v>484</v>
      </c>
      <c r="M479" s="15" t="s">
        <v>1540</v>
      </c>
      <c r="N479" s="15">
        <v>9</v>
      </c>
      <c r="O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dios_de_la_vida.html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479" s="15" t="str">
        <f>_xlfn.TEXTBEFORE(_xlfn.TEXTAFTER(CantoralDB[[#This Row],[index.html]],"&gt;"),"&gt;")&amp;"&gt;"</f>
        <v>&lt;a href="canciones/kairoi/dios_de_la_vida.html"&gt;</v>
      </c>
      <c r="Y479" s="1"/>
    </row>
    <row r="480" spans="1:25" x14ac:dyDescent="0.3">
      <c r="A480" s="1">
        <f>ROW(CantoralDB[[#This Row],[Título]])-1</f>
        <v>479</v>
      </c>
      <c r="B480" s="1" t="s">
        <v>897</v>
      </c>
      <c r="C480" s="1" t="s">
        <v>1025</v>
      </c>
      <c r="D480" s="1" t="s">
        <v>1138</v>
      </c>
      <c r="H480" s="1" t="s">
        <v>1046</v>
      </c>
      <c r="I480" s="1" t="s">
        <v>612</v>
      </c>
      <c r="L480" s="15" t="s">
        <v>1991</v>
      </c>
      <c r="M480" s="15"/>
      <c r="N480" s="15"/>
      <c r="O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480" s="1"/>
      <c r="S480" s="1" t="s">
        <v>330</v>
      </c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480" s="15" t="str">
        <f>_xlfn.TEXTBEFORE(_xlfn.TEXTAFTER(CantoralDB[[#This Row],[index.html]],"&gt;"),"&gt;")&amp;"&gt;"</f>
        <v>&lt;a href="canciones/taize/christe_salvator.html"&gt;</v>
      </c>
      <c r="Y480" s="1"/>
    </row>
    <row r="481" spans="1:25" hidden="1" x14ac:dyDescent="0.3">
      <c r="A481" s="1">
        <f>ROW(CantoralDB[[#This Row],[Título]])-1</f>
        <v>480</v>
      </c>
      <c r="B481" s="1" t="s">
        <v>1653</v>
      </c>
      <c r="C481" s="1"/>
      <c r="I481" s="1" t="s">
        <v>612</v>
      </c>
      <c r="L481" s="15" t="s">
        <v>484</v>
      </c>
      <c r="M481" s="15" t="s">
        <v>1530</v>
      </c>
      <c r="N481" s="15">
        <v>9</v>
      </c>
      <c r="O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dios_en_la_ciudad.html</v>
      </c>
      <c r="R481" s="1"/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481" s="15" t="str">
        <f>_xlfn.TEXTBEFORE(_xlfn.TEXTAFTER(CantoralDB[[#This Row],[index.html]],"&gt;"),"&gt;")&amp;"&gt;"</f>
        <v>&lt;a href="canciones/kairoi/dios_en_la_ciudad.html"&gt;</v>
      </c>
      <c r="Y481" s="1"/>
    </row>
    <row r="482" spans="1:25" hidden="1" x14ac:dyDescent="0.3">
      <c r="A482" s="1">
        <f>ROW(CantoralDB[[#This Row],[Título]])-1</f>
        <v>481</v>
      </c>
      <c r="B482" s="1" t="s">
        <v>177</v>
      </c>
      <c r="C482" s="1" t="s">
        <v>191</v>
      </c>
      <c r="D482" s="1" t="s">
        <v>736</v>
      </c>
      <c r="G482" s="1" t="s">
        <v>209</v>
      </c>
      <c r="H482" s="1" t="s">
        <v>532</v>
      </c>
      <c r="I482" s="1" t="s">
        <v>612</v>
      </c>
      <c r="L482" s="15" t="s">
        <v>483</v>
      </c>
      <c r="M482" s="15"/>
      <c r="N482" s="15"/>
      <c r="O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dios_es_amor.html</v>
      </c>
      <c r="R482" s="1" t="s">
        <v>824</v>
      </c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482" s="15" t="str">
        <f>_xlfn.TEXTBEFORE(_xlfn.TEXTAFTER(CantoralDB[[#This Row],[index.html]],"&gt;"),"&gt;")&amp;"&gt;"</f>
        <v>&lt;a href="canciones/cesareo_gabarain/dios_es_amor.html"&gt;</v>
      </c>
      <c r="Y482" s="1"/>
    </row>
    <row r="483" spans="1:25" hidden="1" x14ac:dyDescent="0.3">
      <c r="A483" s="1">
        <f>ROW(CantoralDB[[#This Row],[Título]])-1</f>
        <v>482</v>
      </c>
      <c r="B483" s="1" t="s">
        <v>44</v>
      </c>
      <c r="C483" s="1" t="s">
        <v>997</v>
      </c>
      <c r="D483" s="1" t="s">
        <v>699</v>
      </c>
      <c r="E483" s="1">
        <v>83</v>
      </c>
      <c r="G483" s="1" t="s">
        <v>209</v>
      </c>
      <c r="H483" s="1" t="s">
        <v>1043</v>
      </c>
      <c r="I483" s="1" t="s">
        <v>612</v>
      </c>
      <c r="L483" s="15" t="s">
        <v>2148</v>
      </c>
      <c r="M483" s="15"/>
      <c r="N483" s="15"/>
      <c r="O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dios_es_fiel.html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data-author="Taule" data-momento="Comunión" data-nnew="K22" data-nold="83"&gt;&lt;a href="canciones/nsb/dios_es_fiel.html"&gt;Dios es fiel&lt;/a&gt;&lt;/li&gt;</v>
      </c>
      <c r="U483" s="15" t="str">
        <f>_xlfn.TEXTBEFORE(_xlfn.TEXTAFTER(CantoralDB[[#This Row],[index.html]],"&gt;"),"&gt;")&amp;"&gt;"</f>
        <v>&lt;a href="canciones/nsb/dios_es_fiel.html"&gt;</v>
      </c>
      <c r="Y483" s="1"/>
    </row>
    <row r="484" spans="1:25" x14ac:dyDescent="0.3">
      <c r="A484" s="1">
        <f>ROW(CantoralDB[[#This Row],[Título]])-1</f>
        <v>483</v>
      </c>
      <c r="B484" s="1" t="s">
        <v>892</v>
      </c>
      <c r="C484" s="1" t="s">
        <v>1025</v>
      </c>
      <c r="D484" s="1" t="s">
        <v>1133</v>
      </c>
      <c r="H484" s="1" t="s">
        <v>1033</v>
      </c>
      <c r="I484" s="1" t="s">
        <v>612</v>
      </c>
      <c r="L484" s="15" t="s">
        <v>1991</v>
      </c>
      <c r="M484" s="15"/>
      <c r="N484" s="15"/>
      <c r="O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484" s="1"/>
      <c r="S484" s="1" t="s">
        <v>320</v>
      </c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484" s="15" t="str">
        <f>_xlfn.TEXTBEFORE(_xlfn.TEXTAFTER(CantoralDB[[#This Row],[index.html]],"&gt;"),"&gt;")&amp;"&gt;"</f>
        <v>&lt;a href="canciones/taize/bog_jest_miłością.html"&gt;</v>
      </c>
      <c r="Y484" s="1"/>
    </row>
    <row r="485" spans="1:25" hidden="1" x14ac:dyDescent="0.3">
      <c r="A485" s="1">
        <f>ROW(CantoralDB[[#This Row],[Título]])-1</f>
        <v>484</v>
      </c>
      <c r="B485" s="1" t="s">
        <v>45</v>
      </c>
      <c r="C485" s="1" t="s">
        <v>191</v>
      </c>
      <c r="D485" s="1" t="s">
        <v>737</v>
      </c>
      <c r="E485" s="1">
        <v>417</v>
      </c>
      <c r="F485" s="1">
        <v>338</v>
      </c>
      <c r="G485" s="1" t="s">
        <v>209</v>
      </c>
      <c r="H485" s="1" t="s">
        <v>532</v>
      </c>
      <c r="I485" s="1" t="s">
        <v>612</v>
      </c>
      <c r="L485" s="15" t="s">
        <v>502</v>
      </c>
      <c r="M485" s="15"/>
      <c r="N485" s="15"/>
      <c r="O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dios_esta_aqui.html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485" s="15" t="str">
        <f>_xlfn.TEXTBEFORE(_xlfn.TEXTAFTER(CantoralDB[[#This Row],[index.html]],"&gt;"),"&gt;")&amp;"&gt;"</f>
        <v>&lt;a href="canciones/nsb/dios_esta_aqui.html"&gt;</v>
      </c>
      <c r="Y485" s="1"/>
    </row>
    <row r="486" spans="1:25" hidden="1" x14ac:dyDescent="0.3">
      <c r="A486" s="1">
        <f>ROW(CantoralDB[[#This Row],[Título]])-1</f>
        <v>485</v>
      </c>
      <c r="B486" s="1" t="s">
        <v>1809</v>
      </c>
      <c r="C486" s="1"/>
      <c r="I486" s="1" t="s">
        <v>612</v>
      </c>
      <c r="L486" s="15" t="s">
        <v>501</v>
      </c>
      <c r="M486" s="15" t="s">
        <v>1549</v>
      </c>
      <c r="N486" s="15">
        <v>1</v>
      </c>
      <c r="O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dios_fiel.html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href="canciones/ain_karem/dios_fiel.html"&gt;Dios fiel&lt;/a&gt;&lt;/li&gt;</v>
      </c>
      <c r="U486" s="15" t="str">
        <f>_xlfn.TEXTBEFORE(_xlfn.TEXTAFTER(CantoralDB[[#This Row],[index.html]],"&gt;"),"&gt;")&amp;"&gt;"</f>
        <v>&lt;a href="canciones/ain_karem/dios_fiel.html"&gt;</v>
      </c>
      <c r="Y486" s="1"/>
    </row>
    <row r="487" spans="1:25" hidden="1" x14ac:dyDescent="0.3">
      <c r="A487" s="1">
        <f>ROW(CantoralDB[[#This Row],[Título]])-1</f>
        <v>486</v>
      </c>
      <c r="B487" s="1" t="s">
        <v>3681</v>
      </c>
      <c r="C487" s="1"/>
      <c r="F487" s="1">
        <v>347</v>
      </c>
      <c r="I487" s="1"/>
      <c r="L487" s="15" t="s">
        <v>799</v>
      </c>
      <c r="M487" s="15"/>
      <c r="N487" s="15"/>
      <c r="O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dios_me_ama_y_yo_le_amo.html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href="canciones/nuevas/dios_me_ama_y_yo_le_amo.html"&gt;Dios me ama y yo le amo&lt;/a&gt;&lt;/li&gt;</v>
      </c>
      <c r="U487" s="15" t="str">
        <f>_xlfn.TEXTBEFORE(_xlfn.TEXTAFTER(CantoralDB[[#This Row],[index.html]],"&gt;"),"&gt;")&amp;"&gt;"</f>
        <v>&lt;a href="canciones/nuevas/dios_me_ama_y_yo_le_amo.html"&gt;</v>
      </c>
      <c r="Y487" s="1"/>
    </row>
    <row r="488" spans="1:25" hidden="1" x14ac:dyDescent="0.3">
      <c r="A488" s="1">
        <f>ROW(CantoralDB[[#This Row],[Título]])-1</f>
        <v>487</v>
      </c>
      <c r="B488" s="1" t="s">
        <v>222</v>
      </c>
      <c r="C488" s="1" t="s">
        <v>191</v>
      </c>
      <c r="D488" s="1" t="s">
        <v>738</v>
      </c>
      <c r="G488" s="1" t="s">
        <v>216</v>
      </c>
      <c r="H488" s="1" t="s">
        <v>532</v>
      </c>
      <c r="I488" s="1" t="s">
        <v>612</v>
      </c>
      <c r="L488" s="15" t="s">
        <v>479</v>
      </c>
      <c r="M488" s="15"/>
      <c r="N488" s="15"/>
      <c r="O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dios_nos_convoca.html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488" s="15" t="str">
        <f>_xlfn.TEXTBEFORE(_xlfn.TEXTAFTER(CantoralDB[[#This Row],[index.html]],"&gt;"),"&gt;")&amp;"&gt;"</f>
        <v>&lt;a href="canciones/carmelo_erdozain/dios_nos_convoca.html"&gt;</v>
      </c>
      <c r="Y488" s="1"/>
    </row>
    <row r="489" spans="1:25" hidden="1" x14ac:dyDescent="0.3">
      <c r="A489" s="1">
        <f>ROW(CantoralDB[[#This Row],[Título]])-1</f>
        <v>488</v>
      </c>
      <c r="B489" s="1" t="s">
        <v>3491</v>
      </c>
      <c r="C489" s="1"/>
      <c r="F489" s="1">
        <v>148</v>
      </c>
      <c r="I489" s="1"/>
      <c r="L489" s="15" t="s">
        <v>3441</v>
      </c>
      <c r="M489" s="15"/>
      <c r="N489" s="15"/>
      <c r="O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dios_precisa_de_ti.html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489" s="15" t="str">
        <f>_xlfn.TEXTBEFORE(_xlfn.TEXTAFTER(CantoralDB[[#This Row],[index.html]],"&gt;"),"&gt;")&amp;"&gt;"</f>
        <v>&lt;a href="canciones/nuevas/dios_precisa_de_ti.html"&gt;</v>
      </c>
      <c r="Y489" s="1"/>
    </row>
    <row r="490" spans="1:25" hidden="1" x14ac:dyDescent="0.3">
      <c r="A490" s="1">
        <f>ROW(CantoralDB[[#This Row],[Título]])-1</f>
        <v>489</v>
      </c>
      <c r="B490" s="1" t="s">
        <v>3249</v>
      </c>
      <c r="C490" s="1"/>
      <c r="I490" s="1"/>
      <c r="L490" s="15" t="s">
        <v>3160</v>
      </c>
      <c r="M490" s="15" t="s">
        <v>3248</v>
      </c>
      <c r="N490" s="15">
        <v>2</v>
      </c>
      <c r="O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dios_te_consuela.html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href="canciones/hermana_glenda/dios_te_consuela.html"&gt;Dios te consuela&lt;/a&gt;&lt;/li&gt;</v>
      </c>
      <c r="U490" s="15" t="str">
        <f>_xlfn.TEXTBEFORE(_xlfn.TEXTAFTER(CantoralDB[[#This Row],[index.html]],"&gt;"),"&gt;")&amp;"&gt;"</f>
        <v>&lt;a href="canciones/hermana_glenda/dios_te_consuela.html"&gt;</v>
      </c>
      <c r="Y490" s="1"/>
    </row>
    <row r="491" spans="1:25" x14ac:dyDescent="0.3">
      <c r="A491" s="1">
        <f>ROW(CantoralDB[[#This Row],[Título]])-1</f>
        <v>490</v>
      </c>
      <c r="B491" s="1" t="s">
        <v>893</v>
      </c>
      <c r="C491" s="1" t="s">
        <v>1025</v>
      </c>
      <c r="D491" s="1" t="s">
        <v>1134</v>
      </c>
      <c r="H491" s="1" t="s">
        <v>1039</v>
      </c>
      <c r="I491" s="1" t="s">
        <v>612</v>
      </c>
      <c r="L491" s="15" t="s">
        <v>1991</v>
      </c>
      <c r="M491" s="15"/>
      <c r="N491" s="15"/>
      <c r="O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491" s="1"/>
      <c r="S491" s="1" t="s">
        <v>321</v>
      </c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491" s="15" t="str">
        <f>_xlfn.TEXTBEFORE(_xlfn.TEXTAFTER(CantoralDB[[#This Row],[index.html]],"&gt;"),"&gt;")&amp;"&gt;"</f>
        <v>&lt;a href="canciones/taize/bogoroditse_dievo_1.html"&gt;</v>
      </c>
      <c r="Y491" s="1"/>
    </row>
    <row r="492" spans="1:25" hidden="1" x14ac:dyDescent="0.3">
      <c r="A492" s="1">
        <f>ROW(CantoralDB[[#This Row],[Título]])-1</f>
        <v>491</v>
      </c>
      <c r="B492" s="1" t="s">
        <v>1249</v>
      </c>
      <c r="C492" s="1"/>
      <c r="E492" s="1">
        <v>82</v>
      </c>
      <c r="I492" s="1"/>
      <c r="L492" s="15" t="s">
        <v>479</v>
      </c>
      <c r="M492" s="15"/>
      <c r="N492" s="15"/>
      <c r="O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492" s="15" t="str">
        <f>_xlfn.TEXTBEFORE(_xlfn.TEXTAFTER(CantoralDB[[#This Row],[index.html]],"&gt;"),"&gt;")&amp;"&gt;"</f>
        <v>&lt;a href="canciones/carmelo_erdozain/dios_te_salve_maria.html"&gt;</v>
      </c>
      <c r="Y492" s="1"/>
    </row>
    <row r="493" spans="1:25" hidden="1" x14ac:dyDescent="0.3">
      <c r="A493" s="1">
        <f>ROW(CantoralDB[[#This Row],[Título]])-1</f>
        <v>492</v>
      </c>
      <c r="B493" s="1" t="s">
        <v>1251</v>
      </c>
      <c r="C493" s="1"/>
      <c r="E493" s="1">
        <v>87</v>
      </c>
      <c r="I493" s="1"/>
      <c r="L493" s="15" t="s">
        <v>479</v>
      </c>
      <c r="M493" s="15"/>
      <c r="N493" s="15"/>
      <c r="O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dios_te_salve_maria_llena_eres_de_gracia.html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493" s="15" t="str">
        <f>_xlfn.TEXTBEFORE(_xlfn.TEXTAFTER(CantoralDB[[#This Row],[index.html]],"&gt;"),"&gt;")&amp;"&gt;"</f>
        <v>&lt;a href="canciones/carmelo_erdozain/dios_te_salve_maria_llena_eres_de_gracia.html"&gt;</v>
      </c>
      <c r="Y493" s="1"/>
    </row>
    <row r="494" spans="1:25" hidden="1" x14ac:dyDescent="0.3">
      <c r="A494" s="1">
        <f>ROW(CantoralDB[[#This Row],[Título]])-1</f>
        <v>493</v>
      </c>
      <c r="B494" s="1" t="s">
        <v>1250</v>
      </c>
      <c r="C494" s="1"/>
      <c r="E494" s="1">
        <v>85</v>
      </c>
      <c r="I494" s="1"/>
      <c r="L494" s="15" t="s">
        <v>2149</v>
      </c>
      <c r="M494" s="15"/>
      <c r="N494" s="15"/>
      <c r="O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dios_te_salve_mi_señora.html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Vicente" data-nold="85"&gt;&lt;a href="canciones/nsb/dios_te_salve_mi_señora.html"&gt;Dios te salve, mi señora&lt;/a&gt;&lt;/li&gt;</v>
      </c>
      <c r="U494" s="15" t="str">
        <f>_xlfn.TEXTBEFORE(_xlfn.TEXTAFTER(CantoralDB[[#This Row],[index.html]],"&gt;"),"&gt;")&amp;"&gt;"</f>
        <v>&lt;a href="canciones/nsb/dios_te_salve_mi_señora.html"&gt;</v>
      </c>
      <c r="Y494" s="1"/>
    </row>
    <row r="495" spans="1:25" hidden="1" x14ac:dyDescent="0.3">
      <c r="A495" s="1">
        <f>ROW(CantoralDB[[#This Row],[Título]])-1</f>
        <v>494</v>
      </c>
      <c r="B495" s="1" t="s">
        <v>3636</v>
      </c>
      <c r="C495" s="1"/>
      <c r="F495" s="1">
        <v>302</v>
      </c>
      <c r="I495" s="1"/>
      <c r="L495" s="15" t="s">
        <v>3637</v>
      </c>
      <c r="M495" s="15"/>
      <c r="N495" s="15"/>
      <c r="O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dios_el_mas_grande.html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495" s="15" t="str">
        <f>_xlfn.TEXTBEFORE(_xlfn.TEXTAFTER(CantoralDB[[#This Row],[index.html]],"&gt;"),"&gt;")&amp;"&gt;"</f>
        <v>&lt;a href="canciones/nuevas/dios_el_mas_grande.html"&gt;</v>
      </c>
      <c r="Y495" s="1"/>
    </row>
    <row r="496" spans="1:25" x14ac:dyDescent="0.3">
      <c r="A496" s="1">
        <f>ROW(CantoralDB[[#This Row],[Título]])-1</f>
        <v>495</v>
      </c>
      <c r="B496" s="1" t="s">
        <v>912</v>
      </c>
      <c r="C496" s="1" t="s">
        <v>1025</v>
      </c>
      <c r="D496" s="1" t="s">
        <v>1158</v>
      </c>
      <c r="H496" s="1" t="s">
        <v>1039</v>
      </c>
      <c r="I496" s="1" t="s">
        <v>612</v>
      </c>
      <c r="L496" s="15" t="s">
        <v>1991</v>
      </c>
      <c r="M496" s="15"/>
      <c r="N496" s="15"/>
      <c r="O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496" s="1" t="s">
        <v>968</v>
      </c>
      <c r="S496" s="1" t="s">
        <v>276</v>
      </c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496" s="15" t="str">
        <f>_xlfn.TEXTBEFORE(_xlfn.TEXTAFTER(CantoralDB[[#This Row],[index.html]],"&gt;"),"&gt;")&amp;"&gt;"</f>
        <v>&lt;a href="canciones/taize/herre_visa_mig_vägen.html"&gt;</v>
      </c>
      <c r="Y496" s="1"/>
    </row>
    <row r="497" spans="1:25" x14ac:dyDescent="0.3">
      <c r="A497" s="1">
        <f>ROW(CantoralDB[[#This Row],[Título]])-1</f>
        <v>496</v>
      </c>
      <c r="B497" s="1" t="s">
        <v>905</v>
      </c>
      <c r="C497" s="1" t="s">
        <v>1025</v>
      </c>
      <c r="D497" s="1" t="s">
        <v>1157</v>
      </c>
      <c r="H497" s="1" t="s">
        <v>1041</v>
      </c>
      <c r="I497" s="1" t="s">
        <v>612</v>
      </c>
      <c r="L497" s="15" t="s">
        <v>1991</v>
      </c>
      <c r="M497" s="15"/>
      <c r="N497" s="15"/>
      <c r="O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97" s="1"/>
      <c r="S497" s="1" t="s">
        <v>340</v>
      </c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497" s="15" t="str">
        <f>_xlfn.TEXTBEFORE(_xlfn.TEXTAFTER(CantoralDB[[#This Row],[index.html]],"&gt;"),"&gt;")&amp;"&gt;"</f>
        <v>&lt;a href="canciones/taize/dieu_ne_peut_que_donner.html"&gt;</v>
      </c>
      <c r="Y497" s="1"/>
    </row>
    <row r="498" spans="1:25" hidden="1" x14ac:dyDescent="0.3">
      <c r="A498" s="1">
        <f>ROW(CantoralDB[[#This Row],[Título]])-1</f>
        <v>497</v>
      </c>
      <c r="B498" s="1" t="s">
        <v>3281</v>
      </c>
      <c r="C498" s="1"/>
      <c r="I498" s="1"/>
      <c r="L498" s="15" t="s">
        <v>3160</v>
      </c>
      <c r="M498" s="15" t="s">
        <v>891</v>
      </c>
      <c r="N498" s="15">
        <v>6</v>
      </c>
      <c r="O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dios_tu_eres_mi_dios.html</v>
      </c>
      <c r="R498" s="1" t="s">
        <v>3285</v>
      </c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href="canciones/hermana_glenda/dios_tu_eres_mi_dios.html"&gt;Dios, Tú eres mi Dios&lt;/a&gt;&lt;/li&gt;</v>
      </c>
      <c r="U498" s="15" t="str">
        <f>_xlfn.TEXTBEFORE(_xlfn.TEXTAFTER(CantoralDB[[#This Row],[index.html]],"&gt;"),"&gt;")&amp;"&gt;"</f>
        <v>&lt;a href="canciones/hermana_glenda/dios_tu_eres_mi_dios.html"&gt;</v>
      </c>
      <c r="Y498" s="1"/>
    </row>
    <row r="499" spans="1:25" hidden="1" x14ac:dyDescent="0.3">
      <c r="A499" s="1">
        <f>ROW(CantoralDB[[#This Row],[Título]])-1</f>
        <v>498</v>
      </c>
      <c r="B499" s="1" t="s">
        <v>3492</v>
      </c>
      <c r="C499" s="1"/>
      <c r="F499" s="1">
        <v>149</v>
      </c>
      <c r="I499" s="1"/>
      <c r="L499" s="15" t="s">
        <v>3493</v>
      </c>
      <c r="M499" s="15"/>
      <c r="N499" s="15"/>
      <c r="O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dios_tu_mi_dios.html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data-author="Cesar Nebot"&gt;&lt;a href="canciones/nuevas/dios_tu_mi_dios.html"&gt;Dios, tú, mi Dios&lt;/a&gt;&lt;/li&gt;</v>
      </c>
      <c r="U499" s="15" t="str">
        <f>_xlfn.TEXTBEFORE(_xlfn.TEXTAFTER(CantoralDB[[#This Row],[index.html]],"&gt;"),"&gt;")&amp;"&gt;"</f>
        <v>&lt;a href="canciones/nuevas/dios_tu_mi_dios.html"&gt;</v>
      </c>
      <c r="Y499" s="1"/>
    </row>
    <row r="500" spans="1:25" hidden="1" x14ac:dyDescent="0.3">
      <c r="A500" s="1">
        <f>ROW(CantoralDB[[#This Row],[Título]])-1</f>
        <v>499</v>
      </c>
      <c r="B500" s="1" t="s">
        <v>1668</v>
      </c>
      <c r="C500" s="1"/>
      <c r="I500" s="1" t="s">
        <v>612</v>
      </c>
      <c r="L500" s="15" t="s">
        <v>484</v>
      </c>
      <c r="M500" s="15" t="s">
        <v>1546</v>
      </c>
      <c r="N500" s="15">
        <v>5</v>
      </c>
      <c r="O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diremos_que_si.html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500" s="15" t="str">
        <f>_xlfn.TEXTBEFORE(_xlfn.TEXTAFTER(CantoralDB[[#This Row],[index.html]],"&gt;"),"&gt;")&amp;"&gt;"</f>
        <v>&lt;a href="canciones/kairoi/diremos_que_si.html"&gt;</v>
      </c>
      <c r="Y500" s="1"/>
    </row>
    <row r="501" spans="1:25" hidden="1" x14ac:dyDescent="0.3">
      <c r="A501" s="1">
        <f>ROW(CantoralDB[[#This Row],[Título]])-1</f>
        <v>500</v>
      </c>
      <c r="B501" s="1" t="s">
        <v>3304</v>
      </c>
      <c r="C501" s="1"/>
      <c r="I501" s="1"/>
      <c r="L501" s="15" t="s">
        <v>3160</v>
      </c>
      <c r="M501" s="15" t="s">
        <v>3299</v>
      </c>
      <c r="N501" s="15">
        <v>14</v>
      </c>
      <c r="O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href="canciones/hermana_glenda/discipulo.html"&gt;Discípulo&lt;/a&gt;&lt;/li&gt;</v>
      </c>
      <c r="U501" s="15" t="str">
        <f>_xlfn.TEXTBEFORE(_xlfn.TEXTAFTER(CantoralDB[[#This Row],[index.html]],"&gt;"),"&gt;")&amp;"&gt;"</f>
        <v>&lt;a href="canciones/hermana_glenda/discipulo.html"&gt;</v>
      </c>
      <c r="Y501" s="1"/>
    </row>
    <row r="502" spans="1:25" hidden="1" x14ac:dyDescent="0.3">
      <c r="A502" s="1">
        <f>ROW(CantoralDB[[#This Row],[Título]])-1</f>
        <v>501</v>
      </c>
      <c r="B502" s="1" t="s">
        <v>3210</v>
      </c>
      <c r="C502" s="1"/>
      <c r="I502" s="1"/>
      <c r="L502" s="15" t="s">
        <v>3160</v>
      </c>
      <c r="M502" s="15" t="s">
        <v>3190</v>
      </c>
      <c r="N502" s="15">
        <v>9</v>
      </c>
      <c r="O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discipulo_amado.html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href="canciones/hermana_glenda/discipulo_amado.html"&gt;Discípulo amado&lt;/a&gt;&lt;/li&gt;</v>
      </c>
      <c r="U502" s="15" t="str">
        <f>_xlfn.TEXTBEFORE(_xlfn.TEXTAFTER(CantoralDB[[#This Row],[index.html]],"&gt;"),"&gt;")&amp;"&gt;"</f>
        <v>&lt;a href="canciones/hermana_glenda/discipulo_amado.html"&gt;</v>
      </c>
      <c r="Y502" s="1"/>
    </row>
    <row r="503" spans="1:25" hidden="1" x14ac:dyDescent="0.3">
      <c r="A503" s="1">
        <f>ROW(CantoralDB[[#This Row],[Título]])-1</f>
        <v>502</v>
      </c>
      <c r="B503" s="1" t="s">
        <v>1888</v>
      </c>
      <c r="C503" s="1"/>
      <c r="I503" s="1" t="s">
        <v>612</v>
      </c>
      <c r="L503" s="15" t="s">
        <v>501</v>
      </c>
      <c r="M503" s="15" t="s">
        <v>1554</v>
      </c>
      <c r="N503" s="15">
        <v>12</v>
      </c>
      <c r="O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discipulos.html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href="canciones/ain_karem/discipulos.html"&gt;Discípulos&lt;/a&gt;&lt;/li&gt;</v>
      </c>
      <c r="U503" s="15" t="str">
        <f>_xlfn.TEXTBEFORE(_xlfn.TEXTAFTER(CantoralDB[[#This Row],[index.html]],"&gt;"),"&gt;")&amp;"&gt;"</f>
        <v>&lt;a href="canciones/ain_karem/discipulos.html"&gt;</v>
      </c>
      <c r="Y503" s="1"/>
    </row>
    <row r="504" spans="1:25" hidden="1" x14ac:dyDescent="0.3">
      <c r="A504" s="1">
        <f>ROW(CantoralDB[[#This Row],[Título]])-1</f>
        <v>503</v>
      </c>
      <c r="B504" s="1" t="s">
        <v>46</v>
      </c>
      <c r="C504" s="1" t="s">
        <v>997</v>
      </c>
      <c r="D504" s="1" t="s">
        <v>700</v>
      </c>
      <c r="E504" s="1">
        <v>77</v>
      </c>
      <c r="G504" s="1" t="s">
        <v>209</v>
      </c>
      <c r="H504" s="1" t="s">
        <v>1045</v>
      </c>
      <c r="I504" s="1" t="s">
        <v>612</v>
      </c>
      <c r="L504" s="15" t="s">
        <v>491</v>
      </c>
      <c r="M504" s="15"/>
      <c r="N504" s="15"/>
      <c r="O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dolorosa.html</v>
      </c>
      <c r="R504" s="1" t="s">
        <v>825</v>
      </c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504" s="15" t="str">
        <f>_xlfn.TEXTBEFORE(_xlfn.TEXTAFTER(CantoralDB[[#This Row],[index.html]],"&gt;"),"&gt;")&amp;"&gt;"</f>
        <v>&lt;a href="canciones/juan_antonio_espinosa/dolorosa.html"&gt;</v>
      </c>
      <c r="Y504" s="1"/>
    </row>
    <row r="505" spans="1:25" hidden="1" x14ac:dyDescent="0.3">
      <c r="A505" s="1">
        <f>ROW(CantoralDB[[#This Row],[Título]])-1</f>
        <v>504</v>
      </c>
      <c r="B505" s="1" t="s">
        <v>342</v>
      </c>
      <c r="C505" s="1" t="s">
        <v>1026</v>
      </c>
      <c r="D505" s="1" t="s">
        <v>1142</v>
      </c>
      <c r="H505" s="1" t="s">
        <v>1044</v>
      </c>
      <c r="I505" s="1" t="s">
        <v>612</v>
      </c>
      <c r="L505" s="15" t="s">
        <v>2201</v>
      </c>
      <c r="M505" s="15"/>
      <c r="N505" s="15"/>
      <c r="O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505" s="15" t="str">
        <f>_xlfn.TEXTBEFORE(_xlfn.TEXTAFTER(CantoralDB[[#This Row],[index.html]],"&gt;"),"&gt;")&amp;"&gt;"</f>
        <v>&lt;a href="canciones/taize/dominus_spiritus_est.html"&gt;</v>
      </c>
      <c r="Y505" s="1"/>
    </row>
    <row r="506" spans="1:25" hidden="1" x14ac:dyDescent="0.3">
      <c r="A506" s="1">
        <f>ROW(CantoralDB[[#This Row],[Título]])-1</f>
        <v>505</v>
      </c>
      <c r="B506" s="1" t="s">
        <v>343</v>
      </c>
      <c r="C506" s="1" t="s">
        <v>1026</v>
      </c>
      <c r="D506" s="1" t="s">
        <v>1150</v>
      </c>
      <c r="H506" s="1" t="s">
        <v>1055</v>
      </c>
      <c r="I506" s="1" t="s">
        <v>612</v>
      </c>
      <c r="L506" s="15" t="s">
        <v>2201</v>
      </c>
      <c r="M506" s="15"/>
      <c r="N506" s="15"/>
      <c r="O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506" s="15" t="str">
        <f>_xlfn.TEXTBEFORE(_xlfn.TEXTAFTER(CantoralDB[[#This Row],[index.html]],"&gt;"),"&gt;")&amp;"&gt;"</f>
        <v>&lt;a href="canciones/taize/dona_la_pace.html"&gt;</v>
      </c>
      <c r="Y506" s="1"/>
    </row>
    <row r="507" spans="1:25" hidden="1" x14ac:dyDescent="0.3">
      <c r="A507" s="1">
        <f>ROW(CantoralDB[[#This Row],[Título]])-1</f>
        <v>506</v>
      </c>
      <c r="B507" s="1" t="s">
        <v>344</v>
      </c>
      <c r="C507" s="1" t="s">
        <v>1026</v>
      </c>
      <c r="D507" s="1" t="s">
        <v>1149</v>
      </c>
      <c r="H507" s="1" t="s">
        <v>1055</v>
      </c>
      <c r="I507" s="1" t="s">
        <v>612</v>
      </c>
      <c r="L507" s="15" t="s">
        <v>2201</v>
      </c>
      <c r="M507" s="15"/>
      <c r="N507" s="15"/>
      <c r="O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507" s="15" t="str">
        <f>_xlfn.TEXTBEFORE(_xlfn.TEXTAFTER(CantoralDB[[#This Row],[index.html]],"&gt;"),"&gt;")&amp;"&gt;"</f>
        <v>&lt;a href="canciones/taize/dona_nobis_pacem.html"&gt;</v>
      </c>
      <c r="Y507" s="1"/>
    </row>
    <row r="508" spans="1:25" hidden="1" x14ac:dyDescent="0.3">
      <c r="A508" s="1">
        <f>ROW(CantoralDB[[#This Row],[Título]])-1</f>
        <v>507</v>
      </c>
      <c r="B508" s="1" t="s">
        <v>1928</v>
      </c>
      <c r="C508" s="1"/>
      <c r="I508" s="1" t="s">
        <v>612</v>
      </c>
      <c r="L508" s="15" t="s">
        <v>1804</v>
      </c>
      <c r="M508" s="15" t="s">
        <v>1952</v>
      </c>
      <c r="N508" s="15">
        <v>3</v>
      </c>
      <c r="O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href="canciones/ruah/donde.html"&gt;Dónde&lt;/a&gt;&lt;/li&gt;</v>
      </c>
      <c r="U508" s="15" t="str">
        <f>_xlfn.TEXTBEFORE(_xlfn.TEXTAFTER(CantoralDB[[#This Row],[index.html]],"&gt;"),"&gt;")&amp;"&gt;"</f>
        <v>&lt;a href="canciones/ruah/donde.html"&gt;</v>
      </c>
      <c r="Y508" s="1"/>
    </row>
    <row r="509" spans="1:25" x14ac:dyDescent="0.3">
      <c r="A509" s="1">
        <f>ROW(CantoralDB[[#This Row],[Título]])-1</f>
        <v>508</v>
      </c>
      <c r="B509" s="1" t="s">
        <v>946</v>
      </c>
      <c r="C509" s="1" t="s">
        <v>1025</v>
      </c>
      <c r="D509" s="1" t="s">
        <v>1159</v>
      </c>
      <c r="E509" s="1">
        <v>466</v>
      </c>
      <c r="H509" s="1" t="s">
        <v>1073</v>
      </c>
      <c r="I509" s="1" t="s">
        <v>612</v>
      </c>
      <c r="L509" s="15" t="s">
        <v>1991</v>
      </c>
      <c r="M509" s="15"/>
      <c r="N509" s="15"/>
      <c r="O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509" s="1"/>
      <c r="S509" s="1" t="s">
        <v>456</v>
      </c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509" s="15" t="str">
        <f>_xlfn.TEXTBEFORE(_xlfn.TEXTAFTER(CantoralDB[[#This Row],[index.html]],"&gt;"),"&gt;")&amp;"&gt;"</f>
        <v>&lt;a href="canciones/taize/ubi_caritas.html"&gt;</v>
      </c>
      <c r="Y509" s="1"/>
    </row>
    <row r="510" spans="1:25" hidden="1" x14ac:dyDescent="0.3">
      <c r="A510" s="1">
        <f>ROW(CantoralDB[[#This Row],[Título]])-1</f>
        <v>509</v>
      </c>
      <c r="B510" s="1" t="s">
        <v>1244</v>
      </c>
      <c r="C510" s="1"/>
      <c r="E510" s="1">
        <v>78</v>
      </c>
      <c r="I510" s="1"/>
      <c r="L510" s="15" t="s">
        <v>510</v>
      </c>
      <c r="M510" s="15"/>
      <c r="N510" s="15"/>
      <c r="O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donde_hay_amor_alli_esta_dios.html</v>
      </c>
      <c r="R510" s="1"/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510" s="15" t="str">
        <f>_xlfn.TEXTBEFORE(_xlfn.TEXTAFTER(CantoralDB[[#This Row],[index.html]],"&gt;"),"&gt;")&amp;"&gt;"</f>
        <v>&lt;a href="canciones/ricardo_cantalapiedra/donde_hay_amor_alli_esta_dios.html"&gt;</v>
      </c>
      <c r="Y510" s="1"/>
    </row>
    <row r="511" spans="1:25" hidden="1" x14ac:dyDescent="0.3">
      <c r="A511" s="1">
        <f>ROW(CantoralDB[[#This Row],[Título]])-1</f>
        <v>510</v>
      </c>
      <c r="B511" s="1" t="s">
        <v>47</v>
      </c>
      <c r="C511" s="1" t="s">
        <v>195</v>
      </c>
      <c r="D511" s="1" t="s">
        <v>1452</v>
      </c>
      <c r="E511" s="1">
        <v>84</v>
      </c>
      <c r="G511" s="1" t="s">
        <v>209</v>
      </c>
      <c r="H511" s="1" t="s">
        <v>1046</v>
      </c>
      <c r="I511" s="1" t="s">
        <v>612</v>
      </c>
      <c r="L511" s="15" t="s">
        <v>485</v>
      </c>
      <c r="M511" s="15"/>
      <c r="N511" s="15"/>
      <c r="O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donde_hay_caridad_y_amor.html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511" s="15" t="str">
        <f>_xlfn.TEXTBEFORE(_xlfn.TEXTAFTER(CantoralDB[[#This Row],[index.html]],"&gt;"),"&gt;")&amp;"&gt;"</f>
        <v>&lt;a href="canciones/joaquin_madurga/donde_hay_caridad_y_amor.html"&gt;</v>
      </c>
      <c r="Y511" s="1"/>
    </row>
    <row r="512" spans="1:25" hidden="1" x14ac:dyDescent="0.3">
      <c r="A512" s="1">
        <f>ROW(CantoralDB[[#This Row],[Título]])-1</f>
        <v>511</v>
      </c>
      <c r="B512" s="1" t="s">
        <v>1638</v>
      </c>
      <c r="C512" s="1"/>
      <c r="I512" s="1"/>
      <c r="L512" s="15" t="s">
        <v>484</v>
      </c>
      <c r="M512" s="15" t="s">
        <v>1527</v>
      </c>
      <c r="N512" s="15">
        <v>5</v>
      </c>
      <c r="O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donde_haya_un_niño.html</v>
      </c>
      <c r="R512" s="1"/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512" s="15" t="str">
        <f>_xlfn.TEXTBEFORE(_xlfn.TEXTAFTER(CantoralDB[[#This Row],[index.html]],"&gt;"),"&gt;")&amp;"&gt;"</f>
        <v>&lt;a href="canciones/kairoi/donde_haya_un_niño.html"&gt;</v>
      </c>
      <c r="Y512" s="1"/>
    </row>
    <row r="513" spans="1:25" hidden="1" x14ac:dyDescent="0.3">
      <c r="A513" s="1">
        <f>ROW(CantoralDB[[#This Row],[Título]])-1</f>
        <v>512</v>
      </c>
      <c r="B513" s="1" t="s">
        <v>1243</v>
      </c>
      <c r="C513" s="1"/>
      <c r="E513" s="1">
        <v>76</v>
      </c>
      <c r="I513" s="1"/>
      <c r="L513" s="15" t="s">
        <v>510</v>
      </c>
      <c r="M513" s="15"/>
      <c r="N513" s="15"/>
      <c r="O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donde_tu_dices_ley.html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513" s="15" t="str">
        <f>_xlfn.TEXTBEFORE(_xlfn.TEXTAFTER(CantoralDB[[#This Row],[index.html]],"&gt;"),"&gt;")&amp;"&gt;"</f>
        <v>&lt;a href="canciones/ricardo_cantalapiedra/donde_tu_dices_ley.html"&gt;</v>
      </c>
      <c r="Y513" s="1"/>
    </row>
    <row r="514" spans="1:25" hidden="1" x14ac:dyDescent="0.3">
      <c r="A514" s="1">
        <f>ROW(CantoralDB[[#This Row],[Título]])-1</f>
        <v>513</v>
      </c>
      <c r="B514" s="1" t="s">
        <v>3218</v>
      </c>
      <c r="C514" s="1"/>
      <c r="I514" s="1"/>
      <c r="L514" s="15" t="s">
        <v>3160</v>
      </c>
      <c r="M514" s="15" t="s">
        <v>3191</v>
      </c>
      <c r="N514" s="15">
        <v>6</v>
      </c>
      <c r="O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donde_vives.html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href="canciones/hermana_glenda/donde_vives.html"&gt;Dónde vives&lt;/a&gt;&lt;/li&gt;</v>
      </c>
      <c r="U514" s="15" t="str">
        <f>_xlfn.TEXTBEFORE(_xlfn.TEXTAFTER(CantoralDB[[#This Row],[index.html]],"&gt;"),"&gt;")&amp;"&gt;"</f>
        <v>&lt;a href="canciones/hermana_glenda/donde_vives.html"&gt;</v>
      </c>
      <c r="Y514" s="1"/>
    </row>
    <row r="515" spans="1:25" hidden="1" x14ac:dyDescent="0.3">
      <c r="A515" s="1">
        <f>ROW(CantoralDB[[#This Row],[Título]])-1</f>
        <v>514</v>
      </c>
      <c r="B515" s="1" t="s">
        <v>3511</v>
      </c>
      <c r="C515" s="1"/>
      <c r="F515" s="1">
        <v>165</v>
      </c>
      <c r="I515" s="1"/>
      <c r="L515" s="15" t="s">
        <v>543</v>
      </c>
      <c r="M515" s="15"/>
      <c r="N515" s="15"/>
      <c r="O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dos_mil_años_de_luz.html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515" s="15" t="str">
        <f>_xlfn.TEXTBEFORE(_xlfn.TEXTAFTER(CantoralDB[[#This Row],[index.html]],"&gt;"),"&gt;")&amp;"&gt;"</f>
        <v>&lt;a href="canciones/josep_asuncion/dos_mil_años_de_luz.html"&gt;</v>
      </c>
      <c r="Y515" s="1"/>
    </row>
    <row r="516" spans="1:25" hidden="1" x14ac:dyDescent="0.3">
      <c r="A516" s="1">
        <f>ROW(CantoralDB[[#This Row],[Título]])-1</f>
        <v>515</v>
      </c>
      <c r="B516" s="1" t="s">
        <v>2122</v>
      </c>
      <c r="C516" s="1"/>
      <c r="I516" s="1" t="s">
        <v>612</v>
      </c>
      <c r="L516" s="15" t="s">
        <v>481</v>
      </c>
      <c r="M516" s="15" t="s">
        <v>2105</v>
      </c>
      <c r="N516" s="15">
        <v>7</v>
      </c>
      <c r="O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dos_señores.html</v>
      </c>
      <c r="R516" s="1"/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516" s="15" t="str">
        <f>_xlfn.TEXTBEFORE(_xlfn.TEXTAFTER(CantoralDB[[#This Row],[index.html]],"&gt;"),"&gt;")&amp;"&gt;"</f>
        <v>&lt;a href="canciones/francisco_palazon/dos_señores.html"&gt;</v>
      </c>
      <c r="Y516" s="1"/>
    </row>
    <row r="517" spans="1:25" hidden="1" x14ac:dyDescent="0.3">
      <c r="A517" s="1">
        <f>ROW(CantoralDB[[#This Row],[Título]])-1</f>
        <v>516</v>
      </c>
      <c r="B517" s="1" t="s">
        <v>600</v>
      </c>
      <c r="C517" s="1" t="s">
        <v>200</v>
      </c>
      <c r="D517" s="1" t="s">
        <v>1453</v>
      </c>
      <c r="G517" s="1" t="s">
        <v>599</v>
      </c>
      <c r="H517" s="1" t="s">
        <v>1041</v>
      </c>
      <c r="I517" s="1" t="s">
        <v>612</v>
      </c>
      <c r="L517" s="15" t="s">
        <v>799</v>
      </c>
      <c r="M517" s="15"/>
      <c r="N517" s="15"/>
      <c r="O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dulce_muchacha_humilde_de_palestina.html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517" s="15" t="str">
        <f>_xlfn.TEXTBEFORE(_xlfn.TEXTAFTER(CantoralDB[[#This Row],[index.html]],"&gt;"),"&gt;")&amp;"&gt;"</f>
        <v>&lt;a href="canciones/nsb/dulce_muchacha_humilde_de_palestina.html"&gt;</v>
      </c>
      <c r="Y517" s="1"/>
    </row>
    <row r="518" spans="1:25" hidden="1" x14ac:dyDescent="0.3">
      <c r="A518" s="1">
        <f>ROW(CantoralDB[[#This Row],[Título]])-1</f>
        <v>517</v>
      </c>
      <c r="B518" s="1" t="s">
        <v>345</v>
      </c>
      <c r="C518" s="1" t="s">
        <v>1026</v>
      </c>
      <c r="D518" s="1" t="s">
        <v>1140</v>
      </c>
      <c r="H518" s="1" t="s">
        <v>1076</v>
      </c>
      <c r="I518" s="1" t="s">
        <v>612</v>
      </c>
      <c r="L518" s="15" t="s">
        <v>2201</v>
      </c>
      <c r="M518" s="15"/>
      <c r="N518" s="15"/>
      <c r="O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518" s="15" t="str">
        <f>_xlfn.TEXTBEFORE(_xlfn.TEXTAFTER(CantoralDB[[#This Row],[index.html]],"&gt;"),"&gt;")&amp;"&gt;"</f>
        <v>&lt;a href="canciones/taize/eat_this_bread.html"&gt;</v>
      </c>
      <c r="Y518" s="1"/>
    </row>
    <row r="519" spans="1:25" hidden="1" x14ac:dyDescent="0.3">
      <c r="A519" s="1">
        <f>ROW(CantoralDB[[#This Row],[Título]])-1</f>
        <v>518</v>
      </c>
      <c r="B519" s="1" t="s">
        <v>2026</v>
      </c>
      <c r="C519" s="1"/>
      <c r="I519" s="1" t="s">
        <v>612</v>
      </c>
      <c r="L519" s="15" t="s">
        <v>261</v>
      </c>
      <c r="M519" s="15"/>
      <c r="N519" s="15"/>
      <c r="O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el_abrazo.html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href="canciones/hakuna/el_abrazo.html"&gt;El abrazo&lt;/a&gt;&lt;/li&gt;</v>
      </c>
      <c r="U519" s="15" t="str">
        <f>_xlfn.TEXTBEFORE(_xlfn.TEXTAFTER(CantoralDB[[#This Row],[index.html]],"&gt;"),"&gt;")&amp;"&gt;"</f>
        <v>&lt;a href="canciones/hakuna/el_abrazo.html"&gt;</v>
      </c>
      <c r="Y519" s="1"/>
    </row>
    <row r="520" spans="1:25" hidden="1" x14ac:dyDescent="0.3">
      <c r="A520" s="1">
        <f>ROW(CantoralDB[[#This Row],[Título]])-1</f>
        <v>519</v>
      </c>
      <c r="B520" s="1" t="s">
        <v>1582</v>
      </c>
      <c r="C520" s="1"/>
      <c r="F520" s="1">
        <v>22</v>
      </c>
      <c r="I520" s="1" t="s">
        <v>612</v>
      </c>
      <c r="L520" s="15" t="s">
        <v>484</v>
      </c>
      <c r="M520" s="15" t="s">
        <v>1525</v>
      </c>
      <c r="N520" s="15">
        <v>11</v>
      </c>
      <c r="O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el_agua_del_señor.html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520" s="15" t="str">
        <f>_xlfn.TEXTBEFORE(_xlfn.TEXTAFTER(CantoralDB[[#This Row],[index.html]],"&gt;"),"&gt;")&amp;"&gt;"</f>
        <v>&lt;a href="canciones/kairoi/el_agua_del_señor.html"&gt;</v>
      </c>
      <c r="Y520" s="1"/>
    </row>
    <row r="521" spans="1:25" hidden="1" x14ac:dyDescent="0.3">
      <c r="A521" s="1">
        <f>ROW(CantoralDB[[#This Row],[Título]])-1</f>
        <v>520</v>
      </c>
      <c r="B521" s="1" t="s">
        <v>3320</v>
      </c>
      <c r="C521" s="1"/>
      <c r="I521" s="1" t="s">
        <v>612</v>
      </c>
      <c r="L521" s="15" t="s">
        <v>499</v>
      </c>
      <c r="M521" s="15" t="s">
        <v>3316</v>
      </c>
      <c r="N521" s="15">
        <v>4</v>
      </c>
      <c r="O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el_agua_viva.html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521" s="15" t="str">
        <f>_xlfn.TEXTBEFORE(_xlfn.TEXTAFTER(CantoralDB[[#This Row],[index.html]],"&gt;"),"&gt;")&amp;"&gt;"</f>
        <v>&lt;a href="canciones/brotes_de_olivo/el_agua_viva.html"&gt;</v>
      </c>
      <c r="Y521" s="1"/>
    </row>
    <row r="522" spans="1:25" hidden="1" x14ac:dyDescent="0.3">
      <c r="A522" s="1">
        <f>ROW(CantoralDB[[#This Row],[Título]])-1</f>
        <v>521</v>
      </c>
      <c r="B522" s="1" t="s">
        <v>3800</v>
      </c>
      <c r="C522" s="1"/>
      <c r="F522" s="1">
        <v>446</v>
      </c>
      <c r="I522" s="1"/>
      <c r="L522" s="15" t="s">
        <v>594</v>
      </c>
      <c r="M522" s="15"/>
      <c r="N522" s="15"/>
      <c r="O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el_alfa_y_la_omega.html</v>
      </c>
      <c r="R522" s="1"/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522" s="15" t="str">
        <f>_xlfn.TEXTBEFORE(_xlfn.TEXTAFTER(CantoralDB[[#This Row],[index.html]],"&gt;"),"&gt;")&amp;"&gt;"</f>
        <v>&lt;a href="canciones/alejandro_ruiz/el_alfa_y_la_omega.html"&gt;</v>
      </c>
      <c r="Y522" s="1"/>
    </row>
    <row r="523" spans="1:25" hidden="1" x14ac:dyDescent="0.3">
      <c r="A523" s="1">
        <f>ROW(CantoralDB[[#This Row],[Título]])-1</f>
        <v>522</v>
      </c>
      <c r="B523" s="1" t="s">
        <v>346</v>
      </c>
      <c r="C523" s="1" t="s">
        <v>1026</v>
      </c>
      <c r="D523" s="1" t="s">
        <v>1160</v>
      </c>
      <c r="H523" s="1" t="s">
        <v>1079</v>
      </c>
      <c r="I523" s="1" t="s">
        <v>612</v>
      </c>
      <c r="L523" s="15" t="s">
        <v>2201</v>
      </c>
      <c r="M523" s="15"/>
      <c r="N523" s="15"/>
      <c r="O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el_alma_que_anda_en_amor.html</v>
      </c>
      <c r="R523" s="1" t="s">
        <v>802</v>
      </c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523" s="15" t="str">
        <f>_xlfn.TEXTBEFORE(_xlfn.TEXTAFTER(CantoralDB[[#This Row],[index.html]],"&gt;"),"&gt;")&amp;"&gt;"</f>
        <v>&lt;a href="canciones/taize/el_alma_que_anda_en_amor.html"&gt;</v>
      </c>
      <c r="Y523" s="1"/>
    </row>
    <row r="524" spans="1:25" hidden="1" x14ac:dyDescent="0.3">
      <c r="A524" s="1">
        <f>ROW(CantoralDB[[#This Row],[Título]])-1</f>
        <v>523</v>
      </c>
      <c r="B524" s="1" t="s">
        <v>1976</v>
      </c>
      <c r="C524" s="1"/>
      <c r="I524" s="1" t="s">
        <v>612</v>
      </c>
      <c r="L524" s="15" t="s">
        <v>481</v>
      </c>
      <c r="M524" s="15" t="s">
        <v>1976</v>
      </c>
      <c r="N524" s="15">
        <v>1</v>
      </c>
      <c r="O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el_alzar_de_mis_manos.html</v>
      </c>
      <c r="R524" s="1" t="s">
        <v>3150</v>
      </c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524" s="15" t="str">
        <f>_xlfn.TEXTBEFORE(_xlfn.TEXTAFTER(CantoralDB[[#This Row],[index.html]],"&gt;"),"&gt;")&amp;"&gt;"</f>
        <v>&lt;a href="canciones/francisco_palazon/el_alzar_de_mis_manos.html"&gt;</v>
      </c>
      <c r="Y524" s="1"/>
    </row>
    <row r="525" spans="1:25" hidden="1" x14ac:dyDescent="0.3">
      <c r="A525" s="1">
        <f>ROW(CantoralDB[[#This Row],[Título]])-1</f>
        <v>524</v>
      </c>
      <c r="B525" s="1" t="s">
        <v>1852</v>
      </c>
      <c r="C525" s="1"/>
      <c r="I525" s="1" t="s">
        <v>612</v>
      </c>
      <c r="L525" s="15" t="s">
        <v>501</v>
      </c>
      <c r="M525" s="15" t="s">
        <v>1552</v>
      </c>
      <c r="N525" s="15">
        <v>11</v>
      </c>
      <c r="O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href="canciones/ain_karem/el_amor.html"&gt;El amor&lt;/a&gt;&lt;/li&gt;</v>
      </c>
      <c r="U525" s="15" t="str">
        <f>_xlfn.TEXTBEFORE(_xlfn.TEXTAFTER(CantoralDB[[#This Row],[index.html]],"&gt;"),"&gt;")&amp;"&gt;"</f>
        <v>&lt;a href="canciones/ain_karem/el_amor.html"&gt;</v>
      </c>
      <c r="Y525" s="1"/>
    </row>
    <row r="526" spans="1:25" hidden="1" x14ac:dyDescent="0.3">
      <c r="A526" s="1">
        <f>ROW(CantoralDB[[#This Row],[Título]])-1</f>
        <v>525</v>
      </c>
      <c r="B526" s="1" t="s">
        <v>3530</v>
      </c>
      <c r="C526" s="1"/>
      <c r="F526" s="1">
        <v>183</v>
      </c>
      <c r="I526" s="1"/>
      <c r="L526" s="15" t="s">
        <v>799</v>
      </c>
      <c r="M526" s="15"/>
      <c r="N526" s="15"/>
      <c r="O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el_amor_de_dios_ha_sido_derramado.html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526" s="15" t="str">
        <f>_xlfn.TEXTBEFORE(_xlfn.TEXTAFTER(CantoralDB[[#This Row],[index.html]],"&gt;"),"&gt;")&amp;"&gt;"</f>
        <v>&lt;a href="canciones/nuevas/el_amor_de_dios_ha_sido_derramado.html"&gt;</v>
      </c>
      <c r="Y526" s="1"/>
    </row>
    <row r="527" spans="1:25" hidden="1" x14ac:dyDescent="0.3">
      <c r="A527" s="1">
        <f>ROW(CantoralDB[[#This Row],[Título]])-1</f>
        <v>526</v>
      </c>
      <c r="B527" s="1" t="s">
        <v>3616</v>
      </c>
      <c r="C527" s="1"/>
      <c r="F527" s="1">
        <v>281</v>
      </c>
      <c r="I527" s="1"/>
      <c r="L527" s="15" t="s">
        <v>799</v>
      </c>
      <c r="M527" s="15"/>
      <c r="N527" s="15"/>
      <c r="O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el_amor_del_señor.html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href="canciones/nuevas/el_amor_del_señor.html"&gt;El amor del Señor&lt;/a&gt;&lt;/li&gt;</v>
      </c>
      <c r="U527" s="15" t="str">
        <f>_xlfn.TEXTBEFORE(_xlfn.TEXTAFTER(CantoralDB[[#This Row],[index.html]],"&gt;"),"&gt;")&amp;"&gt;"</f>
        <v>&lt;a href="canciones/nuevas/el_amor_del_señor.html"&gt;</v>
      </c>
      <c r="Y527" s="1"/>
    </row>
    <row r="528" spans="1:25" hidden="1" x14ac:dyDescent="0.3">
      <c r="A528" s="1">
        <f>ROW(CantoralDB[[#This Row],[Título]])-1</f>
        <v>527</v>
      </c>
      <c r="B528" s="1" t="s">
        <v>48</v>
      </c>
      <c r="C528" s="1" t="s">
        <v>997</v>
      </c>
      <c r="D528" s="1" t="s">
        <v>701</v>
      </c>
      <c r="E528" s="1">
        <v>418</v>
      </c>
      <c r="G528" s="1" t="s">
        <v>209</v>
      </c>
      <c r="H528" s="1" t="s">
        <v>1034</v>
      </c>
      <c r="I528" s="1" t="s">
        <v>612</v>
      </c>
      <c r="L528" s="15" t="s">
        <v>484</v>
      </c>
      <c r="M528" s="15" t="s">
        <v>1528</v>
      </c>
      <c r="N528" s="15">
        <v>5</v>
      </c>
      <c r="O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el_amor_es_nuestro_canto.html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528" s="15" t="str">
        <f>_xlfn.TEXTBEFORE(_xlfn.TEXTAFTER(CantoralDB[[#This Row],[index.html]],"&gt;"),"&gt;")&amp;"&gt;"</f>
        <v>&lt;a href="canciones/kairoi/el_amor_es_nuestro_canto.html"&gt;</v>
      </c>
      <c r="Y528" s="1"/>
    </row>
    <row r="529" spans="1:25" hidden="1" x14ac:dyDescent="0.3">
      <c r="A529" s="1">
        <f>ROW(CantoralDB[[#This Row],[Título]])-1</f>
        <v>528</v>
      </c>
      <c r="B529" s="1" t="s">
        <v>1958</v>
      </c>
      <c r="C529" s="1"/>
      <c r="I529" s="1" t="s">
        <v>612</v>
      </c>
      <c r="L529" s="15" t="s">
        <v>501</v>
      </c>
      <c r="M529" s="15" t="s">
        <v>1547</v>
      </c>
      <c r="N529" s="15">
        <v>9</v>
      </c>
      <c r="O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el_amor_no_dice_basta.html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529" s="15" t="str">
        <f>_xlfn.TEXTBEFORE(_xlfn.TEXTAFTER(CantoralDB[[#This Row],[index.html]],"&gt;"),"&gt;")&amp;"&gt;"</f>
        <v>&lt;a href="canciones/ain_karem/el_amor_no_dice_basta.html"&gt;</v>
      </c>
      <c r="Y529" s="1"/>
    </row>
    <row r="530" spans="1:25" hidden="1" x14ac:dyDescent="0.3">
      <c r="A530" s="1">
        <f>ROW(CantoralDB[[#This Row],[Título]])-1</f>
        <v>529</v>
      </c>
      <c r="B530" s="1" t="s">
        <v>2047</v>
      </c>
      <c r="C530" s="1"/>
      <c r="I530" s="1"/>
      <c r="L530" s="15" t="s">
        <v>261</v>
      </c>
      <c r="M530" s="15"/>
      <c r="N530" s="15"/>
      <c r="O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el_arte_de_vivir.html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530" s="15" t="str">
        <f>_xlfn.TEXTBEFORE(_xlfn.TEXTAFTER(CantoralDB[[#This Row],[index.html]],"&gt;"),"&gt;")&amp;"&gt;"</f>
        <v>&lt;a href="canciones/hakuna/el_arte_de_vivir.html"&gt;</v>
      </c>
      <c r="Y530" s="1"/>
    </row>
    <row r="531" spans="1:25" hidden="1" x14ac:dyDescent="0.3">
      <c r="A531" s="1">
        <f>ROW(CantoralDB[[#This Row],[Título]])-1</f>
        <v>530</v>
      </c>
      <c r="B531" s="1" t="s">
        <v>3195</v>
      </c>
      <c r="C531" s="1"/>
      <c r="I531" s="1"/>
      <c r="L531" s="15" t="s">
        <v>3160</v>
      </c>
      <c r="M531" s="15" t="s">
        <v>3192</v>
      </c>
      <c r="N531" s="15">
        <v>3</v>
      </c>
      <c r="O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el_aspirar_del_aire.html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href="canciones/hermana_glenda/el_aspirar_del_aire.html"&gt;El aspirar del aire&lt;/a&gt;&lt;/li&gt;</v>
      </c>
      <c r="U531" s="15" t="str">
        <f>_xlfn.TEXTBEFORE(_xlfn.TEXTAFTER(CantoralDB[[#This Row],[index.html]],"&gt;"),"&gt;")&amp;"&gt;"</f>
        <v>&lt;a href="canciones/hermana_glenda/el_aspirar_del_aire.html"&gt;</v>
      </c>
      <c r="Y531" s="1"/>
    </row>
    <row r="532" spans="1:25" hidden="1" x14ac:dyDescent="0.3">
      <c r="A532" s="1">
        <f>ROW(CantoralDB[[#This Row],[Título]])-1</f>
        <v>531</v>
      </c>
      <c r="B532" s="1" t="s">
        <v>1256</v>
      </c>
      <c r="C532" s="1"/>
      <c r="E532" s="1">
        <v>93</v>
      </c>
      <c r="I532" s="1" t="s">
        <v>612</v>
      </c>
      <c r="L532" s="15" t="s">
        <v>481</v>
      </c>
      <c r="M532" s="15" t="s">
        <v>1974</v>
      </c>
      <c r="N532" s="15">
        <v>8</v>
      </c>
      <c r="O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32" s="1" t="s">
        <v>3135</v>
      </c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532" s="15" t="str">
        <f>_xlfn.TEXTBEFORE(_xlfn.TEXTAFTER(CantoralDB[[#This Row],[index.html]],"&gt;"),"&gt;")&amp;"&gt;"</f>
        <v>&lt;a href="canciones/francisco_palazon/el_auxilio_me_viene_del_señor.html"&gt;</v>
      </c>
      <c r="Y532" s="1"/>
    </row>
    <row r="533" spans="1:25" hidden="1" x14ac:dyDescent="0.3">
      <c r="A533" s="1">
        <f>ROW(CantoralDB[[#This Row],[Título]])-1</f>
        <v>532</v>
      </c>
      <c r="B533" s="1" t="s">
        <v>1256</v>
      </c>
      <c r="C533" s="1"/>
      <c r="F533" s="1">
        <v>249</v>
      </c>
      <c r="I533" s="1"/>
      <c r="L533" s="15" t="s">
        <v>3160</v>
      </c>
      <c r="M533" s="15" t="s">
        <v>53</v>
      </c>
      <c r="N533" s="15">
        <v>11</v>
      </c>
      <c r="O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33" s="1" t="s">
        <v>3244</v>
      </c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533" s="15" t="str">
        <f>_xlfn.TEXTBEFORE(_xlfn.TEXTAFTER(CantoralDB[[#This Row],[index.html]],"&gt;"),"&gt;")&amp;"&gt;"</f>
        <v>&lt;a href="canciones/hermana_glenda/el_auxilio_me_viene_del_señor.html"&gt;</v>
      </c>
      <c r="Y533" s="1"/>
    </row>
    <row r="534" spans="1:25" hidden="1" x14ac:dyDescent="0.3">
      <c r="A534" s="1">
        <f>ROW(CantoralDB[[#This Row],[Título]])-1</f>
        <v>533</v>
      </c>
      <c r="B534" s="1" t="s">
        <v>1704</v>
      </c>
      <c r="C534" s="1"/>
      <c r="I534" s="1"/>
      <c r="L534" s="15" t="s">
        <v>484</v>
      </c>
      <c r="M534" s="15" t="s">
        <v>1578</v>
      </c>
      <c r="N534" s="15">
        <v>11</v>
      </c>
      <c r="O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el_bar_del_bosnio.html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534" s="15" t="str">
        <f>_xlfn.TEXTBEFORE(_xlfn.TEXTAFTER(CantoralDB[[#This Row],[index.html]],"&gt;"),"&gt;")&amp;"&gt;"</f>
        <v>&lt;a href="canciones/kairoi/el_bar_del_bosnio.html"&gt;</v>
      </c>
      <c r="Y534" s="1"/>
    </row>
    <row r="535" spans="1:25" hidden="1" x14ac:dyDescent="0.3">
      <c r="A535" s="1">
        <f>ROW(CantoralDB[[#This Row],[Título]])-1</f>
        <v>534</v>
      </c>
      <c r="B535" s="1" t="s">
        <v>1908</v>
      </c>
      <c r="C535" s="1"/>
      <c r="I535" s="1"/>
      <c r="L535" s="15" t="s">
        <v>1804</v>
      </c>
      <c r="M535" s="15" t="s">
        <v>1950</v>
      </c>
      <c r="N535" s="15">
        <v>4</v>
      </c>
      <c r="O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el_boleto.html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href="canciones/ruah/el_boleto.html"&gt;El boleto&lt;/a&gt;&lt;/li&gt;</v>
      </c>
      <c r="U535" s="15" t="str">
        <f>_xlfn.TEXTBEFORE(_xlfn.TEXTAFTER(CantoralDB[[#This Row],[index.html]],"&gt;"),"&gt;")&amp;"&gt;"</f>
        <v>&lt;a href="canciones/ruah/el_boleto.html"&gt;</v>
      </c>
      <c r="Y535" s="1"/>
    </row>
    <row r="536" spans="1:25" hidden="1" x14ac:dyDescent="0.3">
      <c r="A536" s="1">
        <f>ROW(CantoralDB[[#This Row],[Título]])-1</f>
        <v>535</v>
      </c>
      <c r="B536" s="1" t="s">
        <v>1701</v>
      </c>
      <c r="C536" s="1"/>
      <c r="I536" s="1"/>
      <c r="L536" s="15" t="s">
        <v>484</v>
      </c>
      <c r="M536" s="15" t="s">
        <v>1578</v>
      </c>
      <c r="N536" s="15">
        <v>8</v>
      </c>
      <c r="O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el_brujo_mugandino.html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536" s="15" t="str">
        <f>_xlfn.TEXTBEFORE(_xlfn.TEXTAFTER(CantoralDB[[#This Row],[index.html]],"&gt;"),"&gt;")&amp;"&gt;"</f>
        <v>&lt;a href="canciones/kairoi/el_brujo_mugandino.html"&gt;</v>
      </c>
      <c r="Y536" s="1"/>
    </row>
    <row r="537" spans="1:25" hidden="1" x14ac:dyDescent="0.3">
      <c r="A537" s="1">
        <f>ROW(CantoralDB[[#This Row],[Título]])-1</f>
        <v>536</v>
      </c>
      <c r="B537" s="1" t="s">
        <v>3324</v>
      </c>
      <c r="C537" s="1"/>
      <c r="I537" s="1" t="s">
        <v>612</v>
      </c>
      <c r="L537" s="15" t="s">
        <v>499</v>
      </c>
      <c r="M537" s="15" t="s">
        <v>3316</v>
      </c>
      <c r="N537" s="15">
        <v>8</v>
      </c>
      <c r="O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el_buen_pastor.html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537" s="15" t="str">
        <f>_xlfn.TEXTBEFORE(_xlfn.TEXTAFTER(CantoralDB[[#This Row],[index.html]],"&gt;"),"&gt;")&amp;"&gt;"</f>
        <v>&lt;a href="canciones/brotes_de_olivo/el_buen_pastor.html"&gt;</v>
      </c>
      <c r="Y537" s="1"/>
    </row>
    <row r="538" spans="1:25" hidden="1" x14ac:dyDescent="0.3">
      <c r="A538" s="1">
        <f>ROW(CantoralDB[[#This Row],[Título]])-1</f>
        <v>537</v>
      </c>
      <c r="B538" s="1" t="s">
        <v>516</v>
      </c>
      <c r="C538" s="1" t="s">
        <v>201</v>
      </c>
      <c r="D538" s="1" t="s">
        <v>654</v>
      </c>
      <c r="G538" s="1" t="s">
        <v>209</v>
      </c>
      <c r="H538" s="1" t="s">
        <v>533</v>
      </c>
      <c r="I538" s="1" t="s">
        <v>612</v>
      </c>
      <c r="L538" s="15" t="s">
        <v>481</v>
      </c>
      <c r="M538" s="15" t="s">
        <v>1976</v>
      </c>
      <c r="N538" s="15">
        <v>5</v>
      </c>
      <c r="O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el_caliz_que_bendecimos.html</v>
      </c>
      <c r="R538" s="1" t="s">
        <v>826</v>
      </c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538" s="15" t="str">
        <f>_xlfn.TEXTBEFORE(_xlfn.TEXTAFTER(CantoralDB[[#This Row],[index.html]],"&gt;"),"&gt;")&amp;"&gt;"</f>
        <v>&lt;a href="canciones/francisco_palazon/el_caliz_que_bendecimos.html"&gt;</v>
      </c>
      <c r="Y538" s="1"/>
    </row>
    <row r="539" spans="1:25" hidden="1" x14ac:dyDescent="0.3">
      <c r="A539" s="1">
        <f>ROW(CantoralDB[[#This Row],[Título]])-1</f>
        <v>538</v>
      </c>
      <c r="B539" s="1" t="s">
        <v>49</v>
      </c>
      <c r="C539" s="1" t="s">
        <v>997</v>
      </c>
      <c r="D539" s="1" t="s">
        <v>702</v>
      </c>
      <c r="E539" s="1">
        <v>419</v>
      </c>
      <c r="G539" s="1" t="s">
        <v>209</v>
      </c>
      <c r="H539" s="1" t="s">
        <v>1034</v>
      </c>
      <c r="I539" s="1" t="s">
        <v>612</v>
      </c>
      <c r="L539" s="15" t="s">
        <v>499</v>
      </c>
      <c r="M539" s="15"/>
      <c r="N539" s="15"/>
      <c r="O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el_calor_de_tu_palabra.html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539" s="15" t="str">
        <f>_xlfn.TEXTBEFORE(_xlfn.TEXTAFTER(CantoralDB[[#This Row],[index.html]],"&gt;"),"&gt;")&amp;"&gt;"</f>
        <v>&lt;a href="canciones/brotes_de_olivo/el_calor_de_tu_palabra.html"&gt;</v>
      </c>
      <c r="Y539" s="1"/>
    </row>
    <row r="540" spans="1:25" hidden="1" x14ac:dyDescent="0.3">
      <c r="A540" s="1">
        <f>ROW(CantoralDB[[#This Row],[Título]])-1</f>
        <v>539</v>
      </c>
      <c r="B540" s="1" t="s">
        <v>787</v>
      </c>
      <c r="C540" s="1" t="s">
        <v>997</v>
      </c>
      <c r="D540" s="1" t="s">
        <v>703</v>
      </c>
      <c r="G540" s="1" t="s">
        <v>209</v>
      </c>
      <c r="H540" s="1" t="s">
        <v>1039</v>
      </c>
      <c r="I540" s="1" t="s">
        <v>612</v>
      </c>
      <c r="L540" s="15" t="s">
        <v>630</v>
      </c>
      <c r="M540" s="15"/>
      <c r="N540" s="15"/>
      <c r="O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el_camino_no_lo_haremos_solos.html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540" s="15" t="str">
        <f>_xlfn.TEXTBEFORE(_xlfn.TEXTAFTER(CantoralDB[[#This Row],[index.html]],"&gt;"),"&gt;")&amp;"&gt;"</f>
        <v>&lt;a href="canciones/nsb/el_camino_no_lo_haremos_solos.html"&gt;</v>
      </c>
      <c r="Y540" s="1"/>
    </row>
    <row r="541" spans="1:25" hidden="1" x14ac:dyDescent="0.3">
      <c r="A541" s="1">
        <f>ROW(CantoralDB[[#This Row],[Título]])-1</f>
        <v>540</v>
      </c>
      <c r="B541" s="1" t="s">
        <v>2036</v>
      </c>
      <c r="C541" s="1"/>
      <c r="I541" s="1" t="s">
        <v>612</v>
      </c>
      <c r="L541" s="15" t="s">
        <v>261</v>
      </c>
      <c r="M541" s="15"/>
      <c r="N541" s="15"/>
      <c r="O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el_cielo_aguarda.html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541" s="15" t="str">
        <f>_xlfn.TEXTBEFORE(_xlfn.TEXTAFTER(CantoralDB[[#This Row],[index.html]],"&gt;"),"&gt;")&amp;"&gt;"</f>
        <v>&lt;a href="canciones/hakuna/el_cielo_aguarda.html"&gt;</v>
      </c>
      <c r="Y541" s="1"/>
    </row>
    <row r="542" spans="1:25" hidden="1" x14ac:dyDescent="0.3">
      <c r="A542" s="1">
        <f>ROW(CantoralDB[[#This Row],[Título]])-1</f>
        <v>541</v>
      </c>
      <c r="B542" s="1" t="s">
        <v>3144</v>
      </c>
      <c r="C542" s="1"/>
      <c r="I542" s="1" t="s">
        <v>612</v>
      </c>
      <c r="L542" s="15" t="s">
        <v>481</v>
      </c>
      <c r="M542" s="15" t="s">
        <v>1974</v>
      </c>
      <c r="N542" s="15">
        <v>5</v>
      </c>
      <c r="O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el_cielo_proclama_la_gloria_de_dios.html</v>
      </c>
      <c r="R542" s="1" t="s">
        <v>3132</v>
      </c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542" s="15" t="str">
        <f>_xlfn.TEXTBEFORE(_xlfn.TEXTAFTER(CantoralDB[[#This Row],[index.html]],"&gt;"),"&gt;")&amp;"&gt;"</f>
        <v>&lt;a href="canciones/francisco_palazon/el_cielo_proclama_la_gloria_de_dios.html"&gt;</v>
      </c>
      <c r="Y542" s="1"/>
    </row>
    <row r="543" spans="1:25" hidden="1" x14ac:dyDescent="0.3">
      <c r="A543" s="1">
        <f>ROW(CantoralDB[[#This Row],[Título]])-1</f>
        <v>542</v>
      </c>
      <c r="B543" s="1" t="s">
        <v>3177</v>
      </c>
      <c r="C543" s="1"/>
      <c r="I543" s="1"/>
      <c r="L543" s="15" t="s">
        <v>3160</v>
      </c>
      <c r="M543" s="15" t="s">
        <v>3175</v>
      </c>
      <c r="N543" s="15">
        <v>3</v>
      </c>
      <c r="O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el_cuerpo_de_cristo.html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href="canciones/hermana_glenda/el_cuerpo_de_cristo.html"&gt;El cuerpo de Cristo&lt;/a&gt;&lt;/li&gt;</v>
      </c>
      <c r="U543" s="15" t="str">
        <f>_xlfn.TEXTBEFORE(_xlfn.TEXTAFTER(CantoralDB[[#This Row],[index.html]],"&gt;"),"&gt;")&amp;"&gt;"</f>
        <v>&lt;a href="canciones/hermana_glenda/el_cuerpo_de_cristo.html"&gt;</v>
      </c>
      <c r="Y543" s="1"/>
    </row>
    <row r="544" spans="1:25" hidden="1" x14ac:dyDescent="0.3">
      <c r="A544" s="1">
        <f>ROW(CantoralDB[[#This Row],[Título]])-1</f>
        <v>543</v>
      </c>
      <c r="B544" s="1" t="s">
        <v>3486</v>
      </c>
      <c r="C544" s="1"/>
      <c r="F544" s="1">
        <v>143</v>
      </c>
      <c r="I544" s="1"/>
      <c r="L544" s="15" t="s">
        <v>799</v>
      </c>
      <c r="M544" s="15"/>
      <c r="N544" s="15"/>
      <c r="O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el_diario_de_maria.html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href="canciones/nuevas/el_diario_de_maria.html"&gt;El diario de María&lt;/a&gt;&lt;/li&gt;</v>
      </c>
      <c r="U544" s="15" t="str">
        <f>_xlfn.TEXTBEFORE(_xlfn.TEXTAFTER(CantoralDB[[#This Row],[index.html]],"&gt;"),"&gt;")&amp;"&gt;"</f>
        <v>&lt;a href="canciones/nuevas/el_diario_de_maria.html"&gt;</v>
      </c>
      <c r="Y544" s="1"/>
    </row>
    <row r="545" spans="1:25" hidden="1" x14ac:dyDescent="0.3">
      <c r="A545" s="1">
        <f>ROW(CantoralDB[[#This Row],[Título]])-1</f>
        <v>544</v>
      </c>
      <c r="B545" s="1" t="s">
        <v>1660</v>
      </c>
      <c r="C545" s="1"/>
      <c r="I545" s="1"/>
      <c r="L545" s="15" t="s">
        <v>484</v>
      </c>
      <c r="M545" s="15" t="s">
        <v>1531</v>
      </c>
      <c r="N545" s="15">
        <v>5</v>
      </c>
      <c r="O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el_dinosaurio.html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href="canciones/kairoi/el_dinosaurio.html"&gt;El dinosaurio&lt;/a&gt;&lt;/li&gt;</v>
      </c>
      <c r="U545" s="15" t="str">
        <f>_xlfn.TEXTBEFORE(_xlfn.TEXTAFTER(CantoralDB[[#This Row],[index.html]],"&gt;"),"&gt;")&amp;"&gt;"</f>
        <v>&lt;a href="canciones/kairoi/el_dinosaurio.html"&gt;</v>
      </c>
      <c r="Y545" s="1"/>
    </row>
    <row r="546" spans="1:25" hidden="1" x14ac:dyDescent="0.3">
      <c r="A546" s="1">
        <f>ROW(CantoralDB[[#This Row],[Título]])-1</f>
        <v>545</v>
      </c>
      <c r="B546" s="1" t="s">
        <v>1693</v>
      </c>
      <c r="C546" s="1"/>
      <c r="I546" s="1" t="s">
        <v>612</v>
      </c>
      <c r="L546" s="15" t="s">
        <v>484</v>
      </c>
      <c r="M546" s="15" t="s">
        <v>1535</v>
      </c>
      <c r="N546" s="15">
        <v>11</v>
      </c>
      <c r="O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el_don_de_la_fraternidad.html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546" s="15" t="str">
        <f>_xlfn.TEXTBEFORE(_xlfn.TEXTAFTER(CantoralDB[[#This Row],[index.html]],"&gt;"),"&gt;")&amp;"&gt;"</f>
        <v>&lt;a href="canciones/kairoi/el_don_de_la_fraternidad.html"&gt;</v>
      </c>
      <c r="Y546" s="1"/>
    </row>
    <row r="547" spans="1:25" hidden="1" x14ac:dyDescent="0.3">
      <c r="A547" s="1">
        <f>ROW(CantoralDB[[#This Row],[Título]])-1</f>
        <v>546</v>
      </c>
      <c r="B547" s="1" t="s">
        <v>178</v>
      </c>
      <c r="C547" s="1" t="s">
        <v>219</v>
      </c>
      <c r="D547" s="1" t="s">
        <v>1454</v>
      </c>
      <c r="G547" s="1" t="s">
        <v>209</v>
      </c>
      <c r="H547" s="1" t="s">
        <v>532</v>
      </c>
      <c r="I547" s="1" t="s">
        <v>612</v>
      </c>
      <c r="L547" s="15" t="s">
        <v>482</v>
      </c>
      <c r="M547" s="15" t="s">
        <v>1900</v>
      </c>
      <c r="N547" s="15">
        <v>3</v>
      </c>
      <c r="O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el_espiritu_de_dios_(33_el_musical).html</v>
      </c>
      <c r="R547" s="1" t="s">
        <v>827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547" s="15" t="str">
        <f>_xlfn.TEXTBEFORE(_xlfn.TEXTAFTER(CantoralDB[[#This Row],[index.html]],"&gt;"),"&gt;")&amp;"&gt;"</f>
        <v>&lt;a href="canciones/toño_casado/el_espiritu_de_dios_(33_el_musical).html"&gt;</v>
      </c>
      <c r="Y547" s="1"/>
    </row>
    <row r="548" spans="1:25" hidden="1" x14ac:dyDescent="0.3">
      <c r="A548" s="1">
        <f>ROW(CantoralDB[[#This Row],[Título]])-1</f>
        <v>547</v>
      </c>
      <c r="B548" s="1" t="s">
        <v>3540</v>
      </c>
      <c r="C548" s="1"/>
      <c r="F548" s="1">
        <v>194</v>
      </c>
      <c r="I548" s="1"/>
      <c r="L548" s="15" t="s">
        <v>799</v>
      </c>
      <c r="M548" s="15"/>
      <c r="N548" s="15"/>
      <c r="O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el_espiritu_de_dios_esta_en_este_lugar.html</v>
      </c>
      <c r="R548" s="1"/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548" s="15" t="str">
        <f>_xlfn.TEXTBEFORE(_xlfn.TEXTAFTER(CantoralDB[[#This Row],[index.html]],"&gt;"),"&gt;")&amp;"&gt;"</f>
        <v>&lt;a href="canciones/nuevas/el_espiritu_de_dios_esta_en_este_lugar.html"&gt;</v>
      </c>
      <c r="Y548" s="1"/>
    </row>
    <row r="549" spans="1:25" hidden="1" x14ac:dyDescent="0.3">
      <c r="A549" s="1">
        <f>ROW(CantoralDB[[#This Row],[Título]])-1</f>
        <v>548</v>
      </c>
      <c r="B549" s="1" t="s">
        <v>1268</v>
      </c>
      <c r="C549" s="1"/>
      <c r="F549" s="1">
        <v>102</v>
      </c>
      <c r="I549" s="1"/>
      <c r="L549" s="15" t="s">
        <v>3440</v>
      </c>
      <c r="M549" s="15"/>
      <c r="N549" s="15"/>
      <c r="O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el_espiritu_del_señor.html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549" s="15" t="str">
        <f>_xlfn.TEXTBEFORE(_xlfn.TEXTAFTER(CantoralDB[[#This Row],[index.html]],"&gt;"),"&gt;")&amp;"&gt;"</f>
        <v>&lt;a href="canciones/nuevas/el_espiritu_del_señor.html"&gt;</v>
      </c>
      <c r="Y549" s="1"/>
    </row>
    <row r="550" spans="1:25" hidden="1" x14ac:dyDescent="0.3">
      <c r="A550" s="1">
        <f>ROW(CantoralDB[[#This Row],[Título]])-1</f>
        <v>549</v>
      </c>
      <c r="B550" s="1" t="s">
        <v>1258</v>
      </c>
      <c r="C550" s="1"/>
      <c r="E550" s="1">
        <v>97</v>
      </c>
      <c r="I550" s="1"/>
      <c r="L550" s="15" t="s">
        <v>2150</v>
      </c>
      <c r="M550" s="15"/>
      <c r="N550" s="15"/>
      <c r="O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el_esta_vivo_tu_lo_has_visto.html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550" s="15" t="str">
        <f>_xlfn.TEXTBEFORE(_xlfn.TEXTAFTER(CantoralDB[[#This Row],[index.html]],"&gt;"),"&gt;")&amp;"&gt;"</f>
        <v>&lt;a href="canciones/nsb/el_esta_vivo_tu_lo_has_visto.html"&gt;</v>
      </c>
      <c r="Y550" s="1"/>
    </row>
    <row r="551" spans="1:25" hidden="1" x14ac:dyDescent="0.3">
      <c r="A551" s="1">
        <f>ROW(CantoralDB[[#This Row],[Título]])-1</f>
        <v>550</v>
      </c>
      <c r="B551" s="1" t="s">
        <v>3577</v>
      </c>
      <c r="C551" s="1"/>
      <c r="F551" s="1">
        <v>238</v>
      </c>
      <c r="I551" s="1"/>
      <c r="L551" s="15" t="s">
        <v>3576</v>
      </c>
      <c r="M551" s="15"/>
      <c r="N551" s="15"/>
      <c r="O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el_gran_amor.html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551" s="15" t="str">
        <f>_xlfn.TEXTBEFORE(_xlfn.TEXTAFTER(CantoralDB[[#This Row],[index.html]],"&gt;"),"&gt;")&amp;"&gt;"</f>
        <v>&lt;a href="canciones/nuevas/el_gran_amor.html"&gt;</v>
      </c>
      <c r="Y551" s="1"/>
    </row>
    <row r="552" spans="1:25" hidden="1" x14ac:dyDescent="0.3">
      <c r="A552" s="1">
        <f>ROW(CantoralDB[[#This Row],[Título]])-1</f>
        <v>551</v>
      </c>
      <c r="B552" s="1" t="s">
        <v>2115</v>
      </c>
      <c r="C552" s="1"/>
      <c r="I552" s="1"/>
      <c r="L552" s="15" t="s">
        <v>481</v>
      </c>
      <c r="M552" s="15" t="s">
        <v>2104</v>
      </c>
      <c r="N552" s="15">
        <v>10</v>
      </c>
      <c r="O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el_hijo_prodigo.html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552" s="15" t="str">
        <f>_xlfn.TEXTBEFORE(_xlfn.TEXTAFTER(CantoralDB[[#This Row],[index.html]],"&gt;"),"&gt;")&amp;"&gt;"</f>
        <v>&lt;a href="canciones/francisco_palazon/el_hijo_prodigo.html"&gt;</v>
      </c>
      <c r="Y552" s="1"/>
    </row>
    <row r="553" spans="1:25" hidden="1" x14ac:dyDescent="0.3">
      <c r="A553" s="1">
        <f>ROW(CantoralDB[[#This Row],[Título]])-1</f>
        <v>552</v>
      </c>
      <c r="B553" s="1" t="s">
        <v>1828</v>
      </c>
      <c r="C553" s="1"/>
      <c r="I553" s="1"/>
      <c r="L553" s="15" t="s">
        <v>501</v>
      </c>
      <c r="M553" s="15" t="s">
        <v>1550</v>
      </c>
      <c r="N553" s="15">
        <v>9</v>
      </c>
      <c r="O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el_hombre_de_gerasa.html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553" s="15" t="str">
        <f>_xlfn.TEXTBEFORE(_xlfn.TEXTAFTER(CantoralDB[[#This Row],[index.html]],"&gt;"),"&gt;")&amp;"&gt;"</f>
        <v>&lt;a href="canciones/ain_karem/el_hombre_de_gerasa.html"&gt;</v>
      </c>
      <c r="Y553" s="1"/>
    </row>
    <row r="554" spans="1:25" hidden="1" x14ac:dyDescent="0.3">
      <c r="A554" s="1">
        <f>ROW(CantoralDB[[#This Row],[Título]])-1</f>
        <v>553</v>
      </c>
      <c r="B554" s="1" t="s">
        <v>3330</v>
      </c>
      <c r="C554" s="1"/>
      <c r="I554" s="1"/>
      <c r="L554" s="15" t="s">
        <v>499</v>
      </c>
      <c r="M554" s="15" t="s">
        <v>3316</v>
      </c>
      <c r="N554" s="15">
        <v>14</v>
      </c>
      <c r="O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el_juicio_de_cristo.html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554" s="15" t="str">
        <f>_xlfn.TEXTBEFORE(_xlfn.TEXTAFTER(CantoralDB[[#This Row],[index.html]],"&gt;"),"&gt;")&amp;"&gt;"</f>
        <v>&lt;a href="canciones/brotes_de_olivo/el_juicio_de_cristo.html"&gt;</v>
      </c>
      <c r="Y554" s="1"/>
    </row>
    <row r="555" spans="1:25" hidden="1" x14ac:dyDescent="0.3">
      <c r="A555" s="1">
        <f>ROW(CantoralDB[[#This Row],[Título]])-1</f>
        <v>554</v>
      </c>
      <c r="B555" s="1" t="s">
        <v>3772</v>
      </c>
      <c r="C555" s="1"/>
      <c r="F555" s="1">
        <v>419</v>
      </c>
      <c r="I555" s="1"/>
      <c r="L555" s="15" t="s">
        <v>799</v>
      </c>
      <c r="M555" s="15"/>
      <c r="N555" s="15"/>
      <c r="O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el_leon_de_la_tribu_de_juda.html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555" s="15" t="str">
        <f>_xlfn.TEXTBEFORE(_xlfn.TEXTAFTER(CantoralDB[[#This Row],[index.html]],"&gt;"),"&gt;")&amp;"&gt;"</f>
        <v>&lt;a href="canciones/nuevas/el_leon_de_la_tribu_de_juda.html"&gt;</v>
      </c>
      <c r="Y555" s="1"/>
    </row>
    <row r="556" spans="1:25" hidden="1" x14ac:dyDescent="0.3">
      <c r="A556" s="1">
        <f>ROW(CantoralDB[[#This Row],[Título]])-1</f>
        <v>555</v>
      </c>
      <c r="B556" s="1" t="s">
        <v>179</v>
      </c>
      <c r="C556" s="1" t="s">
        <v>476</v>
      </c>
      <c r="D556" s="1" t="s">
        <v>1455</v>
      </c>
      <c r="G556" s="1" t="s">
        <v>209</v>
      </c>
      <c r="H556" s="1" t="s">
        <v>1039</v>
      </c>
      <c r="I556" s="1" t="s">
        <v>612</v>
      </c>
      <c r="L556" s="15" t="s">
        <v>483</v>
      </c>
      <c r="M556" s="15"/>
      <c r="N556" s="15"/>
      <c r="O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el_niño_dios_ha_nacido_en_belen.html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556" s="15" t="str">
        <f>_xlfn.TEXTBEFORE(_xlfn.TEXTAFTER(CantoralDB[[#This Row],[index.html]],"&gt;"),"&gt;")&amp;"&gt;"</f>
        <v>&lt;a href="canciones/cesareo_gabarain/el_niño_dios_ha_nacido_en_belen.html"&gt;</v>
      </c>
      <c r="Y556" s="1"/>
    </row>
    <row r="557" spans="1:25" hidden="1" x14ac:dyDescent="0.3">
      <c r="A557" s="1">
        <f>ROW(CantoralDB[[#This Row],[Título]])-1</f>
        <v>556</v>
      </c>
      <c r="B557" s="1" t="s">
        <v>3383</v>
      </c>
      <c r="C557" s="1"/>
      <c r="F557" s="1">
        <v>48</v>
      </c>
      <c r="I557" s="1"/>
      <c r="L557" s="15" t="s">
        <v>799</v>
      </c>
      <c r="M557" s="15"/>
      <c r="N557" s="15"/>
      <c r="O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el_nos_ha_elegido.html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href="canciones/nuevas/el_nos_ha_elegido.html"&gt;Él nos ha elegido&lt;/a&gt;&lt;/li&gt;</v>
      </c>
      <c r="U557" s="15" t="str">
        <f>_xlfn.TEXTBEFORE(_xlfn.TEXTAFTER(CantoralDB[[#This Row],[index.html]],"&gt;"),"&gt;")&amp;"&gt;"</f>
        <v>&lt;a href="canciones/nuevas/el_nos_ha_elegido.html"&gt;</v>
      </c>
      <c r="Y557" s="1"/>
    </row>
    <row r="558" spans="1:25" hidden="1" x14ac:dyDescent="0.3">
      <c r="A558" s="1">
        <f>ROW(CantoralDB[[#This Row],[Título]])-1</f>
        <v>557</v>
      </c>
      <c r="B558" s="1" t="s">
        <v>3322</v>
      </c>
      <c r="C558" s="1"/>
      <c r="I558" s="1" t="s">
        <v>612</v>
      </c>
      <c r="L558" s="15" t="s">
        <v>499</v>
      </c>
      <c r="M558" s="15" t="s">
        <v>3316</v>
      </c>
      <c r="N558" s="15">
        <v>6</v>
      </c>
      <c r="O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el_pan_de_vida.html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558" s="15" t="str">
        <f>_xlfn.TEXTBEFORE(_xlfn.TEXTAFTER(CantoralDB[[#This Row],[index.html]],"&gt;"),"&gt;")&amp;"&gt;"</f>
        <v>&lt;a href="canciones/brotes_de_olivo/el_pan_de_vida.html"&gt;</v>
      </c>
      <c r="Y558" s="1"/>
    </row>
    <row r="559" spans="1:25" hidden="1" x14ac:dyDescent="0.3">
      <c r="A559" s="1">
        <f>ROW(CantoralDB[[#This Row],[Título]])-1</f>
        <v>558</v>
      </c>
      <c r="B559" s="1" t="s">
        <v>3126</v>
      </c>
      <c r="C559" s="1"/>
      <c r="I559" s="1"/>
      <c r="L559" s="15" t="s">
        <v>481</v>
      </c>
      <c r="M559" s="15" t="s">
        <v>1977</v>
      </c>
      <c r="N559" s="15">
        <v>10</v>
      </c>
      <c r="O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el_pan_que_compartimos.html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559" s="15" t="str">
        <f>_xlfn.TEXTBEFORE(_xlfn.TEXTAFTER(CantoralDB[[#This Row],[index.html]],"&gt;"),"&gt;")&amp;"&gt;"</f>
        <v>&lt;a href="canciones/francisco_palazon/el_pan_que_compartimos.html"&gt;</v>
      </c>
      <c r="Y559" s="1"/>
    </row>
    <row r="560" spans="1:25" hidden="1" x14ac:dyDescent="0.3">
      <c r="A560" s="1">
        <f>ROW(CantoralDB[[#This Row],[Título]])-1</f>
        <v>559</v>
      </c>
      <c r="B560" s="1" t="s">
        <v>2124</v>
      </c>
      <c r="C560" s="1"/>
      <c r="I560" s="1" t="s">
        <v>612</v>
      </c>
      <c r="L560" s="15" t="s">
        <v>481</v>
      </c>
      <c r="M560" s="15" t="s">
        <v>2105</v>
      </c>
      <c r="N560" s="15">
        <v>9</v>
      </c>
      <c r="O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el_pobre_lazaro.html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560" s="15" t="str">
        <f>_xlfn.TEXTBEFORE(_xlfn.TEXTAFTER(CantoralDB[[#This Row],[index.html]],"&gt;"),"&gt;")&amp;"&gt;"</f>
        <v>&lt;a href="canciones/francisco_palazon/el_pobre_lazaro.html"&gt;</v>
      </c>
      <c r="Y560" s="1"/>
    </row>
    <row r="561" spans="1:25" hidden="1" x14ac:dyDescent="0.3">
      <c r="A561" s="1">
        <f>ROW(CantoralDB[[#This Row],[Título]])-1</f>
        <v>560</v>
      </c>
      <c r="B561" s="1" t="s">
        <v>1741</v>
      </c>
      <c r="C561" s="1"/>
      <c r="I561" s="1"/>
      <c r="L561" s="15" t="s">
        <v>484</v>
      </c>
      <c r="M561" s="15" t="s">
        <v>1541</v>
      </c>
      <c r="N561" s="15">
        <v>10</v>
      </c>
      <c r="O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el_poema_de_la_piedra.html</v>
      </c>
      <c r="R561" s="1"/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561" s="15" t="str">
        <f>_xlfn.TEXTBEFORE(_xlfn.TEXTAFTER(CantoralDB[[#This Row],[index.html]],"&gt;"),"&gt;")&amp;"&gt;"</f>
        <v>&lt;a href="canciones/kairoi/el_poema_de_la_piedra.html"&gt;</v>
      </c>
      <c r="Y561" s="1"/>
    </row>
    <row r="562" spans="1:25" hidden="1" x14ac:dyDescent="0.3">
      <c r="A562" s="1">
        <f>ROW(CantoralDB[[#This Row],[Título]])-1</f>
        <v>561</v>
      </c>
      <c r="B562" s="1" t="s">
        <v>1254</v>
      </c>
      <c r="C562" s="1"/>
      <c r="E562" s="1">
        <v>90</v>
      </c>
      <c r="I562" s="1"/>
      <c r="L562" s="15" t="s">
        <v>487</v>
      </c>
      <c r="M562" s="15"/>
      <c r="N562" s="15"/>
      <c r="O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el_pueblo_gime_en_el_dolor.html</v>
      </c>
      <c r="R562" s="1"/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562" s="15" t="str">
        <f>_xlfn.TEXTBEFORE(_xlfn.TEXTAFTER(CantoralDB[[#This Row],[index.html]],"&gt;"),"&gt;")&amp;"&gt;"</f>
        <v>&lt;a href="canciones/miguel_manzano/el_pueblo_gime_en_el_dolor.html"&gt;</v>
      </c>
      <c r="Y562" s="1"/>
    </row>
    <row r="563" spans="1:25" hidden="1" x14ac:dyDescent="0.3">
      <c r="A563" s="1">
        <f>ROW(CantoralDB[[#This Row],[Título]])-1</f>
        <v>562</v>
      </c>
      <c r="B563" s="1" t="s">
        <v>50</v>
      </c>
      <c r="C563" s="1" t="s">
        <v>997</v>
      </c>
      <c r="D563" s="1" t="s">
        <v>705</v>
      </c>
      <c r="E563" s="1">
        <v>420</v>
      </c>
      <c r="G563" s="1" t="s">
        <v>209</v>
      </c>
      <c r="H563" s="1" t="s">
        <v>1054</v>
      </c>
      <c r="I563" s="1" t="s">
        <v>612</v>
      </c>
      <c r="L563" s="15" t="s">
        <v>634</v>
      </c>
      <c r="M563" s="15"/>
      <c r="N563" s="15"/>
      <c r="O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el_que_muere_por_mi.html</v>
      </c>
      <c r="R563" s="1" t="s">
        <v>828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563" s="15" t="str">
        <f>_xlfn.TEXTBEFORE(_xlfn.TEXTAFTER(CantoralDB[[#This Row],[index.html]],"&gt;"),"&gt;")&amp;"&gt;"</f>
        <v>&lt;a href="canciones/nsb/el_que_muere_por_mi.html"&gt;</v>
      </c>
      <c r="Y563" s="1"/>
    </row>
    <row r="564" spans="1:25" hidden="1" x14ac:dyDescent="0.3">
      <c r="A564" s="1">
        <f>ROW(CantoralDB[[#This Row],[Título]])-1</f>
        <v>563</v>
      </c>
      <c r="B564" s="1" t="s">
        <v>943</v>
      </c>
      <c r="C564" s="1"/>
      <c r="I564" s="1" t="s">
        <v>612</v>
      </c>
      <c r="L564" s="15" t="s">
        <v>501</v>
      </c>
      <c r="M564" s="15" t="s">
        <v>1553</v>
      </c>
      <c r="N564" s="15">
        <v>9</v>
      </c>
      <c r="O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el_reino_de_dios.html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564" s="15" t="str">
        <f>_xlfn.TEXTBEFORE(_xlfn.TEXTAFTER(CantoralDB[[#This Row],[index.html]],"&gt;"),"&gt;")&amp;"&gt;"</f>
        <v>&lt;a href="canciones/ain_karem/el_reino_de_dios.html"&gt;</v>
      </c>
      <c r="Y564" s="1"/>
    </row>
    <row r="565" spans="1:25" x14ac:dyDescent="0.3">
      <c r="A565" s="1">
        <f>ROW(CantoralDB[[#This Row],[Título]])-1</f>
        <v>564</v>
      </c>
      <c r="B565" s="1" t="s">
        <v>943</v>
      </c>
      <c r="C565" s="1" t="s">
        <v>1025</v>
      </c>
      <c r="D565" s="1" t="s">
        <v>1161</v>
      </c>
      <c r="H565" s="1" t="s">
        <v>1050</v>
      </c>
      <c r="I565" s="1" t="s">
        <v>612</v>
      </c>
      <c r="L565" s="15" t="s">
        <v>1991</v>
      </c>
      <c r="M565" s="15"/>
      <c r="N565" s="15"/>
      <c r="O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565" s="1" t="s">
        <v>810</v>
      </c>
      <c r="S565" s="1" t="s">
        <v>449</v>
      </c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565" s="15" t="str">
        <f>_xlfn.TEXTBEFORE(_xlfn.TEXTAFTER(CantoralDB[[#This Row],[index.html]],"&gt;"),"&gt;")&amp;"&gt;"</f>
        <v>&lt;a href="canciones/taize/the_kingdom_of_god.html"&gt;</v>
      </c>
      <c r="Y565" s="1"/>
    </row>
    <row r="566" spans="1:25" hidden="1" x14ac:dyDescent="0.3">
      <c r="A566" s="1">
        <f>ROW(CantoralDB[[#This Row],[Título]])-1</f>
        <v>565</v>
      </c>
      <c r="B566" s="1" t="s">
        <v>2049</v>
      </c>
      <c r="C566" s="1"/>
      <c r="I566" s="1"/>
      <c r="L566" s="15" t="s">
        <v>261</v>
      </c>
      <c r="M566" s="15"/>
      <c r="N566" s="15"/>
      <c r="O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el_rey_de_la_gloria.html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566" s="15" t="str">
        <f>_xlfn.TEXTBEFORE(_xlfn.TEXTAFTER(CantoralDB[[#This Row],[index.html]],"&gt;"),"&gt;")&amp;"&gt;"</f>
        <v>&lt;a href="canciones/hakuna/el_rey_de_la_gloria.html"&gt;</v>
      </c>
      <c r="Y566" s="1"/>
    </row>
    <row r="567" spans="1:25" hidden="1" x14ac:dyDescent="0.3">
      <c r="A567" s="1">
        <f>ROW(CantoralDB[[#This Row],[Título]])-1</f>
        <v>566</v>
      </c>
      <c r="B567" s="1" t="s">
        <v>3247</v>
      </c>
      <c r="C567" s="1"/>
      <c r="I567" s="1"/>
      <c r="L567" s="15" t="s">
        <v>3160</v>
      </c>
      <c r="M567" s="15" t="s">
        <v>53</v>
      </c>
      <c r="N567" s="15">
        <v>12</v>
      </c>
      <c r="O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el_salvara_al_pobre.html</v>
      </c>
      <c r="R567" s="1" t="s">
        <v>3245</v>
      </c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href="canciones/hermana_glenda/el_salvara_al_pobre.html"&gt;Él salvará al pobre&lt;/a&gt;&lt;/li&gt;</v>
      </c>
      <c r="U567" s="15" t="str">
        <f>_xlfn.TEXTBEFORE(_xlfn.TEXTAFTER(CantoralDB[[#This Row],[index.html]],"&gt;"),"&gt;")&amp;"&gt;"</f>
        <v>&lt;a href="canciones/hermana_glenda/el_salvara_al_pobre.html"&gt;</v>
      </c>
      <c r="Y567" s="1"/>
    </row>
    <row r="568" spans="1:25" hidden="1" x14ac:dyDescent="0.3">
      <c r="A568" s="1">
        <f>ROW(CantoralDB[[#This Row],[Título]])-1</f>
        <v>567</v>
      </c>
      <c r="B568" s="1" t="s">
        <v>347</v>
      </c>
      <c r="C568" s="1" t="s">
        <v>1026</v>
      </c>
      <c r="D568" s="1" t="s">
        <v>1162</v>
      </c>
      <c r="H568" s="1" t="s">
        <v>1069</v>
      </c>
      <c r="I568" s="1" t="s">
        <v>612</v>
      </c>
      <c r="L568" s="15" t="s">
        <v>2201</v>
      </c>
      <c r="M568" s="15"/>
      <c r="N568" s="15"/>
      <c r="O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68" s="1"/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568" s="15" t="str">
        <f>_xlfn.TEXTBEFORE(_xlfn.TEXTAFTER(CantoralDB[[#This Row],[index.html]],"&gt;"),"&gt;")&amp;"&gt;"</f>
        <v>&lt;a href="canciones/taize/el_senyor.html"&gt;</v>
      </c>
      <c r="Y568" s="1"/>
    </row>
    <row r="569" spans="1:25" hidden="1" x14ac:dyDescent="0.3">
      <c r="A569" s="1">
        <f>ROW(CantoralDB[[#This Row],[Título]])-1</f>
        <v>568</v>
      </c>
      <c r="B569" s="1" t="s">
        <v>3153</v>
      </c>
      <c r="C569" s="1"/>
      <c r="I569" s="1" t="s">
        <v>612</v>
      </c>
      <c r="L569" s="15" t="s">
        <v>481</v>
      </c>
      <c r="M569" s="15" t="s">
        <v>1976</v>
      </c>
      <c r="N569" s="15">
        <v>4</v>
      </c>
      <c r="O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el_señor_de_los_ejercitos.html</v>
      </c>
      <c r="R569" s="1" t="s">
        <v>3151</v>
      </c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569" s="15" t="str">
        <f>_xlfn.TEXTBEFORE(_xlfn.TEXTAFTER(CantoralDB[[#This Row],[index.html]],"&gt;"),"&gt;")&amp;"&gt;"</f>
        <v>&lt;a href="canciones/francisco_palazon/el_señor_de_los_ejercitos.html"&gt;</v>
      </c>
      <c r="Y569" s="1"/>
    </row>
    <row r="570" spans="1:25" hidden="1" x14ac:dyDescent="0.3">
      <c r="A570" s="1">
        <f>ROW(CantoralDB[[#This Row],[Título]])-1</f>
        <v>569</v>
      </c>
      <c r="B570" s="1" t="s">
        <v>51</v>
      </c>
      <c r="C570" s="1" t="s">
        <v>997</v>
      </c>
      <c r="D570" s="1" t="s">
        <v>704</v>
      </c>
      <c r="E570" s="1">
        <v>95</v>
      </c>
      <c r="G570" s="1" t="s">
        <v>209</v>
      </c>
      <c r="H570" s="1" t="s">
        <v>1034</v>
      </c>
      <c r="I570" s="1" t="s">
        <v>612</v>
      </c>
      <c r="L570" s="15" t="s">
        <v>518</v>
      </c>
      <c r="M570" s="15"/>
      <c r="N570" s="15"/>
      <c r="O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el_señor_dios_nos_amo.html</v>
      </c>
      <c r="R570" s="1" t="s">
        <v>829</v>
      </c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data-nnew="K27" data-nold="95"&gt;&lt;a href="canciones/nsb/el_señor_dios_nos_amo.html"&gt;El Señor Dios nos amó&lt;/a&gt;&lt;/li&gt;</v>
      </c>
      <c r="U570" s="15" t="str">
        <f>_xlfn.TEXTBEFORE(_xlfn.TEXTAFTER(CantoralDB[[#This Row],[index.html]],"&gt;"),"&gt;")&amp;"&gt;"</f>
        <v>&lt;a href="canciones/nsb/el_señor_dios_nos_amo.html"&gt;</v>
      </c>
      <c r="Y570" s="1"/>
    </row>
    <row r="571" spans="1:25" hidden="1" x14ac:dyDescent="0.3">
      <c r="A571" s="1">
        <f>ROW(CantoralDB[[#This Row],[Título]])-1</f>
        <v>570</v>
      </c>
      <c r="B571" s="1" t="s">
        <v>1261</v>
      </c>
      <c r="C571" s="1"/>
      <c r="E571" s="1">
        <v>103</v>
      </c>
      <c r="I571" s="1" t="s">
        <v>612</v>
      </c>
      <c r="L571" s="15" t="s">
        <v>481</v>
      </c>
      <c r="M571" s="15" t="s">
        <v>1976</v>
      </c>
      <c r="N571" s="15">
        <v>9</v>
      </c>
      <c r="O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el_señor_es_bueno.html</v>
      </c>
      <c r="R571" s="1" t="s">
        <v>3152</v>
      </c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571" s="15" t="str">
        <f>_xlfn.TEXTBEFORE(_xlfn.TEXTAFTER(CantoralDB[[#This Row],[index.html]],"&gt;"),"&gt;")&amp;"&gt;"</f>
        <v>&lt;a href="canciones/francisco_palazon/el_señor_es_bueno.html"&gt;</v>
      </c>
      <c r="Y571" s="1"/>
    </row>
    <row r="572" spans="1:25" hidden="1" x14ac:dyDescent="0.3">
      <c r="A572" s="1">
        <f>ROW(CantoralDB[[#This Row],[Título]])-1</f>
        <v>571</v>
      </c>
      <c r="B572" s="1" t="s">
        <v>1259</v>
      </c>
      <c r="C572" s="1"/>
      <c r="E572" s="1">
        <v>100</v>
      </c>
      <c r="I572" s="1"/>
      <c r="L572" s="15" t="s">
        <v>481</v>
      </c>
      <c r="M572" s="15"/>
      <c r="N572" s="15"/>
      <c r="O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el_señor_es_compasivo_y_misericordioso.html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572" s="15" t="str">
        <f>_xlfn.TEXTBEFORE(_xlfn.TEXTAFTER(CantoralDB[[#This Row],[index.html]],"&gt;"),"&gt;")&amp;"&gt;"</f>
        <v>&lt;a href="canciones/francisco_palazon/el_señor_es_compasivo_y_misericordioso.html"&gt;</v>
      </c>
      <c r="Y572" s="1"/>
    </row>
    <row r="573" spans="1:25" hidden="1" x14ac:dyDescent="0.3">
      <c r="A573" s="1">
        <f>ROW(CantoralDB[[#This Row],[Título]])-1</f>
        <v>572</v>
      </c>
      <c r="B573" s="1" t="s">
        <v>1603</v>
      </c>
      <c r="C573" s="1"/>
      <c r="I573" s="1" t="s">
        <v>612</v>
      </c>
      <c r="L573" s="15" t="s">
        <v>484</v>
      </c>
      <c r="M573" s="15" t="s">
        <v>1529</v>
      </c>
      <c r="N573" s="15">
        <v>4</v>
      </c>
      <c r="O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el_señor_es_la_esperanza.html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573" s="15" t="str">
        <f>_xlfn.TEXTBEFORE(_xlfn.TEXTAFTER(CantoralDB[[#This Row],[index.html]],"&gt;"),"&gt;")&amp;"&gt;"</f>
        <v>&lt;a href="canciones/kairoi/el_señor_es_la_esperanza.html"&gt;</v>
      </c>
      <c r="Y573" s="1"/>
    </row>
    <row r="574" spans="1:25" x14ac:dyDescent="0.3">
      <c r="A574" s="1">
        <f>ROW(CantoralDB[[#This Row],[Título]])-1</f>
        <v>573</v>
      </c>
      <c r="B574" s="1" t="s">
        <v>910</v>
      </c>
      <c r="C574" s="1" t="s">
        <v>1025</v>
      </c>
      <c r="D574" s="1" t="s">
        <v>1162</v>
      </c>
      <c r="H574" s="1" t="s">
        <v>1069</v>
      </c>
      <c r="I574" s="1" t="s">
        <v>612</v>
      </c>
      <c r="L574" s="15" t="s">
        <v>1991</v>
      </c>
      <c r="M574" s="15"/>
      <c r="N574" s="15"/>
      <c r="O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74" s="1" t="s">
        <v>967</v>
      </c>
      <c r="S574" s="1" t="s">
        <v>347</v>
      </c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574" s="15" t="str">
        <f>_xlfn.TEXTBEFORE(_xlfn.TEXTAFTER(CantoralDB[[#This Row],[index.html]],"&gt;"),"&gt;")&amp;"&gt;"</f>
        <v>&lt;a href="canciones/taize/el_senyor.html"&gt;</v>
      </c>
      <c r="Y574" s="1"/>
    </row>
    <row r="575" spans="1:25" hidden="1" x14ac:dyDescent="0.3">
      <c r="A575" s="1">
        <f>ROW(CantoralDB[[#This Row],[Título]])-1</f>
        <v>574</v>
      </c>
      <c r="B575" s="1" t="s">
        <v>1260</v>
      </c>
      <c r="C575" s="1"/>
      <c r="E575" s="1">
        <v>102</v>
      </c>
      <c r="I575" s="1"/>
      <c r="L575" s="15" t="s">
        <v>491</v>
      </c>
      <c r="M575" s="15"/>
      <c r="N575" s="15"/>
      <c r="O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el_señor_es_mi_fuerza.html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75" s="15" t="str">
        <f>_xlfn.TEXTBEFORE(_xlfn.TEXTAFTER(CantoralDB[[#This Row],[index.html]],"&gt;"),"&gt;")&amp;"&gt;"</f>
        <v>&lt;a href="canciones/juan_antonio_espinosa/el_señor_es_mi_fuerza.html"&gt;</v>
      </c>
      <c r="Y575" s="1"/>
    </row>
    <row r="576" spans="1:25" hidden="1" x14ac:dyDescent="0.3">
      <c r="A576" s="1">
        <f>ROW(CantoralDB[[#This Row],[Título]])-1</f>
        <v>575</v>
      </c>
      <c r="B576" s="1" t="s">
        <v>52</v>
      </c>
      <c r="C576" s="1"/>
      <c r="I576" s="1"/>
      <c r="L576" s="15" t="s">
        <v>3160</v>
      </c>
      <c r="M576" s="15" t="s">
        <v>53</v>
      </c>
      <c r="N576" s="15">
        <v>10</v>
      </c>
      <c r="O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76" s="1" t="s">
        <v>830</v>
      </c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href="canciones/hermana_glenda/el_señor_es_mi_luz.html"&gt;El Señor es mi luz&lt;/a&gt;&lt;/li&gt;</v>
      </c>
      <c r="U576" s="15" t="str">
        <f>_xlfn.TEXTBEFORE(_xlfn.TEXTAFTER(CantoralDB[[#This Row],[index.html]],"&gt;"),"&gt;")&amp;"&gt;"</f>
        <v>&lt;a href="canciones/hermana_glenda/el_señor_es_mi_luz.html"&gt;</v>
      </c>
      <c r="Y576" s="1"/>
    </row>
    <row r="577" spans="1:25" hidden="1" x14ac:dyDescent="0.3">
      <c r="A577" s="1">
        <f>ROW(CantoralDB[[#This Row],[Título]])-1</f>
        <v>576</v>
      </c>
      <c r="B577" s="1" t="s">
        <v>52</v>
      </c>
      <c r="C577" s="1" t="s">
        <v>201</v>
      </c>
      <c r="D577" s="1" t="s">
        <v>655</v>
      </c>
      <c r="E577" s="1">
        <v>96</v>
      </c>
      <c r="G577" s="1" t="s">
        <v>209</v>
      </c>
      <c r="H577" s="1" t="s">
        <v>1031</v>
      </c>
      <c r="I577" s="1" t="s">
        <v>612</v>
      </c>
      <c r="L577" s="15" t="s">
        <v>2148</v>
      </c>
      <c r="M577" s="15"/>
      <c r="N577" s="15"/>
      <c r="O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77" s="1" t="s">
        <v>830</v>
      </c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data-author="Taule" data-momento="Antífonas" data-nnew="D13" data-nold="96"&gt;&lt;a href="canciones/nsb/el_señor_es_mi_luz.html"&gt;El Señor es mi luz&lt;/a&gt;&lt;/li&gt;</v>
      </c>
      <c r="U577" s="15" t="str">
        <f>_xlfn.TEXTBEFORE(_xlfn.TEXTAFTER(CantoralDB[[#This Row],[index.html]],"&gt;"),"&gt;")&amp;"&gt;"</f>
        <v>&lt;a href="canciones/nsb/el_señor_es_mi_luz.html"&gt;</v>
      </c>
      <c r="Y577" s="1"/>
    </row>
    <row r="578" spans="1:25" hidden="1" x14ac:dyDescent="0.3">
      <c r="A578" s="1">
        <f>ROW(CantoralDB[[#This Row],[Título]])-1</f>
        <v>577</v>
      </c>
      <c r="B578" s="1" t="s">
        <v>1257</v>
      </c>
      <c r="C578" s="1"/>
      <c r="E578" s="1">
        <v>99</v>
      </c>
      <c r="I578" s="1"/>
      <c r="L578" s="15" t="s">
        <v>481</v>
      </c>
      <c r="M578" s="15" t="s">
        <v>3154</v>
      </c>
      <c r="N578" s="15"/>
      <c r="O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el_señor_es_mi_luz_y_mi_salvacion.html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578" s="15" t="str">
        <f>_xlfn.TEXTBEFORE(_xlfn.TEXTAFTER(CantoralDB[[#This Row],[index.html]],"&gt;"),"&gt;")&amp;"&gt;"</f>
        <v>&lt;a href="canciones/francisco_palazon/el_señor_es_mi_luz_y_mi_salvacion.html"&gt;</v>
      </c>
      <c r="Y578" s="1"/>
    </row>
    <row r="579" spans="1:25" hidden="1" x14ac:dyDescent="0.3">
      <c r="A579" s="1">
        <f>ROW(CantoralDB[[#This Row],[Título]])-1</f>
        <v>578</v>
      </c>
      <c r="B579" s="1" t="s">
        <v>53</v>
      </c>
      <c r="C579" s="1" t="s">
        <v>201</v>
      </c>
      <c r="D579" s="1" t="s">
        <v>656</v>
      </c>
      <c r="E579" s="1">
        <v>98</v>
      </c>
      <c r="G579" s="1" t="s">
        <v>209</v>
      </c>
      <c r="H579" s="1" t="s">
        <v>1039</v>
      </c>
      <c r="I579" s="1" t="s">
        <v>612</v>
      </c>
      <c r="L579" s="15" t="s">
        <v>481</v>
      </c>
      <c r="M579" s="15" t="s">
        <v>1976</v>
      </c>
      <c r="N579" s="15">
        <v>6</v>
      </c>
      <c r="O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79" s="1" t="s">
        <v>831</v>
      </c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579" s="15" t="str">
        <f>_xlfn.TEXTBEFORE(_xlfn.TEXTAFTER(CantoralDB[[#This Row],[index.html]],"&gt;"),"&gt;")&amp;"&gt;"</f>
        <v>&lt;a href="canciones/francisco_palazon/el_señor_es_mi_pastor.html"&gt;</v>
      </c>
      <c r="Y579" s="1"/>
    </row>
    <row r="580" spans="1:25" hidden="1" x14ac:dyDescent="0.3">
      <c r="A580" s="1">
        <f>ROW(CantoralDB[[#This Row],[Título]])-1</f>
        <v>579</v>
      </c>
      <c r="B580" s="1" t="s">
        <v>53</v>
      </c>
      <c r="C580" s="1"/>
      <c r="I580" s="1" t="s">
        <v>612</v>
      </c>
      <c r="L580" s="15" t="s">
        <v>3160</v>
      </c>
      <c r="M580" s="15" t="s">
        <v>53</v>
      </c>
      <c r="N580" s="15">
        <v>1</v>
      </c>
      <c r="O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80" s="1" t="s">
        <v>3237</v>
      </c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580" s="15" t="str">
        <f>_xlfn.TEXTBEFORE(_xlfn.TEXTAFTER(CantoralDB[[#This Row],[index.html]],"&gt;"),"&gt;")&amp;"&gt;"</f>
        <v>&lt;a href="canciones/hermana_glenda/el_señor_es_mi_pastor.html"&gt;</v>
      </c>
      <c r="Y580" s="1"/>
    </row>
    <row r="581" spans="1:25" hidden="1" x14ac:dyDescent="0.3">
      <c r="A581" s="1">
        <f>ROW(CantoralDB[[#This Row],[Título]])-1</f>
        <v>580</v>
      </c>
      <c r="B581" s="1" t="s">
        <v>3461</v>
      </c>
      <c r="C581" s="1"/>
      <c r="F581" s="1">
        <v>122</v>
      </c>
      <c r="I581" s="1"/>
      <c r="L581" s="15" t="s">
        <v>3462</v>
      </c>
      <c r="M581" s="15"/>
      <c r="N581" s="15"/>
      <c r="O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el_señor_es_mi_pastor_(jm_monedero).html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581" s="15" t="str">
        <f>_xlfn.TEXTBEFORE(_xlfn.TEXTAFTER(CantoralDB[[#This Row],[index.html]],"&gt;"),"&gt;")&amp;"&gt;"</f>
        <v>&lt;a href="canciones/nuevas/el_señor_es_mi_pastor_(jm_monedero).html"&gt;</v>
      </c>
      <c r="Y581" s="1"/>
    </row>
    <row r="582" spans="1:25" hidden="1" x14ac:dyDescent="0.3">
      <c r="A582" s="1">
        <f>ROW(CantoralDB[[#This Row],[Título]])-1</f>
        <v>581</v>
      </c>
      <c r="B582" s="1" t="s">
        <v>3333</v>
      </c>
      <c r="C582" s="1" t="s">
        <v>201</v>
      </c>
      <c r="D582" s="1" t="s">
        <v>657</v>
      </c>
      <c r="F582" s="1">
        <v>443</v>
      </c>
      <c r="G582" s="1" t="s">
        <v>209</v>
      </c>
      <c r="H582" s="1" t="s">
        <v>532</v>
      </c>
      <c r="I582" s="1" t="s">
        <v>612</v>
      </c>
      <c r="L582" s="15" t="s">
        <v>512</v>
      </c>
      <c r="M582" s="15"/>
      <c r="N582" s="15"/>
      <c r="O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el_señor_es_mi_pastor_(nico_montero).html</v>
      </c>
      <c r="R582" s="1" t="s">
        <v>831</v>
      </c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582" s="15" t="str">
        <f>_xlfn.TEXTBEFORE(_xlfn.TEXTAFTER(CantoralDB[[#This Row],[index.html]],"&gt;"),"&gt;")&amp;"&gt;"</f>
        <v>&lt;a href="canciones/nsb/el_señor_es_mi_pastor_(nico_montero).html"&gt;</v>
      </c>
      <c r="Y582" s="1"/>
    </row>
    <row r="583" spans="1:25" x14ac:dyDescent="0.3">
      <c r="A583" s="1">
        <f>ROW(CantoralDB[[#This Row],[Título]])-1</f>
        <v>582</v>
      </c>
      <c r="B583" s="1" t="s">
        <v>916</v>
      </c>
      <c r="C583" s="1" t="s">
        <v>1025</v>
      </c>
      <c r="D583" s="1" t="s">
        <v>1163</v>
      </c>
      <c r="H583" s="1" t="s">
        <v>1036</v>
      </c>
      <c r="I583" s="1" t="s">
        <v>612</v>
      </c>
      <c r="L583" s="15" t="s">
        <v>1991</v>
      </c>
      <c r="M583" s="15"/>
      <c r="N583" s="15"/>
      <c r="O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583" s="1" t="s">
        <v>972</v>
      </c>
      <c r="S583" s="1" t="s">
        <v>369</v>
      </c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583" s="15" t="str">
        <f>_xlfn.TEXTBEFORE(_xlfn.TEXTAFTER(CantoralDB[[#This Row],[index.html]],"&gt;"),"&gt;")&amp;"&gt;"</f>
        <v>&lt;a href="canciones/taize/il_signore_ti_ristora.html"&gt;</v>
      </c>
      <c r="Y583" s="1"/>
    </row>
    <row r="584" spans="1:25" hidden="1" x14ac:dyDescent="0.3">
      <c r="A584" s="1">
        <f>ROW(CantoralDB[[#This Row],[Título]])-1</f>
        <v>583</v>
      </c>
      <c r="B584" s="1" t="s">
        <v>1604</v>
      </c>
      <c r="C584" s="1"/>
      <c r="I584" s="1" t="s">
        <v>612</v>
      </c>
      <c r="L584" s="15" t="s">
        <v>484</v>
      </c>
      <c r="M584" s="15" t="s">
        <v>1529</v>
      </c>
      <c r="N584" s="15">
        <v>4</v>
      </c>
      <c r="O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el_señor_esta_aqui.html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584" s="15" t="str">
        <f>_xlfn.TEXTBEFORE(_xlfn.TEXTAFTER(CantoralDB[[#This Row],[index.html]],"&gt;"),"&gt;")&amp;"&gt;"</f>
        <v>&lt;a href="canciones/kairoi/el_señor_esta_aqui.html"&gt;</v>
      </c>
      <c r="Y584" s="1"/>
    </row>
    <row r="585" spans="1:25" hidden="1" x14ac:dyDescent="0.3">
      <c r="A585" s="1">
        <f>ROW(CantoralDB[[#This Row],[Título]])-1</f>
        <v>584</v>
      </c>
      <c r="B585" s="1" t="s">
        <v>3263</v>
      </c>
      <c r="C585" s="1"/>
      <c r="I585" s="1"/>
      <c r="L585" s="15" t="s">
        <v>3160</v>
      </c>
      <c r="M585" s="15" t="s">
        <v>415</v>
      </c>
      <c r="N585" s="15">
        <v>1</v>
      </c>
      <c r="O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el_señor_esta_conmigo.html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href="canciones/hermana_glenda/el_señor_esta_conmigo.html"&gt;El Señor está conmigo&lt;/a&gt;&lt;/li&gt;</v>
      </c>
      <c r="U585" s="15" t="str">
        <f>_xlfn.TEXTBEFORE(_xlfn.TEXTAFTER(CantoralDB[[#This Row],[index.html]],"&gt;"),"&gt;")&amp;"&gt;"</f>
        <v>&lt;a href="canciones/hermana_glenda/el_señor_esta_conmigo.html"&gt;</v>
      </c>
      <c r="Y585" s="1"/>
    </row>
    <row r="586" spans="1:25" hidden="1" x14ac:dyDescent="0.3">
      <c r="A586" s="1">
        <f>ROW(CantoralDB[[#This Row],[Título]])-1</f>
        <v>585</v>
      </c>
      <c r="B586" s="1" t="s">
        <v>3438</v>
      </c>
      <c r="C586" s="1"/>
      <c r="F586" s="1">
        <v>99</v>
      </c>
      <c r="I586" s="1"/>
      <c r="L586" s="15" t="s">
        <v>799</v>
      </c>
      <c r="M586" s="15"/>
      <c r="N586" s="15"/>
      <c r="O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el_señor_esta_en_medio_de_ti.html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586" s="15" t="str">
        <f>_xlfn.TEXTBEFORE(_xlfn.TEXTAFTER(CantoralDB[[#This Row],[index.html]],"&gt;"),"&gt;")&amp;"&gt;"</f>
        <v>&lt;a href="canciones/nuevas/el_señor_esta_en_medio_de_ti.html"&gt;</v>
      </c>
      <c r="Y586" s="1"/>
    </row>
    <row r="587" spans="1:25" hidden="1" x14ac:dyDescent="0.3">
      <c r="A587" s="1">
        <f>ROW(CantoralDB[[#This Row],[Título]])-1</f>
        <v>586</v>
      </c>
      <c r="B587" s="1" t="s">
        <v>1289</v>
      </c>
      <c r="C587" s="1"/>
      <c r="E587" s="1">
        <v>110</v>
      </c>
      <c r="I587" s="1" t="s">
        <v>612</v>
      </c>
      <c r="L587" s="15" t="s">
        <v>481</v>
      </c>
      <c r="M587" s="15" t="s">
        <v>3155</v>
      </c>
      <c r="N587" s="15"/>
      <c r="O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el_señor_ha_estado_grande_con_nosotros.html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587" s="15" t="str">
        <f>_xlfn.TEXTBEFORE(_xlfn.TEXTAFTER(CantoralDB[[#This Row],[index.html]],"&gt;"),"&gt;")&amp;"&gt;"</f>
        <v>&lt;a href="canciones/francisco_palazon/el_señor_ha_estado_grande_con_nosotros.html"&gt;</v>
      </c>
      <c r="Y587" s="1"/>
    </row>
    <row r="588" spans="1:25" hidden="1" x14ac:dyDescent="0.3">
      <c r="A588" s="1">
        <f>ROW(CantoralDB[[#This Row],[Título]])-1</f>
        <v>587</v>
      </c>
      <c r="B588" s="1" t="s">
        <v>54</v>
      </c>
      <c r="C588" s="1" t="s">
        <v>476</v>
      </c>
      <c r="D588" s="1" t="s">
        <v>1456</v>
      </c>
      <c r="E588" s="1">
        <v>92</v>
      </c>
      <c r="G588" s="1" t="s">
        <v>209</v>
      </c>
      <c r="H588" s="1" t="s">
        <v>533</v>
      </c>
      <c r="I588" s="1" t="s">
        <v>612</v>
      </c>
      <c r="L588" s="15" t="s">
        <v>547</v>
      </c>
      <c r="M588" s="15"/>
      <c r="N588" s="15"/>
      <c r="O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el_señor_nos_ha_nacido_en_belen.html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588" s="15" t="str">
        <f>_xlfn.TEXTBEFORE(_xlfn.TEXTAFTER(CantoralDB[[#This Row],[index.html]],"&gt;"),"&gt;")&amp;"&gt;"</f>
        <v>&lt;a href="canciones/emilio_vicente_mateu/el_señor_nos_ha_nacido_en_belen.html"&gt;</v>
      </c>
      <c r="Y588" s="1"/>
    </row>
    <row r="589" spans="1:25" hidden="1" x14ac:dyDescent="0.3">
      <c r="A589" s="1">
        <f>ROW(CantoralDB[[#This Row],[Título]])-1</f>
        <v>588</v>
      </c>
      <c r="B589" s="1" t="s">
        <v>223</v>
      </c>
      <c r="C589" s="1" t="s">
        <v>191</v>
      </c>
      <c r="D589" s="1" t="s">
        <v>739</v>
      </c>
      <c r="G589" s="1" t="s">
        <v>216</v>
      </c>
      <c r="H589" s="1" t="s">
        <v>532</v>
      </c>
      <c r="I589" s="1" t="s">
        <v>612</v>
      </c>
      <c r="L589" s="15" t="s">
        <v>484</v>
      </c>
      <c r="M589" s="15" t="s">
        <v>1529</v>
      </c>
      <c r="N589" s="15">
        <v>6</v>
      </c>
      <c r="O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el_señor_nos_ha_reunido.html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589" s="15" t="str">
        <f>_xlfn.TEXTBEFORE(_xlfn.TEXTAFTER(CantoralDB[[#This Row],[index.html]],"&gt;"),"&gt;")&amp;"&gt;"</f>
        <v>&lt;a href="canciones/kairoi/el_señor_nos_ha_reunido.html"&gt;</v>
      </c>
      <c r="Y589" s="1"/>
    </row>
    <row r="590" spans="1:25" hidden="1" x14ac:dyDescent="0.3">
      <c r="A590" s="1">
        <f>ROW(CantoralDB[[#This Row],[Título]])-1</f>
        <v>589</v>
      </c>
      <c r="B590" s="1" t="s">
        <v>235</v>
      </c>
      <c r="C590" s="1" t="s">
        <v>219</v>
      </c>
      <c r="D590" s="1" t="s">
        <v>1457</v>
      </c>
      <c r="F590" s="1">
        <v>210</v>
      </c>
      <c r="G590" s="1" t="s">
        <v>209</v>
      </c>
      <c r="H590" s="1" t="s">
        <v>1043</v>
      </c>
      <c r="I590" s="1" t="s">
        <v>612</v>
      </c>
      <c r="L590" s="15" t="s">
        <v>484</v>
      </c>
      <c r="M590" s="15" t="s">
        <v>1532</v>
      </c>
      <c r="N590" s="15">
        <v>7</v>
      </c>
      <c r="O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el_señor_os_dara_su_espiritu_santo.html</v>
      </c>
      <c r="R590" s="1" t="s">
        <v>832</v>
      </c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590" s="15" t="str">
        <f>_xlfn.TEXTBEFORE(_xlfn.TEXTAFTER(CantoralDB[[#This Row],[index.html]],"&gt;"),"&gt;")&amp;"&gt;"</f>
        <v>&lt;a href="canciones/kairoi/el_señor_os_dara_su_espiritu_santo.html"&gt;</v>
      </c>
      <c r="Y590" s="1"/>
    </row>
    <row r="591" spans="1:25" hidden="1" x14ac:dyDescent="0.3">
      <c r="A591" s="1">
        <f>ROW(CantoralDB[[#This Row],[Título]])-1</f>
        <v>590</v>
      </c>
      <c r="B591" s="1" t="s">
        <v>3669</v>
      </c>
      <c r="C591" s="1"/>
      <c r="F591" s="1">
        <v>337</v>
      </c>
      <c r="I591" s="1"/>
      <c r="L591" s="15" t="s">
        <v>3670</v>
      </c>
      <c r="M591" s="15"/>
      <c r="N591" s="15"/>
      <c r="O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el_señor_resucitado.html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591" s="15" t="str">
        <f>_xlfn.TEXTBEFORE(_xlfn.TEXTAFTER(CantoralDB[[#This Row],[index.html]],"&gt;"),"&gt;")&amp;"&gt;"</f>
        <v>&lt;a href="canciones/nuevas/el_señor_resucitado.html"&gt;</v>
      </c>
      <c r="Y591" s="1"/>
    </row>
    <row r="592" spans="1:25" hidden="1" x14ac:dyDescent="0.3">
      <c r="A592" s="1">
        <f>ROW(CantoralDB[[#This Row],[Título]])-1</f>
        <v>591</v>
      </c>
      <c r="B592" s="1" t="s">
        <v>224</v>
      </c>
      <c r="C592" s="1" t="s">
        <v>191</v>
      </c>
      <c r="D592" s="1" t="s">
        <v>740</v>
      </c>
      <c r="G592" s="1" t="s">
        <v>216</v>
      </c>
      <c r="H592" s="1" t="s">
        <v>1035</v>
      </c>
      <c r="I592" s="1" t="s">
        <v>612</v>
      </c>
      <c r="L592" s="15" t="s">
        <v>485</v>
      </c>
      <c r="M592" s="15"/>
      <c r="N592" s="15"/>
      <c r="O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el_señor_resucito.html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92" s="15" t="str">
        <f>_xlfn.TEXTBEFORE(_xlfn.TEXTAFTER(CantoralDB[[#This Row],[index.html]],"&gt;"),"&gt;")&amp;"&gt;"</f>
        <v>&lt;a href="canciones/joaquin_madurga/el_señor_resucito.html"&gt;</v>
      </c>
      <c r="Y592" s="1"/>
    </row>
    <row r="593" spans="1:25" hidden="1" x14ac:dyDescent="0.3">
      <c r="A593" s="1">
        <f>ROW(CantoralDB[[#This Row],[Título]])-1</f>
        <v>592</v>
      </c>
      <c r="B593" s="1" t="s">
        <v>1984</v>
      </c>
      <c r="C593" s="1"/>
      <c r="E593" s="1">
        <v>18</v>
      </c>
      <c r="I593" s="1" t="s">
        <v>612</v>
      </c>
      <c r="L593" s="15" t="s">
        <v>481</v>
      </c>
      <c r="M593" s="15" t="s">
        <v>1976</v>
      </c>
      <c r="N593" s="15">
        <v>7</v>
      </c>
      <c r="O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el_señor_tenga_piedad.html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593" s="15" t="str">
        <f>_xlfn.TEXTBEFORE(_xlfn.TEXTAFTER(CantoralDB[[#This Row],[index.html]],"&gt;"),"&gt;")&amp;"&gt;"</f>
        <v>&lt;a href="canciones/francisco_palazon/el_señor_tenga_piedad.html"&gt;</v>
      </c>
      <c r="Y593" s="1"/>
    </row>
    <row r="594" spans="1:25" x14ac:dyDescent="0.3">
      <c r="A594" s="1">
        <f>ROW(CantoralDB[[#This Row],[Título]])-1</f>
        <v>593</v>
      </c>
      <c r="B594" s="1" t="s">
        <v>948</v>
      </c>
      <c r="C594" s="1" t="s">
        <v>1025</v>
      </c>
      <c r="D594" s="1" t="s">
        <v>1164</v>
      </c>
      <c r="H594" s="1" t="s">
        <v>1046</v>
      </c>
      <c r="I594" s="1" t="s">
        <v>612</v>
      </c>
      <c r="L594" s="15" t="s">
        <v>1991</v>
      </c>
      <c r="M594" s="15"/>
      <c r="N594" s="15"/>
      <c r="O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594" s="1" t="s">
        <v>990</v>
      </c>
      <c r="S594" s="1" t="s">
        <v>468</v>
      </c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594" s="15" t="str">
        <f>_xlfn.TEXTBEFORE(_xlfn.TEXTAFTER(CantoralDB[[#This Row],[index.html]],"&gt;"),"&gt;")&amp;"&gt;"</f>
        <v>&lt;a href="canciones/taize/voici_dieu_qui_vient_à_mon_secours.html"&gt;</v>
      </c>
      <c r="Y594" s="1"/>
    </row>
    <row r="595" spans="1:25" hidden="1" x14ac:dyDescent="0.3">
      <c r="A595" s="1">
        <f>ROW(CantoralDB[[#This Row],[Título]])-1</f>
        <v>594</v>
      </c>
      <c r="B595" s="1" t="s">
        <v>1839</v>
      </c>
      <c r="C595" s="1"/>
      <c r="I595" s="1" t="s">
        <v>612</v>
      </c>
      <c r="L595" s="15" t="s">
        <v>501</v>
      </c>
      <c r="M595" s="15" t="s">
        <v>1551</v>
      </c>
      <c r="N595" s="15">
        <v>10</v>
      </c>
      <c r="O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el_siervo.html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href="canciones/ain_karem/el_siervo.html"&gt;El siervo&lt;/a&gt;&lt;/li&gt;</v>
      </c>
      <c r="U595" s="15" t="str">
        <f>_xlfn.TEXTBEFORE(_xlfn.TEXTAFTER(CantoralDB[[#This Row],[index.html]],"&gt;"),"&gt;")&amp;"&gt;"</f>
        <v>&lt;a href="canciones/ain_karem/el_siervo.html"&gt;</v>
      </c>
      <c r="Y595" s="1"/>
    </row>
    <row r="596" spans="1:25" hidden="1" x14ac:dyDescent="0.3">
      <c r="A596" s="1">
        <f>ROW(CantoralDB[[#This Row],[Título]])-1</f>
        <v>595</v>
      </c>
      <c r="B596" s="1" t="s">
        <v>1754</v>
      </c>
      <c r="C596" s="1"/>
      <c r="I596" s="1"/>
      <c r="L596" s="15" t="s">
        <v>484</v>
      </c>
      <c r="M596" s="15" t="s">
        <v>1543</v>
      </c>
      <c r="N596" s="15">
        <v>2</v>
      </c>
      <c r="O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el_silencio_de_mi_corazon.html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596" s="15" t="str">
        <f>_xlfn.TEXTBEFORE(_xlfn.TEXTAFTER(CantoralDB[[#This Row],[index.html]],"&gt;"),"&gt;")&amp;"&gt;"</f>
        <v>&lt;a href="canciones/kairoi/el_silencio_de_mi_corazon.html"&gt;</v>
      </c>
      <c r="Y596" s="1"/>
    </row>
    <row r="597" spans="1:25" hidden="1" x14ac:dyDescent="0.3">
      <c r="A597" s="1">
        <f>ROW(CantoralDB[[#This Row],[Título]])-1</f>
        <v>596</v>
      </c>
      <c r="B597" s="1" t="s">
        <v>3319</v>
      </c>
      <c r="C597" s="1"/>
      <c r="I597" s="1" t="s">
        <v>612</v>
      </c>
      <c r="L597" s="15" t="s">
        <v>499</v>
      </c>
      <c r="M597" s="15" t="s">
        <v>3316</v>
      </c>
      <c r="N597" s="15">
        <v>3</v>
      </c>
      <c r="O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el_soplo_de_dios.html</v>
      </c>
      <c r="R597" s="1"/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597" s="15" t="str">
        <f>_xlfn.TEXTBEFORE(_xlfn.TEXTAFTER(CantoralDB[[#This Row],[index.html]],"&gt;"),"&gt;")&amp;"&gt;"</f>
        <v>&lt;a href="canciones/brotes_de_olivo/el_soplo_de_dios.html"&gt;</v>
      </c>
      <c r="Y597" s="1"/>
    </row>
    <row r="598" spans="1:25" hidden="1" x14ac:dyDescent="0.3">
      <c r="A598" s="1">
        <f>ROW(CantoralDB[[#This Row],[Título]])-1</f>
        <v>597</v>
      </c>
      <c r="B598" s="1" t="s">
        <v>55</v>
      </c>
      <c r="C598" s="1" t="s">
        <v>476</v>
      </c>
      <c r="D598" s="1" t="s">
        <v>1458</v>
      </c>
      <c r="E598" s="1">
        <v>104</v>
      </c>
      <c r="G598" s="1" t="s">
        <v>209</v>
      </c>
      <c r="H598" s="1" t="s">
        <v>532</v>
      </c>
      <c r="I598" s="1" t="s">
        <v>612</v>
      </c>
      <c r="L598" s="15" t="s">
        <v>2200</v>
      </c>
      <c r="M598" s="15"/>
      <c r="N598" s="15"/>
      <c r="O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el_tamborilero.html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598" s="15" t="str">
        <f>_xlfn.TEXTBEFORE(_xlfn.TEXTAFTER(CantoralDB[[#This Row],[index.html]],"&gt;"),"&gt;")&amp;"&gt;"</f>
        <v>&lt;a href="canciones/villancicos/el_tamborilero.html"&gt;</v>
      </c>
      <c r="Y598" s="1"/>
    </row>
    <row r="599" spans="1:25" hidden="1" x14ac:dyDescent="0.3">
      <c r="A599" s="1">
        <f>ROW(CantoralDB[[#This Row],[Título]])-1</f>
        <v>598</v>
      </c>
      <c r="B599" s="1" t="s">
        <v>3498</v>
      </c>
      <c r="C599" s="1"/>
      <c r="F599" s="1">
        <v>154</v>
      </c>
      <c r="I599" s="1"/>
      <c r="L599" s="15" t="s">
        <v>3451</v>
      </c>
      <c r="M599" s="15"/>
      <c r="N599" s="15"/>
      <c r="O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href="canciones/rosa_cruz/el_tren.html"&gt;El tren&lt;/a&gt;&lt;/li&gt;</v>
      </c>
      <c r="U599" s="15" t="str">
        <f>_xlfn.TEXTBEFORE(_xlfn.TEXTAFTER(CantoralDB[[#This Row],[index.html]],"&gt;"),"&gt;")&amp;"&gt;"</f>
        <v>&lt;a href="canciones/rosa_cruz/el_tren.html"&gt;</v>
      </c>
      <c r="Y599" s="1"/>
    </row>
    <row r="600" spans="1:25" hidden="1" x14ac:dyDescent="0.3">
      <c r="A600" s="1">
        <f>ROW(CantoralDB[[#This Row],[Título]])-1</f>
        <v>599</v>
      </c>
      <c r="B600" s="1" t="s">
        <v>1524</v>
      </c>
      <c r="C600" s="1"/>
      <c r="E600" s="1">
        <v>314</v>
      </c>
      <c r="I600" s="1"/>
      <c r="L600" s="15" t="s">
        <v>799</v>
      </c>
      <c r="M600" s="15"/>
      <c r="N600" s="15"/>
      <c r="O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el_tren_del_evangelio.html</v>
      </c>
      <c r="R600" s="1"/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600" s="15" t="str">
        <f>_xlfn.TEXTBEFORE(_xlfn.TEXTAFTER(CantoralDB[[#This Row],[index.html]],"&gt;"),"&gt;")&amp;"&gt;"</f>
        <v>&lt;a href="canciones/nsb/el_tren_del_evangelio.html"&gt;</v>
      </c>
      <c r="Y600" s="1"/>
    </row>
    <row r="601" spans="1:25" hidden="1" x14ac:dyDescent="0.3">
      <c r="A601" s="1">
        <f>ROW(CantoralDB[[#This Row],[Título]])-1</f>
        <v>600</v>
      </c>
      <c r="B601" s="1" t="s">
        <v>2073</v>
      </c>
      <c r="C601" s="1"/>
      <c r="I601" s="1"/>
      <c r="L601" s="15" t="s">
        <v>261</v>
      </c>
      <c r="M601" s="15"/>
      <c r="N601" s="15"/>
      <c r="O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el_unico_rey.html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href="canciones/hakuna/el_unico_rey.html"&gt;El único rey&lt;/a&gt;&lt;/li&gt;</v>
      </c>
      <c r="U601" s="15" t="str">
        <f>_xlfn.TEXTBEFORE(_xlfn.TEXTAFTER(CantoralDB[[#This Row],[index.html]],"&gt;"),"&gt;")&amp;"&gt;"</f>
        <v>&lt;a href="canciones/hakuna/el_unico_rey.html"&gt;</v>
      </c>
      <c r="Y601" s="1"/>
    </row>
    <row r="602" spans="1:25" hidden="1" x14ac:dyDescent="0.3">
      <c r="A602" s="1">
        <f>ROW(CantoralDB[[#This Row],[Título]])-1</f>
        <v>601</v>
      </c>
      <c r="B602" s="1" t="s">
        <v>180</v>
      </c>
      <c r="C602" s="1" t="s">
        <v>997</v>
      </c>
      <c r="D602" s="1" t="s">
        <v>706</v>
      </c>
      <c r="F602" s="1">
        <v>303</v>
      </c>
      <c r="G602" s="1" t="s">
        <v>209</v>
      </c>
      <c r="H602" s="1" t="s">
        <v>532</v>
      </c>
      <c r="I602" s="1" t="s">
        <v>612</v>
      </c>
      <c r="L602" s="15" t="s">
        <v>593</v>
      </c>
      <c r="M602" s="15"/>
      <c r="N602" s="15"/>
      <c r="O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el_vendra_y_te_salvara.html</v>
      </c>
      <c r="R602" s="1" t="s">
        <v>833</v>
      </c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602" s="15" t="str">
        <f>_xlfn.TEXTBEFORE(_xlfn.TEXTAFTER(CantoralDB[[#This Row],[index.html]],"&gt;"),"&gt;")&amp;"&gt;"</f>
        <v>&lt;a href="canciones/nsb/el_vendra_y_te_salvara.html"&gt;</v>
      </c>
      <c r="Y602" s="1"/>
    </row>
    <row r="603" spans="1:25" hidden="1" x14ac:dyDescent="0.3">
      <c r="A603" s="1">
        <f>ROW(CantoralDB[[#This Row],[Título]])-1</f>
        <v>602</v>
      </c>
      <c r="B603" s="1" t="s">
        <v>3504</v>
      </c>
      <c r="C603" s="1"/>
      <c r="F603" s="1">
        <v>158</v>
      </c>
      <c r="I603" s="1"/>
      <c r="L603" s="15" t="s">
        <v>3503</v>
      </c>
      <c r="M603" s="15"/>
      <c r="N603" s="15"/>
      <c r="O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eli_eli.html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data-author="Ribcah Anafah"&gt;&lt;a href="canciones/nuevas/eli_eli.html"&gt;Elí, Elí&lt;/a&gt;&lt;/li&gt;</v>
      </c>
      <c r="U603" s="15" t="str">
        <f>_xlfn.TEXTBEFORE(_xlfn.TEXTAFTER(CantoralDB[[#This Row],[index.html]],"&gt;"),"&gt;")&amp;"&gt;"</f>
        <v>&lt;a href="canciones/nuevas/eli_eli.html"&gt;</v>
      </c>
      <c r="Y603" s="1"/>
    </row>
    <row r="604" spans="1:25" hidden="1" x14ac:dyDescent="0.3">
      <c r="A604" s="1">
        <f>ROW(CantoralDB[[#This Row],[Título]])-1</f>
        <v>603</v>
      </c>
      <c r="B604" s="1" t="s">
        <v>1743</v>
      </c>
      <c r="C604" s="1"/>
      <c r="I604" s="1" t="s">
        <v>612</v>
      </c>
      <c r="L604" s="15" t="s">
        <v>484</v>
      </c>
      <c r="M604" s="15" t="s">
        <v>1542</v>
      </c>
      <c r="N604" s="15">
        <v>3</v>
      </c>
      <c r="O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en_comunidad.html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href="canciones/kairoi/en_comunidad.html"&gt;En comunidad&lt;/a&gt;&lt;/li&gt;</v>
      </c>
      <c r="U604" s="15" t="str">
        <f>_xlfn.TEXTBEFORE(_xlfn.TEXTAFTER(CantoralDB[[#This Row],[index.html]],"&gt;"),"&gt;")&amp;"&gt;"</f>
        <v>&lt;a href="canciones/kairoi/en_comunidad.html"&gt;</v>
      </c>
      <c r="Y604" s="1"/>
    </row>
    <row r="605" spans="1:25" hidden="1" x14ac:dyDescent="0.3">
      <c r="A605" s="1">
        <f>ROW(CantoralDB[[#This Row],[Título]])-1</f>
        <v>604</v>
      </c>
      <c r="B605" s="1" t="s">
        <v>3712</v>
      </c>
      <c r="C605" s="1"/>
      <c r="F605" s="1">
        <v>374</v>
      </c>
      <c r="I605" s="1"/>
      <c r="L605" s="15" t="s">
        <v>799</v>
      </c>
      <c r="M605" s="15"/>
      <c r="N605" s="15"/>
      <c r="O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en_el_cielo_se_oye.html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href="canciones/nuevas/en_el_cielo_se_oye.html"&gt;En el cielo se oye&lt;/a&gt;&lt;/li&gt;</v>
      </c>
      <c r="U605" s="15" t="str">
        <f>_xlfn.TEXTBEFORE(_xlfn.TEXTAFTER(CantoralDB[[#This Row],[index.html]],"&gt;"),"&gt;")&amp;"&gt;"</f>
        <v>&lt;a href="canciones/nuevas/en_el_cielo_se_oye.html"&gt;</v>
      </c>
      <c r="Y605" s="1"/>
    </row>
    <row r="606" spans="1:25" hidden="1" x14ac:dyDescent="0.3">
      <c r="A606" s="1">
        <f>ROW(CantoralDB[[#This Row],[Título]])-1</f>
        <v>605</v>
      </c>
      <c r="B606" s="1" t="s">
        <v>3302</v>
      </c>
      <c r="C606" s="1"/>
      <c r="I606" s="1"/>
      <c r="L606" s="15" t="s">
        <v>3160</v>
      </c>
      <c r="M606" s="15" t="s">
        <v>3299</v>
      </c>
      <c r="N606" s="15">
        <v>5</v>
      </c>
      <c r="O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en_el_desierto.html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href="canciones/hermana_glenda/en_el_desierto.html"&gt;En el desierto&lt;/a&gt;&lt;/li&gt;</v>
      </c>
      <c r="U606" s="15" t="str">
        <f>_xlfn.TEXTBEFORE(_xlfn.TEXTAFTER(CantoralDB[[#This Row],[index.html]],"&gt;"),"&gt;")&amp;"&gt;"</f>
        <v>&lt;a href="canciones/hermana_glenda/en_el_desierto.html"&gt;</v>
      </c>
      <c r="Y606" s="1"/>
    </row>
    <row r="607" spans="1:25" hidden="1" x14ac:dyDescent="0.3">
      <c r="A607" s="1">
        <f>ROW(CantoralDB[[#This Row],[Título]])-1</f>
        <v>606</v>
      </c>
      <c r="B607" s="1" t="s">
        <v>56</v>
      </c>
      <c r="C607" s="1" t="s">
        <v>197</v>
      </c>
      <c r="D607" s="1" t="s">
        <v>1459</v>
      </c>
      <c r="E607" s="1">
        <v>107</v>
      </c>
      <c r="G607" s="1" t="s">
        <v>209</v>
      </c>
      <c r="H607" s="1" t="s">
        <v>1039</v>
      </c>
      <c r="I607" s="1" t="s">
        <v>612</v>
      </c>
      <c r="L607" s="15" t="s">
        <v>518</v>
      </c>
      <c r="M607" s="15"/>
      <c r="N607" s="15"/>
      <c r="O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en_el_mar_he_oido_hoy.html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data-momento="Padrenuestro" data-nnew="H01" data-nold="107"&gt;&lt;a href="canciones/nsb/en_el_mar_he_oido_hoy.html"&gt;En el mar he oído hoy&lt;/a&gt;&lt;/li&gt;</v>
      </c>
      <c r="U607" s="15" t="str">
        <f>_xlfn.TEXTBEFORE(_xlfn.TEXTAFTER(CantoralDB[[#This Row],[index.html]],"&gt;"),"&gt;")&amp;"&gt;"</f>
        <v>&lt;a href="canciones/nsb/en_el_mar_he_oido_hoy.html"&gt;</v>
      </c>
      <c r="Y607" s="1"/>
    </row>
    <row r="608" spans="1:25" hidden="1" x14ac:dyDescent="0.3">
      <c r="A608" s="1">
        <f>ROW(CantoralDB[[#This Row],[Título]])-1</f>
        <v>607</v>
      </c>
      <c r="B608" s="1" t="s">
        <v>57</v>
      </c>
      <c r="C608" s="1" t="s">
        <v>191</v>
      </c>
      <c r="D608" s="1" t="s">
        <v>741</v>
      </c>
      <c r="E608" s="1">
        <v>101</v>
      </c>
      <c r="G608" s="1" t="s">
        <v>209</v>
      </c>
      <c r="H608" s="1" t="s">
        <v>1036</v>
      </c>
      <c r="I608" s="1" t="s">
        <v>612</v>
      </c>
      <c r="L608" s="15" t="s">
        <v>518</v>
      </c>
      <c r="M608" s="15"/>
      <c r="N608" s="15"/>
      <c r="O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en_el_señor_estamos_congregados.html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data-momento="Entrada" data-nnew="A17" data-nold="101"&gt;&lt;a href="canciones/nsb/en_el_señor_estamos_congregados.html"&gt;En el Señor estamos congregados&lt;/a&gt;&lt;/li&gt;</v>
      </c>
      <c r="U608" s="15" t="str">
        <f>_xlfn.TEXTBEFORE(_xlfn.TEXTAFTER(CantoralDB[[#This Row],[index.html]],"&gt;"),"&gt;")&amp;"&gt;"</f>
        <v>&lt;a href="canciones/nsb/en_el_señor_estamos_congregados.html"&gt;</v>
      </c>
      <c r="Y608" s="1"/>
    </row>
    <row r="609" spans="1:25" hidden="1" x14ac:dyDescent="0.3">
      <c r="A609" s="1">
        <f>ROW(CantoralDB[[#This Row],[Título]])-1</f>
        <v>608</v>
      </c>
      <c r="B609" s="1" t="s">
        <v>1253</v>
      </c>
      <c r="C609" s="1"/>
      <c r="E609" s="1">
        <v>89</v>
      </c>
      <c r="I609" s="1"/>
      <c r="L609" s="15" t="s">
        <v>483</v>
      </c>
      <c r="M609" s="15"/>
      <c r="N609" s="15"/>
      <c r="O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en_el_trabajo_de_cada_dia.html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609" s="15" t="str">
        <f>_xlfn.TEXTBEFORE(_xlfn.TEXTAFTER(CantoralDB[[#This Row],[index.html]],"&gt;"),"&gt;")&amp;"&gt;"</f>
        <v>&lt;a href="canciones/cesareo_gabarain/en_el_trabajo_de_cada_dia.html"&gt;</v>
      </c>
      <c r="Y609" s="1"/>
    </row>
    <row r="610" spans="1:25" hidden="1" x14ac:dyDescent="0.3">
      <c r="A610" s="1">
        <f>ROW(CantoralDB[[#This Row],[Título]])-1</f>
        <v>609</v>
      </c>
      <c r="B610" s="1" t="s">
        <v>1291</v>
      </c>
      <c r="C610" s="1"/>
      <c r="E610" s="1">
        <v>114</v>
      </c>
      <c r="I610" s="1"/>
      <c r="L610" s="15" t="s">
        <v>488</v>
      </c>
      <c r="M610" s="15"/>
      <c r="N610" s="15"/>
      <c r="O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en_esto_conoceran.html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610" s="15" t="str">
        <f>_xlfn.TEXTBEFORE(_xlfn.TEXTAFTER(CantoralDB[[#This Row],[index.html]],"&gt;"),"&gt;")&amp;"&gt;"</f>
        <v>&lt;a href="canciones/al-haraca/en_esto_conoceran.html"&gt;</v>
      </c>
      <c r="Y610" s="1"/>
    </row>
    <row r="611" spans="1:25" hidden="1" x14ac:dyDescent="0.3">
      <c r="A611" s="1">
        <f>ROW(CantoralDB[[#This Row],[Título]])-1</f>
        <v>610</v>
      </c>
      <c r="B611" s="1" t="s">
        <v>58</v>
      </c>
      <c r="C611" s="1" t="s">
        <v>195</v>
      </c>
      <c r="D611" s="1" t="s">
        <v>1460</v>
      </c>
      <c r="E611" s="1">
        <v>94</v>
      </c>
      <c r="G611" s="1" t="s">
        <v>209</v>
      </c>
      <c r="H611" s="1" t="s">
        <v>1041</v>
      </c>
      <c r="I611" s="1" t="s">
        <v>612</v>
      </c>
      <c r="L611" s="15" t="s">
        <v>491</v>
      </c>
      <c r="M611" s="15"/>
      <c r="N611" s="15"/>
      <c r="O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en_la_comida_que_cristo_nos_da.html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611" s="15" t="str">
        <f>_xlfn.TEXTBEFORE(_xlfn.TEXTAFTER(CantoralDB[[#This Row],[index.html]],"&gt;"),"&gt;")&amp;"&gt;"</f>
        <v>&lt;a href="canciones/juan_antonio_espinosa/en_la_comida_que_cristo_nos_da.html"&gt;</v>
      </c>
      <c r="Y611" s="1"/>
    </row>
    <row r="612" spans="1:25" hidden="1" x14ac:dyDescent="0.3">
      <c r="A612" s="1">
        <f>ROW(CantoralDB[[#This Row],[Título]])-1</f>
        <v>611</v>
      </c>
      <c r="B612" s="1" t="s">
        <v>1601</v>
      </c>
      <c r="C612" s="1"/>
      <c r="I612" s="1" t="s">
        <v>612</v>
      </c>
      <c r="L612" s="15" t="s">
        <v>484</v>
      </c>
      <c r="M612" s="15" t="s">
        <v>1529</v>
      </c>
      <c r="N612" s="15">
        <v>3</v>
      </c>
      <c r="O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en_la_cruz_nos_das_la_vida.html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612" s="15" t="str">
        <f>_xlfn.TEXTBEFORE(_xlfn.TEXTAFTER(CantoralDB[[#This Row],[index.html]],"&gt;"),"&gt;")&amp;"&gt;"</f>
        <v>&lt;a href="canciones/kairoi/en_la_cruz_nos_das_la_vida.html"&gt;</v>
      </c>
      <c r="Y612" s="1"/>
    </row>
    <row r="613" spans="1:25" hidden="1" x14ac:dyDescent="0.3">
      <c r="A613" s="1">
        <f>ROW(CantoralDB[[#This Row],[Título]])-1</f>
        <v>612</v>
      </c>
      <c r="B613" s="1" t="s">
        <v>1714</v>
      </c>
      <c r="C613" s="1"/>
      <c r="I613" s="1" t="s">
        <v>612</v>
      </c>
      <c r="L613" s="15" t="s">
        <v>484</v>
      </c>
      <c r="M613" s="15" t="s">
        <v>1538</v>
      </c>
      <c r="N613" s="15">
        <v>3</v>
      </c>
      <c r="O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en_la_esperanza_madre.html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613" s="15" t="str">
        <f>_xlfn.TEXTBEFORE(_xlfn.TEXTAFTER(CantoralDB[[#This Row],[index.html]],"&gt;"),"&gt;")&amp;"&gt;"</f>
        <v>&lt;a href="canciones/kairoi/en_la_esperanza_madre.html"&gt;</v>
      </c>
      <c r="Y613" s="1"/>
    </row>
    <row r="614" spans="1:25" hidden="1" x14ac:dyDescent="0.3">
      <c r="A614" s="1">
        <f>ROW(CantoralDB[[#This Row],[Título]])-1</f>
        <v>613</v>
      </c>
      <c r="B614" s="1" t="s">
        <v>1761</v>
      </c>
      <c r="C614" s="1"/>
      <c r="I614" s="1"/>
      <c r="L614" s="15" t="s">
        <v>484</v>
      </c>
      <c r="M614" s="15" t="s">
        <v>1543</v>
      </c>
      <c r="N614" s="15">
        <v>13</v>
      </c>
      <c r="O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en_la_oscuridad_de_la_noche.html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614" s="15" t="str">
        <f>_xlfn.TEXTBEFORE(_xlfn.TEXTAFTER(CantoralDB[[#This Row],[index.html]],"&gt;"),"&gt;")&amp;"&gt;"</f>
        <v>&lt;a href="canciones/kairoi/en_la_oscuridad_de_la_noche.html"&gt;</v>
      </c>
      <c r="Y614" s="1"/>
    </row>
    <row r="615" spans="1:25" hidden="1" x14ac:dyDescent="0.3">
      <c r="A615" s="1">
        <f>ROW(CantoralDB[[#This Row],[Título]])-1</f>
        <v>614</v>
      </c>
      <c r="B615" s="1" t="s">
        <v>2116</v>
      </c>
      <c r="C615" s="1"/>
      <c r="I615" s="1" t="s">
        <v>612</v>
      </c>
      <c r="L615" s="15" t="s">
        <v>481</v>
      </c>
      <c r="M615" s="15" t="s">
        <v>2105</v>
      </c>
      <c r="N615" s="15">
        <v>1</v>
      </c>
      <c r="O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en_la_plaza_de_un_pueblo.html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615" s="15" t="str">
        <f>_xlfn.TEXTBEFORE(_xlfn.TEXTAFTER(CantoralDB[[#This Row],[index.html]],"&gt;"),"&gt;")&amp;"&gt;"</f>
        <v>&lt;a href="canciones/francisco_palazon/en_la_plaza_de_un_pueblo.html"&gt;</v>
      </c>
      <c r="Y615" s="1"/>
    </row>
    <row r="616" spans="1:25" hidden="1" x14ac:dyDescent="0.3">
      <c r="A616" s="1">
        <f>ROW(CantoralDB[[#This Row],[Título]])-1</f>
        <v>615</v>
      </c>
      <c r="B616" s="1" t="s">
        <v>3705</v>
      </c>
      <c r="C616" s="1"/>
      <c r="F616" s="1">
        <v>369</v>
      </c>
      <c r="I616" s="1"/>
      <c r="L616" s="15" t="s">
        <v>3708</v>
      </c>
      <c r="M616" s="15"/>
      <c r="N616" s="15"/>
      <c r="O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en_la_tierra_habra.html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616" s="15" t="str">
        <f>_xlfn.TEXTBEFORE(_xlfn.TEXTAFTER(CantoralDB[[#This Row],[index.html]],"&gt;"),"&gt;")&amp;"&gt;"</f>
        <v>&lt;a href="canciones/nuevas/en_la_tierra_habra.html"&gt;</v>
      </c>
      <c r="Y616" s="1"/>
    </row>
    <row r="617" spans="1:25" hidden="1" x14ac:dyDescent="0.3">
      <c r="A617" s="1">
        <f>ROW(CantoralDB[[#This Row],[Título]])-1</f>
        <v>616</v>
      </c>
      <c r="B617" s="1" t="s">
        <v>2120</v>
      </c>
      <c r="C617" s="1"/>
      <c r="I617" s="1" t="s">
        <v>612</v>
      </c>
      <c r="L617" s="15" t="s">
        <v>481</v>
      </c>
      <c r="M617" s="15" t="s">
        <v>2105</v>
      </c>
      <c r="N617" s="15">
        <v>5</v>
      </c>
      <c r="O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en_la_viña_del_señor.html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617" s="15" t="str">
        <f>_xlfn.TEXTBEFORE(_xlfn.TEXTAFTER(CantoralDB[[#This Row],[index.html]],"&gt;"),"&gt;")&amp;"&gt;"</f>
        <v>&lt;a href="canciones/francisco_palazon/en_la_viña_del_señor.html"&gt;</v>
      </c>
      <c r="Y617" s="1"/>
    </row>
    <row r="618" spans="1:25" hidden="1" x14ac:dyDescent="0.3">
      <c r="A618" s="1">
        <f>ROW(CantoralDB[[#This Row],[Título]])-1</f>
        <v>617</v>
      </c>
      <c r="B618" s="1" t="s">
        <v>2029</v>
      </c>
      <c r="C618" s="1"/>
      <c r="I618" s="1" t="s">
        <v>612</v>
      </c>
      <c r="L618" s="15" t="s">
        <v>261</v>
      </c>
      <c r="M618" s="15"/>
      <c r="N618" s="15"/>
      <c r="O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en_lo_hondo.html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href="canciones/hakuna/en_lo_hondo.html"&gt;En lo hondo&lt;/a&gt;&lt;/li&gt;</v>
      </c>
      <c r="U618" s="15" t="str">
        <f>_xlfn.TEXTBEFORE(_xlfn.TEXTAFTER(CantoralDB[[#This Row],[index.html]],"&gt;"),"&gt;")&amp;"&gt;"</f>
        <v>&lt;a href="canciones/hakuna/en_lo_hondo.html"&gt;</v>
      </c>
      <c r="Y618" s="1"/>
    </row>
    <row r="619" spans="1:25" hidden="1" x14ac:dyDescent="0.3">
      <c r="A619" s="1">
        <f>ROW(CantoralDB[[#This Row],[Título]])-1</f>
        <v>618</v>
      </c>
      <c r="B619" s="1" t="s">
        <v>3086</v>
      </c>
      <c r="C619" s="15"/>
      <c r="I619" s="1" t="s">
        <v>612</v>
      </c>
      <c r="L619" s="15" t="s">
        <v>799</v>
      </c>
      <c r="M619" s="15"/>
      <c r="N619" s="15"/>
      <c r="O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en_los_brazos_de_una_virgen.html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619" s="15" t="str">
        <f>_xlfn.TEXTBEFORE(_xlfn.TEXTAFTER(CantoralDB[[#This Row],[index.html]],"&gt;"),"&gt;")&amp;"&gt;"</f>
        <v>&lt;a href="canciones/nuevas/en_los_brazos_de_una_virgen.html"&gt;</v>
      </c>
      <c r="Y619" s="1"/>
    </row>
    <row r="620" spans="1:25" hidden="1" x14ac:dyDescent="0.3">
      <c r="A620" s="1">
        <f>ROW(CantoralDB[[#This Row],[Título]])-1</f>
        <v>619</v>
      </c>
      <c r="B620" s="1" t="s">
        <v>2057</v>
      </c>
      <c r="C620" s="1"/>
      <c r="I620" s="1"/>
      <c r="L620" s="15" t="s">
        <v>261</v>
      </c>
      <c r="M620" s="15"/>
      <c r="N620" s="15"/>
      <c r="O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en_medio_del_fuego.html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620" s="15" t="str">
        <f>_xlfn.TEXTBEFORE(_xlfn.TEXTAFTER(CantoralDB[[#This Row],[index.html]],"&gt;"),"&gt;")&amp;"&gt;"</f>
        <v>&lt;a href="canciones/hakuna/en_medio_del_fuego.html"&gt;</v>
      </c>
      <c r="Y620" s="1"/>
    </row>
    <row r="621" spans="1:25" hidden="1" x14ac:dyDescent="0.3">
      <c r="A621" s="1">
        <f>ROW(CantoralDB[[#This Row],[Título]])-1</f>
        <v>620</v>
      </c>
      <c r="B621" s="1" t="s">
        <v>59</v>
      </c>
      <c r="C621" s="1" t="s">
        <v>201</v>
      </c>
      <c r="D621" s="1" t="s">
        <v>658</v>
      </c>
      <c r="E621" s="1">
        <v>423</v>
      </c>
      <c r="G621" s="1" t="s">
        <v>209</v>
      </c>
      <c r="H621" s="1" t="s">
        <v>1034</v>
      </c>
      <c r="I621" s="1" t="s">
        <v>612</v>
      </c>
      <c r="L621" s="15" t="s">
        <v>499</v>
      </c>
      <c r="M621" s="15"/>
      <c r="N621" s="15"/>
      <c r="O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en_mi_debilidad.html</v>
      </c>
      <c r="R621" s="1" t="s">
        <v>834</v>
      </c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621" s="15" t="str">
        <f>_xlfn.TEXTBEFORE(_xlfn.TEXTAFTER(CantoralDB[[#This Row],[index.html]],"&gt;"),"&gt;")&amp;"&gt;"</f>
        <v>&lt;a href="canciones/brotes_de_olivo/en_mi_debilidad.html"&gt;</v>
      </c>
      <c r="Y621" s="1"/>
    </row>
    <row r="622" spans="1:25" hidden="1" x14ac:dyDescent="0.3">
      <c r="A622" s="1">
        <f>ROW(CantoralDB[[#This Row],[Título]])-1</f>
        <v>621</v>
      </c>
      <c r="B622" s="1" t="s">
        <v>60</v>
      </c>
      <c r="C622" s="1" t="s">
        <v>997</v>
      </c>
      <c r="D622" s="1" t="s">
        <v>707</v>
      </c>
      <c r="E622" s="1">
        <v>424</v>
      </c>
      <c r="G622" s="1" t="s">
        <v>209</v>
      </c>
      <c r="H622" s="1" t="s">
        <v>1034</v>
      </c>
      <c r="I622" s="1" t="s">
        <v>612</v>
      </c>
      <c r="L622" s="15" t="s">
        <v>632</v>
      </c>
      <c r="M622" s="15"/>
      <c r="N622" s="15"/>
      <c r="O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en_mi_getsemani.html</v>
      </c>
      <c r="R622" s="1" t="s">
        <v>835</v>
      </c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622" s="15" t="str">
        <f>_xlfn.TEXTBEFORE(_xlfn.TEXTAFTER(CantoralDB[[#This Row],[index.html]],"&gt;"),"&gt;")&amp;"&gt;"</f>
        <v>&lt;a href="canciones/nsb/en_mi_getsemani.html"&gt;</v>
      </c>
      <c r="Y622" s="1"/>
    </row>
    <row r="623" spans="1:25" hidden="1" x14ac:dyDescent="0.3">
      <c r="A623" s="1">
        <f>ROW(CantoralDB[[#This Row],[Título]])-1</f>
        <v>622</v>
      </c>
      <c r="B623" s="1" t="s">
        <v>3603</v>
      </c>
      <c r="C623" s="1"/>
      <c r="F623" s="1">
        <v>269</v>
      </c>
      <c r="I623" s="1"/>
      <c r="L623" s="15" t="s">
        <v>3604</v>
      </c>
      <c r="M623" s="15"/>
      <c r="N623" s="15"/>
      <c r="O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en_momentos_asi.html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623" s="15" t="str">
        <f>_xlfn.TEXTBEFORE(_xlfn.TEXTAFTER(CantoralDB[[#This Row],[index.html]],"&gt;"),"&gt;")&amp;"&gt;"</f>
        <v>&lt;a href="canciones/nuevas/en_momentos_asi.html"&gt;</v>
      </c>
      <c r="Y623" s="1"/>
    </row>
    <row r="624" spans="1:25" x14ac:dyDescent="0.3">
      <c r="A624" s="1">
        <f>ROW(CantoralDB[[#This Row],[Título]])-1</f>
        <v>623</v>
      </c>
      <c r="B624" s="1" t="s">
        <v>903</v>
      </c>
      <c r="C624" s="1" t="s">
        <v>1025</v>
      </c>
      <c r="D624" s="1" t="s">
        <v>1151</v>
      </c>
      <c r="H624" s="1" t="s">
        <v>1053</v>
      </c>
      <c r="I624" s="1" t="s">
        <v>612</v>
      </c>
      <c r="L624" s="15" t="s">
        <v>1991</v>
      </c>
      <c r="M624" s="15"/>
      <c r="N624" s="15"/>
      <c r="O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624" s="1"/>
      <c r="S624" s="1" t="s">
        <v>336</v>
      </c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624" s="15" t="str">
        <f>_xlfn.TEXTBEFORE(_xlfn.TEXTAFTER(CantoralDB[[#This Row],[index.html]],"&gt;"),"&gt;")&amp;"&gt;"</f>
        <v>&lt;a href="canciones/taize/dans_nos_obscurites.html"&gt;</v>
      </c>
      <c r="Y624" s="1"/>
    </row>
    <row r="625" spans="1:25" hidden="1" x14ac:dyDescent="0.3">
      <c r="A625" s="1">
        <f>ROW(CantoralDB[[#This Row],[Título]])-1</f>
        <v>624</v>
      </c>
      <c r="B625" s="1" t="s">
        <v>1942</v>
      </c>
      <c r="C625" s="1"/>
      <c r="I625" s="1" t="s">
        <v>612</v>
      </c>
      <c r="L625" s="15" t="s">
        <v>1804</v>
      </c>
      <c r="M625" s="15" t="s">
        <v>1945</v>
      </c>
      <c r="N625" s="15">
        <v>4</v>
      </c>
      <c r="O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en_parabolas.html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href="canciones/ruah/en_parabolas.html"&gt;En parábolas&lt;/a&gt;&lt;/li&gt;</v>
      </c>
      <c r="U625" s="15" t="str">
        <f>_xlfn.TEXTBEFORE(_xlfn.TEXTAFTER(CantoralDB[[#This Row],[index.html]],"&gt;"),"&gt;")&amp;"&gt;"</f>
        <v>&lt;a href="canciones/ruah/en_parabolas.html"&gt;</v>
      </c>
      <c r="Y625" s="1"/>
    </row>
    <row r="626" spans="1:25" hidden="1" x14ac:dyDescent="0.3">
      <c r="A626" s="1">
        <f>ROW(CantoralDB[[#This Row],[Título]])-1</f>
        <v>625</v>
      </c>
      <c r="B626" s="1" t="s">
        <v>3703</v>
      </c>
      <c r="C626" s="1"/>
      <c r="F626" s="1">
        <v>367</v>
      </c>
      <c r="I626" s="1"/>
      <c r="L626" s="15" t="s">
        <v>3704</v>
      </c>
      <c r="M626" s="15"/>
      <c r="N626" s="15"/>
      <c r="O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en_presencia.html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626" s="15" t="str">
        <f>_xlfn.TEXTBEFORE(_xlfn.TEXTAFTER(CantoralDB[[#This Row],[index.html]],"&gt;"),"&gt;")&amp;"&gt;"</f>
        <v>&lt;a href="canciones/nuevas/en_presencia.html"&gt;</v>
      </c>
      <c r="Y626" s="1"/>
    </row>
    <row r="627" spans="1:25" hidden="1" x14ac:dyDescent="0.3">
      <c r="A627" s="1">
        <f>ROW(CantoralDB[[#This Row],[Título]])-1</f>
        <v>626</v>
      </c>
      <c r="B627" s="1" t="s">
        <v>1770</v>
      </c>
      <c r="C627" s="1"/>
      <c r="I627" s="1"/>
      <c r="L627" s="15" t="s">
        <v>484</v>
      </c>
      <c r="M627" s="15" t="s">
        <v>1544</v>
      </c>
      <c r="N627" s="15">
        <v>8</v>
      </c>
      <c r="O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en_que_mundo_vives.html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627" s="15" t="str">
        <f>_xlfn.TEXTBEFORE(_xlfn.TEXTAFTER(CantoralDB[[#This Row],[index.html]],"&gt;"),"&gt;")&amp;"&gt;"</f>
        <v>&lt;a href="canciones/kairoi/en_que_mundo_vives.html"&gt;</v>
      </c>
      <c r="Y627" s="1"/>
    </row>
    <row r="628" spans="1:25" hidden="1" x14ac:dyDescent="0.3">
      <c r="A628" s="1">
        <f>ROW(CantoralDB[[#This Row],[Título]])-1</f>
        <v>627</v>
      </c>
      <c r="B628" s="1" t="s">
        <v>3368</v>
      </c>
      <c r="C628" s="1"/>
      <c r="F628" s="1">
        <v>34</v>
      </c>
      <c r="I628" s="1"/>
      <c r="L628" s="15" t="s">
        <v>543</v>
      </c>
      <c r="M628" s="15"/>
      <c r="N628" s="15"/>
      <c r="O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en_quien_me_fijare.html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628" s="15" t="str">
        <f>_xlfn.TEXTBEFORE(_xlfn.TEXTAFTER(CantoralDB[[#This Row],[index.html]],"&gt;"),"&gt;")&amp;"&gt;"</f>
        <v>&lt;a href="canciones/josep_asuncion/en_quien_me_fijare.html"&gt;</v>
      </c>
      <c r="Y628" s="1"/>
    </row>
    <row r="629" spans="1:25" hidden="1" x14ac:dyDescent="0.3">
      <c r="A629" s="1">
        <f>ROW(CantoralDB[[#This Row],[Título]])-1</f>
        <v>628</v>
      </c>
      <c r="B629" s="1" t="s">
        <v>1931</v>
      </c>
      <c r="C629" s="1"/>
      <c r="I629" s="1" t="s">
        <v>612</v>
      </c>
      <c r="L629" s="15" t="s">
        <v>1804</v>
      </c>
      <c r="M629" s="15" t="s">
        <v>1952</v>
      </c>
      <c r="N629" s="15">
        <v>6</v>
      </c>
      <c r="O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en_quien_si_no.html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href="canciones/ruah/en_quien_si_no.html"&gt;En quién si no&lt;/a&gt;&lt;/li&gt;</v>
      </c>
      <c r="U629" s="15" t="str">
        <f>_xlfn.TEXTBEFORE(_xlfn.TEXTAFTER(CantoralDB[[#This Row],[index.html]],"&gt;"),"&gt;")&amp;"&gt;"</f>
        <v>&lt;a href="canciones/ruah/en_quien_si_no.html"&gt;</v>
      </c>
      <c r="Y629" s="1"/>
    </row>
    <row r="630" spans="1:25" hidden="1" x14ac:dyDescent="0.3">
      <c r="A630" s="1">
        <f>ROW(CantoralDB[[#This Row],[Título]])-1</f>
        <v>629</v>
      </c>
      <c r="B630" s="1" t="s">
        <v>1870</v>
      </c>
      <c r="C630" s="1"/>
      <c r="I630" s="1" t="s">
        <v>612</v>
      </c>
      <c r="L630" s="15" t="s">
        <v>501</v>
      </c>
      <c r="M630" s="15" t="s">
        <v>1554</v>
      </c>
      <c r="N630" s="15">
        <v>18</v>
      </c>
      <c r="O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href="canciones/ain_karem/en_ti.html"&gt;En ti&lt;/a&gt;&lt;/li&gt;</v>
      </c>
      <c r="U630" s="15" t="str">
        <f>_xlfn.TEXTBEFORE(_xlfn.TEXTAFTER(CantoralDB[[#This Row],[index.html]],"&gt;"),"&gt;")&amp;"&gt;"</f>
        <v>&lt;a href="canciones/ain_karem/en_ti.html"&gt;</v>
      </c>
      <c r="Y630" s="1"/>
    </row>
    <row r="631" spans="1:25" hidden="1" x14ac:dyDescent="0.3">
      <c r="A631" s="1">
        <f>ROW(CantoralDB[[#This Row],[Título]])-1</f>
        <v>630</v>
      </c>
      <c r="B631" s="1" t="s">
        <v>3600</v>
      </c>
      <c r="C631" s="1"/>
      <c r="F631" s="1">
        <v>266</v>
      </c>
      <c r="I631" s="1"/>
      <c r="L631" s="15" t="s">
        <v>3451</v>
      </c>
      <c r="M631" s="15"/>
      <c r="N631" s="15"/>
      <c r="O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en_ti_esta_la_fuente_de_la_vida.html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631" s="15" t="str">
        <f>_xlfn.TEXTBEFORE(_xlfn.TEXTAFTER(CantoralDB[[#This Row],[index.html]],"&gt;"),"&gt;")&amp;"&gt;"</f>
        <v>&lt;a href="canciones/rosa_cruz/en_ti_esta_la_fuente_de_la_vida.html"&gt;</v>
      </c>
      <c r="Y631" s="1"/>
    </row>
    <row r="632" spans="1:25" hidden="1" x14ac:dyDescent="0.3">
      <c r="A632" s="1">
        <f>ROW(CantoralDB[[#This Row],[Título]])-1</f>
        <v>631</v>
      </c>
      <c r="B632" s="1" t="s">
        <v>1731</v>
      </c>
      <c r="C632" s="1"/>
      <c r="I632" s="1" t="s">
        <v>612</v>
      </c>
      <c r="L632" s="15" t="s">
        <v>484</v>
      </c>
      <c r="M632" s="15" t="s">
        <v>1540</v>
      </c>
      <c r="N632" s="15">
        <v>8</v>
      </c>
      <c r="O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en_ti_solo_descanso.html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632" s="15" t="str">
        <f>_xlfn.TEXTBEFORE(_xlfn.TEXTAFTER(CantoralDB[[#This Row],[index.html]],"&gt;"),"&gt;")&amp;"&gt;"</f>
        <v>&lt;a href="canciones/kairoi/en_ti_solo_descanso.html"&gt;</v>
      </c>
      <c r="Y632" s="1"/>
    </row>
    <row r="633" spans="1:25" hidden="1" x14ac:dyDescent="0.3">
      <c r="A633" s="1">
        <f>ROW(CantoralDB[[#This Row],[Título]])-1</f>
        <v>632</v>
      </c>
      <c r="B633" s="1" t="s">
        <v>1651</v>
      </c>
      <c r="C633" s="1"/>
      <c r="I633" s="1" t="s">
        <v>612</v>
      </c>
      <c r="L633" s="15" t="s">
        <v>484</v>
      </c>
      <c r="M633" s="15" t="s">
        <v>1539</v>
      </c>
      <c r="N633" s="15">
        <v>7</v>
      </c>
      <c r="O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en_torno_al_pan.html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633" s="15" t="str">
        <f>_xlfn.TEXTBEFORE(_xlfn.TEXTAFTER(CantoralDB[[#This Row],[index.html]],"&gt;"),"&gt;")&amp;"&gt;"</f>
        <v>&lt;a href="canciones/kairoi/en_torno_al_pan.html"&gt;</v>
      </c>
      <c r="Y633" s="1"/>
    </row>
    <row r="634" spans="1:25" hidden="1" x14ac:dyDescent="0.3">
      <c r="A634" s="1">
        <f>ROW(CantoralDB[[#This Row],[Título]])-1</f>
        <v>633</v>
      </c>
      <c r="B634" s="1" t="s">
        <v>1600</v>
      </c>
      <c r="C634" s="1"/>
      <c r="I634" s="1" t="s">
        <v>612</v>
      </c>
      <c r="L634" s="15" t="s">
        <v>484</v>
      </c>
      <c r="M634" s="15" t="s">
        <v>1529</v>
      </c>
      <c r="N634" s="15">
        <v>2</v>
      </c>
      <c r="O6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en_tu_cruz_sigues_hoy.html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634" s="15" t="str">
        <f>_xlfn.TEXTBEFORE(_xlfn.TEXTAFTER(CantoralDB[[#This Row],[index.html]],"&gt;"),"&gt;")&amp;"&gt;"</f>
        <v>&lt;a href="canciones/kairoi/en_tu_cruz_sigues_hoy.html"&gt;</v>
      </c>
      <c r="Y634" s="1"/>
    </row>
    <row r="635" spans="1:25" hidden="1" x14ac:dyDescent="0.3">
      <c r="A635" s="1">
        <f>ROW(CantoralDB[[#This Row],[Título]])-1</f>
        <v>634</v>
      </c>
      <c r="B635" s="1" t="s">
        <v>3087</v>
      </c>
      <c r="C635" s="15"/>
      <c r="I635" s="1" t="s">
        <v>612</v>
      </c>
      <c r="L635" s="15" t="s">
        <v>3104</v>
      </c>
      <c r="M635" s="15"/>
      <c r="N635" s="15"/>
      <c r="O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enamorame_de_ti.html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635" s="15" t="str">
        <f>_xlfn.TEXTBEFORE(_xlfn.TEXTAFTER(CantoralDB[[#This Row],[index.html]],"&gt;"),"&gt;")&amp;"&gt;"</f>
        <v>&lt;a href="canciones/nuevas/enamorame_de_ti.html"&gt;</v>
      </c>
      <c r="Y635" s="1"/>
    </row>
    <row r="636" spans="1:25" hidden="1" x14ac:dyDescent="0.3">
      <c r="A636" s="1">
        <f>ROW(CantoralDB[[#This Row],[Título]])-1</f>
        <v>635</v>
      </c>
      <c r="B636" s="1" t="s">
        <v>3791</v>
      </c>
      <c r="C636" s="1"/>
      <c r="F636" s="1">
        <v>436</v>
      </c>
      <c r="I636" s="1"/>
      <c r="L636" s="15" t="s">
        <v>3340</v>
      </c>
      <c r="M636" s="15"/>
      <c r="N636" s="15"/>
      <c r="O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enciende_una_luz.html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636" s="15" t="str">
        <f>_xlfn.TEXTBEFORE(_xlfn.TEXTAFTER(CantoralDB[[#This Row],[index.html]],"&gt;"),"&gt;")&amp;"&gt;"</f>
        <v>&lt;a href="canciones/marcos_witt/enciende_una_luz.html"&gt;</v>
      </c>
      <c r="Y636" s="1"/>
    </row>
    <row r="637" spans="1:25" hidden="1" x14ac:dyDescent="0.3">
      <c r="A637" s="1">
        <f>ROW(CantoralDB[[#This Row],[Título]])-1</f>
        <v>636</v>
      </c>
      <c r="B637" s="1" t="s">
        <v>264</v>
      </c>
      <c r="C637" s="1" t="s">
        <v>191</v>
      </c>
      <c r="D637" s="1" t="s">
        <v>742</v>
      </c>
      <c r="G637" s="1" t="s">
        <v>261</v>
      </c>
      <c r="H637" s="1" t="s">
        <v>1037</v>
      </c>
      <c r="I637" s="1" t="s">
        <v>612</v>
      </c>
      <c r="L637" s="15" t="s">
        <v>261</v>
      </c>
      <c r="M637" s="15"/>
      <c r="N637" s="15"/>
      <c r="O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enciendeme.html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637" s="15" t="str">
        <f>_xlfn.TEXTBEFORE(_xlfn.TEXTAFTER(CantoralDB[[#This Row],[index.html]],"&gt;"),"&gt;")&amp;"&gt;"</f>
        <v>&lt;a href="canciones/hakuna/enciendeme.html"&gt;</v>
      </c>
      <c r="Y637" s="1"/>
    </row>
    <row r="638" spans="1:25" hidden="1" x14ac:dyDescent="0.3">
      <c r="A638" s="1">
        <f>ROW(CantoralDB[[#This Row],[Título]])-1</f>
        <v>637</v>
      </c>
      <c r="B638" s="1" t="s">
        <v>3259</v>
      </c>
      <c r="C638" s="1"/>
      <c r="I638" s="1"/>
      <c r="L638" s="15" t="s">
        <v>3160</v>
      </c>
      <c r="M638" s="15" t="s">
        <v>3248</v>
      </c>
      <c r="N638" s="15">
        <v>13</v>
      </c>
      <c r="O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enseñame_a_orar.html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href="canciones/hermana_glenda/enseñame_a_orar.html"&gt;Enséñame a orar&lt;/a&gt;&lt;/li&gt;</v>
      </c>
      <c r="U638" s="15" t="str">
        <f>_xlfn.TEXTBEFORE(_xlfn.TEXTAFTER(CantoralDB[[#This Row],[index.html]],"&gt;"),"&gt;")&amp;"&gt;"</f>
        <v>&lt;a href="canciones/hermana_glenda/enseñame_a_orar.html"&gt;</v>
      </c>
      <c r="Y638" s="1"/>
    </row>
    <row r="639" spans="1:25" hidden="1" x14ac:dyDescent="0.3">
      <c r="A639" s="1">
        <f>ROW(CantoralDB[[#This Row],[Título]])-1</f>
        <v>638</v>
      </c>
      <c r="B639" s="1" t="s">
        <v>3562</v>
      </c>
      <c r="C639" s="1"/>
      <c r="F639" s="1">
        <v>221</v>
      </c>
      <c r="I639" s="1"/>
      <c r="L639" s="15" t="s">
        <v>3563</v>
      </c>
      <c r="M639" s="15"/>
      <c r="N639" s="15"/>
      <c r="O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enseñame_tu_camino_señor.html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639" s="15" t="str">
        <f>_xlfn.TEXTBEFORE(_xlfn.TEXTAFTER(CantoralDB[[#This Row],[index.html]],"&gt;"),"&gt;")&amp;"&gt;"</f>
        <v>&lt;a href="canciones/nuevas/enseñame_tu_camino_señor.html"&gt;</v>
      </c>
    </row>
    <row r="640" spans="1:25" hidden="1" x14ac:dyDescent="0.3">
      <c r="A640" s="1">
        <f>ROW(CantoralDB[[#This Row],[Título]])-1</f>
        <v>639</v>
      </c>
      <c r="B640" s="1" t="s">
        <v>1287</v>
      </c>
      <c r="C640" s="1"/>
      <c r="E640" s="1">
        <v>105</v>
      </c>
      <c r="I640" s="1"/>
      <c r="L640" s="15" t="s">
        <v>483</v>
      </c>
      <c r="M640" s="15"/>
      <c r="N640" s="15"/>
      <c r="O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enseñame_señor_tus_caminos.html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640" s="15" t="str">
        <f>_xlfn.TEXTBEFORE(_xlfn.TEXTAFTER(CantoralDB[[#This Row],[index.html]],"&gt;"),"&gt;")&amp;"&gt;"</f>
        <v>&lt;a href="canciones/cesareo_gabarain/enseñame_señor_tus_caminos.html"&gt;</v>
      </c>
    </row>
    <row r="641" spans="1:21" hidden="1" x14ac:dyDescent="0.3">
      <c r="A641" s="1">
        <f>ROW(CantoralDB[[#This Row],[Título]])-1</f>
        <v>640</v>
      </c>
      <c r="B641" s="1" t="s">
        <v>1596</v>
      </c>
      <c r="C641" s="1"/>
      <c r="I641" s="1" t="s">
        <v>612</v>
      </c>
      <c r="L641" s="15" t="s">
        <v>484</v>
      </c>
      <c r="M641" s="15" t="s">
        <v>1528</v>
      </c>
      <c r="N641" s="15">
        <v>6</v>
      </c>
      <c r="O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enseñanos_a_orar.html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641" s="15" t="str">
        <f>_xlfn.TEXTBEFORE(_xlfn.TEXTAFTER(CantoralDB[[#This Row],[index.html]],"&gt;"),"&gt;")&amp;"&gt;"</f>
        <v>&lt;a href="canciones/kairoi/enseñanos_a_orar.html"&gt;</v>
      </c>
    </row>
    <row r="642" spans="1:21" hidden="1" x14ac:dyDescent="0.3">
      <c r="A642" s="1">
        <f>ROW(CantoralDB[[#This Row],[Título]])-1</f>
        <v>641</v>
      </c>
      <c r="B642" s="1" t="s">
        <v>1788</v>
      </c>
      <c r="C642" s="1"/>
      <c r="I642" s="1"/>
      <c r="L642" s="15" t="s">
        <v>484</v>
      </c>
      <c r="M642" s="15" t="s">
        <v>1546</v>
      </c>
      <c r="N642" s="15">
        <v>3</v>
      </c>
      <c r="O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entorno_al_pan.html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642" s="15" t="str">
        <f>_xlfn.TEXTBEFORE(_xlfn.TEXTAFTER(CantoralDB[[#This Row],[index.html]],"&gt;"),"&gt;")&amp;"&gt;"</f>
        <v>&lt;a href="canciones/kairoi/entorno_al_pan.html"&gt;</v>
      </c>
    </row>
    <row r="643" spans="1:21" hidden="1" x14ac:dyDescent="0.3">
      <c r="A643" s="1">
        <f>ROW(CantoralDB[[#This Row],[Título]])-1</f>
        <v>642</v>
      </c>
      <c r="B643" s="1" t="s">
        <v>3088</v>
      </c>
      <c r="C643" s="15"/>
      <c r="I643" s="1" t="s">
        <v>612</v>
      </c>
      <c r="L643" s="15" t="s">
        <v>3105</v>
      </c>
      <c r="M643" s="15"/>
      <c r="N643" s="15"/>
      <c r="O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entra_en_el_corazon_de_dios.html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643" s="15" t="str">
        <f>_xlfn.TEXTBEFORE(_xlfn.TEXTAFTER(CantoralDB[[#This Row],[index.html]],"&gt;"),"&gt;")&amp;"&gt;"</f>
        <v>&lt;a href="canciones/nuevas/entra_en_el_corazon_de_dios.html"&gt;</v>
      </c>
    </row>
    <row r="644" spans="1:21" hidden="1" x14ac:dyDescent="0.3">
      <c r="A644" s="1">
        <f>ROW(CantoralDB[[#This Row],[Título]])-1</f>
        <v>643</v>
      </c>
      <c r="B644" s="1" t="s">
        <v>3731</v>
      </c>
      <c r="C644" s="1"/>
      <c r="F644" s="1">
        <v>389</v>
      </c>
      <c r="I644" s="1"/>
      <c r="L644" s="15" t="s">
        <v>3732</v>
      </c>
      <c r="M644" s="15"/>
      <c r="N644" s="15"/>
      <c r="O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entra_en_la_presencia.html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644" s="15" t="str">
        <f>_xlfn.TEXTBEFORE(_xlfn.TEXTAFTER(CantoralDB[[#This Row],[index.html]],"&gt;"),"&gt;")&amp;"&gt;"</f>
        <v>&lt;a href="canciones/nuevas/entra_en_la_presencia.html"&gt;</v>
      </c>
    </row>
    <row r="645" spans="1:21" hidden="1" x14ac:dyDescent="0.3">
      <c r="A645" s="1">
        <f>ROW(CantoralDB[[#This Row],[Título]])-1</f>
        <v>644</v>
      </c>
      <c r="B645" s="1" t="s">
        <v>2043</v>
      </c>
      <c r="C645" s="1"/>
      <c r="I645" s="1" t="s">
        <v>612</v>
      </c>
      <c r="L645" s="15" t="s">
        <v>261</v>
      </c>
      <c r="M645" s="15"/>
      <c r="N645" s="15"/>
      <c r="O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entre_anestesias.html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645" s="15" t="str">
        <f>_xlfn.TEXTBEFORE(_xlfn.TEXTAFTER(CantoralDB[[#This Row],[index.html]],"&gt;"),"&gt;")&amp;"&gt;"</f>
        <v>&lt;a href="canciones/hakuna/entre_anestesias.html"&gt;</v>
      </c>
    </row>
    <row r="646" spans="1:21" hidden="1" x14ac:dyDescent="0.3">
      <c r="A646" s="1">
        <f>ROW(CantoralDB[[#This Row],[Título]])-1</f>
        <v>645</v>
      </c>
      <c r="B646" s="1" t="s">
        <v>3407</v>
      </c>
      <c r="C646" s="1"/>
      <c r="F646" s="1">
        <v>69</v>
      </c>
      <c r="I646" s="1"/>
      <c r="L646" s="15" t="s">
        <v>799</v>
      </c>
      <c r="M646" s="15"/>
      <c r="N646" s="15"/>
      <c r="O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entregame.html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href="canciones/nuevas/entregame.html"&gt;Entrégame&lt;/a&gt;&lt;/li&gt;</v>
      </c>
      <c r="U646" s="15" t="str">
        <f>_xlfn.TEXTBEFORE(_xlfn.TEXTAFTER(CantoralDB[[#This Row],[index.html]],"&gt;"),"&gt;")&amp;"&gt;"</f>
        <v>&lt;a href="canciones/nuevas/entregame.html"&gt;</v>
      </c>
    </row>
    <row r="647" spans="1:21" hidden="1" x14ac:dyDescent="0.3">
      <c r="A647" s="1">
        <f>ROW(CantoralDB[[#This Row],[Título]])-1</f>
        <v>646</v>
      </c>
      <c r="B647" s="1" t="s">
        <v>1288</v>
      </c>
      <c r="C647" s="1"/>
      <c r="E647" s="1">
        <v>109</v>
      </c>
      <c r="I647" s="1"/>
      <c r="L647" s="15" t="s">
        <v>799</v>
      </c>
      <c r="M647" s="15"/>
      <c r="N647" s="15"/>
      <c r="O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envia_tu_espiritu_señor.html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647" s="15" t="str">
        <f>_xlfn.TEXTBEFORE(_xlfn.TEXTAFTER(CantoralDB[[#This Row],[index.html]],"&gt;"),"&gt;")&amp;"&gt;"</f>
        <v>&lt;a href="canciones/nsb/envia_tu_espiritu_señor.html"&gt;</v>
      </c>
    </row>
    <row r="648" spans="1:21" hidden="1" x14ac:dyDescent="0.3">
      <c r="A648" s="1">
        <f>ROW(CantoralDB[[#This Row],[Título]])-1</f>
        <v>647</v>
      </c>
      <c r="B648" s="1" t="s">
        <v>214</v>
      </c>
      <c r="C648" s="1" t="s">
        <v>997</v>
      </c>
      <c r="D648" s="1" t="s">
        <v>708</v>
      </c>
      <c r="G648" s="1" t="s">
        <v>213</v>
      </c>
      <c r="H648" s="1" t="s">
        <v>1034</v>
      </c>
      <c r="I648" s="1" t="s">
        <v>612</v>
      </c>
      <c r="L648" s="15" t="s">
        <v>499</v>
      </c>
      <c r="M648" s="15"/>
      <c r="N648" s="15"/>
      <c r="O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enviame.html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648" s="15" t="str">
        <f>_xlfn.TEXTBEFORE(_xlfn.TEXTAFTER(CantoralDB[[#This Row],[index.html]],"&gt;"),"&gt;")&amp;"&gt;"</f>
        <v>&lt;a href="canciones/brotes_de_olivo/enviame.html"&gt;</v>
      </c>
    </row>
    <row r="649" spans="1:21" hidden="1" x14ac:dyDescent="0.3">
      <c r="A649" s="1">
        <f>ROW(CantoralDB[[#This Row],[Título]])-1</f>
        <v>648</v>
      </c>
      <c r="B649" s="1" t="s">
        <v>1913</v>
      </c>
      <c r="C649" s="1"/>
      <c r="I649" s="1" t="s">
        <v>612</v>
      </c>
      <c r="L649" s="15" t="s">
        <v>1804</v>
      </c>
      <c r="M649" s="15" t="s">
        <v>1950</v>
      </c>
      <c r="N649" s="15">
        <v>10</v>
      </c>
      <c r="O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envianos_sin_miedo.html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649" s="15" t="str">
        <f>_xlfn.TEXTBEFORE(_xlfn.TEXTAFTER(CantoralDB[[#This Row],[index.html]],"&gt;"),"&gt;")&amp;"&gt;"</f>
        <v>&lt;a href="canciones/ruah/envianos_sin_miedo.html"&gt;</v>
      </c>
    </row>
    <row r="650" spans="1:21" hidden="1" x14ac:dyDescent="0.3">
      <c r="A650" s="1">
        <f>ROW(CantoralDB[[#This Row],[Título]])-1</f>
        <v>649</v>
      </c>
      <c r="B650" s="1" t="s">
        <v>61</v>
      </c>
      <c r="C650" s="1" t="s">
        <v>191</v>
      </c>
      <c r="D650" s="1" t="s">
        <v>743</v>
      </c>
      <c r="E650" s="1">
        <v>111</v>
      </c>
      <c r="G650" s="1" t="s">
        <v>209</v>
      </c>
      <c r="H650" s="1" t="s">
        <v>1038</v>
      </c>
      <c r="I650" s="1" t="s">
        <v>612</v>
      </c>
      <c r="L650" s="15" t="s">
        <v>484</v>
      </c>
      <c r="M650" s="15" t="s">
        <v>1534</v>
      </c>
      <c r="N650" s="15">
        <v>1</v>
      </c>
      <c r="O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eres_el_fuego_el_amor.html</v>
      </c>
      <c r="R650" s="1" t="s">
        <v>836</v>
      </c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50" s="15" t="str">
        <f>_xlfn.TEXTBEFORE(_xlfn.TEXTAFTER(CantoralDB[[#This Row],[index.html]],"&gt;"),"&gt;")&amp;"&gt;"</f>
        <v>&lt;a href="canciones/kairoi/eres_el_fuego_el_amor.html"&gt;</v>
      </c>
    </row>
    <row r="651" spans="1:21" hidden="1" x14ac:dyDescent="0.3">
      <c r="A651" s="1">
        <f>ROW(CantoralDB[[#This Row],[Título]])-1</f>
        <v>650</v>
      </c>
      <c r="B651" s="1" t="s">
        <v>2094</v>
      </c>
      <c r="C651" s="1"/>
      <c r="I651" s="1"/>
      <c r="L651" s="15" t="s">
        <v>481</v>
      </c>
      <c r="M651" s="15" t="s">
        <v>2097</v>
      </c>
      <c r="N651" s="15">
        <v>10</v>
      </c>
      <c r="O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eres_madre_dolorosa.html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651" s="15" t="str">
        <f>_xlfn.TEXTBEFORE(_xlfn.TEXTAFTER(CantoralDB[[#This Row],[index.html]],"&gt;"),"&gt;")&amp;"&gt;"</f>
        <v>&lt;a href="canciones/francisco_palazon/eres_madre_dolorosa.html"&gt;</v>
      </c>
    </row>
    <row r="652" spans="1:21" hidden="1" x14ac:dyDescent="0.3">
      <c r="A652" s="1">
        <f>ROW(CantoralDB[[#This Row],[Título]])-1</f>
        <v>651</v>
      </c>
      <c r="B652" s="1" t="s">
        <v>3773</v>
      </c>
      <c r="C652" s="1"/>
      <c r="F652" s="1">
        <v>420</v>
      </c>
      <c r="I652" s="1"/>
      <c r="L652" s="15" t="s">
        <v>3770</v>
      </c>
      <c r="M652" s="15"/>
      <c r="N652" s="15"/>
      <c r="O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eres_mi_respirar.html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652" s="15" t="str">
        <f>_xlfn.TEXTBEFORE(_xlfn.TEXTAFTER(CantoralDB[[#This Row],[index.html]],"&gt;"),"&gt;")&amp;"&gt;"</f>
        <v>&lt;a href="canciones/nuevas/eres_mi_respirar.html"&gt;</v>
      </c>
    </row>
    <row r="653" spans="1:21" hidden="1" x14ac:dyDescent="0.3">
      <c r="A653" s="1">
        <f>ROW(CantoralDB[[#This Row],[Título]])-1</f>
        <v>652</v>
      </c>
      <c r="B653" s="1" t="s">
        <v>62</v>
      </c>
      <c r="C653" s="1" t="s">
        <v>997</v>
      </c>
      <c r="D653" s="1" t="s">
        <v>709</v>
      </c>
      <c r="E653" s="1">
        <v>106</v>
      </c>
      <c r="G653" s="1" t="s">
        <v>209</v>
      </c>
      <c r="H653" s="1" t="s">
        <v>1053</v>
      </c>
      <c r="I653" s="1" t="s">
        <v>612</v>
      </c>
      <c r="L653" s="15" t="s">
        <v>483</v>
      </c>
      <c r="M653" s="15"/>
      <c r="N653" s="15"/>
      <c r="O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eres_mi_riqueza.html</v>
      </c>
      <c r="R653" s="1" t="s">
        <v>837</v>
      </c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653" s="15" t="str">
        <f>_xlfn.TEXTBEFORE(_xlfn.TEXTAFTER(CantoralDB[[#This Row],[index.html]],"&gt;"),"&gt;")&amp;"&gt;"</f>
        <v>&lt;a href="canciones/cesareo_gabarain/eres_mi_riqueza.html"&gt;</v>
      </c>
    </row>
    <row r="654" spans="1:21" hidden="1" x14ac:dyDescent="0.3">
      <c r="A654" s="1">
        <f>ROW(CantoralDB[[#This Row],[Título]])-1</f>
        <v>653</v>
      </c>
      <c r="B654" s="1" t="s">
        <v>3379</v>
      </c>
      <c r="C654" s="1"/>
      <c r="F654" s="1">
        <v>46</v>
      </c>
      <c r="I654" s="1"/>
      <c r="L654" s="15" t="s">
        <v>3381</v>
      </c>
      <c r="M654" s="15"/>
      <c r="N654" s="15"/>
      <c r="O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eres_tu_palabra_de_vida.html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654" s="15" t="str">
        <f>_xlfn.TEXTBEFORE(_xlfn.TEXTAFTER(CantoralDB[[#This Row],[index.html]],"&gt;"),"&gt;")&amp;"&gt;"</f>
        <v>&lt;a href="canciones/nuevas/eres_tu_palabra_de_vida.html"&gt;</v>
      </c>
    </row>
    <row r="655" spans="1:21" hidden="1" x14ac:dyDescent="0.3">
      <c r="A655" s="1">
        <f>ROW(CantoralDB[[#This Row],[Título]])-1</f>
        <v>654</v>
      </c>
      <c r="B655" s="1" t="s">
        <v>2180</v>
      </c>
      <c r="C655" s="1"/>
      <c r="E655" s="1">
        <v>108</v>
      </c>
      <c r="I655" s="1" t="s">
        <v>612</v>
      </c>
      <c r="L655" s="15" t="s">
        <v>491</v>
      </c>
      <c r="M655" s="15"/>
      <c r="N655" s="15"/>
      <c r="O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errante_voy.html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655" s="15" t="str">
        <f>_xlfn.TEXTBEFORE(_xlfn.TEXTAFTER(CantoralDB[[#This Row],[index.html]],"&gt;"),"&gt;")&amp;"&gt;"</f>
        <v>&lt;a href="canciones/juan_antonio_espinosa/errante_voy.html"&gt;</v>
      </c>
    </row>
    <row r="656" spans="1:21" hidden="1" x14ac:dyDescent="0.3">
      <c r="A656" s="1">
        <f>ROW(CantoralDB[[#This Row],[Título]])-1</f>
        <v>655</v>
      </c>
      <c r="B656" s="1" t="s">
        <v>3143</v>
      </c>
      <c r="C656" s="1"/>
      <c r="I656" s="1" t="s">
        <v>612</v>
      </c>
      <c r="L656" s="15" t="s">
        <v>481</v>
      </c>
      <c r="M656" s="15" t="s">
        <v>1974</v>
      </c>
      <c r="N656" s="15">
        <v>4</v>
      </c>
      <c r="O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es_bueno_dar_gracias_al_señor.html</v>
      </c>
      <c r="R656" s="1" t="s">
        <v>3131</v>
      </c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656" s="15" t="str">
        <f>_xlfn.TEXTBEFORE(_xlfn.TEXTAFTER(CantoralDB[[#This Row],[index.html]],"&gt;"),"&gt;")&amp;"&gt;"</f>
        <v>&lt;a href="canciones/francisco_palazon/es_bueno_dar_gracias_al_señor.html"&gt;</v>
      </c>
    </row>
    <row r="657" spans="1:21" hidden="1" x14ac:dyDescent="0.3">
      <c r="A657" s="1">
        <f>ROW(CantoralDB[[#This Row],[Título]])-1</f>
        <v>656</v>
      </c>
      <c r="B657" s="1" t="s">
        <v>63</v>
      </c>
      <c r="C657" s="1" t="s">
        <v>997</v>
      </c>
      <c r="D657" s="1" t="s">
        <v>710</v>
      </c>
      <c r="E657" s="1">
        <v>425</v>
      </c>
      <c r="G657" s="1" t="s">
        <v>209</v>
      </c>
      <c r="H657" s="1" t="s">
        <v>532</v>
      </c>
      <c r="I657" s="1" t="s">
        <v>612</v>
      </c>
      <c r="L657" s="15" t="s">
        <v>635</v>
      </c>
      <c r="M657" s="15"/>
      <c r="N657" s="15"/>
      <c r="O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es_de_locos.html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657" s="15" t="str">
        <f>_xlfn.TEXTBEFORE(_xlfn.TEXTAFTER(CantoralDB[[#This Row],[index.html]],"&gt;"),"&gt;")&amp;"&gt;"</f>
        <v>&lt;a href="canciones/nsb/es_de_locos.html"&gt;</v>
      </c>
    </row>
    <row r="658" spans="1:21" hidden="1" x14ac:dyDescent="0.3">
      <c r="A658" s="1">
        <f>ROW(CantoralDB[[#This Row],[Título]])-1</f>
        <v>657</v>
      </c>
      <c r="B658" s="1" t="s">
        <v>3763</v>
      </c>
      <c r="C658" s="1"/>
      <c r="F658" s="1">
        <v>413</v>
      </c>
      <c r="I658" s="1"/>
      <c r="L658" s="15" t="s">
        <v>799</v>
      </c>
      <c r="M658" s="15"/>
      <c r="N658" s="15"/>
      <c r="O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es_la_confianza.html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href="canciones/nuevas/es_la_confianza.html"&gt;Es la confianza&lt;/a&gt;&lt;/li&gt;</v>
      </c>
      <c r="U658" s="15" t="str">
        <f>_xlfn.TEXTBEFORE(_xlfn.TEXTAFTER(CantoralDB[[#This Row],[index.html]],"&gt;"),"&gt;")&amp;"&gt;"</f>
        <v>&lt;a href="canciones/nuevas/es_la_confianza.html"&gt;</v>
      </c>
    </row>
    <row r="659" spans="1:21" hidden="1" x14ac:dyDescent="0.3">
      <c r="A659" s="1">
        <f>ROW(CantoralDB[[#This Row],[Título]])-1</f>
        <v>658</v>
      </c>
      <c r="B659" s="1" t="s">
        <v>3089</v>
      </c>
      <c r="C659" s="15"/>
      <c r="I659" s="1" t="s">
        <v>612</v>
      </c>
      <c r="L659" s="15" t="s">
        <v>518</v>
      </c>
      <c r="M659" s="15"/>
      <c r="N659" s="15"/>
      <c r="O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es_maria_la_blanca_paloma.html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href="canciones/nuevas/es_maria_la_blanca_paloma.html"&gt;Es María la blanca paloma&lt;/a&gt;&lt;/li&gt;</v>
      </c>
      <c r="U659" s="15" t="str">
        <f>_xlfn.TEXTBEFORE(_xlfn.TEXTAFTER(CantoralDB[[#This Row],[index.html]],"&gt;"),"&gt;")&amp;"&gt;"</f>
        <v>&lt;a href="canciones/nuevas/es_maria_la_blanca_paloma.html"&gt;</v>
      </c>
    </row>
    <row r="660" spans="1:21" hidden="1" x14ac:dyDescent="0.3">
      <c r="A660" s="1">
        <f>ROW(CantoralDB[[#This Row],[Título]])-1</f>
        <v>659</v>
      </c>
      <c r="B660" s="1" t="s">
        <v>1879</v>
      </c>
      <c r="C660" s="1"/>
      <c r="I660" s="1" t="s">
        <v>612</v>
      </c>
      <c r="L660" s="15" t="s">
        <v>501</v>
      </c>
      <c r="M660" s="15" t="s">
        <v>1553</v>
      </c>
      <c r="N660" s="15">
        <v>7</v>
      </c>
      <c r="O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es_mi_hermano.html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660" s="15" t="str">
        <f>_xlfn.TEXTBEFORE(_xlfn.TEXTAFTER(CantoralDB[[#This Row],[index.html]],"&gt;"),"&gt;")&amp;"&gt;"</f>
        <v>&lt;a href="canciones/ain_karem/es_mi_hermano.html"&gt;</v>
      </c>
    </row>
    <row r="661" spans="1:21" hidden="1" x14ac:dyDescent="0.3">
      <c r="A661" s="1">
        <f>ROW(CantoralDB[[#This Row],[Título]])-1</f>
        <v>660</v>
      </c>
      <c r="B661" s="1" t="s">
        <v>3615</v>
      </c>
      <c r="C661" s="1"/>
      <c r="F661" s="1">
        <v>279</v>
      </c>
      <c r="I661" s="1"/>
      <c r="L661" s="15" t="s">
        <v>799</v>
      </c>
      <c r="M661" s="15"/>
      <c r="N661" s="15"/>
      <c r="O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es_necesario_morir.html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href="canciones/nuevas/es_necesario_morir.html"&gt;Es necesario morir&lt;/a&gt;&lt;/li&gt;</v>
      </c>
      <c r="U661" s="15" t="str">
        <f>_xlfn.TEXTBEFORE(_xlfn.TEXTAFTER(CantoralDB[[#This Row],[index.html]],"&gt;"),"&gt;")&amp;"&gt;"</f>
        <v>&lt;a href="canciones/nuevas/es_necesario_morir.html"&gt;</v>
      </c>
    </row>
    <row r="662" spans="1:21" hidden="1" x14ac:dyDescent="0.3">
      <c r="A662" s="1">
        <f>ROW(CantoralDB[[#This Row],[Título]])-1</f>
        <v>661</v>
      </c>
      <c r="B662" s="1" t="s">
        <v>1657</v>
      </c>
      <c r="C662" s="1"/>
      <c r="I662" s="1"/>
      <c r="L662" s="15" t="s">
        <v>484</v>
      </c>
      <c r="M662" s="15" t="s">
        <v>1531</v>
      </c>
      <c r="N662" s="15">
        <v>1</v>
      </c>
      <c r="O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es_tu_amigo_es.html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62" s="15" t="str">
        <f>_xlfn.TEXTBEFORE(_xlfn.TEXTAFTER(CantoralDB[[#This Row],[index.html]],"&gt;"),"&gt;")&amp;"&gt;"</f>
        <v>&lt;a href="canciones/kairoi/es_tu_amigo_es.html"&gt;</v>
      </c>
    </row>
    <row r="663" spans="1:21" hidden="1" x14ac:dyDescent="0.3">
      <c r="A663" s="1">
        <f>ROW(CantoralDB[[#This Row],[Título]])-1</f>
        <v>662</v>
      </c>
      <c r="B663" s="1" t="s">
        <v>1803</v>
      </c>
      <c r="C663" s="1"/>
      <c r="I663" s="1" t="s">
        <v>612</v>
      </c>
      <c r="L663" s="15" t="s">
        <v>501</v>
      </c>
      <c r="M663" s="15" t="s">
        <v>1548</v>
      </c>
      <c r="N663" s="15">
        <v>8</v>
      </c>
      <c r="O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href="canciones/ain_karem/escucha.html"&gt;Escucha&lt;/a&gt;&lt;/li&gt;</v>
      </c>
      <c r="U663" s="15" t="str">
        <f>_xlfn.TEXTBEFORE(_xlfn.TEXTAFTER(CantoralDB[[#This Row],[index.html]],"&gt;"),"&gt;")&amp;"&gt;"</f>
        <v>&lt;a href="canciones/ain_karem/escucha.html"&gt;</v>
      </c>
    </row>
    <row r="664" spans="1:21" hidden="1" x14ac:dyDescent="0.3">
      <c r="A664" s="1">
        <f>ROW(CantoralDB[[#This Row],[Título]])-1</f>
        <v>663</v>
      </c>
      <c r="B664" s="1" t="s">
        <v>1711</v>
      </c>
      <c r="C664" s="1"/>
      <c r="I664" s="1" t="s">
        <v>612</v>
      </c>
      <c r="L664" s="15" t="s">
        <v>484</v>
      </c>
      <c r="M664" s="15" t="s">
        <v>1537</v>
      </c>
      <c r="N664" s="15">
        <v>12</v>
      </c>
      <c r="O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escucha_maria.html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href="canciones/kairoi/escucha_maria.html"&gt;Escucha María&lt;/a&gt;&lt;/li&gt;</v>
      </c>
      <c r="U664" s="15" t="str">
        <f>_xlfn.TEXTBEFORE(_xlfn.TEXTAFTER(CantoralDB[[#This Row],[index.html]],"&gt;"),"&gt;")&amp;"&gt;"</f>
        <v>&lt;a href="canciones/kairoi/escucha_maria.html"&gt;</v>
      </c>
    </row>
    <row r="665" spans="1:21" hidden="1" x14ac:dyDescent="0.3">
      <c r="A665" s="1">
        <f>ROW(CantoralDB[[#This Row],[Título]])-1</f>
        <v>664</v>
      </c>
      <c r="B665" s="1" t="s">
        <v>3398</v>
      </c>
      <c r="C665" s="1"/>
      <c r="F665" s="1">
        <v>61</v>
      </c>
      <c r="I665" s="1"/>
      <c r="L665" s="15" t="s">
        <v>3399</v>
      </c>
      <c r="M665" s="15"/>
      <c r="N665" s="15"/>
      <c r="O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escucha_nuestra_oracion.html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665" s="15" t="str">
        <f>_xlfn.TEXTBEFORE(_xlfn.TEXTAFTER(CantoralDB[[#This Row],[index.html]],"&gt;"),"&gt;")&amp;"&gt;"</f>
        <v>&lt;a href="canciones/nuevas/escucha_nuestra_oracion.html"&gt;</v>
      </c>
    </row>
    <row r="666" spans="1:21" hidden="1" x14ac:dyDescent="0.3">
      <c r="A666" s="1">
        <f>ROW(CantoralDB[[#This Row],[Título]])-1</f>
        <v>665</v>
      </c>
      <c r="B666" s="1" t="s">
        <v>3505</v>
      </c>
      <c r="C666" s="1"/>
      <c r="F666" s="1">
        <v>159</v>
      </c>
      <c r="I666" s="1"/>
      <c r="L666" s="15" t="s">
        <v>3466</v>
      </c>
      <c r="M666" s="15"/>
      <c r="N666" s="15"/>
      <c r="O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escucha_oh_jesus.html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666" s="15" t="str">
        <f>_xlfn.TEXTBEFORE(_xlfn.TEXTAFTER(CantoralDB[[#This Row],[index.html]],"&gt;"),"&gt;")&amp;"&gt;"</f>
        <v>&lt;a href="canciones/nuevas/escucha_oh_jesus.html"&gt;</v>
      </c>
    </row>
    <row r="667" spans="1:21" hidden="1" x14ac:dyDescent="0.3">
      <c r="A667" s="1">
        <f>ROW(CantoralDB[[#This Row],[Título]])-1</f>
        <v>666</v>
      </c>
      <c r="B667" s="1" t="s">
        <v>3385</v>
      </c>
      <c r="C667" s="1"/>
      <c r="F667" s="1">
        <v>50</v>
      </c>
      <c r="I667" s="1"/>
      <c r="L667" s="15" t="s">
        <v>3386</v>
      </c>
      <c r="M667" s="15"/>
      <c r="N667" s="15"/>
      <c r="O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escucha_señor_mi_oracion.html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667" s="15" t="str">
        <f>_xlfn.TEXTBEFORE(_xlfn.TEXTAFTER(CantoralDB[[#This Row],[index.html]],"&gt;"),"&gt;")&amp;"&gt;"</f>
        <v>&lt;a href="canciones/nuevas/escucha_señor_mi_oracion.html"&gt;</v>
      </c>
    </row>
    <row r="668" spans="1:21" hidden="1" x14ac:dyDescent="0.3">
      <c r="A668" s="1">
        <f>ROW(CantoralDB[[#This Row],[Título]])-1</f>
        <v>667</v>
      </c>
      <c r="B668" s="1" t="s">
        <v>2132</v>
      </c>
      <c r="C668" s="1"/>
      <c r="I668" s="1"/>
      <c r="L668" s="15" t="s">
        <v>481</v>
      </c>
      <c r="M668" s="15" t="s">
        <v>1978</v>
      </c>
      <c r="N668" s="15">
        <v>8</v>
      </c>
      <c r="O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escucha_señor_nuestra_humilde_oracion.html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668" s="15" t="str">
        <f>_xlfn.TEXTBEFORE(_xlfn.TEXTAFTER(CantoralDB[[#This Row],[index.html]],"&gt;"),"&gt;")&amp;"&gt;"</f>
        <v>&lt;a href="canciones/francisco_palazon/escucha_señor_nuestra_humilde_oracion.html"&gt;</v>
      </c>
    </row>
    <row r="669" spans="1:21" hidden="1" x14ac:dyDescent="0.3">
      <c r="A669" s="1">
        <f>ROW(CantoralDB[[#This Row],[Título]])-1</f>
        <v>668</v>
      </c>
      <c r="B669" s="1" t="s">
        <v>64</v>
      </c>
      <c r="C669" s="1" t="s">
        <v>201</v>
      </c>
      <c r="D669" s="1" t="s">
        <v>659</v>
      </c>
      <c r="E669" s="1">
        <v>116</v>
      </c>
      <c r="G669" s="1" t="s">
        <v>209</v>
      </c>
      <c r="H669" s="1" t="s">
        <v>1034</v>
      </c>
      <c r="I669" s="1" t="s">
        <v>612</v>
      </c>
      <c r="L669" s="15" t="s">
        <v>479</v>
      </c>
      <c r="M669" s="15"/>
      <c r="N669" s="15"/>
      <c r="O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escucha_tu_la_palabra_de_dios.html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href="canciones/carmelo_erdozain/escucha_tu_la_palabra_de_dios.html"&gt;Escucha, tú, la Palabra de Dios&lt;/a&gt;&lt;/li&gt;</v>
      </c>
      <c r="U669" s="15" t="str">
        <f>_xlfn.TEXTBEFORE(_xlfn.TEXTAFTER(CantoralDB[[#This Row],[index.html]],"&gt;"),"&gt;")&amp;"&gt;"</f>
        <v>&lt;a href="canciones/carmelo_erdozain/escucha_tu_la_palabra_de_dios.html"&gt;</v>
      </c>
    </row>
    <row r="670" spans="1:21" hidden="1" x14ac:dyDescent="0.3">
      <c r="A670" s="1">
        <f>ROW(CantoralDB[[#This Row],[Título]])-1</f>
        <v>669</v>
      </c>
      <c r="B670" s="1" t="s">
        <v>1292</v>
      </c>
      <c r="C670" s="1"/>
      <c r="E670" s="1">
        <v>112</v>
      </c>
      <c r="I670" s="1"/>
      <c r="L670" s="15" t="s">
        <v>2207</v>
      </c>
      <c r="M670" s="15"/>
      <c r="N670" s="15"/>
      <c r="O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escuchad_escuchad.html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670" s="15" t="str">
        <f>_xlfn.TEXTBEFORE(_xlfn.TEXTAFTER(CantoralDB[[#This Row],[index.html]],"&gt;"),"&gt;")&amp;"&gt;"</f>
        <v>&lt;a href="canciones/perpetuo_socorro/escuchad_escuchad.html"&gt;</v>
      </c>
    </row>
    <row r="671" spans="1:21" hidden="1" x14ac:dyDescent="0.3">
      <c r="A671" s="1">
        <f>ROW(CantoralDB[[#This Row],[Título]])-1</f>
        <v>670</v>
      </c>
      <c r="B671" s="1" t="s">
        <v>1929</v>
      </c>
      <c r="C671" s="1"/>
      <c r="I671" s="1" t="s">
        <v>612</v>
      </c>
      <c r="L671" s="15" t="s">
        <v>1804</v>
      </c>
      <c r="M671" s="15" t="s">
        <v>1952</v>
      </c>
      <c r="N671" s="15">
        <v>4</v>
      </c>
      <c r="O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escuchame.html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href="canciones/ruah/escuchame.html"&gt;Escúchame&lt;/a&gt;&lt;/li&gt;</v>
      </c>
      <c r="U671" s="15" t="str">
        <f>_xlfn.TEXTBEFORE(_xlfn.TEXTAFTER(CantoralDB[[#This Row],[index.html]],"&gt;"),"&gt;")&amp;"&gt;"</f>
        <v>&lt;a href="canciones/ruah/escuchame.html"&gt;</v>
      </c>
    </row>
    <row r="672" spans="1:21" hidden="1" x14ac:dyDescent="0.3">
      <c r="A672" s="1">
        <f>ROW(CantoralDB[[#This Row],[Título]])-1</f>
        <v>671</v>
      </c>
      <c r="B672" s="1" t="s">
        <v>1293</v>
      </c>
      <c r="C672" s="1"/>
      <c r="E672" s="1">
        <v>117</v>
      </c>
      <c r="I672" s="1"/>
      <c r="L672" s="15" t="s">
        <v>491</v>
      </c>
      <c r="M672" s="15"/>
      <c r="N672" s="15"/>
      <c r="O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escuchanos_señor_escucha_nuestros_gritos.html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data-nold="117"&gt;&lt;a href="canciones/juan_antonio_espinosa/escuchanos_señor_escucha_nuestros_gritos.html"&gt;Escúchanos, Señor, escucha nuestros gritos&lt;/a&gt;&lt;/li&gt;</v>
      </c>
      <c r="U672" s="15" t="str">
        <f>_xlfn.TEXTBEFORE(_xlfn.TEXTAFTER(CantoralDB[[#This Row],[index.html]],"&gt;"),"&gt;")&amp;"&gt;"</f>
        <v>&lt;a href="canciones/juan_antonio_espinosa/escuchanos_señor_escucha_nuestros_gritos.html"&gt;</v>
      </c>
    </row>
    <row r="673" spans="1:21" hidden="1" x14ac:dyDescent="0.3">
      <c r="A673" s="1">
        <f>ROW(CantoralDB[[#This Row],[Título]])-1</f>
        <v>672</v>
      </c>
      <c r="B673" s="1" t="s">
        <v>3168</v>
      </c>
      <c r="C673" s="1"/>
      <c r="I673" s="1"/>
      <c r="L673" s="15" t="s">
        <v>3160</v>
      </c>
      <c r="M673" s="15" t="s">
        <v>3161</v>
      </c>
      <c r="N673" s="15">
        <v>7</v>
      </c>
      <c r="O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espera_en_el_señor.html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href="canciones/hermana_glenda/espera_en_el_señor.html"&gt;Espera en el Señor&lt;/a&gt;&lt;/li&gt;</v>
      </c>
      <c r="U673" s="15" t="str">
        <f>_xlfn.TEXTBEFORE(_xlfn.TEXTAFTER(CantoralDB[[#This Row],[index.html]],"&gt;"),"&gt;")&amp;"&gt;"</f>
        <v>&lt;a href="canciones/hermana_glenda/espera_en_el_señor.html"&gt;</v>
      </c>
    </row>
    <row r="674" spans="1:21" hidden="1" x14ac:dyDescent="0.3">
      <c r="A674" s="1">
        <f>ROW(CantoralDB[[#This Row],[Título]])-1</f>
        <v>673</v>
      </c>
      <c r="B674" s="1" t="s">
        <v>1624</v>
      </c>
      <c r="C674" s="1"/>
      <c r="I674" s="1" t="s">
        <v>612</v>
      </c>
      <c r="L674" s="15" t="s">
        <v>484</v>
      </c>
      <c r="M674" s="15" t="s">
        <v>1536</v>
      </c>
      <c r="N674" s="15">
        <v>12</v>
      </c>
      <c r="O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esperad_al_señor.html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674" s="15" t="str">
        <f>_xlfn.TEXTBEFORE(_xlfn.TEXTAFTER(CantoralDB[[#This Row],[index.html]],"&gt;"),"&gt;")&amp;"&gt;"</f>
        <v>&lt;a href="canciones/kairoi/esperad_al_señor.html"&gt;</v>
      </c>
    </row>
    <row r="675" spans="1:21" hidden="1" x14ac:dyDescent="0.3">
      <c r="A675" s="1">
        <f>ROW(CantoralDB[[#This Row],[Título]])-1</f>
        <v>674</v>
      </c>
      <c r="B675" s="1" t="s">
        <v>1598</v>
      </c>
      <c r="C675" s="1"/>
      <c r="I675" s="1" t="s">
        <v>612</v>
      </c>
      <c r="L675" s="15" t="s">
        <v>484</v>
      </c>
      <c r="M675" s="15" t="s">
        <v>1528</v>
      </c>
      <c r="N675" s="15">
        <v>8</v>
      </c>
      <c r="O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esperando_con_maria.html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675" s="15" t="str">
        <f>_xlfn.TEXTBEFORE(_xlfn.TEXTAFTER(CantoralDB[[#This Row],[index.html]],"&gt;"),"&gt;")&amp;"&gt;"</f>
        <v>&lt;a href="canciones/kairoi/esperando_con_maria.html"&gt;</v>
      </c>
    </row>
    <row r="676" spans="1:21" hidden="1" x14ac:dyDescent="0.3">
      <c r="A676" s="1">
        <f>ROW(CantoralDB[[#This Row],[Título]])-1</f>
        <v>675</v>
      </c>
      <c r="B676" s="1" t="s">
        <v>1290</v>
      </c>
      <c r="C676" s="1"/>
      <c r="E676" s="1">
        <v>115</v>
      </c>
      <c r="I676" s="1"/>
      <c r="L676" s="15" t="s">
        <v>483</v>
      </c>
      <c r="M676" s="15"/>
      <c r="N676" s="15"/>
      <c r="O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esperando_esperando.html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676" s="15" t="str">
        <f>_xlfn.TEXTBEFORE(_xlfn.TEXTAFTER(CantoralDB[[#This Row],[index.html]],"&gt;"),"&gt;")&amp;"&gt;"</f>
        <v>&lt;a href="canciones/cesareo_gabarain/esperando_esperando.html"&gt;</v>
      </c>
    </row>
    <row r="677" spans="1:21" hidden="1" x14ac:dyDescent="0.3">
      <c r="A677" s="1">
        <f>ROW(CantoralDB[[#This Row],[Título]])-1</f>
        <v>676</v>
      </c>
      <c r="B677" s="1" t="s">
        <v>3183</v>
      </c>
      <c r="C677" s="1"/>
      <c r="I677" s="1"/>
      <c r="L677" s="15" t="s">
        <v>3160</v>
      </c>
      <c r="M677" s="15" t="s">
        <v>3175</v>
      </c>
      <c r="N677" s="15">
        <v>9</v>
      </c>
      <c r="O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espiritu_de_dios.html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href="canciones/hermana_glenda/espiritu_de_dios.html"&gt;Espíritu de Dios&lt;/a&gt;&lt;/li&gt;</v>
      </c>
      <c r="U677" s="15" t="str">
        <f>_xlfn.TEXTBEFORE(_xlfn.TEXTAFTER(CantoralDB[[#This Row],[index.html]],"&gt;"),"&gt;")&amp;"&gt;"</f>
        <v>&lt;a href="canciones/hermana_glenda/espiritu_de_dios.html"&gt;</v>
      </c>
    </row>
    <row r="678" spans="1:21" x14ac:dyDescent="0.3">
      <c r="A678" s="1">
        <f>ROW(CantoralDB[[#This Row],[Título]])-1</f>
        <v>677</v>
      </c>
      <c r="B678" s="1" t="s">
        <v>939</v>
      </c>
      <c r="C678" s="1" t="s">
        <v>1025</v>
      </c>
      <c r="D678" s="1" t="s">
        <v>1165</v>
      </c>
      <c r="H678" s="1" t="s">
        <v>1084</v>
      </c>
      <c r="I678" s="1" t="s">
        <v>612</v>
      </c>
      <c r="L678" s="15" t="s">
        <v>1991</v>
      </c>
      <c r="M678" s="15"/>
      <c r="N678" s="15"/>
      <c r="O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678" s="1"/>
      <c r="S678" s="1" t="s">
        <v>442</v>
      </c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678" s="15" t="str">
        <f>_xlfn.TEXTBEFORE(_xlfn.TEXTAFTER(CantoralDB[[#This Row],[index.html]],"&gt;"),"&gt;")&amp;"&gt;"</f>
        <v>&lt;a href="canciones/taize/spiritus_jesu_christi.html"&gt;</v>
      </c>
    </row>
    <row r="679" spans="1:21" hidden="1" x14ac:dyDescent="0.3">
      <c r="A679" s="1">
        <f>ROW(CantoralDB[[#This Row],[Título]])-1</f>
        <v>678</v>
      </c>
      <c r="B679" s="1" t="s">
        <v>3408</v>
      </c>
      <c r="C679" s="1"/>
      <c r="F679" s="1">
        <v>70</v>
      </c>
      <c r="I679" s="1"/>
      <c r="L679" s="15" t="s">
        <v>3409</v>
      </c>
      <c r="M679" s="15"/>
      <c r="N679" s="15"/>
      <c r="O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espiritu_santo_de_dios.html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679" s="15" t="str">
        <f>_xlfn.TEXTBEFORE(_xlfn.TEXTAFTER(CantoralDB[[#This Row],[index.html]],"&gt;"),"&gt;")&amp;"&gt;"</f>
        <v>&lt;a href="canciones/nuevas/espiritu_santo_de_dios.html"&gt;</v>
      </c>
    </row>
    <row r="680" spans="1:21" hidden="1" x14ac:dyDescent="0.3">
      <c r="A680" s="1">
        <f>ROW(CantoralDB[[#This Row],[Título]])-1</f>
        <v>679</v>
      </c>
      <c r="B680" s="1" t="s">
        <v>3378</v>
      </c>
      <c r="C680" s="1"/>
      <c r="F680" s="1">
        <v>44</v>
      </c>
      <c r="I680" s="1"/>
      <c r="L680" s="15" t="s">
        <v>799</v>
      </c>
      <c r="M680" s="15"/>
      <c r="N680" s="15"/>
      <c r="O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espiritu_santo_ven.html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href="canciones/nuevas/espiritu_santo_ven.html"&gt;Espíritu Santo, ven&lt;/a&gt;&lt;/li&gt;</v>
      </c>
      <c r="U680" s="15" t="str">
        <f>_xlfn.TEXTBEFORE(_xlfn.TEXTAFTER(CantoralDB[[#This Row],[index.html]],"&gt;"),"&gt;")&amp;"&gt;"</f>
        <v>&lt;a href="canciones/nuevas/espiritu_santo_ven.html"&gt;</v>
      </c>
    </row>
    <row r="681" spans="1:21" hidden="1" x14ac:dyDescent="0.3">
      <c r="A681" s="1">
        <f>ROW(CantoralDB[[#This Row],[Título]])-1</f>
        <v>680</v>
      </c>
      <c r="B681" s="1" t="s">
        <v>349</v>
      </c>
      <c r="C681" s="1" t="s">
        <v>1026</v>
      </c>
      <c r="D681" s="1" t="s">
        <v>1166</v>
      </c>
      <c r="H681" s="1" t="s">
        <v>533</v>
      </c>
      <c r="I681" s="1" t="s">
        <v>612</v>
      </c>
      <c r="L681" s="15" t="s">
        <v>2201</v>
      </c>
      <c r="M681" s="15"/>
      <c r="N681" s="15"/>
      <c r="O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681" s="15" t="str">
        <f>_xlfn.TEXTBEFORE(_xlfn.TEXTAFTER(CantoralDB[[#This Row],[index.html]],"&gt;"),"&gt;")&amp;"&gt;"</f>
        <v>&lt;a href="canciones/taize/esprit_consolateur.html"&gt;</v>
      </c>
    </row>
    <row r="682" spans="1:21" hidden="1" x14ac:dyDescent="0.3">
      <c r="A682" s="1">
        <f>ROW(CantoralDB[[#This Row],[Título]])-1</f>
        <v>681</v>
      </c>
      <c r="B682" s="1" t="s">
        <v>3490</v>
      </c>
      <c r="C682" s="1"/>
      <c r="F682" s="1">
        <v>147</v>
      </c>
      <c r="I682" s="1"/>
      <c r="L682" s="15" t="s">
        <v>799</v>
      </c>
      <c r="M682" s="15"/>
      <c r="N682" s="15"/>
      <c r="O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esta_alegria_no_va_a_pasar.html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682" s="15" t="str">
        <f>_xlfn.TEXTBEFORE(_xlfn.TEXTAFTER(CantoralDB[[#This Row],[index.html]],"&gt;"),"&gt;")&amp;"&gt;"</f>
        <v>&lt;a href="canciones/nuevas/esta_alegria_no_va_a_pasar.html"&gt;</v>
      </c>
    </row>
    <row r="683" spans="1:21" hidden="1" x14ac:dyDescent="0.3">
      <c r="A683" s="1">
        <f>ROW(CantoralDB[[#This Row],[Título]])-1</f>
        <v>682</v>
      </c>
      <c r="B683" s="1" t="s">
        <v>1294</v>
      </c>
      <c r="C683" s="1"/>
      <c r="E683" s="1">
        <v>118</v>
      </c>
      <c r="I683" s="1"/>
      <c r="L683" s="15" t="s">
        <v>799</v>
      </c>
      <c r="M683" s="15"/>
      <c r="N683" s="15"/>
      <c r="O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esta_es_la_noche_de_la_luz.html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683" s="15" t="str">
        <f>_xlfn.TEXTBEFORE(_xlfn.TEXTAFTER(CantoralDB[[#This Row],[index.html]],"&gt;"),"&gt;")&amp;"&gt;"</f>
        <v>&lt;a href="canciones/nsb/esta_es_la_noche_de_la_luz.html"&gt;</v>
      </c>
    </row>
    <row r="684" spans="1:21" hidden="1" x14ac:dyDescent="0.3">
      <c r="A684" s="1">
        <f>ROW(CantoralDB[[#This Row],[Título]])-1</f>
        <v>683</v>
      </c>
      <c r="B684" s="1" t="s">
        <v>65</v>
      </c>
      <c r="C684" s="1" t="s">
        <v>191</v>
      </c>
      <c r="D684" s="1" t="s">
        <v>744</v>
      </c>
      <c r="E684" s="1">
        <v>122</v>
      </c>
      <c r="G684" s="1" t="s">
        <v>209</v>
      </c>
      <c r="H684" s="1" t="s">
        <v>532</v>
      </c>
      <c r="I684" s="1" t="s">
        <v>612</v>
      </c>
      <c r="L684" s="15" t="s">
        <v>485</v>
      </c>
      <c r="M684" s="15"/>
      <c r="N684" s="15"/>
      <c r="O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esta_es_tu_fiesta.html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684" s="15" t="str">
        <f>_xlfn.TEXTBEFORE(_xlfn.TEXTAFTER(CantoralDB[[#This Row],[index.html]],"&gt;"),"&gt;")&amp;"&gt;"</f>
        <v>&lt;a href="canciones/joaquin_madurga/esta_es_tu_fiesta.html"&gt;</v>
      </c>
    </row>
    <row r="685" spans="1:21" hidden="1" x14ac:dyDescent="0.3">
      <c r="A685" s="1">
        <f>ROW(CantoralDB[[#This Row],[Título]])-1</f>
        <v>684</v>
      </c>
      <c r="B685" s="1" t="s">
        <v>1296</v>
      </c>
      <c r="C685" s="1"/>
      <c r="E685" s="1">
        <v>120</v>
      </c>
      <c r="I685" s="1"/>
      <c r="L685" s="15" t="s">
        <v>486</v>
      </c>
      <c r="M685" s="15"/>
      <c r="N685" s="15"/>
      <c r="O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esta_noche_he_visto_a_dios.html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685" s="15" t="str">
        <f>_xlfn.TEXTBEFORE(_xlfn.TEXTAFTER(CantoralDB[[#This Row],[index.html]],"&gt;"),"&gt;")&amp;"&gt;"</f>
        <v>&lt;a href="canciones/antonio_alcalde/esta_noche_he_visto_a_dios.html"&gt;</v>
      </c>
    </row>
    <row r="686" spans="1:21" hidden="1" x14ac:dyDescent="0.3">
      <c r="A686" s="1">
        <f>ROW(CantoralDB[[#This Row],[Título]])-1</f>
        <v>685</v>
      </c>
      <c r="B686" s="1" t="s">
        <v>3341</v>
      </c>
      <c r="C686" s="1"/>
      <c r="F686" s="1">
        <v>8</v>
      </c>
      <c r="I686" s="1"/>
      <c r="L686" s="15" t="s">
        <v>799</v>
      </c>
      <c r="M686" s="15"/>
      <c r="N686" s="15"/>
      <c r="O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estamos_de_fiesta.html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href="canciones/nuevas/estamos_de_fiesta.html"&gt;Estamos de fiesta&lt;/a&gt;&lt;/li&gt;</v>
      </c>
      <c r="U686" s="15" t="str">
        <f>_xlfn.TEXTBEFORE(_xlfn.TEXTAFTER(CantoralDB[[#This Row],[index.html]],"&gt;"),"&gt;")&amp;"&gt;"</f>
        <v>&lt;a href="canciones/nuevas/estamos_de_fiesta.html"&gt;</v>
      </c>
    </row>
    <row r="687" spans="1:21" hidden="1" x14ac:dyDescent="0.3">
      <c r="A687" s="1">
        <f>ROW(CantoralDB[[#This Row],[Título]])-1</f>
        <v>686</v>
      </c>
      <c r="B687" s="1" t="s">
        <v>3090</v>
      </c>
      <c r="C687" s="15"/>
      <c r="I687" s="1" t="s">
        <v>612</v>
      </c>
      <c r="L687" s="15" t="s">
        <v>577</v>
      </c>
      <c r="M687" s="15"/>
      <c r="N687" s="15"/>
      <c r="O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estas_aqui_jesus.html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687" s="15" t="str">
        <f>_xlfn.TEXTBEFORE(_xlfn.TEXTAFTER(CantoralDB[[#This Row],[index.html]],"&gt;"),"&gt;")&amp;"&gt;"</f>
        <v>&lt;a href="canciones/nuevas/estas_aqui_jesus.html"&gt;</v>
      </c>
    </row>
    <row r="688" spans="1:21" hidden="1" x14ac:dyDescent="0.3">
      <c r="A688" s="1">
        <f>ROW(CantoralDB[[#This Row],[Título]])-1</f>
        <v>687</v>
      </c>
      <c r="B688" s="1" t="s">
        <v>937</v>
      </c>
      <c r="C688" s="1"/>
      <c r="E688" s="1">
        <v>121</v>
      </c>
      <c r="I688" s="1"/>
      <c r="L688" s="15" t="s">
        <v>491</v>
      </c>
      <c r="M688" s="15"/>
      <c r="N688" s="15"/>
      <c r="O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este_es_el_dia_del_señor.html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688" s="15" t="str">
        <f>_xlfn.TEXTBEFORE(_xlfn.TEXTAFTER(CantoralDB[[#This Row],[index.html]],"&gt;"),"&gt;")&amp;"&gt;"</f>
        <v>&lt;a href="canciones/juan_antonio_espinosa/este_es_el_dia_del_señor.html"&gt;</v>
      </c>
    </row>
    <row r="689" spans="1:21" x14ac:dyDescent="0.3">
      <c r="A689" s="1">
        <f>ROW(CantoralDB[[#This Row],[Título]])-1</f>
        <v>688</v>
      </c>
      <c r="B689" s="1" t="s">
        <v>2187</v>
      </c>
      <c r="C689" s="1" t="s">
        <v>1025</v>
      </c>
      <c r="D689" s="1" t="s">
        <v>1167</v>
      </c>
      <c r="H689" s="1" t="s">
        <v>1065</v>
      </c>
      <c r="I689" s="1" t="s">
        <v>612</v>
      </c>
      <c r="L689" s="15" t="s">
        <v>1991</v>
      </c>
      <c r="M689" s="15"/>
      <c r="N689" s="15"/>
      <c r="O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689" s="1" t="s">
        <v>984</v>
      </c>
      <c r="S689" s="1" t="s">
        <v>428</v>
      </c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689" s="15" t="str">
        <f>_xlfn.TEXTBEFORE(_xlfn.TEXTAFTER(CantoralDB[[#This Row],[index.html]],"&gt;"),"&gt;")&amp;"&gt;"</f>
        <v>&lt;a href="canciones/taize/psallite_deo.html"&gt;</v>
      </c>
    </row>
    <row r="690" spans="1:21" hidden="1" x14ac:dyDescent="0.3">
      <c r="A690" s="1">
        <f>ROW(CantoralDB[[#This Row],[Título]])-1</f>
        <v>689</v>
      </c>
      <c r="B690" s="1" t="s">
        <v>1295</v>
      </c>
      <c r="C690" s="1"/>
      <c r="E690" s="1">
        <v>119</v>
      </c>
      <c r="I690" s="1"/>
      <c r="L690" s="15" t="s">
        <v>3315</v>
      </c>
      <c r="M690" s="15"/>
      <c r="N690" s="15"/>
      <c r="O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data-nold="119"&gt;&lt;a href="canciones/nsb/este_es_el_dia_en_que_actuo.html"&gt;Este es el día en que actuó&lt;/a&gt;&lt;/li&gt;</v>
      </c>
      <c r="U690" s="15" t="str">
        <f>_xlfn.TEXTBEFORE(_xlfn.TEXTAFTER(CantoralDB[[#This Row],[index.html]],"&gt;"),"&gt;")&amp;"&gt;"</f>
        <v>&lt;a href="canciones/nsb/este_es_el_dia_en_que_actuo.html"&gt;</v>
      </c>
    </row>
    <row r="691" spans="1:21" hidden="1" x14ac:dyDescent="0.3">
      <c r="A691" s="1">
        <f>ROW(CantoralDB[[#This Row],[Título]])-1</f>
        <v>690</v>
      </c>
      <c r="B691" s="1" t="s">
        <v>66</v>
      </c>
      <c r="C691" s="1" t="s">
        <v>201</v>
      </c>
      <c r="D691" s="1" t="s">
        <v>660</v>
      </c>
      <c r="E691" s="1">
        <v>113</v>
      </c>
      <c r="G691" s="1" t="s">
        <v>209</v>
      </c>
      <c r="H691" s="1" t="s">
        <v>1041</v>
      </c>
      <c r="I691" s="1" t="s">
        <v>612</v>
      </c>
      <c r="L691" s="15" t="s">
        <v>487</v>
      </c>
      <c r="M691" s="15"/>
      <c r="N691" s="15"/>
      <c r="O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este_es_el_dia_en_que_actuo_el_señor.html</v>
      </c>
      <c r="R691" s="1" t="s">
        <v>838</v>
      </c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691" s="15" t="str">
        <f>_xlfn.TEXTBEFORE(_xlfn.TEXTAFTER(CantoralDB[[#This Row],[index.html]],"&gt;"),"&gt;")&amp;"&gt;"</f>
        <v>&lt;a href="canciones/miguel_manzano/este_es_el_dia_en_que_actuo_el_señor.html"&gt;</v>
      </c>
    </row>
    <row r="692" spans="1:21" hidden="1" x14ac:dyDescent="0.3">
      <c r="A692" s="1">
        <f>ROW(CantoralDB[[#This Row],[Título]])-1</f>
        <v>691</v>
      </c>
      <c r="B692" s="1" t="s">
        <v>2092</v>
      </c>
      <c r="C692" s="1"/>
      <c r="I692" s="1"/>
      <c r="L692" s="15" t="s">
        <v>481</v>
      </c>
      <c r="M692" s="15" t="s">
        <v>2097</v>
      </c>
      <c r="N692" s="15">
        <v>8</v>
      </c>
      <c r="O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este_es_el_pan_que_nos_lleva_a_jesus.html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692" s="15" t="str">
        <f>_xlfn.TEXTBEFORE(_xlfn.TEXTAFTER(CantoralDB[[#This Row],[index.html]],"&gt;"),"&gt;")&amp;"&gt;"</f>
        <v>&lt;a href="canciones/francisco_palazon/este_es_el_pan_que_nos_lleva_a_jesus.html"&gt;</v>
      </c>
    </row>
    <row r="693" spans="1:21" hidden="1" x14ac:dyDescent="0.3">
      <c r="A693" s="1">
        <f>ROW(CantoralDB[[#This Row],[Título]])-1</f>
        <v>692</v>
      </c>
      <c r="B693" s="1" t="s">
        <v>3078</v>
      </c>
      <c r="C693" s="1"/>
      <c r="I693" s="1" t="s">
        <v>612</v>
      </c>
      <c r="L693" s="15" t="s">
        <v>479</v>
      </c>
      <c r="M693" s="15"/>
      <c r="N693" s="15"/>
      <c r="O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carmelo_erdozain</v>
      </c>
      <c r="Q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este_pan_y_vino.html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693" s="15" t="str">
        <f>_xlfn.TEXTBEFORE(_xlfn.TEXTAFTER(CantoralDB[[#This Row],[index.html]],"&gt;"),"&gt;")&amp;"&gt;"</f>
        <v>&lt;a href="canciones/carmelo_erdozain/este_pan_y_vino.html"&gt;</v>
      </c>
    </row>
    <row r="694" spans="1:21" hidden="1" x14ac:dyDescent="0.3">
      <c r="A694" s="1">
        <f>ROW(CantoralDB[[#This Row],[Título]])-1</f>
        <v>693</v>
      </c>
      <c r="B694" s="1" t="s">
        <v>3779</v>
      </c>
      <c r="C694" s="1"/>
      <c r="F694" s="1">
        <v>426</v>
      </c>
      <c r="I694" s="1"/>
      <c r="L694" s="15" t="s">
        <v>3781</v>
      </c>
      <c r="M694" s="15"/>
      <c r="N694" s="15"/>
      <c r="O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esto_es_mi_cuerpo.html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694" s="15" t="str">
        <f>_xlfn.TEXTBEFORE(_xlfn.TEXTAFTER(CantoralDB[[#This Row],[index.html]],"&gt;"),"&gt;")&amp;"&gt;"</f>
        <v>&lt;a href="canciones/nuevas/esto_es_mi_cuerpo.html"&gt;</v>
      </c>
    </row>
    <row r="695" spans="1:21" hidden="1" x14ac:dyDescent="0.3">
      <c r="A695" s="1">
        <f>ROW(CantoralDB[[#This Row],[Título]])-1</f>
        <v>694</v>
      </c>
      <c r="B695" s="1" t="s">
        <v>536</v>
      </c>
      <c r="C695" s="1" t="s">
        <v>195</v>
      </c>
      <c r="D695" s="1" t="s">
        <v>1461</v>
      </c>
      <c r="G695" s="1" t="s">
        <v>537</v>
      </c>
      <c r="H695" s="1" t="s">
        <v>1053</v>
      </c>
      <c r="I695" s="1" t="s">
        <v>612</v>
      </c>
      <c r="L695" s="15" t="s">
        <v>620</v>
      </c>
      <c r="M695" s="15"/>
      <c r="N695" s="15"/>
      <c r="O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esto_que_te_doy.html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695" s="15" t="str">
        <f>_xlfn.TEXTBEFORE(_xlfn.TEXTAFTER(CantoralDB[[#This Row],[index.html]],"&gt;"),"&gt;")&amp;"&gt;"</f>
        <v>&lt;a href="canciones/nsb/esto_que_te_doy.html"&gt;</v>
      </c>
    </row>
    <row r="696" spans="1:21" hidden="1" x14ac:dyDescent="0.3">
      <c r="A696" s="1">
        <f>ROW(CantoralDB[[#This Row],[Título]])-1</f>
        <v>695</v>
      </c>
      <c r="B696" s="1" t="s">
        <v>3250</v>
      </c>
      <c r="C696" s="1"/>
      <c r="I696" s="1"/>
      <c r="L696" s="15" t="s">
        <v>3160</v>
      </c>
      <c r="M696" s="15" t="s">
        <v>3248</v>
      </c>
      <c r="N696" s="15">
        <v>3</v>
      </c>
      <c r="O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href="canciones/hermana_glenda/estoy_a_tu_puerta.html"&gt;Estoy a tu puerta&lt;/a&gt;&lt;/li&gt;</v>
      </c>
      <c r="U696" s="15" t="str">
        <f>_xlfn.TEXTBEFORE(_xlfn.TEXTAFTER(CantoralDB[[#This Row],[index.html]],"&gt;"),"&gt;")&amp;"&gt;"</f>
        <v>&lt;a href="canciones/hermana_glenda/estoy_a_tu_puerta.html"&gt;</v>
      </c>
    </row>
    <row r="697" spans="1:21" hidden="1" x14ac:dyDescent="0.3">
      <c r="A697" s="1">
        <f>ROW(CantoralDB[[#This Row],[Título]])-1</f>
        <v>696</v>
      </c>
      <c r="B697" s="1" t="s">
        <v>3292</v>
      </c>
      <c r="C697" s="1"/>
      <c r="I697" s="1"/>
      <c r="L697" s="15" t="s">
        <v>3160</v>
      </c>
      <c r="M697" s="15" t="s">
        <v>3291</v>
      </c>
      <c r="N697" s="15">
        <v>1</v>
      </c>
      <c r="O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estoy_a_tu_puerta_y_llamo.html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href="canciones/hermana_glenda/estoy_a_tu_puerta_y_llamo.html"&gt;Estoy a tu puerta y llamo&lt;/a&gt;&lt;/li&gt;</v>
      </c>
      <c r="U697" s="15" t="str">
        <f>_xlfn.TEXTBEFORE(_xlfn.TEXTAFTER(CantoralDB[[#This Row],[index.html]],"&gt;"),"&gt;")&amp;"&gt;"</f>
        <v>&lt;a href="canciones/hermana_glenda/estoy_a_tu_puerta_y_llamo.html"&gt;</v>
      </c>
    </row>
    <row r="698" spans="1:21" hidden="1" x14ac:dyDescent="0.3">
      <c r="A698" s="1">
        <f>ROW(CantoralDB[[#This Row],[Título]])-1</f>
        <v>697</v>
      </c>
      <c r="B698" s="1" t="s">
        <v>3535</v>
      </c>
      <c r="C698" s="1"/>
      <c r="F698" s="1">
        <v>188</v>
      </c>
      <c r="I698" s="1"/>
      <c r="L698" s="15" t="s">
        <v>799</v>
      </c>
      <c r="M698" s="15"/>
      <c r="N698" s="15"/>
      <c r="O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estoy_alegre_porque_soy_de_cristo.html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698" s="15" t="str">
        <f>_xlfn.TEXTBEFORE(_xlfn.TEXTAFTER(CantoralDB[[#This Row],[index.html]],"&gt;"),"&gt;")&amp;"&gt;"</f>
        <v>&lt;a href="canciones/nuevas/estoy_alegre_porque_soy_de_cristo.html"&gt;</v>
      </c>
    </row>
    <row r="699" spans="1:21" hidden="1" x14ac:dyDescent="0.3">
      <c r="A699" s="1">
        <f>ROW(CantoralDB[[#This Row],[Título]])-1</f>
        <v>698</v>
      </c>
      <c r="B699" s="1" t="s">
        <v>3513</v>
      </c>
      <c r="C699" s="1"/>
      <c r="F699" s="1">
        <v>167</v>
      </c>
      <c r="I699" s="1"/>
      <c r="L699" s="15" t="s">
        <v>799</v>
      </c>
      <c r="M699" s="15"/>
      <c r="N699" s="15"/>
      <c r="O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estoy_cantando_alegre.html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href="canciones/nuevas/estoy_cantando_alegre.html"&gt;Estoy cantando alegre&lt;/a&gt;&lt;/li&gt;</v>
      </c>
      <c r="U699" s="15" t="str">
        <f>_xlfn.TEXTBEFORE(_xlfn.TEXTAFTER(CantoralDB[[#This Row],[index.html]],"&gt;"),"&gt;")&amp;"&gt;"</f>
        <v>&lt;a href="canciones/nuevas/estoy_cantando_alegre.html"&gt;</v>
      </c>
    </row>
    <row r="700" spans="1:21" hidden="1" x14ac:dyDescent="0.3">
      <c r="A700" s="1">
        <f>ROW(CantoralDB[[#This Row],[Título]])-1</f>
        <v>699</v>
      </c>
      <c r="B700" s="1" t="s">
        <v>1965</v>
      </c>
      <c r="C700" s="1"/>
      <c r="I700" s="1" t="s">
        <v>612</v>
      </c>
      <c r="L700" s="15" t="s">
        <v>484</v>
      </c>
      <c r="M700" s="15" t="s">
        <v>1537</v>
      </c>
      <c r="N700" s="15">
        <v>6</v>
      </c>
      <c r="O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estoy_creyendo_en_ti_(credo).html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700" s="15" t="str">
        <f>_xlfn.TEXTBEFORE(_xlfn.TEXTAFTER(CantoralDB[[#This Row],[index.html]],"&gt;"),"&gt;")&amp;"&gt;"</f>
        <v>&lt;a href="canciones/kairoi/estoy_creyendo_en_ti_(credo).html"&gt;</v>
      </c>
    </row>
    <row r="701" spans="1:21" hidden="1" x14ac:dyDescent="0.3">
      <c r="A701" s="1">
        <f>ROW(CantoralDB[[#This Row],[Título]])-1</f>
        <v>700</v>
      </c>
      <c r="B701" s="1" t="s">
        <v>1759</v>
      </c>
      <c r="C701" s="1"/>
      <c r="I701" s="1"/>
      <c r="L701" s="15" t="s">
        <v>484</v>
      </c>
      <c r="M701" s="15" t="s">
        <v>1543</v>
      </c>
      <c r="N701" s="15">
        <v>10</v>
      </c>
      <c r="O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estrellas_en_el_mar.html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701" s="15" t="str">
        <f>_xlfn.TEXTBEFORE(_xlfn.TEXTAFTER(CantoralDB[[#This Row],[index.html]],"&gt;"),"&gt;")&amp;"&gt;"</f>
        <v>&lt;a href="canciones/kairoi/estrellas_en_el_mar.html"&gt;</v>
      </c>
    </row>
    <row r="702" spans="1:21" hidden="1" x14ac:dyDescent="0.3">
      <c r="A702" s="1">
        <f>ROW(CantoralDB[[#This Row],[Título]])-1</f>
        <v>701</v>
      </c>
      <c r="B702" s="1" t="s">
        <v>3518</v>
      </c>
      <c r="C702" s="1"/>
      <c r="F702" s="1">
        <v>170</v>
      </c>
      <c r="I702" s="1"/>
      <c r="L702" s="15" t="s">
        <v>3517</v>
      </c>
      <c r="M702" s="15"/>
      <c r="N702" s="15"/>
      <c r="O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evangelio.html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data-author="Lucía Asturias"&gt;&lt;a href="canciones/nuevas/evangelio.html"&gt;Evangelio&lt;/a&gt;&lt;/li&gt;</v>
      </c>
      <c r="U702" s="15" t="str">
        <f>_xlfn.TEXTBEFORE(_xlfn.TEXTAFTER(CantoralDB[[#This Row],[index.html]],"&gt;"),"&gt;")&amp;"&gt;"</f>
        <v>&lt;a href="canciones/nuevas/evangelio.html"&gt;</v>
      </c>
    </row>
    <row r="703" spans="1:21" hidden="1" x14ac:dyDescent="0.3">
      <c r="A703" s="1">
        <f>ROW(CantoralDB[[#This Row],[Título]])-1</f>
        <v>702</v>
      </c>
      <c r="B703" s="1" t="s">
        <v>3091</v>
      </c>
      <c r="C703" s="15"/>
      <c r="I703" s="1" t="s">
        <v>612</v>
      </c>
      <c r="L703" s="15" t="s">
        <v>518</v>
      </c>
      <c r="M703" s="15"/>
      <c r="N703" s="15"/>
      <c r="O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evenu_shalom_alejem.html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href="canciones/nuevas/evenu_shalom_alejem.html"&gt;Evenu shalom alejem&lt;/a&gt;&lt;/li&gt;</v>
      </c>
      <c r="U703" s="15" t="str">
        <f>_xlfn.TEXTBEFORE(_xlfn.TEXTAFTER(CantoralDB[[#This Row],[index.html]],"&gt;"),"&gt;")&amp;"&gt;"</f>
        <v>&lt;a href="canciones/nuevas/evenu_shalom_alejem.html"&gt;</v>
      </c>
    </row>
    <row r="704" spans="1:21" hidden="1" x14ac:dyDescent="0.3">
      <c r="A704" s="1">
        <f>ROW(CantoralDB[[#This Row],[Título]])-1</f>
        <v>703</v>
      </c>
      <c r="B704" s="1" t="s">
        <v>3682</v>
      </c>
      <c r="C704" s="1"/>
      <c r="F704" s="1">
        <v>348</v>
      </c>
      <c r="I704" s="1"/>
      <c r="L704" s="15" t="s">
        <v>3683</v>
      </c>
      <c r="M704" s="15"/>
      <c r="N704" s="15"/>
      <c r="O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exaltad.html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href="canciones/nuevas/exaltad.html"&gt;Exaltad&lt;/a&gt;&lt;/li&gt;</v>
      </c>
      <c r="U704" s="15" t="str">
        <f>_xlfn.TEXTBEFORE(_xlfn.TEXTAFTER(CantoralDB[[#This Row],[index.html]],"&gt;"),"&gt;")&amp;"&gt;"</f>
        <v>&lt;a href="canciones/nuevas/exaltad.html"&gt;</v>
      </c>
    </row>
    <row r="705" spans="1:21" hidden="1" x14ac:dyDescent="0.3">
      <c r="A705" s="1">
        <f>ROW(CantoralDB[[#This Row],[Título]])-1</f>
        <v>704</v>
      </c>
      <c r="B705" s="1" t="s">
        <v>3699</v>
      </c>
      <c r="C705" s="1"/>
      <c r="F705" s="1">
        <v>362</v>
      </c>
      <c r="I705" s="1"/>
      <c r="L705" s="15" t="s">
        <v>799</v>
      </c>
      <c r="M705" s="15"/>
      <c r="N705" s="15"/>
      <c r="O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exaltando_a_jesus.html</v>
      </c>
      <c r="R705" s="1"/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href="canciones/nuevas/exaltando_a_jesus.html"&gt;Exaltando a Jesús&lt;/a&gt;&lt;/li&gt;</v>
      </c>
      <c r="U705" s="15" t="str">
        <f>_xlfn.TEXTBEFORE(_xlfn.TEXTAFTER(CantoralDB[[#This Row],[index.html]],"&gt;"),"&gt;")&amp;"&gt;"</f>
        <v>&lt;a href="canciones/nuevas/exaltando_a_jesus.html"&gt;</v>
      </c>
    </row>
    <row r="706" spans="1:21" hidden="1" x14ac:dyDescent="0.3">
      <c r="A706" s="1">
        <f>ROW(CantoralDB[[#This Row],[Título]])-1</f>
        <v>705</v>
      </c>
      <c r="B706" s="1" t="s">
        <v>2044</v>
      </c>
      <c r="C706" s="1"/>
      <c r="I706" s="1" t="s">
        <v>612</v>
      </c>
      <c r="L706" s="15" t="s">
        <v>261</v>
      </c>
      <c r="M706" s="15"/>
      <c r="N706" s="15"/>
      <c r="O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exulte_mi_alma.html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706" s="15" t="str">
        <f>_xlfn.TEXTBEFORE(_xlfn.TEXTAFTER(CantoralDB[[#This Row],[index.html]],"&gt;"),"&gt;")&amp;"&gt;"</f>
        <v>&lt;a href="canciones/hakuna/exulte_mi_alma.html"&gt;</v>
      </c>
    </row>
    <row r="707" spans="1:21" hidden="1" x14ac:dyDescent="0.3">
      <c r="A707" s="1">
        <f>ROW(CantoralDB[[#This Row],[Título]])-1</f>
        <v>706</v>
      </c>
      <c r="B707" s="1" t="s">
        <v>1898</v>
      </c>
      <c r="C707" s="1"/>
      <c r="I707" s="1"/>
      <c r="L707" s="15" t="s">
        <v>482</v>
      </c>
      <c r="M707" s="15" t="s">
        <v>1899</v>
      </c>
      <c r="N707" s="15">
        <v>11</v>
      </c>
      <c r="O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familia_de_dios.html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707" s="15" t="str">
        <f>_xlfn.TEXTBEFORE(_xlfn.TEXTAFTER(CantoralDB[[#This Row],[index.html]],"&gt;"),"&gt;")&amp;"&gt;"</f>
        <v>&lt;a href="canciones/toño_casado/familia_de_dios.html"&gt;</v>
      </c>
    </row>
    <row r="708" spans="1:21" hidden="1" x14ac:dyDescent="0.3">
      <c r="A708" s="1">
        <f>ROW(CantoralDB[[#This Row],[Título]])-1</f>
        <v>707</v>
      </c>
      <c r="B708" s="1" t="s">
        <v>1640</v>
      </c>
      <c r="C708" s="1"/>
      <c r="I708" s="1"/>
      <c r="L708" s="15" t="s">
        <v>484</v>
      </c>
      <c r="M708" s="15" t="s">
        <v>1527</v>
      </c>
      <c r="N708" s="15">
        <v>7</v>
      </c>
      <c r="O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708" s="1"/>
      <c r="S708" s="1" t="s">
        <v>535</v>
      </c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708" s="15" t="e">
        <f>_xlfn.TEXTBEFORE(_xlfn.TEXTAFTER(CantoralDB[[#This Row],[index.html]],"&gt;"),"&gt;")&amp;"&gt;"</f>
        <v>#N/A</v>
      </c>
    </row>
    <row r="709" spans="1:21" hidden="1" x14ac:dyDescent="0.3">
      <c r="A709" s="1">
        <f>ROW(CantoralDB[[#This Row],[Título]])-1</f>
        <v>708</v>
      </c>
      <c r="B709" s="1" t="s">
        <v>1640</v>
      </c>
      <c r="C709" s="1"/>
      <c r="I709" s="1"/>
      <c r="L709" s="15" t="s">
        <v>484</v>
      </c>
      <c r="M709" s="15" t="s">
        <v>1539</v>
      </c>
      <c r="N709" s="15">
        <v>10</v>
      </c>
      <c r="O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709" s="15" t="str">
        <f>_xlfn.TEXTBEFORE(_xlfn.TEXTAFTER(CantoralDB[[#This Row],[index.html]],"&gt;"),"&gt;")&amp;"&gt;"</f>
        <v>&lt;a href="canciones/kairoi/familia_marista.html"&gt;</v>
      </c>
    </row>
    <row r="710" spans="1:21" hidden="1" x14ac:dyDescent="0.3">
      <c r="A710" s="1">
        <f>ROW(CantoralDB[[#This Row],[Título]])-1</f>
        <v>709</v>
      </c>
      <c r="B710" s="1" t="s">
        <v>1740</v>
      </c>
      <c r="C710" s="1"/>
      <c r="I710" s="1"/>
      <c r="L710" s="15" t="s">
        <v>484</v>
      </c>
      <c r="M710" s="15" t="s">
        <v>1541</v>
      </c>
      <c r="N710" s="15">
        <v>9</v>
      </c>
      <c r="O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familias.html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href="canciones/kairoi/familias.html"&gt;Familias&lt;/a&gt;&lt;/li&gt;</v>
      </c>
      <c r="U710" s="15" t="str">
        <f>_xlfn.TEXTBEFORE(_xlfn.TEXTAFTER(CantoralDB[[#This Row],[index.html]],"&gt;"),"&gt;")&amp;"&gt;"</f>
        <v>&lt;a href="canciones/kairoi/familias.html"&gt;</v>
      </c>
    </row>
    <row r="711" spans="1:21" hidden="1" x14ac:dyDescent="0.3">
      <c r="A711" s="1">
        <f>ROW(CantoralDB[[#This Row],[Título]])-1</f>
        <v>710</v>
      </c>
      <c r="B711" s="1" t="s">
        <v>2117</v>
      </c>
      <c r="C711" s="1"/>
      <c r="I711" s="1" t="s">
        <v>612</v>
      </c>
      <c r="L711" s="15" t="s">
        <v>481</v>
      </c>
      <c r="M711" s="15" t="s">
        <v>2105</v>
      </c>
      <c r="N711" s="15">
        <v>2</v>
      </c>
      <c r="O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fariseo_y_publicano.html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711" s="15" t="str">
        <f>_xlfn.TEXTBEFORE(_xlfn.TEXTAFTER(CantoralDB[[#This Row],[index.html]],"&gt;"),"&gt;")&amp;"&gt;"</f>
        <v>&lt;a href="canciones/francisco_palazon/fariseo_y_publicano.html"&gt;</v>
      </c>
    </row>
    <row r="712" spans="1:21" hidden="1" x14ac:dyDescent="0.3">
      <c r="A712" s="1">
        <f>ROW(CantoralDB[[#This Row],[Título]])-1</f>
        <v>711</v>
      </c>
      <c r="B712" s="1" t="s">
        <v>1297</v>
      </c>
      <c r="C712" s="1"/>
      <c r="E712" s="1">
        <v>123</v>
      </c>
      <c r="I712" s="1"/>
      <c r="L712" s="15" t="s">
        <v>2151</v>
      </c>
      <c r="M712" s="15"/>
      <c r="N712" s="15"/>
      <c r="O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fe_no_es_aguardar.html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data-author="Llach" data-nold="123"&gt;&lt;a href="canciones/nsb/fe_no_es_aguardar.html"&gt;Fe no es aguardar&lt;/a&gt;&lt;/li&gt;</v>
      </c>
      <c r="U712" s="15" t="str">
        <f>_xlfn.TEXTBEFORE(_xlfn.TEXTAFTER(CantoralDB[[#This Row],[index.html]],"&gt;"),"&gt;")&amp;"&gt;"</f>
        <v>&lt;a href="canciones/nsb/fe_no_es_aguardar.html"&gt;</v>
      </c>
    </row>
    <row r="713" spans="1:21" hidden="1" x14ac:dyDescent="0.3">
      <c r="A713" s="1">
        <f>ROW(CantoralDB[[#This Row],[Título]])-1</f>
        <v>712</v>
      </c>
      <c r="B713" s="1" t="s">
        <v>1298</v>
      </c>
      <c r="C713" s="1"/>
      <c r="E713" s="1">
        <v>125</v>
      </c>
      <c r="I713" s="1"/>
      <c r="L713" s="15" t="s">
        <v>491</v>
      </c>
      <c r="M713" s="15"/>
      <c r="N713" s="15"/>
      <c r="O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feliz_el_hombre.html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713" s="15" t="str">
        <f>_xlfn.TEXTBEFORE(_xlfn.TEXTAFTER(CantoralDB[[#This Row],[index.html]],"&gt;"),"&gt;")&amp;"&gt;"</f>
        <v>&lt;a href="canciones/juan_antonio_espinosa/feliz_el_hombre.html"&gt;</v>
      </c>
    </row>
    <row r="714" spans="1:21" x14ac:dyDescent="0.3">
      <c r="A714" s="1">
        <f>ROW(CantoralDB[[#This Row],[Título]])-1</f>
        <v>713</v>
      </c>
      <c r="B714" s="1" t="s">
        <v>913</v>
      </c>
      <c r="C714" s="1" t="s">
        <v>1025</v>
      </c>
      <c r="D714" s="1" t="s">
        <v>1168</v>
      </c>
      <c r="H714" s="1" t="s">
        <v>1083</v>
      </c>
      <c r="I714" s="1" t="s">
        <v>612</v>
      </c>
      <c r="L714" s="15" t="s">
        <v>1991</v>
      </c>
      <c r="M714" s="15"/>
      <c r="N714" s="15"/>
      <c r="O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714" s="1" t="s">
        <v>969</v>
      </c>
      <c r="S714" s="1" t="s">
        <v>363</v>
      </c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714" s="15" t="str">
        <f>_xlfn.TEXTBEFORE(_xlfn.TEXTAFTER(CantoralDB[[#This Row],[index.html]],"&gt;"),"&gt;")&amp;"&gt;"</f>
        <v>&lt;a href="canciones/taize/heureux_qui_s’abandonne_à_toi.html"&gt;</v>
      </c>
    </row>
    <row r="715" spans="1:21" hidden="1" x14ac:dyDescent="0.3">
      <c r="A715" s="1">
        <f>ROW(CantoralDB[[#This Row],[Título]])-1</f>
        <v>714</v>
      </c>
      <c r="B715" s="1" t="s">
        <v>1918</v>
      </c>
      <c r="C715" s="1"/>
      <c r="I715" s="1" t="s">
        <v>612</v>
      </c>
      <c r="L715" s="15" t="s">
        <v>1804</v>
      </c>
      <c r="M715" s="15" t="s">
        <v>1951</v>
      </c>
      <c r="N715" s="15">
        <v>4</v>
      </c>
      <c r="O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fija_en_ti.html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href="canciones/ruah/fija_en_ti.html"&gt;Fija en ti&lt;/a&gt;&lt;/li&gt;</v>
      </c>
      <c r="U715" s="15" t="str">
        <f>_xlfn.TEXTBEFORE(_xlfn.TEXTAFTER(CantoralDB[[#This Row],[index.html]],"&gt;"),"&gt;")&amp;"&gt;"</f>
        <v>&lt;a href="canciones/ruah/fija_en_ti.html"&gt;</v>
      </c>
    </row>
    <row r="716" spans="1:21" hidden="1" x14ac:dyDescent="0.3">
      <c r="A716" s="1">
        <f>ROW(CantoralDB[[#This Row],[Título]])-1</f>
        <v>715</v>
      </c>
      <c r="B716" s="1" t="s">
        <v>1998</v>
      </c>
      <c r="C716" s="1"/>
      <c r="I716" s="1" t="s">
        <v>612</v>
      </c>
      <c r="L716" s="15" t="s">
        <v>261</v>
      </c>
      <c r="M716" s="15"/>
      <c r="N716" s="15"/>
      <c r="O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forofos.html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href="canciones/hakuna/forofos.html"&gt;Forofos&lt;/a&gt;&lt;/li&gt;</v>
      </c>
      <c r="U716" s="15" t="str">
        <f>_xlfn.TEXTBEFORE(_xlfn.TEXTAFTER(CantoralDB[[#This Row],[index.html]],"&gt;"),"&gt;")&amp;"&gt;"</f>
        <v>&lt;a href="canciones/hakuna/forofos.html"&gt;</v>
      </c>
    </row>
    <row r="717" spans="1:21" hidden="1" x14ac:dyDescent="0.3">
      <c r="A717" s="1">
        <f>ROW(CantoralDB[[#This Row],[Título]])-1</f>
        <v>716</v>
      </c>
      <c r="B717" s="1" t="s">
        <v>1722</v>
      </c>
      <c r="C717" s="1"/>
      <c r="I717" s="1"/>
      <c r="L717" s="15" t="s">
        <v>484</v>
      </c>
      <c r="M717" s="15" t="s">
        <v>1539</v>
      </c>
      <c r="N717" s="15">
        <v>8</v>
      </c>
      <c r="O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frases_marcelino.html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717" s="15" t="str">
        <f>_xlfn.TEXTBEFORE(_xlfn.TEXTAFTER(CantoralDB[[#This Row],[index.html]],"&gt;"),"&gt;")&amp;"&gt;"</f>
        <v>&lt;a href="canciones/kairoi/frases_marcelino.html"&gt;</v>
      </c>
    </row>
    <row r="718" spans="1:21" hidden="1" x14ac:dyDescent="0.3">
      <c r="A718" s="1">
        <f>ROW(CantoralDB[[#This Row],[Título]])-1</f>
        <v>717</v>
      </c>
      <c r="B718" s="1" t="s">
        <v>1716</v>
      </c>
      <c r="C718" s="1"/>
      <c r="I718" s="1" t="s">
        <v>612</v>
      </c>
      <c r="L718" s="15" t="s">
        <v>484</v>
      </c>
      <c r="M718" s="15" t="s">
        <v>1538</v>
      </c>
      <c r="N718" s="15">
        <v>5</v>
      </c>
      <c r="O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fraternidad.html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href="canciones/kairoi/fraternidad.html"&gt;Fraternidad&lt;/a&gt;&lt;/li&gt;</v>
      </c>
      <c r="U718" s="15" t="str">
        <f>_xlfn.TEXTBEFORE(_xlfn.TEXTAFTER(CantoralDB[[#This Row],[index.html]],"&gt;"),"&gt;")&amp;"&gt;"</f>
        <v>&lt;a href="canciones/kairoi/fraternidad.html"&gt;</v>
      </c>
    </row>
    <row r="719" spans="1:21" hidden="1" x14ac:dyDescent="0.3">
      <c r="A719" s="1">
        <f>ROW(CantoralDB[[#This Row],[Título]])-1</f>
        <v>718</v>
      </c>
      <c r="B719" s="1" t="s">
        <v>1935</v>
      </c>
      <c r="C719" s="1"/>
      <c r="I719" s="1" t="s">
        <v>612</v>
      </c>
      <c r="L719" s="15" t="s">
        <v>1804</v>
      </c>
      <c r="M719" s="15" t="s">
        <v>1952</v>
      </c>
      <c r="N719" s="15">
        <v>13</v>
      </c>
      <c r="O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frontera.html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href="canciones/ruah/frontera.html"&gt;Frontera&lt;/a&gt;&lt;/li&gt;</v>
      </c>
      <c r="U719" s="15" t="str">
        <f>_xlfn.TEXTBEFORE(_xlfn.TEXTAFTER(CantoralDB[[#This Row],[index.html]],"&gt;"),"&gt;")&amp;"&gt;"</f>
        <v>&lt;a href="canciones/ruah/frontera.html"&gt;</v>
      </c>
    </row>
    <row r="720" spans="1:21" hidden="1" x14ac:dyDescent="0.3">
      <c r="A720" s="1">
        <f>ROW(CantoralDB[[#This Row],[Título]])-1</f>
        <v>719</v>
      </c>
      <c r="B720" s="1" t="s">
        <v>1856</v>
      </c>
      <c r="C720" s="1"/>
      <c r="I720" s="1" t="s">
        <v>612</v>
      </c>
      <c r="L720" s="15" t="s">
        <v>501</v>
      </c>
      <c r="M720" s="15" t="s">
        <v>1554</v>
      </c>
      <c r="N720" s="15">
        <v>1</v>
      </c>
      <c r="O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href="canciones/ain_karem/fuego.html"&gt;Fuego&lt;/a&gt;&lt;/li&gt;</v>
      </c>
      <c r="U720" s="15" t="str">
        <f>_xlfn.TEXTBEFORE(_xlfn.TEXTAFTER(CantoralDB[[#This Row],[index.html]],"&gt;"),"&gt;")&amp;"&gt;"</f>
        <v>&lt;a href="canciones/ain_karem/fuego.html"&gt;</v>
      </c>
    </row>
    <row r="721" spans="1:21" hidden="1" x14ac:dyDescent="0.3">
      <c r="A721" s="1">
        <f>ROW(CantoralDB[[#This Row],[Título]])-1</f>
        <v>720</v>
      </c>
      <c r="B721" s="1" t="s">
        <v>3481</v>
      </c>
      <c r="C721" s="1"/>
      <c r="F721" s="1">
        <v>139</v>
      </c>
      <c r="I721" s="1"/>
      <c r="L721" s="15" t="s">
        <v>3482</v>
      </c>
      <c r="M721" s="15"/>
      <c r="N721" s="15"/>
      <c r="O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fuego_en_esta_casa.html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721" s="15" t="str">
        <f>_xlfn.TEXTBEFORE(_xlfn.TEXTAFTER(CantoralDB[[#This Row],[index.html]],"&gt;"),"&gt;")&amp;"&gt;"</f>
        <v>&lt;a href="canciones/nuevas/fuego_en_esta_casa.html"&gt;</v>
      </c>
    </row>
    <row r="722" spans="1:21" hidden="1" x14ac:dyDescent="0.3">
      <c r="A722" s="1">
        <f>ROW(CantoralDB[[#This Row],[Título]])-1</f>
        <v>721</v>
      </c>
      <c r="B722" s="1" t="s">
        <v>1554</v>
      </c>
      <c r="C722" s="1"/>
      <c r="I722" s="1"/>
      <c r="L722" s="15" t="s">
        <v>501</v>
      </c>
      <c r="M722" s="15" t="s">
        <v>1554</v>
      </c>
      <c r="N722" s="15">
        <v>10</v>
      </c>
      <c r="O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fuego_y_abrazo.html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722" s="15" t="str">
        <f>_xlfn.TEXTBEFORE(_xlfn.TEXTAFTER(CantoralDB[[#This Row],[index.html]],"&gt;"),"&gt;")&amp;"&gt;"</f>
        <v>&lt;a href="canciones/ain_karem/fuego_y_abrazo.html"&gt;</v>
      </c>
    </row>
    <row r="723" spans="1:21" hidden="1" x14ac:dyDescent="0.3">
      <c r="A723" s="1">
        <f>ROW(CantoralDB[[#This Row],[Título]])-1</f>
        <v>722</v>
      </c>
      <c r="B723" s="1" t="s">
        <v>181</v>
      </c>
      <c r="C723" s="1" t="s">
        <v>200</v>
      </c>
      <c r="D723" s="1" t="s">
        <v>1462</v>
      </c>
      <c r="F723" s="1">
        <v>108</v>
      </c>
      <c r="G723" s="1" t="s">
        <v>209</v>
      </c>
      <c r="H723" s="1" t="s">
        <v>1044</v>
      </c>
      <c r="I723" s="1" t="s">
        <v>612</v>
      </c>
      <c r="L723" s="15" t="s">
        <v>574</v>
      </c>
      <c r="M723" s="15"/>
      <c r="N723" s="15"/>
      <c r="O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fuente_de_paz_y_fidelidad.html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723" s="15" t="str">
        <f>_xlfn.TEXTBEFORE(_xlfn.TEXTAFTER(CantoralDB[[#This Row],[index.html]],"&gt;"),"&gt;")&amp;"&gt;"</f>
        <v>&lt;a href="canciones/pelayo_sanchez/fuente_de_paz_y_fidelidad.html"&gt;</v>
      </c>
    </row>
    <row r="724" spans="1:21" hidden="1" x14ac:dyDescent="0.3">
      <c r="A724" s="1">
        <f>ROW(CantoralDB[[#This Row],[Título]])-1</f>
        <v>723</v>
      </c>
      <c r="B724" s="1" t="s">
        <v>3118</v>
      </c>
      <c r="C724" s="1"/>
      <c r="I724" s="1" t="s">
        <v>612</v>
      </c>
      <c r="L724" s="15" t="s">
        <v>484</v>
      </c>
      <c r="M724" s="15" t="s">
        <v>1536</v>
      </c>
      <c r="N724" s="15">
        <v>10</v>
      </c>
      <c r="O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fueron_valientes.html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724" s="15" t="str">
        <f>_xlfn.TEXTBEFORE(_xlfn.TEXTAFTER(CantoralDB[[#This Row],[index.html]],"&gt;"),"&gt;")&amp;"&gt;"</f>
        <v>&lt;a href="canciones/kairoi/fueron_valientes.html"&gt;</v>
      </c>
    </row>
    <row r="725" spans="1:21" hidden="1" x14ac:dyDescent="0.3">
      <c r="A725" s="1">
        <f>ROW(CantoralDB[[#This Row],[Título]])-1</f>
        <v>724</v>
      </c>
      <c r="B725" s="1" t="s">
        <v>1844</v>
      </c>
      <c r="C725" s="1"/>
      <c r="I725" s="1" t="s">
        <v>612</v>
      </c>
      <c r="L725" s="15" t="s">
        <v>501</v>
      </c>
      <c r="M725" s="15" t="s">
        <v>1551</v>
      </c>
      <c r="N725" s="15">
        <v>15</v>
      </c>
      <c r="O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fuertes_humildes_y_diligentes.html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725" s="15" t="str">
        <f>_xlfn.TEXTBEFORE(_xlfn.TEXTAFTER(CantoralDB[[#This Row],[index.html]],"&gt;"),"&gt;")&amp;"&gt;"</f>
        <v>&lt;a href="canciones/ain_karem/fuertes_humildes_y_diligentes.html"&gt;</v>
      </c>
    </row>
    <row r="726" spans="1:21" hidden="1" x14ac:dyDescent="0.3">
      <c r="A726" s="1">
        <f>ROW(CantoralDB[[#This Row],[Título]])-1</f>
        <v>725</v>
      </c>
      <c r="B726" s="1" t="s">
        <v>3251</v>
      </c>
      <c r="C726" s="1"/>
      <c r="I726" s="1"/>
      <c r="L726" s="15" t="s">
        <v>3160</v>
      </c>
      <c r="M726" s="15" t="s">
        <v>3248</v>
      </c>
      <c r="N726" s="15">
        <v>4</v>
      </c>
      <c r="O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genesis.html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href="canciones/hermana_glenda/genesis.html"&gt;Génesis&lt;/a&gt;&lt;/li&gt;</v>
      </c>
      <c r="U726" s="15" t="str">
        <f>_xlfn.TEXTBEFORE(_xlfn.TEXTAFTER(CantoralDB[[#This Row],[index.html]],"&gt;"),"&gt;")&amp;"&gt;"</f>
        <v>&lt;a href="canciones/hermana_glenda/genesis.html"&gt;</v>
      </c>
    </row>
    <row r="727" spans="1:21" hidden="1" x14ac:dyDescent="0.3">
      <c r="A727" s="1">
        <f>ROW(CantoralDB[[#This Row],[Título]])-1</f>
        <v>726</v>
      </c>
      <c r="B727" s="1" t="s">
        <v>193</v>
      </c>
      <c r="C727" s="1"/>
      <c r="I727" s="1" t="s">
        <v>612</v>
      </c>
      <c r="L727" s="15" t="s">
        <v>484</v>
      </c>
      <c r="M727" s="15" t="s">
        <v>1532</v>
      </c>
      <c r="N727" s="15">
        <v>2</v>
      </c>
      <c r="O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href="canciones/kairoi/gloria.html"&gt;Gloria&lt;/a&gt;&lt;/li&gt;</v>
      </c>
      <c r="U727" s="15" t="str">
        <f>_xlfn.TEXTBEFORE(_xlfn.TEXTAFTER(CantoralDB[[#This Row],[index.html]],"&gt;"),"&gt;")&amp;"&gt;"</f>
        <v>&lt;a href="canciones/kairoi/gloria.html"&gt;</v>
      </c>
    </row>
    <row r="728" spans="1:21" hidden="1" x14ac:dyDescent="0.3">
      <c r="A728" s="1">
        <f>ROW(CantoralDB[[#This Row],[Título]])-1</f>
        <v>727</v>
      </c>
      <c r="B728" s="1" t="s">
        <v>193</v>
      </c>
      <c r="C728" s="1"/>
      <c r="F728" s="1">
        <v>333</v>
      </c>
      <c r="I728" s="1"/>
      <c r="L728" s="15" t="s">
        <v>3665</v>
      </c>
      <c r="M728" s="15"/>
      <c r="N728" s="15"/>
      <c r="O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728" s="15" t="str">
        <f>_xlfn.TEXTBEFORE(_xlfn.TEXTAFTER(CantoralDB[[#This Row],[index.html]],"&gt;"),"&gt;")&amp;"&gt;"</f>
        <v>&lt;a href="canciones/nuevas/gloria.html"&gt;</v>
      </c>
    </row>
    <row r="729" spans="1:21" hidden="1" x14ac:dyDescent="0.3">
      <c r="A729" s="1">
        <f>ROW(CantoralDB[[#This Row],[Título]])-1</f>
        <v>728</v>
      </c>
      <c r="B729" s="1" t="s">
        <v>193</v>
      </c>
      <c r="C729" s="1"/>
      <c r="I729" s="1"/>
      <c r="L729" s="15" t="s">
        <v>482</v>
      </c>
      <c r="M729" s="15" t="s">
        <v>1899</v>
      </c>
      <c r="N729" s="15">
        <v>3</v>
      </c>
      <c r="O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href="canciones/toño_casado/gloria.html"&gt;Gloria&lt;/a&gt;&lt;/li&gt;</v>
      </c>
      <c r="U729" s="15" t="str">
        <f>_xlfn.TEXTBEFORE(_xlfn.TEXTAFTER(CantoralDB[[#This Row],[index.html]],"&gt;"),"&gt;")&amp;"&gt;"</f>
        <v>&lt;a href="canciones/toño_casado/gloria.html"&gt;</v>
      </c>
    </row>
    <row r="730" spans="1:21" hidden="1" x14ac:dyDescent="0.3">
      <c r="A730" s="1">
        <f>ROW(CantoralDB[[#This Row],[Título]])-1</f>
        <v>729</v>
      </c>
      <c r="B730" s="1" t="s">
        <v>2101</v>
      </c>
      <c r="C730" s="1"/>
      <c r="I730" s="1" t="s">
        <v>612</v>
      </c>
      <c r="K730" s="1" t="s">
        <v>3112</v>
      </c>
      <c r="L730" s="15" t="s">
        <v>481</v>
      </c>
      <c r="M730" s="15" t="s">
        <v>2135</v>
      </c>
      <c r="N730" s="15">
        <v>3</v>
      </c>
      <c r="O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gloria_(misa_coral).html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href="canciones/francisco_palazon/gloria_(misa_coral).html"&gt;Gloria (misa coral)&lt;/a&gt;&lt;/li&gt;</v>
      </c>
      <c r="U730" s="15" t="str">
        <f>_xlfn.TEXTBEFORE(_xlfn.TEXTAFTER(CantoralDB[[#This Row],[index.html]],"&gt;"),"&gt;")&amp;"&gt;"</f>
        <v>&lt;a href="canciones/francisco_palazon/gloria_(misa_coral).html"&gt;</v>
      </c>
    </row>
    <row r="731" spans="1:21" hidden="1" x14ac:dyDescent="0.3">
      <c r="A731" s="1">
        <f>ROW(CantoralDB[[#This Row],[Título]])-1</f>
        <v>730</v>
      </c>
      <c r="B731" s="1" t="s">
        <v>2077</v>
      </c>
      <c r="C731" s="1"/>
      <c r="I731" s="1" t="s">
        <v>612</v>
      </c>
      <c r="L731" s="15" t="s">
        <v>484</v>
      </c>
      <c r="M731" s="15" t="s">
        <v>1542</v>
      </c>
      <c r="N731" s="15">
        <v>6</v>
      </c>
      <c r="O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gloria_(por_maria).html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731" s="15" t="str">
        <f>_xlfn.TEXTBEFORE(_xlfn.TEXTAFTER(CantoralDB[[#This Row],[index.html]],"&gt;"),"&gt;")&amp;"&gt;"</f>
        <v>&lt;a href="canciones/kairoi/gloria_(por_maria).html"&gt;</v>
      </c>
    </row>
    <row r="732" spans="1:21" hidden="1" x14ac:dyDescent="0.3">
      <c r="A732" s="1">
        <f>ROW(CantoralDB[[#This Row],[Título]])-1</f>
        <v>731</v>
      </c>
      <c r="B732" s="1" t="s">
        <v>3120</v>
      </c>
      <c r="C732" s="1"/>
      <c r="I732" s="1"/>
      <c r="L732" s="15" t="s">
        <v>481</v>
      </c>
      <c r="M732" s="15" t="s">
        <v>1977</v>
      </c>
      <c r="N732" s="15">
        <v>3</v>
      </c>
      <c r="O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gloria_(reunidos_en_su_nombre).html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732" s="15" t="str">
        <f>_xlfn.TEXTBEFORE(_xlfn.TEXTAFTER(CantoralDB[[#This Row],[index.html]],"&gt;"),"&gt;")&amp;"&gt;"</f>
        <v>&lt;a href="canciones/francisco_palazon/gloria_(reunidos_en_su_nombre).html"&gt;</v>
      </c>
    </row>
    <row r="733" spans="1:21" hidden="1" x14ac:dyDescent="0.3">
      <c r="A733" s="1">
        <f>ROW(CantoralDB[[#This Row],[Título]])-1</f>
        <v>732</v>
      </c>
      <c r="B733" s="1" t="s">
        <v>613</v>
      </c>
      <c r="C733" s="1" t="s">
        <v>193</v>
      </c>
      <c r="D733" s="1" t="s">
        <v>1463</v>
      </c>
      <c r="F733" s="1">
        <v>241</v>
      </c>
      <c r="G733" s="1" t="s">
        <v>213</v>
      </c>
      <c r="H733" s="1" t="s">
        <v>1041</v>
      </c>
      <c r="I733" s="1" t="s">
        <v>612</v>
      </c>
      <c r="L733" s="15" t="s">
        <v>484</v>
      </c>
      <c r="M733" s="15" t="s">
        <v>1525</v>
      </c>
      <c r="N733" s="15">
        <v>9</v>
      </c>
      <c r="O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gloria_a_dios_(no_se_como_alabarte).html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733" s="15" t="str">
        <f>_xlfn.TEXTBEFORE(_xlfn.TEXTAFTER(CantoralDB[[#This Row],[index.html]],"&gt;"),"&gt;")&amp;"&gt;"</f>
        <v>&lt;a href="canciones/kairoi/gloria_a_dios_(no_se_como_alabarte).html"&gt;</v>
      </c>
    </row>
    <row r="734" spans="1:21" hidden="1" x14ac:dyDescent="0.3">
      <c r="A734" s="1">
        <f>ROW(CantoralDB[[#This Row],[Título]])-1</f>
        <v>733</v>
      </c>
      <c r="B734" s="1" t="s">
        <v>67</v>
      </c>
      <c r="C734" s="1" t="s">
        <v>193</v>
      </c>
      <c r="D734" s="1" t="s">
        <v>1464</v>
      </c>
      <c r="E734" s="1">
        <v>128</v>
      </c>
      <c r="G734" s="1" t="s">
        <v>209</v>
      </c>
      <c r="H734" s="1" t="s">
        <v>532</v>
      </c>
      <c r="I734" s="1" t="s">
        <v>612</v>
      </c>
      <c r="L734" s="15" t="s">
        <v>481</v>
      </c>
      <c r="M734" s="15" t="s">
        <v>21</v>
      </c>
      <c r="N734" s="15">
        <v>3</v>
      </c>
      <c r="O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gloria_a_dios_en_el_cielo.html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734" s="15" t="str">
        <f>_xlfn.TEXTBEFORE(_xlfn.TEXTAFTER(CantoralDB[[#This Row],[index.html]],"&gt;"),"&gt;")&amp;"&gt;"</f>
        <v>&lt;a href="canciones/francisco_palazon/gloria_a_dios_en_el_cielo.html"&gt;</v>
      </c>
    </row>
    <row r="735" spans="1:21" hidden="1" x14ac:dyDescent="0.3">
      <c r="A735" s="1">
        <f>ROW(CantoralDB[[#This Row],[Título]])-1</f>
        <v>734</v>
      </c>
      <c r="B735" s="1" t="s">
        <v>68</v>
      </c>
      <c r="C735" s="1" t="s">
        <v>193</v>
      </c>
      <c r="D735" s="1" t="s">
        <v>1465</v>
      </c>
      <c r="E735" s="1">
        <v>426</v>
      </c>
      <c r="F735" s="1">
        <v>284</v>
      </c>
      <c r="G735" s="1" t="s">
        <v>209</v>
      </c>
      <c r="H735" s="1" t="s">
        <v>1045</v>
      </c>
      <c r="I735" s="1" t="s">
        <v>612</v>
      </c>
      <c r="L735" s="15" t="s">
        <v>506</v>
      </c>
      <c r="M735" s="15"/>
      <c r="N735" s="15"/>
      <c r="O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gloria_a_dios_gloria_al_padre.html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735" s="15" t="str">
        <f>_xlfn.TEXTBEFORE(_xlfn.TEXTAFTER(CantoralDB[[#This Row],[index.html]],"&gt;"),"&gt;")&amp;"&gt;"</f>
        <v>&lt;a href="canciones/nsb/gloria_a_dios_gloria_al_padre.html"&gt;</v>
      </c>
    </row>
    <row r="736" spans="1:21" hidden="1" x14ac:dyDescent="0.3">
      <c r="A736" s="1">
        <f>ROW(CantoralDB[[#This Row],[Título]])-1</f>
        <v>735</v>
      </c>
      <c r="B736" s="1" t="s">
        <v>3588</v>
      </c>
      <c r="C736" s="1"/>
      <c r="F736" s="1">
        <v>255</v>
      </c>
      <c r="I736" s="1"/>
      <c r="L736" s="15" t="s">
        <v>579</v>
      </c>
      <c r="M736" s="15"/>
      <c r="N736" s="15"/>
      <c r="O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gloria_a_jesus_el_señor.html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736" s="15" t="str">
        <f>_xlfn.TEXTBEFORE(_xlfn.TEXTAFTER(CantoralDB[[#This Row],[index.html]],"&gt;"),"&gt;")&amp;"&gt;"</f>
        <v>&lt;a href="canciones/nuevas/gloria_a_jesus_el_señor.html"&gt;</v>
      </c>
    </row>
    <row r="737" spans="1:21" hidden="1" x14ac:dyDescent="0.3">
      <c r="A737" s="1">
        <f>ROW(CantoralDB[[#This Row],[Título]])-1</f>
        <v>736</v>
      </c>
      <c r="B737" s="1" t="s">
        <v>3568</v>
      </c>
      <c r="C737" s="1"/>
      <c r="F737" s="1">
        <v>227</v>
      </c>
      <c r="I737" s="1"/>
      <c r="L737" s="15" t="s">
        <v>799</v>
      </c>
      <c r="M737" s="15"/>
      <c r="N737" s="15"/>
      <c r="O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gloria_a_ti_por_siempre.html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href="canciones/nuevas/gloria_a_ti_por_siempre.html"&gt;Gloria a ti por siempre&lt;/a&gt;&lt;/li&gt;</v>
      </c>
      <c r="U737" s="15" t="str">
        <f>_xlfn.TEXTBEFORE(_xlfn.TEXTAFTER(CantoralDB[[#This Row],[index.html]],"&gt;"),"&gt;")&amp;"&gt;"</f>
        <v>&lt;a href="canciones/nuevas/gloria_a_ti_por_siempre.html"&gt;</v>
      </c>
    </row>
    <row r="738" spans="1:21" hidden="1" x14ac:dyDescent="0.3">
      <c r="A738" s="1">
        <f>ROW(CantoralDB[[#This Row],[Título]])-1</f>
        <v>737</v>
      </c>
      <c r="B738" s="1" t="s">
        <v>3726</v>
      </c>
      <c r="C738" s="1"/>
      <c r="F738" s="1">
        <v>385</v>
      </c>
      <c r="I738" s="1"/>
      <c r="L738" s="15" t="s">
        <v>3458</v>
      </c>
      <c r="M738" s="15"/>
      <c r="N738" s="15"/>
      <c r="O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gloria_al_cordero.html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738" s="15" t="str">
        <f>_xlfn.TEXTBEFORE(_xlfn.TEXTAFTER(CantoralDB[[#This Row],[index.html]],"&gt;"),"&gt;")&amp;"&gt;"</f>
        <v>&lt;a href="canciones/marta_gil-delgado/gloria_al_cordero.html"&gt;</v>
      </c>
    </row>
    <row r="739" spans="1:21" hidden="1" x14ac:dyDescent="0.3">
      <c r="A739" s="1">
        <f>ROW(CantoralDB[[#This Row],[Título]])-1</f>
        <v>738</v>
      </c>
      <c r="B739" s="1" t="s">
        <v>1814</v>
      </c>
      <c r="C739" s="1"/>
      <c r="I739" s="1" t="s">
        <v>612</v>
      </c>
      <c r="L739" s="15" t="s">
        <v>501</v>
      </c>
      <c r="M739" s="15" t="s">
        <v>1549</v>
      </c>
      <c r="N739" s="15">
        <v>6</v>
      </c>
      <c r="O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gloria_trinitario.html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739" s="15" t="str">
        <f>_xlfn.TEXTBEFORE(_xlfn.TEXTAFTER(CantoralDB[[#This Row],[index.html]],"&gt;"),"&gt;")&amp;"&gt;"</f>
        <v>&lt;a href="canciones/ain_karem/gloria_trinitario.html"&gt;</v>
      </c>
    </row>
    <row r="740" spans="1:21" hidden="1" x14ac:dyDescent="0.3">
      <c r="A740" s="1">
        <f>ROW(CantoralDB[[#This Row],[Título]])-1</f>
        <v>739</v>
      </c>
      <c r="B740" s="1" t="s">
        <v>69</v>
      </c>
      <c r="C740" s="1" t="s">
        <v>193</v>
      </c>
      <c r="D740" s="1" t="s">
        <v>1466</v>
      </c>
      <c r="E740" s="1">
        <v>303</v>
      </c>
      <c r="G740" s="1" t="s">
        <v>209</v>
      </c>
      <c r="H740" s="1" t="s">
        <v>532</v>
      </c>
      <c r="I740" s="1" t="s">
        <v>612</v>
      </c>
      <c r="L740" s="15" t="s">
        <v>799</v>
      </c>
      <c r="M740" s="15"/>
      <c r="N740" s="15"/>
      <c r="O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gloria_y_alabanza.html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740" s="15" t="str">
        <f>_xlfn.TEXTBEFORE(_xlfn.TEXTAFTER(CantoralDB[[#This Row],[index.html]],"&gt;"),"&gt;")&amp;"&gt;"</f>
        <v>&lt;a href="canciones/nsb/gloria_y_alabanza.html"&gt;</v>
      </c>
    </row>
    <row r="741" spans="1:21" hidden="1" x14ac:dyDescent="0.3">
      <c r="A741" s="1">
        <f>ROW(CantoralDB[[#This Row],[Título]])-1</f>
        <v>740</v>
      </c>
      <c r="B741" s="1" t="s">
        <v>2171</v>
      </c>
      <c r="C741" s="1"/>
      <c r="I741" s="1"/>
      <c r="L741" s="15" t="s">
        <v>481</v>
      </c>
      <c r="M741" s="15" t="s">
        <v>1975</v>
      </c>
      <c r="N741" s="15">
        <v>2</v>
      </c>
      <c r="O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gloria_alabanza_y_honor.html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741" s="15" t="str">
        <f>_xlfn.TEXTBEFORE(_xlfn.TEXTAFTER(CantoralDB[[#This Row],[index.html]],"&gt;"),"&gt;")&amp;"&gt;"</f>
        <v>&lt;a href="canciones/francisco_palazon/gloria_alabanza_y_honor.html"&gt;</v>
      </c>
    </row>
    <row r="742" spans="1:21" hidden="1" x14ac:dyDescent="0.3">
      <c r="A742" s="1">
        <f>ROW(CantoralDB[[#This Row],[Título]])-1</f>
        <v>741</v>
      </c>
      <c r="B742" s="1" t="s">
        <v>239</v>
      </c>
      <c r="C742" s="1" t="s">
        <v>193</v>
      </c>
      <c r="D742" s="1" t="s">
        <v>1467</v>
      </c>
      <c r="G742" s="1" t="s">
        <v>220</v>
      </c>
      <c r="H742" s="1" t="s">
        <v>1031</v>
      </c>
      <c r="I742" s="1" t="s">
        <v>612</v>
      </c>
      <c r="L742" s="15" t="s">
        <v>482</v>
      </c>
      <c r="M742" s="15" t="s">
        <v>1893</v>
      </c>
      <c r="N742" s="15">
        <v>3</v>
      </c>
      <c r="O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gloria_gloria_a_dios.html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742" s="15" t="str">
        <f>_xlfn.TEXTBEFORE(_xlfn.TEXTAFTER(CantoralDB[[#This Row],[index.html]],"&gt;"),"&gt;")&amp;"&gt;"</f>
        <v>&lt;a href="canciones/toño_casado/gloria_gloria_a_dios.html"&gt;</v>
      </c>
    </row>
    <row r="743" spans="1:21" hidden="1" x14ac:dyDescent="0.3">
      <c r="A743" s="1">
        <f>ROW(CantoralDB[[#This Row],[Título]])-1</f>
        <v>742</v>
      </c>
      <c r="B743" s="1" t="s">
        <v>505</v>
      </c>
      <c r="C743" s="1" t="s">
        <v>193</v>
      </c>
      <c r="D743" s="1" t="s">
        <v>1468</v>
      </c>
      <c r="E743" s="1">
        <v>127</v>
      </c>
      <c r="G743" s="1" t="s">
        <v>209</v>
      </c>
      <c r="H743" s="1" t="s">
        <v>1039</v>
      </c>
      <c r="I743" s="1" t="s">
        <v>612</v>
      </c>
      <c r="L743" s="15" t="s">
        <v>2152</v>
      </c>
      <c r="M743" s="15"/>
      <c r="N743" s="15"/>
      <c r="O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gloria_gloria_aleluya.html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data-momento="Gloria" data-nnew="C06" data-nold="127"&gt;&lt;a href="canciones/nsb/gloria_gloria_aleluya.html"&gt;Gloria, gloria, aleluya&lt;/a&gt;&lt;/li&gt;</v>
      </c>
      <c r="U743" s="15" t="str">
        <f>_xlfn.TEXTBEFORE(_xlfn.TEXTAFTER(CantoralDB[[#This Row],[index.html]],"&gt;"),"&gt;")&amp;"&gt;"</f>
        <v>&lt;a href="canciones/nsb/gloria_gloria_aleluya.html"&gt;</v>
      </c>
    </row>
    <row r="744" spans="1:21" hidden="1" x14ac:dyDescent="0.3">
      <c r="A744" s="1">
        <f>ROW(CantoralDB[[#This Row],[Título]])-1</f>
        <v>743</v>
      </c>
      <c r="B744" s="1" t="s">
        <v>1646</v>
      </c>
      <c r="C744" s="1"/>
      <c r="I744" s="1"/>
      <c r="L744" s="15" t="s">
        <v>484</v>
      </c>
      <c r="M744" s="15" t="s">
        <v>1529</v>
      </c>
      <c r="N744" s="15">
        <v>1</v>
      </c>
      <c r="O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gloria_hosana.html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href="canciones/kairoi/gloria_hosana.html"&gt;Gloria, hosana&lt;/a&gt;&lt;/li&gt;</v>
      </c>
      <c r="U744" s="15" t="str">
        <f>_xlfn.TEXTBEFORE(_xlfn.TEXTAFTER(CantoralDB[[#This Row],[index.html]],"&gt;"),"&gt;")&amp;"&gt;"</f>
        <v>&lt;a href="canciones/kairoi/gloria_hosana.html"&gt;</v>
      </c>
    </row>
    <row r="745" spans="1:21" hidden="1" x14ac:dyDescent="0.3">
      <c r="A745" s="1">
        <f>ROW(CantoralDB[[#This Row],[Título]])-1</f>
        <v>744</v>
      </c>
      <c r="B745" s="1" t="s">
        <v>3370</v>
      </c>
      <c r="C745" s="1"/>
      <c r="F745" s="1">
        <v>37</v>
      </c>
      <c r="I745" s="1"/>
      <c r="L745" s="15" t="s">
        <v>3347</v>
      </c>
      <c r="M745" s="15"/>
      <c r="N745" s="15"/>
      <c r="O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gloria_yo_soy_libre.html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745" s="15" t="str">
        <f>_xlfn.TEXTBEFORE(_xlfn.TEXTAFTER(CantoralDB[[#This Row],[index.html]],"&gt;"),"&gt;")&amp;"&gt;"</f>
        <v>&lt;a href="canciones/luis_alfredo_diaz/gloria_yo_soy_libre.html"&gt;</v>
      </c>
    </row>
    <row r="746" spans="1:21" hidden="1" x14ac:dyDescent="0.3">
      <c r="A746" s="1">
        <f>ROW(CantoralDB[[#This Row],[Título]])-1</f>
        <v>745</v>
      </c>
      <c r="B746" s="1" t="s">
        <v>3617</v>
      </c>
      <c r="C746" s="1"/>
      <c r="F746" s="1">
        <v>282</v>
      </c>
      <c r="I746" s="1"/>
      <c r="L746" s="15" t="s">
        <v>543</v>
      </c>
      <c r="M746" s="15"/>
      <c r="N746" s="15"/>
      <c r="O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gloriosa_luz_de_dios.html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746" s="15" t="str">
        <f>_xlfn.TEXTBEFORE(_xlfn.TEXTAFTER(CantoralDB[[#This Row],[index.html]],"&gt;"),"&gt;")&amp;"&gt;"</f>
        <v>&lt;a href="canciones/josep_asuncion/gloriosa_luz_de_dios.html"&gt;</v>
      </c>
    </row>
    <row r="747" spans="1:21" hidden="1" x14ac:dyDescent="0.3">
      <c r="A747" s="1">
        <f>ROW(CantoralDB[[#This Row],[Título]])-1</f>
        <v>746</v>
      </c>
      <c r="B747" s="1" t="s">
        <v>1924</v>
      </c>
      <c r="C747" s="1"/>
      <c r="I747" s="1" t="s">
        <v>612</v>
      </c>
      <c r="L747" s="15" t="s">
        <v>1804</v>
      </c>
      <c r="M747" s="15" t="s">
        <v>1951</v>
      </c>
      <c r="N747" s="15">
        <v>11</v>
      </c>
      <c r="O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href="canciones/ruah/gracias.html"&gt;Gracias&lt;/a&gt;&lt;/li&gt;</v>
      </c>
      <c r="U747" s="15" t="str">
        <f>_xlfn.TEXTBEFORE(_xlfn.TEXTAFTER(CantoralDB[[#This Row],[index.html]],"&gt;"),"&gt;")&amp;"&gt;"</f>
        <v>&lt;a href="canciones/ruah/gracias.html"&gt;</v>
      </c>
    </row>
    <row r="748" spans="1:21" hidden="1" x14ac:dyDescent="0.3">
      <c r="A748" s="1">
        <f>ROW(CantoralDB[[#This Row],[Título]])-1</f>
        <v>747</v>
      </c>
      <c r="B748" s="1" t="s">
        <v>1588</v>
      </c>
      <c r="C748" s="1"/>
      <c r="I748" s="1" t="s">
        <v>612</v>
      </c>
      <c r="L748" s="15" t="s">
        <v>484</v>
      </c>
      <c r="M748" s="15" t="s">
        <v>92</v>
      </c>
      <c r="N748" s="15">
        <v>6</v>
      </c>
      <c r="O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gracias_madre.html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href="canciones/kairoi/gracias_madre.html"&gt;Gracias Madre&lt;/a&gt;&lt;/li&gt;</v>
      </c>
      <c r="U748" s="15" t="str">
        <f>_xlfn.TEXTBEFORE(_xlfn.TEXTAFTER(CantoralDB[[#This Row],[index.html]],"&gt;"),"&gt;")&amp;"&gt;"</f>
        <v>&lt;a href="canciones/kairoi/gracias_madre.html"&gt;</v>
      </c>
    </row>
    <row r="749" spans="1:21" hidden="1" x14ac:dyDescent="0.3">
      <c r="A749" s="1">
        <f>ROW(CantoralDB[[#This Row],[Título]])-1</f>
        <v>748</v>
      </c>
      <c r="B749" s="1" t="s">
        <v>3650</v>
      </c>
      <c r="C749" s="1"/>
      <c r="F749" s="1">
        <v>314</v>
      </c>
      <c r="I749" s="1"/>
      <c r="L749" s="15" t="s">
        <v>799</v>
      </c>
      <c r="M749" s="15"/>
      <c r="N749" s="15"/>
      <c r="O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gracias_por_lo_que_haces_por_mi.html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749" s="15" t="str">
        <f>_xlfn.TEXTBEFORE(_xlfn.TEXTAFTER(CantoralDB[[#This Row],[index.html]],"&gt;"),"&gt;")&amp;"&gt;"</f>
        <v>&lt;a href="canciones/nuevas/gracias_por_lo_que_haces_por_mi.html"&gt;</v>
      </c>
    </row>
    <row r="750" spans="1:21" hidden="1" x14ac:dyDescent="0.3">
      <c r="A750" s="1">
        <f>ROW(CantoralDB[[#This Row],[Título]])-1</f>
        <v>749</v>
      </c>
      <c r="B750" s="1" t="s">
        <v>1613</v>
      </c>
      <c r="C750" s="1"/>
      <c r="I750" s="1" t="s">
        <v>612</v>
      </c>
      <c r="L750" s="15" t="s">
        <v>484</v>
      </c>
      <c r="M750" s="15" t="s">
        <v>1546</v>
      </c>
      <c r="N750" s="15">
        <v>7</v>
      </c>
      <c r="O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gracias_por_tu_don.html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750" s="15" t="str">
        <f>_xlfn.TEXTBEFORE(_xlfn.TEXTAFTER(CantoralDB[[#This Row],[index.html]],"&gt;"),"&gt;")&amp;"&gt;"</f>
        <v>&lt;a href="canciones/kairoi/gracias_por_tu_don.html"&gt;</v>
      </c>
    </row>
    <row r="751" spans="1:21" hidden="1" x14ac:dyDescent="0.3">
      <c r="A751" s="1">
        <f>ROW(CantoralDB[[#This Row],[Título]])-1</f>
        <v>750</v>
      </c>
      <c r="B751" s="1" t="s">
        <v>3728</v>
      </c>
      <c r="C751" s="1"/>
      <c r="F751" s="1">
        <v>387</v>
      </c>
      <c r="I751" s="1"/>
      <c r="L751" s="15" t="s">
        <v>3730</v>
      </c>
      <c r="M751" s="15"/>
      <c r="N751" s="15"/>
      <c r="O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gracias_yo_te_dare.html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751" s="15" t="str">
        <f>_xlfn.TEXTBEFORE(_xlfn.TEXTAFTER(CantoralDB[[#This Row],[index.html]],"&gt;"),"&gt;")&amp;"&gt;"</f>
        <v>&lt;a href="canciones/nuevas/gracias_yo_te_dare.html"&gt;</v>
      </c>
    </row>
    <row r="752" spans="1:21" hidden="1" x14ac:dyDescent="0.3">
      <c r="A752" s="1">
        <f>ROW(CantoralDB[[#This Row],[Título]])-1</f>
        <v>751</v>
      </c>
      <c r="B752" s="1" t="s">
        <v>70</v>
      </c>
      <c r="C752" s="1" t="s">
        <v>199</v>
      </c>
      <c r="D752" s="1" t="s">
        <v>1469</v>
      </c>
      <c r="E752" s="1">
        <v>427</v>
      </c>
      <c r="G752" s="1" t="s">
        <v>213</v>
      </c>
      <c r="H752" s="1" t="s">
        <v>532</v>
      </c>
      <c r="I752" s="1" t="s">
        <v>612</v>
      </c>
      <c r="L752" s="15" t="s">
        <v>638</v>
      </c>
      <c r="M752" s="15"/>
      <c r="N752" s="15"/>
      <c r="O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752" s="15" t="str">
        <f>_xlfn.TEXTBEFORE(_xlfn.TEXTAFTER(CantoralDB[[#This Row],[index.html]],"&gt;"),"&gt;")&amp;"&gt;"</f>
        <v>&lt;a href="canciones/nsb/gracias_señor.html"&gt;</v>
      </c>
    </row>
    <row r="753" spans="1:21" hidden="1" x14ac:dyDescent="0.3">
      <c r="A753" s="1">
        <f>ROW(CantoralDB[[#This Row],[Título]])-1</f>
        <v>752</v>
      </c>
      <c r="B753" s="1" t="s">
        <v>1300</v>
      </c>
      <c r="C753" s="1"/>
      <c r="E753" s="1">
        <v>129</v>
      </c>
      <c r="I753" s="1"/>
      <c r="L753" s="15" t="s">
        <v>498</v>
      </c>
      <c r="M753" s="15"/>
      <c r="N753" s="15"/>
      <c r="O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gracias_señor_por_mis_hermanos.html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data-nold="129"&gt;&lt;a href="canciones/pedro_nuñez/gracias_señor_por_mis_hermanos.html"&gt;Gracias, Señor, por mis hermanos&lt;/a&gt;&lt;/li&gt;</v>
      </c>
      <c r="U753" s="15" t="str">
        <f>_xlfn.TEXTBEFORE(_xlfn.TEXTAFTER(CantoralDB[[#This Row],[index.html]],"&gt;"),"&gt;")&amp;"&gt;"</f>
        <v>&lt;a href="canciones/pedro_nuñez/gracias_señor_por_mis_hermanos.html"&gt;</v>
      </c>
    </row>
    <row r="754" spans="1:21" hidden="1" x14ac:dyDescent="0.3">
      <c r="A754" s="1">
        <f>ROW(CantoralDB[[#This Row],[Título]])-1</f>
        <v>753</v>
      </c>
      <c r="B754" s="1" t="s">
        <v>1299</v>
      </c>
      <c r="C754" s="1"/>
      <c r="E754" s="1">
        <v>126</v>
      </c>
      <c r="I754" s="1"/>
      <c r="L754" s="15" t="s">
        <v>479</v>
      </c>
      <c r="M754" s="15"/>
      <c r="N754" s="15"/>
      <c r="O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gracias_señor_por_tu_palabra.html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754" s="15" t="str">
        <f>_xlfn.TEXTBEFORE(_xlfn.TEXTAFTER(CantoralDB[[#This Row],[index.html]],"&gt;"),"&gt;")&amp;"&gt;"</f>
        <v>&lt;a href="canciones/carmelo_erdozain/gracias_señor_por_tu_palabra.html"&gt;</v>
      </c>
    </row>
    <row r="755" spans="1:21" hidden="1" x14ac:dyDescent="0.3">
      <c r="A755" s="1">
        <f>ROW(CantoralDB[[#This Row],[Título]])-1</f>
        <v>754</v>
      </c>
      <c r="B755" s="1" t="s">
        <v>3279</v>
      </c>
      <c r="C755" s="1"/>
      <c r="I755" s="1"/>
      <c r="L755" s="15" t="s">
        <v>3160</v>
      </c>
      <c r="M755" s="15" t="s">
        <v>891</v>
      </c>
      <c r="N755" s="15">
        <v>8</v>
      </c>
      <c r="O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grande_es_tu_amor.html</v>
      </c>
      <c r="R755" s="1" t="s">
        <v>3287</v>
      </c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href="canciones/hermana_glenda/grande_es_tu_amor.html"&gt;Grande es tu amor&lt;/a&gt;&lt;/li&gt;</v>
      </c>
      <c r="U755" s="15" t="str">
        <f>_xlfn.TEXTBEFORE(_xlfn.TEXTAFTER(CantoralDB[[#This Row],[index.html]],"&gt;"),"&gt;")&amp;"&gt;"</f>
        <v>&lt;a href="canciones/hermana_glenda/grande_es_tu_amor.html"&gt;</v>
      </c>
    </row>
    <row r="756" spans="1:21" hidden="1" x14ac:dyDescent="0.3">
      <c r="A756" s="1">
        <f>ROW(CantoralDB[[#This Row],[Título]])-1</f>
        <v>755</v>
      </c>
      <c r="B756" s="1" t="s">
        <v>1941</v>
      </c>
      <c r="C756" s="1"/>
      <c r="I756" s="1" t="s">
        <v>612</v>
      </c>
      <c r="L756" s="15" t="s">
        <v>1804</v>
      </c>
      <c r="M756" s="15" t="s">
        <v>1945</v>
      </c>
      <c r="N756" s="15">
        <v>3</v>
      </c>
      <c r="O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grietas.html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href="canciones/ruah/grietas.html"&gt;Grietas&lt;/a&gt;&lt;/li&gt;</v>
      </c>
      <c r="U756" s="15" t="str">
        <f>_xlfn.TEXTBEFORE(_xlfn.TEXTAFTER(CantoralDB[[#This Row],[index.html]],"&gt;"),"&gt;")&amp;"&gt;"</f>
        <v>&lt;a href="canciones/ruah/grietas.html"&gt;</v>
      </c>
    </row>
    <row r="757" spans="1:21" hidden="1" x14ac:dyDescent="0.3">
      <c r="A757" s="1">
        <f>ROW(CantoralDB[[#This Row],[Título]])-1</f>
        <v>756</v>
      </c>
      <c r="B757" s="1" t="s">
        <v>71</v>
      </c>
      <c r="C757" s="1" t="s">
        <v>201</v>
      </c>
      <c r="D757" s="1" t="s">
        <v>661</v>
      </c>
      <c r="E757" s="1">
        <v>124</v>
      </c>
      <c r="G757" s="1" t="s">
        <v>209</v>
      </c>
      <c r="H757" s="1" t="s">
        <v>1041</v>
      </c>
      <c r="I757" s="1" t="s">
        <v>612</v>
      </c>
      <c r="L757" s="15" t="s">
        <v>2153</v>
      </c>
      <c r="M757" s="15"/>
      <c r="N757" s="15"/>
      <c r="O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gritad_que_dios_es_grande.html</v>
      </c>
      <c r="R757" s="1" t="s">
        <v>839</v>
      </c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757" s="15" t="str">
        <f>_xlfn.TEXTBEFORE(_xlfn.TEXTAFTER(CantoralDB[[#This Row],[index.html]],"&gt;"),"&gt;")&amp;"&gt;"</f>
        <v>&lt;a href="canciones/nsb/gritad_que_dios_es_grande.html"&gt;</v>
      </c>
    </row>
    <row r="758" spans="1:21" hidden="1" x14ac:dyDescent="0.3">
      <c r="A758" s="1">
        <f>ROW(CantoralDB[[#This Row],[Título]])-1</f>
        <v>757</v>
      </c>
      <c r="B758" s="1" t="s">
        <v>1677</v>
      </c>
      <c r="C758" s="1"/>
      <c r="I758" s="1" t="s">
        <v>612</v>
      </c>
      <c r="L758" s="15" t="s">
        <v>484</v>
      </c>
      <c r="M758" s="15" t="s">
        <v>1533</v>
      </c>
      <c r="N758" s="15">
        <v>8</v>
      </c>
      <c r="O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grito_libertad.html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758" s="15" t="str">
        <f>_xlfn.TEXTBEFORE(_xlfn.TEXTAFTER(CantoralDB[[#This Row],[index.html]],"&gt;"),"&gt;")&amp;"&gt;"</f>
        <v>&lt;a href="canciones/kairoi/grito_libertad.html"&gt;</v>
      </c>
    </row>
    <row r="759" spans="1:21" hidden="1" x14ac:dyDescent="0.3">
      <c r="A759" s="1">
        <f>ROW(CantoralDB[[#This Row],[Título]])-1</f>
        <v>758</v>
      </c>
      <c r="B759" s="1" t="s">
        <v>3465</v>
      </c>
      <c r="C759" s="1"/>
      <c r="F759" s="1">
        <v>125</v>
      </c>
      <c r="I759" s="1"/>
      <c r="L759" s="15" t="s">
        <v>3466</v>
      </c>
      <c r="M759" s="15"/>
      <c r="N759" s="15"/>
      <c r="O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grito_santo.html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759" s="15" t="str">
        <f>_xlfn.TEXTBEFORE(_xlfn.TEXTAFTER(CantoralDB[[#This Row],[index.html]],"&gt;"),"&gt;")&amp;"&gt;"</f>
        <v>&lt;a href="canciones/nuevas/grito_santo.html"&gt;</v>
      </c>
    </row>
    <row r="760" spans="1:21" hidden="1" x14ac:dyDescent="0.3">
      <c r="A760" s="1">
        <f>ROW(CantoralDB[[#This Row],[Título]])-1</f>
        <v>759</v>
      </c>
      <c r="B760" s="1" t="s">
        <v>3208</v>
      </c>
      <c r="C760" s="1"/>
      <c r="I760" s="1"/>
      <c r="L760" s="15" t="s">
        <v>3160</v>
      </c>
      <c r="M760" s="15" t="s">
        <v>3190</v>
      </c>
      <c r="N760" s="15">
        <v>4</v>
      </c>
      <c r="O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guardabas_en_tu_corazon.html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href="canciones/hermana_glenda/guardabas_en_tu_corazon.html"&gt;Guardabas en tu corazón&lt;/a&gt;&lt;/li&gt;</v>
      </c>
      <c r="U760" s="15" t="str">
        <f>_xlfn.TEXTBEFORE(_xlfn.TEXTAFTER(CantoralDB[[#This Row],[index.html]],"&gt;"),"&gt;")&amp;"&gt;"</f>
        <v>&lt;a href="canciones/hermana_glenda/guardabas_en_tu_corazon.html"&gt;</v>
      </c>
    </row>
    <row r="761" spans="1:21" hidden="1" x14ac:dyDescent="0.3">
      <c r="A761" s="1">
        <f>ROW(CantoralDB[[#This Row],[Título]])-1</f>
        <v>760</v>
      </c>
      <c r="B761" s="1" t="s">
        <v>3122</v>
      </c>
      <c r="C761" s="1"/>
      <c r="I761" s="1"/>
      <c r="L761" s="15" t="s">
        <v>481</v>
      </c>
      <c r="M761" s="15" t="s">
        <v>1977</v>
      </c>
      <c r="N761" s="15">
        <v>5</v>
      </c>
      <c r="O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gustad_y_ved.html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761" s="15" t="str">
        <f>_xlfn.TEXTBEFORE(_xlfn.TEXTAFTER(CantoralDB[[#This Row],[index.html]],"&gt;"),"&gt;")&amp;"&gt;"</f>
        <v>&lt;a href="canciones/francisco_palazon/gustad_y_ved.html"&gt;</v>
      </c>
    </row>
    <row r="762" spans="1:21" hidden="1" x14ac:dyDescent="0.3">
      <c r="A762" s="1">
        <f>ROW(CantoralDB[[#This Row],[Título]])-1</f>
        <v>761</v>
      </c>
      <c r="B762" s="1" t="s">
        <v>1864</v>
      </c>
      <c r="C762" s="1"/>
      <c r="I762" s="1" t="s">
        <v>612</v>
      </c>
      <c r="L762" s="15" t="s">
        <v>501</v>
      </c>
      <c r="M762" s="15" t="s">
        <v>1554</v>
      </c>
      <c r="N762" s="15">
        <v>11</v>
      </c>
      <c r="O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habitare.html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href="canciones/ain_karem/habitare.html"&gt;Habitaré&lt;/a&gt;&lt;/li&gt;</v>
      </c>
      <c r="U762" s="15" t="str">
        <f>_xlfn.TEXTBEFORE(_xlfn.TEXTAFTER(CantoralDB[[#This Row],[index.html]],"&gt;"),"&gt;")&amp;"&gt;"</f>
        <v>&lt;a href="canciones/ain_karem/habitare.html"&gt;</v>
      </c>
    </row>
    <row r="763" spans="1:21" hidden="1" x14ac:dyDescent="0.3">
      <c r="A763" s="1">
        <f>ROW(CantoralDB[[#This Row],[Título]])-1</f>
        <v>762</v>
      </c>
      <c r="B763" s="1" t="s">
        <v>608</v>
      </c>
      <c r="C763" s="1" t="s">
        <v>997</v>
      </c>
      <c r="D763" s="1" t="s">
        <v>711</v>
      </c>
      <c r="F763" s="1">
        <v>172</v>
      </c>
      <c r="G763" s="1" t="s">
        <v>213</v>
      </c>
      <c r="H763" s="1" t="s">
        <v>532</v>
      </c>
      <c r="I763" s="1" t="s">
        <v>612</v>
      </c>
      <c r="L763" s="15" t="s">
        <v>484</v>
      </c>
      <c r="M763" s="15" t="s">
        <v>1525</v>
      </c>
      <c r="N763" s="15">
        <v>4</v>
      </c>
      <c r="O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hablame.html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763" s="15" t="str">
        <f>_xlfn.TEXTBEFORE(_xlfn.TEXTAFTER(CantoralDB[[#This Row],[index.html]],"&gt;"),"&gt;")&amp;"&gt;"</f>
        <v>&lt;a href="canciones/kairoi/hablame.html"&gt;</v>
      </c>
    </row>
    <row r="764" spans="1:21" hidden="1" x14ac:dyDescent="0.3">
      <c r="A764" s="1">
        <f>ROW(CantoralDB[[#This Row],[Título]])-1</f>
        <v>763</v>
      </c>
      <c r="B764" s="1" t="s">
        <v>1302</v>
      </c>
      <c r="C764" s="1"/>
      <c r="E764" s="1">
        <v>131</v>
      </c>
      <c r="I764" s="1"/>
      <c r="L764" s="15" t="s">
        <v>2154</v>
      </c>
      <c r="M764" s="15"/>
      <c r="N764" s="15"/>
      <c r="O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habra_un_dia_en_que_todos.html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data-author="Labordeta" data-nold="131"&gt;&lt;a href="canciones/nsb/habra_un_dia_en_que_todos.html"&gt;Habrá un día en que todos&lt;/a&gt;&lt;/li&gt;</v>
      </c>
      <c r="U764" s="15" t="str">
        <f>_xlfn.TEXTBEFORE(_xlfn.TEXTAFTER(CantoralDB[[#This Row],[index.html]],"&gt;"),"&gt;")&amp;"&gt;"</f>
        <v>&lt;a href="canciones/nsb/habra_un_dia_en_que_todos.html"&gt;</v>
      </c>
    </row>
    <row r="765" spans="1:21" hidden="1" x14ac:dyDescent="0.3">
      <c r="A765" s="1">
        <f>ROW(CantoralDB[[#This Row],[Título]])-1</f>
        <v>764</v>
      </c>
      <c r="B765" s="1" t="s">
        <v>1742</v>
      </c>
      <c r="C765" s="1"/>
      <c r="I765" s="1" t="s">
        <v>612</v>
      </c>
      <c r="L765" s="15" t="s">
        <v>484</v>
      </c>
      <c r="M765" s="15" t="s">
        <v>1542</v>
      </c>
      <c r="N765" s="15">
        <v>2</v>
      </c>
      <c r="O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haced_lo_que_el_os_diga.html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765" s="15" t="str">
        <f>_xlfn.TEXTBEFORE(_xlfn.TEXTAFTER(CantoralDB[[#This Row],[index.html]],"&gt;"),"&gt;")&amp;"&gt;"</f>
        <v>&lt;a href="canciones/kairoi/haced_lo_que_el_os_diga.html"&gt;</v>
      </c>
    </row>
    <row r="766" spans="1:21" hidden="1" x14ac:dyDescent="0.3">
      <c r="A766" s="1">
        <f>ROW(CantoralDB[[#This Row],[Título]])-1</f>
        <v>765</v>
      </c>
      <c r="B766" s="1" t="s">
        <v>3115</v>
      </c>
      <c r="C766" s="1"/>
      <c r="I766" s="1" t="s">
        <v>612</v>
      </c>
      <c r="L766" s="15" t="s">
        <v>2200</v>
      </c>
      <c r="M766" s="15"/>
      <c r="N766" s="15"/>
      <c r="O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hacia_belen_va_una_burra.html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766" s="15" t="str">
        <f>_xlfn.TEXTBEFORE(_xlfn.TEXTAFTER(CantoralDB[[#This Row],[index.html]],"&gt;"),"&gt;")&amp;"&gt;"</f>
        <v>&lt;a href="canciones/villancicos/hacia_belen_va_una_burra.html"&gt;</v>
      </c>
    </row>
    <row r="767" spans="1:21" hidden="1" x14ac:dyDescent="0.3">
      <c r="A767" s="1">
        <f>ROW(CantoralDB[[#This Row],[Título]])-1</f>
        <v>766</v>
      </c>
      <c r="B767" s="1" t="s">
        <v>1721</v>
      </c>
      <c r="C767" s="1"/>
      <c r="I767" s="1"/>
      <c r="L767" s="15" t="s">
        <v>484</v>
      </c>
      <c r="M767" s="15" t="s">
        <v>1538</v>
      </c>
      <c r="N767" s="15">
        <v>10</v>
      </c>
      <c r="O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hacia_la_luz.html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href="canciones/kairoi/hacia_la_luz.html"&gt;Hacia la luz&lt;/a&gt;&lt;/li&gt;</v>
      </c>
      <c r="U767" s="15" t="str">
        <f>_xlfn.TEXTBEFORE(_xlfn.TEXTAFTER(CantoralDB[[#This Row],[index.html]],"&gt;"),"&gt;")&amp;"&gt;"</f>
        <v>&lt;a href="canciones/kairoi/hacia_la_luz.html"&gt;</v>
      </c>
    </row>
    <row r="768" spans="1:21" hidden="1" x14ac:dyDescent="0.3">
      <c r="A768" s="1">
        <f>ROW(CantoralDB[[#This Row],[Título]])-1</f>
        <v>767</v>
      </c>
      <c r="B768" s="1" t="s">
        <v>3214</v>
      </c>
      <c r="C768" s="1"/>
      <c r="I768" s="1"/>
      <c r="L768" s="15" t="s">
        <v>3160</v>
      </c>
      <c r="M768" s="15" t="s">
        <v>3190</v>
      </c>
      <c r="N768" s="15">
        <v>14</v>
      </c>
      <c r="O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hagan_todo_lo_que_el_les_diga.html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href="canciones/hermana_glenda/hagan_todo_lo_que_el_les_diga.html"&gt;Hagan todo lo que Él les diga&lt;/a&gt;&lt;/li&gt;</v>
      </c>
      <c r="U768" s="15" t="str">
        <f>_xlfn.TEXTBEFORE(_xlfn.TEXTAFTER(CantoralDB[[#This Row],[index.html]],"&gt;"),"&gt;")&amp;"&gt;"</f>
        <v>&lt;a href="canciones/hermana_glenda/hagan_todo_lo_que_el_les_diga.html"&gt;</v>
      </c>
    </row>
    <row r="769" spans="1:21" hidden="1" x14ac:dyDescent="0.3">
      <c r="A769" s="1">
        <f>ROW(CantoralDB[[#This Row],[Título]])-1</f>
        <v>768</v>
      </c>
      <c r="B769" s="1" t="s">
        <v>72</v>
      </c>
      <c r="C769" s="1"/>
      <c r="I769" s="1" t="s">
        <v>612</v>
      </c>
      <c r="L769" s="15" t="s">
        <v>501</v>
      </c>
      <c r="M769" s="15" t="s">
        <v>1550</v>
      </c>
      <c r="N769" s="15">
        <v>7</v>
      </c>
      <c r="O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href="canciones/ain_karem/hagase.html"&gt;Hágase&lt;/a&gt;&lt;/li&gt;</v>
      </c>
      <c r="U769" s="15" t="str">
        <f>_xlfn.TEXTBEFORE(_xlfn.TEXTAFTER(CantoralDB[[#This Row],[index.html]],"&gt;"),"&gt;")&amp;"&gt;"</f>
        <v>&lt;a href="canciones/ain_karem/hagase.html"&gt;</v>
      </c>
    </row>
    <row r="770" spans="1:21" hidden="1" x14ac:dyDescent="0.3">
      <c r="A770" s="1">
        <f>ROW(CantoralDB[[#This Row],[Título]])-1</f>
        <v>769</v>
      </c>
      <c r="B770" s="1" t="s">
        <v>72</v>
      </c>
      <c r="C770" s="1" t="s">
        <v>200</v>
      </c>
      <c r="D770" s="1" t="s">
        <v>1470</v>
      </c>
      <c r="E770" s="1">
        <v>428</v>
      </c>
      <c r="G770" s="1" t="s">
        <v>209</v>
      </c>
      <c r="H770" s="1" t="s">
        <v>1041</v>
      </c>
      <c r="I770" s="1" t="s">
        <v>612</v>
      </c>
      <c r="L770" s="15" t="s">
        <v>258</v>
      </c>
      <c r="M770" s="15"/>
      <c r="N770" s="15"/>
      <c r="O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70" s="1" t="s">
        <v>840</v>
      </c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770" s="15" t="str">
        <f>_xlfn.TEXTBEFORE(_xlfn.TEXTAFTER(CantoralDB[[#This Row],[index.html]],"&gt;"),"&gt;")&amp;"&gt;"</f>
        <v>&lt;a href="canciones/nsb/hagase.html"&gt;</v>
      </c>
    </row>
    <row r="771" spans="1:21" hidden="1" x14ac:dyDescent="0.3">
      <c r="A771" s="1">
        <f>ROW(CantoralDB[[#This Row],[Título]])-1</f>
        <v>770</v>
      </c>
      <c r="B771" s="1" t="s">
        <v>3207</v>
      </c>
      <c r="C771" s="1"/>
      <c r="I771" s="1"/>
      <c r="L771" s="15" t="s">
        <v>3160</v>
      </c>
      <c r="M771" s="15" t="s">
        <v>3190</v>
      </c>
      <c r="N771" s="15">
        <v>2</v>
      </c>
      <c r="O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hagase_en_mi.html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href="canciones/hermana_glenda/hagase_en_mi.html"&gt;Hágase en mí&lt;/a&gt;&lt;/li&gt;</v>
      </c>
      <c r="U771" s="15" t="str">
        <f>_xlfn.TEXTBEFORE(_xlfn.TEXTAFTER(CantoralDB[[#This Row],[index.html]],"&gt;"),"&gt;")&amp;"&gt;"</f>
        <v>&lt;a href="canciones/hermana_glenda/hagase_en_mi.html"&gt;</v>
      </c>
    </row>
    <row r="772" spans="1:21" hidden="1" x14ac:dyDescent="0.3">
      <c r="A772" s="1">
        <f>ROW(CantoralDB[[#This Row],[Título]])-1</f>
        <v>771</v>
      </c>
      <c r="B772" s="1" t="s">
        <v>3457</v>
      </c>
      <c r="C772" s="1"/>
      <c r="F772" s="1">
        <v>120</v>
      </c>
      <c r="I772" s="1"/>
      <c r="L772" s="15" t="s">
        <v>3458</v>
      </c>
      <c r="M772" s="15"/>
      <c r="N772" s="15"/>
      <c r="O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hagase_en_nosotros.html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772" s="15" t="str">
        <f>_xlfn.TEXTBEFORE(_xlfn.TEXTAFTER(CantoralDB[[#This Row],[index.html]],"&gt;"),"&gt;")&amp;"&gt;"</f>
        <v>&lt;a href="canciones/marta_gil-delgado/hagase_en_nosotros.html"&gt;</v>
      </c>
    </row>
    <row r="773" spans="1:21" hidden="1" x14ac:dyDescent="0.3">
      <c r="A773" s="1">
        <f>ROW(CantoralDB[[#This Row],[Título]])-1</f>
        <v>772</v>
      </c>
      <c r="B773" s="1" t="s">
        <v>1810</v>
      </c>
      <c r="C773" s="1"/>
      <c r="I773" s="1" t="s">
        <v>612</v>
      </c>
      <c r="L773" s="15" t="s">
        <v>501</v>
      </c>
      <c r="M773" s="15" t="s">
        <v>1549</v>
      </c>
      <c r="N773" s="15">
        <v>2</v>
      </c>
      <c r="O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hambre_y_sed_de_ti.html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773" s="15" t="str">
        <f>_xlfn.TEXTBEFORE(_xlfn.TEXTAFTER(CantoralDB[[#This Row],[index.html]],"&gt;"),"&gt;")&amp;"&gt;"</f>
        <v>&lt;a href="canciones/ain_karem/hambre_y_sed_de_ti.html"&gt;</v>
      </c>
    </row>
    <row r="774" spans="1:21" hidden="1" x14ac:dyDescent="0.3">
      <c r="A774" s="1">
        <f>ROW(CantoralDB[[#This Row],[Título]])-1</f>
        <v>773</v>
      </c>
      <c r="B774" s="1" t="s">
        <v>3696</v>
      </c>
      <c r="C774" s="1"/>
      <c r="F774" s="1">
        <v>359</v>
      </c>
      <c r="I774" s="1"/>
      <c r="L774" s="15" t="s">
        <v>3340</v>
      </c>
      <c r="M774" s="15"/>
      <c r="N774" s="15"/>
      <c r="O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has_cambiado_mi_lamento_en_baile.html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774" s="15" t="str">
        <f>_xlfn.TEXTBEFORE(_xlfn.TEXTAFTER(CantoralDB[[#This Row],[index.html]],"&gt;"),"&gt;")&amp;"&gt;"</f>
        <v>&lt;a href="canciones/marcos_witt/has_cambiado_mi_lamento_en_baile.html"&gt;</v>
      </c>
    </row>
    <row r="775" spans="1:21" hidden="1" x14ac:dyDescent="0.3">
      <c r="A775" s="1">
        <f>ROW(CantoralDB[[#This Row],[Título]])-1</f>
        <v>774</v>
      </c>
      <c r="B775" s="1" t="s">
        <v>1303</v>
      </c>
      <c r="C775" s="1"/>
      <c r="E775" s="1">
        <v>132</v>
      </c>
      <c r="I775" s="1"/>
      <c r="L775" s="15" t="s">
        <v>2206</v>
      </c>
      <c r="M775" s="15"/>
      <c r="N775" s="15"/>
      <c r="O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hasta_cuando_señor.html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775" s="15" t="str">
        <f>_xlfn.TEXTBEFORE(_xlfn.TEXTAFTER(CantoralDB[[#This Row],[index.html]],"&gt;"),"&gt;")&amp;"&gt;"</f>
        <v>&lt;a href="canciones/fernando_viejo/hasta_cuando_señor.html"&gt;</v>
      </c>
    </row>
    <row r="776" spans="1:21" hidden="1" x14ac:dyDescent="0.3">
      <c r="A776" s="1">
        <f>ROW(CantoralDB[[#This Row],[Título]])-1</f>
        <v>775</v>
      </c>
      <c r="B776" s="1" t="s">
        <v>3666</v>
      </c>
      <c r="C776" s="1"/>
      <c r="F776" s="1">
        <v>334</v>
      </c>
      <c r="I776" s="1"/>
      <c r="L776" s="15" t="s">
        <v>3458</v>
      </c>
      <c r="M776" s="15"/>
      <c r="N776" s="15"/>
      <c r="O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hasta_los_confines_de_la_tierra.html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776" s="15" t="str">
        <f>_xlfn.TEXTBEFORE(_xlfn.TEXTAFTER(CantoralDB[[#This Row],[index.html]],"&gt;"),"&gt;")&amp;"&gt;"</f>
        <v>&lt;a href="canciones/marta_gil-delgado/hasta_los_confines_de_la_tierra.html"&gt;</v>
      </c>
    </row>
    <row r="777" spans="1:21" hidden="1" x14ac:dyDescent="0.3">
      <c r="A777" s="1">
        <f>ROW(CantoralDB[[#This Row],[Título]])-1</f>
        <v>776</v>
      </c>
      <c r="B777" s="1" t="s">
        <v>3529</v>
      </c>
      <c r="C777" s="1"/>
      <c r="F777" s="1">
        <v>182</v>
      </c>
      <c r="I777" s="1"/>
      <c r="L777" s="15" t="s">
        <v>799</v>
      </c>
      <c r="M777" s="15"/>
      <c r="N777" s="15"/>
      <c r="O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hay_momentos.html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href="canciones/nuevas/hay_momentos.html"&gt;Hay momentos&lt;/a&gt;&lt;/li&gt;</v>
      </c>
      <c r="U777" s="15" t="str">
        <f>_xlfn.TEXTBEFORE(_xlfn.TEXTAFTER(CantoralDB[[#This Row],[index.html]],"&gt;"),"&gt;")&amp;"&gt;"</f>
        <v>&lt;a href="canciones/nuevas/hay_momentos.html"&gt;</v>
      </c>
    </row>
    <row r="778" spans="1:21" hidden="1" x14ac:dyDescent="0.3">
      <c r="A778" s="1">
        <f>ROW(CantoralDB[[#This Row],[Título]])-1</f>
        <v>777</v>
      </c>
      <c r="B778" s="1" t="s">
        <v>3420</v>
      </c>
      <c r="C778" s="1"/>
      <c r="F778" s="1">
        <v>82</v>
      </c>
      <c r="I778" s="1"/>
      <c r="L778" s="15" t="s">
        <v>3421</v>
      </c>
      <c r="M778" s="15"/>
      <c r="N778" s="15"/>
      <c r="O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hay_poder.html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data-author="Lewis Jones"&gt;&lt;a href="canciones/nuevas/hay_poder.html"&gt;Hay poder&lt;/a&gt;&lt;/li&gt;</v>
      </c>
      <c r="U778" s="15" t="str">
        <f>_xlfn.TEXTBEFORE(_xlfn.TEXTAFTER(CantoralDB[[#This Row],[index.html]],"&gt;"),"&gt;")&amp;"&gt;"</f>
        <v>&lt;a href="canciones/nuevas/hay_poder.html"&gt;</v>
      </c>
    </row>
    <row r="779" spans="1:21" hidden="1" x14ac:dyDescent="0.3">
      <c r="A779" s="1">
        <f>ROW(CantoralDB[[#This Row],[Título]])-1</f>
        <v>778</v>
      </c>
      <c r="B779" s="1" t="s">
        <v>3798</v>
      </c>
      <c r="C779" s="1"/>
      <c r="F779" s="1">
        <v>444</v>
      </c>
      <c r="I779" s="1"/>
      <c r="L779" s="15" t="s">
        <v>799</v>
      </c>
      <c r="M779" s="15"/>
      <c r="N779" s="15"/>
      <c r="O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hay_que_volver_a_nacer_de_nuevo.html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779" s="15" t="str">
        <f>_xlfn.TEXTBEFORE(_xlfn.TEXTAFTER(CantoralDB[[#This Row],[index.html]],"&gt;"),"&gt;")&amp;"&gt;"</f>
        <v>&lt;a href="canciones/nuevas/hay_que_volver_a_nacer_de_nuevo.html"&gt;</v>
      </c>
    </row>
    <row r="780" spans="1:21" hidden="1" x14ac:dyDescent="0.3">
      <c r="A780" s="1">
        <f>ROW(CantoralDB[[#This Row],[Título]])-1</f>
        <v>779</v>
      </c>
      <c r="B780" s="1" t="s">
        <v>73</v>
      </c>
      <c r="C780" s="1" t="s">
        <v>997</v>
      </c>
      <c r="D780" s="1" t="s">
        <v>712</v>
      </c>
      <c r="E780" s="1">
        <v>429</v>
      </c>
      <c r="G780" s="1" t="s">
        <v>209</v>
      </c>
      <c r="H780" s="1" t="s">
        <v>1037</v>
      </c>
      <c r="I780" s="1" t="s">
        <v>612</v>
      </c>
      <c r="L780" s="15" t="s">
        <v>636</v>
      </c>
      <c r="M780" s="15"/>
      <c r="N780" s="15"/>
      <c r="O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hay_un_corazon_que_late.html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780" s="15" t="str">
        <f>_xlfn.TEXTBEFORE(_xlfn.TEXTAFTER(CantoralDB[[#This Row],[index.html]],"&gt;"),"&gt;")&amp;"&gt;"</f>
        <v>&lt;a href="canciones/nsb/hay_un_corazon_que_late.html"&gt;</v>
      </c>
    </row>
    <row r="781" spans="1:21" hidden="1" x14ac:dyDescent="0.3">
      <c r="A781" s="1">
        <f>ROW(CantoralDB[[#This Row],[Título]])-1</f>
        <v>780</v>
      </c>
      <c r="B781" s="1" t="s">
        <v>3688</v>
      </c>
      <c r="C781" s="1"/>
      <c r="F781" s="1">
        <v>352</v>
      </c>
      <c r="I781" s="1"/>
      <c r="L781" s="15" t="s">
        <v>799</v>
      </c>
      <c r="M781" s="15"/>
      <c r="N781" s="15"/>
      <c r="O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hay_una_fuente_en_mi.html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href="canciones/nuevas/hay_una_fuente_en_mi.html"&gt;Hay una fuente en mí&lt;/a&gt;&lt;/li&gt;</v>
      </c>
      <c r="U781" s="15" t="str">
        <f>_xlfn.TEXTBEFORE(_xlfn.TEXTAFTER(CantoralDB[[#This Row],[index.html]],"&gt;"),"&gt;")&amp;"&gt;"</f>
        <v>&lt;a href="canciones/nuevas/hay_una_fuente_en_mi.html"&gt;</v>
      </c>
    </row>
    <row r="782" spans="1:21" hidden="1" x14ac:dyDescent="0.3">
      <c r="A782" s="1">
        <f>ROW(CantoralDB[[#This Row],[Título]])-1</f>
        <v>781</v>
      </c>
      <c r="B782" s="1" t="s">
        <v>3655</v>
      </c>
      <c r="C782" s="1"/>
      <c r="F782" s="1">
        <v>322</v>
      </c>
      <c r="I782" s="1"/>
      <c r="L782" s="15" t="s">
        <v>3441</v>
      </c>
      <c r="M782" s="15"/>
      <c r="N782" s="15"/>
      <c r="O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hay_una_promesa.html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782" s="15" t="str">
        <f>_xlfn.TEXTBEFORE(_xlfn.TEXTAFTER(CantoralDB[[#This Row],[index.html]],"&gt;"),"&gt;")&amp;"&gt;"</f>
        <v>&lt;a href="canciones/nuevas/hay_una_promesa.html"&gt;</v>
      </c>
    </row>
    <row r="783" spans="1:21" hidden="1" x14ac:dyDescent="0.3">
      <c r="A783" s="1">
        <f>ROW(CantoralDB[[#This Row],[Título]])-1</f>
        <v>782</v>
      </c>
      <c r="B783" s="1" t="s">
        <v>3661</v>
      </c>
      <c r="C783" s="1"/>
      <c r="F783" s="1">
        <v>327</v>
      </c>
      <c r="I783" s="1"/>
      <c r="L783" s="15" t="s">
        <v>799</v>
      </c>
      <c r="M783" s="15"/>
      <c r="N783" s="15"/>
      <c r="O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haz_de_mi_una_ofrenda.html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href="canciones/nuevas/haz_de_mi_una_ofrenda.html"&gt;Haz de mí una ofrenda&lt;/a&gt;&lt;/li&gt;</v>
      </c>
      <c r="U783" s="15" t="str">
        <f>_xlfn.TEXTBEFORE(_xlfn.TEXTAFTER(CantoralDB[[#This Row],[index.html]],"&gt;"),"&gt;")&amp;"&gt;"</f>
        <v>&lt;a href="canciones/nuevas/haz_de_mi_una_ofrenda.html"&gt;</v>
      </c>
    </row>
    <row r="784" spans="1:21" hidden="1" x14ac:dyDescent="0.3">
      <c r="A784" s="1">
        <f>ROW(CantoralDB[[#This Row],[Título]])-1</f>
        <v>783</v>
      </c>
      <c r="B784" s="1" t="s">
        <v>3092</v>
      </c>
      <c r="C784" s="15"/>
      <c r="I784" s="1" t="s">
        <v>612</v>
      </c>
      <c r="L784" s="15" t="s">
        <v>3107</v>
      </c>
      <c r="M784" s="15"/>
      <c r="N784" s="15"/>
      <c r="O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haz_de_tu_casa_un_nazaret.html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784" s="15" t="str">
        <f>_xlfn.TEXTBEFORE(_xlfn.TEXTAFTER(CantoralDB[[#This Row],[index.html]],"&gt;"),"&gt;")&amp;"&gt;"</f>
        <v>&lt;a href="canciones/nuevas/haz_de_tu_casa_un_nazaret.html"&gt;</v>
      </c>
    </row>
    <row r="785" spans="1:21" hidden="1" x14ac:dyDescent="0.3">
      <c r="A785" s="1">
        <f>ROW(CantoralDB[[#This Row],[Título]])-1</f>
        <v>784</v>
      </c>
      <c r="B785" s="1" t="s">
        <v>3776</v>
      </c>
      <c r="C785" s="1"/>
      <c r="F785" s="1">
        <v>425</v>
      </c>
      <c r="I785" s="1"/>
      <c r="L785" s="15" t="s">
        <v>3777</v>
      </c>
      <c r="M785" s="15"/>
      <c r="N785" s="15"/>
      <c r="O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haz_llover.html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785" s="15" t="str">
        <f>_xlfn.TEXTBEFORE(_xlfn.TEXTAFTER(CantoralDB[[#This Row],[index.html]],"&gt;"),"&gt;")&amp;"&gt;"</f>
        <v>&lt;a href="canciones/nuevas/haz_llover.html"&gt;</v>
      </c>
    </row>
    <row r="786" spans="1:21" hidden="1" x14ac:dyDescent="0.3">
      <c r="A786" s="1">
        <f>ROW(CantoralDB[[#This Row],[Título]])-1</f>
        <v>785</v>
      </c>
      <c r="B786" s="1" t="s">
        <v>1304</v>
      </c>
      <c r="C786" s="1"/>
      <c r="E786" s="1">
        <v>133</v>
      </c>
      <c r="I786" s="1"/>
      <c r="L786" s="15" t="s">
        <v>483</v>
      </c>
      <c r="M786" s="15"/>
      <c r="N786" s="15"/>
      <c r="O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haz_señor.html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786" s="15" t="str">
        <f>_xlfn.TEXTBEFORE(_xlfn.TEXTAFTER(CantoralDB[[#This Row],[index.html]],"&gt;"),"&gt;")&amp;"&gt;"</f>
        <v>&lt;a href="canciones/cesareo_gabarain/haz_señor.html"&gt;</v>
      </c>
    </row>
    <row r="787" spans="1:21" hidden="1" x14ac:dyDescent="0.3">
      <c r="A787" s="1">
        <f>ROW(CantoralDB[[#This Row],[Título]])-1</f>
        <v>786</v>
      </c>
      <c r="B787" s="1" t="s">
        <v>3401</v>
      </c>
      <c r="C787" s="1"/>
      <c r="F787" s="1">
        <v>63</v>
      </c>
      <c r="I787" s="1"/>
      <c r="L787" s="15" t="s">
        <v>3402</v>
      </c>
      <c r="M787" s="15"/>
      <c r="N787" s="15"/>
      <c r="O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hazme_instrumento.html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787" s="15" t="str">
        <f>_xlfn.TEXTBEFORE(_xlfn.TEXTAFTER(CantoralDB[[#This Row],[index.html]],"&gt;"),"&gt;")&amp;"&gt;"</f>
        <v>&lt;a href="canciones/nuevas/hazme_instrumento.html"&gt;</v>
      </c>
    </row>
    <row r="788" spans="1:21" hidden="1" x14ac:dyDescent="0.3">
      <c r="A788" s="1">
        <f>ROW(CantoralDB[[#This Row],[Título]])-1</f>
        <v>787</v>
      </c>
      <c r="B788" s="1" t="s">
        <v>3233</v>
      </c>
      <c r="C788" s="1"/>
      <c r="I788" s="1"/>
      <c r="L788" s="15" t="s">
        <v>3160</v>
      </c>
      <c r="M788" s="15" t="s">
        <v>53</v>
      </c>
      <c r="N788" s="15">
        <v>4</v>
      </c>
      <c r="O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hazme_volver.html</v>
      </c>
      <c r="R788" s="1" t="s">
        <v>3238</v>
      </c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href="canciones/hermana_glenda/hazme_volver.html"&gt;Hazme volver&lt;/a&gt;&lt;/li&gt;</v>
      </c>
      <c r="U788" s="15" t="str">
        <f>_xlfn.TEXTBEFORE(_xlfn.TEXTAFTER(CantoralDB[[#This Row],[index.html]],"&gt;"),"&gt;")&amp;"&gt;"</f>
        <v>&lt;a href="canciones/hermana_glenda/hazme_volver.html"&gt;</v>
      </c>
    </row>
    <row r="789" spans="1:21" hidden="1" x14ac:dyDescent="0.3">
      <c r="A789" s="1">
        <f>ROW(CantoralDB[[#This Row],[Título]])-1</f>
        <v>788</v>
      </c>
      <c r="B789" s="1" t="s">
        <v>3389</v>
      </c>
      <c r="C789" s="1"/>
      <c r="F789" s="1">
        <v>52</v>
      </c>
      <c r="I789" s="1"/>
      <c r="L789" s="15" t="s">
        <v>3390</v>
      </c>
      <c r="M789" s="15"/>
      <c r="N789" s="15"/>
      <c r="O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he_decidido_seguir_a_cristo.html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789" s="15" t="str">
        <f>_xlfn.TEXTBEFORE(_xlfn.TEXTAFTER(CantoralDB[[#This Row],[index.html]],"&gt;"),"&gt;")&amp;"&gt;"</f>
        <v>&lt;a href="canciones/nuevas/he_decidido_seguir_a_cristo.html"&gt;</v>
      </c>
    </row>
    <row r="790" spans="1:21" hidden="1" x14ac:dyDescent="0.3">
      <c r="A790" s="1">
        <f>ROW(CantoralDB[[#This Row],[Título]])-1</f>
        <v>789</v>
      </c>
      <c r="B790" s="1" t="s">
        <v>3805</v>
      </c>
      <c r="C790" s="1"/>
      <c r="I790" s="1" t="s">
        <v>612</v>
      </c>
      <c r="L790" s="15" t="s">
        <v>499</v>
      </c>
      <c r="M790" s="15" t="s">
        <v>3803</v>
      </c>
      <c r="N790" s="15">
        <v>3</v>
      </c>
      <c r="O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he_oido_tu_voz.html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790" s="15" t="str">
        <f>_xlfn.TEXTBEFORE(_xlfn.TEXTAFTER(CantoralDB[[#This Row],[index.html]],"&gt;"),"&gt;")&amp;"&gt;"</f>
        <v>&lt;a href="canciones/brotes_de_olivo/he_oido_tu_voz.html"&gt;</v>
      </c>
    </row>
    <row r="791" spans="1:21" hidden="1" x14ac:dyDescent="0.3">
      <c r="A791" s="1">
        <f>ROW(CantoralDB[[#This Row],[Título]])-1</f>
        <v>790</v>
      </c>
      <c r="B791" s="1" t="s">
        <v>182</v>
      </c>
      <c r="C791" s="1" t="s">
        <v>201</v>
      </c>
      <c r="D791" s="1" t="s">
        <v>662</v>
      </c>
      <c r="G791" s="1" t="s">
        <v>209</v>
      </c>
      <c r="H791" s="1" t="s">
        <v>1033</v>
      </c>
      <c r="I791" s="1" t="s">
        <v>612</v>
      </c>
      <c r="L791" s="15" t="s">
        <v>501</v>
      </c>
      <c r="M791" s="15" t="s">
        <v>1551</v>
      </c>
      <c r="N791" s="15">
        <v>6</v>
      </c>
      <c r="O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he_venido_a_servir.html</v>
      </c>
      <c r="R791" s="1" t="s">
        <v>841</v>
      </c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791" s="15" t="str">
        <f>_xlfn.TEXTBEFORE(_xlfn.TEXTAFTER(CantoralDB[[#This Row],[index.html]],"&gt;"),"&gt;")&amp;"&gt;"</f>
        <v>&lt;a href="canciones/ain_karem/he_venido_a_servir.html"&gt;</v>
      </c>
    </row>
    <row r="792" spans="1:21" hidden="1" x14ac:dyDescent="0.3">
      <c r="A792" s="1">
        <f>ROW(CantoralDB[[#This Row],[Título]])-1</f>
        <v>791</v>
      </c>
      <c r="B792" s="1" t="s">
        <v>3738</v>
      </c>
      <c r="C792" s="1"/>
      <c r="F792" s="1">
        <v>394</v>
      </c>
      <c r="I792" s="1"/>
      <c r="L792" s="15" t="s">
        <v>3466</v>
      </c>
      <c r="M792" s="15"/>
      <c r="N792" s="15"/>
      <c r="O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he_venido_para_que_vivais.html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792" s="15" t="str">
        <f>_xlfn.TEXTBEFORE(_xlfn.TEXTAFTER(CantoralDB[[#This Row],[index.html]],"&gt;"),"&gt;")&amp;"&gt;"</f>
        <v>&lt;a href="canciones/nuevas/he_venido_para_que_vivais.html"&gt;</v>
      </c>
    </row>
    <row r="793" spans="1:21" hidden="1" x14ac:dyDescent="0.3">
      <c r="A793" s="1">
        <f>ROW(CantoralDB[[#This Row],[Título]])-1</f>
        <v>792</v>
      </c>
      <c r="B793" s="1" t="s">
        <v>1831</v>
      </c>
      <c r="C793" s="1"/>
      <c r="I793" s="1" t="s">
        <v>612</v>
      </c>
      <c r="L793" s="15" t="s">
        <v>501</v>
      </c>
      <c r="M793" s="15" t="s">
        <v>1550</v>
      </c>
      <c r="N793" s="15">
        <v>13</v>
      </c>
      <c r="O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href="canciones/ain_karem/heme_aqui.html"&gt;Heme aquí&lt;/a&gt;&lt;/li&gt;</v>
      </c>
      <c r="U793" s="15" t="str">
        <f>_xlfn.TEXTBEFORE(_xlfn.TEXTAFTER(CantoralDB[[#This Row],[index.html]],"&gt;"),"&gt;")&amp;"&gt;"</f>
        <v>&lt;a href="canciones/ain_karem/heme_aqui.html"&gt;</v>
      </c>
    </row>
    <row r="794" spans="1:21" hidden="1" x14ac:dyDescent="0.3">
      <c r="A794" s="1">
        <f>ROW(CantoralDB[[#This Row],[Título]])-1</f>
        <v>793</v>
      </c>
      <c r="B794" s="1" t="s">
        <v>1831</v>
      </c>
      <c r="C794" s="1"/>
      <c r="F794" s="1">
        <v>7</v>
      </c>
      <c r="I794" s="1"/>
      <c r="L794" s="15" t="s">
        <v>3340</v>
      </c>
      <c r="M794" s="15"/>
      <c r="N794" s="15"/>
      <c r="O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794" s="15" t="str">
        <f>_xlfn.TEXTBEFORE(_xlfn.TEXTAFTER(CantoralDB[[#This Row],[index.html]],"&gt;"),"&gt;")&amp;"&gt;"</f>
        <v>&lt;a href="canciones/marcos_witt/heme_aqui.html"&gt;</v>
      </c>
    </row>
    <row r="795" spans="1:21" hidden="1" x14ac:dyDescent="0.3">
      <c r="A795" s="1">
        <f>ROW(CantoralDB[[#This Row],[Título]])-1</f>
        <v>794</v>
      </c>
      <c r="B795" s="1" t="s">
        <v>3371</v>
      </c>
      <c r="C795" s="1"/>
      <c r="F795" s="1">
        <v>38</v>
      </c>
      <c r="I795" s="1"/>
      <c r="L795" s="15" t="s">
        <v>3372</v>
      </c>
      <c r="M795" s="15"/>
      <c r="N795" s="15"/>
      <c r="O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hemos_venido_a_este_lugar.html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795" s="15" t="str">
        <f>_xlfn.TEXTBEFORE(_xlfn.TEXTAFTER(CantoralDB[[#This Row],[index.html]],"&gt;"),"&gt;")&amp;"&gt;"</f>
        <v>&lt;a href="canciones/nuevas/hemos_venido_a_este_lugar.html"&gt;</v>
      </c>
    </row>
    <row r="796" spans="1:21" hidden="1" x14ac:dyDescent="0.3">
      <c r="A796" s="1">
        <f>ROW(CantoralDB[[#This Row],[Título]])-1</f>
        <v>795</v>
      </c>
      <c r="B796" s="1" t="s">
        <v>1642</v>
      </c>
      <c r="C796" s="1"/>
      <c r="I796" s="1"/>
      <c r="L796" s="15" t="s">
        <v>484</v>
      </c>
      <c r="M796" s="15" t="s">
        <v>1527</v>
      </c>
      <c r="N796" s="15">
        <v>9</v>
      </c>
      <c r="O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hermanitos_de_maria.html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796" s="15" t="str">
        <f>_xlfn.TEXTBEFORE(_xlfn.TEXTAFTER(CantoralDB[[#This Row],[index.html]],"&gt;"),"&gt;")&amp;"&gt;"</f>
        <v>&lt;a href="canciones/kairoi/hermanitos_de_maria.html"&gt;</v>
      </c>
    </row>
    <row r="797" spans="1:21" hidden="1" x14ac:dyDescent="0.3">
      <c r="A797" s="1">
        <f>ROW(CantoralDB[[#This Row],[Título]])-1</f>
        <v>796</v>
      </c>
      <c r="B797" s="1" t="s">
        <v>1652</v>
      </c>
      <c r="C797" s="1"/>
      <c r="I797" s="1" t="s">
        <v>612</v>
      </c>
      <c r="L797" s="15" t="s">
        <v>484</v>
      </c>
      <c r="M797" s="15" t="s">
        <v>1539</v>
      </c>
      <c r="N797" s="15">
        <v>6</v>
      </c>
      <c r="O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hermano_entre_los_hombres.html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797" s="15" t="str">
        <f>_xlfn.TEXTBEFORE(_xlfn.TEXTAFTER(CantoralDB[[#This Row],[index.html]],"&gt;"),"&gt;")&amp;"&gt;"</f>
        <v>&lt;a href="canciones/kairoi/hermano_entre_los_hombres.html"&gt;</v>
      </c>
    </row>
    <row r="798" spans="1:21" hidden="1" x14ac:dyDescent="0.3">
      <c r="A798" s="1">
        <f>ROW(CantoralDB[[#This Row],[Título]])-1</f>
        <v>797</v>
      </c>
      <c r="B798" s="1" t="s">
        <v>1656</v>
      </c>
      <c r="C798" s="1"/>
      <c r="I798" s="1" t="s">
        <v>612</v>
      </c>
      <c r="L798" s="15" t="s">
        <v>484</v>
      </c>
      <c r="M798" s="15" t="s">
        <v>1539</v>
      </c>
      <c r="N798" s="15">
        <v>13</v>
      </c>
      <c r="O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hermano_adios.html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798" s="15" t="str">
        <f>_xlfn.TEXTBEFORE(_xlfn.TEXTAFTER(CantoralDB[[#This Row],[index.html]],"&gt;"),"&gt;")&amp;"&gt;"</f>
        <v>&lt;a href="canciones/kairoi/hermano_adios.html"&gt;</v>
      </c>
    </row>
    <row r="799" spans="1:21" hidden="1" x14ac:dyDescent="0.3">
      <c r="A799" s="1">
        <f>ROW(CantoralDB[[#This Row],[Título]])-1</f>
        <v>798</v>
      </c>
      <c r="B799" s="1" t="s">
        <v>1649</v>
      </c>
      <c r="C799" s="1"/>
      <c r="I799" s="1"/>
      <c r="L799" s="15" t="s">
        <v>484</v>
      </c>
      <c r="M799" s="15" t="s">
        <v>1530</v>
      </c>
      <c r="N799" s="15">
        <v>5</v>
      </c>
      <c r="O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799" s="1"/>
      <c r="S799" s="1" t="s">
        <v>535</v>
      </c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799" s="15" t="e">
        <f>_xlfn.TEXTBEFORE(_xlfn.TEXTAFTER(CantoralDB[[#This Row],[index.html]],"&gt;"),"&gt;")&amp;"&gt;"</f>
        <v>#N/A</v>
      </c>
    </row>
    <row r="800" spans="1:21" hidden="1" x14ac:dyDescent="0.3">
      <c r="A800" s="1">
        <f>ROW(CantoralDB[[#This Row],[Título]])-1</f>
        <v>799</v>
      </c>
      <c r="B800" s="1" t="s">
        <v>1649</v>
      </c>
      <c r="C800" s="1"/>
      <c r="I800" s="1"/>
      <c r="L800" s="15" t="s">
        <v>484</v>
      </c>
      <c r="M800" s="15" t="s">
        <v>1539</v>
      </c>
      <c r="N800" s="15">
        <v>9</v>
      </c>
      <c r="O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800" s="15" t="str">
        <f>_xlfn.TEXTBEFORE(_xlfn.TEXTAFTER(CantoralDB[[#This Row],[index.html]],"&gt;"),"&gt;")&amp;"&gt;"</f>
        <v>&lt;a href="canciones/kairoi/hermano_confia_en_dios.html"&gt;</v>
      </c>
    </row>
    <row r="801" spans="1:21" hidden="1" x14ac:dyDescent="0.3">
      <c r="A801" s="1">
        <f>ROW(CantoralDB[[#This Row],[Título]])-1</f>
        <v>800</v>
      </c>
      <c r="B801" s="1" t="s">
        <v>1637</v>
      </c>
      <c r="C801" s="1"/>
      <c r="I801" s="1"/>
      <c r="L801" s="15" t="s">
        <v>484</v>
      </c>
      <c r="M801" s="15" t="s">
        <v>1527</v>
      </c>
      <c r="N801" s="15">
        <v>3</v>
      </c>
      <c r="O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hermitage_casa_del_señor.html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801" s="15" t="str">
        <f>_xlfn.TEXTBEFORE(_xlfn.TEXTAFTER(CantoralDB[[#This Row],[index.html]],"&gt;"),"&gt;")&amp;"&gt;"</f>
        <v>&lt;a href="canciones/kairoi/hermitage_casa_del_señor.html"&gt;</v>
      </c>
    </row>
    <row r="802" spans="1:21" hidden="1" x14ac:dyDescent="0.3">
      <c r="A802" s="1">
        <f>ROW(CantoralDB[[#This Row],[Título]])-1</f>
        <v>801</v>
      </c>
      <c r="B802" s="1" t="s">
        <v>276</v>
      </c>
      <c r="C802" s="1" t="s">
        <v>1026</v>
      </c>
      <c r="D802" s="1" t="s">
        <v>1158</v>
      </c>
      <c r="H802" s="1" t="s">
        <v>1039</v>
      </c>
      <c r="I802" s="1" t="s">
        <v>612</v>
      </c>
      <c r="L802" s="15" t="s">
        <v>2201</v>
      </c>
      <c r="M802" s="15"/>
      <c r="N802" s="15"/>
      <c r="O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802" s="15" t="str">
        <f>_xlfn.TEXTBEFORE(_xlfn.TEXTAFTER(CantoralDB[[#This Row],[index.html]],"&gt;"),"&gt;")&amp;"&gt;"</f>
        <v>&lt;a href="canciones/taize/herre_visa_mig_vägen.html"&gt;</v>
      </c>
    </row>
    <row r="803" spans="1:21" hidden="1" x14ac:dyDescent="0.3">
      <c r="A803" s="1">
        <f>ROW(CantoralDB[[#This Row],[Título]])-1</f>
        <v>802</v>
      </c>
      <c r="B803" s="1" t="s">
        <v>363</v>
      </c>
      <c r="C803" s="1" t="s">
        <v>1026</v>
      </c>
      <c r="D803" s="1" t="s">
        <v>1168</v>
      </c>
      <c r="H803" s="1" t="s">
        <v>1083</v>
      </c>
      <c r="I803" s="1" t="s">
        <v>612</v>
      </c>
      <c r="L803" s="15" t="s">
        <v>2201</v>
      </c>
      <c r="M803" s="15"/>
      <c r="N803" s="15"/>
      <c r="O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803" s="15" t="str">
        <f>_xlfn.TEXTBEFORE(_xlfn.TEXTAFTER(CantoralDB[[#This Row],[index.html]],"&gt;"),"&gt;")&amp;"&gt;"</f>
        <v>&lt;a href="canciones/taize/heureux_qui_s’abandonne_à_toi.html"&gt;</v>
      </c>
    </row>
    <row r="804" spans="1:21" hidden="1" x14ac:dyDescent="0.3">
      <c r="A804" s="1">
        <f>ROW(CantoralDB[[#This Row],[Título]])-1</f>
        <v>803</v>
      </c>
      <c r="B804" s="1" t="s">
        <v>3762</v>
      </c>
      <c r="C804" s="1"/>
      <c r="F804" s="1">
        <v>412</v>
      </c>
      <c r="I804" s="1"/>
      <c r="L804" s="15" t="s">
        <v>594</v>
      </c>
      <c r="M804" s="15"/>
      <c r="N804" s="15"/>
      <c r="O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hijo_de_david.html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804" s="15" t="str">
        <f>_xlfn.TEXTBEFORE(_xlfn.TEXTAFTER(CantoralDB[[#This Row],[index.html]],"&gt;"),"&gt;")&amp;"&gt;"</f>
        <v>&lt;a href="canciones/alejandro_ruiz/hijo_de_david.html"&gt;</v>
      </c>
    </row>
    <row r="805" spans="1:21" hidden="1" x14ac:dyDescent="0.3">
      <c r="A805" s="1">
        <f>ROW(CantoralDB[[#This Row],[Título]])-1</f>
        <v>804</v>
      </c>
      <c r="B805" s="1" t="s">
        <v>3266</v>
      </c>
      <c r="C805" s="1"/>
      <c r="I805" s="1"/>
      <c r="L805" s="15" t="s">
        <v>3160</v>
      </c>
      <c r="M805" s="15" t="s">
        <v>415</v>
      </c>
      <c r="N805" s="15">
        <v>5</v>
      </c>
      <c r="O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hijo_prodigo.html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href="canciones/hermana_glenda/hijo_prodigo.html"&gt;Hijo pródigo&lt;/a&gt;&lt;/li&gt;</v>
      </c>
      <c r="U805" s="15" t="str">
        <f>_xlfn.TEXTBEFORE(_xlfn.TEXTAFTER(CantoralDB[[#This Row],[index.html]],"&gt;"),"&gt;")&amp;"&gt;"</f>
        <v>&lt;a href="canciones/hermana_glenda/hijo_prodigo.html"&gt;</v>
      </c>
    </row>
    <row r="806" spans="1:21" hidden="1" x14ac:dyDescent="0.3">
      <c r="A806" s="1">
        <f>ROW(CantoralDB[[#This Row],[Título]])-1</f>
        <v>805</v>
      </c>
      <c r="B806" s="1" t="s">
        <v>3178</v>
      </c>
      <c r="C806" s="1"/>
      <c r="I806" s="1"/>
      <c r="L806" s="15" t="s">
        <v>3160</v>
      </c>
      <c r="M806" s="15" t="s">
        <v>3175</v>
      </c>
      <c r="N806" s="15">
        <v>4</v>
      </c>
      <c r="O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himno_a_cristo.html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href="canciones/hermana_glenda/himno_a_cristo.html"&gt;Himno a Cristo&lt;/a&gt;&lt;/li&gt;</v>
      </c>
      <c r="U806" s="15" t="str">
        <f>_xlfn.TEXTBEFORE(_xlfn.TEXTAFTER(CantoralDB[[#This Row],[index.html]],"&gt;"),"&gt;")&amp;"&gt;"</f>
        <v>&lt;a href="canciones/hermana_glenda/himno_a_cristo.html"&gt;</v>
      </c>
    </row>
    <row r="807" spans="1:21" hidden="1" x14ac:dyDescent="0.3">
      <c r="A807" s="1">
        <f>ROW(CantoralDB[[#This Row],[Título]])-1</f>
        <v>806</v>
      </c>
      <c r="B807" s="1" t="s">
        <v>1579</v>
      </c>
      <c r="C807" s="1"/>
      <c r="F807" s="1">
        <v>232</v>
      </c>
      <c r="I807" s="1" t="s">
        <v>612</v>
      </c>
      <c r="L807" s="15" t="s">
        <v>484</v>
      </c>
      <c r="M807" s="15" t="s">
        <v>1525</v>
      </c>
      <c r="N807" s="15">
        <v>6</v>
      </c>
      <c r="O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himno_a_dios.html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href="canciones/kairoi/himno_a_dios.html"&gt;Himno a Dios&lt;/a&gt;&lt;/li&gt;</v>
      </c>
      <c r="U807" s="15" t="str">
        <f>_xlfn.TEXTBEFORE(_xlfn.TEXTAFTER(CantoralDB[[#This Row],[index.html]],"&gt;"),"&gt;")&amp;"&gt;"</f>
        <v>&lt;a href="canciones/kairoi/himno_a_dios.html"&gt;</v>
      </c>
    </row>
    <row r="808" spans="1:21" hidden="1" x14ac:dyDescent="0.3">
      <c r="A808" s="1">
        <f>ROW(CantoralDB[[#This Row],[Título]])-1</f>
        <v>807</v>
      </c>
      <c r="B808" s="1" t="s">
        <v>74</v>
      </c>
      <c r="C808" s="1" t="s">
        <v>200</v>
      </c>
      <c r="D808" s="1" t="s">
        <v>1471</v>
      </c>
      <c r="E808" s="1">
        <v>430</v>
      </c>
      <c r="G808" s="1" t="s">
        <v>209</v>
      </c>
      <c r="H808" s="1" t="s">
        <v>1034</v>
      </c>
      <c r="I808" s="1" t="s">
        <v>612</v>
      </c>
      <c r="L808" s="15" t="s">
        <v>481</v>
      </c>
      <c r="M808" s="15" t="s">
        <v>3156</v>
      </c>
      <c r="N808" s="15"/>
      <c r="O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himno_a_nuestra_señora_de_la_almudena.html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808" s="15" t="str">
        <f>_xlfn.TEXTBEFORE(_xlfn.TEXTAFTER(CantoralDB[[#This Row],[index.html]],"&gt;"),"&gt;")&amp;"&gt;"</f>
        <v>&lt;a href="canciones/francisco_palazon/himno_a_nuestra_señora_de_la_almudena.html"&gt;</v>
      </c>
    </row>
    <row r="809" spans="1:21" hidden="1" x14ac:dyDescent="0.3">
      <c r="A809" s="1">
        <f>ROW(CantoralDB[[#This Row],[Título]])-1</f>
        <v>808</v>
      </c>
      <c r="B809" s="1" t="s">
        <v>183</v>
      </c>
      <c r="C809" s="1" t="s">
        <v>997</v>
      </c>
      <c r="D809" s="1" t="s">
        <v>713</v>
      </c>
      <c r="G809" s="1" t="s">
        <v>209</v>
      </c>
      <c r="H809" s="1" t="s">
        <v>1034</v>
      </c>
      <c r="I809" s="1" t="s">
        <v>612</v>
      </c>
      <c r="L809" s="15" t="s">
        <v>631</v>
      </c>
      <c r="M809" s="15"/>
      <c r="N809" s="15"/>
      <c r="O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himno_a_san_jose.html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809" s="15" t="str">
        <f>_xlfn.TEXTBEFORE(_xlfn.TEXTAFTER(CantoralDB[[#This Row],[index.html]],"&gt;"),"&gt;")&amp;"&gt;"</f>
        <v>&lt;a href="canciones/nsb/himno_a_san_jose.html"&gt;</v>
      </c>
    </row>
    <row r="810" spans="1:21" hidden="1" x14ac:dyDescent="0.3">
      <c r="A810" s="1">
        <f>ROW(CantoralDB[[#This Row],[Título]])-1</f>
        <v>809</v>
      </c>
      <c r="B810" s="1" t="s">
        <v>3599</v>
      </c>
      <c r="C810" s="1"/>
      <c r="F810" s="1">
        <v>264</v>
      </c>
      <c r="I810" s="1"/>
      <c r="L810" s="15" t="s">
        <v>799</v>
      </c>
      <c r="M810" s="15"/>
      <c r="N810" s="15"/>
      <c r="O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honor_y_gloria_a_tu_nombre.html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810" s="15" t="str">
        <f>_xlfn.TEXTBEFORE(_xlfn.TEXTAFTER(CantoralDB[[#This Row],[index.html]],"&gt;"),"&gt;")&amp;"&gt;"</f>
        <v>&lt;a href="canciones/nuevas/honor_y_gloria_a_tu_nombre.html"&gt;</v>
      </c>
    </row>
    <row r="811" spans="1:21" hidden="1" x14ac:dyDescent="0.3">
      <c r="A811" s="1">
        <f>ROW(CantoralDB[[#This Row],[Título]])-1</f>
        <v>810</v>
      </c>
      <c r="B811" s="1" t="s">
        <v>3659</v>
      </c>
      <c r="C811" s="1"/>
      <c r="F811" s="1">
        <v>326</v>
      </c>
      <c r="I811" s="1"/>
      <c r="L811" s="15" t="s">
        <v>3660</v>
      </c>
      <c r="M811" s="15"/>
      <c r="N811" s="15"/>
      <c r="O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data-author="Carl Tuttle"&gt;&lt;a href="canciones/nuevas/hosanna.html"&gt;Hosanna&lt;/a&gt;&lt;/li&gt;</v>
      </c>
      <c r="U811" s="15" t="str">
        <f>_xlfn.TEXTBEFORE(_xlfn.TEXTAFTER(CantoralDB[[#This Row],[index.html]],"&gt;"),"&gt;")&amp;"&gt;"</f>
        <v>&lt;a href="canciones/nuevas/hosanna.html"&gt;</v>
      </c>
    </row>
    <row r="812" spans="1:21" hidden="1" x14ac:dyDescent="0.3">
      <c r="A812" s="1">
        <f>ROW(CantoralDB[[#This Row],[Título]])-1</f>
        <v>811</v>
      </c>
      <c r="B812" s="1" t="s">
        <v>2170</v>
      </c>
      <c r="C812" s="1"/>
      <c r="I812" s="1"/>
      <c r="L812" s="15" t="s">
        <v>481</v>
      </c>
      <c r="M812" s="15" t="s">
        <v>1975</v>
      </c>
      <c r="N812" s="15">
        <v>1</v>
      </c>
      <c r="O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hosanna_al_hijo_de_david.html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812" s="15" t="str">
        <f>_xlfn.TEXTBEFORE(_xlfn.TEXTAFTER(CantoralDB[[#This Row],[index.html]],"&gt;"),"&gt;")&amp;"&gt;"</f>
        <v>&lt;a href="canciones/francisco_palazon/hosanna_al_hijo_de_david.html"&gt;</v>
      </c>
    </row>
    <row r="813" spans="1:21" hidden="1" x14ac:dyDescent="0.3">
      <c r="A813" s="1">
        <f>ROW(CantoralDB[[#This Row],[Título]])-1</f>
        <v>812</v>
      </c>
      <c r="B813" s="1" t="s">
        <v>75</v>
      </c>
      <c r="C813" s="1" t="s">
        <v>211</v>
      </c>
      <c r="D813" s="1" t="s">
        <v>1472</v>
      </c>
      <c r="E813" s="1">
        <v>136</v>
      </c>
      <c r="G813" s="1" t="s">
        <v>209</v>
      </c>
      <c r="H813" s="1" t="s">
        <v>1075</v>
      </c>
      <c r="I813" s="1" t="s">
        <v>612</v>
      </c>
      <c r="L813" s="15" t="s">
        <v>479</v>
      </c>
      <c r="M813" s="15"/>
      <c r="N813" s="15"/>
      <c r="O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hosanna_hosanna_hosanna.html</v>
      </c>
      <c r="R813" s="1" t="s">
        <v>842</v>
      </c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813" s="15" t="str">
        <f>_xlfn.TEXTBEFORE(_xlfn.TEXTAFTER(CantoralDB[[#This Row],[index.html]],"&gt;"),"&gt;")&amp;"&gt;"</f>
        <v>&lt;a href="canciones/carmelo_erdozain/hosanna_hosanna_hosanna.html"&gt;</v>
      </c>
    </row>
    <row r="814" spans="1:21" hidden="1" x14ac:dyDescent="0.3">
      <c r="A814" s="1">
        <f>ROW(CantoralDB[[#This Row],[Título]])-1</f>
        <v>813</v>
      </c>
      <c r="B814" s="1" t="s">
        <v>1301</v>
      </c>
      <c r="C814" s="1"/>
      <c r="E814" s="1">
        <v>130</v>
      </c>
      <c r="I814" s="1"/>
      <c r="L814" s="15" t="s">
        <v>480</v>
      </c>
      <c r="M814" s="15"/>
      <c r="N814" s="15"/>
      <c r="O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hoy_cantamos_a_dios.html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814" s="15" t="str">
        <f>_xlfn.TEXTBEFORE(_xlfn.TEXTAFTER(CantoralDB[[#This Row],[index.html]],"&gt;"),"&gt;")&amp;"&gt;"</f>
        <v>&lt;a href="canciones/juanjo_elezkano/hoy_cantamos_a_dios.html"&gt;</v>
      </c>
    </row>
    <row r="815" spans="1:21" hidden="1" x14ac:dyDescent="0.3">
      <c r="A815" s="1">
        <f>ROW(CantoralDB[[#This Row],[Título]])-1</f>
        <v>814</v>
      </c>
      <c r="B815" s="1" t="s">
        <v>3587</v>
      </c>
      <c r="C815" s="1"/>
      <c r="F815" s="1">
        <v>254</v>
      </c>
      <c r="I815" s="1"/>
      <c r="L815" s="15" t="s">
        <v>3589</v>
      </c>
      <c r="M815" s="15"/>
      <c r="N815" s="15"/>
      <c r="O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hoy_canto_para_ti.html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815" s="15" t="str">
        <f>_xlfn.TEXTBEFORE(_xlfn.TEXTAFTER(CantoralDB[[#This Row],[index.html]],"&gt;"),"&gt;")&amp;"&gt;"</f>
        <v>&lt;a href="canciones/nuevas/hoy_canto_para_ti.html"&gt;</v>
      </c>
    </row>
    <row r="816" spans="1:21" hidden="1" x14ac:dyDescent="0.3">
      <c r="A816" s="1">
        <f>ROW(CantoralDB[[#This Row],[Título]])-1</f>
        <v>815</v>
      </c>
      <c r="B816" s="1" t="s">
        <v>3405</v>
      </c>
      <c r="C816" s="1"/>
      <c r="F816" s="1">
        <v>66</v>
      </c>
      <c r="I816" s="1"/>
      <c r="L816" s="15" t="s">
        <v>799</v>
      </c>
      <c r="M816" s="15"/>
      <c r="N816" s="15"/>
      <c r="O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hoy_el_señor_me_llamo.html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href="canciones/nuevas/hoy_el_señor_me_llamo.html"&gt;Hoy el Señor me llamó&lt;/a&gt;&lt;/li&gt;</v>
      </c>
      <c r="U816" s="15" t="str">
        <f>_xlfn.TEXTBEFORE(_xlfn.TEXTAFTER(CantoralDB[[#This Row],[index.html]],"&gt;"),"&gt;")&amp;"&gt;"</f>
        <v>&lt;a href="canciones/nuevas/hoy_el_señor_me_llamo.html"&gt;</v>
      </c>
    </row>
    <row r="817" spans="1:21" hidden="1" x14ac:dyDescent="0.3">
      <c r="A817" s="1">
        <f>ROW(CantoralDB[[#This Row],[Título]])-1</f>
        <v>816</v>
      </c>
      <c r="B817" s="1" t="s">
        <v>76</v>
      </c>
      <c r="C817" s="1" t="s">
        <v>199</v>
      </c>
      <c r="D817" s="1" t="s">
        <v>1473</v>
      </c>
      <c r="E817" s="1">
        <v>139</v>
      </c>
      <c r="F817" s="1">
        <v>354</v>
      </c>
      <c r="G817" s="1" t="s">
        <v>209</v>
      </c>
      <c r="H817" s="1" t="s">
        <v>1041</v>
      </c>
      <c r="I817" s="1" t="s">
        <v>612</v>
      </c>
      <c r="L817" s="15" t="s">
        <v>2152</v>
      </c>
      <c r="M817" s="15"/>
      <c r="N817" s="15"/>
      <c r="O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hoy_el_señor_resucito.html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data-momento="Despedida" data-nnew="L03" data-nold="139"&gt;&lt;a href="canciones/nsb/hoy_el_señor_resucito.html"&gt;Hoy el Señor resucitó&lt;/a&gt;&lt;/li&gt;</v>
      </c>
      <c r="U817" s="15" t="str">
        <f>_xlfn.TEXTBEFORE(_xlfn.TEXTAFTER(CantoralDB[[#This Row],[index.html]],"&gt;"),"&gt;")&amp;"&gt;"</f>
        <v>&lt;a href="canciones/nsb/hoy_el_señor_resucito.html"&gt;</v>
      </c>
    </row>
    <row r="818" spans="1:21" hidden="1" x14ac:dyDescent="0.3">
      <c r="A818" s="1">
        <f>ROW(CantoralDB[[#This Row],[Título]])-1</f>
        <v>817</v>
      </c>
      <c r="B818" s="1" t="s">
        <v>1306</v>
      </c>
      <c r="C818" s="1"/>
      <c r="E818" s="1">
        <v>135</v>
      </c>
      <c r="I818" s="1"/>
      <c r="L818" s="15" t="s">
        <v>799</v>
      </c>
      <c r="M818" s="15"/>
      <c r="N818" s="15"/>
      <c r="O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hoy_empieza_una_nueva_era.html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818" s="15" t="str">
        <f>_xlfn.TEXTBEFORE(_xlfn.TEXTAFTER(CantoralDB[[#This Row],[index.html]],"&gt;"),"&gt;")&amp;"&gt;"</f>
        <v>&lt;a href="canciones/nsb/hoy_empieza_una_nueva_era.html"&gt;</v>
      </c>
    </row>
    <row r="819" spans="1:21" hidden="1" x14ac:dyDescent="0.3">
      <c r="A819" s="1">
        <f>ROW(CantoralDB[[#This Row],[Título]])-1</f>
        <v>818</v>
      </c>
      <c r="B819" s="1" t="s">
        <v>2032</v>
      </c>
      <c r="C819" s="1"/>
      <c r="I819" s="1" t="s">
        <v>612</v>
      </c>
      <c r="L819" s="15" t="s">
        <v>261</v>
      </c>
      <c r="M819" s="15"/>
      <c r="N819" s="15"/>
      <c r="O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href="canciones/hakuna/hoy_en_belen.html"&gt;Hoy en Belén&lt;/a&gt;&lt;/li&gt;</v>
      </c>
      <c r="U819" s="15" t="str">
        <f>_xlfn.TEXTBEFORE(_xlfn.TEXTAFTER(CantoralDB[[#This Row],[index.html]],"&gt;"),"&gt;")&amp;"&gt;"</f>
        <v>&lt;a href="canciones/hakuna/hoy_en_belen.html"&gt;</v>
      </c>
    </row>
    <row r="820" spans="1:21" hidden="1" x14ac:dyDescent="0.3">
      <c r="A820" s="1">
        <f>ROW(CantoralDB[[#This Row],[Título]])-1</f>
        <v>819</v>
      </c>
      <c r="B820" s="1" t="s">
        <v>1305</v>
      </c>
      <c r="C820" s="1"/>
      <c r="E820" s="1">
        <v>134</v>
      </c>
      <c r="I820" s="1"/>
      <c r="L820" s="15" t="s">
        <v>517</v>
      </c>
      <c r="M820" s="15"/>
      <c r="N820" s="15"/>
      <c r="O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hoy_en_belen_es_la_fiesta.html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data-nold="134"&gt;&lt;a href="canciones/gregorio_fernandez/hoy_en_belen_es_la_fiesta.html"&gt;Hoy en Belén es la fiesta&lt;/a&gt;&lt;/li&gt;</v>
      </c>
      <c r="U820" s="15" t="str">
        <f>_xlfn.TEXTBEFORE(_xlfn.TEXTAFTER(CantoralDB[[#This Row],[index.html]],"&gt;"),"&gt;")&amp;"&gt;"</f>
        <v>&lt;a href="canciones/gregorio_fernandez/hoy_en_belen_es_la_fiesta.html"&gt;</v>
      </c>
    </row>
    <row r="821" spans="1:21" hidden="1" x14ac:dyDescent="0.3">
      <c r="A821" s="1">
        <f>ROW(CantoralDB[[#This Row],[Título]])-1</f>
        <v>820</v>
      </c>
      <c r="B821" s="1" t="s">
        <v>793</v>
      </c>
      <c r="C821" s="1" t="s">
        <v>476</v>
      </c>
      <c r="D821" s="1" t="s">
        <v>1101</v>
      </c>
      <c r="H821" s="1" t="s">
        <v>1039</v>
      </c>
      <c r="I821" s="1" t="s">
        <v>612</v>
      </c>
      <c r="L821" s="15" t="s">
        <v>2200</v>
      </c>
      <c r="M821" s="15"/>
      <c r="N821" s="15"/>
      <c r="O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hoy_en_la_tierra.html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821" s="15" t="str">
        <f>_xlfn.TEXTBEFORE(_xlfn.TEXTAFTER(CantoralDB[[#This Row],[index.html]],"&gt;"),"&gt;")&amp;"&gt;"</f>
        <v>&lt;a href="canciones/villancicos/hoy_en_la_tierra.html"&gt;</v>
      </c>
    </row>
    <row r="822" spans="1:21" hidden="1" x14ac:dyDescent="0.3">
      <c r="A822" s="1">
        <f>ROW(CantoralDB[[#This Row],[Título]])-1</f>
        <v>821</v>
      </c>
      <c r="B822" s="1" t="s">
        <v>1307</v>
      </c>
      <c r="C822" s="1"/>
      <c r="E822" s="1">
        <v>137</v>
      </c>
      <c r="I822" s="1"/>
      <c r="L822" s="15" t="s">
        <v>479</v>
      </c>
      <c r="M822" s="15"/>
      <c r="N822" s="15"/>
      <c r="O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hoy_me_siento_peregrino.html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822" s="15" t="str">
        <f>_xlfn.TEXTBEFORE(_xlfn.TEXTAFTER(CantoralDB[[#This Row],[index.html]],"&gt;"),"&gt;")&amp;"&gt;"</f>
        <v>&lt;a href="canciones/carmelo_erdozain/hoy_me_siento_peregrino.html"&gt;</v>
      </c>
    </row>
    <row r="823" spans="1:21" hidden="1" x14ac:dyDescent="0.3">
      <c r="A823" s="1">
        <f>ROW(CantoralDB[[#This Row],[Título]])-1</f>
        <v>822</v>
      </c>
      <c r="B823" s="1" t="s">
        <v>3391</v>
      </c>
      <c r="C823" s="1"/>
      <c r="F823" s="1">
        <v>54</v>
      </c>
      <c r="I823" s="1"/>
      <c r="L823" s="15" t="s">
        <v>799</v>
      </c>
      <c r="M823" s="15"/>
      <c r="N823" s="15"/>
      <c r="O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hoy_perdoname.html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href="canciones/nuevas/hoy_perdoname.html"&gt;Hoy perdóname&lt;/a&gt;&lt;/li&gt;</v>
      </c>
      <c r="U823" s="15" t="str">
        <f>_xlfn.TEXTBEFORE(_xlfn.TEXTAFTER(CantoralDB[[#This Row],[index.html]],"&gt;"),"&gt;")&amp;"&gt;"</f>
        <v>&lt;a href="canciones/nuevas/hoy_perdoname.html"&gt;</v>
      </c>
    </row>
    <row r="824" spans="1:21" hidden="1" x14ac:dyDescent="0.3">
      <c r="A824" s="1">
        <f>ROW(CantoralDB[[#This Row],[Título]])-1</f>
        <v>823</v>
      </c>
      <c r="B824" s="1" t="s">
        <v>2015</v>
      </c>
      <c r="C824" s="1"/>
      <c r="I824" s="1" t="s">
        <v>612</v>
      </c>
      <c r="L824" s="15" t="s">
        <v>261</v>
      </c>
      <c r="M824" s="15"/>
      <c r="N824" s="15"/>
      <c r="O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hoy_te_dejo.html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href="canciones/hakuna/hoy_te_dejo.html"&gt;Hoy te dejo&lt;/a&gt;&lt;/li&gt;</v>
      </c>
      <c r="U824" s="15" t="str">
        <f>_xlfn.TEXTBEFORE(_xlfn.TEXTAFTER(CantoralDB[[#This Row],[index.html]],"&gt;"),"&gt;")&amp;"&gt;"</f>
        <v>&lt;a href="canciones/hakuna/hoy_te_dejo.html"&gt;</v>
      </c>
    </row>
    <row r="825" spans="1:21" hidden="1" x14ac:dyDescent="0.3">
      <c r="A825" s="1">
        <f>ROW(CantoralDB[[#This Row],[Título]])-1</f>
        <v>824</v>
      </c>
      <c r="B825" s="1" t="s">
        <v>77</v>
      </c>
      <c r="C825" s="1" t="s">
        <v>997</v>
      </c>
      <c r="D825" s="1" t="s">
        <v>715</v>
      </c>
      <c r="E825" s="1">
        <v>138</v>
      </c>
      <c r="G825" s="1" t="s">
        <v>209</v>
      </c>
      <c r="H825" s="1" t="s">
        <v>1046</v>
      </c>
      <c r="I825" s="1" t="s">
        <v>612</v>
      </c>
      <c r="L825" s="15" t="s">
        <v>479</v>
      </c>
      <c r="M825" s="15"/>
      <c r="N825" s="15"/>
      <c r="O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hoy_vuelvo_de_lejos.html</v>
      </c>
      <c r="R825" s="1" t="s">
        <v>843</v>
      </c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825" s="15" t="str">
        <f>_xlfn.TEXTBEFORE(_xlfn.TEXTAFTER(CantoralDB[[#This Row],[index.html]],"&gt;"),"&gt;")&amp;"&gt;"</f>
        <v>&lt;a href="canciones/carmelo_erdozain/hoy_vuelvo_de_lejos.html"&gt;</v>
      </c>
    </row>
    <row r="826" spans="1:21" hidden="1" x14ac:dyDescent="0.3">
      <c r="A826" s="1">
        <f>ROW(CantoralDB[[#This Row],[Título]])-1</f>
        <v>825</v>
      </c>
      <c r="B826" s="1" t="s">
        <v>1897</v>
      </c>
      <c r="C826" s="1"/>
      <c r="I826" s="1"/>
      <c r="L826" s="15" t="s">
        <v>482</v>
      </c>
      <c r="M826" s="15" t="s">
        <v>1899</v>
      </c>
      <c r="N826" s="15">
        <v>10</v>
      </c>
      <c r="O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hoy_jesus_vendras_a_mi.html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826" s="15" t="str">
        <f>_xlfn.TEXTBEFORE(_xlfn.TEXTAFTER(CantoralDB[[#This Row],[index.html]],"&gt;"),"&gt;")&amp;"&gt;"</f>
        <v>&lt;a href="canciones/toño_casado/hoy_jesus_vendras_a_mi.html"&gt;</v>
      </c>
    </row>
    <row r="827" spans="1:21" hidden="1" x14ac:dyDescent="0.3">
      <c r="A827" s="1">
        <f>ROW(CantoralDB[[#This Row],[Título]])-1</f>
        <v>826</v>
      </c>
      <c r="B827" s="1" t="s">
        <v>3311</v>
      </c>
      <c r="C827" s="1"/>
      <c r="E827" s="1" t="s">
        <v>3312</v>
      </c>
      <c r="I827" s="1" t="s">
        <v>612</v>
      </c>
      <c r="L827" s="15" t="s">
        <v>3313</v>
      </c>
      <c r="M827" s="15"/>
      <c r="N827" s="15"/>
      <c r="O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hoy_señor_me_has_vuelto_a_perdonar.html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827" s="15" t="str">
        <f>_xlfn.TEXTBEFORE(_xlfn.TEXTAFTER(CantoralDB[[#This Row],[index.html]],"&gt;"),"&gt;")&amp;"&gt;"</f>
        <v>&lt;a href="canciones/nsb/hoy_señor_me_has_vuelto_a_perdonar.html"&gt;</v>
      </c>
    </row>
    <row r="828" spans="1:21" hidden="1" x14ac:dyDescent="0.3">
      <c r="A828" s="1">
        <f>ROW(CantoralDB[[#This Row],[Título]])-1</f>
        <v>827</v>
      </c>
      <c r="B828" s="1" t="s">
        <v>78</v>
      </c>
      <c r="C828" s="1" t="s">
        <v>199</v>
      </c>
      <c r="D828" s="1" t="s">
        <v>1474</v>
      </c>
      <c r="E828" s="1">
        <v>140</v>
      </c>
      <c r="G828" s="1" t="s">
        <v>209</v>
      </c>
      <c r="H828" s="1" t="s">
        <v>1037</v>
      </c>
      <c r="I828" s="1" t="s">
        <v>612</v>
      </c>
      <c r="L828" s="15" t="s">
        <v>491</v>
      </c>
      <c r="M828" s="15"/>
      <c r="N828" s="15"/>
      <c r="O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hoy_señor_te_damos_gracias.html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828" s="15" t="str">
        <f>_xlfn.TEXTBEFORE(_xlfn.TEXTAFTER(CantoralDB[[#This Row],[index.html]],"&gt;"),"&gt;")&amp;"&gt;"</f>
        <v>&lt;a href="canciones/juan_antonio_espinosa/hoy_señor_te_damos_gracias.html"&gt;</v>
      </c>
    </row>
    <row r="829" spans="1:21" hidden="1" x14ac:dyDescent="0.3">
      <c r="A829" s="1">
        <f>ROW(CantoralDB[[#This Row],[Título]])-1</f>
        <v>828</v>
      </c>
      <c r="B829" s="1" t="s">
        <v>236</v>
      </c>
      <c r="C829" s="1" t="s">
        <v>997</v>
      </c>
      <c r="D829" s="1" t="s">
        <v>714</v>
      </c>
      <c r="F829" s="1">
        <v>339</v>
      </c>
      <c r="G829" s="1" t="s">
        <v>216</v>
      </c>
      <c r="H829" s="1" t="s">
        <v>532</v>
      </c>
      <c r="I829" s="1" t="s">
        <v>612</v>
      </c>
      <c r="L829" s="15" t="s">
        <v>499</v>
      </c>
      <c r="M829" s="15"/>
      <c r="N829" s="15"/>
      <c r="O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hoy_señor_te_dare.html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829" s="15" t="str">
        <f>_xlfn.TEXTBEFORE(_xlfn.TEXTAFTER(CantoralDB[[#This Row],[index.html]],"&gt;"),"&gt;")&amp;"&gt;"</f>
        <v>&lt;a href="canciones/brotes_de_olivo/hoy_señor_te_dare.html"&gt;</v>
      </c>
    </row>
    <row r="830" spans="1:21" hidden="1" x14ac:dyDescent="0.3">
      <c r="A830" s="1">
        <f>ROW(CantoralDB[[#This Row],[Título]])-1</f>
        <v>829</v>
      </c>
      <c r="B830" s="1" t="s">
        <v>649</v>
      </c>
      <c r="C830" s="1" t="s">
        <v>997</v>
      </c>
      <c r="D830" s="1" t="s">
        <v>716</v>
      </c>
      <c r="G830" s="1" t="s">
        <v>261</v>
      </c>
      <c r="H830" s="1" t="s">
        <v>532</v>
      </c>
      <c r="I830" s="1" t="s">
        <v>612</v>
      </c>
      <c r="L830" s="15" t="s">
        <v>261</v>
      </c>
      <c r="M830" s="15"/>
      <c r="N830" s="15"/>
      <c r="O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huracan.html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830" s="15" t="str">
        <f>_xlfn.TEXTBEFORE(_xlfn.TEXTAFTER(CantoralDB[[#This Row],[index.html]],"&gt;"),"&gt;")&amp;"&gt;"</f>
        <v>&lt;a href="canciones/hakuna/huracan.html"&gt;</v>
      </c>
    </row>
    <row r="831" spans="1:21" hidden="1" x14ac:dyDescent="0.3">
      <c r="A831" s="1">
        <f>ROW(CantoralDB[[#This Row],[Título]])-1</f>
        <v>830</v>
      </c>
      <c r="B831" s="1" t="s">
        <v>367</v>
      </c>
      <c r="C831" s="1" t="s">
        <v>1026</v>
      </c>
      <c r="D831" s="1" t="s">
        <v>1169</v>
      </c>
      <c r="H831" s="1" t="s">
        <v>1031</v>
      </c>
      <c r="I831" s="1" t="s">
        <v>612</v>
      </c>
      <c r="L831" s="15" t="s">
        <v>2201</v>
      </c>
      <c r="M831" s="15"/>
      <c r="N831" s="15"/>
      <c r="O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831" s="15" t="str">
        <f>_xlfn.TEXTBEFORE(_xlfn.TEXTAFTER(CantoralDB[[#This Row],[index.html]],"&gt;"),"&gt;")&amp;"&gt;"</f>
        <v>&lt;a href="canciones/taize/i_am_sure_i_shall_see.html"&gt;</v>
      </c>
    </row>
    <row r="832" spans="1:21" hidden="1" x14ac:dyDescent="0.3">
      <c r="A832" s="1">
        <f>ROW(CantoralDB[[#This Row],[Título]])-1</f>
        <v>831</v>
      </c>
      <c r="B832" s="1" t="s">
        <v>368</v>
      </c>
      <c r="C832" s="1" t="s">
        <v>1026</v>
      </c>
      <c r="D832" s="1" t="s">
        <v>1170</v>
      </c>
      <c r="H832" s="1" t="s">
        <v>1050</v>
      </c>
      <c r="I832" s="1" t="s">
        <v>612</v>
      </c>
      <c r="L832" s="15" t="s">
        <v>2201</v>
      </c>
      <c r="M832" s="15"/>
      <c r="N832" s="15"/>
      <c r="O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832" s="15" t="str">
        <f>_xlfn.TEXTBEFORE(_xlfn.TEXTAFTER(CantoralDB[[#This Row],[index.html]],"&gt;"),"&gt;")&amp;"&gt;"</f>
        <v>&lt;a href="canciones/taize/iedere_nacht_verlang_ik.html"&gt;</v>
      </c>
    </row>
    <row r="833" spans="1:21" hidden="1" x14ac:dyDescent="0.3">
      <c r="A833" s="1">
        <f>ROW(CantoralDB[[#This Row],[Título]])-1</f>
        <v>832</v>
      </c>
      <c r="B833" s="1" t="s">
        <v>79</v>
      </c>
      <c r="C833" s="1" t="s">
        <v>997</v>
      </c>
      <c r="D833" s="1" t="s">
        <v>717</v>
      </c>
      <c r="E833" s="1">
        <v>142</v>
      </c>
      <c r="G833" s="1" t="s">
        <v>209</v>
      </c>
      <c r="H833" s="1" t="s">
        <v>1054</v>
      </c>
      <c r="I833" s="1" t="s">
        <v>612</v>
      </c>
      <c r="L833" s="15" t="s">
        <v>483</v>
      </c>
      <c r="M833" s="15"/>
      <c r="N833" s="15"/>
      <c r="O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iglesia_soy.html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833" s="15" t="str">
        <f>_xlfn.TEXTBEFORE(_xlfn.TEXTAFTER(CantoralDB[[#This Row],[index.html]],"&gt;"),"&gt;")&amp;"&gt;"</f>
        <v>&lt;a href="canciones/cesareo_gabarain/iglesia_soy.html"&gt;</v>
      </c>
    </row>
    <row r="834" spans="1:21" hidden="1" x14ac:dyDescent="0.3">
      <c r="A834" s="1">
        <f>ROW(CantoralDB[[#This Row],[Título]])-1</f>
        <v>833</v>
      </c>
      <c r="B834" s="1" t="s">
        <v>369</v>
      </c>
      <c r="C834" s="1" t="s">
        <v>1026</v>
      </c>
      <c r="D834" s="1" t="s">
        <v>1163</v>
      </c>
      <c r="H834" s="1" t="s">
        <v>1036</v>
      </c>
      <c r="I834" s="1" t="s">
        <v>612</v>
      </c>
      <c r="L834" s="15" t="s">
        <v>2201</v>
      </c>
      <c r="M834" s="15"/>
      <c r="N834" s="15"/>
      <c r="O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834" s="15" t="str">
        <f>_xlfn.TEXTBEFORE(_xlfn.TEXTAFTER(CantoralDB[[#This Row],[index.html]],"&gt;"),"&gt;")&amp;"&gt;"</f>
        <v>&lt;a href="canciones/taize/il_signore_ti_ristora.html"&gt;</v>
      </c>
    </row>
    <row r="835" spans="1:21" hidden="1" x14ac:dyDescent="0.3">
      <c r="A835" s="1">
        <f>ROW(CantoralDB[[#This Row],[Título]])-1</f>
        <v>834</v>
      </c>
      <c r="B835" s="1" t="s">
        <v>80</v>
      </c>
      <c r="C835" s="1" t="s">
        <v>997</v>
      </c>
      <c r="D835" s="1" t="s">
        <v>718</v>
      </c>
      <c r="E835" s="1">
        <v>141</v>
      </c>
      <c r="F835" s="1">
        <v>112</v>
      </c>
      <c r="G835" s="1" t="s">
        <v>209</v>
      </c>
      <c r="H835" s="1" t="s">
        <v>1047</v>
      </c>
      <c r="I835" s="1" t="s">
        <v>612</v>
      </c>
      <c r="L835" s="15" t="s">
        <v>2155</v>
      </c>
      <c r="M835" s="15"/>
      <c r="N835" s="15"/>
      <c r="O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iluminame_señor.html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data-momento="Comunión" data-nnew="K41" data-nold="141"&gt;&lt;a href="canciones/nsb/iluminame_señor.html"&gt;Ilumíname, Señor&lt;/a&gt;&lt;/li&gt;</v>
      </c>
      <c r="U835" s="15" t="str">
        <f>_xlfn.TEXTBEFORE(_xlfn.TEXTAFTER(CantoralDB[[#This Row],[index.html]],"&gt;"),"&gt;")&amp;"&gt;"</f>
        <v>&lt;a href="canciones/nsb/iluminame_señor.html"&gt;</v>
      </c>
    </row>
    <row r="836" spans="1:21" hidden="1" x14ac:dyDescent="0.3">
      <c r="A836" s="1">
        <f>ROW(CantoralDB[[#This Row],[Título]])-1</f>
        <v>835</v>
      </c>
      <c r="B836" s="1" t="s">
        <v>3752</v>
      </c>
      <c r="C836" s="1"/>
      <c r="F836" s="1">
        <v>406</v>
      </c>
      <c r="I836" s="1"/>
      <c r="L836" s="15" t="s">
        <v>3753</v>
      </c>
      <c r="M836" s="15"/>
      <c r="N836" s="15"/>
      <c r="O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imagina.html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data-author="Blest"&gt;&lt;a href="canciones/nuevas/imagina.html"&gt;Imagina&lt;/a&gt;&lt;/li&gt;</v>
      </c>
      <c r="U836" s="15" t="str">
        <f>_xlfn.TEXTBEFORE(_xlfn.TEXTAFTER(CantoralDB[[#This Row],[index.html]],"&gt;"),"&gt;")&amp;"&gt;"</f>
        <v>&lt;a href="canciones/nuevas/imagina.html"&gt;</v>
      </c>
    </row>
    <row r="837" spans="1:21" hidden="1" x14ac:dyDescent="0.3">
      <c r="A837" s="1">
        <f>ROW(CantoralDB[[#This Row],[Título]])-1</f>
        <v>836</v>
      </c>
      <c r="B837" s="1" t="s">
        <v>1999</v>
      </c>
      <c r="C837" s="1"/>
      <c r="I837" s="1" t="s">
        <v>612</v>
      </c>
      <c r="L837" s="15" t="s">
        <v>261</v>
      </c>
      <c r="M837" s="15"/>
      <c r="N837" s="15"/>
      <c r="O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imprescindible.html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837" s="15" t="str">
        <f>_xlfn.TEXTBEFORE(_xlfn.TEXTAFTER(CantoralDB[[#This Row],[index.html]],"&gt;"),"&gt;")&amp;"&gt;"</f>
        <v>&lt;a href="canciones/hakuna/imprescindible.html"&gt;</v>
      </c>
    </row>
    <row r="838" spans="1:21" hidden="1" x14ac:dyDescent="0.3">
      <c r="A838" s="1">
        <f>ROW(CantoralDB[[#This Row],[Título]])-1</f>
        <v>837</v>
      </c>
      <c r="B838" s="1" t="s">
        <v>370</v>
      </c>
      <c r="C838" s="1" t="s">
        <v>1026</v>
      </c>
      <c r="D838" s="1" t="s">
        <v>1171</v>
      </c>
      <c r="H838" s="1" t="s">
        <v>1041</v>
      </c>
      <c r="I838" s="1" t="s">
        <v>612</v>
      </c>
      <c r="L838" s="15" t="s">
        <v>2201</v>
      </c>
      <c r="M838" s="15"/>
      <c r="N838" s="15"/>
      <c r="O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838" s="15" t="str">
        <f>_xlfn.TEXTBEFORE(_xlfn.TEXTAFTER(CantoralDB[[#This Row],[index.html]],"&gt;"),"&gt;")&amp;"&gt;"</f>
        <v>&lt;a href="canciones/taize/in_manus_tuas.html"&gt;</v>
      </c>
    </row>
    <row r="839" spans="1:21" hidden="1" x14ac:dyDescent="0.3">
      <c r="A839" s="1">
        <f>ROW(CantoralDB[[#This Row],[Título]])-1</f>
        <v>838</v>
      </c>
      <c r="B839" s="1" t="s">
        <v>371</v>
      </c>
      <c r="C839" s="1" t="s">
        <v>1026</v>
      </c>
      <c r="D839" s="1" t="s">
        <v>1119</v>
      </c>
      <c r="H839" s="1" t="s">
        <v>1041</v>
      </c>
      <c r="I839" s="1" t="s">
        <v>612</v>
      </c>
      <c r="L839" s="15" t="s">
        <v>2201</v>
      </c>
      <c r="M839" s="15"/>
      <c r="N839" s="15"/>
      <c r="O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839" s="15" t="str">
        <f>_xlfn.TEXTBEFORE(_xlfn.TEXTAFTER(CantoralDB[[#This Row],[index.html]],"&gt;"),"&gt;")&amp;"&gt;"</f>
        <v>&lt;a href="canciones/taize/in_resurrectione_tua.html"&gt;</v>
      </c>
    </row>
    <row r="840" spans="1:21" hidden="1" x14ac:dyDescent="0.3">
      <c r="A840" s="1">
        <f>ROW(CantoralDB[[#This Row],[Título]])-1</f>
        <v>839</v>
      </c>
      <c r="B840" s="1" t="s">
        <v>1697</v>
      </c>
      <c r="C840" s="1"/>
      <c r="I840" s="1"/>
      <c r="L840" s="15" t="s">
        <v>484</v>
      </c>
      <c r="M840" s="15" t="s">
        <v>1578</v>
      </c>
      <c r="N840" s="15">
        <v>3</v>
      </c>
      <c r="O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indigena.html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href="canciones/kairoi/indigena.html"&gt;Indígena&lt;/a&gt;&lt;/li&gt;</v>
      </c>
      <c r="U840" s="15" t="str">
        <f>_xlfn.TEXTBEFORE(_xlfn.TEXTAFTER(CantoralDB[[#This Row],[index.html]],"&gt;"),"&gt;")&amp;"&gt;"</f>
        <v>&lt;a href="canciones/kairoi/indigena.html"&gt;</v>
      </c>
    </row>
    <row r="841" spans="1:21" hidden="1" x14ac:dyDescent="0.3">
      <c r="A841" s="1">
        <f>ROW(CantoralDB[[#This Row],[Título]])-1</f>
        <v>840</v>
      </c>
      <c r="B841" s="1" t="s">
        <v>3358</v>
      </c>
      <c r="C841" s="1"/>
      <c r="F841" s="1">
        <v>23</v>
      </c>
      <c r="I841" s="1"/>
      <c r="L841" s="15" t="s">
        <v>799</v>
      </c>
      <c r="M841" s="15"/>
      <c r="N841" s="15"/>
      <c r="O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inunda_mi_ser.html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href="canciones/nuevas/inunda_mi_ser.html"&gt;Inunda mi ser&lt;/a&gt;&lt;/li&gt;</v>
      </c>
      <c r="U841" s="15" t="str">
        <f>_xlfn.TEXTBEFORE(_xlfn.TEXTAFTER(CantoralDB[[#This Row],[index.html]],"&gt;"),"&gt;")&amp;"&gt;"</f>
        <v>&lt;a href="canciones/nuevas/inunda_mi_ser.html"&gt;</v>
      </c>
    </row>
    <row r="842" spans="1:21" hidden="1" x14ac:dyDescent="0.3">
      <c r="A842" s="1">
        <f>ROW(CantoralDB[[#This Row],[Título]])-1</f>
        <v>841</v>
      </c>
      <c r="B842" s="1" t="s">
        <v>2121</v>
      </c>
      <c r="C842" s="1"/>
      <c r="I842" s="1" t="s">
        <v>612</v>
      </c>
      <c r="L842" s="15" t="s">
        <v>481</v>
      </c>
      <c r="M842" s="15" t="s">
        <v>2105</v>
      </c>
      <c r="N842" s="15">
        <v>6</v>
      </c>
      <c r="O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invitacion.html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842" s="15" t="str">
        <f>_xlfn.TEXTBEFORE(_xlfn.TEXTAFTER(CantoralDB[[#This Row],[index.html]],"&gt;"),"&gt;")&amp;"&gt;"</f>
        <v>&lt;a href="canciones/francisco_palazon/invitacion.html"&gt;</v>
      </c>
    </row>
    <row r="843" spans="1:21" hidden="1" x14ac:dyDescent="0.3">
      <c r="A843" s="1">
        <f>ROW(CantoralDB[[#This Row],[Título]])-1</f>
        <v>842</v>
      </c>
      <c r="B843" s="1" t="s">
        <v>1826</v>
      </c>
      <c r="C843" s="1"/>
      <c r="I843" s="1" t="s">
        <v>612</v>
      </c>
      <c r="L843" s="15" t="s">
        <v>501</v>
      </c>
      <c r="M843" s="15" t="s">
        <v>1550</v>
      </c>
      <c r="N843" s="15">
        <v>6</v>
      </c>
      <c r="O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invitanos.html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href="canciones/ain_karem/invitanos.html"&gt;Invítanos&lt;/a&gt;&lt;/li&gt;</v>
      </c>
      <c r="U843" s="15" t="str">
        <f>_xlfn.TEXTBEFORE(_xlfn.TEXTAFTER(CantoralDB[[#This Row],[index.html]],"&gt;"),"&gt;")&amp;"&gt;"</f>
        <v>&lt;a href="canciones/ain_karem/invitanos.html"&gt;</v>
      </c>
    </row>
    <row r="844" spans="1:21" hidden="1" x14ac:dyDescent="0.3">
      <c r="A844" s="1">
        <f>ROW(CantoralDB[[#This Row],[Título]])-1</f>
        <v>843</v>
      </c>
      <c r="B844" s="1" t="s">
        <v>3524</v>
      </c>
      <c r="C844" s="1"/>
      <c r="F844" s="1">
        <v>178</v>
      </c>
      <c r="I844" s="1"/>
      <c r="L844" s="15" t="s">
        <v>799</v>
      </c>
      <c r="M844" s="15"/>
      <c r="N844" s="15"/>
      <c r="O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jesucristo_es_tan_grande.html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href="canciones/nuevas/jesucristo_es_tan_grande.html"&gt;Jesucristo es tan grande&lt;/a&gt;&lt;/li&gt;</v>
      </c>
      <c r="U844" s="15" t="str">
        <f>_xlfn.TEXTBEFORE(_xlfn.TEXTAFTER(CantoralDB[[#This Row],[index.html]],"&gt;"),"&gt;")&amp;"&gt;"</f>
        <v>&lt;a href="canciones/nuevas/jesucristo_es_tan_grande.html"&gt;</v>
      </c>
    </row>
    <row r="845" spans="1:21" hidden="1" x14ac:dyDescent="0.3">
      <c r="A845" s="1">
        <f>ROW(CantoralDB[[#This Row],[Título]])-1</f>
        <v>844</v>
      </c>
      <c r="B845" s="1" t="s">
        <v>1880</v>
      </c>
      <c r="C845" s="1"/>
      <c r="I845" s="1" t="s">
        <v>612</v>
      </c>
      <c r="L845" s="15" t="s">
        <v>501</v>
      </c>
      <c r="M845" s="15" t="s">
        <v>1553</v>
      </c>
      <c r="N845" s="15">
        <v>8</v>
      </c>
      <c r="O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href="canciones/ain_karem/jesus.html"&gt;Jesús&lt;/a&gt;&lt;/li&gt;</v>
      </c>
      <c r="U845" s="15" t="str">
        <f>_xlfn.TEXTBEFORE(_xlfn.TEXTAFTER(CantoralDB[[#This Row],[index.html]],"&gt;"),"&gt;")&amp;"&gt;"</f>
        <v>&lt;a href="canciones/ain_karem/jesus.html"&gt;</v>
      </c>
    </row>
    <row r="846" spans="1:21" hidden="1" x14ac:dyDescent="0.3">
      <c r="A846" s="1">
        <f>ROW(CantoralDB[[#This Row],[Título]])-1</f>
        <v>845</v>
      </c>
      <c r="B846" s="1" t="s">
        <v>3638</v>
      </c>
      <c r="C846" s="1"/>
      <c r="F846" s="1">
        <v>304</v>
      </c>
      <c r="I846" s="1"/>
      <c r="L846" s="15" t="s">
        <v>799</v>
      </c>
      <c r="M846" s="15"/>
      <c r="N846" s="15"/>
      <c r="O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jesus_(asis).html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href="canciones/nuevas/jesus_(asis).html"&gt;Jesús (Asís)&lt;/a&gt;&lt;/li&gt;</v>
      </c>
      <c r="U846" s="15" t="str">
        <f>_xlfn.TEXTBEFORE(_xlfn.TEXTAFTER(CantoralDB[[#This Row],[index.html]],"&gt;"),"&gt;")&amp;"&gt;"</f>
        <v>&lt;a href="canciones/nuevas/jesus_(asis).html"&gt;</v>
      </c>
    </row>
    <row r="847" spans="1:21" hidden="1" x14ac:dyDescent="0.3">
      <c r="A847" s="1">
        <f>ROW(CantoralDB[[#This Row],[Título]])-1</f>
        <v>846</v>
      </c>
      <c r="B847" s="1" t="s">
        <v>1027</v>
      </c>
      <c r="C847" s="1" t="s">
        <v>1026</v>
      </c>
      <c r="D847" s="1" t="s">
        <v>1140</v>
      </c>
      <c r="H847" s="1" t="s">
        <v>1076</v>
      </c>
      <c r="I847" s="1" t="s">
        <v>612</v>
      </c>
      <c r="L847" s="15" t="s">
        <v>2201</v>
      </c>
      <c r="M847" s="15"/>
      <c r="N847" s="15"/>
      <c r="O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jesus_christ_bread_of_life.html</v>
      </c>
      <c r="R847" s="1"/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847" s="15" t="str">
        <f>_xlfn.TEXTBEFORE(_xlfn.TEXTAFTER(CantoralDB[[#This Row],[index.html]],"&gt;"),"&gt;")&amp;"&gt;"</f>
        <v>&lt;a href="canciones/taize/jesus_christ_bread_of_life.html"&gt;</v>
      </c>
    </row>
    <row r="848" spans="1:21" hidden="1" x14ac:dyDescent="0.3">
      <c r="A848" s="1">
        <f>ROW(CantoralDB[[#This Row],[Título]])-1</f>
        <v>847</v>
      </c>
      <c r="B848" s="1" t="s">
        <v>1394</v>
      </c>
      <c r="C848" s="1"/>
      <c r="E848" s="1">
        <v>304</v>
      </c>
      <c r="I848" s="1"/>
      <c r="L848" s="15" t="s">
        <v>799</v>
      </c>
      <c r="M848" s="15"/>
      <c r="N848" s="15"/>
      <c r="O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jesus_es_la_verdad.html</v>
      </c>
      <c r="R848" s="1"/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848" s="15" t="str">
        <f>_xlfn.TEXTBEFORE(_xlfn.TEXTAFTER(CantoralDB[[#This Row],[index.html]],"&gt;"),"&gt;")&amp;"&gt;"</f>
        <v>&lt;a href="canciones/nsb/jesus_es_la_verdad.html"&gt;</v>
      </c>
    </row>
    <row r="849" spans="1:21" hidden="1" x14ac:dyDescent="0.3">
      <c r="A849" s="1">
        <f>ROW(CantoralDB[[#This Row],[Título]])-1</f>
        <v>848</v>
      </c>
      <c r="B849" s="1" t="s">
        <v>3689</v>
      </c>
      <c r="C849" s="1"/>
      <c r="F849" s="1">
        <v>353</v>
      </c>
      <c r="I849" s="1"/>
      <c r="L849" s="15" t="s">
        <v>3690</v>
      </c>
      <c r="M849" s="15"/>
      <c r="N849" s="15"/>
      <c r="O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jesus_es_mi_luz_y_mi_salvacion.html</v>
      </c>
      <c r="R849" s="1"/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849" s="15" t="str">
        <f>_xlfn.TEXTBEFORE(_xlfn.TEXTAFTER(CantoralDB[[#This Row],[index.html]],"&gt;"),"&gt;")&amp;"&gt;"</f>
        <v>&lt;a href="canciones/nuevas/jesus_es_mi_luz_y_mi_salvacion.html"&gt;</v>
      </c>
    </row>
    <row r="850" spans="1:21" hidden="1" x14ac:dyDescent="0.3">
      <c r="A850" s="1">
        <f>ROW(CantoralDB[[#This Row],[Título]])-1</f>
        <v>849</v>
      </c>
      <c r="B850" s="1" t="s">
        <v>259</v>
      </c>
      <c r="C850" s="1" t="s">
        <v>191</v>
      </c>
      <c r="D850" s="1" t="s">
        <v>745</v>
      </c>
      <c r="F850" s="1">
        <v>1</v>
      </c>
      <c r="G850" s="1" t="s">
        <v>213</v>
      </c>
      <c r="H850" s="1" t="s">
        <v>532</v>
      </c>
      <c r="I850" s="1" t="s">
        <v>612</v>
      </c>
      <c r="L850" s="15" t="s">
        <v>484</v>
      </c>
      <c r="M850" s="15" t="s">
        <v>1525</v>
      </c>
      <c r="N850" s="15">
        <v>1</v>
      </c>
      <c r="O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jesus_es_señor.html</v>
      </c>
      <c r="R850" s="1" t="s">
        <v>844</v>
      </c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850" s="15" t="str">
        <f>_xlfn.TEXTBEFORE(_xlfn.TEXTAFTER(CantoralDB[[#This Row],[index.html]],"&gt;"),"&gt;")&amp;"&gt;"</f>
        <v>&lt;a href="canciones/kairoi/jesus_es_señor.html"&gt;</v>
      </c>
    </row>
    <row r="851" spans="1:21" hidden="1" x14ac:dyDescent="0.3">
      <c r="A851" s="1">
        <f>ROW(CantoralDB[[#This Row],[Título]])-1</f>
        <v>850</v>
      </c>
      <c r="B851" s="1" t="s">
        <v>1612</v>
      </c>
      <c r="C851" s="1"/>
      <c r="I851" s="1" t="s">
        <v>612</v>
      </c>
      <c r="L851" s="15" t="s">
        <v>484</v>
      </c>
      <c r="M851" s="15" t="s">
        <v>1530</v>
      </c>
      <c r="N851" s="15">
        <v>1</v>
      </c>
      <c r="O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jesus_es_verdad.html</v>
      </c>
      <c r="R851" s="1"/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851" s="15" t="str">
        <f>_xlfn.TEXTBEFORE(_xlfn.TEXTAFTER(CantoralDB[[#This Row],[index.html]],"&gt;"),"&gt;")&amp;"&gt;"</f>
        <v>&lt;a href="canciones/kairoi/jesus_es_verdad.html"&gt;</v>
      </c>
    </row>
    <row r="852" spans="1:21" hidden="1" x14ac:dyDescent="0.3">
      <c r="A852" s="1">
        <f>ROW(CantoralDB[[#This Row],[Título]])-1</f>
        <v>851</v>
      </c>
      <c r="B852" s="1" t="s">
        <v>3445</v>
      </c>
      <c r="C852" s="1"/>
      <c r="F852" s="1">
        <v>107</v>
      </c>
      <c r="I852" s="1"/>
      <c r="L852" s="15" t="s">
        <v>574</v>
      </c>
      <c r="M852" s="15"/>
      <c r="N852" s="15"/>
      <c r="O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jesus_esta_en_ti.html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852" s="15" t="str">
        <f>_xlfn.TEXTBEFORE(_xlfn.TEXTAFTER(CantoralDB[[#This Row],[index.html]],"&gt;"),"&gt;")&amp;"&gt;"</f>
        <v>&lt;a href="canciones/pelayo_sanchez/jesus_esta_en_ti.html"&gt;</v>
      </c>
    </row>
    <row r="853" spans="1:21" hidden="1" x14ac:dyDescent="0.3">
      <c r="A853" s="1">
        <f>ROW(CantoralDB[[#This Row],[Título]])-1</f>
        <v>852</v>
      </c>
      <c r="B853" s="1" t="s">
        <v>225</v>
      </c>
      <c r="C853" s="1" t="s">
        <v>191</v>
      </c>
      <c r="D853" s="1" t="s">
        <v>746</v>
      </c>
      <c r="F853" s="1">
        <v>11</v>
      </c>
      <c r="G853" s="1" t="s">
        <v>216</v>
      </c>
      <c r="H853" s="1" t="s">
        <v>532</v>
      </c>
      <c r="I853" s="1" t="s">
        <v>612</v>
      </c>
      <c r="L853" s="15" t="s">
        <v>484</v>
      </c>
      <c r="M853" s="15" t="s">
        <v>1525</v>
      </c>
      <c r="N853" s="15">
        <v>3</v>
      </c>
      <c r="O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jesus_esta_entre_nosotros.html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853" s="15" t="str">
        <f>_xlfn.TEXTBEFORE(_xlfn.TEXTAFTER(CantoralDB[[#This Row],[index.html]],"&gt;"),"&gt;")&amp;"&gt;"</f>
        <v>&lt;a href="canciones/kairoi/jesus_esta_entre_nosotros.html"&gt;</v>
      </c>
    </row>
    <row r="854" spans="1:21" hidden="1" x14ac:dyDescent="0.3">
      <c r="A854" s="1">
        <f>ROW(CantoralDB[[#This Row],[Título]])-1</f>
        <v>853</v>
      </c>
      <c r="B854" s="1" t="s">
        <v>377</v>
      </c>
      <c r="C854" s="1" t="s">
        <v>1026</v>
      </c>
      <c r="D854" s="1" t="s">
        <v>1145</v>
      </c>
      <c r="H854" s="1" t="s">
        <v>1051</v>
      </c>
      <c r="I854" s="1" t="s">
        <v>612</v>
      </c>
      <c r="L854" s="15" t="s">
        <v>2201</v>
      </c>
      <c r="M854" s="15"/>
      <c r="N854" s="15"/>
      <c r="O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854" s="15" t="str">
        <f>_xlfn.TEXTBEFORE(_xlfn.TEXTAFTER(CantoralDB[[#This Row],[index.html]],"&gt;"),"&gt;")&amp;"&gt;"</f>
        <v>&lt;a href="canciones/taize/jesus_le_christ.html"&gt;</v>
      </c>
    </row>
    <row r="855" spans="1:21" hidden="1" x14ac:dyDescent="0.3">
      <c r="A855" s="1">
        <f>ROW(CantoralDB[[#This Row],[Título]])-1</f>
        <v>854</v>
      </c>
      <c r="B855" s="1" t="s">
        <v>3633</v>
      </c>
      <c r="C855" s="1"/>
      <c r="F855" s="1">
        <v>298</v>
      </c>
      <c r="I855" s="1"/>
      <c r="L855" s="15" t="s">
        <v>3634</v>
      </c>
      <c r="M855" s="15"/>
      <c r="N855" s="15"/>
      <c r="O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jesus_salvador.html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855" s="15" t="str">
        <f>_xlfn.TEXTBEFORE(_xlfn.TEXTAFTER(CantoralDB[[#This Row],[index.html]],"&gt;"),"&gt;")&amp;"&gt;"</f>
        <v>&lt;a href="canciones/nuevas/jesus_salvador.html"&gt;</v>
      </c>
    </row>
    <row r="856" spans="1:21" hidden="1" x14ac:dyDescent="0.3">
      <c r="A856" s="1">
        <f>ROW(CantoralDB[[#This Row],[Título]])-1</f>
        <v>855</v>
      </c>
      <c r="B856" s="1" t="s">
        <v>1689</v>
      </c>
      <c r="C856" s="1"/>
      <c r="I856" s="1" t="s">
        <v>612</v>
      </c>
      <c r="L856" s="15" t="s">
        <v>484</v>
      </c>
      <c r="M856" s="15" t="s">
        <v>1535</v>
      </c>
      <c r="N856" s="15">
        <v>4</v>
      </c>
      <c r="O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jesus_te_ama.html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href="canciones/kairoi/jesus_te_ama.html"&gt;Jesús te ama&lt;/a&gt;&lt;/li&gt;</v>
      </c>
      <c r="U856" s="15" t="str">
        <f>_xlfn.TEXTBEFORE(_xlfn.TEXTAFTER(CantoralDB[[#This Row],[index.html]],"&gt;"),"&gt;")&amp;"&gt;"</f>
        <v>&lt;a href="canciones/kairoi/jesus_te_ama.html"&gt;</v>
      </c>
    </row>
    <row r="857" spans="1:21" hidden="1" x14ac:dyDescent="0.3">
      <c r="A857" s="1">
        <f>ROW(CantoralDB[[#This Row],[Título]])-1</f>
        <v>856</v>
      </c>
      <c r="B857" s="1" t="s">
        <v>3514</v>
      </c>
      <c r="C857" s="1"/>
      <c r="F857" s="1">
        <v>168</v>
      </c>
      <c r="I857" s="1"/>
      <c r="L857" s="15" t="s">
        <v>3480</v>
      </c>
      <c r="M857" s="15"/>
      <c r="N857" s="15"/>
      <c r="O8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jesus_te_quiere_asi.html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857" s="15" t="str">
        <f>_xlfn.TEXTBEFORE(_xlfn.TEXTAFTER(CantoralDB[[#This Row],[index.html]],"&gt;"),"&gt;")&amp;"&gt;"</f>
        <v>&lt;a href="canciones/nuevas/jesus_te_quiere_asi.html"&gt;</v>
      </c>
    </row>
    <row r="858" spans="1:21" hidden="1" x14ac:dyDescent="0.3">
      <c r="A858" s="1">
        <f>ROW(CantoralDB[[#This Row],[Título]])-1</f>
        <v>857</v>
      </c>
      <c r="B858" s="1" t="s">
        <v>3629</v>
      </c>
      <c r="C858" s="1"/>
      <c r="F858" s="1">
        <v>296</v>
      </c>
      <c r="I858" s="1"/>
      <c r="L858" s="15" t="s">
        <v>3630</v>
      </c>
      <c r="M858" s="15"/>
      <c r="N858" s="15"/>
      <c r="O8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jesus_y_la_samaritana.html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858" s="15" t="str">
        <f>_xlfn.TEXTBEFORE(_xlfn.TEXTAFTER(CantoralDB[[#This Row],[index.html]],"&gt;"),"&gt;")&amp;"&gt;"</f>
        <v>&lt;a href="canciones/nuevas/jesus_y_la_samaritana.html"&gt;</v>
      </c>
    </row>
    <row r="859" spans="1:21" x14ac:dyDescent="0.3">
      <c r="A859" s="1">
        <f>ROW(CantoralDB[[#This Row],[Título]])-1</f>
        <v>858</v>
      </c>
      <c r="B859" s="1" t="s">
        <v>921</v>
      </c>
      <c r="C859" s="1" t="s">
        <v>1025</v>
      </c>
      <c r="D859" s="1" t="s">
        <v>1172</v>
      </c>
      <c r="H859" s="1" t="s">
        <v>1049</v>
      </c>
      <c r="I859" s="1" t="s">
        <v>612</v>
      </c>
      <c r="L859" s="15" t="s">
        <v>1991</v>
      </c>
      <c r="M859" s="15"/>
      <c r="N859" s="15"/>
      <c r="O8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59" s="1" t="s">
        <v>974</v>
      </c>
      <c r="S859" s="1" t="s">
        <v>379</v>
      </c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859" s="15" t="str">
        <f>_xlfn.TEXTBEFORE(_xlfn.TEXTAFTER(CantoralDB[[#This Row],[index.html]],"&gt;"),"&gt;")&amp;"&gt;"</f>
        <v>&lt;a href="canciones/taize/jesus_remember_me.html"&gt;</v>
      </c>
    </row>
    <row r="860" spans="1:21" hidden="1" x14ac:dyDescent="0.3">
      <c r="A860" s="1">
        <f>ROW(CantoralDB[[#This Row],[Título]])-1</f>
        <v>859</v>
      </c>
      <c r="B860" s="1" t="s">
        <v>256</v>
      </c>
      <c r="C860" s="1" t="s">
        <v>997</v>
      </c>
      <c r="D860" s="1" t="s">
        <v>719</v>
      </c>
      <c r="G860" s="1" t="s">
        <v>254</v>
      </c>
      <c r="H860" s="1" t="s">
        <v>1051</v>
      </c>
      <c r="I860" s="1" t="s">
        <v>612</v>
      </c>
      <c r="L860" s="15" t="s">
        <v>637</v>
      </c>
      <c r="M860" s="15"/>
      <c r="N860" s="15"/>
      <c r="O8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jesus_amigo.html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860" s="15" t="str">
        <f>_xlfn.TEXTBEFORE(_xlfn.TEXTAFTER(CantoralDB[[#This Row],[index.html]],"&gt;"),"&gt;")&amp;"&gt;"</f>
        <v>&lt;a href="canciones/nsb/jesus_amigo.html"&gt;</v>
      </c>
    </row>
    <row r="861" spans="1:21" hidden="1" x14ac:dyDescent="0.3">
      <c r="A861" s="1">
        <f>ROW(CantoralDB[[#This Row],[Título]])-1</f>
        <v>860</v>
      </c>
      <c r="B861" s="1" t="s">
        <v>1726</v>
      </c>
      <c r="C861" s="1"/>
      <c r="I861" s="1" t="s">
        <v>612</v>
      </c>
      <c r="L861" s="15" t="s">
        <v>484</v>
      </c>
      <c r="M861" s="15" t="s">
        <v>1540</v>
      </c>
      <c r="N861" s="15">
        <v>3</v>
      </c>
      <c r="O8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jesus_cambianos.html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861" s="15" t="str">
        <f>_xlfn.TEXTBEFORE(_xlfn.TEXTAFTER(CantoralDB[[#This Row],[index.html]],"&gt;"),"&gt;")&amp;"&gt;"</f>
        <v>&lt;a href="canciones/kairoi/jesus_cambianos.html"&gt;</v>
      </c>
    </row>
    <row r="862" spans="1:21" hidden="1" x14ac:dyDescent="0.3">
      <c r="A862" s="1">
        <f>ROW(CantoralDB[[#This Row],[Título]])-1</f>
        <v>861</v>
      </c>
      <c r="B862" s="1" t="s">
        <v>3533</v>
      </c>
      <c r="C862" s="1"/>
      <c r="F862" s="1">
        <v>186</v>
      </c>
      <c r="I862" s="1"/>
      <c r="L862" s="15" t="s">
        <v>3534</v>
      </c>
      <c r="M862" s="15"/>
      <c r="N862" s="15"/>
      <c r="O8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jesus_jesus_jesus.html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862" s="15" t="str">
        <f>_xlfn.TEXTBEFORE(_xlfn.TEXTAFTER(CantoralDB[[#This Row],[index.html]],"&gt;"),"&gt;")&amp;"&gt;"</f>
        <v>&lt;a href="canciones/nuevas/jesus_jesus_jesus.html"&gt;</v>
      </c>
    </row>
    <row r="863" spans="1:21" hidden="1" x14ac:dyDescent="0.3">
      <c r="A863" s="1">
        <f>ROW(CantoralDB[[#This Row],[Título]])-1</f>
        <v>862</v>
      </c>
      <c r="B863" s="1" t="s">
        <v>378</v>
      </c>
      <c r="C863" s="1" t="s">
        <v>1026</v>
      </c>
      <c r="D863" s="1" t="s">
        <v>1173</v>
      </c>
      <c r="H863" s="1" t="s">
        <v>533</v>
      </c>
      <c r="I863" s="1" t="s">
        <v>612</v>
      </c>
      <c r="L863" s="15" t="s">
        <v>2201</v>
      </c>
      <c r="M863" s="15"/>
      <c r="N863" s="15"/>
      <c r="O8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863" s="15" t="str">
        <f>_xlfn.TEXTBEFORE(_xlfn.TEXTAFTER(CantoralDB[[#This Row],[index.html]],"&gt;"),"&gt;")&amp;"&gt;"</f>
        <v>&lt;a href="canciones/taize/jesus_ma_joie.html"&gt;</v>
      </c>
    </row>
    <row r="864" spans="1:21" hidden="1" x14ac:dyDescent="0.3">
      <c r="A864" s="1">
        <f>ROW(CantoralDB[[#This Row],[Título]])-1</f>
        <v>863</v>
      </c>
      <c r="B864" s="1" t="s">
        <v>1738</v>
      </c>
      <c r="C864" s="1"/>
      <c r="I864" s="1"/>
      <c r="L864" s="15" t="s">
        <v>484</v>
      </c>
      <c r="M864" s="15" t="s">
        <v>1541</v>
      </c>
      <c r="N864" s="15">
        <v>7</v>
      </c>
      <c r="O8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jesus_maria_y_jose.html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864" s="15" t="str">
        <f>_xlfn.TEXTBEFORE(_xlfn.TEXTAFTER(CantoralDB[[#This Row],[index.html]],"&gt;"),"&gt;")&amp;"&gt;"</f>
        <v>&lt;a href="canciones/kairoi/jesus_maria_y_jose.html"&gt;</v>
      </c>
    </row>
    <row r="865" spans="1:21" x14ac:dyDescent="0.3">
      <c r="A865" s="1">
        <f>ROW(CantoralDB[[#This Row],[Título]])-1</f>
        <v>864</v>
      </c>
      <c r="B865" s="1" t="s">
        <v>920</v>
      </c>
      <c r="C865" s="1" t="s">
        <v>1025</v>
      </c>
      <c r="D865" s="1" t="s">
        <v>1173</v>
      </c>
      <c r="H865" s="1" t="s">
        <v>533</v>
      </c>
      <c r="I865" s="1" t="s">
        <v>612</v>
      </c>
      <c r="L865" s="15" t="s">
        <v>1991</v>
      </c>
      <c r="M865" s="15"/>
      <c r="N865" s="15"/>
      <c r="O8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65" s="1"/>
      <c r="S865" s="1" t="s">
        <v>378</v>
      </c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865" s="15" t="str">
        <f>_xlfn.TEXTBEFORE(_xlfn.TEXTAFTER(CantoralDB[[#This Row],[index.html]],"&gt;"),"&gt;")&amp;"&gt;"</f>
        <v>&lt;a href="canciones/taize/jesus_ma_joie.html"&gt;</v>
      </c>
    </row>
    <row r="866" spans="1:21" hidden="1" x14ac:dyDescent="0.3">
      <c r="A866" s="1">
        <f>ROW(CantoralDB[[#This Row],[Título]])-1</f>
        <v>865</v>
      </c>
      <c r="B866" s="1" t="s">
        <v>81</v>
      </c>
      <c r="C866" s="1" t="s">
        <v>997</v>
      </c>
      <c r="D866" s="1" t="s">
        <v>720</v>
      </c>
      <c r="E866" s="1">
        <v>144</v>
      </c>
      <c r="G866" s="1" t="s">
        <v>209</v>
      </c>
      <c r="H866" s="1" t="s">
        <v>532</v>
      </c>
      <c r="I866" s="1" t="s">
        <v>612</v>
      </c>
      <c r="L866" s="15" t="s">
        <v>2205</v>
      </c>
      <c r="M866" s="15"/>
      <c r="N866" s="15"/>
      <c r="O8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jesus_nuestra_pascua.html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866" s="15" t="str">
        <f>_xlfn.TEXTBEFORE(_xlfn.TEXTAFTER(CantoralDB[[#This Row],[index.html]],"&gt;"),"&gt;")&amp;"&gt;"</f>
        <v>&lt;a href="canciones/nsb/jesus_nuestra_pascua.html"&gt;</v>
      </c>
    </row>
    <row r="867" spans="1:21" hidden="1" x14ac:dyDescent="0.3">
      <c r="A867" s="1">
        <f>ROW(CantoralDB[[#This Row],[Título]])-1</f>
        <v>866</v>
      </c>
      <c r="B867" s="1" t="s">
        <v>3508</v>
      </c>
      <c r="C867" s="1"/>
      <c r="F867" s="1">
        <v>163</v>
      </c>
      <c r="I867" s="1"/>
      <c r="L867" s="15" t="s">
        <v>3458</v>
      </c>
      <c r="M867" s="15"/>
      <c r="N867" s="15"/>
      <c r="O8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8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8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jesus_quedate_aqui.html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867" s="15" t="str">
        <f>_xlfn.TEXTBEFORE(_xlfn.TEXTAFTER(CantoralDB[[#This Row],[index.html]],"&gt;"),"&gt;")&amp;"&gt;"</f>
        <v>&lt;a href="canciones/marta_gil-delgado/jesus_quedate_aqui.html"&gt;</v>
      </c>
    </row>
    <row r="868" spans="1:21" hidden="1" x14ac:dyDescent="0.3">
      <c r="A868" s="1">
        <f>ROW(CantoralDB[[#This Row],[Título]])-1</f>
        <v>867</v>
      </c>
      <c r="B868" s="1" t="s">
        <v>379</v>
      </c>
      <c r="C868" s="1" t="s">
        <v>1026</v>
      </c>
      <c r="D868" s="1" t="s">
        <v>1172</v>
      </c>
      <c r="H868" s="1" t="s">
        <v>1049</v>
      </c>
      <c r="I868" s="1" t="s">
        <v>612</v>
      </c>
      <c r="L868" s="15" t="s">
        <v>2201</v>
      </c>
      <c r="M868" s="15"/>
      <c r="N868" s="15"/>
      <c r="O8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868" s="15" t="str">
        <f>_xlfn.TEXTBEFORE(_xlfn.TEXTAFTER(CantoralDB[[#This Row],[index.html]],"&gt;"),"&gt;")&amp;"&gt;"</f>
        <v>&lt;a href="canciones/taize/jesus_remember_me.html"&gt;</v>
      </c>
    </row>
    <row r="869" spans="1:21" hidden="1" x14ac:dyDescent="0.3">
      <c r="A869" s="1">
        <f>ROW(CantoralDB[[#This Row],[Título]])-1</f>
        <v>868</v>
      </c>
      <c r="B869" s="1" t="s">
        <v>3715</v>
      </c>
      <c r="C869" s="1"/>
      <c r="F869" s="1">
        <v>377</v>
      </c>
      <c r="I869" s="1"/>
      <c r="L869" s="15" t="s">
        <v>3716</v>
      </c>
      <c r="M869" s="15"/>
      <c r="N869" s="15"/>
      <c r="O8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jesus_tengo_sed.html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869" s="15" t="str">
        <f>_xlfn.TEXTBEFORE(_xlfn.TEXTAFTER(CantoralDB[[#This Row],[index.html]],"&gt;"),"&gt;")&amp;"&gt;"</f>
        <v>&lt;a href="canciones/nuevas/jesus_tengo_sed.html"&gt;</v>
      </c>
    </row>
    <row r="870" spans="1:21" hidden="1" x14ac:dyDescent="0.3">
      <c r="A870" s="1">
        <f>ROW(CantoralDB[[#This Row],[Título]])-1</f>
        <v>869</v>
      </c>
      <c r="B870" s="1" t="s">
        <v>243</v>
      </c>
      <c r="C870" s="1" t="s">
        <v>997</v>
      </c>
      <c r="D870" s="1" t="s">
        <v>721</v>
      </c>
      <c r="G870" s="1" t="s">
        <v>220</v>
      </c>
      <c r="H870" s="1" t="s">
        <v>1037</v>
      </c>
      <c r="I870" s="1" t="s">
        <v>612</v>
      </c>
      <c r="L870" s="15" t="s">
        <v>482</v>
      </c>
      <c r="M870" s="15" t="s">
        <v>1893</v>
      </c>
      <c r="N870" s="15">
        <v>11</v>
      </c>
      <c r="O8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jesus_ven_tu.html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870" s="15" t="str">
        <f>_xlfn.TEXTBEFORE(_xlfn.TEXTAFTER(CantoralDB[[#This Row],[index.html]],"&gt;"),"&gt;")&amp;"&gt;"</f>
        <v>&lt;a href="canciones/toño_casado/jesus_ven_tu.html"&gt;</v>
      </c>
    </row>
    <row r="871" spans="1:21" hidden="1" x14ac:dyDescent="0.3">
      <c r="A871" s="1">
        <f>ROW(CantoralDB[[#This Row],[Título]])-1</f>
        <v>870</v>
      </c>
      <c r="B871" s="1" t="s">
        <v>1797</v>
      </c>
      <c r="C871" s="1"/>
      <c r="I871" s="1"/>
      <c r="L871" s="15" t="s">
        <v>501</v>
      </c>
      <c r="M871" s="15" t="s">
        <v>1547</v>
      </c>
      <c r="N871" s="15">
        <v>13</v>
      </c>
      <c r="O8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joaquina_emigrante.html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871" s="15" t="str">
        <f>_xlfn.TEXTBEFORE(_xlfn.TEXTAFTER(CantoralDB[[#This Row],[index.html]],"&gt;"),"&gt;")&amp;"&gt;"</f>
        <v>&lt;a href="canciones/ain_karem/joaquina_emigrante.html"&gt;</v>
      </c>
    </row>
    <row r="872" spans="1:21" hidden="1" x14ac:dyDescent="0.3">
      <c r="A872" s="1">
        <f>ROW(CantoralDB[[#This Row],[Título]])-1</f>
        <v>871</v>
      </c>
      <c r="B872" s="1" t="s">
        <v>380</v>
      </c>
      <c r="C872" s="1" t="s">
        <v>1026</v>
      </c>
      <c r="D872" s="1" t="s">
        <v>1118</v>
      </c>
      <c r="H872" s="1" t="s">
        <v>473</v>
      </c>
      <c r="I872" s="1" t="s">
        <v>612</v>
      </c>
      <c r="L872" s="15" t="s">
        <v>2201</v>
      </c>
      <c r="M872" s="15"/>
      <c r="N872" s="15"/>
      <c r="O8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872" s="15" t="str">
        <f>_xlfn.TEXTBEFORE(_xlfn.TEXTAFTER(CantoralDB[[#This Row],[index.html]],"&gt;"),"&gt;")&amp;"&gt;"</f>
        <v>&lt;a href="canciones/taize/jubelt_und_freut_euch.html"&gt;</v>
      </c>
    </row>
    <row r="873" spans="1:21" hidden="1" x14ac:dyDescent="0.3">
      <c r="A873" s="1">
        <f>ROW(CantoralDB[[#This Row],[Título]])-1</f>
        <v>872</v>
      </c>
      <c r="B873" s="1" t="s">
        <v>382</v>
      </c>
      <c r="C873" s="1" t="s">
        <v>1026</v>
      </c>
      <c r="D873" s="1" t="s">
        <v>1174</v>
      </c>
      <c r="H873" s="1" t="s">
        <v>1041</v>
      </c>
      <c r="I873" s="1" t="s">
        <v>612</v>
      </c>
      <c r="L873" s="15" t="s">
        <v>2201</v>
      </c>
      <c r="M873" s="15"/>
      <c r="N873" s="15"/>
      <c r="O8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873" s="15" t="str">
        <f>_xlfn.TEXTBEFORE(_xlfn.TEXTAFTER(CantoralDB[[#This Row],[index.html]],"&gt;"),"&gt;")&amp;"&gt;"</f>
        <v>&lt;a href="canciones/taize/jubilate_coeli_(canon).html"&gt;</v>
      </c>
    </row>
    <row r="874" spans="1:21" hidden="1" x14ac:dyDescent="0.3">
      <c r="A874" s="1">
        <f>ROW(CantoralDB[[#This Row],[Título]])-1</f>
        <v>873</v>
      </c>
      <c r="B874" s="1" t="s">
        <v>383</v>
      </c>
      <c r="C874" s="1" t="s">
        <v>1026</v>
      </c>
      <c r="D874" s="1" t="s">
        <v>1116</v>
      </c>
      <c r="H874" s="1" t="s">
        <v>1040</v>
      </c>
      <c r="I874" s="1" t="s">
        <v>612</v>
      </c>
      <c r="L874" s="15" t="s">
        <v>2201</v>
      </c>
      <c r="M874" s="15"/>
      <c r="N874" s="15"/>
      <c r="O8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874" s="15" t="str">
        <f>_xlfn.TEXTBEFORE(_xlfn.TEXTAFTER(CantoralDB[[#This Row],[index.html]],"&gt;"),"&gt;")&amp;"&gt;"</f>
        <v>&lt;a href="canciones/taize/jubilate_deo.html"&gt;</v>
      </c>
    </row>
    <row r="875" spans="1:21" x14ac:dyDescent="0.3">
      <c r="A875" s="1">
        <f>ROW(CantoralDB[[#This Row],[Título]])-1</f>
        <v>874</v>
      </c>
      <c r="B875" s="1" t="s">
        <v>923</v>
      </c>
      <c r="C875" s="1" t="s">
        <v>1025</v>
      </c>
      <c r="D875" s="1" t="s">
        <v>1174</v>
      </c>
      <c r="H875" s="1" t="s">
        <v>1041</v>
      </c>
      <c r="I875" s="1" t="s">
        <v>612</v>
      </c>
      <c r="L875" s="15" t="s">
        <v>1991</v>
      </c>
      <c r="M875" s="15"/>
      <c r="N875" s="15"/>
      <c r="O8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75" s="1"/>
      <c r="S875" s="1" t="s">
        <v>382</v>
      </c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875" s="15" t="str">
        <f>_xlfn.TEXTBEFORE(_xlfn.TEXTAFTER(CantoralDB[[#This Row],[index.html]],"&gt;"),"&gt;")&amp;"&gt;"</f>
        <v>&lt;a href="canciones/taize/jubilate_coeli_(canon).html"&gt;</v>
      </c>
    </row>
    <row r="876" spans="1:21" hidden="1" x14ac:dyDescent="0.3">
      <c r="A876" s="1">
        <f>ROW(CantoralDB[[#This Row],[Título]])-1</f>
        <v>875</v>
      </c>
      <c r="B876" s="1" t="s">
        <v>3140</v>
      </c>
      <c r="C876" s="1"/>
      <c r="I876" s="1" t="s">
        <v>612</v>
      </c>
      <c r="L876" s="15" t="s">
        <v>481</v>
      </c>
      <c r="M876" s="15" t="s">
        <v>1974</v>
      </c>
      <c r="N876" s="15">
        <v>1</v>
      </c>
      <c r="O8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junto_a_los_canales_de_babilonia.html</v>
      </c>
      <c r="R876" s="1" t="s">
        <v>3128</v>
      </c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876" s="15" t="str">
        <f>_xlfn.TEXTBEFORE(_xlfn.TEXTAFTER(CantoralDB[[#This Row],[index.html]],"&gt;"),"&gt;")&amp;"&gt;"</f>
        <v>&lt;a href="canciones/francisco_palazon/junto_a_los_canales_de_babilonia.html"&gt;</v>
      </c>
    </row>
    <row r="877" spans="1:21" hidden="1" x14ac:dyDescent="0.3">
      <c r="A877" s="1">
        <f>ROW(CantoralDB[[#This Row],[Título]])-1</f>
        <v>876</v>
      </c>
      <c r="B877" s="1" t="s">
        <v>1308</v>
      </c>
      <c r="C877" s="1"/>
      <c r="E877" s="1">
        <v>146</v>
      </c>
      <c r="I877" s="1"/>
      <c r="L877" s="15" t="s">
        <v>2156</v>
      </c>
      <c r="M877" s="15"/>
      <c r="N877" s="15"/>
      <c r="O8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junto_a_ti_al_caer_de_la_tarde.html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data-author="Arce" data-nold="146"&gt;&lt;a href="canciones/nsb/junto_a_ti_al_caer_de_la_tarde.html"&gt;Junto a ti al caer de la tarde&lt;/a&gt;&lt;/li&gt;</v>
      </c>
      <c r="U877" s="15" t="str">
        <f>_xlfn.TEXTBEFORE(_xlfn.TEXTAFTER(CantoralDB[[#This Row],[index.html]],"&gt;"),"&gt;")&amp;"&gt;"</f>
        <v>&lt;a href="canciones/nsb/junto_a_ti_al_caer_de_la_tarde.html"&gt;</v>
      </c>
    </row>
    <row r="878" spans="1:21" hidden="1" x14ac:dyDescent="0.3">
      <c r="A878" s="1">
        <f>ROW(CantoralDB[[#This Row],[Título]])-1</f>
        <v>877</v>
      </c>
      <c r="B878" s="1" t="s">
        <v>3074</v>
      </c>
      <c r="C878" s="1" t="s">
        <v>200</v>
      </c>
      <c r="D878" s="1" t="s">
        <v>1475</v>
      </c>
      <c r="G878" s="1" t="s">
        <v>216</v>
      </c>
      <c r="H878" s="1" t="s">
        <v>1034</v>
      </c>
      <c r="I878" s="1" t="s">
        <v>612</v>
      </c>
      <c r="L878" s="15" t="s">
        <v>3158</v>
      </c>
      <c r="M878" s="15"/>
      <c r="N878" s="15"/>
      <c r="O8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junto_a_ti_maria.html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878" s="15" t="str">
        <f>_xlfn.TEXTBEFORE(_xlfn.TEXTAFTER(CantoralDB[[#This Row],[index.html]],"&gt;"),"&gt;")&amp;"&gt;"</f>
        <v>&lt;a href="canciones/nsb/junto_a_ti_maria.html"&gt;</v>
      </c>
    </row>
    <row r="879" spans="1:21" hidden="1" x14ac:dyDescent="0.3">
      <c r="A879" s="1">
        <f>ROW(CantoralDB[[#This Row],[Título]])-1</f>
        <v>878</v>
      </c>
      <c r="B879" s="1" t="s">
        <v>1894</v>
      </c>
      <c r="C879" s="1" t="s">
        <v>195</v>
      </c>
      <c r="D879" s="1" t="s">
        <v>1476</v>
      </c>
      <c r="G879" s="1" t="s">
        <v>209</v>
      </c>
      <c r="H879" s="1" t="s">
        <v>1034</v>
      </c>
      <c r="I879" s="1" t="s">
        <v>612</v>
      </c>
      <c r="L879" s="15" t="s">
        <v>482</v>
      </c>
      <c r="M879" s="15" t="s">
        <v>1893</v>
      </c>
      <c r="N879" s="15">
        <v>6</v>
      </c>
      <c r="O8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junto_al_vino_y_al_pan.html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879" s="15" t="str">
        <f>_xlfn.TEXTBEFORE(_xlfn.TEXTAFTER(CantoralDB[[#This Row],[index.html]],"&gt;"),"&gt;")&amp;"&gt;"</f>
        <v>&lt;a href="canciones/toño_casado/junto_al_vino_y_al_pan.html"&gt;</v>
      </c>
    </row>
    <row r="880" spans="1:21" hidden="1" x14ac:dyDescent="0.3">
      <c r="A880" s="1">
        <f>ROW(CantoralDB[[#This Row],[Título]])-1</f>
        <v>879</v>
      </c>
      <c r="B880" s="1" t="s">
        <v>2053</v>
      </c>
      <c r="C880" s="1"/>
      <c r="I880" s="1"/>
      <c r="L880" s="15" t="s">
        <v>261</v>
      </c>
      <c r="M880" s="15"/>
      <c r="N880" s="15"/>
      <c r="O8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href="canciones/hakuna/juntos.html"&gt;Juntos&lt;/a&gt;&lt;/li&gt;</v>
      </c>
      <c r="U880" s="15" t="str">
        <f>_xlfn.TEXTBEFORE(_xlfn.TEXTAFTER(CantoralDB[[#This Row],[index.html]],"&gt;"),"&gt;")&amp;"&gt;"</f>
        <v>&lt;a href="canciones/hakuna/juntos.html"&gt;</v>
      </c>
    </row>
    <row r="881" spans="1:21" hidden="1" x14ac:dyDescent="0.3">
      <c r="A881" s="1">
        <f>ROW(CantoralDB[[#This Row],[Título]])-1</f>
        <v>880</v>
      </c>
      <c r="B881" s="1" t="s">
        <v>1395</v>
      </c>
      <c r="C881" s="1"/>
      <c r="E881" s="1">
        <v>305</v>
      </c>
      <c r="I881" s="1"/>
      <c r="L881" s="15" t="s">
        <v>799</v>
      </c>
      <c r="M881" s="15"/>
      <c r="N881" s="15"/>
      <c r="O8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juntos_cantaremos_con_la_voz_de_la_cancion.html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881" s="15" t="str">
        <f>_xlfn.TEXTBEFORE(_xlfn.TEXTAFTER(CantoralDB[[#This Row],[index.html]],"&gt;"),"&gt;")&amp;"&gt;"</f>
        <v>&lt;a href="canciones/nsb/juntos_cantaremos_con_la_voz_de_la_cancion.html"&gt;</v>
      </c>
    </row>
    <row r="882" spans="1:21" hidden="1" x14ac:dyDescent="0.3">
      <c r="A882" s="1">
        <f>ROW(CantoralDB[[#This Row],[Título]])-1</f>
        <v>881</v>
      </c>
      <c r="B882" s="1" t="s">
        <v>82</v>
      </c>
      <c r="C882" s="1" t="s">
        <v>997</v>
      </c>
      <c r="D882" s="1" t="s">
        <v>722</v>
      </c>
      <c r="E882" s="1">
        <v>143</v>
      </c>
      <c r="G882" s="1" t="s">
        <v>209</v>
      </c>
      <c r="H882" s="1" t="s">
        <v>532</v>
      </c>
      <c r="I882" s="1" t="s">
        <v>612</v>
      </c>
      <c r="L882" s="15" t="s">
        <v>2205</v>
      </c>
      <c r="M882" s="15"/>
      <c r="N882" s="15"/>
      <c r="O8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juntos_cantemos_hoy.html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882" s="15" t="str">
        <f>_xlfn.TEXTBEFORE(_xlfn.TEXTAFTER(CantoralDB[[#This Row],[index.html]],"&gt;"),"&gt;")&amp;"&gt;"</f>
        <v>&lt;a href="canciones/nsb/juntos_cantemos_hoy.html"&gt;</v>
      </c>
    </row>
    <row r="883" spans="1:21" hidden="1" x14ac:dyDescent="0.3">
      <c r="A883" s="1">
        <f>ROW(CantoralDB[[#This Row],[Título]])-1</f>
        <v>882</v>
      </c>
      <c r="B883" s="1" t="s">
        <v>83</v>
      </c>
      <c r="C883" s="1" t="s">
        <v>191</v>
      </c>
      <c r="D883" s="1" t="s">
        <v>747</v>
      </c>
      <c r="E883" s="1">
        <v>145</v>
      </c>
      <c r="G883" s="1" t="s">
        <v>209</v>
      </c>
      <c r="H883" s="1" t="s">
        <v>532</v>
      </c>
      <c r="I883" s="1" t="s">
        <v>612</v>
      </c>
      <c r="L883" s="15" t="s">
        <v>483</v>
      </c>
      <c r="M883" s="15"/>
      <c r="N883" s="15"/>
      <c r="O8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8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juntos_como_hermanos.html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883" s="15" t="str">
        <f>_xlfn.TEXTBEFORE(_xlfn.TEXTAFTER(CantoralDB[[#This Row],[index.html]],"&gt;"),"&gt;")&amp;"&gt;"</f>
        <v>&lt;a href="canciones/cesareo_gabarain/juntos_como_hermanos.html"&gt;</v>
      </c>
    </row>
    <row r="884" spans="1:21" hidden="1" x14ac:dyDescent="0.3">
      <c r="A884" s="1">
        <f>ROW(CantoralDB[[#This Row],[Título]])-1</f>
        <v>883</v>
      </c>
      <c r="B884" s="1" t="s">
        <v>572</v>
      </c>
      <c r="C884" s="1" t="s">
        <v>195</v>
      </c>
      <c r="D884" s="1" t="s">
        <v>769</v>
      </c>
      <c r="G884" s="1" t="s">
        <v>557</v>
      </c>
      <c r="H884" s="1" t="s">
        <v>1042</v>
      </c>
      <c r="I884" s="1" t="s">
        <v>612</v>
      </c>
      <c r="L884" s="15" t="s">
        <v>621</v>
      </c>
      <c r="M884" s="15"/>
      <c r="N884" s="15"/>
      <c r="O8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juntos_nos_acercamos.html</v>
      </c>
      <c r="R884" s="1"/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884" s="15" t="str">
        <f>_xlfn.TEXTBEFORE(_xlfn.TEXTAFTER(CantoralDB[[#This Row],[index.html]],"&gt;"),"&gt;")&amp;"&gt;"</f>
        <v>&lt;a href="canciones/nsb/juntos_nos_acercamos.html"&gt;</v>
      </c>
    </row>
    <row r="885" spans="1:21" hidden="1" x14ac:dyDescent="0.3">
      <c r="A885" s="1">
        <f>ROW(CantoralDB[[#This Row],[Título]])-1</f>
        <v>884</v>
      </c>
      <c r="B885" s="1" t="s">
        <v>1309</v>
      </c>
      <c r="C885" s="1"/>
      <c r="E885" s="1">
        <v>147</v>
      </c>
      <c r="I885" s="1"/>
      <c r="L885" s="15" t="s">
        <v>480</v>
      </c>
      <c r="M885" s="15"/>
      <c r="N885" s="15"/>
      <c r="O8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juventud_de_todos_los_paises.html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885" s="15" t="str">
        <f>_xlfn.TEXTBEFORE(_xlfn.TEXTAFTER(CantoralDB[[#This Row],[index.html]],"&gt;"),"&gt;")&amp;"&gt;"</f>
        <v>&lt;a href="canciones/juanjo_elezkano/juventud_de_todos_los_paises.html"&gt;</v>
      </c>
    </row>
    <row r="886" spans="1:21" hidden="1" x14ac:dyDescent="0.3">
      <c r="A886" s="1">
        <f>ROW(CantoralDB[[#This Row],[Título]])-1</f>
        <v>885</v>
      </c>
      <c r="B886" s="1" t="s">
        <v>1663</v>
      </c>
      <c r="C886" s="1"/>
      <c r="I886" s="1"/>
      <c r="L886" s="15" t="s">
        <v>484</v>
      </c>
      <c r="M886" s="15" t="s">
        <v>1531</v>
      </c>
      <c r="N886" s="15">
        <v>8</v>
      </c>
      <c r="O8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kenee_chineke_nna.html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886" s="15" t="str">
        <f>_xlfn.TEXTBEFORE(_xlfn.TEXTAFTER(CantoralDB[[#This Row],[index.html]],"&gt;"),"&gt;")&amp;"&gt;"</f>
        <v>&lt;a href="canciones/kairoi/kenee_chineke_nna.html"&gt;</v>
      </c>
    </row>
    <row r="887" spans="1:21" hidden="1" x14ac:dyDescent="0.3">
      <c r="A887" s="1">
        <f>ROW(CantoralDB[[#This Row],[Título]])-1</f>
        <v>886</v>
      </c>
      <c r="B887" s="1" t="s">
        <v>1665</v>
      </c>
      <c r="C887" s="1"/>
      <c r="I887" s="1"/>
      <c r="L887" s="15" t="s">
        <v>484</v>
      </c>
      <c r="M887" s="15" t="s">
        <v>1531</v>
      </c>
      <c r="N887" s="15">
        <v>10</v>
      </c>
      <c r="O8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ki_ki_ki.html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href="canciones/kairoi/ki_ki_ki.html"&gt;Ki ki ki&lt;/a&gt;&lt;/li&gt;</v>
      </c>
      <c r="U887" s="15" t="str">
        <f>_xlfn.TEXTBEFORE(_xlfn.TEXTAFTER(CantoralDB[[#This Row],[index.html]],"&gt;"),"&gt;")&amp;"&gt;"</f>
        <v>&lt;a href="canciones/kairoi/ki_ki_ki.html"&gt;</v>
      </c>
    </row>
    <row r="888" spans="1:21" hidden="1" x14ac:dyDescent="0.3">
      <c r="A888" s="1">
        <f>ROW(CantoralDB[[#This Row],[Título]])-1</f>
        <v>887</v>
      </c>
      <c r="B888" s="1" t="s">
        <v>1837</v>
      </c>
      <c r="C888" s="1"/>
      <c r="I888" s="1"/>
      <c r="L888" s="15" t="s">
        <v>501</v>
      </c>
      <c r="M888" s="15" t="s">
        <v>1551</v>
      </c>
      <c r="N888" s="15">
        <v>8</v>
      </c>
      <c r="O8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kolokoso.html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href="canciones/ain_karem/kolokoso.html"&gt;Kolokoso&lt;/a&gt;&lt;/li&gt;</v>
      </c>
      <c r="U888" s="15" t="str">
        <f>_xlfn.TEXTBEFORE(_xlfn.TEXTAFTER(CantoralDB[[#This Row],[index.html]],"&gt;"),"&gt;")&amp;"&gt;"</f>
        <v>&lt;a href="canciones/ain_karem/kolokoso.html"&gt;</v>
      </c>
    </row>
    <row r="889" spans="1:21" hidden="1" x14ac:dyDescent="0.3">
      <c r="A889" s="1">
        <f>ROW(CantoralDB[[#This Row],[Título]])-1</f>
        <v>888</v>
      </c>
      <c r="B889" s="1" t="s">
        <v>1659</v>
      </c>
      <c r="C889" s="1"/>
      <c r="I889" s="1"/>
      <c r="L889" s="15" t="s">
        <v>484</v>
      </c>
      <c r="M889" s="15" t="s">
        <v>1531</v>
      </c>
      <c r="N889" s="15">
        <v>4</v>
      </c>
      <c r="O8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kua_kua_kua.html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href="canciones/kairoi/kua_kua_kua.html"&gt;Kua, kua, kua&lt;/a&gt;&lt;/li&gt;</v>
      </c>
      <c r="U889" s="15" t="str">
        <f>_xlfn.TEXTBEFORE(_xlfn.TEXTAFTER(CantoralDB[[#This Row],[index.html]],"&gt;"),"&gt;")&amp;"&gt;"</f>
        <v>&lt;a href="canciones/kairoi/kua_kua_kua.html"&gt;</v>
      </c>
    </row>
    <row r="890" spans="1:21" hidden="1" x14ac:dyDescent="0.3">
      <c r="A890" s="1">
        <f>ROW(CantoralDB[[#This Row],[Título]])-1</f>
        <v>889</v>
      </c>
      <c r="B890" s="1" t="s">
        <v>386</v>
      </c>
      <c r="C890" s="1" t="s">
        <v>1026</v>
      </c>
      <c r="D890" s="1" t="s">
        <v>1175</v>
      </c>
      <c r="H890" s="1" t="s">
        <v>1039</v>
      </c>
      <c r="I890" s="1" t="s">
        <v>612</v>
      </c>
      <c r="L890" s="15" t="s">
        <v>2201</v>
      </c>
      <c r="M890" s="15"/>
      <c r="N890" s="15"/>
      <c r="O8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890" s="15" t="str">
        <f>_xlfn.TEXTBEFORE(_xlfn.TEXTAFTER(CantoralDB[[#This Row],[index.html]],"&gt;"),"&gt;")&amp;"&gt;"</f>
        <v>&lt;a href="canciones/taize/kyrie_1.html"&gt;</v>
      </c>
    </row>
    <row r="891" spans="1:21" hidden="1" x14ac:dyDescent="0.3">
      <c r="A891" s="1">
        <f>ROW(CantoralDB[[#This Row],[Título]])-1</f>
        <v>890</v>
      </c>
      <c r="B891" s="1" t="s">
        <v>399</v>
      </c>
      <c r="C891" s="1" t="s">
        <v>1026</v>
      </c>
      <c r="D891" s="1" t="s">
        <v>1176</v>
      </c>
      <c r="H891" s="1" t="s">
        <v>1046</v>
      </c>
      <c r="I891" s="1" t="s">
        <v>612</v>
      </c>
      <c r="L891" s="15" t="s">
        <v>2201</v>
      </c>
      <c r="M891" s="15"/>
      <c r="N891" s="15"/>
      <c r="O8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891" s="15" t="str">
        <f>_xlfn.TEXTBEFORE(_xlfn.TEXTAFTER(CantoralDB[[#This Row],[index.html]],"&gt;"),"&gt;")&amp;"&gt;"</f>
        <v>&lt;a href="canciones/taize/kyrie_20.html"&gt;</v>
      </c>
    </row>
    <row r="892" spans="1:21" hidden="1" x14ac:dyDescent="0.3">
      <c r="A892" s="1">
        <f>ROW(CantoralDB[[#This Row],[Título]])-1</f>
        <v>891</v>
      </c>
      <c r="B892" s="1" t="s">
        <v>388</v>
      </c>
      <c r="C892" s="1" t="s">
        <v>1026</v>
      </c>
      <c r="D892" s="1" t="s">
        <v>1177</v>
      </c>
      <c r="H892" s="1" t="s">
        <v>1066</v>
      </c>
      <c r="I892" s="1" t="s">
        <v>612</v>
      </c>
      <c r="L892" s="15" t="s">
        <v>2201</v>
      </c>
      <c r="M892" s="15"/>
      <c r="N892" s="15"/>
      <c r="O8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892" s="15" t="str">
        <f>_xlfn.TEXTBEFORE(_xlfn.TEXTAFTER(CantoralDB[[#This Row],[index.html]],"&gt;"),"&gt;")&amp;"&gt;"</f>
        <v>&lt;a href="canciones/taize/kyrie_6.html"&gt;</v>
      </c>
    </row>
    <row r="893" spans="1:21" hidden="1" x14ac:dyDescent="0.3">
      <c r="A893" s="1">
        <f>ROW(CantoralDB[[#This Row],[Título]])-1</f>
        <v>892</v>
      </c>
      <c r="B893" s="1" t="s">
        <v>390</v>
      </c>
      <c r="C893" s="1" t="s">
        <v>1026</v>
      </c>
      <c r="D893" s="1" t="s">
        <v>1178</v>
      </c>
      <c r="H893" s="1" t="s">
        <v>1051</v>
      </c>
      <c r="I893" s="1" t="s">
        <v>612</v>
      </c>
      <c r="L893" s="15" t="s">
        <v>2201</v>
      </c>
      <c r="M893" s="15"/>
      <c r="N893" s="15"/>
      <c r="O8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893" s="15" t="str">
        <f>_xlfn.TEXTBEFORE(_xlfn.TEXTAFTER(CantoralDB[[#This Row],[index.html]],"&gt;"),"&gt;")&amp;"&gt;"</f>
        <v>&lt;a href="canciones/taize/kyrie_8.html"&gt;</v>
      </c>
    </row>
    <row r="894" spans="1:21" hidden="1" x14ac:dyDescent="0.3">
      <c r="A894" s="1">
        <f>ROW(CantoralDB[[#This Row],[Título]])-1</f>
        <v>893</v>
      </c>
      <c r="B894" s="1" t="s">
        <v>2090</v>
      </c>
      <c r="C894" s="1"/>
      <c r="I894" s="1"/>
      <c r="L894" s="15" t="s">
        <v>481</v>
      </c>
      <c r="M894" s="15" t="s">
        <v>2097</v>
      </c>
      <c r="N894" s="15">
        <v>4</v>
      </c>
      <c r="O8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kyrie_eleison.html</v>
      </c>
      <c r="R894" s="1"/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894" s="15" t="str">
        <f>_xlfn.TEXTBEFORE(_xlfn.TEXTAFTER(CantoralDB[[#This Row],[index.html]],"&gt;"),"&gt;")&amp;"&gt;"</f>
        <v>&lt;a href="canciones/francisco_palazon/kyrie_eleison.html"&gt;</v>
      </c>
    </row>
    <row r="895" spans="1:21" hidden="1" x14ac:dyDescent="0.3">
      <c r="A895" s="1">
        <f>ROW(CantoralDB[[#This Row],[Título]])-1</f>
        <v>894</v>
      </c>
      <c r="B895" s="1" t="s">
        <v>401</v>
      </c>
      <c r="C895" s="1" t="s">
        <v>1026</v>
      </c>
      <c r="D895" s="1" t="s">
        <v>1179</v>
      </c>
      <c r="H895" s="1" t="s">
        <v>1082</v>
      </c>
      <c r="I895" s="1" t="s">
        <v>612</v>
      </c>
      <c r="L895" s="15" t="s">
        <v>2201</v>
      </c>
      <c r="M895" s="15"/>
      <c r="N895" s="15"/>
      <c r="O8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895" s="15" t="str">
        <f>_xlfn.TEXTBEFORE(_xlfn.TEXTAFTER(CantoralDB[[#This Row],[index.html]],"&gt;"),"&gt;")&amp;"&gt;"</f>
        <v>&lt;a href="canciones/taize/l’ajuda_em_vindrà.html"&gt;</v>
      </c>
    </row>
    <row r="896" spans="1:21" x14ac:dyDescent="0.3">
      <c r="A896" s="1">
        <f>ROW(CantoralDB[[#This Row],[Título]])-1</f>
        <v>895</v>
      </c>
      <c r="B896" s="1" t="s">
        <v>929</v>
      </c>
      <c r="C896" s="1" t="s">
        <v>1025</v>
      </c>
      <c r="D896" s="1" t="s">
        <v>1179</v>
      </c>
      <c r="H896" s="1" t="s">
        <v>1082</v>
      </c>
      <c r="I896" s="1" t="s">
        <v>612</v>
      </c>
      <c r="L896" s="15" t="s">
        <v>1991</v>
      </c>
      <c r="M896" s="15"/>
      <c r="N896" s="15"/>
      <c r="O8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96" s="1" t="s">
        <v>977</v>
      </c>
      <c r="S896" s="1" t="s">
        <v>401</v>
      </c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896" s="15" t="str">
        <f>_xlfn.TEXTBEFORE(_xlfn.TEXTAFTER(CantoralDB[[#This Row],[index.html]],"&gt;"),"&gt;")&amp;"&gt;"</f>
        <v>&lt;a href="canciones/taize/l’ajuda_em_vindrà.html"&gt;</v>
      </c>
    </row>
    <row r="897" spans="1:21" hidden="1" x14ac:dyDescent="0.3">
      <c r="A897" s="1">
        <f>ROW(CantoralDB[[#This Row],[Título]])-1</f>
        <v>896</v>
      </c>
      <c r="B897" s="1" t="s">
        <v>607</v>
      </c>
      <c r="C897" s="1" t="s">
        <v>201</v>
      </c>
      <c r="D897" s="1" t="s">
        <v>663</v>
      </c>
      <c r="G897" s="1" t="s">
        <v>557</v>
      </c>
      <c r="H897" s="1" t="s">
        <v>1034</v>
      </c>
      <c r="I897" s="1" t="s">
        <v>612</v>
      </c>
      <c r="L897" s="15" t="s">
        <v>484</v>
      </c>
      <c r="M897" s="15" t="s">
        <v>1532</v>
      </c>
      <c r="N897" s="15">
        <v>1</v>
      </c>
      <c r="O8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la_bondad_y_el_amor_del_señor.html</v>
      </c>
      <c r="R897" s="1" t="s">
        <v>845</v>
      </c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897" s="15" t="str">
        <f>_xlfn.TEXTBEFORE(_xlfn.TEXTAFTER(CantoralDB[[#This Row],[index.html]],"&gt;"),"&gt;")&amp;"&gt;"</f>
        <v>&lt;a href="canciones/kairoi/la_bondad_y_el_amor_del_señor.html"&gt;</v>
      </c>
    </row>
    <row r="898" spans="1:21" hidden="1" x14ac:dyDescent="0.3">
      <c r="A898" s="1">
        <f>ROW(CantoralDB[[#This Row],[Título]])-1</f>
        <v>897</v>
      </c>
      <c r="B898" s="1" t="s">
        <v>3471</v>
      </c>
      <c r="C898" s="1"/>
      <c r="F898" s="1">
        <v>128</v>
      </c>
      <c r="I898" s="1"/>
      <c r="L898" s="15" t="s">
        <v>3472</v>
      </c>
      <c r="M898" s="15"/>
      <c r="N898" s="15"/>
      <c r="O8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la_cancion_del_espiritu.html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898" s="15" t="str">
        <f>_xlfn.TEXTBEFORE(_xlfn.TEXTAFTER(CantoralDB[[#This Row],[index.html]],"&gt;"),"&gt;")&amp;"&gt;"</f>
        <v>&lt;a href="canciones/nuevas/la_cancion_del_espiritu.html"&gt;</v>
      </c>
    </row>
    <row r="899" spans="1:21" hidden="1" x14ac:dyDescent="0.3">
      <c r="A899" s="1">
        <f>ROW(CantoralDB[[#This Row],[Título]])-1</f>
        <v>898</v>
      </c>
      <c r="B899" s="1" t="s">
        <v>84</v>
      </c>
      <c r="C899" s="1" t="s">
        <v>195</v>
      </c>
      <c r="D899" s="1" t="s">
        <v>770</v>
      </c>
      <c r="E899" s="1">
        <v>431</v>
      </c>
      <c r="G899" s="1" t="s">
        <v>209</v>
      </c>
      <c r="H899" s="1" t="s">
        <v>532</v>
      </c>
      <c r="I899" s="1" t="s">
        <v>612</v>
      </c>
      <c r="L899" s="15" t="s">
        <v>521</v>
      </c>
      <c r="M899" s="15"/>
      <c r="N899" s="15"/>
      <c r="O8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la_cena_del_señor.html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899" s="15" t="str">
        <f>_xlfn.TEXTBEFORE(_xlfn.TEXTAFTER(CantoralDB[[#This Row],[index.html]],"&gt;"),"&gt;")&amp;"&gt;"</f>
        <v>&lt;a href="canciones/nsb/la_cena_del_señor.html"&gt;</v>
      </c>
    </row>
    <row r="900" spans="1:21" hidden="1" x14ac:dyDescent="0.3">
      <c r="A900" s="1">
        <f>ROW(CantoralDB[[#This Row],[Título]])-1</f>
        <v>899</v>
      </c>
      <c r="B900" s="1" t="s">
        <v>2050</v>
      </c>
      <c r="C900" s="1"/>
      <c r="I900" s="1"/>
      <c r="L900" s="15" t="s">
        <v>261</v>
      </c>
      <c r="M900" s="15"/>
      <c r="N900" s="15"/>
      <c r="O9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la_fila.html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href="canciones/hakuna/la_fila.html"&gt;La fila&lt;/a&gt;&lt;/li&gt;</v>
      </c>
      <c r="U900" s="15" t="str">
        <f>_xlfn.TEXTBEFORE(_xlfn.TEXTAFTER(CantoralDB[[#This Row],[index.html]],"&gt;"),"&gt;")&amp;"&gt;"</f>
        <v>&lt;a href="canciones/hakuna/la_fila.html"&gt;</v>
      </c>
    </row>
    <row r="901" spans="1:21" hidden="1" x14ac:dyDescent="0.3">
      <c r="A901" s="1">
        <f>ROW(CantoralDB[[#This Row],[Título]])-1</f>
        <v>900</v>
      </c>
      <c r="B901" s="1" t="s">
        <v>1955</v>
      </c>
      <c r="C901" s="1"/>
      <c r="I901" s="1" t="s">
        <v>612</v>
      </c>
      <c r="L901" s="15" t="s">
        <v>484</v>
      </c>
      <c r="M901" s="15" t="s">
        <v>1536</v>
      </c>
      <c r="N901" s="15">
        <v>4</v>
      </c>
      <c r="O9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la_libertad_del_espiritu.html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901" s="15" t="str">
        <f>_xlfn.TEXTBEFORE(_xlfn.TEXTAFTER(CantoralDB[[#This Row],[index.html]],"&gt;"),"&gt;")&amp;"&gt;"</f>
        <v>&lt;a href="canciones/kairoi/la_libertad_del_espiritu.html"&gt;</v>
      </c>
    </row>
    <row r="902" spans="1:21" hidden="1" x14ac:dyDescent="0.3">
      <c r="A902" s="1">
        <f>ROW(CantoralDB[[#This Row],[Título]])-1</f>
        <v>901</v>
      </c>
      <c r="B902" s="1" t="s">
        <v>3116</v>
      </c>
      <c r="C902" s="1"/>
      <c r="I902" s="1" t="s">
        <v>612</v>
      </c>
      <c r="L902" s="15" t="s">
        <v>2200</v>
      </c>
      <c r="M902" s="15"/>
      <c r="N902" s="15"/>
      <c r="O9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la_marimorena.html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902" s="15" t="str">
        <f>_xlfn.TEXTBEFORE(_xlfn.TEXTAFTER(CantoralDB[[#This Row],[index.html]],"&gt;"),"&gt;")&amp;"&gt;"</f>
        <v>&lt;a href="canciones/villancicos/la_marimorena.html"&gt;</v>
      </c>
    </row>
    <row r="903" spans="1:21" hidden="1" x14ac:dyDescent="0.3">
      <c r="A903" s="1">
        <f>ROW(CantoralDB[[#This Row],[Título]])-1</f>
        <v>902</v>
      </c>
      <c r="B903" s="1" t="s">
        <v>1269</v>
      </c>
      <c r="C903" s="1"/>
      <c r="E903" s="1">
        <v>306</v>
      </c>
      <c r="I903" s="1"/>
      <c r="L903" s="15" t="s">
        <v>799</v>
      </c>
      <c r="M903" s="15"/>
      <c r="N903" s="15"/>
      <c r="O9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la_misa_es_una_fiesta_muy_alegre.html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data-nold="306"&gt;&lt;a href="canciones/nsb/la_misa_es_una_fiesta_muy_alegre.html"&gt;La Misa es una fiesta muy alegre&lt;/a&gt;&lt;/li&gt;</v>
      </c>
      <c r="U903" s="15" t="str">
        <f>_xlfn.TEXTBEFORE(_xlfn.TEXTAFTER(CantoralDB[[#This Row],[index.html]],"&gt;"),"&gt;")&amp;"&gt;"</f>
        <v>&lt;a href="canciones/nsb/la_misa_es_una_fiesta_muy_alegre.html"&gt;</v>
      </c>
    </row>
    <row r="904" spans="1:21" hidden="1" x14ac:dyDescent="0.3">
      <c r="A904" s="1">
        <f>ROW(CantoralDB[[#This Row],[Título]])-1</f>
        <v>903</v>
      </c>
      <c r="B904" s="1" t="s">
        <v>1270</v>
      </c>
      <c r="C904" s="1"/>
      <c r="E904" s="1">
        <v>307</v>
      </c>
      <c r="I904" s="1"/>
      <c r="L904" s="15" t="s">
        <v>799</v>
      </c>
      <c r="M904" s="15"/>
      <c r="N904" s="15"/>
      <c r="O9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la_misa_no_termina_aqui_en_la_iglesia.html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data-nold="307"&gt;&lt;a href="canciones/nsb/la_misa_no_termina_aqui_en_la_iglesia.html"&gt;La Misa no termina aquí en la iglesia&lt;/a&gt;&lt;/li&gt;</v>
      </c>
      <c r="U904" s="15" t="str">
        <f>_xlfn.TEXTBEFORE(_xlfn.TEXTAFTER(CantoralDB[[#This Row],[index.html]],"&gt;"),"&gt;")&amp;"&gt;"</f>
        <v>&lt;a href="canciones/nsb/la_misa_no_termina_aqui_en_la_iglesia.html"&gt;</v>
      </c>
    </row>
    <row r="905" spans="1:21" x14ac:dyDescent="0.3">
      <c r="A905" s="1">
        <f>ROW(CantoralDB[[#This Row],[Título]])-1</f>
        <v>904</v>
      </c>
      <c r="B905" s="1" t="s">
        <v>933</v>
      </c>
      <c r="C905" s="1" t="s">
        <v>1025</v>
      </c>
      <c r="D905" s="1" t="s">
        <v>1180</v>
      </c>
      <c r="E905" s="1">
        <v>157</v>
      </c>
      <c r="H905" s="1" t="s">
        <v>1069</v>
      </c>
      <c r="I905" s="1" t="s">
        <v>612</v>
      </c>
      <c r="L905" s="15" t="s">
        <v>1991</v>
      </c>
      <c r="M905" s="15"/>
      <c r="N905" s="15"/>
      <c r="O9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905" s="1" t="s">
        <v>981</v>
      </c>
      <c r="S905" s="1" t="s">
        <v>413</v>
      </c>
      <c r="T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905" s="15" t="str">
        <f>_xlfn.TEXTBEFORE(_xlfn.TEXTAFTER(CantoralDB[[#This Row],[index.html]],"&gt;"),"&gt;")&amp;"&gt;"</f>
        <v>&lt;a href="canciones/taize/misericordias_domini.html"&gt;</v>
      </c>
    </row>
    <row r="906" spans="1:21" hidden="1" x14ac:dyDescent="0.3">
      <c r="A906" s="1">
        <f>ROW(CantoralDB[[#This Row],[Título]])-1</f>
        <v>905</v>
      </c>
      <c r="B906" s="1" t="s">
        <v>1840</v>
      </c>
      <c r="C906" s="1"/>
      <c r="I906" s="1" t="s">
        <v>612</v>
      </c>
      <c r="L906" s="15" t="s">
        <v>501</v>
      </c>
      <c r="M906" s="15" t="s">
        <v>1551</v>
      </c>
      <c r="N906" s="15">
        <v>11</v>
      </c>
      <c r="O9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la_moneda_perdida.html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906" s="15" t="str">
        <f>_xlfn.TEXTBEFORE(_xlfn.TEXTAFTER(CantoralDB[[#This Row],[index.html]],"&gt;"),"&gt;")&amp;"&gt;"</f>
        <v>&lt;a href="canciones/ain_karem/la_moneda_perdida.html"&gt;</v>
      </c>
    </row>
    <row r="907" spans="1:21" hidden="1" x14ac:dyDescent="0.3">
      <c r="A907" s="1">
        <f>ROW(CantoralDB[[#This Row],[Título]])-1</f>
        <v>906</v>
      </c>
      <c r="B907" s="1" t="s">
        <v>1838</v>
      </c>
      <c r="C907" s="1"/>
      <c r="I907" s="1" t="s">
        <v>612</v>
      </c>
      <c r="L907" s="15" t="s">
        <v>501</v>
      </c>
      <c r="M907" s="15" t="s">
        <v>1551</v>
      </c>
      <c r="N907" s="15">
        <v>9</v>
      </c>
      <c r="O9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la_mujer_cananea.html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907" s="15" t="str">
        <f>_xlfn.TEXTBEFORE(_xlfn.TEXTAFTER(CantoralDB[[#This Row],[index.html]],"&gt;"),"&gt;")&amp;"&gt;"</f>
        <v>&lt;a href="canciones/ain_karem/la_mujer_cananea.html"&gt;</v>
      </c>
    </row>
    <row r="908" spans="1:21" hidden="1" x14ac:dyDescent="0.3">
      <c r="A908" s="1">
        <f>ROW(CantoralDB[[#This Row],[Título]])-1</f>
        <v>907</v>
      </c>
      <c r="B908" s="1" t="s">
        <v>1818</v>
      </c>
      <c r="C908" s="1"/>
      <c r="I908" s="1" t="s">
        <v>612</v>
      </c>
      <c r="L908" s="15" t="s">
        <v>501</v>
      </c>
      <c r="M908" s="15" t="s">
        <v>1549</v>
      </c>
      <c r="N908" s="15">
        <v>12</v>
      </c>
      <c r="O9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la_mujer_del_perfume.html</v>
      </c>
      <c r="R908" s="1"/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908" s="15" t="str">
        <f>_xlfn.TEXTBEFORE(_xlfn.TEXTAFTER(CantoralDB[[#This Row],[index.html]],"&gt;"),"&gt;")&amp;"&gt;"</f>
        <v>&lt;a href="canciones/ain_karem/la_mujer_del_perfume.html"&gt;</v>
      </c>
    </row>
    <row r="909" spans="1:21" hidden="1" x14ac:dyDescent="0.3">
      <c r="A909" s="1">
        <f>ROW(CantoralDB[[#This Row],[Título]])-1</f>
        <v>908</v>
      </c>
      <c r="B909" s="1" t="s">
        <v>3209</v>
      </c>
      <c r="C909" s="1"/>
      <c r="I909" s="1"/>
      <c r="L909" s="15" t="s">
        <v>3160</v>
      </c>
      <c r="M909" s="15" t="s">
        <v>3190</v>
      </c>
      <c r="N909" s="15">
        <v>5</v>
      </c>
      <c r="O9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la_mujer_y_el_dragon.html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href="canciones/hermana_glenda/la_mujer_y_el_dragon.html"&gt;La mujer y el dragón&lt;/a&gt;&lt;/li&gt;</v>
      </c>
      <c r="U909" s="15" t="str">
        <f>_xlfn.TEXTBEFORE(_xlfn.TEXTAFTER(CantoralDB[[#This Row],[index.html]],"&gt;"),"&gt;")&amp;"&gt;"</f>
        <v>&lt;a href="canciones/hermana_glenda/la_mujer_y_el_dragon.html"&gt;</v>
      </c>
    </row>
    <row r="910" spans="1:21" hidden="1" x14ac:dyDescent="0.3">
      <c r="A910" s="1">
        <f>ROW(CantoralDB[[#This Row],[Título]])-1</f>
        <v>909</v>
      </c>
      <c r="B910" s="1" t="s">
        <v>1700</v>
      </c>
      <c r="C910" s="1"/>
      <c r="I910" s="1"/>
      <c r="L910" s="15" t="s">
        <v>484</v>
      </c>
      <c r="M910" s="15" t="s">
        <v>1578</v>
      </c>
      <c r="N910" s="15">
        <v>6</v>
      </c>
      <c r="O9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910" s="1"/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href="canciones/kairoi/la_mula.html"&gt;La mula&lt;/a&gt;&lt;/li&gt;</v>
      </c>
      <c r="U910" s="15" t="str">
        <f>_xlfn.TEXTBEFORE(_xlfn.TEXTAFTER(CantoralDB[[#This Row],[index.html]],"&gt;"),"&gt;")&amp;"&gt;"</f>
        <v>&lt;a href="canciones/kairoi/la_mula.html"&gt;</v>
      </c>
    </row>
    <row r="911" spans="1:21" hidden="1" x14ac:dyDescent="0.3">
      <c r="A911" s="1">
        <f>ROW(CantoralDB[[#This Row],[Título]])-1</f>
        <v>910</v>
      </c>
      <c r="B911" s="1" t="s">
        <v>1700</v>
      </c>
      <c r="C911" s="15"/>
      <c r="I911" s="1" t="s">
        <v>612</v>
      </c>
      <c r="L911" s="15" t="s">
        <v>2200</v>
      </c>
      <c r="M911" s="15"/>
      <c r="N911" s="15"/>
      <c r="O9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href="canciones/villancicos/la_mula.html"&gt;La mula&lt;/a&gt;&lt;/li&gt;</v>
      </c>
      <c r="U911" s="15" t="str">
        <f>_xlfn.TEXTBEFORE(_xlfn.TEXTAFTER(CantoralDB[[#This Row],[index.html]],"&gt;"),"&gt;")&amp;"&gt;"</f>
        <v>&lt;a href="canciones/villancicos/la_mula.html"&gt;</v>
      </c>
    </row>
    <row r="912" spans="1:21" hidden="1" x14ac:dyDescent="0.3">
      <c r="A912" s="1">
        <f>ROW(CantoralDB[[#This Row],[Título]])-1</f>
        <v>911</v>
      </c>
      <c r="B912" s="1" t="s">
        <v>1312</v>
      </c>
      <c r="C912" s="1"/>
      <c r="E912" s="1">
        <v>150</v>
      </c>
      <c r="I912" s="1"/>
      <c r="L912" s="15" t="s">
        <v>2153</v>
      </c>
      <c r="M912" s="15"/>
      <c r="N912" s="15"/>
      <c r="O9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la_noticia_es_amor.html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912" s="15" t="str">
        <f>_xlfn.TEXTBEFORE(_xlfn.TEXTAFTER(CantoralDB[[#This Row],[index.html]],"&gt;"),"&gt;")&amp;"&gt;"</f>
        <v>&lt;a href="canciones/nsb/la_noticia_es_amor.html"&gt;</v>
      </c>
    </row>
    <row r="913" spans="1:21" hidden="1" x14ac:dyDescent="0.3">
      <c r="A913" s="1">
        <f>ROW(CantoralDB[[#This Row],[Título]])-1</f>
        <v>912</v>
      </c>
      <c r="B913" s="1" t="s">
        <v>2110</v>
      </c>
      <c r="C913" s="1"/>
      <c r="I913" s="1"/>
      <c r="L913" s="15" t="s">
        <v>481</v>
      </c>
      <c r="M913" s="15" t="s">
        <v>2104</v>
      </c>
      <c r="N913" s="15">
        <v>5</v>
      </c>
      <c r="O9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la_oveja_negra.html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913" s="15" t="str">
        <f>_xlfn.TEXTBEFORE(_xlfn.TEXTAFTER(CantoralDB[[#This Row],[index.html]],"&gt;"),"&gt;")&amp;"&gt;"</f>
        <v>&lt;a href="canciones/francisco_palazon/la_oveja_negra.html"&gt;</v>
      </c>
    </row>
    <row r="914" spans="1:21" hidden="1" x14ac:dyDescent="0.3">
      <c r="A914" s="1">
        <f>ROW(CantoralDB[[#This Row],[Título]])-1</f>
        <v>913</v>
      </c>
      <c r="B914" s="1" t="s">
        <v>1314</v>
      </c>
      <c r="C914" s="1"/>
      <c r="E914" s="1">
        <v>153</v>
      </c>
      <c r="I914" s="1"/>
      <c r="L914" s="15" t="s">
        <v>799</v>
      </c>
      <c r="M914" s="15"/>
      <c r="N914" s="15"/>
      <c r="O9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la_palabra_nos_la_dio_el_señor.html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data-nold="153"&gt;&lt;a href="canciones/nsb/la_palabra_nos_la_dio_el_señor.html"&gt;La palabra nos la dio el Señor&lt;/a&gt;&lt;/li&gt;</v>
      </c>
      <c r="U914" s="15" t="str">
        <f>_xlfn.TEXTBEFORE(_xlfn.TEXTAFTER(CantoralDB[[#This Row],[index.html]],"&gt;"),"&gt;")&amp;"&gt;"</f>
        <v>&lt;a href="canciones/nsb/la_palabra_nos_la_dio_el_señor.html"&gt;</v>
      </c>
    </row>
    <row r="915" spans="1:21" hidden="1" x14ac:dyDescent="0.3">
      <c r="A915" s="1">
        <f>ROW(CantoralDB[[#This Row],[Título]])-1</f>
        <v>914</v>
      </c>
      <c r="B915" s="1" t="s">
        <v>3546</v>
      </c>
      <c r="C915" s="1"/>
      <c r="F915" s="1">
        <v>200</v>
      </c>
      <c r="I915" s="1"/>
      <c r="L915" s="15" t="s">
        <v>579</v>
      </c>
      <c r="M915" s="15"/>
      <c r="N915" s="15"/>
      <c r="O9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la_pancita.html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915" s="15" t="str">
        <f>_xlfn.TEXTBEFORE(_xlfn.TEXTAFTER(CantoralDB[[#This Row],[index.html]],"&gt;"),"&gt;")&amp;"&gt;"</f>
        <v>&lt;a href="canciones/nuevas/la_pancita.html"&gt;</v>
      </c>
    </row>
    <row r="916" spans="1:21" hidden="1" x14ac:dyDescent="0.3">
      <c r="A916" s="1">
        <f>ROW(CantoralDB[[#This Row],[Título]])-1</f>
        <v>915</v>
      </c>
      <c r="B916" s="1" t="s">
        <v>3747</v>
      </c>
      <c r="C916" s="1"/>
      <c r="F916" s="1">
        <v>403</v>
      </c>
      <c r="I916" s="1"/>
      <c r="L916" s="15" t="s">
        <v>799</v>
      </c>
      <c r="M916" s="15"/>
      <c r="N916" s="15"/>
      <c r="O9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la_paz_este_con_nosotros.html</v>
      </c>
      <c r="R916" s="1"/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916" s="15" t="str">
        <f>_xlfn.TEXTBEFORE(_xlfn.TEXTAFTER(CantoralDB[[#This Row],[index.html]],"&gt;"),"&gt;")&amp;"&gt;"</f>
        <v>&lt;a href="canciones/nuevas/la_paz_este_con_nosotros.html"&gt;</v>
      </c>
    </row>
    <row r="917" spans="1:21" hidden="1" x14ac:dyDescent="0.3">
      <c r="A917" s="1">
        <f>ROW(CantoralDB[[#This Row],[Título]])-1</f>
        <v>916</v>
      </c>
      <c r="B917" s="1" t="s">
        <v>233</v>
      </c>
      <c r="C917" s="1" t="s">
        <v>198</v>
      </c>
      <c r="D917" s="1" t="s">
        <v>1477</v>
      </c>
      <c r="G917" s="1" t="s">
        <v>213</v>
      </c>
      <c r="H917" s="1" t="s">
        <v>1053</v>
      </c>
      <c r="I917" s="1" t="s">
        <v>612</v>
      </c>
      <c r="L917" s="15" t="s">
        <v>799</v>
      </c>
      <c r="M917" s="15"/>
      <c r="N917" s="15"/>
      <c r="O9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la_paz_te_doy.html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917" s="15" t="str">
        <f>_xlfn.TEXTBEFORE(_xlfn.TEXTAFTER(CantoralDB[[#This Row],[index.html]],"&gt;"),"&gt;")&amp;"&gt;"</f>
        <v>&lt;a href="canciones/nsb/la_paz_te_doy.html"&gt;</v>
      </c>
    </row>
    <row r="918" spans="1:21" hidden="1" x14ac:dyDescent="0.3">
      <c r="A918" s="1">
        <f>ROW(CantoralDB[[#This Row],[Título]])-1</f>
        <v>917</v>
      </c>
      <c r="B918" s="1" t="s">
        <v>1868</v>
      </c>
      <c r="C918" s="1"/>
      <c r="I918" s="1" t="s">
        <v>612</v>
      </c>
      <c r="L918" s="15" t="s">
        <v>501</v>
      </c>
      <c r="M918" s="15" t="s">
        <v>1554</v>
      </c>
      <c r="N918" s="15">
        <v>16</v>
      </c>
      <c r="O9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la_piedra_angular.html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918" s="15" t="str">
        <f>_xlfn.TEXTBEFORE(_xlfn.TEXTAFTER(CantoralDB[[#This Row],[index.html]],"&gt;"),"&gt;")&amp;"&gt;"</f>
        <v>&lt;a href="canciones/ain_karem/la_piedra_angular.html"&gt;</v>
      </c>
    </row>
    <row r="919" spans="1:21" hidden="1" x14ac:dyDescent="0.3">
      <c r="A919" s="1">
        <f>ROW(CantoralDB[[#This Row],[Título]])-1</f>
        <v>918</v>
      </c>
      <c r="B919" s="1" t="s">
        <v>2027</v>
      </c>
      <c r="C919" s="1"/>
      <c r="I919" s="1" t="s">
        <v>612</v>
      </c>
      <c r="L919" s="15" t="s">
        <v>261</v>
      </c>
      <c r="M919" s="15"/>
      <c r="N919" s="15"/>
      <c r="O9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la_piel_por_ti.html</v>
      </c>
      <c r="R919" s="1"/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919" s="15" t="str">
        <f>_xlfn.TEXTBEFORE(_xlfn.TEXTAFTER(CantoralDB[[#This Row],[index.html]],"&gt;"),"&gt;")&amp;"&gt;"</f>
        <v>&lt;a href="canciones/hakuna/la_piel_por_ti.html"&gt;</v>
      </c>
    </row>
    <row r="920" spans="1:21" hidden="1" x14ac:dyDescent="0.3">
      <c r="A920" s="1">
        <f>ROW(CantoralDB[[#This Row],[Título]])-1</f>
        <v>919</v>
      </c>
      <c r="B920" s="1" t="s">
        <v>3321</v>
      </c>
      <c r="C920" s="1"/>
      <c r="I920" s="1"/>
      <c r="L920" s="15" t="s">
        <v>499</v>
      </c>
      <c r="M920" s="15" t="s">
        <v>3316</v>
      </c>
      <c r="N920" s="15">
        <v>5</v>
      </c>
      <c r="O9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la_piscina_probatica.html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920" s="15" t="str">
        <f>_xlfn.TEXTBEFORE(_xlfn.TEXTAFTER(CantoralDB[[#This Row],[index.html]],"&gt;"),"&gt;")&amp;"&gt;"</f>
        <v>&lt;a href="canciones/brotes_de_olivo/la_piscina_probatica.html"&gt;</v>
      </c>
    </row>
    <row r="921" spans="1:21" hidden="1" x14ac:dyDescent="0.3">
      <c r="A921" s="1">
        <f>ROW(CantoralDB[[#This Row],[Título]])-1</f>
        <v>920</v>
      </c>
      <c r="B921" s="1" t="s">
        <v>3412</v>
      </c>
      <c r="C921" s="1"/>
      <c r="F921" s="1">
        <v>75</v>
      </c>
      <c r="I921" s="1"/>
      <c r="L921" s="15" t="s">
        <v>3414</v>
      </c>
      <c r="M921" s="15"/>
      <c r="N921" s="15"/>
      <c r="O9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la_rosa_de_saron.html</v>
      </c>
      <c r="R921" s="1"/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921" s="15" t="str">
        <f>_xlfn.TEXTBEFORE(_xlfn.TEXTAFTER(CantoralDB[[#This Row],[index.html]],"&gt;"),"&gt;")&amp;"&gt;"</f>
        <v>&lt;a href="canciones/nuevas/la_rosa_de_saron.html"&gt;</v>
      </c>
    </row>
    <row r="922" spans="1:21" hidden="1" x14ac:dyDescent="0.3">
      <c r="A922" s="1">
        <f>ROW(CantoralDB[[#This Row],[Título]])-1</f>
        <v>921</v>
      </c>
      <c r="B922" s="1" t="s">
        <v>1316</v>
      </c>
      <c r="C922" s="1"/>
      <c r="E922" s="1">
        <v>155</v>
      </c>
      <c r="I922" s="1"/>
      <c r="L922" s="15" t="s">
        <v>487</v>
      </c>
      <c r="M922" s="15"/>
      <c r="N922" s="15"/>
      <c r="O9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9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la_tierra_que_hoy_pisamos.html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922" s="15" t="str">
        <f>_xlfn.TEXTBEFORE(_xlfn.TEXTAFTER(CantoralDB[[#This Row],[index.html]],"&gt;"),"&gt;")&amp;"&gt;"</f>
        <v>&lt;a href="canciones/miguel_manzano/la_tierra_que_hoy_pisamos.html"&gt;</v>
      </c>
    </row>
    <row r="923" spans="1:21" hidden="1" x14ac:dyDescent="0.3">
      <c r="A923" s="1">
        <f>ROW(CantoralDB[[#This Row],[Título]])-1</f>
        <v>922</v>
      </c>
      <c r="B923" s="1" t="s">
        <v>1756</v>
      </c>
      <c r="C923" s="1"/>
      <c r="I923" s="1"/>
      <c r="L923" s="15" t="s">
        <v>484</v>
      </c>
      <c r="M923" s="15" t="s">
        <v>1543</v>
      </c>
      <c r="N923" s="15">
        <v>6</v>
      </c>
      <c r="O9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la_utopia_es_posible.html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923" s="15" t="str">
        <f>_xlfn.TEXTBEFORE(_xlfn.TEXTAFTER(CantoralDB[[#This Row],[index.html]],"&gt;"),"&gt;")&amp;"&gt;"</f>
        <v>&lt;a href="canciones/kairoi/la_utopia_es_posible.html"&gt;</v>
      </c>
    </row>
    <row r="924" spans="1:21" hidden="1" x14ac:dyDescent="0.3">
      <c r="A924" s="1">
        <f>ROW(CantoralDB[[#This Row],[Título]])-1</f>
        <v>923</v>
      </c>
      <c r="B924" s="1" t="s">
        <v>3795</v>
      </c>
      <c r="C924" s="1"/>
      <c r="F924" s="1">
        <v>440</v>
      </c>
      <c r="I924" s="1"/>
      <c r="L924" s="15" t="s">
        <v>594</v>
      </c>
      <c r="M924" s="15"/>
      <c r="N924" s="15"/>
      <c r="O9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9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9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la_victoria_es_de_nuestro_dios.html</v>
      </c>
      <c r="R924" s="1"/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924" s="15" t="str">
        <f>_xlfn.TEXTBEFORE(_xlfn.TEXTAFTER(CantoralDB[[#This Row],[index.html]],"&gt;"),"&gt;")&amp;"&gt;"</f>
        <v>&lt;a href="canciones/alejandro_ruiz/la_victoria_es_de_nuestro_dios.html"&gt;</v>
      </c>
    </row>
    <row r="925" spans="1:21" hidden="1" x14ac:dyDescent="0.3">
      <c r="A925" s="1">
        <f>ROW(CantoralDB[[#This Row],[Título]])-1</f>
        <v>924</v>
      </c>
      <c r="B925" s="1" t="s">
        <v>3328</v>
      </c>
      <c r="C925" s="1"/>
      <c r="I925" s="1" t="s">
        <v>612</v>
      </c>
      <c r="L925" s="15" t="s">
        <v>499</v>
      </c>
      <c r="M925" s="15" t="s">
        <v>3316</v>
      </c>
      <c r="N925" s="15">
        <v>12</v>
      </c>
      <c r="O9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la_vid_y_los_sarmientos.html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925" s="15" t="str">
        <f>_xlfn.TEXTBEFORE(_xlfn.TEXTAFTER(CantoralDB[[#This Row],[index.html]],"&gt;"),"&gt;")&amp;"&gt;"</f>
        <v>&lt;a href="canciones/brotes_de_olivo/la_vid_y_los_sarmientos.html"&gt;</v>
      </c>
    </row>
    <row r="926" spans="1:21" hidden="1" x14ac:dyDescent="0.3">
      <c r="A926" s="1">
        <f>ROW(CantoralDB[[#This Row],[Título]])-1</f>
        <v>925</v>
      </c>
      <c r="B926" s="1" t="s">
        <v>85</v>
      </c>
      <c r="C926" s="1" t="s">
        <v>200</v>
      </c>
      <c r="D926" s="1" t="s">
        <v>1478</v>
      </c>
      <c r="E926" s="1">
        <v>432</v>
      </c>
      <c r="G926" s="1" t="s">
        <v>209</v>
      </c>
      <c r="H926" s="1" t="s">
        <v>1037</v>
      </c>
      <c r="I926" s="1" t="s">
        <v>612</v>
      </c>
      <c r="L926" s="15" t="s">
        <v>518</v>
      </c>
      <c r="M926" s="15"/>
      <c r="N926" s="15"/>
      <c r="O9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la_virgen_sueña_caminos.html</v>
      </c>
      <c r="R926" s="1"/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data-momento="María" data-nnew="M08" data-nold="432"&gt;&lt;a href="canciones/nsb/la_virgen_sueña_caminos.html"&gt;La Virgen sueña caminos&lt;/a&gt;&lt;/li&gt;</v>
      </c>
      <c r="U926" s="15" t="str">
        <f>_xlfn.TEXTBEFORE(_xlfn.TEXTAFTER(CantoralDB[[#This Row],[index.html]],"&gt;"),"&gt;")&amp;"&gt;"</f>
        <v>&lt;a href="canciones/nsb/la_virgen_sueña_caminos.html"&gt;</v>
      </c>
    </row>
    <row r="927" spans="1:21" hidden="1" x14ac:dyDescent="0.3">
      <c r="A927" s="1">
        <f>ROW(CantoralDB[[#This Row],[Título]])-1</f>
        <v>926</v>
      </c>
      <c r="B927" s="1" t="s">
        <v>605</v>
      </c>
      <c r="C927" s="1" t="s">
        <v>201</v>
      </c>
      <c r="D927" s="1" t="s">
        <v>664</v>
      </c>
      <c r="G927" s="1" t="s">
        <v>606</v>
      </c>
      <c r="H927" s="1" t="s">
        <v>1041</v>
      </c>
      <c r="I927" s="1" t="s">
        <v>612</v>
      </c>
      <c r="L927" s="15" t="s">
        <v>501</v>
      </c>
      <c r="M927" s="15" t="s">
        <v>1550</v>
      </c>
      <c r="N927" s="15">
        <v>4</v>
      </c>
      <c r="O9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927" s="1" t="s">
        <v>846</v>
      </c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927" s="15" t="str">
        <f>_xlfn.TEXTBEFORE(_xlfn.TEXTAFTER(CantoralDB[[#This Row],[index.html]],"&gt;"),"&gt;")&amp;"&gt;"</f>
        <v>&lt;a href="canciones/ain_karem/lampara_es_tu_palabra.html"&gt;</v>
      </c>
    </row>
    <row r="928" spans="1:21" hidden="1" x14ac:dyDescent="0.3">
      <c r="A928" s="1">
        <f>ROW(CantoralDB[[#This Row],[Título]])-1</f>
        <v>927</v>
      </c>
      <c r="B928" s="1" t="s">
        <v>605</v>
      </c>
      <c r="C928" s="1"/>
      <c r="E928" s="1">
        <v>148</v>
      </c>
      <c r="I928" s="1"/>
      <c r="L928" s="15" t="s">
        <v>3315</v>
      </c>
      <c r="M928" s="15"/>
      <c r="N928" s="15"/>
      <c r="O9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data-nold="148"&gt;&lt;a href="canciones/nsb/lampara_es_tu_palabra.html"&gt;Lámpara es tu palabra&lt;/a&gt;&lt;/li&gt;</v>
      </c>
      <c r="U928" s="15" t="str">
        <f>_xlfn.TEXTBEFORE(_xlfn.TEXTAFTER(CantoralDB[[#This Row],[index.html]],"&gt;"),"&gt;")&amp;"&gt;"</f>
        <v>&lt;a href="canciones/nsb/lampara_es_tu_palabra.html"&gt;</v>
      </c>
    </row>
    <row r="929" spans="1:21" hidden="1" x14ac:dyDescent="0.3">
      <c r="A929" s="1">
        <f>ROW(CantoralDB[[#This Row],[Título]])-1</f>
        <v>928</v>
      </c>
      <c r="B929" s="1" t="s">
        <v>3217</v>
      </c>
      <c r="C929" s="1"/>
      <c r="F929" s="1">
        <v>226</v>
      </c>
      <c r="I929" s="1"/>
      <c r="L929" s="15" t="s">
        <v>3160</v>
      </c>
      <c r="M929" s="15" t="s">
        <v>3191</v>
      </c>
      <c r="N929" s="15">
        <v>5</v>
      </c>
      <c r="O9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las_aguas_no_podran_apagar_el_amor.html</v>
      </c>
      <c r="R929" s="1"/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929" s="15" t="str">
        <f>_xlfn.TEXTBEFORE(_xlfn.TEXTAFTER(CantoralDB[[#This Row],[index.html]],"&gt;"),"&gt;")&amp;"&gt;"</f>
        <v>&lt;a href="canciones/hermana_glenda/las_aguas_no_podran_apagar_el_amor.html"&gt;</v>
      </c>
    </row>
    <row r="930" spans="1:21" hidden="1" x14ac:dyDescent="0.3">
      <c r="A930" s="1">
        <f>ROW(CantoralDB[[#This Row],[Título]])-1</f>
        <v>929</v>
      </c>
      <c r="B930" s="1" t="s">
        <v>3318</v>
      </c>
      <c r="C930" s="1"/>
      <c r="I930" s="1" t="s">
        <v>612</v>
      </c>
      <c r="L930" s="15" t="s">
        <v>499</v>
      </c>
      <c r="M930" s="15" t="s">
        <v>3316</v>
      </c>
      <c r="N930" s="15">
        <v>2</v>
      </c>
      <c r="O9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las_bodas_de_cana.html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930" s="15" t="str">
        <f>_xlfn.TEXTBEFORE(_xlfn.TEXTAFTER(CantoralDB[[#This Row],[index.html]],"&gt;"),"&gt;")&amp;"&gt;"</f>
        <v>&lt;a href="canciones/brotes_de_olivo/las_bodas_de_cana.html"&gt;</v>
      </c>
    </row>
    <row r="931" spans="1:21" hidden="1" x14ac:dyDescent="0.3">
      <c r="A931" s="1">
        <f>ROW(CantoralDB[[#This Row],[Título]])-1</f>
        <v>930</v>
      </c>
      <c r="B931" s="1" t="s">
        <v>1315</v>
      </c>
      <c r="C931" s="1"/>
      <c r="E931" s="1">
        <v>154</v>
      </c>
      <c r="I931" s="1"/>
      <c r="L931" s="15" t="s">
        <v>479</v>
      </c>
      <c r="M931" s="15"/>
      <c r="N931" s="15"/>
      <c r="O9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las_puertas_de_la_nueva_ciudad.html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931" s="15" t="str">
        <f>_xlfn.TEXTBEFORE(_xlfn.TEXTAFTER(CantoralDB[[#This Row],[index.html]],"&gt;"),"&gt;")&amp;"&gt;"</f>
        <v>&lt;a href="canciones/carmelo_erdozain/las_puertas_de_la_nueva_ciudad.html"&gt;</v>
      </c>
    </row>
    <row r="932" spans="1:21" hidden="1" x14ac:dyDescent="0.3">
      <c r="A932" s="1">
        <f>ROW(CantoralDB[[#This Row],[Título]])-1</f>
        <v>931</v>
      </c>
      <c r="B932" s="1" t="s">
        <v>1696</v>
      </c>
      <c r="C932" s="1"/>
      <c r="I932" s="1"/>
      <c r="L932" s="15" t="s">
        <v>484</v>
      </c>
      <c r="M932" s="15" t="s">
        <v>1578</v>
      </c>
      <c r="N932" s="15">
        <v>2</v>
      </c>
      <c r="O9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latinoamerica.html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href="canciones/kairoi/latinoamerica.html"&gt;Latinoamérica&lt;/a&gt;&lt;/li&gt;</v>
      </c>
      <c r="U932" s="15" t="str">
        <f>_xlfn.TEXTBEFORE(_xlfn.TEXTAFTER(CantoralDB[[#This Row],[index.html]],"&gt;"),"&gt;")&amp;"&gt;"</f>
        <v>&lt;a href="canciones/kairoi/latinoamerica.html"&gt;</v>
      </c>
    </row>
    <row r="933" spans="1:21" hidden="1" x14ac:dyDescent="0.3">
      <c r="A933" s="1">
        <f>ROW(CantoralDB[[#This Row],[Título]])-1</f>
        <v>932</v>
      </c>
      <c r="B933" s="1" t="s">
        <v>788</v>
      </c>
      <c r="C933" s="1" t="s">
        <v>1026</v>
      </c>
      <c r="D933" s="1" t="s">
        <v>1181</v>
      </c>
      <c r="H933" s="1" t="s">
        <v>1065</v>
      </c>
      <c r="I933" s="1" t="s">
        <v>612</v>
      </c>
      <c r="L933" s="15" t="s">
        <v>2201</v>
      </c>
      <c r="M933" s="15"/>
      <c r="N933" s="15"/>
      <c r="O9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933" s="15" t="str">
        <f>_xlfn.TEXTBEFORE(_xlfn.TEXTAFTER(CantoralDB[[#This Row],[index.html]],"&gt;"),"&gt;")&amp;"&gt;"</f>
        <v>&lt;a href="canciones/taize/laudate_dominum.html"&gt;</v>
      </c>
    </row>
    <row r="934" spans="1:21" hidden="1" x14ac:dyDescent="0.3">
      <c r="A934" s="1">
        <f>ROW(CantoralDB[[#This Row],[Título]])-1</f>
        <v>933</v>
      </c>
      <c r="B934" s="1" t="s">
        <v>789</v>
      </c>
      <c r="C934" s="1" t="s">
        <v>1026</v>
      </c>
      <c r="D934" s="1" t="s">
        <v>1182</v>
      </c>
      <c r="F934" s="1">
        <v>429</v>
      </c>
      <c r="H934" s="1" t="s">
        <v>1049</v>
      </c>
      <c r="I934" s="1" t="s">
        <v>612</v>
      </c>
      <c r="L934" s="15" t="s">
        <v>2201</v>
      </c>
      <c r="M934" s="15"/>
      <c r="N934" s="15"/>
      <c r="O9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934" s="15" t="str">
        <f>_xlfn.TEXTBEFORE(_xlfn.TEXTAFTER(CantoralDB[[#This Row],[index.html]],"&gt;"),"&gt;")&amp;"&gt;"</f>
        <v>&lt;a href="canciones/taize/laudate_omnes_gentes.html"&gt;</v>
      </c>
    </row>
    <row r="935" spans="1:21" hidden="1" x14ac:dyDescent="0.3">
      <c r="A935" s="1">
        <f>ROW(CantoralDB[[#This Row],[Título]])-1</f>
        <v>934</v>
      </c>
      <c r="B935" s="1" t="s">
        <v>3549</v>
      </c>
      <c r="C935" s="1"/>
      <c r="F935" s="1">
        <v>204</v>
      </c>
      <c r="I935" s="1"/>
      <c r="L935" s="15" t="s">
        <v>799</v>
      </c>
      <c r="M935" s="15"/>
      <c r="N935" s="15"/>
      <c r="O9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laudato_sii_o_mi_signore.html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935" s="15" t="str">
        <f>_xlfn.TEXTBEFORE(_xlfn.TEXTAFTER(CantoralDB[[#This Row],[index.html]],"&gt;"),"&gt;")&amp;"&gt;"</f>
        <v>&lt;a href="canciones/nuevas/laudato_sii_o_mi_signore.html"&gt;</v>
      </c>
    </row>
    <row r="936" spans="1:21" hidden="1" x14ac:dyDescent="0.3">
      <c r="A936" s="1">
        <f>ROW(CantoralDB[[#This Row],[Título]])-1</f>
        <v>935</v>
      </c>
      <c r="B936" s="1" t="s">
        <v>408</v>
      </c>
      <c r="C936" s="1" t="s">
        <v>1026</v>
      </c>
      <c r="D936" s="1" t="s">
        <v>1183</v>
      </c>
      <c r="H936" s="1" t="s">
        <v>1041</v>
      </c>
      <c r="I936" s="1" t="s">
        <v>612</v>
      </c>
      <c r="L936" s="15" t="s">
        <v>2201</v>
      </c>
      <c r="M936" s="15"/>
      <c r="N936" s="15"/>
      <c r="O9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936" s="15" t="str">
        <f>_xlfn.TEXTBEFORE(_xlfn.TEXTAFTER(CantoralDB[[#This Row],[index.html]],"&gt;"),"&gt;")&amp;"&gt;"</f>
        <v>&lt;a href="canciones/taize/let_all_who_are_thirsty_come.html"&gt;</v>
      </c>
    </row>
    <row r="937" spans="1:21" hidden="1" x14ac:dyDescent="0.3">
      <c r="A937" s="1">
        <f>ROW(CantoralDB[[#This Row],[Título]])-1</f>
        <v>936</v>
      </c>
      <c r="B937" s="1" t="s">
        <v>595</v>
      </c>
      <c r="C937" s="1" t="s">
        <v>211</v>
      </c>
      <c r="D937" s="1" t="s">
        <v>1479</v>
      </c>
      <c r="G937" s="1" t="s">
        <v>599</v>
      </c>
      <c r="H937" s="1" t="s">
        <v>1068</v>
      </c>
      <c r="I937" s="1" t="s">
        <v>612</v>
      </c>
      <c r="L937" s="15" t="s">
        <v>799</v>
      </c>
      <c r="M937" s="15"/>
      <c r="N937" s="15"/>
      <c r="O9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937" s="1"/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937" s="15" t="str">
        <f>_xlfn.TEXTBEFORE(_xlfn.TEXTAFTER(CantoralDB[[#This Row],[index.html]],"&gt;"),"&gt;")&amp;"&gt;"</f>
        <v>&lt;a href="canciones/nsb/letanias.html"&gt;</v>
      </c>
    </row>
    <row r="938" spans="1:21" hidden="1" x14ac:dyDescent="0.3">
      <c r="A938" s="1">
        <f>ROW(CantoralDB[[#This Row],[Título]])-1</f>
        <v>937</v>
      </c>
      <c r="B938" s="1" t="s">
        <v>595</v>
      </c>
      <c r="C938" s="1"/>
      <c r="I938" s="1"/>
      <c r="L938" s="15" t="s">
        <v>3160</v>
      </c>
      <c r="M938" s="15" t="s">
        <v>3190</v>
      </c>
      <c r="N938" s="15">
        <v>7</v>
      </c>
      <c r="O9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href="canciones/hermana_glenda/letanias.html"&gt;Letanías&lt;/a&gt;&lt;/li&gt;</v>
      </c>
      <c r="U938" s="15" t="str">
        <f>_xlfn.TEXTBEFORE(_xlfn.TEXTAFTER(CantoralDB[[#This Row],[index.html]],"&gt;"),"&gt;")&amp;"&gt;"</f>
        <v>&lt;a href="canciones/hermana_glenda/letanias.html"&gt;</v>
      </c>
    </row>
    <row r="939" spans="1:21" hidden="1" x14ac:dyDescent="0.3">
      <c r="A939" s="1">
        <f>ROW(CantoralDB[[#This Row],[Título]])-1</f>
        <v>938</v>
      </c>
      <c r="B939" s="1" t="s">
        <v>1808</v>
      </c>
      <c r="C939" s="1"/>
      <c r="I939" s="1"/>
      <c r="L939" s="15" t="s">
        <v>501</v>
      </c>
      <c r="M939" s="15" t="s">
        <v>1548</v>
      </c>
      <c r="N939" s="15">
        <v>13</v>
      </c>
      <c r="O9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levantad_las_piedras.html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939" s="15" t="str">
        <f>_xlfn.TEXTBEFORE(_xlfn.TEXTAFTER(CantoralDB[[#This Row],[index.html]],"&gt;"),"&gt;")&amp;"&gt;"</f>
        <v>&lt;a href="canciones/ain_karem/levantad_las_piedras.html"&gt;</v>
      </c>
    </row>
    <row r="940" spans="1:21" hidden="1" x14ac:dyDescent="0.3">
      <c r="A940" s="1">
        <f>ROW(CantoralDB[[#This Row],[Título]])-1</f>
        <v>939</v>
      </c>
      <c r="B940" s="1" t="s">
        <v>3559</v>
      </c>
      <c r="C940" s="1"/>
      <c r="F940" s="1">
        <v>217</v>
      </c>
      <c r="I940" s="1"/>
      <c r="L940" s="15" t="s">
        <v>799</v>
      </c>
      <c r="M940" s="15"/>
      <c r="N940" s="15"/>
      <c r="O9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levantare_mis_manos.html</v>
      </c>
      <c r="R940" s="1"/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href="canciones/nuevas/levantare_mis_manos.html"&gt;Levantaré mis manos&lt;/a&gt;&lt;/li&gt;</v>
      </c>
      <c r="U940" s="15" t="str">
        <f>_xlfn.TEXTBEFORE(_xlfn.TEXTAFTER(CantoralDB[[#This Row],[index.html]],"&gt;"),"&gt;")&amp;"&gt;"</f>
        <v>&lt;a href="canciones/nuevas/levantare_mis_manos.html"&gt;</v>
      </c>
    </row>
    <row r="941" spans="1:21" hidden="1" x14ac:dyDescent="0.3">
      <c r="A941" s="1">
        <f>ROW(CantoralDB[[#This Row],[Título]])-1</f>
        <v>940</v>
      </c>
      <c r="B941" s="1" t="s">
        <v>3203</v>
      </c>
      <c r="C941" s="1"/>
      <c r="I941" s="1"/>
      <c r="L941" s="15" t="s">
        <v>3160</v>
      </c>
      <c r="M941" s="15" t="s">
        <v>3192</v>
      </c>
      <c r="N941" s="15">
        <v>12</v>
      </c>
      <c r="O9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levantate_amada_mia.html</v>
      </c>
      <c r="R941" s="1"/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href="canciones/hermana_glenda/levantate_amada_mia.html"&gt;Levántate, amada mía&lt;/a&gt;&lt;/li&gt;</v>
      </c>
      <c r="U941" s="15" t="str">
        <f>_xlfn.TEXTBEFORE(_xlfn.TEXTAFTER(CantoralDB[[#This Row],[index.html]],"&gt;"),"&gt;")&amp;"&gt;"</f>
        <v>&lt;a href="canciones/hermana_glenda/levantate_amada_mia.html"&gt;</v>
      </c>
    </row>
    <row r="942" spans="1:21" hidden="1" x14ac:dyDescent="0.3">
      <c r="A942" s="1">
        <f>ROW(CantoralDB[[#This Row],[Título]])-1</f>
        <v>941</v>
      </c>
      <c r="B942" s="1" t="s">
        <v>1317</v>
      </c>
      <c r="C942" s="1"/>
      <c r="E942" s="1">
        <v>156</v>
      </c>
      <c r="I942" s="1"/>
      <c r="L942" s="15" t="s">
        <v>479</v>
      </c>
      <c r="M942" s="15"/>
      <c r="N942" s="15"/>
      <c r="O9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levantate_pueblo_mio.html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942" s="15" t="str">
        <f>_xlfn.TEXTBEFORE(_xlfn.TEXTAFTER(CantoralDB[[#This Row],[index.html]],"&gt;"),"&gt;")&amp;"&gt;"</f>
        <v>&lt;a href="canciones/carmelo_erdozain/levantate_pueblo_mio.html"&gt;</v>
      </c>
    </row>
    <row r="943" spans="1:21" x14ac:dyDescent="0.3">
      <c r="A943" s="1">
        <f>ROW(CantoralDB[[#This Row],[Título]])-1</f>
        <v>942</v>
      </c>
      <c r="B943" s="1" t="s">
        <v>878</v>
      </c>
      <c r="C943" s="1" t="s">
        <v>1025</v>
      </c>
      <c r="D943" s="1" t="s">
        <v>1114</v>
      </c>
      <c r="H943" s="1" t="s">
        <v>1077</v>
      </c>
      <c r="I943" s="1" t="s">
        <v>612</v>
      </c>
      <c r="L943" s="15" t="s">
        <v>1991</v>
      </c>
      <c r="M943" s="15"/>
      <c r="N943" s="15"/>
      <c r="O9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943" s="1" t="s">
        <v>951</v>
      </c>
      <c r="S943" s="1" t="s">
        <v>278</v>
      </c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943" s="15" t="str">
        <f>_xlfn.TEXTBEFORE(_xlfn.TEXTAFTER(CantoralDB[[#This Row],[index.html]],"&gt;"),"&gt;")&amp;"&gt;"</f>
        <v>&lt;a href="canciones/taize/ad_te_jesu_christe.html"&gt;</v>
      </c>
    </row>
    <row r="944" spans="1:21" hidden="1" x14ac:dyDescent="0.3">
      <c r="A944" s="1">
        <f>ROW(CantoralDB[[#This Row],[Título]])-1</f>
        <v>943</v>
      </c>
      <c r="B944" s="1" t="s">
        <v>1313</v>
      </c>
      <c r="C944" s="1"/>
      <c r="E944" s="1">
        <v>151</v>
      </c>
      <c r="I944" s="1"/>
      <c r="L944" s="15" t="s">
        <v>487</v>
      </c>
      <c r="M944" s="15"/>
      <c r="N944" s="15"/>
      <c r="O9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9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levanto_mis_ojos_a_los_montes.html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944" s="15" t="str">
        <f>_xlfn.TEXTBEFORE(_xlfn.TEXTAFTER(CantoralDB[[#This Row],[index.html]],"&gt;"),"&gt;")&amp;"&gt;"</f>
        <v>&lt;a href="canciones/miguel_manzano/levanto_mis_ojos_a_los_montes.html"&gt;</v>
      </c>
    </row>
    <row r="945" spans="1:21" hidden="1" x14ac:dyDescent="0.3">
      <c r="A945" s="1">
        <f>ROW(CantoralDB[[#This Row],[Título]])-1</f>
        <v>944</v>
      </c>
      <c r="B945" s="1" t="s">
        <v>2000</v>
      </c>
      <c r="C945" s="1"/>
      <c r="I945" s="1" t="s">
        <v>612</v>
      </c>
      <c r="L945" s="15" t="s">
        <v>261</v>
      </c>
      <c r="M945" s="15"/>
      <c r="N945" s="15"/>
      <c r="O9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libertad.html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href="canciones/hakuna/libertad.html"&gt;Libertad&lt;/a&gt;&lt;/li&gt;</v>
      </c>
      <c r="U945" s="15" t="str">
        <f>_xlfn.TEXTBEFORE(_xlfn.TEXTAFTER(CantoralDB[[#This Row],[index.html]],"&gt;"),"&gt;")&amp;"&gt;"</f>
        <v>&lt;a href="canciones/hakuna/libertad.html"&gt;</v>
      </c>
    </row>
    <row r="946" spans="1:21" hidden="1" x14ac:dyDescent="0.3">
      <c r="A946" s="1">
        <f>ROW(CantoralDB[[#This Row],[Título]])-1</f>
        <v>945</v>
      </c>
      <c r="B946" s="1" t="s">
        <v>1867</v>
      </c>
      <c r="C946" s="1"/>
      <c r="I946" s="1" t="s">
        <v>612</v>
      </c>
      <c r="L946" s="15" t="s">
        <v>501</v>
      </c>
      <c r="M946" s="15" t="s">
        <v>1554</v>
      </c>
      <c r="N946" s="15">
        <v>15</v>
      </c>
      <c r="O9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946" s="1"/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946" s="15" t="str">
        <f>_xlfn.TEXTBEFORE(_xlfn.TEXTAFTER(CantoralDB[[#This Row],[index.html]],"&gt;"),"&gt;")&amp;"&gt;"</f>
        <v>&lt;a href="canciones/ain_karem/llama_de_amor_viva.html"&gt;</v>
      </c>
    </row>
    <row r="947" spans="1:21" hidden="1" x14ac:dyDescent="0.3">
      <c r="A947" s="1">
        <f>ROW(CantoralDB[[#This Row],[Título]])-1</f>
        <v>946</v>
      </c>
      <c r="B947" s="1" t="s">
        <v>1867</v>
      </c>
      <c r="C947" s="1"/>
      <c r="I947" s="1"/>
      <c r="L947" s="15" t="s">
        <v>3160</v>
      </c>
      <c r="M947" s="15" t="s">
        <v>3192</v>
      </c>
      <c r="N947" s="15">
        <v>10</v>
      </c>
      <c r="O9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href="canciones/hermana_glenda/llama_de_amor_viva.html"&gt;Llama de amor viva&lt;/a&gt;&lt;/li&gt;</v>
      </c>
      <c r="U947" s="15" t="str">
        <f>_xlfn.TEXTBEFORE(_xlfn.TEXTAFTER(CantoralDB[[#This Row],[index.html]],"&gt;"),"&gt;")&amp;"&gt;"</f>
        <v>&lt;a href="canciones/hermana_glenda/llama_de_amor_viva.html"&gt;</v>
      </c>
    </row>
    <row r="948" spans="1:21" hidden="1" x14ac:dyDescent="0.3">
      <c r="A948" s="1">
        <f>ROW(CantoralDB[[#This Row],[Título]])-1</f>
        <v>947</v>
      </c>
      <c r="B948" s="1" t="s">
        <v>1608</v>
      </c>
      <c r="C948" s="1"/>
      <c r="I948" s="1" t="s">
        <v>612</v>
      </c>
      <c r="L948" s="15" t="s">
        <v>484</v>
      </c>
      <c r="M948" s="15" t="s">
        <v>1529</v>
      </c>
      <c r="N948" s="15">
        <v>7</v>
      </c>
      <c r="O9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llama_de_vida.html</v>
      </c>
      <c r="R948" s="1"/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href="canciones/kairoi/llama_de_vida.html"&gt;Llama de vida&lt;/a&gt;&lt;/li&gt;</v>
      </c>
      <c r="U948" s="15" t="str">
        <f>_xlfn.TEXTBEFORE(_xlfn.TEXTAFTER(CantoralDB[[#This Row],[index.html]],"&gt;"),"&gt;")&amp;"&gt;"</f>
        <v>&lt;a href="canciones/kairoi/llama_de_vida.html"&gt;</v>
      </c>
    </row>
    <row r="949" spans="1:21" hidden="1" x14ac:dyDescent="0.3">
      <c r="A949" s="1">
        <f>ROW(CantoralDB[[#This Row],[Título]])-1</f>
        <v>948</v>
      </c>
      <c r="B949" s="1" t="s">
        <v>1318</v>
      </c>
      <c r="C949" s="1"/>
      <c r="E949" s="1">
        <v>159</v>
      </c>
      <c r="I949" s="1"/>
      <c r="L949" s="15" t="s">
        <v>479</v>
      </c>
      <c r="M949" s="15"/>
      <c r="N949" s="15"/>
      <c r="O9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llego_la_noche.html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949" s="15" t="str">
        <f>_xlfn.TEXTBEFORE(_xlfn.TEXTAFTER(CantoralDB[[#This Row],[index.html]],"&gt;"),"&gt;")&amp;"&gt;"</f>
        <v>&lt;a href="canciones/carmelo_erdozain/llego_la_noche.html"&gt;</v>
      </c>
    </row>
    <row r="950" spans="1:21" hidden="1" x14ac:dyDescent="0.3">
      <c r="A950" s="1">
        <f>ROW(CantoralDB[[#This Row],[Título]])-1</f>
        <v>949</v>
      </c>
      <c r="B950" s="1" t="s">
        <v>3146</v>
      </c>
      <c r="C950" s="1"/>
      <c r="I950" s="1" t="s">
        <v>612</v>
      </c>
      <c r="L950" s="15" t="s">
        <v>481</v>
      </c>
      <c r="M950" s="15" t="s">
        <v>1974</v>
      </c>
      <c r="N950" s="15">
        <v>7</v>
      </c>
      <c r="O9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llena_esta_la_tierra_de_tus_criaturas.html</v>
      </c>
      <c r="R950" s="1" t="s">
        <v>3134</v>
      </c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950" s="15" t="str">
        <f>_xlfn.TEXTBEFORE(_xlfn.TEXTAFTER(CantoralDB[[#This Row],[index.html]],"&gt;"),"&gt;")&amp;"&gt;"</f>
        <v>&lt;a href="canciones/francisco_palazon/llena_esta_la_tierra_de_tus_criaturas.html"&gt;</v>
      </c>
    </row>
    <row r="951" spans="1:21" hidden="1" x14ac:dyDescent="0.3">
      <c r="A951" s="1">
        <f>ROW(CantoralDB[[#This Row],[Título]])-1</f>
        <v>950</v>
      </c>
      <c r="B951" s="1" t="s">
        <v>3339</v>
      </c>
      <c r="C951" s="1"/>
      <c r="F951" s="1">
        <v>6</v>
      </c>
      <c r="I951" s="1"/>
      <c r="L951" s="15" t="s">
        <v>799</v>
      </c>
      <c r="M951" s="15"/>
      <c r="N951" s="15"/>
      <c r="O9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llename_señor.html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href="canciones/nuevas/llename_señor.html"&gt;Lléname, Señor&lt;/a&gt;&lt;/li&gt;</v>
      </c>
      <c r="U951" s="15" t="str">
        <f>_xlfn.TEXTBEFORE(_xlfn.TEXTAFTER(CantoralDB[[#This Row],[index.html]],"&gt;"),"&gt;")&amp;"&gt;"</f>
        <v>&lt;a href="canciones/nuevas/llename_señor.html"&gt;</v>
      </c>
    </row>
    <row r="952" spans="1:21" x14ac:dyDescent="0.3">
      <c r="A952" s="1">
        <f>ROW(CantoralDB[[#This Row],[Título]])-1</f>
        <v>951</v>
      </c>
      <c r="B952" s="1" t="s">
        <v>899</v>
      </c>
      <c r="C952" s="1" t="s">
        <v>1025</v>
      </c>
      <c r="D952" s="1" t="s">
        <v>1141</v>
      </c>
      <c r="F952" s="1">
        <v>423</v>
      </c>
      <c r="H952" s="1" t="s">
        <v>1041</v>
      </c>
      <c r="I952" s="1" t="s">
        <v>612</v>
      </c>
      <c r="L952" s="15" t="s">
        <v>1991</v>
      </c>
      <c r="M952" s="15"/>
      <c r="N952" s="15"/>
      <c r="O9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952" s="1" t="s">
        <v>961</v>
      </c>
      <c r="S952" s="1" t="s">
        <v>332</v>
      </c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952" s="15" t="str">
        <f>_xlfn.TEXTBEFORE(_xlfn.TEXTAFTER(CantoralDB[[#This Row],[index.html]],"&gt;"),"&gt;")&amp;"&gt;"</f>
        <v>&lt;a href="canciones/taize/confitemini_domino.html"&gt;</v>
      </c>
    </row>
    <row r="953" spans="1:21" hidden="1" x14ac:dyDescent="0.3">
      <c r="A953" s="1">
        <f>ROW(CantoralDB[[#This Row],[Título]])-1</f>
        <v>952</v>
      </c>
      <c r="B953" s="1" t="s">
        <v>234</v>
      </c>
      <c r="C953" s="1" t="s">
        <v>198</v>
      </c>
      <c r="D953" s="1" t="s">
        <v>1480</v>
      </c>
      <c r="G953" s="1" t="s">
        <v>213</v>
      </c>
      <c r="H953" s="1" t="s">
        <v>1053</v>
      </c>
      <c r="I953" s="1" t="s">
        <v>612</v>
      </c>
      <c r="L953" s="15" t="s">
        <v>799</v>
      </c>
      <c r="M953" s="15"/>
      <c r="N953" s="15"/>
      <c r="O9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llevad_la_buena_noticia.html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953" s="15" t="str">
        <f>_xlfn.TEXTBEFORE(_xlfn.TEXTAFTER(CantoralDB[[#This Row],[index.html]],"&gt;"),"&gt;")&amp;"&gt;"</f>
        <v>&lt;a href="canciones/nsb/llevad_la_buena_noticia.html"&gt;</v>
      </c>
    </row>
    <row r="954" spans="1:21" hidden="1" x14ac:dyDescent="0.3">
      <c r="A954" s="1">
        <f>ROW(CantoralDB[[#This Row],[Título]])-1</f>
        <v>953</v>
      </c>
      <c r="B954" s="1" t="s">
        <v>1890</v>
      </c>
      <c r="C954" s="1"/>
      <c r="I954" s="1" t="s">
        <v>612</v>
      </c>
      <c r="L954" s="15" t="s">
        <v>501</v>
      </c>
      <c r="M954" s="15" t="s">
        <v>1550</v>
      </c>
      <c r="N954" s="15">
        <v>10</v>
      </c>
      <c r="O9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llueve_tu.html</v>
      </c>
      <c r="R954" s="1"/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href="canciones/ain_karem/llueve_tu.html"&gt;Llueve Tú&lt;/a&gt;&lt;/li&gt;</v>
      </c>
      <c r="U954" s="15" t="str">
        <f>_xlfn.TEXTBEFORE(_xlfn.TEXTAFTER(CantoralDB[[#This Row],[index.html]],"&gt;"),"&gt;")&amp;"&gt;"</f>
        <v>&lt;a href="canciones/ain_karem/llueve_tu.html"&gt;</v>
      </c>
    </row>
    <row r="955" spans="1:21" hidden="1" x14ac:dyDescent="0.3">
      <c r="A955" s="1">
        <f>ROW(CantoralDB[[#This Row],[Título]])-1</f>
        <v>954</v>
      </c>
      <c r="B955" s="1" t="s">
        <v>1954</v>
      </c>
      <c r="C955" s="1"/>
      <c r="I955" s="1" t="s">
        <v>612</v>
      </c>
      <c r="L955" s="15" t="s">
        <v>484</v>
      </c>
      <c r="M955" s="15" t="s">
        <v>1536</v>
      </c>
      <c r="N955" s="15">
        <v>7</v>
      </c>
      <c r="O9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lo_entregaron_todo.html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955" s="15" t="str">
        <f>_xlfn.TEXTBEFORE(_xlfn.TEXTAFTER(CantoralDB[[#This Row],[index.html]],"&gt;"),"&gt;")&amp;"&gt;"</f>
        <v>&lt;a href="canciones/kairoi/lo_entregaron_todo.html"&gt;</v>
      </c>
    </row>
    <row r="956" spans="1:21" hidden="1" x14ac:dyDescent="0.3">
      <c r="A956" s="1">
        <f>ROW(CantoralDB[[#This Row],[Título]])-1</f>
        <v>955</v>
      </c>
      <c r="B956" s="1" t="s">
        <v>2037</v>
      </c>
      <c r="C956" s="1"/>
      <c r="I956" s="1" t="s">
        <v>612</v>
      </c>
      <c r="L956" s="15" t="s">
        <v>261</v>
      </c>
      <c r="M956" s="15"/>
      <c r="N956" s="15"/>
      <c r="O9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lo_imposible.html</v>
      </c>
      <c r="R956" s="1"/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href="canciones/hakuna/lo_imposible.html"&gt;Lo imposible&lt;/a&gt;&lt;/li&gt;</v>
      </c>
      <c r="U956" s="15" t="str">
        <f>_xlfn.TEXTBEFORE(_xlfn.TEXTAFTER(CantoralDB[[#This Row],[index.html]],"&gt;"),"&gt;")&amp;"&gt;"</f>
        <v>&lt;a href="canciones/hakuna/lo_imposible.html"&gt;</v>
      </c>
    </row>
    <row r="957" spans="1:21" hidden="1" x14ac:dyDescent="0.3">
      <c r="A957" s="1">
        <f>ROW(CantoralDB[[#This Row],[Título]])-1</f>
        <v>956</v>
      </c>
      <c r="B957" s="1" t="s">
        <v>3582</v>
      </c>
      <c r="C957" s="1"/>
      <c r="F957" s="1">
        <v>246</v>
      </c>
      <c r="I957" s="1"/>
      <c r="L957" s="15" t="s">
        <v>3451</v>
      </c>
      <c r="M957" s="15"/>
      <c r="N957" s="15"/>
      <c r="O9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9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9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lo_mas_valioso.html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957" s="15" t="str">
        <f>_xlfn.TEXTBEFORE(_xlfn.TEXTAFTER(CantoralDB[[#This Row],[index.html]],"&gt;"),"&gt;")&amp;"&gt;"</f>
        <v>&lt;a href="canciones/rosa_cruz/lo_mas_valioso.html"&gt;</v>
      </c>
    </row>
    <row r="958" spans="1:21" hidden="1" x14ac:dyDescent="0.3">
      <c r="A958" s="1">
        <f>ROW(CantoralDB[[#This Row],[Título]])-1</f>
        <v>957</v>
      </c>
      <c r="B958" s="1" t="s">
        <v>3536</v>
      </c>
      <c r="C958" s="1"/>
      <c r="F958" s="1">
        <v>187</v>
      </c>
      <c r="I958" s="1"/>
      <c r="L958" s="15" t="s">
        <v>3347</v>
      </c>
      <c r="M958" s="15"/>
      <c r="N958" s="15"/>
      <c r="O9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9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9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lo_que_agrada_a_dios.html</v>
      </c>
      <c r="R958" s="1"/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958" s="15" t="str">
        <f>_xlfn.TEXTBEFORE(_xlfn.TEXTAFTER(CantoralDB[[#This Row],[index.html]],"&gt;"),"&gt;")&amp;"&gt;"</f>
        <v>&lt;a href="canciones/luis_alfredo_diaz/lo_que_agrada_a_dios.html"&gt;</v>
      </c>
    </row>
    <row r="959" spans="1:21" hidden="1" x14ac:dyDescent="0.3">
      <c r="A959" s="1">
        <f>ROW(CantoralDB[[#This Row],[Título]])-1</f>
        <v>958</v>
      </c>
      <c r="B959" s="1" t="s">
        <v>86</v>
      </c>
      <c r="C959" s="1" t="s">
        <v>199</v>
      </c>
      <c r="D959" s="1" t="s">
        <v>1481</v>
      </c>
      <c r="E959" s="1">
        <v>152</v>
      </c>
      <c r="G959" s="1" t="s">
        <v>209</v>
      </c>
      <c r="H959" s="1" t="s">
        <v>1039</v>
      </c>
      <c r="I959" s="1" t="s">
        <v>612</v>
      </c>
      <c r="L959" s="15" t="s">
        <v>486</v>
      </c>
      <c r="M959" s="15"/>
      <c r="N959" s="15"/>
      <c r="O9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9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lo_que_hemos_visto_y_oido.html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959" s="15" t="str">
        <f>_xlfn.TEXTBEFORE(_xlfn.TEXTAFTER(CantoralDB[[#This Row],[index.html]],"&gt;"),"&gt;")&amp;"&gt;"</f>
        <v>&lt;a href="canciones/antonio_alcalde/lo_que_hemos_visto_y_oido.html"&gt;</v>
      </c>
    </row>
    <row r="960" spans="1:21" hidden="1" x14ac:dyDescent="0.3">
      <c r="A960" s="1">
        <f>ROW(CantoralDB[[#This Row],[Título]])-1</f>
        <v>959</v>
      </c>
      <c r="B960" s="1" t="s">
        <v>1887</v>
      </c>
      <c r="C960" s="1"/>
      <c r="I960" s="1" t="s">
        <v>612</v>
      </c>
      <c r="L960" s="15" t="s">
        <v>501</v>
      </c>
      <c r="M960" s="15" t="s">
        <v>1551</v>
      </c>
      <c r="N960" s="15">
        <v>5</v>
      </c>
      <c r="O9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los_incontables.html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960" s="15" t="str">
        <f>_xlfn.TEXTBEFORE(_xlfn.TEXTAFTER(CantoralDB[[#This Row],[index.html]],"&gt;"),"&gt;")&amp;"&gt;"</f>
        <v>&lt;a href="canciones/ain_karem/los_incontables.html"&gt;</v>
      </c>
    </row>
    <row r="961" spans="1:21" hidden="1" x14ac:dyDescent="0.3">
      <c r="A961" s="1">
        <f>ROW(CantoralDB[[#This Row],[Título]])-1</f>
        <v>960</v>
      </c>
      <c r="B961" s="1" t="s">
        <v>87</v>
      </c>
      <c r="C961" s="1" t="s">
        <v>476</v>
      </c>
      <c r="D961" s="1" t="s">
        <v>1102</v>
      </c>
      <c r="E961" s="1">
        <v>158</v>
      </c>
      <c r="G961" s="1" t="s">
        <v>209</v>
      </c>
      <c r="H961" s="1" t="s">
        <v>532</v>
      </c>
      <c r="I961" s="1" t="s">
        <v>612</v>
      </c>
      <c r="L961" s="15" t="s">
        <v>547</v>
      </c>
      <c r="M961" s="15"/>
      <c r="N961" s="15"/>
      <c r="O9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9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los_magos_vienen_de_oriente.html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961" s="15" t="str">
        <f>_xlfn.TEXTBEFORE(_xlfn.TEXTAFTER(CantoralDB[[#This Row],[index.html]],"&gt;"),"&gt;")&amp;"&gt;"</f>
        <v>&lt;a href="canciones/emilio_vicente_mateu/los_magos_vienen_de_oriente.html"&gt;</v>
      </c>
    </row>
    <row r="962" spans="1:21" hidden="1" x14ac:dyDescent="0.3">
      <c r="A962" s="1">
        <f>ROW(CantoralDB[[#This Row],[Título]])-1</f>
        <v>961</v>
      </c>
      <c r="B962" s="1" t="s">
        <v>2172</v>
      </c>
      <c r="C962" s="1"/>
      <c r="I962" s="1"/>
      <c r="L962" s="15" t="s">
        <v>481</v>
      </c>
      <c r="M962" s="15" t="s">
        <v>1975</v>
      </c>
      <c r="N962" s="15">
        <v>3</v>
      </c>
      <c r="O9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los_niños_hebreos.html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962" s="15" t="str">
        <f>_xlfn.TEXTBEFORE(_xlfn.TEXTAFTER(CantoralDB[[#This Row],[index.html]],"&gt;"),"&gt;")&amp;"&gt;"</f>
        <v>&lt;a href="canciones/francisco_palazon/los_niños_hebreos.html"&gt;</v>
      </c>
    </row>
    <row r="963" spans="1:21" hidden="1" x14ac:dyDescent="0.3">
      <c r="A963" s="1">
        <f>ROW(CantoralDB[[#This Row],[Título]])-1</f>
        <v>962</v>
      </c>
      <c r="B963" s="1" t="s">
        <v>3117</v>
      </c>
      <c r="C963" s="1"/>
      <c r="I963" s="1" t="s">
        <v>612</v>
      </c>
      <c r="L963" s="15" t="s">
        <v>2200</v>
      </c>
      <c r="M963" s="15"/>
      <c r="N963" s="15"/>
      <c r="O9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los_peces_en_el_rio.html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963" s="15" t="str">
        <f>_xlfn.TEXTBEFORE(_xlfn.TEXTAFTER(CantoralDB[[#This Row],[index.html]],"&gt;"),"&gt;")&amp;"&gt;"</f>
        <v>&lt;a href="canciones/villancicos/los_peces_en_el_rio.html"&gt;</v>
      </c>
    </row>
    <row r="964" spans="1:21" hidden="1" x14ac:dyDescent="0.3">
      <c r="A964" s="1">
        <f>ROW(CantoralDB[[#This Row],[Título]])-1</f>
        <v>963</v>
      </c>
      <c r="B964" s="1" t="s">
        <v>1311</v>
      </c>
      <c r="C964" s="1"/>
      <c r="E964" s="1">
        <v>149</v>
      </c>
      <c r="I964" s="1"/>
      <c r="L964" s="15" t="s">
        <v>480</v>
      </c>
      <c r="M964" s="15"/>
      <c r="N964" s="15"/>
      <c r="O9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9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los_pobres_de_la_tierra.html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964" s="15" t="str">
        <f>_xlfn.TEXTBEFORE(_xlfn.TEXTAFTER(CantoralDB[[#This Row],[index.html]],"&gt;"),"&gt;")&amp;"&gt;"</f>
        <v>&lt;a href="canciones/juanjo_elezkano/los_pobres_de_la_tierra.html"&gt;</v>
      </c>
    </row>
    <row r="965" spans="1:21" hidden="1" x14ac:dyDescent="0.3">
      <c r="A965" s="1">
        <f>ROW(CantoralDB[[#This Row],[Título]])-1</f>
        <v>964</v>
      </c>
      <c r="B965" s="1" t="s">
        <v>1319</v>
      </c>
      <c r="C965" s="1"/>
      <c r="E965" s="1">
        <v>160</v>
      </c>
      <c r="I965" s="1"/>
      <c r="L965" s="15" t="s">
        <v>483</v>
      </c>
      <c r="M965" s="15"/>
      <c r="N965" s="15"/>
      <c r="O9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9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los_que_a_la_pobreza.html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965" s="15" t="str">
        <f>_xlfn.TEXTBEFORE(_xlfn.TEXTAFTER(CantoralDB[[#This Row],[index.html]],"&gt;"),"&gt;")&amp;"&gt;"</f>
        <v>&lt;a href="canciones/cesareo_gabarain/los_que_a_la_pobreza.html"&gt;</v>
      </c>
    </row>
    <row r="966" spans="1:21" hidden="1" x14ac:dyDescent="0.3">
      <c r="A966" s="1">
        <f>ROW(CantoralDB[[#This Row],[Título]])-1</f>
        <v>965</v>
      </c>
      <c r="B966" s="1" t="s">
        <v>3543</v>
      </c>
      <c r="C966" s="1"/>
      <c r="F966" s="1">
        <v>197</v>
      </c>
      <c r="I966" s="1"/>
      <c r="L966" s="15" t="s">
        <v>799</v>
      </c>
      <c r="M966" s="15"/>
      <c r="N966" s="15"/>
      <c r="O9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los_que_esperan.html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href="canciones/nuevas/los_que_esperan.html"&gt;Los que esperan&lt;/a&gt;&lt;/li&gt;</v>
      </c>
      <c r="U966" s="15" t="str">
        <f>_xlfn.TEXTBEFORE(_xlfn.TEXTAFTER(CantoralDB[[#This Row],[index.html]],"&gt;"),"&gt;")&amp;"&gt;"</f>
        <v>&lt;a href="canciones/nuevas/los_que_esperan.html"&gt;</v>
      </c>
    </row>
    <row r="967" spans="1:21" hidden="1" x14ac:dyDescent="0.3">
      <c r="A967" s="1">
        <f>ROW(CantoralDB[[#This Row],[Título]])-1</f>
        <v>966</v>
      </c>
      <c r="B967" s="1" t="s">
        <v>3468</v>
      </c>
      <c r="C967" s="1"/>
      <c r="F967" s="1">
        <v>126</v>
      </c>
      <c r="I967" s="1"/>
      <c r="L967" s="15" t="s">
        <v>3467</v>
      </c>
      <c r="M967" s="15"/>
      <c r="N967" s="15"/>
      <c r="O9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 F Martínez"&gt;&lt;a href="canciones/nuevas/madre.html"&gt;Madre&lt;/a&gt;&lt;/li&gt;</v>
      </c>
      <c r="U967" s="15" t="str">
        <f>_xlfn.TEXTBEFORE(_xlfn.TEXTAFTER(CantoralDB[[#This Row],[index.html]],"&gt;"),"&gt;")&amp;"&gt;"</f>
        <v>&lt;a href="canciones/nuevas/madre.html"&gt;</v>
      </c>
    </row>
    <row r="968" spans="1:21" hidden="1" x14ac:dyDescent="0.3">
      <c r="A968" s="1">
        <f>ROW(CantoralDB[[#This Row],[Título]])-1</f>
        <v>967</v>
      </c>
      <c r="B968" s="1" t="s">
        <v>3212</v>
      </c>
      <c r="C968" s="1"/>
      <c r="I968" s="1"/>
      <c r="L968" s="15" t="s">
        <v>3160</v>
      </c>
      <c r="M968" s="15" t="s">
        <v>3190</v>
      </c>
      <c r="N968" s="15">
        <v>11</v>
      </c>
      <c r="O9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madre_de_consolacion.html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href="canciones/hermana_glenda/madre_de_consolacion.html"&gt;Madre de consolación&lt;/a&gt;&lt;/li&gt;</v>
      </c>
      <c r="U968" s="15" t="str">
        <f>_xlfn.TEXTBEFORE(_xlfn.TEXTAFTER(CantoralDB[[#This Row],[index.html]],"&gt;"),"&gt;")&amp;"&gt;"</f>
        <v>&lt;a href="canciones/hermana_glenda/madre_de_consolacion.html"&gt;</v>
      </c>
    </row>
    <row r="969" spans="1:21" hidden="1" x14ac:dyDescent="0.3">
      <c r="A969" s="1">
        <f>ROW(CantoralDB[[#This Row],[Título]])-1</f>
        <v>968</v>
      </c>
      <c r="B969" s="1" t="s">
        <v>2028</v>
      </c>
      <c r="C969" s="1"/>
      <c r="I969" s="1"/>
      <c r="L969" s="15" t="s">
        <v>261</v>
      </c>
      <c r="M969" s="15"/>
      <c r="N969" s="15"/>
      <c r="O9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madre_de_hakuna.html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969" s="15" t="str">
        <f>_xlfn.TEXTBEFORE(_xlfn.TEXTAFTER(CantoralDB[[#This Row],[index.html]],"&gt;"),"&gt;")&amp;"&gt;"</f>
        <v>&lt;a href="canciones/hakuna/madre_de_hakuna.html"&gt;</v>
      </c>
    </row>
    <row r="970" spans="1:21" hidden="1" x14ac:dyDescent="0.3">
      <c r="A970" s="1">
        <f>ROW(CantoralDB[[#This Row],[Título]])-1</f>
        <v>969</v>
      </c>
      <c r="B970" s="1" t="s">
        <v>1320</v>
      </c>
      <c r="C970" s="1"/>
      <c r="E970" s="1">
        <v>161</v>
      </c>
      <c r="I970" s="1" t="s">
        <v>612</v>
      </c>
      <c r="L970" s="15" t="s">
        <v>481</v>
      </c>
      <c r="M970" s="15" t="s">
        <v>1320</v>
      </c>
      <c r="N970" s="15">
        <v>2</v>
      </c>
      <c r="O9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madre_de_los_creyentes.html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970" s="15" t="str">
        <f>_xlfn.TEXTBEFORE(_xlfn.TEXTAFTER(CantoralDB[[#This Row],[index.html]],"&gt;"),"&gt;")&amp;"&gt;"</f>
        <v>&lt;a href="canciones/francisco_palazon/madre_de_los_creyentes.html"&gt;</v>
      </c>
    </row>
    <row r="971" spans="1:21" hidden="1" x14ac:dyDescent="0.3">
      <c r="A971" s="1">
        <f>ROW(CantoralDB[[#This Row],[Título]])-1</f>
        <v>970</v>
      </c>
      <c r="B971" s="1" t="s">
        <v>1585</v>
      </c>
      <c r="C971" s="1"/>
      <c r="I971" s="1" t="s">
        <v>612</v>
      </c>
      <c r="L971" s="15" t="s">
        <v>484</v>
      </c>
      <c r="M971" s="15" t="s">
        <v>92</v>
      </c>
      <c r="N971" s="15">
        <v>3</v>
      </c>
      <c r="O9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madre_de_los_hijos_pobres.html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971" s="15" t="str">
        <f>_xlfn.TEXTBEFORE(_xlfn.TEXTAFTER(CantoralDB[[#This Row],[index.html]],"&gt;"),"&gt;")&amp;"&gt;"</f>
        <v>&lt;a href="canciones/kairoi/madre_de_los_hijos_pobres.html"&gt;</v>
      </c>
    </row>
    <row r="972" spans="1:21" hidden="1" x14ac:dyDescent="0.3">
      <c r="A972" s="1">
        <f>ROW(CantoralDB[[#This Row],[Título]])-1</f>
        <v>971</v>
      </c>
      <c r="B972" s="1" t="s">
        <v>88</v>
      </c>
      <c r="C972" s="1" t="s">
        <v>200</v>
      </c>
      <c r="D972" s="1" t="s">
        <v>1482</v>
      </c>
      <c r="E972" s="1">
        <v>163</v>
      </c>
      <c r="G972" s="1" t="s">
        <v>209</v>
      </c>
      <c r="H972" s="1" t="s">
        <v>1046</v>
      </c>
      <c r="I972" s="1" t="s">
        <v>612</v>
      </c>
      <c r="L972" s="15" t="s">
        <v>491</v>
      </c>
      <c r="M972" s="15"/>
      <c r="N972" s="15"/>
      <c r="O9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madre_de_todos_los_hombres.html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972" s="15" t="str">
        <f>_xlfn.TEXTBEFORE(_xlfn.TEXTAFTER(CantoralDB[[#This Row],[index.html]],"&gt;"),"&gt;")&amp;"&gt;"</f>
        <v>&lt;a href="canciones/juan_antonio_espinosa/madre_de_todos_los_hombres.html"&gt;</v>
      </c>
    </row>
    <row r="973" spans="1:21" hidden="1" x14ac:dyDescent="0.3">
      <c r="A973" s="1">
        <f>ROW(CantoralDB[[#This Row],[Título]])-1</f>
        <v>972</v>
      </c>
      <c r="B973" s="1" t="s">
        <v>1987</v>
      </c>
      <c r="C973" s="1"/>
      <c r="I973" s="1" t="s">
        <v>612</v>
      </c>
      <c r="L973" s="15" t="s">
        <v>481</v>
      </c>
      <c r="M973" s="15" t="s">
        <v>1320</v>
      </c>
      <c r="N973" s="15">
        <v>7</v>
      </c>
      <c r="O9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madre_del_redentor.html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973" s="15" t="str">
        <f>_xlfn.TEXTBEFORE(_xlfn.TEXTAFTER(CantoralDB[[#This Row],[index.html]],"&gt;"),"&gt;")&amp;"&gt;"</f>
        <v>&lt;a href="canciones/francisco_palazon/madre_del_redentor.html"&gt;</v>
      </c>
    </row>
    <row r="974" spans="1:21" hidden="1" x14ac:dyDescent="0.3">
      <c r="A974" s="1">
        <f>ROW(CantoralDB[[#This Row],[Título]])-1</f>
        <v>973</v>
      </c>
      <c r="B974" s="1" t="s">
        <v>1989</v>
      </c>
      <c r="C974" s="1"/>
      <c r="I974" s="1" t="s">
        <v>612</v>
      </c>
      <c r="L974" s="15" t="s">
        <v>481</v>
      </c>
      <c r="M974" s="15" t="s">
        <v>1320</v>
      </c>
      <c r="N974" s="15">
        <v>9</v>
      </c>
      <c r="O9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madre_nuestra.html</v>
      </c>
      <c r="R974" s="1"/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974" s="15" t="str">
        <f>_xlfn.TEXTBEFORE(_xlfn.TEXTAFTER(CantoralDB[[#This Row],[index.html]],"&gt;"),"&gt;")&amp;"&gt;"</f>
        <v>&lt;a href="canciones/francisco_palazon/madre_nuestra.html"&gt;</v>
      </c>
    </row>
    <row r="975" spans="1:21" hidden="1" x14ac:dyDescent="0.3">
      <c r="A975" s="1">
        <f>ROW(CantoralDB[[#This Row],[Título]])-1</f>
        <v>974</v>
      </c>
      <c r="B975" s="1" t="s">
        <v>3569</v>
      </c>
      <c r="C975" s="1"/>
      <c r="F975" s="1">
        <v>229</v>
      </c>
      <c r="I975" s="1"/>
      <c r="L975" s="15" t="s">
        <v>3354</v>
      </c>
      <c r="M975" s="15"/>
      <c r="N975" s="15"/>
      <c r="O9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9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9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maestro.html</v>
      </c>
      <c r="R975" s="1"/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975" s="15" t="str">
        <f>_xlfn.TEXTBEFORE(_xlfn.TEXTAFTER(CantoralDB[[#This Row],[index.html]],"&gt;"),"&gt;")&amp;"&gt;"</f>
        <v>&lt;a href="canciones/lazaro_iparraguirre/maestro.html"&gt;</v>
      </c>
    </row>
    <row r="976" spans="1:21" hidden="1" x14ac:dyDescent="0.3">
      <c r="A976" s="1">
        <f>ROW(CantoralDB[[#This Row],[Título]])-1</f>
        <v>975</v>
      </c>
      <c r="B976" s="1" t="s">
        <v>1586</v>
      </c>
      <c r="C976" s="1"/>
      <c r="I976" s="1" t="s">
        <v>612</v>
      </c>
      <c r="L976" s="15" t="s">
        <v>501</v>
      </c>
      <c r="M976" s="15" t="s">
        <v>1547</v>
      </c>
      <c r="N976" s="15">
        <v>7</v>
      </c>
      <c r="O9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6" s="1"/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href="canciones/ain_karem/magnificat.html"&gt;Magnificat&lt;/a&gt;&lt;/li&gt;</v>
      </c>
      <c r="U976" s="15" t="str">
        <f>_xlfn.TEXTBEFORE(_xlfn.TEXTAFTER(CantoralDB[[#This Row],[index.html]],"&gt;"),"&gt;")&amp;"&gt;"</f>
        <v>&lt;a href="canciones/ain_karem/magnificat.html"&gt;</v>
      </c>
    </row>
    <row r="977" spans="1:21" hidden="1" x14ac:dyDescent="0.3">
      <c r="A977" s="1">
        <f>ROW(CantoralDB[[#This Row],[Título]])-1</f>
        <v>976</v>
      </c>
      <c r="B977" s="1" t="s">
        <v>1586</v>
      </c>
      <c r="C977" s="1"/>
      <c r="I977" s="1" t="s">
        <v>612</v>
      </c>
      <c r="L977" s="15" t="s">
        <v>481</v>
      </c>
      <c r="M977" s="15" t="s">
        <v>1320</v>
      </c>
      <c r="N977" s="15">
        <v>5</v>
      </c>
      <c r="O9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7" s="1"/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977" s="15" t="str">
        <f>_xlfn.TEXTBEFORE(_xlfn.TEXTAFTER(CantoralDB[[#This Row],[index.html]],"&gt;"),"&gt;")&amp;"&gt;"</f>
        <v>&lt;a href="canciones/francisco_palazon/magnificat.html"&gt;</v>
      </c>
    </row>
    <row r="978" spans="1:21" hidden="1" x14ac:dyDescent="0.3">
      <c r="A978" s="1">
        <f>ROW(CantoralDB[[#This Row],[Título]])-1</f>
        <v>977</v>
      </c>
      <c r="B978" s="1" t="s">
        <v>1586</v>
      </c>
      <c r="C978" s="1"/>
      <c r="I978" s="1"/>
      <c r="L978" s="15" t="s">
        <v>3160</v>
      </c>
      <c r="M978" s="15" t="s">
        <v>3190</v>
      </c>
      <c r="N978" s="15">
        <v>3</v>
      </c>
      <c r="O9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href="canciones/hermana_glenda/magnificat.html"&gt;Magnificat&lt;/a&gt;&lt;/li&gt;</v>
      </c>
      <c r="U978" s="15" t="str">
        <f>_xlfn.TEXTBEFORE(_xlfn.TEXTAFTER(CantoralDB[[#This Row],[index.html]],"&gt;"),"&gt;")&amp;"&gt;"</f>
        <v>&lt;a href="canciones/hermana_glenda/magnificat.html"&gt;</v>
      </c>
    </row>
    <row r="979" spans="1:21" hidden="1" x14ac:dyDescent="0.3">
      <c r="A979" s="1">
        <f>ROW(CantoralDB[[#This Row],[Título]])-1</f>
        <v>978</v>
      </c>
      <c r="B979" s="1" t="s">
        <v>1586</v>
      </c>
      <c r="C979" s="1"/>
      <c r="F979" s="1">
        <v>235</v>
      </c>
      <c r="I979" s="1"/>
      <c r="L979" s="15" t="s">
        <v>3574</v>
      </c>
      <c r="M979" s="15"/>
      <c r="N979" s="15"/>
      <c r="O9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9" s="1"/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data-author="Joanne Boyce"&gt;&lt;a href="canciones/nuevas/magnificat.html"&gt;Magnificat&lt;/a&gt;&lt;/li&gt;</v>
      </c>
      <c r="U979" s="15" t="str">
        <f>_xlfn.TEXTBEFORE(_xlfn.TEXTAFTER(CantoralDB[[#This Row],[index.html]],"&gt;"),"&gt;")&amp;"&gt;"</f>
        <v>&lt;a href="canciones/nuevas/magnificat.html"&gt;</v>
      </c>
    </row>
    <row r="980" spans="1:21" hidden="1" x14ac:dyDescent="0.3">
      <c r="A980" s="1">
        <f>ROW(CantoralDB[[#This Row],[Título]])-1</f>
        <v>979</v>
      </c>
      <c r="B980" s="1" t="s">
        <v>1586</v>
      </c>
      <c r="C980" s="1"/>
      <c r="I980" s="1" t="s">
        <v>612</v>
      </c>
      <c r="L980" s="15" t="s">
        <v>484</v>
      </c>
      <c r="M980" s="15" t="s">
        <v>92</v>
      </c>
      <c r="N980" s="15">
        <v>4</v>
      </c>
      <c r="O9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href="canciones/kairoi/magnificat.html"&gt;Magnificat&lt;/a&gt;&lt;/li&gt;</v>
      </c>
      <c r="U980" s="15" t="str">
        <f>_xlfn.TEXTBEFORE(_xlfn.TEXTAFTER(CantoralDB[[#This Row],[index.html]],"&gt;"),"&gt;")&amp;"&gt;"</f>
        <v>&lt;a href="canciones/kairoi/magnificat.html"&gt;</v>
      </c>
    </row>
    <row r="981" spans="1:21" x14ac:dyDescent="0.3">
      <c r="A981" s="1">
        <f>ROW(CantoralDB[[#This Row],[Título]])-1</f>
        <v>980</v>
      </c>
      <c r="B981" s="1" t="s">
        <v>409</v>
      </c>
      <c r="C981" s="1" t="s">
        <v>1025</v>
      </c>
      <c r="D981" s="1" t="s">
        <v>1184</v>
      </c>
      <c r="F981" s="1">
        <v>68</v>
      </c>
      <c r="H981" s="1" t="s">
        <v>1039</v>
      </c>
      <c r="I981" s="1" t="s">
        <v>612</v>
      </c>
      <c r="L981" s="15" t="s">
        <v>1991</v>
      </c>
      <c r="M981" s="15"/>
      <c r="N981" s="15"/>
      <c r="O9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81" s="1" t="s">
        <v>980</v>
      </c>
      <c r="S981" s="1" t="s">
        <v>409</v>
      </c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981" s="15" t="str">
        <f>_xlfn.TEXTBEFORE(_xlfn.TEXTAFTER(CantoralDB[[#This Row],[index.html]],"&gt;"),"&gt;")&amp;"&gt;"</f>
        <v>&lt;a href="canciones/taize/magnificat_(canon).html"&gt;</v>
      </c>
    </row>
    <row r="982" spans="1:21" hidden="1" x14ac:dyDescent="0.3">
      <c r="A982" s="1">
        <f>ROW(CantoralDB[[#This Row],[Título]])-1</f>
        <v>981</v>
      </c>
      <c r="B982" s="1" t="s">
        <v>409</v>
      </c>
      <c r="C982" s="1" t="s">
        <v>1026</v>
      </c>
      <c r="D982" s="1" t="s">
        <v>1184</v>
      </c>
      <c r="F982" s="1">
        <v>68</v>
      </c>
      <c r="H982" s="1" t="s">
        <v>1039</v>
      </c>
      <c r="I982" s="1" t="s">
        <v>612</v>
      </c>
      <c r="L982" s="15" t="s">
        <v>2201</v>
      </c>
      <c r="M982" s="15"/>
      <c r="N982" s="15"/>
      <c r="O9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82" s="1"/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982" s="15" t="str">
        <f>_xlfn.TEXTBEFORE(_xlfn.TEXTAFTER(CantoralDB[[#This Row],[index.html]],"&gt;"),"&gt;")&amp;"&gt;"</f>
        <v>&lt;a href="canciones/taize/magnificat_(canon).html"&gt;</v>
      </c>
    </row>
    <row r="983" spans="1:21" hidden="1" x14ac:dyDescent="0.3">
      <c r="A983" s="1">
        <f>ROW(CantoralDB[[#This Row],[Título]])-1</f>
        <v>982</v>
      </c>
      <c r="B983" s="1" t="s">
        <v>3560</v>
      </c>
      <c r="C983" s="1"/>
      <c r="F983" s="1">
        <v>219</v>
      </c>
      <c r="I983" s="1"/>
      <c r="L983" s="15" t="s">
        <v>3561</v>
      </c>
      <c r="M983" s="15"/>
      <c r="N983" s="15"/>
      <c r="O9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majestad.html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data-author="Jack Hayford"&gt;&lt;a href="canciones/nuevas/majestad.html"&gt;Majestad&lt;/a&gt;&lt;/li&gt;</v>
      </c>
      <c r="U983" s="15" t="str">
        <f>_xlfn.TEXTBEFORE(_xlfn.TEXTAFTER(CantoralDB[[#This Row],[index.html]],"&gt;"),"&gt;")&amp;"&gt;"</f>
        <v>&lt;a href="canciones/nuevas/majestad.html"&gt;</v>
      </c>
    </row>
    <row r="984" spans="1:21" hidden="1" x14ac:dyDescent="0.3">
      <c r="A984" s="1">
        <f>ROW(CantoralDB[[#This Row],[Título]])-1</f>
        <v>983</v>
      </c>
      <c r="B984" s="1" t="s">
        <v>3720</v>
      </c>
      <c r="C984" s="1"/>
      <c r="F984" s="1">
        <v>382</v>
      </c>
      <c r="I984" s="1"/>
      <c r="L984" s="15" t="s">
        <v>3723</v>
      </c>
      <c r="M984" s="15"/>
      <c r="N984" s="15"/>
      <c r="O9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majestuoso_poderoso.html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984" s="15" t="str">
        <f>_xlfn.TEXTBEFORE(_xlfn.TEXTAFTER(CantoralDB[[#This Row],[index.html]],"&gt;"),"&gt;")&amp;"&gt;"</f>
        <v>&lt;a href="canciones/nuevas/majestuoso_poderoso.html"&gt;</v>
      </c>
    </row>
    <row r="985" spans="1:21" hidden="1" x14ac:dyDescent="0.3">
      <c r="A985" s="1">
        <f>ROW(CantoralDB[[#This Row],[Título]])-1</f>
        <v>984</v>
      </c>
      <c r="B985" s="1" t="s">
        <v>3554</v>
      </c>
      <c r="C985" s="1"/>
      <c r="F985" s="1">
        <v>211</v>
      </c>
      <c r="I985" s="1"/>
      <c r="L985" s="15" t="s">
        <v>799</v>
      </c>
      <c r="M985" s="15"/>
      <c r="N985" s="15"/>
      <c r="O9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manos_abiertas_ante_ti.html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href="canciones/nuevas/manos_abiertas_ante_ti.html"&gt;Manos abiertas ante ti&lt;/a&gt;&lt;/li&gt;</v>
      </c>
      <c r="U985" s="15" t="str">
        <f>_xlfn.TEXTBEFORE(_xlfn.TEXTAFTER(CantoralDB[[#This Row],[index.html]],"&gt;"),"&gt;")&amp;"&gt;"</f>
        <v>&lt;a href="canciones/nuevas/manos_abiertas_ante_ti.html"&gt;</v>
      </c>
    </row>
    <row r="986" spans="1:21" hidden="1" x14ac:dyDescent="0.3">
      <c r="A986" s="1">
        <f>ROW(CantoralDB[[#This Row],[Título]])-1</f>
        <v>985</v>
      </c>
      <c r="B986" s="1" t="s">
        <v>3564</v>
      </c>
      <c r="C986" s="1"/>
      <c r="F986" s="1">
        <v>222</v>
      </c>
      <c r="I986" s="1"/>
      <c r="L986" s="15" t="s">
        <v>799</v>
      </c>
      <c r="M986" s="15"/>
      <c r="N986" s="15"/>
      <c r="O9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manos_vacias.html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href="canciones/nuevas/manos_vacias.html"&gt;Manos vacías&lt;/a&gt;&lt;/li&gt;</v>
      </c>
      <c r="U986" s="15" t="str">
        <f>_xlfn.TEXTBEFORE(_xlfn.TEXTAFTER(CantoralDB[[#This Row],[index.html]],"&gt;"),"&gt;")&amp;"&gt;"</f>
        <v>&lt;a href="canciones/nuevas/manos_vacias.html"&gt;</v>
      </c>
    </row>
    <row r="987" spans="1:21" hidden="1" x14ac:dyDescent="0.3">
      <c r="A987" s="1">
        <f>ROW(CantoralDB[[#This Row],[Título]])-1</f>
        <v>986</v>
      </c>
      <c r="B987" s="1" t="s">
        <v>1719</v>
      </c>
      <c r="C987" s="1"/>
      <c r="I987" s="1" t="s">
        <v>612</v>
      </c>
      <c r="L987" s="15" t="s">
        <v>484</v>
      </c>
      <c r="M987" s="15" t="s">
        <v>1538</v>
      </c>
      <c r="N987" s="15">
        <v>8</v>
      </c>
      <c r="O9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mantas_de_carton.html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987" s="15" t="str">
        <f>_xlfn.TEXTBEFORE(_xlfn.TEXTAFTER(CantoralDB[[#This Row],[index.html]],"&gt;"),"&gt;")&amp;"&gt;"</f>
        <v>&lt;a href="canciones/kairoi/mantas_de_carton.html"&gt;</v>
      </c>
    </row>
    <row r="988" spans="1:21" hidden="1" x14ac:dyDescent="0.3">
      <c r="A988" s="1">
        <f>ROW(CantoralDB[[#This Row],[Título]])-1</f>
        <v>987</v>
      </c>
      <c r="B988" s="1" t="s">
        <v>1628</v>
      </c>
      <c r="C988" s="1"/>
      <c r="I988" s="1"/>
      <c r="L988" s="15" t="s">
        <v>484</v>
      </c>
      <c r="M988" s="15" t="s">
        <v>1526</v>
      </c>
      <c r="N988" s="15">
        <v>3</v>
      </c>
      <c r="O9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mañana_quien_sabra.html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988" s="15" t="str">
        <f>_xlfn.TEXTBEFORE(_xlfn.TEXTAFTER(CantoralDB[[#This Row],[index.html]],"&gt;"),"&gt;")&amp;"&gt;"</f>
        <v>&lt;a href="canciones/kairoi/mañana_quien_sabra.html"&gt;</v>
      </c>
    </row>
    <row r="989" spans="1:21" hidden="1" x14ac:dyDescent="0.3">
      <c r="A989" s="1">
        <f>ROW(CantoralDB[[#This Row],[Título]])-1</f>
        <v>988</v>
      </c>
      <c r="B989" s="1" t="s">
        <v>3167</v>
      </c>
      <c r="C989" s="1"/>
      <c r="I989" s="1"/>
      <c r="L989" s="15" t="s">
        <v>3160</v>
      </c>
      <c r="M989" s="15" t="s">
        <v>3161</v>
      </c>
      <c r="N989" s="15">
        <v>6</v>
      </c>
      <c r="O9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mar_rojo.html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href="canciones/hermana_glenda/mar_rojo.html"&gt;Mar rojo&lt;/a&gt;&lt;/li&gt;</v>
      </c>
      <c r="U989" s="15" t="str">
        <f>_xlfn.TEXTBEFORE(_xlfn.TEXTAFTER(CantoralDB[[#This Row],[index.html]],"&gt;"),"&gt;")&amp;"&gt;"</f>
        <v>&lt;a href="canciones/hermana_glenda/mar_rojo.html"&gt;</v>
      </c>
    </row>
    <row r="990" spans="1:21" hidden="1" x14ac:dyDescent="0.3">
      <c r="A990" s="1">
        <f>ROW(CantoralDB[[#This Row],[Título]])-1</f>
        <v>989</v>
      </c>
      <c r="B990" s="1" t="s">
        <v>490</v>
      </c>
      <c r="C990" s="1"/>
      <c r="F990" s="1">
        <v>250</v>
      </c>
      <c r="I990" s="1"/>
      <c r="L990" s="15" t="s">
        <v>3462</v>
      </c>
      <c r="M990" s="15"/>
      <c r="N990" s="15"/>
      <c r="O9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990" s="15" t="str">
        <f>_xlfn.TEXTBEFORE(_xlfn.TEXTAFTER(CantoralDB[[#This Row],[index.html]],"&gt;"),"&gt;")&amp;"&gt;"</f>
        <v>&lt;a href="canciones/nuevas/maranatha.html"&gt;</v>
      </c>
    </row>
    <row r="991" spans="1:21" hidden="1" x14ac:dyDescent="0.3">
      <c r="A991" s="1">
        <f>ROW(CantoralDB[[#This Row],[Título]])-1</f>
        <v>990</v>
      </c>
      <c r="B991" s="1" t="s">
        <v>490</v>
      </c>
      <c r="C991" s="1"/>
      <c r="I991" s="1"/>
      <c r="L991" s="15" t="s">
        <v>1804</v>
      </c>
      <c r="M991" s="15" t="s">
        <v>1950</v>
      </c>
      <c r="N991" s="15">
        <v>5</v>
      </c>
      <c r="O9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9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9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href="canciones/ruah/maranatha.html"&gt;Maranatha&lt;/a&gt;&lt;/li&gt;</v>
      </c>
      <c r="U991" s="15" t="str">
        <f>_xlfn.TEXTBEFORE(_xlfn.TEXTAFTER(CantoralDB[[#This Row],[index.html]],"&gt;"),"&gt;")&amp;"&gt;"</f>
        <v>&lt;a href="canciones/ruah/maranatha.html"&gt;</v>
      </c>
    </row>
    <row r="992" spans="1:21" hidden="1" x14ac:dyDescent="0.3">
      <c r="A992" s="1">
        <f>ROW(CantoralDB[[#This Row],[Título]])-1</f>
        <v>991</v>
      </c>
      <c r="B992" s="1" t="s">
        <v>3404</v>
      </c>
      <c r="C992" s="1"/>
      <c r="F992" s="1">
        <v>65</v>
      </c>
      <c r="I992" s="1"/>
      <c r="L992" s="15" t="s">
        <v>799</v>
      </c>
      <c r="M992" s="15"/>
      <c r="N992" s="15"/>
      <c r="O9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href="canciones/nuevas/maravilloso.html"&gt;Maravilloso&lt;/a&gt;&lt;/li&gt;</v>
      </c>
      <c r="U992" s="15" t="str">
        <f>_xlfn.TEXTBEFORE(_xlfn.TEXTAFTER(CantoralDB[[#This Row],[index.html]],"&gt;"),"&gt;")&amp;"&gt;"</f>
        <v>&lt;a href="canciones/nuevas/maravilloso.html"&gt;</v>
      </c>
    </row>
    <row r="993" spans="1:21" hidden="1" x14ac:dyDescent="0.3">
      <c r="A993" s="1">
        <f>ROW(CantoralDB[[#This Row],[Título]])-1</f>
        <v>992</v>
      </c>
      <c r="B993" s="1" t="s">
        <v>3397</v>
      </c>
      <c r="C993" s="1"/>
      <c r="F993" s="1">
        <v>59</v>
      </c>
      <c r="I993" s="1"/>
      <c r="L993" s="15" t="s">
        <v>799</v>
      </c>
      <c r="M993" s="15"/>
      <c r="N993" s="15"/>
      <c r="O9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maravilloso_jesus_es_para_mi.html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993" s="15" t="str">
        <f>_xlfn.TEXTBEFORE(_xlfn.TEXTAFTER(CantoralDB[[#This Row],[index.html]],"&gt;"),"&gt;")&amp;"&gt;"</f>
        <v>&lt;a href="canciones/nuevas/maravilloso_jesus_es_para_mi.html"&gt;</v>
      </c>
    </row>
    <row r="994" spans="1:21" hidden="1" x14ac:dyDescent="0.3">
      <c r="A994" s="1">
        <f>ROW(CantoralDB[[#This Row],[Título]])-1</f>
        <v>993</v>
      </c>
      <c r="B994" s="1" t="s">
        <v>1784</v>
      </c>
      <c r="C994" s="1"/>
      <c r="I994" s="1"/>
      <c r="L994" s="15" t="s">
        <v>484</v>
      </c>
      <c r="M994" s="15" t="s">
        <v>1545</v>
      </c>
      <c r="N994" s="15">
        <v>9</v>
      </c>
      <c r="O9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marcelino.html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href="canciones/kairoi/marcelino.html"&gt;Marcelino&lt;/a&gt;&lt;/li&gt;</v>
      </c>
      <c r="U994" s="15" t="str">
        <f>_xlfn.TEXTBEFORE(_xlfn.TEXTAFTER(CantoralDB[[#This Row],[index.html]],"&gt;"),"&gt;")&amp;"&gt;"</f>
        <v>&lt;a href="canciones/kairoi/marcelino.html"&gt;</v>
      </c>
    </row>
    <row r="995" spans="1:21" hidden="1" x14ac:dyDescent="0.3">
      <c r="A995" s="1">
        <f>ROW(CantoralDB[[#This Row],[Título]])-1</f>
        <v>994</v>
      </c>
      <c r="B995" s="1" t="s">
        <v>200</v>
      </c>
      <c r="C995" s="1"/>
      <c r="I995" s="1"/>
      <c r="L995" s="15" t="s">
        <v>3160</v>
      </c>
      <c r="M995" s="15" t="s">
        <v>3190</v>
      </c>
      <c r="N995" s="15">
        <v>8</v>
      </c>
      <c r="O9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maria.html</v>
      </c>
      <c r="R995" s="1"/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href="canciones/hermana_glenda/maria.html"&gt;María&lt;/a&gt;&lt;/li&gt;</v>
      </c>
      <c r="U995" s="15" t="str">
        <f>_xlfn.TEXTBEFORE(_xlfn.TEXTAFTER(CantoralDB[[#This Row],[index.html]],"&gt;"),"&gt;")&amp;"&gt;"</f>
        <v>&lt;a href="canciones/hermana_glenda/maria.html"&gt;</v>
      </c>
    </row>
    <row r="996" spans="1:21" hidden="1" x14ac:dyDescent="0.3">
      <c r="A996" s="1">
        <f>ROW(CantoralDB[[#This Row],[Título]])-1</f>
        <v>995</v>
      </c>
      <c r="B996" s="1" t="s">
        <v>538</v>
      </c>
      <c r="C996" s="1"/>
      <c r="I996" s="1"/>
      <c r="L996" s="15" t="s">
        <v>501</v>
      </c>
      <c r="M996" s="15" t="s">
        <v>1552</v>
      </c>
      <c r="N996" s="15">
        <v>12</v>
      </c>
      <c r="O9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996" s="15" t="str">
        <f>_xlfn.TEXTBEFORE(_xlfn.TEXTAFTER(CantoralDB[[#This Row],[index.html]],"&gt;"),"&gt;")&amp;"&gt;"</f>
        <v>&lt;a href="canciones/ain_karem/maria_de_nazaret.html"&gt;</v>
      </c>
    </row>
    <row r="997" spans="1:21" hidden="1" x14ac:dyDescent="0.3">
      <c r="A997" s="1">
        <f>ROW(CantoralDB[[#This Row],[Título]])-1</f>
        <v>996</v>
      </c>
      <c r="B997" s="1" t="s">
        <v>538</v>
      </c>
      <c r="C997" s="1" t="s">
        <v>200</v>
      </c>
      <c r="D997" s="1" t="s">
        <v>1086</v>
      </c>
      <c r="G997" s="1" t="s">
        <v>258</v>
      </c>
      <c r="H997" s="1" t="s">
        <v>1073</v>
      </c>
      <c r="I997" s="1" t="s">
        <v>612</v>
      </c>
      <c r="L997" s="15" t="s">
        <v>258</v>
      </c>
      <c r="M997" s="15"/>
      <c r="N997" s="15"/>
      <c r="O9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97" s="1"/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997" s="15" t="str">
        <f>_xlfn.TEXTBEFORE(_xlfn.TEXTAFTER(CantoralDB[[#This Row],[index.html]],"&gt;"),"&gt;")&amp;"&gt;"</f>
        <v>&lt;a href="canciones/nsb/maria_de_nazaret.html"&gt;</v>
      </c>
    </row>
    <row r="998" spans="1:21" hidden="1" x14ac:dyDescent="0.3">
      <c r="A998" s="1">
        <f>ROW(CantoralDB[[#This Row],[Título]])-1</f>
        <v>997</v>
      </c>
      <c r="B998" s="1" t="s">
        <v>1796</v>
      </c>
      <c r="C998" s="1"/>
      <c r="I998" s="1"/>
      <c r="L998" s="15" t="s">
        <v>501</v>
      </c>
      <c r="M998" s="15" t="s">
        <v>1547</v>
      </c>
      <c r="N998" s="15">
        <v>12</v>
      </c>
      <c r="O9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maria_magdalena.html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998" s="15" t="str">
        <f>_xlfn.TEXTBEFORE(_xlfn.TEXTAFTER(CantoralDB[[#This Row],[index.html]],"&gt;"),"&gt;")&amp;"&gt;"</f>
        <v>&lt;a href="canciones/ain_karem/maria_magdalena.html"&gt;</v>
      </c>
    </row>
    <row r="999" spans="1:21" hidden="1" x14ac:dyDescent="0.3">
      <c r="A999" s="1">
        <f>ROW(CantoralDB[[#This Row],[Título]])-1</f>
        <v>998</v>
      </c>
      <c r="B999" s="1" t="s">
        <v>2181</v>
      </c>
      <c r="C999" s="1"/>
      <c r="E999" s="1">
        <v>162</v>
      </c>
      <c r="I999" s="1" t="s">
        <v>612</v>
      </c>
      <c r="L999" s="15" t="s">
        <v>498</v>
      </c>
      <c r="M999" s="15"/>
      <c r="N999" s="15"/>
      <c r="O9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9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maria_fuiste_siempre_pobre_de_yahve.html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data-nold="162"&gt;&lt;a href="canciones/pedro_nuñez/maria_fuiste_siempre_pobre_de_yahve.html"&gt;María, fuiste siempre pobre de Yahvé&lt;/a&gt;&lt;/li&gt;</v>
      </c>
      <c r="U999" s="15" t="str">
        <f>_xlfn.TEXTBEFORE(_xlfn.TEXTAFTER(CantoralDB[[#This Row],[index.html]],"&gt;"),"&gt;")&amp;"&gt;"</f>
        <v>&lt;a href="canciones/pedro_nuñez/maria_fuiste_siempre_pobre_de_yahve.html"&gt;</v>
      </c>
    </row>
    <row r="1000" spans="1:21" hidden="1" x14ac:dyDescent="0.3">
      <c r="A1000" s="1">
        <f>ROW(CantoralDB[[#This Row],[Título]])-1</f>
        <v>999</v>
      </c>
      <c r="B1000" s="1" t="s">
        <v>1321</v>
      </c>
      <c r="C1000" s="1"/>
      <c r="E1000" s="1">
        <v>165</v>
      </c>
      <c r="I1000" s="1"/>
      <c r="L1000" s="15" t="s">
        <v>573</v>
      </c>
      <c r="M1000" s="15"/>
      <c r="N1000" s="15"/>
      <c r="O10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maria_guardabas_todo.html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000" s="15" t="str">
        <f>_xlfn.TEXTBEFORE(_xlfn.TEXTAFTER(CantoralDB[[#This Row],[index.html]],"&gt;"),"&gt;")&amp;"&gt;"</f>
        <v>&lt;a href="canciones/nsb/maria_guardabas_todo.html"&gt;</v>
      </c>
    </row>
    <row r="1001" spans="1:21" hidden="1" x14ac:dyDescent="0.3">
      <c r="A1001" s="1">
        <f>ROW(CantoralDB[[#This Row],[Título]])-1</f>
        <v>1000</v>
      </c>
      <c r="B1001" s="1" t="s">
        <v>89</v>
      </c>
      <c r="C1001" s="1" t="s">
        <v>200</v>
      </c>
      <c r="D1001" s="1" t="s">
        <v>1087</v>
      </c>
      <c r="E1001" s="1">
        <v>433</v>
      </c>
      <c r="G1001" s="1" t="s">
        <v>209</v>
      </c>
      <c r="H1001" s="1" t="s">
        <v>1051</v>
      </c>
      <c r="I1001" s="1" t="s">
        <v>612</v>
      </c>
      <c r="L1001" s="15" t="s">
        <v>484</v>
      </c>
      <c r="M1001" s="15" t="s">
        <v>1532</v>
      </c>
      <c r="N1001" s="15">
        <v>5</v>
      </c>
      <c r="O10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maria_la_madre_buena.html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1001" s="15" t="str">
        <f>_xlfn.TEXTBEFORE(_xlfn.TEXTAFTER(CantoralDB[[#This Row],[index.html]],"&gt;"),"&gt;")&amp;"&gt;"</f>
        <v>&lt;a href="canciones/kairoi/maria_la_madre_buena.html"&gt;</v>
      </c>
    </row>
    <row r="1002" spans="1:21" hidden="1" x14ac:dyDescent="0.3">
      <c r="A1002" s="1">
        <f>ROW(CantoralDB[[#This Row],[Título]])-1</f>
        <v>1001</v>
      </c>
      <c r="B1002" s="1" t="s">
        <v>1607</v>
      </c>
      <c r="C1002" s="1"/>
      <c r="I1002" s="1" t="s">
        <v>612</v>
      </c>
      <c r="L1002" s="15" t="s">
        <v>484</v>
      </c>
      <c r="M1002" s="15" t="s">
        <v>1529</v>
      </c>
      <c r="N1002" s="15">
        <v>5</v>
      </c>
      <c r="O10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maria_madre_del_dolor.html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1002" s="15" t="str">
        <f>_xlfn.TEXTBEFORE(_xlfn.TEXTAFTER(CantoralDB[[#This Row],[index.html]],"&gt;"),"&gt;")&amp;"&gt;"</f>
        <v>&lt;a href="canciones/kairoi/maria_madre_del_dolor.html"&gt;</v>
      </c>
    </row>
    <row r="1003" spans="1:21" hidden="1" x14ac:dyDescent="0.3">
      <c r="A1003" s="1">
        <f>ROW(CantoralDB[[#This Row],[Título]])-1</f>
        <v>1002</v>
      </c>
      <c r="B1003" s="1" t="s">
        <v>90</v>
      </c>
      <c r="C1003" s="1" t="s">
        <v>200</v>
      </c>
      <c r="D1003" s="1" t="s">
        <v>1088</v>
      </c>
      <c r="E1003" s="1">
        <v>434</v>
      </c>
      <c r="G1003" s="1" t="s">
        <v>209</v>
      </c>
      <c r="H1003" s="1" t="s">
        <v>532</v>
      </c>
      <c r="I1003" s="1" t="s">
        <v>612</v>
      </c>
      <c r="L1003" s="15" t="s">
        <v>799</v>
      </c>
      <c r="M1003" s="15"/>
      <c r="N1003" s="15"/>
      <c r="O10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maria_madre_nuestra.html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1003" s="15" t="str">
        <f>_xlfn.TEXTBEFORE(_xlfn.TEXTAFTER(CantoralDB[[#This Row],[index.html]],"&gt;"),"&gt;")&amp;"&gt;"</f>
        <v>&lt;a href="canciones/nsb/maria_madre_nuestra.html"&gt;</v>
      </c>
    </row>
    <row r="1004" spans="1:21" hidden="1" x14ac:dyDescent="0.3">
      <c r="A1004" s="1">
        <f>ROW(CantoralDB[[#This Row],[Título]])-1</f>
        <v>1003</v>
      </c>
      <c r="B1004" s="1" t="s">
        <v>3384</v>
      </c>
      <c r="C1004" s="1"/>
      <c r="F1004" s="1">
        <v>49</v>
      </c>
      <c r="I1004" s="1"/>
      <c r="L1004" s="15" t="s">
        <v>3382</v>
      </c>
      <c r="M1004" s="15"/>
      <c r="N1004" s="15"/>
      <c r="O10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maria_madre_conducenos.html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1004" s="15" t="str">
        <f>_xlfn.TEXTBEFORE(_xlfn.TEXTAFTER(CantoralDB[[#This Row],[index.html]],"&gt;"),"&gt;")&amp;"&gt;"</f>
        <v>&lt;a href="canciones/nuevas/maria_madre_conducenos.html"&gt;</v>
      </c>
    </row>
    <row r="1005" spans="1:21" hidden="1" x14ac:dyDescent="0.3">
      <c r="A1005" s="1">
        <f>ROW(CantoralDB[[#This Row],[Título]])-1</f>
        <v>1004</v>
      </c>
      <c r="B1005" s="1" t="s">
        <v>244</v>
      </c>
      <c r="C1005" s="1" t="s">
        <v>200</v>
      </c>
      <c r="D1005" s="1" t="s">
        <v>1089</v>
      </c>
      <c r="G1005" s="1" t="s">
        <v>220</v>
      </c>
      <c r="H1005" s="1" t="s">
        <v>1034</v>
      </c>
      <c r="I1005" s="1" t="s">
        <v>612</v>
      </c>
      <c r="L1005" s="15" t="s">
        <v>482</v>
      </c>
      <c r="M1005" s="15" t="s">
        <v>1893</v>
      </c>
      <c r="N1005" s="15">
        <v>12</v>
      </c>
      <c r="O10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0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maria_maria.html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005" s="15" t="str">
        <f>_xlfn.TEXTBEFORE(_xlfn.TEXTAFTER(CantoralDB[[#This Row],[index.html]],"&gt;"),"&gt;")&amp;"&gt;"</f>
        <v>&lt;a href="canciones/toño_casado/maria_maria.html"&gt;</v>
      </c>
    </row>
    <row r="1006" spans="1:21" hidden="1" x14ac:dyDescent="0.3">
      <c r="A1006" s="1">
        <f>ROW(CantoralDB[[#This Row],[Título]])-1</f>
        <v>1005</v>
      </c>
      <c r="B1006" s="1" t="s">
        <v>91</v>
      </c>
      <c r="C1006" s="1" t="s">
        <v>200</v>
      </c>
      <c r="D1006" s="1" t="s">
        <v>1090</v>
      </c>
      <c r="E1006" s="1">
        <v>435</v>
      </c>
      <c r="G1006" s="1" t="s">
        <v>209</v>
      </c>
      <c r="H1006" s="1" t="s">
        <v>1039</v>
      </c>
      <c r="I1006" s="1" t="s">
        <v>612</v>
      </c>
      <c r="L1006" s="15" t="s">
        <v>3159</v>
      </c>
      <c r="M1006" s="15"/>
      <c r="N1006" s="15"/>
      <c r="O10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maria_mirame.html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1006" s="15" t="str">
        <f>_xlfn.TEXTBEFORE(_xlfn.TEXTAFTER(CantoralDB[[#This Row],[index.html]],"&gt;"),"&gt;")&amp;"&gt;"</f>
        <v>&lt;a href="canciones/nsb/maria_mirame.html"&gt;</v>
      </c>
    </row>
    <row r="1007" spans="1:21" hidden="1" x14ac:dyDescent="0.3">
      <c r="A1007" s="1">
        <f>ROW(CantoralDB[[#This Row],[Título]])-1</f>
        <v>1006</v>
      </c>
      <c r="B1007" s="1" t="s">
        <v>92</v>
      </c>
      <c r="C1007" s="1" t="s">
        <v>200</v>
      </c>
      <c r="D1007" s="1" t="s">
        <v>1091</v>
      </c>
      <c r="E1007" s="1">
        <v>436</v>
      </c>
      <c r="F1007" s="1">
        <v>31</v>
      </c>
      <c r="G1007" s="1" t="s">
        <v>209</v>
      </c>
      <c r="H1007" s="1" t="s">
        <v>1041</v>
      </c>
      <c r="I1007" s="1" t="s">
        <v>612</v>
      </c>
      <c r="L1007" s="15" t="s">
        <v>484</v>
      </c>
      <c r="M1007" s="15" t="s">
        <v>92</v>
      </c>
      <c r="N1007" s="15">
        <v>7</v>
      </c>
      <c r="O10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maria_musica_de_dios.html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1007" s="15" t="str">
        <f>_xlfn.TEXTBEFORE(_xlfn.TEXTAFTER(CantoralDB[[#This Row],[index.html]],"&gt;"),"&gt;")&amp;"&gt;"</f>
        <v>&lt;a href="canciones/kairoi/maria_musica_de_dios.html"&gt;</v>
      </c>
    </row>
    <row r="1008" spans="1:21" hidden="1" x14ac:dyDescent="0.3">
      <c r="A1008" s="1">
        <f>ROW(CantoralDB[[#This Row],[Título]])-1</f>
        <v>1007</v>
      </c>
      <c r="B1008" s="1" t="s">
        <v>1322</v>
      </c>
      <c r="C1008" s="1"/>
      <c r="E1008" s="1">
        <v>167</v>
      </c>
      <c r="I1008" s="1"/>
      <c r="L1008" s="15" t="s">
        <v>479</v>
      </c>
      <c r="M1008" s="15"/>
      <c r="N1008" s="15"/>
      <c r="O10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0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mas_alla_las_redes_mas_alla.html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1008" s="15" t="str">
        <f>_xlfn.TEXTBEFORE(_xlfn.TEXTAFTER(CantoralDB[[#This Row],[index.html]],"&gt;"),"&gt;")&amp;"&gt;"</f>
        <v>&lt;a href="canciones/carmelo_erdozain/mas_alla_las_redes_mas_alla.html"&gt;</v>
      </c>
    </row>
    <row r="1009" spans="1:21" hidden="1" x14ac:dyDescent="0.3">
      <c r="A1009" s="1">
        <f>ROW(CantoralDB[[#This Row],[Título]])-1</f>
        <v>1008</v>
      </c>
      <c r="B1009" s="1" t="s">
        <v>1578</v>
      </c>
      <c r="C1009" s="1"/>
      <c r="I1009" s="1"/>
      <c r="L1009" s="15" t="s">
        <v>484</v>
      </c>
      <c r="M1009" s="15" t="s">
        <v>1578</v>
      </c>
      <c r="N1009" s="15">
        <v>7</v>
      </c>
      <c r="O10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mas_cerca_del_sol.html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1009" s="15" t="str">
        <f>_xlfn.TEXTBEFORE(_xlfn.TEXTAFTER(CantoralDB[[#This Row],[index.html]],"&gt;"),"&gt;")&amp;"&gt;"</f>
        <v>&lt;a href="canciones/kairoi/mas_cerca_del_sol.html"&gt;</v>
      </c>
    </row>
    <row r="1010" spans="1:21" hidden="1" x14ac:dyDescent="0.3">
      <c r="A1010" s="1">
        <f>ROW(CantoralDB[[#This Row],[Título]])-1</f>
        <v>1009</v>
      </c>
      <c r="B1010" s="1" t="s">
        <v>3093</v>
      </c>
      <c r="C1010" s="15"/>
      <c r="F1010" s="1">
        <v>101</v>
      </c>
      <c r="I1010" s="1" t="s">
        <v>612</v>
      </c>
      <c r="L1010" s="15" t="s">
        <v>3106</v>
      </c>
      <c r="M1010" s="15"/>
      <c r="N1010" s="15"/>
      <c r="O10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mas_de_ti_menos_de_mi.html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1010" s="15" t="str">
        <f>_xlfn.TEXTBEFORE(_xlfn.TEXTAFTER(CantoralDB[[#This Row],[index.html]],"&gt;"),"&gt;")&amp;"&gt;"</f>
        <v>&lt;a href="canciones/nuevas/mas_de_ti_menos_de_mi.html"&gt;</v>
      </c>
    </row>
    <row r="1011" spans="1:21" hidden="1" x14ac:dyDescent="0.3">
      <c r="A1011" s="1">
        <f>ROW(CantoralDB[[#This Row],[Título]])-1</f>
        <v>1010</v>
      </c>
      <c r="B1011" s="1" t="s">
        <v>3651</v>
      </c>
      <c r="C1011" s="1"/>
      <c r="F1011" s="1">
        <v>316</v>
      </c>
      <c r="I1011" s="1"/>
      <c r="L1011" s="15" t="s">
        <v>3340</v>
      </c>
      <c r="M1011" s="15"/>
      <c r="N1011" s="15"/>
      <c r="O10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0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0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mas_el_dios_de_toda_gracia.html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1011" s="15" t="str">
        <f>_xlfn.TEXTBEFORE(_xlfn.TEXTAFTER(CantoralDB[[#This Row],[index.html]],"&gt;"),"&gt;")&amp;"&gt;"</f>
        <v>&lt;a href="canciones/marcos_witt/mas_el_dios_de_toda_gracia.html"&gt;</v>
      </c>
    </row>
    <row r="1012" spans="1:21" x14ac:dyDescent="0.3">
      <c r="A1012" s="1">
        <f>ROW(CantoralDB[[#This Row],[Título]])-1</f>
        <v>1011</v>
      </c>
      <c r="B1012" s="1" t="s">
        <v>876</v>
      </c>
      <c r="C1012" s="1" t="s">
        <v>1025</v>
      </c>
      <c r="D1012" s="1" t="s">
        <v>1113</v>
      </c>
      <c r="H1012" s="1" t="s">
        <v>1038</v>
      </c>
      <c r="I1012" s="1" t="s">
        <v>612</v>
      </c>
      <c r="L1012" s="15" t="s">
        <v>1991</v>
      </c>
      <c r="M1012" s="15"/>
      <c r="N1012" s="15"/>
      <c r="O10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1012" s="1" t="s">
        <v>950</v>
      </c>
      <c r="S1012" s="1" t="s">
        <v>277</v>
      </c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1012" s="15" t="str">
        <f>_xlfn.TEXTBEFORE(_xlfn.TEXTAFTER(CantoralDB[[#This Row],[index.html]],"&gt;"),"&gt;")&amp;"&gt;"</f>
        <v>&lt;a href="canciones/taize/aber_du_weisst_den_weg_für_mich.html"&gt;</v>
      </c>
    </row>
    <row r="1013" spans="1:21" hidden="1" x14ac:dyDescent="0.3">
      <c r="A1013" s="1">
        <f>ROW(CantoralDB[[#This Row],[Título]])-1</f>
        <v>1012</v>
      </c>
      <c r="B1013" s="1" t="s">
        <v>1947</v>
      </c>
      <c r="C1013" s="1"/>
      <c r="I1013" s="1" t="s">
        <v>612</v>
      </c>
      <c r="L1013" s="15" t="s">
        <v>1804</v>
      </c>
      <c r="M1013" s="15" t="s">
        <v>1945</v>
      </c>
      <c r="N1013" s="15">
        <v>9</v>
      </c>
      <c r="O10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0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0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mayor_que_todo.html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href="canciones/ruah/mayor_que_todo.html"&gt;Mayor que todo&lt;/a&gt;&lt;/li&gt;</v>
      </c>
      <c r="U1013" s="15" t="str">
        <f>_xlfn.TEXTBEFORE(_xlfn.TEXTAFTER(CantoralDB[[#This Row],[index.html]],"&gt;"),"&gt;")&amp;"&gt;"</f>
        <v>&lt;a href="canciones/ruah/mayor_que_todo.html"&gt;</v>
      </c>
    </row>
    <row r="1014" spans="1:21" hidden="1" x14ac:dyDescent="0.3">
      <c r="A1014" s="1">
        <f>ROW(CantoralDB[[#This Row],[Título]])-1</f>
        <v>1013</v>
      </c>
      <c r="B1014" s="1" t="s">
        <v>3377</v>
      </c>
      <c r="C1014" s="1"/>
      <c r="F1014" s="1">
        <v>43</v>
      </c>
      <c r="I1014" s="1"/>
      <c r="L1014" s="15" t="s">
        <v>799</v>
      </c>
      <c r="M1014" s="15"/>
      <c r="N1014" s="15"/>
      <c r="O10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me_alegrare.html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href="canciones/nuevas/me_alegrare.html"&gt;Me alegraré&lt;/a&gt;&lt;/li&gt;</v>
      </c>
      <c r="U1014" s="15" t="str">
        <f>_xlfn.TEXTBEFORE(_xlfn.TEXTAFTER(CantoralDB[[#This Row],[index.html]],"&gt;"),"&gt;")&amp;"&gt;"</f>
        <v>&lt;a href="canciones/nuevas/me_alegrare.html"&gt;</v>
      </c>
    </row>
    <row r="1015" spans="1:21" hidden="1" x14ac:dyDescent="0.3">
      <c r="A1015" s="1">
        <f>ROW(CantoralDB[[#This Row],[Título]])-1</f>
        <v>1014</v>
      </c>
      <c r="B1015" s="1" t="s">
        <v>3187</v>
      </c>
      <c r="C1015" s="1"/>
      <c r="I1015" s="1"/>
      <c r="L1015" s="15" t="s">
        <v>3160</v>
      </c>
      <c r="M1015" s="15" t="s">
        <v>3175</v>
      </c>
      <c r="N1015" s="15">
        <v>13</v>
      </c>
      <c r="O10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me_amo_y_se_entrego.html</v>
      </c>
      <c r="R1015" s="1"/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href="canciones/hermana_glenda/me_amo_y_se_entrego.html"&gt;Me amó y se entregó&lt;/a&gt;&lt;/li&gt;</v>
      </c>
      <c r="U1015" s="15" t="str">
        <f>_xlfn.TEXTBEFORE(_xlfn.TEXTAFTER(CantoralDB[[#This Row],[index.html]],"&gt;"),"&gt;")&amp;"&gt;"</f>
        <v>&lt;a href="canciones/hermana_glenda/me_amo_y_se_entrego.html"&gt;</v>
      </c>
    </row>
    <row r="1016" spans="1:21" hidden="1" x14ac:dyDescent="0.3">
      <c r="A1016" s="1">
        <f>ROW(CantoralDB[[#This Row],[Título]])-1</f>
        <v>1015</v>
      </c>
      <c r="B1016" s="1" t="s">
        <v>3628</v>
      </c>
      <c r="C1016" s="1"/>
      <c r="F1016" s="1">
        <v>295</v>
      </c>
      <c r="I1016" s="1"/>
      <c r="L1016" s="15" t="s">
        <v>543</v>
      </c>
      <c r="M1016" s="15"/>
      <c r="N1016" s="15"/>
      <c r="O10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0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0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me_basta_tu_presencia_y_tu_figura.html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1016" s="15" t="str">
        <f>_xlfn.TEXTBEFORE(_xlfn.TEXTAFTER(CantoralDB[[#This Row],[index.html]],"&gt;"),"&gt;")&amp;"&gt;"</f>
        <v>&lt;a href="canciones/josep_asuncion/me_basta_tu_presencia_y_tu_figura.html"&gt;</v>
      </c>
    </row>
    <row r="1017" spans="1:21" hidden="1" x14ac:dyDescent="0.3">
      <c r="A1017" s="1">
        <f>ROW(CantoralDB[[#This Row],[Título]])-1</f>
        <v>1016</v>
      </c>
      <c r="B1017" s="1" t="s">
        <v>1594</v>
      </c>
      <c r="C1017" s="1"/>
      <c r="I1017" s="1" t="s">
        <v>612</v>
      </c>
      <c r="L1017" s="15" t="s">
        <v>484</v>
      </c>
      <c r="M1017" s="15" t="s">
        <v>1528</v>
      </c>
      <c r="N1017" s="15">
        <v>2</v>
      </c>
      <c r="O10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me_estas_llamando.html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1017" s="15" t="str">
        <f>_xlfn.TEXTBEFORE(_xlfn.TEXTAFTER(CantoralDB[[#This Row],[index.html]],"&gt;"),"&gt;")&amp;"&gt;"</f>
        <v>&lt;a href="canciones/kairoi/me_estas_llamando.html"&gt;</v>
      </c>
    </row>
    <row r="1018" spans="1:21" hidden="1" x14ac:dyDescent="0.3">
      <c r="A1018" s="1">
        <f>ROW(CantoralDB[[#This Row],[Título]])-1</f>
        <v>1017</v>
      </c>
      <c r="B1018" s="1" t="s">
        <v>3622</v>
      </c>
      <c r="C1018" s="1"/>
      <c r="F1018" s="1">
        <v>289</v>
      </c>
      <c r="I1018" s="1"/>
      <c r="L1018" s="15" t="s">
        <v>799</v>
      </c>
      <c r="M1018" s="15"/>
      <c r="N1018" s="15"/>
      <c r="O10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me_gozare_me_alegrare.html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href="canciones/nuevas/me_gozare_me_alegrare.html"&gt;Me gozaré, me alegraré&lt;/a&gt;&lt;/li&gt;</v>
      </c>
      <c r="U1018" s="15" t="str">
        <f>_xlfn.TEXTBEFORE(_xlfn.TEXTAFTER(CantoralDB[[#This Row],[index.html]],"&gt;"),"&gt;")&amp;"&gt;"</f>
        <v>&lt;a href="canciones/nuevas/me_gozare_me_alegrare.html"&gt;</v>
      </c>
    </row>
    <row r="1019" spans="1:21" hidden="1" x14ac:dyDescent="0.3">
      <c r="A1019" s="1">
        <f>ROW(CantoralDB[[#This Row],[Título]])-1</f>
        <v>1018</v>
      </c>
      <c r="B1019" s="1" t="s">
        <v>1617</v>
      </c>
      <c r="C1019" s="1"/>
      <c r="I1019" s="1" t="s">
        <v>612</v>
      </c>
      <c r="L1019" s="15" t="s">
        <v>484</v>
      </c>
      <c r="M1019" s="15" t="s">
        <v>1534</v>
      </c>
      <c r="N1019" s="15">
        <v>2</v>
      </c>
      <c r="O10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me_has_seducido_señor.html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1019" s="15" t="str">
        <f>_xlfn.TEXTBEFORE(_xlfn.TEXTAFTER(CantoralDB[[#This Row],[index.html]],"&gt;"),"&gt;")&amp;"&gt;"</f>
        <v>&lt;a href="canciones/kairoi/me_has_seducido_señor.html"&gt;</v>
      </c>
    </row>
    <row r="1020" spans="1:21" hidden="1" x14ac:dyDescent="0.3">
      <c r="A1020" s="1">
        <f>ROW(CantoralDB[[#This Row],[Título]])-1</f>
        <v>1019</v>
      </c>
      <c r="B1020" s="1" t="s">
        <v>1634</v>
      </c>
      <c r="C1020" s="1"/>
      <c r="I1020" s="1"/>
      <c r="L1020" s="15" t="s">
        <v>484</v>
      </c>
      <c r="M1020" s="15" t="s">
        <v>1526</v>
      </c>
      <c r="N1020" s="15">
        <v>10</v>
      </c>
      <c r="O10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me_hicieron_asi.html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1020" s="15" t="str">
        <f>_xlfn.TEXTBEFORE(_xlfn.TEXTAFTER(CantoralDB[[#This Row],[index.html]],"&gt;"),"&gt;")&amp;"&gt;"</f>
        <v>&lt;a href="canciones/kairoi/me_hicieron_asi.html"&gt;</v>
      </c>
    </row>
    <row r="1021" spans="1:21" hidden="1" x14ac:dyDescent="0.3">
      <c r="A1021" s="1">
        <f>ROW(CantoralDB[[#This Row],[Título]])-1</f>
        <v>1020</v>
      </c>
      <c r="B1021" s="1" t="s">
        <v>228</v>
      </c>
      <c r="C1021" s="1" t="s">
        <v>201</v>
      </c>
      <c r="D1021" s="1" t="s">
        <v>665</v>
      </c>
      <c r="G1021" s="1" t="s">
        <v>216</v>
      </c>
      <c r="H1021" s="1" t="s">
        <v>532</v>
      </c>
      <c r="I1021" s="1" t="s">
        <v>612</v>
      </c>
      <c r="L1021" s="15" t="s">
        <v>499</v>
      </c>
      <c r="M1021" s="15"/>
      <c r="N1021" s="15"/>
      <c r="O10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me_levantare.html</v>
      </c>
      <c r="R1021" s="1" t="s">
        <v>847</v>
      </c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1021" s="15" t="str">
        <f>_xlfn.TEXTBEFORE(_xlfn.TEXTAFTER(CantoralDB[[#This Row],[index.html]],"&gt;"),"&gt;")&amp;"&gt;"</f>
        <v>&lt;a href="canciones/brotes_de_olivo/me_levantare.html"&gt;</v>
      </c>
    </row>
    <row r="1022" spans="1:21" hidden="1" x14ac:dyDescent="0.3">
      <c r="A1022" s="1">
        <f>ROW(CantoralDB[[#This Row],[Título]])-1</f>
        <v>1021</v>
      </c>
      <c r="B1022" s="1" t="s">
        <v>3736</v>
      </c>
      <c r="C1022" s="1"/>
      <c r="F1022" s="1">
        <v>392</v>
      </c>
      <c r="I1022" s="1"/>
      <c r="L1022" s="15" t="s">
        <v>799</v>
      </c>
      <c r="M1022" s="15"/>
      <c r="N1022" s="15"/>
      <c r="O10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me_llaman_aleluya.html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href="canciones/nuevas/me_llaman_aleluya.html"&gt;Me llaman aleluya&lt;/a&gt;&lt;/li&gt;</v>
      </c>
      <c r="U1022" s="15" t="str">
        <f>_xlfn.TEXTBEFORE(_xlfn.TEXTAFTER(CantoralDB[[#This Row],[index.html]],"&gt;"),"&gt;")&amp;"&gt;"</f>
        <v>&lt;a href="canciones/nuevas/me_llaman_aleluya.html"&gt;</v>
      </c>
    </row>
    <row r="1023" spans="1:21" hidden="1" x14ac:dyDescent="0.3">
      <c r="A1023" s="1">
        <f>ROW(CantoralDB[[#This Row],[Título]])-1</f>
        <v>1022</v>
      </c>
      <c r="B1023" s="1" t="s">
        <v>1679</v>
      </c>
      <c r="C1023" s="1"/>
      <c r="I1023" s="1"/>
      <c r="L1023" s="15" t="s">
        <v>484</v>
      </c>
      <c r="M1023" s="15" t="s">
        <v>1533</v>
      </c>
      <c r="N1023" s="15">
        <v>11</v>
      </c>
      <c r="O10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me_muero_de_hambre.html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1023" s="15" t="str">
        <f>_xlfn.TEXTBEFORE(_xlfn.TEXTAFTER(CantoralDB[[#This Row],[index.html]],"&gt;"),"&gt;")&amp;"&gt;"</f>
        <v>&lt;a href="canciones/kairoi/me_muero_de_hambre.html"&gt;</v>
      </c>
    </row>
    <row r="1024" spans="1:21" hidden="1" x14ac:dyDescent="0.3">
      <c r="A1024" s="1">
        <f>ROW(CantoralDB[[#This Row],[Título]])-1</f>
        <v>1023</v>
      </c>
      <c r="B1024" s="1" t="s">
        <v>3590</v>
      </c>
      <c r="C1024" s="1"/>
      <c r="F1024" s="1">
        <v>256</v>
      </c>
      <c r="I1024" s="1"/>
      <c r="L1024" s="15" t="s">
        <v>799</v>
      </c>
      <c r="M1024" s="15"/>
      <c r="N1024" s="15"/>
      <c r="O10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me_sedujiste_señor.html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href="canciones/nuevas/me_sedujiste_señor.html"&gt;Me sedujiste, Señor&lt;/a&gt;&lt;/li&gt;</v>
      </c>
      <c r="U1024" s="15" t="str">
        <f>_xlfn.TEXTBEFORE(_xlfn.TEXTAFTER(CantoralDB[[#This Row],[index.html]],"&gt;"),"&gt;")&amp;"&gt;"</f>
        <v>&lt;a href="canciones/nuevas/me_sedujiste_señor.html"&gt;</v>
      </c>
    </row>
    <row r="1025" spans="1:21" hidden="1" x14ac:dyDescent="0.3">
      <c r="A1025" s="1">
        <f>ROW(CantoralDB[[#This Row],[Título]])-1</f>
        <v>1024</v>
      </c>
      <c r="B1025" s="1" t="s">
        <v>2034</v>
      </c>
      <c r="C1025" s="1"/>
      <c r="I1025" s="1" t="s">
        <v>612</v>
      </c>
      <c r="L1025" s="15" t="s">
        <v>261</v>
      </c>
      <c r="M1025" s="15"/>
      <c r="N1025" s="15"/>
      <c r="O10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me_sobrepasa.html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href="canciones/hakuna/me_sobrepasa.html"&gt;Me sobrepasa&lt;/a&gt;&lt;/li&gt;</v>
      </c>
      <c r="U1025" s="15" t="str">
        <f>_xlfn.TEXTBEFORE(_xlfn.TEXTAFTER(CantoralDB[[#This Row],[index.html]],"&gt;"),"&gt;")&amp;"&gt;"</f>
        <v>&lt;a href="canciones/hakuna/me_sobrepasa.html"&gt;</v>
      </c>
    </row>
    <row r="1026" spans="1:21" hidden="1" x14ac:dyDescent="0.3">
      <c r="A1026" s="1">
        <f>ROW(CantoralDB[[#This Row],[Título]])-1</f>
        <v>1025</v>
      </c>
      <c r="B1026" s="1" t="s">
        <v>1982</v>
      </c>
      <c r="C1026" s="1"/>
      <c r="I1026" s="1"/>
      <c r="L1026" s="15" t="s">
        <v>481</v>
      </c>
      <c r="M1026" s="15" t="s">
        <v>21</v>
      </c>
      <c r="N1026" s="15">
        <v>13</v>
      </c>
      <c r="O10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0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meditacion_(instrumental).html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href="canciones/francisco_palazon/meditacion_(instrumental).html"&gt;Meditación (instrumental)&lt;/a&gt;&lt;/li&gt;</v>
      </c>
      <c r="U1026" s="15" t="str">
        <f>_xlfn.TEXTBEFORE(_xlfn.TEXTAFTER(CantoralDB[[#This Row],[index.html]],"&gt;"),"&gt;")&amp;"&gt;"</f>
        <v>&lt;a href="canciones/francisco_palazon/meditacion_(instrumental).html"&gt;</v>
      </c>
    </row>
    <row r="1027" spans="1:21" hidden="1" x14ac:dyDescent="0.3">
      <c r="A1027" s="1">
        <f>ROW(CantoralDB[[#This Row],[Título]])-1</f>
        <v>1026</v>
      </c>
      <c r="B1027" s="1" t="s">
        <v>3342</v>
      </c>
      <c r="C1027" s="1"/>
      <c r="F1027" s="1">
        <v>10</v>
      </c>
      <c r="I1027" s="1"/>
      <c r="L1027" s="15" t="s">
        <v>799</v>
      </c>
      <c r="M1027" s="15"/>
      <c r="N1027" s="15"/>
      <c r="O10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mejor_que_vida_es_tu_misericordia.html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1027" s="15" t="str">
        <f>_xlfn.TEXTBEFORE(_xlfn.TEXTAFTER(CantoralDB[[#This Row],[index.html]],"&gt;"),"&gt;")&amp;"&gt;"</f>
        <v>&lt;a href="canciones/nuevas/mejor_que_vida_es_tu_misericordia.html"&gt;</v>
      </c>
    </row>
    <row r="1028" spans="1:21" hidden="1" x14ac:dyDescent="0.3">
      <c r="A1028" s="1">
        <f>ROW(CantoralDB[[#This Row],[Título]])-1</f>
        <v>1027</v>
      </c>
      <c r="B1028" s="1" t="s">
        <v>3268</v>
      </c>
      <c r="C1028" s="1"/>
      <c r="I1028" s="1"/>
      <c r="L1028" s="15" t="s">
        <v>3160</v>
      </c>
      <c r="M1028" s="15" t="s">
        <v>415</v>
      </c>
      <c r="N1028" s="15">
        <v>7</v>
      </c>
      <c r="O10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mentes_cansadas.html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href="canciones/hermana_glenda/mentes_cansadas.html"&gt;Mentes cansadas&lt;/a&gt;&lt;/li&gt;</v>
      </c>
      <c r="U1028" s="15" t="str">
        <f>_xlfn.TEXTBEFORE(_xlfn.TEXTAFTER(CantoralDB[[#This Row],[index.html]],"&gt;"),"&gt;")&amp;"&gt;"</f>
        <v>&lt;a href="canciones/hermana_glenda/mentes_cansadas.html"&gt;</v>
      </c>
    </row>
    <row r="1029" spans="1:21" hidden="1" x14ac:dyDescent="0.3">
      <c r="A1029" s="1">
        <f>ROW(CantoralDB[[#This Row],[Título]])-1</f>
        <v>1028</v>
      </c>
      <c r="B1029" s="1" t="s">
        <v>3477</v>
      </c>
      <c r="C1029" s="1"/>
      <c r="F1029" s="1">
        <v>132</v>
      </c>
      <c r="I1029" s="1"/>
      <c r="L1029" s="15" t="s">
        <v>799</v>
      </c>
      <c r="M1029" s="15"/>
      <c r="N1029" s="15"/>
      <c r="O10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mi_alma_alaba_al_señor.html</v>
      </c>
      <c r="R1029" s="1"/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href="canciones/nuevas/mi_alma_alaba_al_señor.html"&gt;Mi alma alaba al Señor&lt;/a&gt;&lt;/li&gt;</v>
      </c>
      <c r="U1029" s="15" t="str">
        <f>_xlfn.TEXTBEFORE(_xlfn.TEXTAFTER(CantoralDB[[#This Row],[index.html]],"&gt;"),"&gt;")&amp;"&gt;"</f>
        <v>&lt;a href="canciones/nuevas/mi_alma_alaba_al_señor.html"&gt;</v>
      </c>
    </row>
    <row r="1030" spans="1:21" hidden="1" x14ac:dyDescent="0.3">
      <c r="A1030" s="1">
        <f>ROW(CantoralDB[[#This Row],[Título]])-1</f>
        <v>1029</v>
      </c>
      <c r="B1030" s="1" t="s">
        <v>3388</v>
      </c>
      <c r="C1030" s="1"/>
      <c r="F1030" s="1">
        <v>51</v>
      </c>
      <c r="I1030" s="1"/>
      <c r="L1030" s="15" t="s">
        <v>3387</v>
      </c>
      <c r="M1030" s="15"/>
      <c r="N1030" s="15"/>
      <c r="O10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mi_alma_esta_sedienta.html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1030" s="15" t="str">
        <f>_xlfn.TEXTBEFORE(_xlfn.TEXTAFTER(CantoralDB[[#This Row],[index.html]],"&gt;"),"&gt;")&amp;"&gt;"</f>
        <v>&lt;a href="canciones/nuevas/mi_alma_esta_sedienta.html"&gt;</v>
      </c>
    </row>
    <row r="1031" spans="1:21" hidden="1" x14ac:dyDescent="0.3">
      <c r="A1031" s="1">
        <f>ROW(CantoralDB[[#This Row],[Título]])-1</f>
        <v>1030</v>
      </c>
      <c r="B1031" s="1" t="s">
        <v>3591</v>
      </c>
      <c r="C1031" s="1"/>
      <c r="F1031" s="1">
        <v>257</v>
      </c>
      <c r="I1031" s="1"/>
      <c r="L1031" s="15" t="s">
        <v>3593</v>
      </c>
      <c r="M1031" s="15"/>
      <c r="N1031" s="15"/>
      <c r="O10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mi_alma_tiene_sed_de_dios.html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1031" s="15" t="str">
        <f>_xlfn.TEXTBEFORE(_xlfn.TEXTAFTER(CantoralDB[[#This Row],[index.html]],"&gt;"),"&gt;")&amp;"&gt;"</f>
        <v>&lt;a href="canciones/nuevas/mi_alma_tiene_sed_de_dios.html"&gt;</v>
      </c>
    </row>
    <row r="1032" spans="1:21" hidden="1" x14ac:dyDescent="0.3">
      <c r="A1032" s="1">
        <f>ROW(CantoralDB[[#This Row],[Título]])-1</f>
        <v>1031</v>
      </c>
      <c r="B1032" s="1" t="s">
        <v>2048</v>
      </c>
      <c r="C1032" s="1"/>
      <c r="I1032" s="1"/>
      <c r="L1032" s="15" t="s">
        <v>261</v>
      </c>
      <c r="M1032" s="15"/>
      <c r="N1032" s="15"/>
      <c r="O10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mi_amado.html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href="canciones/hakuna/mi_amado.html"&gt;Mi amado&lt;/a&gt;&lt;/li&gt;</v>
      </c>
      <c r="U1032" s="15" t="str">
        <f>_xlfn.TEXTBEFORE(_xlfn.TEXTAFTER(CantoralDB[[#This Row],[index.html]],"&gt;"),"&gt;")&amp;"&gt;"</f>
        <v>&lt;a href="canciones/hakuna/mi_amado.html"&gt;</v>
      </c>
    </row>
    <row r="1033" spans="1:21" hidden="1" x14ac:dyDescent="0.3">
      <c r="A1033" s="1">
        <f>ROW(CantoralDB[[#This Row],[Título]])-1</f>
        <v>1032</v>
      </c>
      <c r="B1033" s="1" t="s">
        <v>1627</v>
      </c>
      <c r="C1033" s="1"/>
      <c r="I1033" s="1"/>
      <c r="L1033" s="15" t="s">
        <v>484</v>
      </c>
      <c r="M1033" s="15" t="s">
        <v>1526</v>
      </c>
      <c r="N1033" s="15">
        <v>2</v>
      </c>
      <c r="O10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mi_ciudad.html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href="canciones/kairoi/mi_ciudad.html"&gt;Mi ciudad&lt;/a&gt;&lt;/li&gt;</v>
      </c>
      <c r="U1033" s="15" t="str">
        <f>_xlfn.TEXTBEFORE(_xlfn.TEXTAFTER(CantoralDB[[#This Row],[index.html]],"&gt;"),"&gt;")&amp;"&gt;"</f>
        <v>&lt;a href="canciones/kairoi/mi_ciudad.html"&gt;</v>
      </c>
    </row>
    <row r="1034" spans="1:21" x14ac:dyDescent="0.3">
      <c r="A1034" s="1">
        <f>ROW(CantoralDB[[#This Row],[Título]])-1</f>
        <v>1033</v>
      </c>
      <c r="B1034" s="1" t="s">
        <v>915</v>
      </c>
      <c r="C1034" s="1" t="s">
        <v>1025</v>
      </c>
      <c r="D1034" s="1" t="s">
        <v>1170</v>
      </c>
      <c r="H1034" s="1" t="s">
        <v>1050</v>
      </c>
      <c r="I1034" s="1" t="s">
        <v>612</v>
      </c>
      <c r="L1034" s="15" t="s">
        <v>1991</v>
      </c>
      <c r="M1034" s="15"/>
      <c r="N1034" s="15"/>
      <c r="O10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1034" s="1" t="s">
        <v>971</v>
      </c>
      <c r="S1034" s="1" t="s">
        <v>368</v>
      </c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1034" s="15" t="str">
        <f>_xlfn.TEXTBEFORE(_xlfn.TEXTAFTER(CantoralDB[[#This Row],[index.html]],"&gt;"),"&gt;")&amp;"&gt;"</f>
        <v>&lt;a href="canciones/taize/iedere_nacht_verlang_ik.html"&gt;</v>
      </c>
    </row>
    <row r="1035" spans="1:21" hidden="1" x14ac:dyDescent="0.3">
      <c r="A1035" s="1">
        <f>ROW(CantoralDB[[#This Row],[Título]])-1</f>
        <v>1034</v>
      </c>
      <c r="B1035" s="1" t="s">
        <v>3711</v>
      </c>
      <c r="C1035" s="1"/>
      <c r="F1035" s="1">
        <v>373</v>
      </c>
      <c r="I1035" s="1"/>
      <c r="L1035" s="15" t="s">
        <v>3710</v>
      </c>
      <c r="M1035" s="15"/>
      <c r="N1035" s="15"/>
      <c r="O10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mi_cristo_mi_rey.html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1035" s="15" t="str">
        <f>_xlfn.TEXTBEFORE(_xlfn.TEXTAFTER(CantoralDB[[#This Row],[index.html]],"&gt;"),"&gt;")&amp;"&gt;"</f>
        <v>&lt;a href="canciones/nuevas/mi_cristo_mi_rey.html"&gt;</v>
      </c>
    </row>
    <row r="1036" spans="1:21" hidden="1" x14ac:dyDescent="0.3">
      <c r="A1036" s="1">
        <f>ROW(CantoralDB[[#This Row],[Título]])-1</f>
        <v>1035</v>
      </c>
      <c r="B1036" s="1" t="s">
        <v>93</v>
      </c>
      <c r="C1036" s="1" t="s">
        <v>192</v>
      </c>
      <c r="D1036" s="1" t="s">
        <v>1483</v>
      </c>
      <c r="E1036" s="1">
        <v>168</v>
      </c>
      <c r="F1036" s="1" t="s">
        <v>3443</v>
      </c>
      <c r="G1036" s="1" t="s">
        <v>209</v>
      </c>
      <c r="H1036" s="1" t="s">
        <v>1034</v>
      </c>
      <c r="I1036" s="1" t="s">
        <v>612</v>
      </c>
      <c r="L1036" s="15" t="s">
        <v>2155</v>
      </c>
      <c r="M1036" s="15"/>
      <c r="N1036" s="15"/>
      <c r="O10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mi_dios_esta_vivo.html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data-momento="Perdón - Agua" data-nnew="B03" data-nold="168"&gt;&lt;a href="canciones/nsb/mi_dios_esta_vivo.html"&gt;Mi Dios está vivo&lt;/a&gt;&lt;/li&gt;</v>
      </c>
      <c r="U1036" s="15" t="str">
        <f>_xlfn.TEXTBEFORE(_xlfn.TEXTAFTER(CantoralDB[[#This Row],[index.html]],"&gt;"),"&gt;")&amp;"&gt;"</f>
        <v>&lt;a href="canciones/nsb/mi_dios_esta_vivo.html"&gt;</v>
      </c>
    </row>
    <row r="1037" spans="1:21" hidden="1" x14ac:dyDescent="0.3">
      <c r="A1037" s="1">
        <f>ROW(CantoralDB[[#This Row],[Título]])-1</f>
        <v>1036</v>
      </c>
      <c r="B1037" s="1" t="s">
        <v>1705</v>
      </c>
      <c r="C1037" s="1"/>
      <c r="I1037" s="1"/>
      <c r="L1037" s="15" t="s">
        <v>484</v>
      </c>
      <c r="M1037" s="15" t="s">
        <v>1578</v>
      </c>
      <c r="N1037" s="15">
        <v>12</v>
      </c>
      <c r="O10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mi_mamita_buena.html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1037" s="15" t="str">
        <f>_xlfn.TEXTBEFORE(_xlfn.TEXTAFTER(CantoralDB[[#This Row],[index.html]],"&gt;"),"&gt;")&amp;"&gt;"</f>
        <v>&lt;a href="canciones/kairoi/mi_mamita_buena.html"&gt;</v>
      </c>
    </row>
    <row r="1038" spans="1:21" hidden="1" x14ac:dyDescent="0.3">
      <c r="A1038" s="1">
        <f>ROW(CantoralDB[[#This Row],[Título]])-1</f>
        <v>1037</v>
      </c>
      <c r="B1038" s="1" t="s">
        <v>3163</v>
      </c>
      <c r="C1038" s="1"/>
      <c r="I1038" s="1"/>
      <c r="L1038" s="15" t="s">
        <v>3160</v>
      </c>
      <c r="M1038" s="15" t="s">
        <v>3161</v>
      </c>
      <c r="N1038" s="15">
        <v>2</v>
      </c>
      <c r="O10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href="canciones/hermana_glenda/mi_padre.html"&gt;Mi padre&lt;/a&gt;&lt;/li&gt;</v>
      </c>
      <c r="U1038" s="15" t="str">
        <f>_xlfn.TEXTBEFORE(_xlfn.TEXTAFTER(CantoralDB[[#This Row],[index.html]],"&gt;"),"&gt;")&amp;"&gt;"</f>
        <v>&lt;a href="canciones/hermana_glenda/mi_padre.html"&gt;</v>
      </c>
    </row>
    <row r="1039" spans="1:21" hidden="1" x14ac:dyDescent="0.3">
      <c r="A1039" s="1">
        <f>ROW(CantoralDB[[#This Row],[Título]])-1</f>
        <v>1038</v>
      </c>
      <c r="B1039" s="1" t="s">
        <v>3216</v>
      </c>
      <c r="C1039" s="1"/>
      <c r="I1039" s="1"/>
      <c r="L1039" s="15" t="s">
        <v>3160</v>
      </c>
      <c r="M1039" s="15" t="s">
        <v>3191</v>
      </c>
      <c r="N1039" s="15">
        <v>3</v>
      </c>
      <c r="O10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mi_padre_esta_en_lo_secreto.html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href="canciones/hermana_glenda/mi_padre_esta_en_lo_secreto.html"&gt;Mi padre está en lo secreto&lt;/a&gt;&lt;/li&gt;</v>
      </c>
      <c r="U1039" s="15" t="str">
        <f>_xlfn.TEXTBEFORE(_xlfn.TEXTAFTER(CantoralDB[[#This Row],[index.html]],"&gt;"),"&gt;")&amp;"&gt;"</f>
        <v>&lt;a href="canciones/hermana_glenda/mi_padre_esta_en_lo_secreto.html"&gt;</v>
      </c>
    </row>
    <row r="1040" spans="1:21" hidden="1" x14ac:dyDescent="0.3">
      <c r="A1040" s="1">
        <f>ROW(CantoralDB[[#This Row],[Título]])-1</f>
        <v>1039</v>
      </c>
      <c r="B1040" s="1" t="s">
        <v>3677</v>
      </c>
      <c r="C1040" s="1"/>
      <c r="F1040" s="1">
        <v>345</v>
      </c>
      <c r="I1040" s="1"/>
      <c r="L1040" s="15" t="s">
        <v>3678</v>
      </c>
      <c r="M1040" s="15"/>
      <c r="N1040" s="15"/>
      <c r="O10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mi_paz.html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data-author="Keith Routledge"&gt;&lt;a href="canciones/nuevas/mi_paz.html"&gt;Mi paz&lt;/a&gt;&lt;/li&gt;</v>
      </c>
      <c r="U1040" s="15" t="str">
        <f>_xlfn.TEXTBEFORE(_xlfn.TEXTAFTER(CantoralDB[[#This Row],[index.html]],"&gt;"),"&gt;")&amp;"&gt;"</f>
        <v>&lt;a href="canciones/nuevas/mi_paz.html"&gt;</v>
      </c>
    </row>
    <row r="1041" spans="1:21" hidden="1" x14ac:dyDescent="0.3">
      <c r="A1041" s="1">
        <f>ROW(CantoralDB[[#This Row],[Título]])-1</f>
        <v>1040</v>
      </c>
      <c r="B1041" s="1" t="s">
        <v>3717</v>
      </c>
      <c r="C1041" s="1"/>
      <c r="F1041" s="1">
        <v>378</v>
      </c>
      <c r="I1041" s="1"/>
      <c r="L1041" s="15" t="s">
        <v>799</v>
      </c>
      <c r="M1041" s="15"/>
      <c r="N1041" s="15"/>
      <c r="O10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mi_pensamiento_eres_tu.html</v>
      </c>
      <c r="R1041" s="1"/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href="canciones/nuevas/mi_pensamiento_eres_tu.html"&gt;Mi pensamiento eres tú&lt;/a&gt;&lt;/li&gt;</v>
      </c>
      <c r="U1041" s="15" t="str">
        <f>_xlfn.TEXTBEFORE(_xlfn.TEXTAFTER(CantoralDB[[#This Row],[index.html]],"&gt;"),"&gt;")&amp;"&gt;"</f>
        <v>&lt;a href="canciones/nuevas/mi_pensamiento_eres_tu.html"&gt;</v>
      </c>
    </row>
    <row r="1042" spans="1:21" hidden="1" x14ac:dyDescent="0.3">
      <c r="A1042" s="1">
        <f>ROW(CantoralDB[[#This Row],[Título]])-1</f>
        <v>1041</v>
      </c>
      <c r="B1042" s="1" t="s">
        <v>2024</v>
      </c>
      <c r="C1042" s="1"/>
      <c r="I1042" s="1" t="s">
        <v>612</v>
      </c>
      <c r="L1042" s="15" t="s">
        <v>261</v>
      </c>
      <c r="M1042" s="15"/>
      <c r="N1042" s="15"/>
      <c r="O10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mi_pobre_loco.html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href="canciones/hakuna/mi_pobre_loco.html"&gt;Mi pobre loco&lt;/a&gt;&lt;/li&gt;</v>
      </c>
      <c r="U1042" s="15" t="str">
        <f>_xlfn.TEXTBEFORE(_xlfn.TEXTAFTER(CantoralDB[[#This Row],[index.html]],"&gt;"),"&gt;")&amp;"&gt;"</f>
        <v>&lt;a href="canciones/hakuna/mi_pobre_loco.html"&gt;</v>
      </c>
    </row>
    <row r="1043" spans="1:21" hidden="1" x14ac:dyDescent="0.3">
      <c r="A1043" s="1">
        <f>ROW(CantoralDB[[#This Row],[Título]])-1</f>
        <v>1042</v>
      </c>
      <c r="B1043" s="1" t="s">
        <v>3719</v>
      </c>
      <c r="C1043" s="1"/>
      <c r="F1043" s="1">
        <v>381</v>
      </c>
      <c r="I1043" s="1"/>
      <c r="L1043" s="15" t="s">
        <v>3722</v>
      </c>
      <c r="M1043" s="15"/>
      <c r="N1043" s="15"/>
      <c r="O10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mi_ser_alaba_al_señor.html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1043" s="15" t="str">
        <f>_xlfn.TEXTBEFORE(_xlfn.TEXTAFTER(CantoralDB[[#This Row],[index.html]],"&gt;"),"&gt;")&amp;"&gt;"</f>
        <v>&lt;a href="canciones/nuevas/mi_ser_alaba_al_señor.html"&gt;</v>
      </c>
    </row>
    <row r="1044" spans="1:21" hidden="1" x14ac:dyDescent="0.3">
      <c r="A1044" s="1">
        <f>ROW(CantoralDB[[#This Row],[Título]])-1</f>
        <v>1043</v>
      </c>
      <c r="B1044" s="1" t="s">
        <v>3181</v>
      </c>
      <c r="C1044" s="1"/>
      <c r="I1044" s="1"/>
      <c r="L1044" s="15" t="s">
        <v>3160</v>
      </c>
      <c r="M1044" s="15" t="s">
        <v>3175</v>
      </c>
      <c r="N1044" s="15">
        <v>7</v>
      </c>
      <c r="O10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mi_unica_ganancia.html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href="canciones/hermana_glenda/mi_unica_ganancia.html"&gt;Mi única ganancia&lt;/a&gt;&lt;/li&gt;</v>
      </c>
      <c r="U1044" s="15" t="str">
        <f>_xlfn.TEXTBEFORE(_xlfn.TEXTAFTER(CantoralDB[[#This Row],[index.html]],"&gt;"),"&gt;")&amp;"&gt;"</f>
        <v>&lt;a href="canciones/hermana_glenda/mi_unica_ganancia.html"&gt;</v>
      </c>
    </row>
    <row r="1045" spans="1:21" hidden="1" x14ac:dyDescent="0.3">
      <c r="A1045" s="1">
        <f>ROW(CantoralDB[[#This Row],[Título]])-1</f>
        <v>1044</v>
      </c>
      <c r="B1045" s="1" t="s">
        <v>3197</v>
      </c>
      <c r="C1045" s="1"/>
      <c r="I1045" s="1"/>
      <c r="L1045" s="15" t="s">
        <v>3160</v>
      </c>
      <c r="M1045" s="15" t="s">
        <v>3192</v>
      </c>
      <c r="N1045" s="15">
        <v>5</v>
      </c>
      <c r="O10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mil_gracias_derramando.html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href="canciones/hermana_glenda/mil_gracias_derramando.html"&gt;Mil gracias derramando&lt;/a&gt;&lt;/li&gt;</v>
      </c>
      <c r="U1045" s="15" t="str">
        <f>_xlfn.TEXTBEFORE(_xlfn.TEXTAFTER(CantoralDB[[#This Row],[index.html]],"&gt;"),"&gt;")&amp;"&gt;"</f>
        <v>&lt;a href="canciones/hermana_glenda/mil_gracias_derramando.html"&gt;</v>
      </c>
    </row>
    <row r="1046" spans="1:21" hidden="1" x14ac:dyDescent="0.3">
      <c r="A1046" s="1">
        <f>ROW(CantoralDB[[#This Row],[Título]])-1</f>
        <v>1045</v>
      </c>
      <c r="B1046" s="1" t="s">
        <v>3581</v>
      </c>
      <c r="C1046" s="1"/>
      <c r="F1046" s="1">
        <v>243</v>
      </c>
      <c r="I1046" s="1"/>
      <c r="L1046" s="15" t="s">
        <v>3580</v>
      </c>
      <c r="M1046" s="15"/>
      <c r="N1046" s="15"/>
      <c r="O10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mira_el_rostro_de_jesus.html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1046" s="15" t="str">
        <f>_xlfn.TEXTBEFORE(_xlfn.TEXTAFTER(CantoralDB[[#This Row],[index.html]],"&gt;"),"&gt;")&amp;"&gt;"</f>
        <v>&lt;a href="canciones/nuevas/mira_el_rostro_de_jesus.html"&gt;</v>
      </c>
    </row>
    <row r="1047" spans="1:21" hidden="1" x14ac:dyDescent="0.3">
      <c r="A1047" s="1">
        <f>ROW(CantoralDB[[#This Row],[Título]])-1</f>
        <v>1046</v>
      </c>
      <c r="B1047" s="1" t="s">
        <v>3448</v>
      </c>
      <c r="C1047" s="1"/>
      <c r="F1047" s="1">
        <v>111</v>
      </c>
      <c r="I1047" s="1"/>
      <c r="L1047" s="15" t="s">
        <v>574</v>
      </c>
      <c r="M1047" s="15"/>
      <c r="N1047" s="15"/>
      <c r="O10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0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0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mira_oh_dios.html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047" s="15" t="str">
        <f>_xlfn.TEXTBEFORE(_xlfn.TEXTAFTER(CantoralDB[[#This Row],[index.html]],"&gt;"),"&gt;")&amp;"&gt;"</f>
        <v>&lt;a href="canciones/pelayo_sanchez/mira_oh_dios.html"&gt;</v>
      </c>
    </row>
    <row r="1048" spans="1:21" hidden="1" x14ac:dyDescent="0.3">
      <c r="A1048" s="1">
        <f>ROW(CantoralDB[[#This Row],[Título]])-1</f>
        <v>1047</v>
      </c>
      <c r="B1048" s="1" t="s">
        <v>94</v>
      </c>
      <c r="C1048" s="1" t="s">
        <v>997</v>
      </c>
      <c r="D1048" s="1" t="s">
        <v>723</v>
      </c>
      <c r="E1048" s="1">
        <v>166</v>
      </c>
      <c r="G1048" s="1" t="s">
        <v>209</v>
      </c>
      <c r="H1048" s="1" t="s">
        <v>1034</v>
      </c>
      <c r="I1048" s="1" t="s">
        <v>612</v>
      </c>
      <c r="L1048" s="15" t="s">
        <v>487</v>
      </c>
      <c r="M1048" s="15"/>
      <c r="N1048" s="15"/>
      <c r="O10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0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mirad_al_suelo.html</v>
      </c>
      <c r="R1048" s="1" t="s">
        <v>848</v>
      </c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1048" s="15" t="str">
        <f>_xlfn.TEXTBEFORE(_xlfn.TEXTAFTER(CantoralDB[[#This Row],[index.html]],"&gt;"),"&gt;")&amp;"&gt;"</f>
        <v>&lt;a href="canciones/miguel_manzano/mirad_al_suelo.html"&gt;</v>
      </c>
    </row>
    <row r="1049" spans="1:21" hidden="1" x14ac:dyDescent="0.3">
      <c r="A1049" s="1">
        <f>ROW(CantoralDB[[#This Row],[Título]])-1</f>
        <v>1048</v>
      </c>
      <c r="B1049" s="1" t="s">
        <v>3166</v>
      </c>
      <c r="C1049" s="1"/>
      <c r="I1049" s="1"/>
      <c r="L1049" s="15" t="s">
        <v>3160</v>
      </c>
      <c r="M1049" s="15" t="s">
        <v>3161</v>
      </c>
      <c r="N1049" s="15">
        <v>5</v>
      </c>
      <c r="O10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mirad_las_aves.html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href="canciones/hermana_glenda/mirad_las_aves.html"&gt;Mirad las aves&lt;/a&gt;&lt;/li&gt;</v>
      </c>
      <c r="U1049" s="15" t="str">
        <f>_xlfn.TEXTBEFORE(_xlfn.TEXTAFTER(CantoralDB[[#This Row],[index.html]],"&gt;"),"&gt;")&amp;"&gt;"</f>
        <v>&lt;a href="canciones/hermana_glenda/mirad_las_aves.html"&gt;</v>
      </c>
    </row>
    <row r="1050" spans="1:21" hidden="1" x14ac:dyDescent="0.3">
      <c r="A1050" s="1">
        <f>ROW(CantoralDB[[#This Row],[Título]])-1</f>
        <v>1049</v>
      </c>
      <c r="B1050" s="1" t="s">
        <v>563</v>
      </c>
      <c r="C1050" s="1" t="s">
        <v>191</v>
      </c>
      <c r="D1050" s="1" t="s">
        <v>748</v>
      </c>
      <c r="G1050" s="1" t="s">
        <v>557</v>
      </c>
      <c r="H1050" s="1" t="s">
        <v>1034</v>
      </c>
      <c r="I1050" s="1" t="s">
        <v>612</v>
      </c>
      <c r="L1050" s="15" t="s">
        <v>484</v>
      </c>
      <c r="M1050" s="15" t="s">
        <v>1529</v>
      </c>
      <c r="N1050" s="15">
        <v>10</v>
      </c>
      <c r="O10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mirad_jesus_resucita_hoy.html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1050" s="15" t="str">
        <f>_xlfn.TEXTBEFORE(_xlfn.TEXTAFTER(CantoralDB[[#This Row],[index.html]],"&gt;"),"&gt;")&amp;"&gt;"</f>
        <v>&lt;a href="canciones/kairoi/mirad_jesus_resucita_hoy.html"&gt;</v>
      </c>
    </row>
    <row r="1051" spans="1:21" hidden="1" x14ac:dyDescent="0.3">
      <c r="A1051" s="1">
        <f>ROW(CantoralDB[[#This Row],[Título]])-1</f>
        <v>1050</v>
      </c>
      <c r="B1051" s="1" t="s">
        <v>3709</v>
      </c>
      <c r="C1051" s="1"/>
      <c r="F1051" s="1">
        <v>372</v>
      </c>
      <c r="I1051" s="1"/>
      <c r="L1051" s="15" t="s">
        <v>3354</v>
      </c>
      <c r="M1051" s="15"/>
      <c r="N1051" s="15"/>
      <c r="O10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0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0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mirad_levantad.html</v>
      </c>
      <c r="R1051" s="1"/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1051" s="15" t="str">
        <f>_xlfn.TEXTBEFORE(_xlfn.TEXTAFTER(CantoralDB[[#This Row],[index.html]],"&gt;"),"&gt;")&amp;"&gt;"</f>
        <v>&lt;a href="canciones/lazaro_iparraguirre/mirad_levantad.html"&gt;</v>
      </c>
    </row>
    <row r="1052" spans="1:21" hidden="1" x14ac:dyDescent="0.3">
      <c r="A1052" s="1">
        <f>ROW(CantoralDB[[#This Row],[Título]])-1</f>
        <v>1051</v>
      </c>
      <c r="B1052" s="1" t="s">
        <v>2001</v>
      </c>
      <c r="C1052" s="1"/>
      <c r="I1052" s="1" t="s">
        <v>612</v>
      </c>
      <c r="L1052" s="15" t="s">
        <v>261</v>
      </c>
      <c r="M1052" s="15"/>
      <c r="N1052" s="15"/>
      <c r="O10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mirada.html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href="canciones/hakuna/mirada.html"&gt;Mirada&lt;/a&gt;&lt;/li&gt;</v>
      </c>
      <c r="U1052" s="15" t="str">
        <f>_xlfn.TEXTBEFORE(_xlfn.TEXTAFTER(CantoralDB[[#This Row],[index.html]],"&gt;"),"&gt;")&amp;"&gt;"</f>
        <v>&lt;a href="canciones/hakuna/mirada.html"&gt;</v>
      </c>
    </row>
    <row r="1053" spans="1:21" hidden="1" x14ac:dyDescent="0.3">
      <c r="A1053" s="1">
        <f>ROW(CantoralDB[[#This Row],[Título]])-1</f>
        <v>1052</v>
      </c>
      <c r="B1053" s="1" t="s">
        <v>1853</v>
      </c>
      <c r="C1053" s="1"/>
      <c r="I1053" s="1" t="s">
        <v>612</v>
      </c>
      <c r="L1053" s="15" t="s">
        <v>501</v>
      </c>
      <c r="M1053" s="15" t="s">
        <v>1552</v>
      </c>
      <c r="N1053" s="15">
        <v>13</v>
      </c>
      <c r="O10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miradle.html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href="canciones/ain_karem/miradle.html"&gt;Miradle&lt;/a&gt;&lt;/li&gt;</v>
      </c>
      <c r="U1053" s="15" t="str">
        <f>_xlfn.TEXTBEFORE(_xlfn.TEXTAFTER(CantoralDB[[#This Row],[index.html]],"&gt;"),"&gt;")&amp;"&gt;"</f>
        <v>&lt;a href="canciones/ain_karem/miradle.html"&gt;</v>
      </c>
    </row>
    <row r="1054" spans="1:21" hidden="1" x14ac:dyDescent="0.3">
      <c r="A1054" s="1">
        <f>ROW(CantoralDB[[#This Row],[Título]])-1</f>
        <v>1053</v>
      </c>
      <c r="B1054" s="1" t="s">
        <v>1925</v>
      </c>
      <c r="C1054" s="1"/>
      <c r="I1054" s="1" t="s">
        <v>612</v>
      </c>
      <c r="L1054" s="15" t="s">
        <v>1804</v>
      </c>
      <c r="M1054" s="15" t="s">
        <v>1951</v>
      </c>
      <c r="N1054" s="15">
        <v>15</v>
      </c>
      <c r="O10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0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0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href="canciones/ruah/mirame.html"&gt;Mírame&lt;/a&gt;&lt;/li&gt;</v>
      </c>
      <c r="U1054" s="15" t="str">
        <f>_xlfn.TEXTBEFORE(_xlfn.TEXTAFTER(CantoralDB[[#This Row],[index.html]],"&gt;"),"&gt;")&amp;"&gt;"</f>
        <v>&lt;a href="canciones/ruah/mirame.html"&gt;</v>
      </c>
    </row>
    <row r="1055" spans="1:21" hidden="1" x14ac:dyDescent="0.3">
      <c r="A1055" s="1">
        <f>ROW(CantoralDB[[#This Row],[Título]])-1</f>
        <v>1054</v>
      </c>
      <c r="B1055" s="1" t="s">
        <v>3298</v>
      </c>
      <c r="C1055" s="1"/>
      <c r="I1055" s="1"/>
      <c r="L1055" s="15" t="s">
        <v>3160</v>
      </c>
      <c r="M1055" s="15" t="s">
        <v>3291</v>
      </c>
      <c r="N1055" s="15">
        <v>12</v>
      </c>
      <c r="O10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mirame_a_mi.html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href="canciones/hermana_glenda/mirame_a_mi.html"&gt;Mírame a mí&lt;/a&gt;&lt;/li&gt;</v>
      </c>
      <c r="U1055" s="15" t="str">
        <f>_xlfn.TEXTBEFORE(_xlfn.TEXTAFTER(CantoralDB[[#This Row],[index.html]],"&gt;"),"&gt;")&amp;"&gt;"</f>
        <v>&lt;a href="canciones/hermana_glenda/mirame_a_mi.html"&gt;</v>
      </c>
    </row>
    <row r="1056" spans="1:21" hidden="1" x14ac:dyDescent="0.3">
      <c r="A1056" s="1">
        <f>ROW(CantoralDB[[#This Row],[Título]])-1</f>
        <v>1055</v>
      </c>
      <c r="B1056" s="1" t="s">
        <v>3258</v>
      </c>
      <c r="C1056" s="1"/>
      <c r="I1056" s="1"/>
      <c r="L1056" s="15" t="s">
        <v>3160</v>
      </c>
      <c r="M1056" s="15" t="s">
        <v>3248</v>
      </c>
      <c r="N1056" s="15">
        <v>12</v>
      </c>
      <c r="O10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mirame_alli.html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href="canciones/hermana_glenda/mirame_alli.html"&gt;Mírame allí&lt;/a&gt;&lt;/li&gt;</v>
      </c>
      <c r="U1056" s="15" t="str">
        <f>_xlfn.TEXTBEFORE(_xlfn.TEXTAFTER(CantoralDB[[#This Row],[index.html]],"&gt;"),"&gt;")&amp;"&gt;"</f>
        <v>&lt;a href="canciones/hermana_glenda/mirame_alli.html"&gt;</v>
      </c>
    </row>
    <row r="1057" spans="1:21" hidden="1" x14ac:dyDescent="0.3">
      <c r="A1057" s="1">
        <f>ROW(CantoralDB[[#This Row],[Título]])-1</f>
        <v>1056</v>
      </c>
      <c r="B1057" s="1" t="s">
        <v>3271</v>
      </c>
      <c r="C1057" s="1"/>
      <c r="I1057" s="1"/>
      <c r="L1057" s="15" t="s">
        <v>3160</v>
      </c>
      <c r="M1057" s="15" t="s">
        <v>415</v>
      </c>
      <c r="N1057" s="15">
        <v>10</v>
      </c>
      <c r="O10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mire_como_le_mira.html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href="canciones/hermana_glenda/mire_como_le_mira.html"&gt;Mire como le mira&lt;/a&gt;&lt;/li&gt;</v>
      </c>
      <c r="U1057" s="15" t="str">
        <f>_xlfn.TEXTBEFORE(_xlfn.TEXTAFTER(CantoralDB[[#This Row],[index.html]],"&gt;"),"&gt;")&amp;"&gt;"</f>
        <v>&lt;a href="canciones/hermana_glenda/mire_como_le_mira.html"&gt;</v>
      </c>
    </row>
    <row r="1058" spans="1:21" hidden="1" x14ac:dyDescent="0.3">
      <c r="A1058" s="1">
        <f>ROW(CantoralDB[[#This Row],[Título]])-1</f>
        <v>1057</v>
      </c>
      <c r="B1058" s="1" t="s">
        <v>3231</v>
      </c>
      <c r="C1058" s="1"/>
      <c r="I1058" s="1"/>
      <c r="L1058" s="15" t="s">
        <v>3160</v>
      </c>
      <c r="M1058" s="15" t="s">
        <v>53</v>
      </c>
      <c r="N1058" s="15">
        <v>2</v>
      </c>
      <c r="O10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misericordia.html</v>
      </c>
      <c r="R1058" s="1" t="s">
        <v>854</v>
      </c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href="canciones/hermana_glenda/misericordia.html"&gt;Misericordia&lt;/a&gt;&lt;/li&gt;</v>
      </c>
      <c r="U1058" s="15" t="str">
        <f>_xlfn.TEXTBEFORE(_xlfn.TEXTAFTER(CantoralDB[[#This Row],[index.html]],"&gt;"),"&gt;")&amp;"&gt;"</f>
        <v>&lt;a href="canciones/hermana_glenda/misericordia.html"&gt;</v>
      </c>
    </row>
    <row r="1059" spans="1:21" hidden="1" x14ac:dyDescent="0.3">
      <c r="A1059" s="1">
        <f>ROW(CantoralDB[[#This Row],[Título]])-1</f>
        <v>1058</v>
      </c>
      <c r="B1059" s="1" t="s">
        <v>413</v>
      </c>
      <c r="C1059" s="1" t="s">
        <v>1026</v>
      </c>
      <c r="D1059" s="1" t="s">
        <v>1180</v>
      </c>
      <c r="E1059" s="1">
        <v>157</v>
      </c>
      <c r="H1059" s="1" t="s">
        <v>1069</v>
      </c>
      <c r="I1059" s="1" t="s">
        <v>612</v>
      </c>
      <c r="L1059" s="15" t="s">
        <v>2201</v>
      </c>
      <c r="M1059" s="15"/>
      <c r="N1059" s="15"/>
      <c r="O10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0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059" s="15" t="str">
        <f>_xlfn.TEXTBEFORE(_xlfn.TEXTAFTER(CantoralDB[[#This Row],[index.html]],"&gt;"),"&gt;")&amp;"&gt;"</f>
        <v>&lt;a href="canciones/taize/misericordias_domini.html"&gt;</v>
      </c>
    </row>
    <row r="1060" spans="1:21" hidden="1" x14ac:dyDescent="0.3">
      <c r="A1060" s="1">
        <f>ROW(CantoralDB[[#This Row],[Título]])-1</f>
        <v>1059</v>
      </c>
      <c r="B1060" s="1" t="s">
        <v>1986</v>
      </c>
      <c r="C1060" s="1"/>
      <c r="I1060" s="1" t="s">
        <v>612</v>
      </c>
      <c r="L1060" s="15" t="s">
        <v>481</v>
      </c>
      <c r="M1060" s="15" t="s">
        <v>1320</v>
      </c>
      <c r="N1060" s="15">
        <v>6</v>
      </c>
      <c r="O10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0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morada_de_la_luz.html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1060" s="15" t="str">
        <f>_xlfn.TEXTBEFORE(_xlfn.TEXTAFTER(CantoralDB[[#This Row],[index.html]],"&gt;"),"&gt;")&amp;"&gt;"</f>
        <v>&lt;a href="canciones/francisco_palazon/morada_de_la_luz.html"&gt;</v>
      </c>
    </row>
    <row r="1061" spans="1:21" hidden="1" x14ac:dyDescent="0.3">
      <c r="A1061" s="1">
        <f>ROW(CantoralDB[[#This Row],[Título]])-1</f>
        <v>1060</v>
      </c>
      <c r="B1061" s="1" t="s">
        <v>3417</v>
      </c>
      <c r="C1061" s="1"/>
      <c r="F1061" s="1">
        <v>79</v>
      </c>
      <c r="I1061" s="1"/>
      <c r="L1061" s="15" t="s">
        <v>799</v>
      </c>
      <c r="M1061" s="15"/>
      <c r="N1061" s="15"/>
      <c r="O10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moviste_mi_corazon.html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href="canciones/nuevas/moviste_mi_corazon.html"&gt;Moviste mi corazón&lt;/a&gt;&lt;/li&gt;</v>
      </c>
      <c r="U1061" s="15" t="str">
        <f>_xlfn.TEXTBEFORE(_xlfn.TEXTAFTER(CantoralDB[[#This Row],[index.html]],"&gt;"),"&gt;")&amp;"&gt;"</f>
        <v>&lt;a href="canciones/nuevas/moviste_mi_corazon.html"&gt;</v>
      </c>
    </row>
    <row r="1062" spans="1:21" hidden="1" x14ac:dyDescent="0.3">
      <c r="A1062" s="1">
        <f>ROW(CantoralDB[[#This Row],[Título]])-1</f>
        <v>1061</v>
      </c>
      <c r="B1062" s="1" t="s">
        <v>3434</v>
      </c>
      <c r="C1062" s="1"/>
      <c r="F1062" s="1">
        <v>95</v>
      </c>
      <c r="I1062" s="1"/>
      <c r="L1062" s="15" t="s">
        <v>799</v>
      </c>
      <c r="M1062" s="15"/>
      <c r="N1062" s="15"/>
      <c r="O10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muchos_hermanos_aqui.html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href="canciones/nuevas/muchos_hermanos_aqui.html"&gt;Muchos hermanos aquí&lt;/a&gt;&lt;/li&gt;</v>
      </c>
      <c r="U1062" s="15" t="str">
        <f>_xlfn.TEXTBEFORE(_xlfn.TEXTAFTER(CantoralDB[[#This Row],[index.html]],"&gt;"),"&gt;")&amp;"&gt;"</f>
        <v>&lt;a href="canciones/nuevas/muchos_hermanos_aqui.html"&gt;</v>
      </c>
    </row>
    <row r="1063" spans="1:21" hidden="1" x14ac:dyDescent="0.3">
      <c r="A1063" s="1">
        <f>ROW(CantoralDB[[#This Row],[Título]])-1</f>
        <v>1062</v>
      </c>
      <c r="B1063" s="1" t="s">
        <v>184</v>
      </c>
      <c r="C1063" s="1" t="s">
        <v>201</v>
      </c>
      <c r="D1063" s="1" t="s">
        <v>666</v>
      </c>
      <c r="G1063" s="1" t="s">
        <v>209</v>
      </c>
      <c r="H1063" s="1" t="s">
        <v>1039</v>
      </c>
      <c r="I1063" s="1" t="s">
        <v>612</v>
      </c>
      <c r="L1063" s="15" t="s">
        <v>522</v>
      </c>
      <c r="M1063" s="15"/>
      <c r="N1063" s="15"/>
      <c r="O10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mueveme_mi_dios.html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1063" s="15" t="str">
        <f>_xlfn.TEXTBEFORE(_xlfn.TEXTAFTER(CantoralDB[[#This Row],[index.html]],"&gt;"),"&gt;")&amp;"&gt;"</f>
        <v>&lt;a href="canciones/nsb/mueveme_mi_dios.html"&gt;</v>
      </c>
    </row>
    <row r="1064" spans="1:21" hidden="1" x14ac:dyDescent="0.3">
      <c r="A1064" s="1">
        <f>ROW(CantoralDB[[#This Row],[Título]])-1</f>
        <v>1063</v>
      </c>
      <c r="B1064" s="1" t="s">
        <v>238</v>
      </c>
      <c r="C1064" s="1" t="s">
        <v>200</v>
      </c>
      <c r="D1064" s="1" t="s">
        <v>1092</v>
      </c>
      <c r="E1064" s="1">
        <v>42</v>
      </c>
      <c r="G1064" s="1" t="s">
        <v>209</v>
      </c>
      <c r="H1064" s="1" t="s">
        <v>1031</v>
      </c>
      <c r="I1064" s="1" t="s">
        <v>612</v>
      </c>
      <c r="L1064" s="15" t="s">
        <v>481</v>
      </c>
      <c r="M1064" s="15" t="s">
        <v>1320</v>
      </c>
      <c r="N1064" s="15">
        <v>1</v>
      </c>
      <c r="O10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mujer_fuerte.html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1064" s="15" t="str">
        <f>_xlfn.TEXTBEFORE(_xlfn.TEXTAFTER(CantoralDB[[#This Row],[index.html]],"&gt;"),"&gt;")&amp;"&gt;"</f>
        <v>&lt;a href="canciones/francisco_palazon/mujer_fuerte.html"&gt;</v>
      </c>
    </row>
    <row r="1065" spans="1:21" hidden="1" x14ac:dyDescent="0.3">
      <c r="A1065" s="1">
        <f>ROW(CantoralDB[[#This Row],[Título]])-1</f>
        <v>1064</v>
      </c>
      <c r="B1065" s="1" t="s">
        <v>1857</v>
      </c>
      <c r="C1065" s="1"/>
      <c r="I1065" s="1"/>
      <c r="L1065" s="15" t="s">
        <v>501</v>
      </c>
      <c r="M1065" s="15" t="s">
        <v>1554</v>
      </c>
      <c r="N1065" s="15">
        <v>2</v>
      </c>
      <c r="O10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mujeres_en_camino.html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1065" s="15" t="str">
        <f>_xlfn.TEXTBEFORE(_xlfn.TEXTAFTER(CantoralDB[[#This Row],[index.html]],"&gt;"),"&gt;")&amp;"&gt;"</f>
        <v>&lt;a href="canciones/ain_karem/mujeres_en_camino.html"&gt;</v>
      </c>
    </row>
    <row r="1066" spans="1:21" hidden="1" x14ac:dyDescent="0.3">
      <c r="A1066" s="1">
        <f>ROW(CantoralDB[[#This Row],[Título]])-1</f>
        <v>1065</v>
      </c>
      <c r="B1066" s="1" t="s">
        <v>1763</v>
      </c>
      <c r="C1066" s="1"/>
      <c r="I1066" s="1"/>
      <c r="L1066" s="15" t="s">
        <v>484</v>
      </c>
      <c r="M1066" s="15" t="s">
        <v>1544</v>
      </c>
      <c r="N1066" s="15">
        <v>1</v>
      </c>
      <c r="O10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mundo_de_ensueño.html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1066" s="15" t="str">
        <f>_xlfn.TEXTBEFORE(_xlfn.TEXTAFTER(CantoralDB[[#This Row],[index.html]],"&gt;"),"&gt;")&amp;"&gt;"</f>
        <v>&lt;a href="canciones/kairoi/mundo_de_ensueño.html"&gt;</v>
      </c>
    </row>
    <row r="1067" spans="1:21" hidden="1" x14ac:dyDescent="0.3">
      <c r="A1067" s="1">
        <f>ROW(CantoralDB[[#This Row],[Título]])-1</f>
        <v>1066</v>
      </c>
      <c r="B1067" s="1" t="s">
        <v>252</v>
      </c>
      <c r="C1067" s="1" t="s">
        <v>476</v>
      </c>
      <c r="D1067" s="1" t="s">
        <v>1103</v>
      </c>
      <c r="G1067" s="1" t="s">
        <v>248</v>
      </c>
      <c r="H1067" s="1" t="s">
        <v>1034</v>
      </c>
      <c r="I1067" s="1" t="s">
        <v>612</v>
      </c>
      <c r="L1067" s="15" t="s">
        <v>2200</v>
      </c>
      <c r="M1067" s="15"/>
      <c r="N1067" s="15"/>
      <c r="O10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0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0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nace_el_niño_en_un_portal.html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067" s="15" t="str">
        <f>_xlfn.TEXTBEFORE(_xlfn.TEXTAFTER(CantoralDB[[#This Row],[index.html]],"&gt;"),"&gt;")&amp;"&gt;"</f>
        <v>&lt;a href="canciones/villancicos/nace_el_niño_en_un_portal.html"&gt;</v>
      </c>
    </row>
    <row r="1068" spans="1:21" hidden="1" x14ac:dyDescent="0.3">
      <c r="A1068" s="1">
        <f>ROW(CantoralDB[[#This Row],[Título]])-1</f>
        <v>1067</v>
      </c>
      <c r="B1068" s="1" t="s">
        <v>1323</v>
      </c>
      <c r="C1068" s="1"/>
      <c r="E1068" s="1">
        <v>169</v>
      </c>
      <c r="I1068" s="1" t="s">
        <v>612</v>
      </c>
      <c r="L1068" s="15" t="s">
        <v>498</v>
      </c>
      <c r="M1068" s="15"/>
      <c r="N1068" s="15"/>
      <c r="O10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0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nacera_una_nueva_hermandad.html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data-nold="169"&gt;&lt;a href="canciones/pedro_nuñez/nacera_una_nueva_hermandad.html"&gt;Nacerá una nueva hermandad&lt;/a&gt;&lt;/li&gt;</v>
      </c>
      <c r="U1068" s="15" t="str">
        <f>_xlfn.TEXTBEFORE(_xlfn.TEXTAFTER(CantoralDB[[#This Row],[index.html]],"&gt;"),"&gt;")&amp;"&gt;"</f>
        <v>&lt;a href="canciones/pedro_nuñez/nacera_una_nueva_hermandad.html"&gt;</v>
      </c>
    </row>
    <row r="1069" spans="1:21" hidden="1" x14ac:dyDescent="0.3">
      <c r="A1069" s="1">
        <f>ROW(CantoralDB[[#This Row],[Título]])-1</f>
        <v>1068</v>
      </c>
      <c r="B1069" s="1" t="s">
        <v>1686</v>
      </c>
      <c r="C1069" s="1"/>
      <c r="I1069" s="1" t="s">
        <v>612</v>
      </c>
      <c r="L1069" s="15" t="s">
        <v>484</v>
      </c>
      <c r="M1069" s="15" t="s">
        <v>1534</v>
      </c>
      <c r="N1069" s="15">
        <v>12</v>
      </c>
      <c r="O10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nacidos_de_la_cruz.html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1069" s="15" t="str">
        <f>_xlfn.TEXTBEFORE(_xlfn.TEXTAFTER(CantoralDB[[#This Row],[index.html]],"&gt;"),"&gt;")&amp;"&gt;"</f>
        <v>&lt;a href="canciones/kairoi/nacidos_de_la_cruz.html"&gt;</v>
      </c>
    </row>
    <row r="1070" spans="1:21" hidden="1" x14ac:dyDescent="0.3">
      <c r="A1070" s="1">
        <f>ROW(CantoralDB[[#This Row],[Título]])-1</f>
        <v>1069</v>
      </c>
      <c r="B1070" s="1" t="s">
        <v>1326</v>
      </c>
      <c r="C1070" s="1"/>
      <c r="E1070" s="1">
        <v>174</v>
      </c>
      <c r="I1070" s="1"/>
      <c r="L1070" s="15" t="s">
        <v>491</v>
      </c>
      <c r="M1070" s="15"/>
      <c r="N1070" s="15"/>
      <c r="O10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nacidos_de_la_luz.html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1070" s="15" t="str">
        <f>_xlfn.TEXTBEFORE(_xlfn.TEXTAFTER(CantoralDB[[#This Row],[index.html]],"&gt;"),"&gt;")&amp;"&gt;"</f>
        <v>&lt;a href="canciones/juan_antonio_espinosa/nacidos_de_la_luz.html"&gt;</v>
      </c>
    </row>
    <row r="1071" spans="1:21" hidden="1" x14ac:dyDescent="0.3">
      <c r="A1071" s="1">
        <f>ROW(CantoralDB[[#This Row],[Título]])-1</f>
        <v>1070</v>
      </c>
      <c r="B1071" s="1" t="s">
        <v>2038</v>
      </c>
      <c r="C1071" s="1"/>
      <c r="I1071" s="1" t="s">
        <v>612</v>
      </c>
      <c r="L1071" s="15" t="s">
        <v>261</v>
      </c>
      <c r="M1071" s="15"/>
      <c r="N1071" s="15"/>
      <c r="O10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nacidos_de_lo_alto.html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1071" s="15" t="str">
        <f>_xlfn.TEXTBEFORE(_xlfn.TEXTAFTER(CantoralDB[[#This Row],[index.html]],"&gt;"),"&gt;")&amp;"&gt;"</f>
        <v>&lt;a href="canciones/hakuna/nacidos_de_lo_alto.html"&gt;</v>
      </c>
    </row>
    <row r="1072" spans="1:21" hidden="1" x14ac:dyDescent="0.3">
      <c r="A1072" s="1">
        <f>ROW(CantoralDB[[#This Row],[Título]])-1</f>
        <v>1071</v>
      </c>
      <c r="B1072" s="1" t="s">
        <v>1542</v>
      </c>
      <c r="C1072" s="1"/>
      <c r="I1072" s="1" t="s">
        <v>612</v>
      </c>
      <c r="L1072" s="15" t="s">
        <v>484</v>
      </c>
      <c r="M1072" s="15" t="s">
        <v>1542</v>
      </c>
      <c r="N1072" s="15">
        <v>1</v>
      </c>
      <c r="O10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nacidos_de_mujer.html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1072" s="15" t="str">
        <f>_xlfn.TEXTBEFORE(_xlfn.TEXTAFTER(CantoralDB[[#This Row],[index.html]],"&gt;"),"&gt;")&amp;"&gt;"</f>
        <v>&lt;a href="canciones/kairoi/nacidos_de_mujer.html"&gt;</v>
      </c>
    </row>
    <row r="1073" spans="1:21" hidden="1" x14ac:dyDescent="0.3">
      <c r="A1073" s="1">
        <f>ROW(CantoralDB[[#This Row],[Título]])-1</f>
        <v>1072</v>
      </c>
      <c r="B1073" s="1" t="s">
        <v>2055</v>
      </c>
      <c r="C1073" s="1"/>
      <c r="I1073" s="1"/>
      <c r="L1073" s="15" t="s">
        <v>261</v>
      </c>
      <c r="M1073" s="15"/>
      <c r="N1073" s="15"/>
      <c r="O10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href="canciones/hakuna/nada.html"&gt;Nada&lt;/a&gt;&lt;/li&gt;</v>
      </c>
      <c r="U1073" s="15" t="str">
        <f>_xlfn.TEXTBEFORE(_xlfn.TEXTAFTER(CantoralDB[[#This Row],[index.html]],"&gt;"),"&gt;")&amp;"&gt;"</f>
        <v>&lt;a href="canciones/hakuna/nada.html"&gt;</v>
      </c>
    </row>
    <row r="1074" spans="1:21" hidden="1" x14ac:dyDescent="0.3">
      <c r="A1074" s="1">
        <f>ROW(CantoralDB[[#This Row],[Título]])-1</f>
        <v>1073</v>
      </c>
      <c r="B1074" s="1" t="s">
        <v>3174</v>
      </c>
      <c r="C1074" s="1"/>
      <c r="F1074" s="1">
        <v>220</v>
      </c>
      <c r="I1074" s="1"/>
      <c r="L1074" s="15" t="s">
        <v>3160</v>
      </c>
      <c r="M1074" s="15" t="s">
        <v>3161</v>
      </c>
      <c r="N1074" s="15">
        <v>14</v>
      </c>
      <c r="O10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1074" s="15" t="str">
        <f>_xlfn.TEXTBEFORE(_xlfn.TEXTAFTER(CantoralDB[[#This Row],[index.html]],"&gt;"),"&gt;")&amp;"&gt;"</f>
        <v>&lt;a href="canciones/hermana_glenda/nada_es_imposible.html"&gt;</v>
      </c>
    </row>
    <row r="1075" spans="1:21" hidden="1" x14ac:dyDescent="0.3">
      <c r="A1075" s="1">
        <f>ROW(CantoralDB[[#This Row],[Título]])-1</f>
        <v>1074</v>
      </c>
      <c r="B1075" s="1" t="s">
        <v>3221</v>
      </c>
      <c r="C1075" s="1"/>
      <c r="I1075" s="1"/>
      <c r="L1075" s="15" t="s">
        <v>3160</v>
      </c>
      <c r="M1075" s="15" t="s">
        <v>3191</v>
      </c>
      <c r="N1075" s="15">
        <v>9</v>
      </c>
      <c r="O10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nada_es_imposible_para_ti.html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href="canciones/hermana_glenda/nada_es_imposible_para_ti.html"&gt;Nada es imposible para ti&lt;/a&gt;&lt;/li&gt;</v>
      </c>
      <c r="U1075" s="15" t="str">
        <f>_xlfn.TEXTBEFORE(_xlfn.TEXTAFTER(CantoralDB[[#This Row],[index.html]],"&gt;"),"&gt;")&amp;"&gt;"</f>
        <v>&lt;a href="canciones/hermana_glenda/nada_es_imposible_para_ti.html"&gt;</v>
      </c>
    </row>
    <row r="1076" spans="1:21" hidden="1" x14ac:dyDescent="0.3">
      <c r="A1076" s="1">
        <f>ROW(CantoralDB[[#This Row],[Título]])-1</f>
        <v>1075</v>
      </c>
      <c r="B1076" s="1" t="s">
        <v>647</v>
      </c>
      <c r="C1076" s="1" t="s">
        <v>201</v>
      </c>
      <c r="D1076" s="1" t="s">
        <v>667</v>
      </c>
      <c r="G1076" s="1" t="s">
        <v>648</v>
      </c>
      <c r="H1076" s="1" t="s">
        <v>1049</v>
      </c>
      <c r="I1076" s="1" t="s">
        <v>612</v>
      </c>
      <c r="L1076" s="15" t="s">
        <v>499</v>
      </c>
      <c r="M1076" s="15"/>
      <c r="N1076" s="15"/>
      <c r="O10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nada_has_pensado.html</v>
      </c>
      <c r="R1076" s="1" t="s">
        <v>849</v>
      </c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076" s="15" t="str">
        <f>_xlfn.TEXTBEFORE(_xlfn.TEXTAFTER(CantoralDB[[#This Row],[index.html]],"&gt;"),"&gt;")&amp;"&gt;"</f>
        <v>&lt;a href="canciones/brotes_de_olivo/nada_has_pensado.html"&gt;</v>
      </c>
    </row>
    <row r="1077" spans="1:21" hidden="1" x14ac:dyDescent="0.3">
      <c r="A1077" s="1">
        <f>ROW(CantoralDB[[#This Row],[Título]])-1</f>
        <v>1076</v>
      </c>
      <c r="B1077" s="1" t="s">
        <v>95</v>
      </c>
      <c r="C1077" s="1" t="s">
        <v>201</v>
      </c>
      <c r="D1077" s="1" t="s">
        <v>668</v>
      </c>
      <c r="E1077" s="1">
        <v>438</v>
      </c>
      <c r="F1077" s="1">
        <v>317</v>
      </c>
      <c r="G1077" s="1" t="s">
        <v>209</v>
      </c>
      <c r="H1077" s="1" t="s">
        <v>532</v>
      </c>
      <c r="I1077" s="1" t="s">
        <v>612</v>
      </c>
      <c r="L1077" s="15" t="s">
        <v>499</v>
      </c>
      <c r="M1077" s="15"/>
      <c r="N1077" s="15"/>
      <c r="O10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nada_nos_separara.html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077" s="15" t="str">
        <f>_xlfn.TEXTBEFORE(_xlfn.TEXTAFTER(CantoralDB[[#This Row],[index.html]],"&gt;"),"&gt;")&amp;"&gt;"</f>
        <v>&lt;a href="canciones/brotes_de_olivo/nada_nos_separara.html"&gt;</v>
      </c>
    </row>
    <row r="1078" spans="1:21" hidden="1" x14ac:dyDescent="0.3">
      <c r="A1078" s="1">
        <f>ROW(CantoralDB[[#This Row],[Título]])-1</f>
        <v>1077</v>
      </c>
      <c r="B1078" s="1" t="s">
        <v>415</v>
      </c>
      <c r="C1078" s="1"/>
      <c r="F1078" s="1">
        <v>447</v>
      </c>
      <c r="I1078" s="1"/>
      <c r="L1078" s="15" t="s">
        <v>3801</v>
      </c>
      <c r="M1078" s="15"/>
      <c r="N1078" s="15"/>
      <c r="O10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1078" s="15" t="str">
        <f>_xlfn.TEXTBEFORE(_xlfn.TEXTAFTER(CantoralDB[[#This Row],[index.html]],"&gt;"),"&gt;")&amp;"&gt;"</f>
        <v>&lt;a href="canciones/nuevas/nada_te_turbe.html"&gt;</v>
      </c>
    </row>
    <row r="1079" spans="1:21" hidden="1" x14ac:dyDescent="0.3">
      <c r="A1079" s="1">
        <f>ROW(CantoralDB[[#This Row],[Título]])-1</f>
        <v>1078</v>
      </c>
      <c r="B1079" s="1" t="s">
        <v>415</v>
      </c>
      <c r="C1079" s="1"/>
      <c r="I1079" s="1"/>
      <c r="L1079" s="15" t="s">
        <v>3160</v>
      </c>
      <c r="M1079" s="15" t="s">
        <v>415</v>
      </c>
      <c r="N1079" s="15">
        <v>2</v>
      </c>
      <c r="O10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href="canciones/hermana_glenda/nada_te_turbe.html"&gt;Nada te turbe&lt;/a&gt;&lt;/li&gt;</v>
      </c>
      <c r="U1079" s="15" t="str">
        <f>_xlfn.TEXTBEFORE(_xlfn.TEXTAFTER(CantoralDB[[#This Row],[index.html]],"&gt;"),"&gt;")&amp;"&gt;"</f>
        <v>&lt;a href="canciones/hermana_glenda/nada_te_turbe.html"&gt;</v>
      </c>
    </row>
    <row r="1080" spans="1:21" hidden="1" x14ac:dyDescent="0.3">
      <c r="A1080" s="1">
        <f>ROW(CantoralDB[[#This Row],[Título]])-1</f>
        <v>1079</v>
      </c>
      <c r="B1080" s="1" t="s">
        <v>415</v>
      </c>
      <c r="C1080" s="1" t="s">
        <v>1026</v>
      </c>
      <c r="D1080" s="1" t="s">
        <v>1185</v>
      </c>
      <c r="E1080" s="1">
        <v>173</v>
      </c>
      <c r="F1080" s="1">
        <v>319</v>
      </c>
      <c r="H1080" s="1" t="s">
        <v>1055</v>
      </c>
      <c r="I1080" s="1" t="s">
        <v>612</v>
      </c>
      <c r="L1080" s="15" t="s">
        <v>2201</v>
      </c>
      <c r="M1080" s="15"/>
      <c r="N1080" s="15"/>
      <c r="O10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0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80" s="1" t="s">
        <v>982</v>
      </c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080" s="15" t="str">
        <f>_xlfn.TEXTBEFORE(_xlfn.TEXTAFTER(CantoralDB[[#This Row],[index.html]],"&gt;"),"&gt;")&amp;"&gt;"</f>
        <v>&lt;a href="canciones/taize/nada_te_turbe.html"&gt;</v>
      </c>
    </row>
    <row r="1081" spans="1:21" hidden="1" x14ac:dyDescent="0.3">
      <c r="A1081" s="1">
        <f>ROW(CantoralDB[[#This Row],[Título]])-1</f>
        <v>1080</v>
      </c>
      <c r="B1081" s="1" t="s">
        <v>3808</v>
      </c>
      <c r="C1081" s="1"/>
      <c r="I1081" s="1"/>
      <c r="L1081" s="15" t="s">
        <v>499</v>
      </c>
      <c r="M1081" s="15" t="s">
        <v>3803</v>
      </c>
      <c r="N1081" s="15">
        <v>8</v>
      </c>
      <c r="O10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0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nadie_contesto.html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081" s="15" t="str">
        <f>_xlfn.TEXTBEFORE(_xlfn.TEXTAFTER(CantoralDB[[#This Row],[index.html]],"&gt;"),"&gt;")&amp;"&gt;"</f>
        <v>&lt;a href="canciones/brotes_de_olivo/nadie_contesto.html"&gt;</v>
      </c>
    </row>
    <row r="1082" spans="1:21" hidden="1" x14ac:dyDescent="0.3">
      <c r="A1082" s="1">
        <f>ROW(CantoralDB[[#This Row],[Título]])-1</f>
        <v>1081</v>
      </c>
      <c r="B1082" s="1" t="s">
        <v>1396</v>
      </c>
      <c r="C1082" s="1"/>
      <c r="E1082" s="1">
        <v>308</v>
      </c>
      <c r="F1082" s="1">
        <v>206</v>
      </c>
      <c r="I1082" s="1"/>
      <c r="L1082" s="15" t="s">
        <v>799</v>
      </c>
      <c r="M1082" s="15"/>
      <c r="N1082" s="15"/>
      <c r="O10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nadie_hay_tan_grande_como_tu.html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data-nold="308"&gt;&lt;a href="canciones/nsb/nadie_hay_tan_grande_como_tu.html"&gt;Nadie hay tan grande como tú&lt;/a&gt;&lt;/li&gt;</v>
      </c>
      <c r="U1082" s="15" t="str">
        <f>_xlfn.TEXTBEFORE(_xlfn.TEXTAFTER(CantoralDB[[#This Row],[index.html]],"&gt;"),"&gt;")&amp;"&gt;"</f>
        <v>&lt;a href="canciones/nsb/nadie_hay_tan_grande_como_tu.html"&gt;</v>
      </c>
    </row>
    <row r="1083" spans="1:21" hidden="1" x14ac:dyDescent="0.3">
      <c r="A1083" s="1">
        <f>ROW(CantoralDB[[#This Row],[Título]])-1</f>
        <v>1082</v>
      </c>
      <c r="B1083" s="1" t="s">
        <v>96</v>
      </c>
      <c r="C1083" s="1" t="s">
        <v>997</v>
      </c>
      <c r="D1083" s="1" t="s">
        <v>725</v>
      </c>
      <c r="E1083" s="1">
        <v>439</v>
      </c>
      <c r="F1083" s="1">
        <v>328</v>
      </c>
      <c r="G1083" s="1" t="s">
        <v>209</v>
      </c>
      <c r="H1083" s="1" t="s">
        <v>532</v>
      </c>
      <c r="I1083" s="1" t="s">
        <v>612</v>
      </c>
      <c r="L1083" s="15" t="s">
        <v>579</v>
      </c>
      <c r="M1083" s="15"/>
      <c r="N1083" s="15"/>
      <c r="O10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nadie_te_ama_como_yo.html</v>
      </c>
      <c r="R1083" s="1" t="s">
        <v>850</v>
      </c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83" s="15" t="str">
        <f>_xlfn.TEXTBEFORE(_xlfn.TEXTAFTER(CantoralDB[[#This Row],[index.html]],"&gt;"),"&gt;")&amp;"&gt;"</f>
        <v>&lt;a href="canciones/nsb/nadie_te_ama_como_yo.html"&gt;</v>
      </c>
    </row>
    <row r="1084" spans="1:21" hidden="1" x14ac:dyDescent="0.3">
      <c r="A1084" s="1">
        <f>ROW(CantoralDB[[#This Row],[Título]])-1</f>
        <v>1083</v>
      </c>
      <c r="B1084" s="1" t="s">
        <v>3602</v>
      </c>
      <c r="C1084" s="1"/>
      <c r="F1084" s="1">
        <v>267</v>
      </c>
      <c r="I1084" s="1"/>
      <c r="L1084" s="15" t="s">
        <v>3601</v>
      </c>
      <c r="M1084" s="15"/>
      <c r="N1084" s="15"/>
      <c r="O10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nadie_te_quiere_como_el.html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1084" s="15" t="str">
        <f>_xlfn.TEXTBEFORE(_xlfn.TEXTAFTER(CantoralDB[[#This Row],[index.html]],"&gt;"),"&gt;")&amp;"&gt;"</f>
        <v>&lt;a href="canciones/nuevas/nadie_te_quiere_como_el.html"&gt;</v>
      </c>
    </row>
    <row r="1085" spans="1:21" hidden="1" x14ac:dyDescent="0.3">
      <c r="A1085" s="1">
        <f>ROW(CantoralDB[[#This Row],[Título]])-1</f>
        <v>1084</v>
      </c>
      <c r="B1085" s="1" t="s">
        <v>1329</v>
      </c>
      <c r="C1085" s="1"/>
      <c r="E1085" s="1">
        <v>177</v>
      </c>
      <c r="I1085" s="1"/>
      <c r="L1085" s="15" t="s">
        <v>2157</v>
      </c>
      <c r="M1085" s="15"/>
      <c r="N1085" s="15"/>
      <c r="O10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navidad_es_amar_romper_toda_frontera.html</v>
      </c>
      <c r="R1085" s="1"/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data-author="Elizalde" data-nold="177"&gt;&lt;a href="canciones/nsb/navidad_es_amar_romper_toda_frontera.html"&gt;Navidad es amar, romper toda frontera&lt;/a&gt;&lt;/li&gt;</v>
      </c>
      <c r="U1085" s="15" t="str">
        <f>_xlfn.TEXTBEFORE(_xlfn.TEXTAFTER(CantoralDB[[#This Row],[index.html]],"&gt;"),"&gt;")&amp;"&gt;"</f>
        <v>&lt;a href="canciones/nsb/navidad_es_amar_romper_toda_frontera.html"&gt;</v>
      </c>
    </row>
    <row r="1086" spans="1:21" hidden="1" x14ac:dyDescent="0.3">
      <c r="A1086" s="1">
        <f>ROW(CantoralDB[[#This Row],[Título]])-1</f>
        <v>1085</v>
      </c>
      <c r="B1086" s="1" t="s">
        <v>553</v>
      </c>
      <c r="C1086" s="1" t="s">
        <v>476</v>
      </c>
      <c r="D1086" s="1" t="s">
        <v>1104</v>
      </c>
      <c r="H1086" s="1" t="s">
        <v>1034</v>
      </c>
      <c r="I1086" s="1" t="s">
        <v>612</v>
      </c>
      <c r="L1086" s="15" t="s">
        <v>580</v>
      </c>
      <c r="M1086" s="15"/>
      <c r="N1086" s="15"/>
      <c r="O10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navidad_es_navidad.html</v>
      </c>
      <c r="R1086" s="1"/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86" s="15" t="str">
        <f>_xlfn.TEXTBEFORE(_xlfn.TEXTAFTER(CantoralDB[[#This Row],[index.html]],"&gt;"),"&gt;")&amp;"&gt;"</f>
        <v>&lt;a href="canciones/nsb/navidad_es_navidad.html"&gt;</v>
      </c>
    </row>
    <row r="1087" spans="1:21" hidden="1" x14ac:dyDescent="0.3">
      <c r="A1087" s="1">
        <f>ROW(CantoralDB[[#This Row],[Título]])-1</f>
        <v>1086</v>
      </c>
      <c r="B1087" s="1" t="s">
        <v>554</v>
      </c>
      <c r="C1087" s="1" t="s">
        <v>476</v>
      </c>
      <c r="D1087" s="1" t="s">
        <v>1105</v>
      </c>
      <c r="H1087" s="1" t="s">
        <v>532</v>
      </c>
      <c r="I1087" s="1" t="s">
        <v>612</v>
      </c>
      <c r="L1087" s="15" t="s">
        <v>580</v>
      </c>
      <c r="M1087" s="15"/>
      <c r="N1087" s="15"/>
      <c r="O10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navidad_navidad.html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87" s="15" t="str">
        <f>_xlfn.TEXTBEFORE(_xlfn.TEXTAFTER(CantoralDB[[#This Row],[index.html]],"&gt;"),"&gt;")&amp;"&gt;"</f>
        <v>&lt;a href="canciones/nsb/navidad_navidad.html"&gt;</v>
      </c>
    </row>
    <row r="1088" spans="1:21" hidden="1" x14ac:dyDescent="0.3">
      <c r="A1088" s="1">
        <f>ROW(CantoralDB[[#This Row],[Título]])-1</f>
        <v>1087</v>
      </c>
      <c r="B1088" s="1" t="s">
        <v>1327</v>
      </c>
      <c r="C1088" s="1" t="s">
        <v>997</v>
      </c>
      <c r="D1088" s="1" t="s">
        <v>724</v>
      </c>
      <c r="E1088" s="1">
        <v>175</v>
      </c>
      <c r="G1088" s="1" t="s">
        <v>248</v>
      </c>
      <c r="H1088" s="1" t="s">
        <v>1037</v>
      </c>
      <c r="I1088" s="1" t="s">
        <v>612</v>
      </c>
      <c r="L1088" s="15" t="s">
        <v>480</v>
      </c>
      <c r="M1088" s="15"/>
      <c r="N1088" s="15"/>
      <c r="O10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necesitamos_comer_tu_pan.html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1088" s="15" t="str">
        <f>_xlfn.TEXTBEFORE(_xlfn.TEXTAFTER(CantoralDB[[#This Row],[index.html]],"&gt;"),"&gt;")&amp;"&gt;"</f>
        <v>&lt;a href="canciones/juanjo_elezkano/necesitamos_comer_tu_pan.html"&gt;</v>
      </c>
    </row>
    <row r="1089" spans="1:21" hidden="1" x14ac:dyDescent="0.3">
      <c r="A1089" s="1">
        <f>ROW(CantoralDB[[#This Row],[Título]])-1</f>
        <v>1088</v>
      </c>
      <c r="B1089" s="1" t="s">
        <v>1648</v>
      </c>
      <c r="C1089" s="1"/>
      <c r="I1089" s="1" t="s">
        <v>612</v>
      </c>
      <c r="L1089" s="15" t="s">
        <v>484</v>
      </c>
      <c r="M1089" s="15" t="s">
        <v>1530</v>
      </c>
      <c r="N1089" s="15">
        <v>4</v>
      </c>
      <c r="O10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niño.html</v>
      </c>
      <c r="R1089" s="1"/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href="canciones/kairoi/niño.html"&gt;Niño&lt;/a&gt;&lt;/li&gt;</v>
      </c>
      <c r="U1089" s="15" t="str">
        <f>_xlfn.TEXTBEFORE(_xlfn.TEXTAFTER(CantoralDB[[#This Row],[index.html]],"&gt;"),"&gt;")&amp;"&gt;"</f>
        <v>&lt;a href="canciones/kairoi/niño.html"&gt;</v>
      </c>
    </row>
    <row r="1090" spans="1:21" hidden="1" x14ac:dyDescent="0.3">
      <c r="A1090" s="1">
        <f>ROW(CantoralDB[[#This Row],[Título]])-1</f>
        <v>1089</v>
      </c>
      <c r="B1090" s="1" t="s">
        <v>97</v>
      </c>
      <c r="C1090" s="1" t="s">
        <v>201</v>
      </c>
      <c r="D1090" s="1" t="s">
        <v>669</v>
      </c>
      <c r="E1090" s="1">
        <v>440</v>
      </c>
      <c r="F1090" s="1">
        <v>91</v>
      </c>
      <c r="G1090" s="1" t="s">
        <v>209</v>
      </c>
      <c r="H1090" s="1" t="s">
        <v>1034</v>
      </c>
      <c r="I1090" s="1" t="s">
        <v>612</v>
      </c>
      <c r="L1090" s="15" t="s">
        <v>3347</v>
      </c>
      <c r="M1090" s="15"/>
      <c r="N1090" s="15"/>
      <c r="O10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0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no_adoreis_a_nadie.html</v>
      </c>
      <c r="R1090" s="1" t="s">
        <v>851</v>
      </c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1090" s="15" t="str">
        <f>_xlfn.TEXTBEFORE(_xlfn.TEXTAFTER(CantoralDB[[#This Row],[index.html]],"&gt;"),"&gt;")&amp;"&gt;"</f>
        <v>&lt;a href="canciones/luis_alfredo_diaz/no_adoreis_a_nadie.html"&gt;</v>
      </c>
    </row>
    <row r="1091" spans="1:21" hidden="1" x14ac:dyDescent="0.3">
      <c r="A1091" s="1">
        <f>ROW(CantoralDB[[#This Row],[Título]])-1</f>
        <v>1090</v>
      </c>
      <c r="B1091" s="1" t="s">
        <v>3294</v>
      </c>
      <c r="C1091" s="1"/>
      <c r="I1091" s="1"/>
      <c r="L1091" s="15" t="s">
        <v>3160</v>
      </c>
      <c r="M1091" s="15" t="s">
        <v>3291</v>
      </c>
      <c r="N1091" s="15">
        <v>5</v>
      </c>
      <c r="O10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no_comprendo_lo_que_me_pasa.html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href="canciones/hermana_glenda/no_comprendo_lo_que_me_pasa.html"&gt;No comprendo lo que me pasa&lt;/a&gt;&lt;/li&gt;</v>
      </c>
      <c r="U1091" s="15" t="str">
        <f>_xlfn.TEXTBEFORE(_xlfn.TEXTAFTER(CantoralDB[[#This Row],[index.html]],"&gt;"),"&gt;")&amp;"&gt;"</f>
        <v>&lt;a href="canciones/hermana_glenda/no_comprendo_lo_que_me_pasa.html"&gt;</v>
      </c>
    </row>
    <row r="1092" spans="1:21" hidden="1" x14ac:dyDescent="0.3">
      <c r="A1092" s="1">
        <f>ROW(CantoralDB[[#This Row],[Título]])-1</f>
        <v>1091</v>
      </c>
      <c r="B1092" s="1" t="s">
        <v>1683</v>
      </c>
      <c r="C1092" s="1"/>
      <c r="I1092" s="1" t="s">
        <v>612</v>
      </c>
      <c r="L1092" s="15" t="s">
        <v>484</v>
      </c>
      <c r="M1092" s="15" t="s">
        <v>1534</v>
      </c>
      <c r="N1092" s="15">
        <v>7</v>
      </c>
      <c r="O10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no_durmais.html</v>
      </c>
      <c r="R1092" s="1"/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href="canciones/kairoi/no_durmais.html"&gt;No durmáis&lt;/a&gt;&lt;/li&gt;</v>
      </c>
      <c r="U1092" s="15" t="str">
        <f>_xlfn.TEXTBEFORE(_xlfn.TEXTAFTER(CantoralDB[[#This Row],[index.html]],"&gt;"),"&gt;")&amp;"&gt;"</f>
        <v>&lt;a href="canciones/kairoi/no_durmais.html"&gt;</v>
      </c>
    </row>
    <row r="1093" spans="1:21" hidden="1" x14ac:dyDescent="0.3">
      <c r="A1093" s="1">
        <f>ROW(CantoralDB[[#This Row],[Título]])-1</f>
        <v>1092</v>
      </c>
      <c r="B1093" s="1" t="s">
        <v>1685</v>
      </c>
      <c r="C1093" s="1"/>
      <c r="I1093" s="1" t="s">
        <v>612</v>
      </c>
      <c r="L1093" s="15" t="s">
        <v>484</v>
      </c>
      <c r="M1093" s="15" t="s">
        <v>1534</v>
      </c>
      <c r="N1093" s="15">
        <v>11</v>
      </c>
      <c r="O10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no_es_facil.html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href="canciones/kairoi/no_es_facil.html"&gt;No es fácil&lt;/a&gt;&lt;/li&gt;</v>
      </c>
      <c r="U1093" s="15" t="str">
        <f>_xlfn.TEXTBEFORE(_xlfn.TEXTAFTER(CantoralDB[[#This Row],[index.html]],"&gt;"),"&gt;")&amp;"&gt;"</f>
        <v>&lt;a href="canciones/kairoi/no_es_facil.html"&gt;</v>
      </c>
    </row>
    <row r="1094" spans="1:21" hidden="1" x14ac:dyDescent="0.3">
      <c r="A1094" s="1">
        <f>ROW(CantoralDB[[#This Row],[Título]])-1</f>
        <v>1093</v>
      </c>
      <c r="B1094" s="1" t="s">
        <v>1805</v>
      </c>
      <c r="C1094" s="1"/>
      <c r="I1094" s="1" t="s">
        <v>612</v>
      </c>
      <c r="L1094" s="15" t="s">
        <v>501</v>
      </c>
      <c r="M1094" s="15" t="s">
        <v>1548</v>
      </c>
      <c r="N1094" s="15">
        <v>10</v>
      </c>
      <c r="O10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no_guardes_tu_vida.html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1094" s="15" t="str">
        <f>_xlfn.TEXTBEFORE(_xlfn.TEXTAFTER(CantoralDB[[#This Row],[index.html]],"&gt;"),"&gt;")&amp;"&gt;"</f>
        <v>&lt;a href="canciones/ain_karem/no_guardes_tu_vida.html"&gt;</v>
      </c>
    </row>
    <row r="1095" spans="1:21" hidden="1" x14ac:dyDescent="0.3">
      <c r="A1095" s="1">
        <f>ROW(CantoralDB[[#This Row],[Título]])-1</f>
        <v>1094</v>
      </c>
      <c r="B1095" s="1" t="s">
        <v>1328</v>
      </c>
      <c r="C1095" s="1"/>
      <c r="E1095" s="1">
        <v>176</v>
      </c>
      <c r="I1095" s="1"/>
      <c r="L1095" s="15" t="s">
        <v>2145</v>
      </c>
      <c r="M1095" s="15"/>
      <c r="N1095" s="15"/>
      <c r="O10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no_hay_cosa_mas_bonita_que_mirar.html</v>
      </c>
      <c r="R1095" s="1"/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95" s="15" t="str">
        <f>_xlfn.TEXTBEFORE(_xlfn.TEXTAFTER(CantoralDB[[#This Row],[index.html]],"&gt;"),"&gt;")&amp;"&gt;"</f>
        <v>&lt;a href="canciones/nsb/no_hay_cosa_mas_bonita_que_mirar.html"&gt;</v>
      </c>
    </row>
    <row r="1096" spans="1:21" hidden="1" x14ac:dyDescent="0.3">
      <c r="A1096" s="1">
        <f>ROW(CantoralDB[[#This Row],[Título]])-1</f>
        <v>1095</v>
      </c>
      <c r="B1096" s="1" t="s">
        <v>1821</v>
      </c>
      <c r="C1096" s="1"/>
      <c r="I1096" s="1"/>
      <c r="L1096" s="15" t="s">
        <v>501</v>
      </c>
      <c r="M1096" s="15" t="s">
        <v>1549</v>
      </c>
      <c r="N1096" s="15">
        <v>15</v>
      </c>
      <c r="O10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no_hay_fronteras.html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1096" s="15" t="str">
        <f>_xlfn.TEXTBEFORE(_xlfn.TEXTAFTER(CantoralDB[[#This Row],[index.html]],"&gt;"),"&gt;")&amp;"&gt;"</f>
        <v>&lt;a href="canciones/ain_karem/no_hay_fronteras.html"&gt;</v>
      </c>
    </row>
    <row r="1097" spans="1:21" hidden="1" x14ac:dyDescent="0.3">
      <c r="A1097" s="1">
        <f>ROW(CantoralDB[[#This Row],[Título]])-1</f>
        <v>1096</v>
      </c>
      <c r="B1097" s="1" t="s">
        <v>1674</v>
      </c>
      <c r="C1097" s="1"/>
      <c r="I1097" s="1"/>
      <c r="L1097" s="15" t="s">
        <v>484</v>
      </c>
      <c r="M1097" s="15" t="s">
        <v>1533</v>
      </c>
      <c r="N1097" s="15">
        <v>5</v>
      </c>
      <c r="O10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no_hay_lloros_por_un_niño_muerto.html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1097" s="15" t="str">
        <f>_xlfn.TEXTBEFORE(_xlfn.TEXTAFTER(CantoralDB[[#This Row],[index.html]],"&gt;"),"&gt;")&amp;"&gt;"</f>
        <v>&lt;a href="canciones/kairoi/no_hay_lloros_por_un_niño_muerto.html"&gt;</v>
      </c>
    </row>
    <row r="1098" spans="1:21" hidden="1" x14ac:dyDescent="0.3">
      <c r="A1098" s="1">
        <f>ROW(CantoralDB[[#This Row],[Título]])-1</f>
        <v>1097</v>
      </c>
      <c r="B1098" s="1" t="s">
        <v>3667</v>
      </c>
      <c r="C1098" s="1"/>
      <c r="F1098" s="1">
        <v>335</v>
      </c>
      <c r="I1098" s="1"/>
      <c r="L1098" s="15" t="s">
        <v>799</v>
      </c>
      <c r="M1098" s="15"/>
      <c r="N1098" s="15"/>
      <c r="O10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no_hay_nadie_como_mi_dios.html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098" s="15" t="str">
        <f>_xlfn.TEXTBEFORE(_xlfn.TEXTAFTER(CantoralDB[[#This Row],[index.html]],"&gt;"),"&gt;")&amp;"&gt;"</f>
        <v>&lt;a href="canciones/nuevas/no_hay_nadie_como_mi_dios.html"&gt;</v>
      </c>
    </row>
    <row r="1099" spans="1:21" hidden="1" x14ac:dyDescent="0.3">
      <c r="A1099" s="1">
        <f>ROW(CantoralDB[[#This Row],[Título]])-1</f>
        <v>1098</v>
      </c>
      <c r="B1099" s="1" t="s">
        <v>3648</v>
      </c>
      <c r="C1099" s="1"/>
      <c r="F1099" s="1">
        <v>312</v>
      </c>
      <c r="I1099" s="1"/>
      <c r="L1099" s="15" t="s">
        <v>594</v>
      </c>
      <c r="M1099" s="15"/>
      <c r="N1099" s="15"/>
      <c r="O10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0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0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no_hay_nadie_como_tu.html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1099" s="15" t="str">
        <f>_xlfn.TEXTBEFORE(_xlfn.TEXTAFTER(CantoralDB[[#This Row],[index.html]],"&gt;"),"&gt;")&amp;"&gt;"</f>
        <v>&lt;a href="canciones/alejandro_ruiz/no_hay_nadie_como_tu.html"&gt;</v>
      </c>
    </row>
    <row r="1100" spans="1:21" hidden="1" x14ac:dyDescent="0.3">
      <c r="A1100" s="1">
        <f>ROW(CantoralDB[[#This Row],[Título]])-1</f>
        <v>1099</v>
      </c>
      <c r="B1100" s="1" t="s">
        <v>3226</v>
      </c>
      <c r="C1100" s="1"/>
      <c r="F1100" s="1">
        <v>214</v>
      </c>
      <c r="I1100" s="1"/>
      <c r="L1100" s="15" t="s">
        <v>3160</v>
      </c>
      <c r="M1100" s="15" t="s">
        <v>3191</v>
      </c>
      <c r="N1100" s="15">
        <v>14</v>
      </c>
      <c r="O1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no_juzgues.html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1100" s="15" t="str">
        <f>_xlfn.TEXTBEFORE(_xlfn.TEXTAFTER(CantoralDB[[#This Row],[index.html]],"&gt;"),"&gt;")&amp;"&gt;"</f>
        <v>&lt;a href="canciones/hermana_glenda/no_juzgues.html"&gt;</v>
      </c>
    </row>
    <row r="1101" spans="1:21" hidden="1" x14ac:dyDescent="0.3">
      <c r="A1101" s="1">
        <f>ROW(CantoralDB[[#This Row],[Título]])-1</f>
        <v>1100</v>
      </c>
      <c r="B1101" s="1" t="s">
        <v>2074</v>
      </c>
      <c r="C1101" s="1"/>
      <c r="I1101" s="1" t="s">
        <v>612</v>
      </c>
      <c r="L1101" s="15" t="s">
        <v>1804</v>
      </c>
      <c r="M1101" s="15" t="s">
        <v>1951</v>
      </c>
      <c r="N1101" s="15">
        <v>14</v>
      </c>
      <c r="O1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no_lo_notais.html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href="canciones/ruah/no_lo_notais.html"&gt;No lo notáis&lt;/a&gt;&lt;/li&gt;</v>
      </c>
      <c r="U1101" s="15" t="str">
        <f>_xlfn.TEXTBEFORE(_xlfn.TEXTAFTER(CantoralDB[[#This Row],[index.html]],"&gt;"),"&gt;")&amp;"&gt;"</f>
        <v>&lt;a href="canciones/ruah/no_lo_notais.html"&gt;</v>
      </c>
    </row>
    <row r="1102" spans="1:21" hidden="1" x14ac:dyDescent="0.3">
      <c r="A1102" s="1">
        <f>ROW(CantoralDB[[#This Row],[Título]])-1</f>
        <v>1101</v>
      </c>
      <c r="B1102" s="1" t="s">
        <v>3802</v>
      </c>
      <c r="C1102" s="1"/>
      <c r="F1102" s="1">
        <v>448</v>
      </c>
      <c r="I1102" s="1"/>
      <c r="L1102" s="15" t="s">
        <v>3458</v>
      </c>
      <c r="M1102" s="15"/>
      <c r="N1102" s="15"/>
      <c r="O1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no_me_callare.html</v>
      </c>
      <c r="R1102" s="1"/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1102" s="15" t="str">
        <f>_xlfn.TEXTBEFORE(_xlfn.TEXTAFTER(CantoralDB[[#This Row],[index.html]],"&gt;"),"&gt;")&amp;"&gt;"</f>
        <v>&lt;a href="canciones/marta_gil-delgado/no_me_callare.html"&gt;</v>
      </c>
    </row>
    <row r="1103" spans="1:21" hidden="1" x14ac:dyDescent="0.3">
      <c r="A1103" s="1">
        <f>ROW(CantoralDB[[#This Row],[Título]])-1</f>
        <v>1102</v>
      </c>
      <c r="B1103" s="1" t="s">
        <v>3184</v>
      </c>
      <c r="C1103" s="1"/>
      <c r="I1103" s="1"/>
      <c r="L1103" s="15" t="s">
        <v>3160</v>
      </c>
      <c r="M1103" s="15" t="s">
        <v>3175</v>
      </c>
      <c r="N1103" s="15">
        <v>10</v>
      </c>
      <c r="O1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no_me_comprendo.html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href="canciones/hermana_glenda/no_me_comprendo.html"&gt;No me comprendo&lt;/a&gt;&lt;/li&gt;</v>
      </c>
      <c r="U1103" s="15" t="str">
        <f>_xlfn.TEXTBEFORE(_xlfn.TEXTAFTER(CantoralDB[[#This Row],[index.html]],"&gt;"),"&gt;")&amp;"&gt;"</f>
        <v>&lt;a href="canciones/hermana_glenda/no_me_comprendo.html"&gt;</v>
      </c>
    </row>
    <row r="1104" spans="1:21" hidden="1" x14ac:dyDescent="0.3">
      <c r="A1104" s="1">
        <f>ROW(CantoralDB[[#This Row],[Título]])-1</f>
        <v>1103</v>
      </c>
      <c r="B1104" s="1" t="s">
        <v>3211</v>
      </c>
      <c r="C1104" s="1"/>
      <c r="I1104" s="1"/>
      <c r="L1104" s="15" t="s">
        <v>3160</v>
      </c>
      <c r="M1104" s="15" t="s">
        <v>3190</v>
      </c>
      <c r="N1104" s="15">
        <v>10</v>
      </c>
      <c r="O1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no_me_des_riqueza_ni_pobreza.html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href="canciones/hermana_glenda/no_me_des_riqueza_ni_pobreza.html"&gt;No me des riqueza ni pobreza&lt;/a&gt;&lt;/li&gt;</v>
      </c>
      <c r="U1104" s="15" t="str">
        <f>_xlfn.TEXTBEFORE(_xlfn.TEXTAFTER(CantoralDB[[#This Row],[index.html]],"&gt;"),"&gt;")&amp;"&gt;"</f>
        <v>&lt;a href="canciones/hermana_glenda/no_me_des_riqueza_ni_pobreza.html"&gt;</v>
      </c>
    </row>
    <row r="1105" spans="1:21" hidden="1" x14ac:dyDescent="0.3">
      <c r="A1105" s="1">
        <f>ROW(CantoralDB[[#This Row],[Título]])-1</f>
        <v>1104</v>
      </c>
      <c r="B1105" s="1" t="s">
        <v>98</v>
      </c>
      <c r="C1105" s="1" t="s">
        <v>997</v>
      </c>
      <c r="D1105" s="1" t="s">
        <v>726</v>
      </c>
      <c r="E1105" s="1">
        <v>441</v>
      </c>
      <c r="G1105" s="1" t="s">
        <v>209</v>
      </c>
      <c r="H1105" s="1" t="s">
        <v>532</v>
      </c>
      <c r="I1105" s="1" t="s">
        <v>612</v>
      </c>
      <c r="L1105" s="15" t="s">
        <v>799</v>
      </c>
      <c r="M1105" s="15"/>
      <c r="N1105" s="15"/>
      <c r="O1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no_me_mueve.html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105" s="15" t="str">
        <f>_xlfn.TEXTBEFORE(_xlfn.TEXTAFTER(CantoralDB[[#This Row],[index.html]],"&gt;"),"&gt;")&amp;"&gt;"</f>
        <v>&lt;a href="canciones/nsb/no_me_mueve.html"&gt;</v>
      </c>
    </row>
    <row r="1106" spans="1:21" hidden="1" x14ac:dyDescent="0.3">
      <c r="A1106" s="1">
        <f>ROW(CantoralDB[[#This Row],[Título]])-1</f>
        <v>1105</v>
      </c>
      <c r="B1106" s="1" t="s">
        <v>1865</v>
      </c>
      <c r="C1106" s="1"/>
      <c r="I1106" s="1"/>
      <c r="L1106" s="15" t="s">
        <v>501</v>
      </c>
      <c r="M1106" s="15" t="s">
        <v>1554</v>
      </c>
      <c r="N1106" s="15">
        <v>13</v>
      </c>
      <c r="O1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no_os_dejo_solas.html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href="canciones/ain_karem/no_os_dejo_solas.html"&gt;No os dejo solas&lt;/a&gt;&lt;/li&gt;</v>
      </c>
      <c r="U1106" s="15" t="str">
        <f>_xlfn.TEXTBEFORE(_xlfn.TEXTAFTER(CantoralDB[[#This Row],[index.html]],"&gt;"),"&gt;")&amp;"&gt;"</f>
        <v>&lt;a href="canciones/ain_karem/no_os_dejo_solas.html"&gt;</v>
      </c>
    </row>
    <row r="1107" spans="1:21" hidden="1" x14ac:dyDescent="0.3">
      <c r="A1107" s="1">
        <f>ROW(CantoralDB[[#This Row],[Título]])-1</f>
        <v>1106</v>
      </c>
      <c r="B1107" s="1" t="s">
        <v>1910</v>
      </c>
      <c r="C1107" s="1"/>
      <c r="I1107" s="1" t="s">
        <v>612</v>
      </c>
      <c r="L1107" s="15" t="s">
        <v>1804</v>
      </c>
      <c r="M1107" s="15" t="s">
        <v>1950</v>
      </c>
      <c r="N1107" s="15">
        <v>7</v>
      </c>
      <c r="O1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no_os_preocupeis.html</v>
      </c>
      <c r="R1107" s="1"/>
      <c r="S1107" s="1"/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107" s="15" t="str">
        <f>_xlfn.TEXTBEFORE(_xlfn.TEXTAFTER(CantoralDB[[#This Row],[index.html]],"&gt;"),"&gt;")&amp;"&gt;"</f>
        <v>&lt;a href="canciones/ruah/no_os_preocupeis.html"&gt;</v>
      </c>
    </row>
    <row r="1108" spans="1:21" hidden="1" x14ac:dyDescent="0.3">
      <c r="A1108" s="1">
        <f>ROW(CantoralDB[[#This Row],[Título]])-1</f>
        <v>1107</v>
      </c>
      <c r="B1108" s="1" t="s">
        <v>1787</v>
      </c>
      <c r="C1108" s="1"/>
      <c r="I1108" s="1"/>
      <c r="L1108" s="15" t="s">
        <v>484</v>
      </c>
      <c r="M1108" s="15" t="s">
        <v>1545</v>
      </c>
      <c r="N1108" s="15">
        <v>12</v>
      </c>
      <c r="O1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no_pasa_na.html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href="canciones/kairoi/no_pasa_na.html"&gt;No pasa ná&lt;/a&gt;&lt;/li&gt;</v>
      </c>
      <c r="U1108" s="15" t="str">
        <f>_xlfn.TEXTBEFORE(_xlfn.TEXTAFTER(CantoralDB[[#This Row],[index.html]],"&gt;"),"&gt;")&amp;"&gt;"</f>
        <v>&lt;a href="canciones/kairoi/no_pasa_na.html"&gt;</v>
      </c>
    </row>
    <row r="1109" spans="1:21" hidden="1" x14ac:dyDescent="0.3">
      <c r="A1109" s="1">
        <f>ROW(CantoralDB[[#This Row],[Título]])-1</f>
        <v>1108</v>
      </c>
      <c r="B1109" s="1" t="s">
        <v>642</v>
      </c>
      <c r="C1109" s="1" t="s">
        <v>997</v>
      </c>
      <c r="D1109" s="1" t="s">
        <v>727</v>
      </c>
      <c r="G1109" s="1" t="s">
        <v>248</v>
      </c>
      <c r="H1109" s="1" t="s">
        <v>1037</v>
      </c>
      <c r="I1109" s="1" t="s">
        <v>612</v>
      </c>
      <c r="L1109" s="15" t="s">
        <v>491</v>
      </c>
      <c r="M1109" s="15"/>
      <c r="N1109" s="15"/>
      <c r="O1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no_podemos_caminar_(hambre_de_dios).html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1109" s="15" t="str">
        <f>_xlfn.TEXTBEFORE(_xlfn.TEXTAFTER(CantoralDB[[#This Row],[index.html]],"&gt;"),"&gt;")&amp;"&gt;"</f>
        <v>&lt;a href="canciones/juan_antonio_espinosa/no_podemos_caminar_(hambre_de_dios).html"&gt;</v>
      </c>
    </row>
    <row r="1110" spans="1:21" hidden="1" x14ac:dyDescent="0.3">
      <c r="A1110" s="1">
        <f>ROW(CantoralDB[[#This Row],[Título]])-1</f>
        <v>1109</v>
      </c>
      <c r="B1110" s="1" t="s">
        <v>3609</v>
      </c>
      <c r="C1110" s="1"/>
      <c r="F1110" s="1">
        <v>274</v>
      </c>
      <c r="I1110" s="1"/>
      <c r="L1110" s="15" t="s">
        <v>799</v>
      </c>
      <c r="M1110" s="15"/>
      <c r="N1110" s="15"/>
      <c r="O1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no_puede_estar_triste.html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href="canciones/nuevas/no_puede_estar_triste.html"&gt;No puede estar triste&lt;/a&gt;&lt;/li&gt;</v>
      </c>
      <c r="U1110" s="15" t="str">
        <f>_xlfn.TEXTBEFORE(_xlfn.TEXTAFTER(CantoralDB[[#This Row],[index.html]],"&gt;"),"&gt;")&amp;"&gt;"</f>
        <v>&lt;a href="canciones/nuevas/no_puede_estar_triste.html"&gt;</v>
      </c>
    </row>
    <row r="1111" spans="1:21" hidden="1" x14ac:dyDescent="0.3">
      <c r="A1111" s="1">
        <f>ROW(CantoralDB[[#This Row],[Título]])-1</f>
        <v>1110</v>
      </c>
      <c r="B1111" s="1" t="s">
        <v>1630</v>
      </c>
      <c r="C1111" s="1"/>
      <c r="I1111" s="1"/>
      <c r="L1111" s="15" t="s">
        <v>484</v>
      </c>
      <c r="M1111" s="15" t="s">
        <v>1526</v>
      </c>
      <c r="N1111" s="15">
        <v>5</v>
      </c>
      <c r="O1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no_puedo_jugar.html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1111" s="15" t="str">
        <f>_xlfn.TEXTBEFORE(_xlfn.TEXTAFTER(CantoralDB[[#This Row],[index.html]],"&gt;"),"&gt;")&amp;"&gt;"</f>
        <v>&lt;a href="canciones/kairoi/no_puedo_jugar.html"&gt;</v>
      </c>
    </row>
    <row r="1112" spans="1:21" hidden="1" x14ac:dyDescent="0.3">
      <c r="A1112" s="1">
        <f>ROW(CantoralDB[[#This Row],[Título]])-1</f>
        <v>1111</v>
      </c>
      <c r="B1112" s="1" t="s">
        <v>3691</v>
      </c>
      <c r="C1112" s="1"/>
      <c r="F1112" s="1">
        <v>355</v>
      </c>
      <c r="I1112" s="1"/>
      <c r="L1112" s="15" t="s">
        <v>3693</v>
      </c>
      <c r="M1112" s="15"/>
      <c r="N1112" s="15"/>
      <c r="O1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no_puedo_parar.html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1112" s="15" t="str">
        <f>_xlfn.TEXTBEFORE(_xlfn.TEXTAFTER(CantoralDB[[#This Row],[index.html]],"&gt;"),"&gt;")&amp;"&gt;"</f>
        <v>&lt;a href="canciones/nuevas/no_puedo_parar.html"&gt;</v>
      </c>
    </row>
    <row r="1113" spans="1:21" hidden="1" x14ac:dyDescent="0.3">
      <c r="A1113" s="1">
        <f>ROW(CantoralDB[[#This Row],[Título]])-1</f>
        <v>1112</v>
      </c>
      <c r="B1113" s="1" t="s">
        <v>3198</v>
      </c>
      <c r="C1113" s="1"/>
      <c r="I1113" s="1"/>
      <c r="L1113" s="15" t="s">
        <v>3160</v>
      </c>
      <c r="M1113" s="15" t="s">
        <v>3192</v>
      </c>
      <c r="N1113" s="15">
        <v>7</v>
      </c>
      <c r="O1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no_puedo_vivir_sin_ti.html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href="canciones/hermana_glenda/no_puedo_vivir_sin_ti.html"&gt;No puedo vivir sin ti&lt;/a&gt;&lt;/li&gt;</v>
      </c>
      <c r="U1113" s="15" t="str">
        <f>_xlfn.TEXTBEFORE(_xlfn.TEXTAFTER(CantoralDB[[#This Row],[index.html]],"&gt;"),"&gt;")&amp;"&gt;"</f>
        <v>&lt;a href="canciones/hermana_glenda/no_puedo_vivir_sin_ti.html"&gt;</v>
      </c>
    </row>
    <row r="1114" spans="1:21" hidden="1" x14ac:dyDescent="0.3">
      <c r="A1114" s="1">
        <f>ROW(CantoralDB[[#This Row],[Título]])-1</f>
        <v>1113</v>
      </c>
      <c r="B1114" s="1" t="s">
        <v>1325</v>
      </c>
      <c r="C1114" s="1"/>
      <c r="E1114" s="1">
        <v>172</v>
      </c>
      <c r="I1114" s="1"/>
      <c r="L1114" s="15" t="s">
        <v>510</v>
      </c>
      <c r="M1114" s="15"/>
      <c r="N1114" s="15"/>
      <c r="O1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no_queremos_a_los_grandes_palabreros.html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114" s="15" t="str">
        <f>_xlfn.TEXTBEFORE(_xlfn.TEXTAFTER(CantoralDB[[#This Row],[index.html]],"&gt;"),"&gt;")&amp;"&gt;"</f>
        <v>&lt;a href="canciones/ricardo_cantalapiedra/no_queremos_a_los_grandes_palabreros.html"&gt;</v>
      </c>
    </row>
    <row r="1115" spans="1:21" hidden="1" x14ac:dyDescent="0.3">
      <c r="A1115" s="1">
        <f>ROW(CantoralDB[[#This Row],[Título]])-1</f>
        <v>1114</v>
      </c>
      <c r="B1115" s="1" t="s">
        <v>3196</v>
      </c>
      <c r="C1115" s="1"/>
      <c r="I1115" s="1"/>
      <c r="L1115" s="15" t="s">
        <v>3160</v>
      </c>
      <c r="M1115" s="15" t="s">
        <v>3192</v>
      </c>
      <c r="N1115" s="15">
        <v>4</v>
      </c>
      <c r="O1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no_quieras_despreciarme.html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href="canciones/hermana_glenda/no_quieras_despreciarme.html"&gt;No quieras despreciarme&lt;/a&gt;&lt;/li&gt;</v>
      </c>
      <c r="U1115" s="15" t="str">
        <f>_xlfn.TEXTBEFORE(_xlfn.TEXTAFTER(CantoralDB[[#This Row],[index.html]],"&gt;"),"&gt;")&amp;"&gt;"</f>
        <v>&lt;a href="canciones/hermana_glenda/no_quieras_despreciarme.html"&gt;</v>
      </c>
    </row>
    <row r="1116" spans="1:21" hidden="1" x14ac:dyDescent="0.3">
      <c r="A1116" s="1">
        <f>ROW(CantoralDB[[#This Row],[Título]])-1</f>
        <v>1115</v>
      </c>
      <c r="B1116" s="1" t="s">
        <v>559</v>
      </c>
      <c r="C1116" s="1" t="s">
        <v>201</v>
      </c>
      <c r="D1116" s="1" t="s">
        <v>670</v>
      </c>
      <c r="G1116" s="1" t="s">
        <v>557</v>
      </c>
      <c r="H1116" s="1" t="s">
        <v>533</v>
      </c>
      <c r="I1116" s="1" t="s">
        <v>612</v>
      </c>
      <c r="L1116" s="15" t="s">
        <v>484</v>
      </c>
      <c r="M1116" s="15"/>
      <c r="N1116" s="15"/>
      <c r="O1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no_quiero_alejarme_de_ti.html</v>
      </c>
      <c r="R1116" s="1" t="s">
        <v>852</v>
      </c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1116" s="15" t="str">
        <f>_xlfn.TEXTBEFORE(_xlfn.TEXTAFTER(CantoralDB[[#This Row],[index.html]],"&gt;"),"&gt;")&amp;"&gt;"</f>
        <v>&lt;a href="canciones/kairoi/no_quiero_alejarme_de_ti.html"&gt;</v>
      </c>
    </row>
    <row r="1117" spans="1:21" hidden="1" x14ac:dyDescent="0.3">
      <c r="A1117" s="1">
        <f>ROW(CantoralDB[[#This Row],[Título]])-1</f>
        <v>1116</v>
      </c>
      <c r="B1117" s="1" t="s">
        <v>3522</v>
      </c>
      <c r="C1117" s="1"/>
      <c r="F1117" s="1">
        <v>176</v>
      </c>
      <c r="I1117" s="1"/>
      <c r="L1117" s="15" t="s">
        <v>3347</v>
      </c>
      <c r="M1117" s="15"/>
      <c r="N1117" s="15"/>
      <c r="O1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no_quiero_ser_santa_a_medias.html</v>
      </c>
      <c r="R1117" s="1"/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1117" s="15" t="str">
        <f>_xlfn.TEXTBEFORE(_xlfn.TEXTAFTER(CantoralDB[[#This Row],[index.html]],"&gt;"),"&gt;")&amp;"&gt;"</f>
        <v>&lt;a href="canciones/luis_alfredo_diaz/no_quiero_ser_santa_a_medias.html"&gt;</v>
      </c>
    </row>
    <row r="1118" spans="1:21" hidden="1" x14ac:dyDescent="0.3">
      <c r="A1118" s="1">
        <f>ROW(CantoralDB[[#This Row],[Título]])-1</f>
        <v>1117</v>
      </c>
      <c r="B1118" s="1" t="s">
        <v>99</v>
      </c>
      <c r="C1118" s="1" t="s">
        <v>198</v>
      </c>
      <c r="D1118" s="1" t="s">
        <v>1484</v>
      </c>
      <c r="E1118" s="1">
        <v>442</v>
      </c>
      <c r="G1118" s="1" t="s">
        <v>209</v>
      </c>
      <c r="H1118" s="1" t="s">
        <v>1037</v>
      </c>
      <c r="I1118" s="1" t="s">
        <v>612</v>
      </c>
      <c r="L1118" s="15" t="s">
        <v>258</v>
      </c>
      <c r="M1118" s="15"/>
      <c r="N1118" s="15"/>
      <c r="O1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no_se_canso_de_hacer_el_bien.html</v>
      </c>
      <c r="R1118" s="1"/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118" s="15" t="str">
        <f>_xlfn.TEXTBEFORE(_xlfn.TEXTAFTER(CantoralDB[[#This Row],[index.html]],"&gt;"),"&gt;")&amp;"&gt;"</f>
        <v>&lt;a href="canciones/nsb/no_se_canso_de_hacer_el_bien.html"&gt;</v>
      </c>
    </row>
    <row r="1119" spans="1:21" hidden="1" x14ac:dyDescent="0.3">
      <c r="A1119" s="1">
        <f>ROW(CantoralDB[[#This Row],[Título]])-1</f>
        <v>1118</v>
      </c>
      <c r="B1119" s="1" t="s">
        <v>3169</v>
      </c>
      <c r="C1119" s="1"/>
      <c r="F1119" s="1">
        <v>280</v>
      </c>
      <c r="I1119" s="1"/>
      <c r="L1119" s="15" t="s">
        <v>3160</v>
      </c>
      <c r="M1119" s="15" t="s">
        <v>3191</v>
      </c>
      <c r="N1119" s="15">
        <v>2</v>
      </c>
      <c r="O1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no_soy_digno.html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1119" s="15" t="str">
        <f>_xlfn.TEXTBEFORE(_xlfn.TEXTAFTER(CantoralDB[[#This Row],[index.html]],"&gt;"),"&gt;")&amp;"&gt;"</f>
        <v>&lt;a href="canciones/hermana_glenda/no_soy_digno.html"&gt;</v>
      </c>
    </row>
    <row r="1120" spans="1:21" hidden="1" x14ac:dyDescent="0.3">
      <c r="A1120" s="1">
        <f>ROW(CantoralDB[[#This Row],[Título]])-1</f>
        <v>1119</v>
      </c>
      <c r="B1120" s="1" t="s">
        <v>3252</v>
      </c>
      <c r="C1120" s="1"/>
      <c r="I1120" s="1"/>
      <c r="L1120" s="15" t="s">
        <v>3160</v>
      </c>
      <c r="M1120" s="15" t="s">
        <v>3248</v>
      </c>
      <c r="N1120" s="15">
        <v>5</v>
      </c>
      <c r="O1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no_te_sientas_sola.html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href="canciones/hermana_glenda/no_te_sientas_sola.html"&gt;No te sientas sola&lt;/a&gt;&lt;/li&gt;</v>
      </c>
      <c r="U1120" s="15" t="str">
        <f>_xlfn.TEXTBEFORE(_xlfn.TEXTAFTER(CantoralDB[[#This Row],[index.html]],"&gt;"),"&gt;")&amp;"&gt;"</f>
        <v>&lt;a href="canciones/hermana_glenda/no_te_sientas_sola.html"&gt;</v>
      </c>
    </row>
    <row r="1121" spans="1:21" hidden="1" x14ac:dyDescent="0.3">
      <c r="A1121" s="1">
        <f>ROW(CantoralDB[[#This Row],[Título]])-1</f>
        <v>1120</v>
      </c>
      <c r="B1121" s="1" t="s">
        <v>2052</v>
      </c>
      <c r="C1121" s="1"/>
      <c r="I1121" s="1"/>
      <c r="L1121" s="15" t="s">
        <v>261</v>
      </c>
      <c r="M1121" s="15"/>
      <c r="N1121" s="15"/>
      <c r="O1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no_te_vas.html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href="canciones/hakuna/no_te_vas.html"&gt;No te vas&lt;/a&gt;&lt;/li&gt;</v>
      </c>
      <c r="U1121" s="15" t="str">
        <f>_xlfn.TEXTBEFORE(_xlfn.TEXTAFTER(CantoralDB[[#This Row],[index.html]],"&gt;"),"&gt;")&amp;"&gt;"</f>
        <v>&lt;a href="canciones/hakuna/no_te_vas.html"&gt;</v>
      </c>
    </row>
    <row r="1122" spans="1:21" hidden="1" x14ac:dyDescent="0.3">
      <c r="A1122" s="1">
        <f>ROW(CantoralDB[[#This Row],[Título]])-1</f>
        <v>1121</v>
      </c>
      <c r="B1122" s="1" t="s">
        <v>1621</v>
      </c>
      <c r="C1122" s="1"/>
      <c r="I1122" s="1" t="s">
        <v>612</v>
      </c>
      <c r="L1122" s="15" t="s">
        <v>484</v>
      </c>
      <c r="M1122" s="15" t="s">
        <v>1536</v>
      </c>
      <c r="N1122" s="15">
        <v>3</v>
      </c>
      <c r="O1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href="canciones/kairoi/no_temais.html"&gt;No temáis&lt;/a&gt;&lt;/li&gt;</v>
      </c>
      <c r="U1122" s="15" t="str">
        <f>_xlfn.TEXTBEFORE(_xlfn.TEXTAFTER(CantoralDB[[#This Row],[index.html]],"&gt;"),"&gt;")&amp;"&gt;"</f>
        <v>&lt;a href="canciones/kairoi/no_temais.html"&gt;</v>
      </c>
    </row>
    <row r="1123" spans="1:21" hidden="1" x14ac:dyDescent="0.3">
      <c r="A1123" s="1">
        <f>ROW(CantoralDB[[#This Row],[Título]])-1</f>
        <v>1122</v>
      </c>
      <c r="B1123" s="1" t="s">
        <v>1621</v>
      </c>
      <c r="C1123" s="1"/>
      <c r="F1123" s="1">
        <v>228</v>
      </c>
      <c r="I1123" s="1"/>
      <c r="L1123" s="15" t="s">
        <v>3458</v>
      </c>
      <c r="M1123" s="15"/>
      <c r="N1123" s="15"/>
      <c r="O1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1123" s="15" t="str">
        <f>_xlfn.TEXTBEFORE(_xlfn.TEXTAFTER(CantoralDB[[#This Row],[index.html]],"&gt;"),"&gt;")&amp;"&gt;"</f>
        <v>&lt;a href="canciones/marta_gil-delgado/no_temais.html"&gt;</v>
      </c>
    </row>
    <row r="1124" spans="1:21" hidden="1" x14ac:dyDescent="0.3">
      <c r="A1124" s="1">
        <f>ROW(CantoralDB[[#This Row],[Título]])-1</f>
        <v>1123</v>
      </c>
      <c r="B1124" s="1" t="s">
        <v>215</v>
      </c>
      <c r="C1124" s="1"/>
      <c r="I1124" s="1" t="s">
        <v>612</v>
      </c>
      <c r="L1124" s="15" t="s">
        <v>501</v>
      </c>
      <c r="M1124" s="15" t="s">
        <v>1554</v>
      </c>
      <c r="N1124" s="15">
        <v>3</v>
      </c>
      <c r="O1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href="canciones/ain_karem/no_temas.html"&gt;No temas&lt;/a&gt;&lt;/li&gt;</v>
      </c>
      <c r="U1124" s="15" t="str">
        <f>_xlfn.TEXTBEFORE(_xlfn.TEXTAFTER(CantoralDB[[#This Row],[index.html]],"&gt;"),"&gt;")&amp;"&gt;"</f>
        <v>&lt;a href="canciones/ain_karem/no_temas.html"&gt;</v>
      </c>
    </row>
    <row r="1125" spans="1:21" hidden="1" x14ac:dyDescent="0.3">
      <c r="A1125" s="1">
        <f>ROW(CantoralDB[[#This Row],[Título]])-1</f>
        <v>1124</v>
      </c>
      <c r="B1125" s="1" t="s">
        <v>215</v>
      </c>
      <c r="C1125" s="1" t="s">
        <v>997</v>
      </c>
      <c r="D1125" s="1" t="s">
        <v>728</v>
      </c>
      <c r="G1125" s="1" t="s">
        <v>216</v>
      </c>
      <c r="H1125" s="1" t="s">
        <v>1067</v>
      </c>
      <c r="I1125" s="1" t="s">
        <v>612</v>
      </c>
      <c r="L1125" s="15" t="s">
        <v>524</v>
      </c>
      <c r="M1125" s="15"/>
      <c r="N1125" s="15"/>
      <c r="O1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125" s="15" t="str">
        <f>_xlfn.TEXTBEFORE(_xlfn.TEXTAFTER(CantoralDB[[#This Row],[index.html]],"&gt;"),"&gt;")&amp;"&gt;"</f>
        <v>&lt;a href="canciones/nsb/no_temas.html"&gt;</v>
      </c>
    </row>
    <row r="1126" spans="1:21" hidden="1" x14ac:dyDescent="0.3">
      <c r="A1126" s="1">
        <f>ROW(CantoralDB[[#This Row],[Título]])-1</f>
        <v>1125</v>
      </c>
      <c r="B1126" s="1" t="s">
        <v>1792</v>
      </c>
      <c r="C1126" s="1"/>
      <c r="I1126" s="1" t="s">
        <v>612</v>
      </c>
      <c r="L1126" s="15" t="s">
        <v>501</v>
      </c>
      <c r="M1126" s="15" t="s">
        <v>1547</v>
      </c>
      <c r="N1126" s="15">
        <v>6</v>
      </c>
      <c r="O1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no_tengas_miedo.html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1126" s="15" t="str">
        <f>_xlfn.TEXTBEFORE(_xlfn.TEXTAFTER(CantoralDB[[#This Row],[index.html]],"&gt;"),"&gt;")&amp;"&gt;"</f>
        <v>&lt;a href="canciones/ain_karem/no_tengas_miedo.html"&gt;</v>
      </c>
    </row>
    <row r="1127" spans="1:21" hidden="1" x14ac:dyDescent="0.3">
      <c r="A1127" s="1">
        <f>ROW(CantoralDB[[#This Row],[Título]])-1</f>
        <v>1126</v>
      </c>
      <c r="B1127" s="1" t="s">
        <v>1633</v>
      </c>
      <c r="C1127" s="1"/>
      <c r="I1127" s="1"/>
      <c r="L1127" s="15" t="s">
        <v>484</v>
      </c>
      <c r="M1127" s="15" t="s">
        <v>1526</v>
      </c>
      <c r="N1127" s="15">
        <v>9</v>
      </c>
      <c r="O1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no_tengo_a_nadie.html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1127" s="15" t="str">
        <f>_xlfn.TEXTBEFORE(_xlfn.TEXTAFTER(CantoralDB[[#This Row],[index.html]],"&gt;"),"&gt;")&amp;"&gt;"</f>
        <v>&lt;a href="canciones/kairoi/no_tengo_a_nadie.html"&gt;</v>
      </c>
    </row>
    <row r="1128" spans="1:21" hidden="1" x14ac:dyDescent="0.3">
      <c r="A1128" s="1">
        <f>ROW(CantoralDB[[#This Row],[Título]])-1</f>
        <v>1127</v>
      </c>
      <c r="B1128" s="1" t="s">
        <v>3610</v>
      </c>
      <c r="C1128" s="1"/>
      <c r="F1128" s="1">
        <v>275</v>
      </c>
      <c r="I1128" s="1"/>
      <c r="L1128" s="15" t="s">
        <v>3611</v>
      </c>
      <c r="M1128" s="15"/>
      <c r="N1128" s="15"/>
      <c r="O1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no_tengo_mas.html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128" s="15" t="str">
        <f>_xlfn.TEXTBEFORE(_xlfn.TEXTAFTER(CantoralDB[[#This Row],[index.html]],"&gt;"),"&gt;")&amp;"&gt;"</f>
        <v>&lt;a href="canciones/nuevas/no_tengo_mas.html"&gt;</v>
      </c>
    </row>
    <row r="1129" spans="1:21" hidden="1" x14ac:dyDescent="0.3">
      <c r="A1129" s="1">
        <f>ROW(CantoralDB[[#This Row],[Título]])-1</f>
        <v>1128</v>
      </c>
      <c r="B1129" s="1" t="s">
        <v>3714</v>
      </c>
      <c r="C1129" s="1"/>
      <c r="F1129" s="1">
        <v>376</v>
      </c>
      <c r="I1129" s="1"/>
      <c r="L1129" s="15" t="s">
        <v>3451</v>
      </c>
      <c r="M1129" s="15"/>
      <c r="N1129" s="15"/>
      <c r="O1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no_tengo_señor_alabanza.html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129" s="15" t="str">
        <f>_xlfn.TEXTBEFORE(_xlfn.TEXTAFTER(CantoralDB[[#This Row],[index.html]],"&gt;"),"&gt;")&amp;"&gt;"</f>
        <v>&lt;a href="canciones/rosa_cruz/no_tengo_señor_alabanza.html"&gt;</v>
      </c>
    </row>
    <row r="1130" spans="1:21" hidden="1" x14ac:dyDescent="0.3">
      <c r="A1130" s="1">
        <f>ROW(CantoralDB[[#This Row],[Título]])-1</f>
        <v>1129</v>
      </c>
      <c r="B1130" s="1" t="s">
        <v>1332</v>
      </c>
      <c r="C1130" s="1"/>
      <c r="E1130" s="1">
        <v>180</v>
      </c>
      <c r="I1130" s="1"/>
      <c r="L1130" s="15" t="s">
        <v>2158</v>
      </c>
      <c r="M1130" s="15"/>
      <c r="N1130" s="15"/>
      <c r="O1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no_vayais_a_la_fiesta.html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data-nold="180"&gt;&lt;a href="canciones/nsb/no_vayais_a_la_fiesta.html"&gt;No vayáis a la fiesta&lt;/a&gt;&lt;/li&gt;</v>
      </c>
      <c r="U1130" s="15" t="str">
        <f>_xlfn.TEXTBEFORE(_xlfn.TEXTAFTER(CantoralDB[[#This Row],[index.html]],"&gt;"),"&gt;")&amp;"&gt;"</f>
        <v>&lt;a href="canciones/nsb/no_vayais_a_la_fiesta.html"&gt;</v>
      </c>
    </row>
    <row r="1131" spans="1:21" hidden="1" x14ac:dyDescent="0.3">
      <c r="A1131" s="1">
        <f>ROW(CantoralDB[[#This Row],[Título]])-1</f>
        <v>1130</v>
      </c>
      <c r="B1131" s="1" t="s">
        <v>1940</v>
      </c>
      <c r="C1131" s="1"/>
      <c r="I1131" s="1" t="s">
        <v>612</v>
      </c>
      <c r="L1131" s="15" t="s">
        <v>1804</v>
      </c>
      <c r="M1131" s="15" t="s">
        <v>1945</v>
      </c>
      <c r="N1131" s="15">
        <v>2</v>
      </c>
      <c r="O1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no_volvera_vacia.html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131" s="15" t="str">
        <f>_xlfn.TEXTBEFORE(_xlfn.TEXTAFTER(CantoralDB[[#This Row],[index.html]],"&gt;"),"&gt;")&amp;"&gt;"</f>
        <v>&lt;a href="canciones/ruah/no_volvera_vacia.html"&gt;</v>
      </c>
    </row>
    <row r="1132" spans="1:21" hidden="1" x14ac:dyDescent="0.3">
      <c r="A1132" s="1">
        <f>ROW(CantoralDB[[#This Row],[Título]])-1</f>
        <v>1131</v>
      </c>
      <c r="B1132" s="1" t="s">
        <v>1330</v>
      </c>
      <c r="C1132" s="1"/>
      <c r="E1132" s="1">
        <v>178</v>
      </c>
      <c r="I1132" s="1"/>
      <c r="L1132" s="15" t="s">
        <v>491</v>
      </c>
      <c r="M1132" s="15"/>
      <c r="N1132" s="15"/>
      <c r="O1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no_yo_no_dejo_la_tierra.html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1132" s="15" t="str">
        <f>_xlfn.TEXTBEFORE(_xlfn.TEXTAFTER(CantoralDB[[#This Row],[index.html]],"&gt;"),"&gt;")&amp;"&gt;"</f>
        <v>&lt;a href="canciones/juan_antonio_espinosa/no_yo_no_dejo_la_tierra.html"&gt;</v>
      </c>
    </row>
    <row r="1133" spans="1:21" hidden="1" x14ac:dyDescent="0.3">
      <c r="A1133" s="1">
        <f>ROW(CantoralDB[[#This Row],[Título]])-1</f>
        <v>1132</v>
      </c>
      <c r="B1133" s="1" t="s">
        <v>2002</v>
      </c>
      <c r="C1133" s="1"/>
      <c r="I1133" s="1" t="s">
        <v>612</v>
      </c>
      <c r="L1133" s="15" t="s">
        <v>261</v>
      </c>
      <c r="M1133" s="15"/>
      <c r="N1133" s="15"/>
      <c r="O1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href="canciones/hakuna/noche.html"&gt;Noche&lt;/a&gt;&lt;/li&gt;</v>
      </c>
      <c r="U1133" s="15" t="str">
        <f>_xlfn.TEXTBEFORE(_xlfn.TEXTAFTER(CantoralDB[[#This Row],[index.html]],"&gt;"),"&gt;")&amp;"&gt;"</f>
        <v>&lt;a href="canciones/hakuna/noche.html"&gt;</v>
      </c>
    </row>
    <row r="1134" spans="1:21" hidden="1" x14ac:dyDescent="0.3">
      <c r="A1134" s="1">
        <f>ROW(CantoralDB[[#This Row],[Título]])-1</f>
        <v>1133</v>
      </c>
      <c r="B1134" s="1" t="s">
        <v>1324</v>
      </c>
      <c r="C1134" s="1"/>
      <c r="E1134" s="1">
        <v>170</v>
      </c>
      <c r="I1134" s="1"/>
      <c r="L1134" s="15" t="s">
        <v>518</v>
      </c>
      <c r="M1134" s="15"/>
      <c r="N1134" s="15"/>
      <c r="O1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noche_de_dios.html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data-nold="170"&gt;&lt;a href="canciones/nsb/noche_de_dios.html"&gt;Noche de Dios&lt;/a&gt;&lt;/li&gt;</v>
      </c>
      <c r="U1134" s="15" t="str">
        <f>_xlfn.TEXTBEFORE(_xlfn.TEXTAFTER(CantoralDB[[#This Row],[index.html]],"&gt;"),"&gt;")&amp;"&gt;"</f>
        <v>&lt;a href="canciones/nsb/noche_de_dios.html"&gt;</v>
      </c>
    </row>
    <row r="1135" spans="1:21" hidden="1" x14ac:dyDescent="0.3">
      <c r="A1135" s="1">
        <f>ROW(CantoralDB[[#This Row],[Título]])-1</f>
        <v>1134</v>
      </c>
      <c r="B1135" s="1" t="s">
        <v>794</v>
      </c>
      <c r="C1135" s="1" t="s">
        <v>476</v>
      </c>
      <c r="D1135" s="1" t="s">
        <v>1106</v>
      </c>
      <c r="H1135" s="1" t="s">
        <v>473</v>
      </c>
      <c r="I1135" s="1" t="s">
        <v>612</v>
      </c>
      <c r="L1135" s="15" t="s">
        <v>2200</v>
      </c>
      <c r="M1135" s="15"/>
      <c r="N1135" s="15"/>
      <c r="O1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noche_de_paz.html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135" s="15" t="str">
        <f>_xlfn.TEXTBEFORE(_xlfn.TEXTAFTER(CantoralDB[[#This Row],[index.html]],"&gt;"),"&gt;")&amp;"&gt;"</f>
        <v>&lt;a href="canciones/villancicos/noche_de_paz.html"&gt;</v>
      </c>
    </row>
    <row r="1136" spans="1:21" hidden="1" x14ac:dyDescent="0.3">
      <c r="A1136" s="1">
        <f>ROW(CantoralDB[[#This Row],[Título]])-1</f>
        <v>1135</v>
      </c>
      <c r="B1136" s="1" t="s">
        <v>1661</v>
      </c>
      <c r="C1136" s="1"/>
      <c r="I1136" s="1"/>
      <c r="L1136" s="15" t="s">
        <v>484</v>
      </c>
      <c r="M1136" s="15" t="s">
        <v>1531</v>
      </c>
      <c r="N1136" s="15">
        <v>6</v>
      </c>
      <c r="O1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noche_silenciosa.html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1136" s="15" t="str">
        <f>_xlfn.TEXTBEFORE(_xlfn.TEXTAFTER(CantoralDB[[#This Row],[index.html]],"&gt;"),"&gt;")&amp;"&gt;"</f>
        <v>&lt;a href="canciones/kairoi/noche_silenciosa.html"&gt;</v>
      </c>
    </row>
    <row r="1137" spans="1:21" hidden="1" x14ac:dyDescent="0.3">
      <c r="A1137" s="1">
        <f>ROW(CantoralDB[[#This Row],[Título]])-1</f>
        <v>1136</v>
      </c>
      <c r="B1137" s="1" t="s">
        <v>2111</v>
      </c>
      <c r="C1137" s="1"/>
      <c r="I1137" s="1"/>
      <c r="L1137" s="15" t="s">
        <v>481</v>
      </c>
      <c r="M1137" s="15" t="s">
        <v>2104</v>
      </c>
      <c r="N1137" s="15">
        <v>6</v>
      </c>
      <c r="O1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noche_y_dia_en_altamar.html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1137" s="15" t="str">
        <f>_xlfn.TEXTBEFORE(_xlfn.TEXTAFTER(CantoralDB[[#This Row],[index.html]],"&gt;"),"&gt;")&amp;"&gt;"</f>
        <v>&lt;a href="canciones/francisco_palazon/noche_y_dia_en_altamar.html"&gt;</v>
      </c>
    </row>
    <row r="1138" spans="1:21" hidden="1" x14ac:dyDescent="0.3">
      <c r="A1138" s="1">
        <f>ROW(CantoralDB[[#This Row],[Título]])-1</f>
        <v>1137</v>
      </c>
      <c r="B1138" s="1" t="s">
        <v>1331</v>
      </c>
      <c r="C1138" s="1"/>
      <c r="E1138" s="1">
        <v>179</v>
      </c>
      <c r="I1138" s="1"/>
      <c r="L1138" s="15" t="s">
        <v>479</v>
      </c>
      <c r="M1138" s="15"/>
      <c r="N1138" s="15"/>
      <c r="O1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nochebuena_nochebuena.html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1138" s="15" t="str">
        <f>_xlfn.TEXTBEFORE(_xlfn.TEXTAFTER(CantoralDB[[#This Row],[index.html]],"&gt;"),"&gt;")&amp;"&gt;"</f>
        <v>&lt;a href="canciones/carmelo_erdozain/nochebuena_nochebuena.html"&gt;</v>
      </c>
    </row>
    <row r="1139" spans="1:21" hidden="1" x14ac:dyDescent="0.3">
      <c r="A1139" s="1">
        <f>ROW(CantoralDB[[#This Row],[Título]])-1</f>
        <v>1138</v>
      </c>
      <c r="B1139" s="1" t="s">
        <v>3427</v>
      </c>
      <c r="C1139" s="1"/>
      <c r="F1139" s="1">
        <v>88</v>
      </c>
      <c r="I1139" s="1"/>
      <c r="L1139" s="15" t="s">
        <v>799</v>
      </c>
      <c r="M1139" s="15"/>
      <c r="N1139" s="15"/>
      <c r="O1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nombra_a_jesus.html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href="canciones/nuevas/nombra_a_jesus.html"&gt;Nombra a Jesús&lt;/a&gt;&lt;/li&gt;</v>
      </c>
      <c r="U1139" s="15" t="str">
        <f>_xlfn.TEXTBEFORE(_xlfn.TEXTAFTER(CantoralDB[[#This Row],[index.html]],"&gt;"),"&gt;")&amp;"&gt;"</f>
        <v>&lt;a href="canciones/nuevas/nombra_a_jesus.html"&gt;</v>
      </c>
    </row>
    <row r="1140" spans="1:21" hidden="1" x14ac:dyDescent="0.3">
      <c r="A1140" s="1">
        <f>ROW(CantoralDB[[#This Row],[Título]])-1</f>
        <v>1139</v>
      </c>
      <c r="B1140" s="1" t="s">
        <v>2022</v>
      </c>
      <c r="C1140" s="1"/>
      <c r="I1140" s="1" t="s">
        <v>612</v>
      </c>
      <c r="L1140" s="15" t="s">
        <v>261</v>
      </c>
      <c r="M1140" s="15"/>
      <c r="N1140" s="15"/>
      <c r="O1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nombre_sobre_todo_nombre.html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1140" s="15" t="str">
        <f>_xlfn.TEXTBEFORE(_xlfn.TEXTAFTER(CantoralDB[[#This Row],[index.html]],"&gt;"),"&gt;")&amp;"&gt;"</f>
        <v>&lt;a href="canciones/hakuna/nombre_sobre_todo_nombre.html"&gt;</v>
      </c>
    </row>
    <row r="1141" spans="1:21" hidden="1" x14ac:dyDescent="0.3">
      <c r="A1141" s="1">
        <f>ROW(CantoralDB[[#This Row],[Título]])-1</f>
        <v>1140</v>
      </c>
      <c r="B1141" s="1" t="s">
        <v>3725</v>
      </c>
      <c r="C1141" s="1"/>
      <c r="F1141" s="1">
        <v>384</v>
      </c>
      <c r="I1141" s="1"/>
      <c r="L1141" s="15" t="s">
        <v>3354</v>
      </c>
      <c r="M1141" s="15"/>
      <c r="N1141" s="15"/>
      <c r="O1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nos_dejaste_señor.html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1141" s="15" t="str">
        <f>_xlfn.TEXTBEFORE(_xlfn.TEXTAFTER(CantoralDB[[#This Row],[index.html]],"&gt;"),"&gt;")&amp;"&gt;"</f>
        <v>&lt;a href="canciones/lazaro_iparraguirre/nos_dejaste_señor.html"&gt;</v>
      </c>
    </row>
    <row r="1142" spans="1:21" hidden="1" x14ac:dyDescent="0.3">
      <c r="A1142" s="1">
        <f>ROW(CantoralDB[[#This Row],[Título]])-1</f>
        <v>1141</v>
      </c>
      <c r="B1142" s="1" t="s">
        <v>3273</v>
      </c>
      <c r="C1142" s="1"/>
      <c r="I1142" s="1"/>
      <c r="L1142" s="15" t="s">
        <v>3160</v>
      </c>
      <c r="M1142" s="15" t="s">
        <v>415</v>
      </c>
      <c r="N1142" s="15">
        <v>12</v>
      </c>
      <c r="O1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nos_ha_nacido_un_niño.html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href="canciones/hermana_glenda/nos_ha_nacido_un_niño.html"&gt;Nos ha nacido un niño&lt;/a&gt;&lt;/li&gt;</v>
      </c>
      <c r="U1142" s="15" t="str">
        <f>_xlfn.TEXTBEFORE(_xlfn.TEXTAFTER(CantoralDB[[#This Row],[index.html]],"&gt;"),"&gt;")&amp;"&gt;"</f>
        <v>&lt;a href="canciones/hermana_glenda/nos_ha_nacido_un_niño.html"&gt;</v>
      </c>
    </row>
    <row r="1143" spans="1:21" hidden="1" x14ac:dyDescent="0.3">
      <c r="A1143" s="1">
        <f>ROW(CantoralDB[[#This Row],[Título]])-1</f>
        <v>1142</v>
      </c>
      <c r="B1143" s="1" t="s">
        <v>1333</v>
      </c>
      <c r="C1143" s="1"/>
      <c r="E1143" s="1">
        <v>181</v>
      </c>
      <c r="I1143" s="1" t="s">
        <v>612</v>
      </c>
      <c r="L1143" s="15" t="s">
        <v>486</v>
      </c>
      <c r="M1143" s="15"/>
      <c r="N1143" s="15"/>
      <c r="O1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nos_has_llamado_al_desierto.html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143" s="15" t="str">
        <f>_xlfn.TEXTBEFORE(_xlfn.TEXTAFTER(CantoralDB[[#This Row],[index.html]],"&gt;"),"&gt;")&amp;"&gt;"</f>
        <v>&lt;a href="canciones/antonio_alcalde/nos_has_llamado_al_desierto.html"&gt;</v>
      </c>
    </row>
    <row r="1144" spans="1:21" hidden="1" x14ac:dyDescent="0.3">
      <c r="A1144" s="1">
        <f>ROW(CantoralDB[[#This Row],[Título]])-1</f>
        <v>1143</v>
      </c>
      <c r="B1144" s="1" t="s">
        <v>1728</v>
      </c>
      <c r="C1144" s="1"/>
      <c r="I1144" s="1" t="s">
        <v>612</v>
      </c>
      <c r="L1144" s="15" t="s">
        <v>484</v>
      </c>
      <c r="M1144" s="15" t="s">
        <v>1540</v>
      </c>
      <c r="N1144" s="15">
        <v>5</v>
      </c>
      <c r="O1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nos_marca_el_caminar.html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1144" s="15" t="str">
        <f>_xlfn.TEXTBEFORE(_xlfn.TEXTAFTER(CantoralDB[[#This Row],[index.html]],"&gt;"),"&gt;")&amp;"&gt;"</f>
        <v>&lt;a href="canciones/kairoi/nos_marca_el_caminar.html"&gt;</v>
      </c>
    </row>
    <row r="1145" spans="1:21" hidden="1" x14ac:dyDescent="0.3">
      <c r="A1145" s="1">
        <f>ROW(CantoralDB[[#This Row],[Título]])-1</f>
        <v>1144</v>
      </c>
      <c r="B1145" s="1" t="s">
        <v>1698</v>
      </c>
      <c r="C1145" s="1"/>
      <c r="I1145" s="1"/>
      <c r="L1145" s="15" t="s">
        <v>484</v>
      </c>
      <c r="M1145" s="15" t="s">
        <v>1578</v>
      </c>
      <c r="N1145" s="15">
        <v>4</v>
      </c>
      <c r="O1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nos_precederan.html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1145" s="15" t="str">
        <f>_xlfn.TEXTBEFORE(_xlfn.TEXTAFTER(CantoralDB[[#This Row],[index.html]],"&gt;"),"&gt;")&amp;"&gt;"</f>
        <v>&lt;a href="canciones/kairoi/nos_precederan.html"&gt;</v>
      </c>
    </row>
    <row r="1146" spans="1:21" hidden="1" x14ac:dyDescent="0.3">
      <c r="A1146" s="1">
        <f>ROW(CantoralDB[[#This Row],[Título]])-1</f>
        <v>1145</v>
      </c>
      <c r="B1146" s="1" t="s">
        <v>2173</v>
      </c>
      <c r="C1146" s="1"/>
      <c r="I1146" s="1"/>
      <c r="L1146" s="15" t="s">
        <v>481</v>
      </c>
      <c r="M1146" s="15" t="s">
        <v>1975</v>
      </c>
      <c r="N1146" s="15">
        <v>4</v>
      </c>
      <c r="O1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nosotros_hemos_de_gloriarnos.html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1146" s="15" t="str">
        <f>_xlfn.TEXTBEFORE(_xlfn.TEXTAFTER(CantoralDB[[#This Row],[index.html]],"&gt;"),"&gt;")&amp;"&gt;"</f>
        <v>&lt;a href="canciones/francisco_palazon/nosotros_hemos_de_gloriarnos.html"&gt;</v>
      </c>
    </row>
    <row r="1147" spans="1:21" hidden="1" x14ac:dyDescent="0.3">
      <c r="A1147" s="1">
        <f>ROW(CantoralDB[[#This Row],[Título]])-1</f>
        <v>1146</v>
      </c>
      <c r="B1147" s="1" t="s">
        <v>1335</v>
      </c>
      <c r="C1147" s="1"/>
      <c r="E1147" s="1">
        <v>183</v>
      </c>
      <c r="I1147" s="1"/>
      <c r="L1147" s="15" t="s">
        <v>2152</v>
      </c>
      <c r="M1147" s="15"/>
      <c r="N1147" s="15"/>
      <c r="O1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nosotros_venceremos.html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data-nold="183"&gt;&lt;a href="canciones/nsb/nosotros_venceremos.html"&gt;Nosotros venceremos&lt;/a&gt;&lt;/li&gt;</v>
      </c>
      <c r="U1147" s="15" t="str">
        <f>_xlfn.TEXTBEFORE(_xlfn.TEXTAFTER(CantoralDB[[#This Row],[index.html]],"&gt;"),"&gt;")&amp;"&gt;"</f>
        <v>&lt;a href="canciones/nsb/nosotros_venceremos.html"&gt;</v>
      </c>
    </row>
    <row r="1148" spans="1:21" hidden="1" x14ac:dyDescent="0.3">
      <c r="A1148" s="1">
        <f>ROW(CantoralDB[[#This Row],[Título]])-1</f>
        <v>1147</v>
      </c>
      <c r="B1148" s="1" t="s">
        <v>1682</v>
      </c>
      <c r="C1148" s="1"/>
      <c r="I1148" s="1" t="s">
        <v>612</v>
      </c>
      <c r="L1148" s="15" t="s">
        <v>484</v>
      </c>
      <c r="M1148" s="15" t="s">
        <v>1534</v>
      </c>
      <c r="N1148" s="15">
        <v>5</v>
      </c>
      <c r="O1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nuestra_buena_madre.html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1148" s="15" t="str">
        <f>_xlfn.TEXTBEFORE(_xlfn.TEXTAFTER(CantoralDB[[#This Row],[index.html]],"&gt;"),"&gt;")&amp;"&gt;"</f>
        <v>&lt;a href="canciones/kairoi/nuestra_buena_madre.html"&gt;</v>
      </c>
    </row>
    <row r="1149" spans="1:21" hidden="1" x14ac:dyDescent="0.3">
      <c r="A1149" s="1">
        <f>ROW(CantoralDB[[#This Row],[Título]])-1</f>
        <v>1148</v>
      </c>
      <c r="B1149" s="1" t="s">
        <v>1644</v>
      </c>
      <c r="C1149" s="1"/>
      <c r="I1149" s="1"/>
      <c r="L1149" s="15" t="s">
        <v>484</v>
      </c>
      <c r="M1149" s="15" t="s">
        <v>1527</v>
      </c>
      <c r="N1149" s="15">
        <v>12</v>
      </c>
      <c r="O1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nuestras_voces_cantan.html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1149" s="15" t="str">
        <f>_xlfn.TEXTBEFORE(_xlfn.TEXTAFTER(CantoralDB[[#This Row],[index.html]],"&gt;"),"&gt;")&amp;"&gt;"</f>
        <v>&lt;a href="canciones/kairoi/nuestras_voces_cantan.html"&gt;</v>
      </c>
    </row>
    <row r="1150" spans="1:21" hidden="1" x14ac:dyDescent="0.3">
      <c r="A1150" s="1">
        <f>ROW(CantoralDB[[#This Row],[Título]])-1</f>
        <v>1149</v>
      </c>
      <c r="B1150" s="1" t="s">
        <v>3671</v>
      </c>
      <c r="C1150" s="1"/>
      <c r="F1150" s="1">
        <v>340</v>
      </c>
      <c r="I1150" s="1"/>
      <c r="L1150" s="15" t="s">
        <v>3672</v>
      </c>
      <c r="M1150" s="15"/>
      <c r="N1150" s="15"/>
      <c r="O1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nuestro_dios_reina.html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150" s="15" t="str">
        <f>_xlfn.TEXTBEFORE(_xlfn.TEXTAFTER(CantoralDB[[#This Row],[index.html]],"&gt;"),"&gt;")&amp;"&gt;"</f>
        <v>&lt;a href="canciones/nuevas/nuestro_dios_reina.html"&gt;</v>
      </c>
    </row>
    <row r="1151" spans="1:21" hidden="1" x14ac:dyDescent="0.3">
      <c r="A1151" s="1">
        <f>ROW(CantoralDB[[#This Row],[Título]])-1</f>
        <v>1150</v>
      </c>
      <c r="B1151" s="1" t="s">
        <v>1945</v>
      </c>
      <c r="C1151" s="1"/>
      <c r="I1151" s="1" t="s">
        <v>612</v>
      </c>
      <c r="L1151" s="15" t="s">
        <v>1804</v>
      </c>
      <c r="M1151" s="15" t="s">
        <v>1945</v>
      </c>
      <c r="N1151" s="15">
        <v>7</v>
      </c>
      <c r="O1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nuestro_lugar.html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href="canciones/ruah/nuestro_lugar.html"&gt;Nuestro lugar&lt;/a&gt;&lt;/li&gt;</v>
      </c>
      <c r="U1151" s="15" t="str">
        <f>_xlfn.TEXTBEFORE(_xlfn.TEXTAFTER(CantoralDB[[#This Row],[index.html]],"&gt;"),"&gt;")&amp;"&gt;"</f>
        <v>&lt;a href="canciones/ruah/nuestro_lugar.html"&gt;</v>
      </c>
    </row>
    <row r="1152" spans="1:21" hidden="1" x14ac:dyDescent="0.3">
      <c r="A1152" s="1">
        <f>ROW(CantoralDB[[#This Row],[Título]])-1</f>
        <v>1151</v>
      </c>
      <c r="B1152" s="1" t="s">
        <v>1334</v>
      </c>
      <c r="C1152" s="1"/>
      <c r="E1152" s="1">
        <v>182</v>
      </c>
      <c r="I1152" s="1"/>
      <c r="L1152" s="15" t="s">
        <v>2159</v>
      </c>
      <c r="M1152" s="15"/>
      <c r="N1152" s="15"/>
      <c r="O1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nueva_aurora_en_nuestra_noche.html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152" s="15" t="str">
        <f>_xlfn.TEXTBEFORE(_xlfn.TEXTAFTER(CantoralDB[[#This Row],[index.html]],"&gt;"),"&gt;")&amp;"&gt;"</f>
        <v>&lt;a href="canciones/nsb/nueva_aurora_en_nuestra_noche.html"&gt;</v>
      </c>
    </row>
    <row r="1153" spans="1:21" hidden="1" x14ac:dyDescent="0.3">
      <c r="A1153" s="1">
        <f>ROW(CantoralDB[[#This Row],[Título]])-1</f>
        <v>1152</v>
      </c>
      <c r="B1153" s="1" t="s">
        <v>420</v>
      </c>
      <c r="C1153" s="1" t="s">
        <v>1026</v>
      </c>
      <c r="D1153" s="1" t="s">
        <v>1153</v>
      </c>
      <c r="H1153" s="1" t="s">
        <v>1039</v>
      </c>
      <c r="I1153" s="1" t="s">
        <v>612</v>
      </c>
      <c r="L1153" s="15" t="s">
        <v>2201</v>
      </c>
      <c r="M1153" s="15"/>
      <c r="N1153" s="15"/>
      <c r="O1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153" s="15" t="str">
        <f>_xlfn.TEXTBEFORE(_xlfn.TEXTAFTER(CantoralDB[[#This Row],[index.html]],"&gt;"),"&gt;")&amp;"&gt;"</f>
        <v>&lt;a href="canciones/taize/nunc_dimittis.html"&gt;</v>
      </c>
    </row>
    <row r="1154" spans="1:21" hidden="1" x14ac:dyDescent="0.3">
      <c r="A1154" s="1">
        <f>ROW(CantoralDB[[#This Row],[Título]])-1</f>
        <v>1153</v>
      </c>
      <c r="B1154" s="1" t="s">
        <v>253</v>
      </c>
      <c r="C1154" s="1" t="s">
        <v>476</v>
      </c>
      <c r="D1154" s="1" t="s">
        <v>1107</v>
      </c>
      <c r="G1154" s="1" t="s">
        <v>248</v>
      </c>
      <c r="H1154" s="1" t="s">
        <v>1034</v>
      </c>
      <c r="I1154" s="1" t="s">
        <v>612</v>
      </c>
      <c r="L1154" s="15" t="s">
        <v>2200</v>
      </c>
      <c r="M1154" s="15"/>
      <c r="N1154" s="15"/>
      <c r="O1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nunca_suenan_las_campanas.html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154" s="15" t="str">
        <f>_xlfn.TEXTBEFORE(_xlfn.TEXTAFTER(CantoralDB[[#This Row],[index.html]],"&gt;"),"&gt;")&amp;"&gt;"</f>
        <v>&lt;a href="canciones/villancicos/nunca_suenan_las_campanas.html"&gt;</v>
      </c>
    </row>
    <row r="1155" spans="1:21" hidden="1" x14ac:dyDescent="0.3">
      <c r="A1155" s="1">
        <f>ROW(CantoralDB[[#This Row],[Título]])-1</f>
        <v>1154</v>
      </c>
      <c r="B1155" s="1" t="s">
        <v>421</v>
      </c>
      <c r="C1155" s="1"/>
      <c r="E1155" s="1">
        <v>187</v>
      </c>
      <c r="I1155" s="1"/>
      <c r="L1155" s="15" t="s">
        <v>268</v>
      </c>
      <c r="M1155" s="15"/>
      <c r="N1155" s="15"/>
      <c r="O1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o_christe_domine_jesu.html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data-nold="187"&gt;&lt;a href="canciones/taize/o_christe_domine_jesu.html"&gt;O Christe Domine Jesu&lt;/a&gt;&lt;/li&gt;</v>
      </c>
      <c r="U1155" s="15" t="str">
        <f>_xlfn.TEXTBEFORE(_xlfn.TEXTAFTER(CantoralDB[[#This Row],[index.html]],"&gt;"),"&gt;")&amp;"&gt;"</f>
        <v>&lt;a href="canciones/taize/o_christe_domine_jesu.html"&gt;</v>
      </c>
    </row>
    <row r="1156" spans="1:21" hidden="1" x14ac:dyDescent="0.3">
      <c r="A1156" s="1">
        <f>ROW(CantoralDB[[#This Row],[Título]])-1</f>
        <v>1155</v>
      </c>
      <c r="B1156" s="1" t="s">
        <v>2025</v>
      </c>
      <c r="C1156" s="1"/>
      <c r="I1156" s="1" t="s">
        <v>612</v>
      </c>
      <c r="L1156" s="15" t="s">
        <v>261</v>
      </c>
      <c r="M1156" s="15"/>
      <c r="N1156" s="15"/>
      <c r="O1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ocupate_tu_de_todo.html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1156" s="15" t="str">
        <f>_xlfn.TEXTBEFORE(_xlfn.TEXTAFTER(CantoralDB[[#This Row],[index.html]],"&gt;"),"&gt;")&amp;"&gt;"</f>
        <v>&lt;a href="canciones/hakuna/ocupate_tu_de_todo.html"&gt;</v>
      </c>
    </row>
    <row r="1157" spans="1:21" hidden="1" x14ac:dyDescent="0.3">
      <c r="A1157" s="1">
        <f>ROW(CantoralDB[[#This Row],[Título]])-1</f>
        <v>1156</v>
      </c>
      <c r="B1157" s="1" t="s">
        <v>3579</v>
      </c>
      <c r="C1157" s="1"/>
      <c r="F1157" s="1">
        <v>242</v>
      </c>
      <c r="I1157" s="1"/>
      <c r="L1157" s="15" t="s">
        <v>3454</v>
      </c>
      <c r="M1157" s="15"/>
      <c r="N1157" s="15"/>
      <c r="O1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oh_alabad.html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href="canciones/nuevas/oh_alabad.html"&gt;Oh, alabad&lt;/a&gt;&lt;/li&gt;</v>
      </c>
      <c r="U1157" s="15" t="str">
        <f>_xlfn.TEXTBEFORE(_xlfn.TEXTAFTER(CantoralDB[[#This Row],[index.html]],"&gt;"),"&gt;")&amp;"&gt;"</f>
        <v>&lt;a href="canciones/nuevas/oh_alabad.html"&gt;</v>
      </c>
    </row>
    <row r="1158" spans="1:21" hidden="1" x14ac:dyDescent="0.3">
      <c r="A1158" s="1">
        <f>ROW(CantoralDB[[#This Row],[Título]])-1</f>
        <v>1157</v>
      </c>
      <c r="B1158" s="1" t="s">
        <v>3578</v>
      </c>
      <c r="C1158" s="1"/>
      <c r="F1158" s="1">
        <v>240</v>
      </c>
      <c r="I1158" s="1"/>
      <c r="L1158" s="15" t="s">
        <v>799</v>
      </c>
      <c r="M1158" s="15"/>
      <c r="N1158" s="15"/>
      <c r="O11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oh_aleluya.html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href="canciones/nuevas/oh_aleluya.html"&gt;Oh, aleluya&lt;/a&gt;&lt;/li&gt;</v>
      </c>
      <c r="U1158" s="15" t="str">
        <f>_xlfn.TEXTBEFORE(_xlfn.TEXTAFTER(CantoralDB[[#This Row],[index.html]],"&gt;"),"&gt;")&amp;"&gt;"</f>
        <v>&lt;a href="canciones/nuevas/oh_aleluya.html"&gt;</v>
      </c>
    </row>
    <row r="1159" spans="1:21" hidden="1" x14ac:dyDescent="0.3">
      <c r="A1159" s="1">
        <f>ROW(CantoralDB[[#This Row],[Título]])-1</f>
        <v>1158</v>
      </c>
      <c r="B1159" s="1" t="s">
        <v>3193</v>
      </c>
      <c r="C1159" s="1"/>
      <c r="I1159" s="1"/>
      <c r="L1159" s="15" t="s">
        <v>3160</v>
      </c>
      <c r="M1159" s="15" t="s">
        <v>3192</v>
      </c>
      <c r="N1159" s="15">
        <v>1</v>
      </c>
      <c r="O1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oh_almas.html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href="canciones/hermana_glenda/oh_almas.html"&gt;Oh, almas&lt;/a&gt;&lt;/li&gt;</v>
      </c>
      <c r="U1159" s="15" t="str">
        <f>_xlfn.TEXTBEFORE(_xlfn.TEXTAFTER(CantoralDB[[#This Row],[index.html]],"&gt;"),"&gt;")&amp;"&gt;"</f>
        <v>&lt;a href="canciones/hermana_glenda/oh_almas.html"&gt;</v>
      </c>
    </row>
    <row r="1160" spans="1:21" hidden="1" x14ac:dyDescent="0.3">
      <c r="A1160" s="1">
        <f>ROW(CantoralDB[[#This Row],[Título]])-1</f>
        <v>1159</v>
      </c>
      <c r="B1160" s="1" t="s">
        <v>3202</v>
      </c>
      <c r="C1160" s="1"/>
      <c r="I1160" s="1"/>
      <c r="L1160" s="15" t="s">
        <v>3160</v>
      </c>
      <c r="M1160" s="15" t="s">
        <v>3192</v>
      </c>
      <c r="N1160" s="15">
        <v>11</v>
      </c>
      <c r="O1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oh_cauterio_suave.html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href="canciones/hermana_glenda/oh_cauterio_suave.html"&gt;Oh, cauterio suave&lt;/a&gt;&lt;/li&gt;</v>
      </c>
      <c r="U1160" s="15" t="str">
        <f>_xlfn.TEXTBEFORE(_xlfn.TEXTAFTER(CantoralDB[[#This Row],[index.html]],"&gt;"),"&gt;")&amp;"&gt;"</f>
        <v>&lt;a href="canciones/hermana_glenda/oh_cauterio_suave.html"&gt;</v>
      </c>
    </row>
    <row r="1161" spans="1:21" x14ac:dyDescent="0.3">
      <c r="A1161" s="1">
        <f>ROW(CantoralDB[[#This Row],[Título]])-1</f>
        <v>1160</v>
      </c>
      <c r="B1161" s="1" t="s">
        <v>911</v>
      </c>
      <c r="C1161" s="1" t="s">
        <v>1025</v>
      </c>
      <c r="D1161" s="1" t="s">
        <v>1166</v>
      </c>
      <c r="H1161" s="1" t="s">
        <v>533</v>
      </c>
      <c r="I1161" s="1" t="s">
        <v>612</v>
      </c>
      <c r="L1161" s="15" t="s">
        <v>1991</v>
      </c>
      <c r="M1161" s="15"/>
      <c r="N1161" s="15"/>
      <c r="O1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1161" s="1"/>
      <c r="S1161" s="1" t="s">
        <v>349</v>
      </c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161" s="15" t="str">
        <f>_xlfn.TEXTBEFORE(_xlfn.TEXTAFTER(CantoralDB[[#This Row],[index.html]],"&gt;"),"&gt;")&amp;"&gt;"</f>
        <v>&lt;a href="canciones/taize/esprit_consolateur.html"&gt;</v>
      </c>
    </row>
    <row r="1162" spans="1:21" hidden="1" x14ac:dyDescent="0.3">
      <c r="A1162" s="1">
        <f>ROW(CantoralDB[[#This Row],[Título]])-1</f>
        <v>1161</v>
      </c>
      <c r="B1162" s="1" t="s">
        <v>1338</v>
      </c>
      <c r="C1162" s="1"/>
      <c r="E1162" s="1">
        <v>188</v>
      </c>
      <c r="I1162" s="1"/>
      <c r="L1162" s="15" t="s">
        <v>510</v>
      </c>
      <c r="M1162" s="15"/>
      <c r="N1162" s="15"/>
      <c r="O1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oh_dios_por_que_nos_has_abandonado.html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162" s="15" t="str">
        <f>_xlfn.TEXTBEFORE(_xlfn.TEXTAFTER(CantoralDB[[#This Row],[index.html]],"&gt;"),"&gt;")&amp;"&gt;"</f>
        <v>&lt;a href="canciones/ricardo_cantalapiedra/oh_dios_por_que_nos_has_abandonado.html"&gt;</v>
      </c>
    </row>
    <row r="1163" spans="1:21" hidden="1" x14ac:dyDescent="0.3">
      <c r="A1163" s="1">
        <f>ROW(CantoralDB[[#This Row],[Título]])-1</f>
        <v>1162</v>
      </c>
      <c r="B1163" s="1" t="s">
        <v>1272</v>
      </c>
      <c r="C1163" s="1"/>
      <c r="E1163" s="1">
        <v>190</v>
      </c>
      <c r="I1163" s="1"/>
      <c r="L1163" s="15" t="s">
        <v>3315</v>
      </c>
      <c r="M1163" s="15"/>
      <c r="N1163" s="15"/>
      <c r="O1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data-nold="190"&gt;&lt;a href="canciones/nsb/oh_dios_tu_eres_mi_dios.html"&gt;Oh, Dios, tú eres mi Dios&lt;/a&gt;&lt;/li&gt;</v>
      </c>
      <c r="U1163" s="15" t="str">
        <f>_xlfn.TEXTBEFORE(_xlfn.TEXTAFTER(CantoralDB[[#This Row],[index.html]],"&gt;"),"&gt;")&amp;"&gt;"</f>
        <v>&lt;a href="canciones/nsb/oh_dios_tu_eres_mi_dios.html"&gt;</v>
      </c>
    </row>
    <row r="1164" spans="1:21" hidden="1" x14ac:dyDescent="0.3">
      <c r="A1164" s="1">
        <f>ROW(CantoralDB[[#This Row],[Título]])-1</f>
        <v>1163</v>
      </c>
      <c r="B1164" s="1" t="s">
        <v>514</v>
      </c>
      <c r="C1164" s="1" t="s">
        <v>201</v>
      </c>
      <c r="D1164" s="1" t="s">
        <v>671</v>
      </c>
      <c r="G1164" s="1" t="s">
        <v>209</v>
      </c>
      <c r="H1164" s="1" t="s">
        <v>533</v>
      </c>
      <c r="I1164" s="1" t="s">
        <v>612</v>
      </c>
      <c r="L1164" s="15" t="s">
        <v>507</v>
      </c>
      <c r="M1164" s="15"/>
      <c r="N1164" s="15"/>
      <c r="O1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oh_dios_tu_eres_mi_dios_(sed_de_dios).html</v>
      </c>
      <c r="R1164" s="1" t="s">
        <v>853</v>
      </c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Jáuregi" data-momento="Antífonas" data-nnew="D29"&gt;&lt;a href="canciones/nsb/oh_dios_tu_eres_mi_dios_(sed_de_dios).html"&gt;Oh, Dios, tú eres mi Dios (Sed de Dios)&lt;/a&gt;&lt;/li&gt;</v>
      </c>
      <c r="U1164" s="15" t="str">
        <f>_xlfn.TEXTBEFORE(_xlfn.TEXTAFTER(CantoralDB[[#This Row],[index.html]],"&gt;"),"&gt;")&amp;"&gt;"</f>
        <v>&lt;a href="canciones/nsb/oh_dios_tu_eres_mi_dios_(sed_de_dios).html"&gt;</v>
      </c>
    </row>
    <row r="1165" spans="1:21" hidden="1" x14ac:dyDescent="0.3">
      <c r="A1165" s="1">
        <f>ROW(CantoralDB[[#This Row],[Título]])-1</f>
        <v>1164</v>
      </c>
      <c r="B1165" s="1" t="s">
        <v>2087</v>
      </c>
      <c r="C1165" s="1"/>
      <c r="E1165" s="1">
        <v>186</v>
      </c>
      <c r="F1165" s="1">
        <v>36</v>
      </c>
      <c r="I1165" s="1" t="s">
        <v>612</v>
      </c>
      <c r="L1165" s="15" t="s">
        <v>481</v>
      </c>
      <c r="M1165" s="15" t="s">
        <v>1979</v>
      </c>
      <c r="N1165" s="15">
        <v>9</v>
      </c>
      <c r="O1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oh_dios_tu_mereces_un_himno_en_sion.html</v>
      </c>
      <c r="R1165" s="1"/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1165" s="15" t="str">
        <f>_xlfn.TEXTBEFORE(_xlfn.TEXTAFTER(CantoralDB[[#This Row],[index.html]],"&gt;"),"&gt;")&amp;"&gt;"</f>
        <v>&lt;a href="canciones/francisco_palazon/oh_dios_tu_mereces_un_himno_en_sion.html"&gt;</v>
      </c>
    </row>
    <row r="1166" spans="1:21" x14ac:dyDescent="0.3">
      <c r="A1166" s="1">
        <f>ROW(CantoralDB[[#This Row],[Título]])-1</f>
        <v>1165</v>
      </c>
      <c r="B1166" s="1" t="s">
        <v>904</v>
      </c>
      <c r="C1166" s="1" t="s">
        <v>1025</v>
      </c>
      <c r="D1166" s="1" t="s">
        <v>1156</v>
      </c>
      <c r="H1166" s="1" t="s">
        <v>1066</v>
      </c>
      <c r="I1166" s="1" t="s">
        <v>612</v>
      </c>
      <c r="L1166" s="15" t="s">
        <v>1991</v>
      </c>
      <c r="M1166" s="15"/>
      <c r="N1166" s="15"/>
      <c r="O1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1166" s="1" t="s">
        <v>966</v>
      </c>
      <c r="S1166" s="1" t="s">
        <v>339</v>
      </c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166" s="15" t="str">
        <f>_xlfn.TEXTBEFORE(_xlfn.TEXTAFTER(CantoralDB[[#This Row],[index.html]],"&gt;"),"&gt;")&amp;"&gt;"</f>
        <v>&lt;a href="canciones/taize/deus_deus_meus_(canon).html"&gt;</v>
      </c>
    </row>
    <row r="1167" spans="1:21" hidden="1" x14ac:dyDescent="0.3">
      <c r="A1167" s="1">
        <f>ROW(CantoralDB[[#This Row],[Título]])-1</f>
        <v>1166</v>
      </c>
      <c r="B1167" s="1" t="s">
        <v>3204</v>
      </c>
      <c r="C1167" s="1"/>
      <c r="I1167" s="1"/>
      <c r="L1167" s="15" t="s">
        <v>3160</v>
      </c>
      <c r="M1167" s="15" t="s">
        <v>3192</v>
      </c>
      <c r="N1167" s="15">
        <v>13</v>
      </c>
      <c r="O1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oh_lamparas_de_fuego.html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href="canciones/hermana_glenda/oh_lamparas_de_fuego.html"&gt;Oh, lámparas de fuego&lt;/a&gt;&lt;/li&gt;</v>
      </c>
      <c r="U1167" s="15" t="str">
        <f>_xlfn.TEXTBEFORE(_xlfn.TEXTAFTER(CantoralDB[[#This Row],[index.html]],"&gt;"),"&gt;")&amp;"&gt;"</f>
        <v>&lt;a href="canciones/hermana_glenda/oh_lamparas_de_fuego.html"&gt;</v>
      </c>
    </row>
    <row r="1168" spans="1:21" hidden="1" x14ac:dyDescent="0.3">
      <c r="A1168" s="1">
        <f>ROW(CantoralDB[[#This Row],[Título]])-1</f>
        <v>1167</v>
      </c>
      <c r="B1168" s="1" t="s">
        <v>100</v>
      </c>
      <c r="C1168" s="1" t="s">
        <v>201</v>
      </c>
      <c r="D1168" s="1" t="s">
        <v>672</v>
      </c>
      <c r="E1168" s="1">
        <v>189</v>
      </c>
      <c r="G1168" s="1" t="s">
        <v>209</v>
      </c>
      <c r="H1168" s="1" t="s">
        <v>1035</v>
      </c>
      <c r="I1168" s="1" t="s">
        <v>612</v>
      </c>
      <c r="L1168" s="15" t="s">
        <v>479</v>
      </c>
      <c r="M1168" s="15"/>
      <c r="N1168" s="15"/>
      <c r="O1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oh_mi_dios_crea_en_mi.html</v>
      </c>
      <c r="R1168" s="1" t="s">
        <v>854</v>
      </c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1168" s="15" t="str">
        <f>_xlfn.TEXTBEFORE(_xlfn.TEXTAFTER(CantoralDB[[#This Row],[index.html]],"&gt;"),"&gt;")&amp;"&gt;"</f>
        <v>&lt;a href="canciones/carmelo_erdozain/oh_mi_dios_crea_en_mi.html"&gt;</v>
      </c>
    </row>
    <row r="1169" spans="1:21" hidden="1" x14ac:dyDescent="0.3">
      <c r="A1169" s="1">
        <f>ROW(CantoralDB[[#This Row],[Título]])-1</f>
        <v>1168</v>
      </c>
      <c r="B1169" s="1" t="s">
        <v>3422</v>
      </c>
      <c r="C1169" s="1"/>
      <c r="F1169" s="1">
        <v>83</v>
      </c>
      <c r="I1169" s="1"/>
      <c r="L1169" s="15" t="s">
        <v>799</v>
      </c>
      <c r="M1169" s="15"/>
      <c r="N1169" s="15"/>
      <c r="O1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oh_oh_oh_padre.html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href="canciones/nuevas/oh_oh_oh_padre.html"&gt;Oh, oh, oh, Padre&lt;/a&gt;&lt;/li&gt;</v>
      </c>
      <c r="U1169" s="15" t="str">
        <f>_xlfn.TEXTBEFORE(_xlfn.TEXTAFTER(CantoralDB[[#This Row],[index.html]],"&gt;"),"&gt;")&amp;"&gt;"</f>
        <v>&lt;a href="canciones/nuevas/oh_oh_oh_padre.html"&gt;</v>
      </c>
    </row>
    <row r="1170" spans="1:21" x14ac:dyDescent="0.3">
      <c r="A1170" s="1">
        <f>ROW(CantoralDB[[#This Row],[Título]])-1</f>
        <v>1169</v>
      </c>
      <c r="B1170" s="1" t="s">
        <v>917</v>
      </c>
      <c r="C1170" s="1" t="s">
        <v>1025</v>
      </c>
      <c r="D1170" s="1" t="s">
        <v>1171</v>
      </c>
      <c r="H1170" s="1" t="s">
        <v>1041</v>
      </c>
      <c r="I1170" s="1" t="s">
        <v>612</v>
      </c>
      <c r="L1170" s="15" t="s">
        <v>1991</v>
      </c>
      <c r="M1170" s="15"/>
      <c r="N1170" s="15"/>
      <c r="O1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1170" s="1" t="s">
        <v>973</v>
      </c>
      <c r="S1170" s="1" t="s">
        <v>370</v>
      </c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170" s="15" t="str">
        <f>_xlfn.TEXTBEFORE(_xlfn.TEXTAFTER(CantoralDB[[#This Row],[index.html]],"&gt;"),"&gt;")&amp;"&gt;"</f>
        <v>&lt;a href="canciones/taize/in_manus_tuas.html"&gt;</v>
      </c>
    </row>
    <row r="1171" spans="1:21" hidden="1" x14ac:dyDescent="0.3">
      <c r="A1171" s="1">
        <f>ROW(CantoralDB[[#This Row],[Título]])-1</f>
        <v>1170</v>
      </c>
      <c r="B1171" s="1" t="s">
        <v>3360</v>
      </c>
      <c r="C1171" s="1"/>
      <c r="F1171" s="1">
        <v>25</v>
      </c>
      <c r="I1171" s="1"/>
      <c r="L1171" s="15" t="s">
        <v>799</v>
      </c>
      <c r="M1171" s="15"/>
      <c r="N1171" s="15"/>
      <c r="O1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oh_padre_yo_te_amo.html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href="canciones/nuevas/oh_padre_yo_te_amo.html"&gt;Oh, Padre, yo te amo&lt;/a&gt;&lt;/li&gt;</v>
      </c>
      <c r="U1171" s="15" t="str">
        <f>_xlfn.TEXTBEFORE(_xlfn.TEXTAFTER(CantoralDB[[#This Row],[index.html]],"&gt;"),"&gt;")&amp;"&gt;"</f>
        <v>&lt;a href="canciones/nuevas/oh_padre_yo_te_amo.html"&gt;</v>
      </c>
    </row>
    <row r="1172" spans="1:21" hidden="1" x14ac:dyDescent="0.3">
      <c r="A1172" s="1">
        <f>ROW(CantoralDB[[#This Row],[Título]])-1</f>
        <v>1171</v>
      </c>
      <c r="B1172" s="1" t="s">
        <v>3771</v>
      </c>
      <c r="C1172" s="1"/>
      <c r="F1172" s="1">
        <v>421</v>
      </c>
      <c r="I1172" s="1"/>
      <c r="L1172" s="15" t="s">
        <v>268</v>
      </c>
      <c r="M1172" s="15"/>
      <c r="N1172" s="15"/>
      <c r="O1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oh_pobreza.html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data-author="Taizé"&gt;&lt;a href="canciones/nuevas/oh_pobreza.html"&gt;Oh, pobreza&lt;/a&gt;&lt;/li&gt;</v>
      </c>
      <c r="U1172" s="15" t="str">
        <f>_xlfn.TEXTBEFORE(_xlfn.TEXTAFTER(CantoralDB[[#This Row],[index.html]],"&gt;"),"&gt;")&amp;"&gt;"</f>
        <v>&lt;a href="canciones/nuevas/oh_pobreza.html"&gt;</v>
      </c>
    </row>
    <row r="1173" spans="1:21" hidden="1" x14ac:dyDescent="0.3">
      <c r="A1173" s="1">
        <f>ROW(CantoralDB[[#This Row],[Título]])-1</f>
        <v>1172</v>
      </c>
      <c r="B1173" s="1" t="s">
        <v>1339</v>
      </c>
      <c r="C1173" s="1"/>
      <c r="E1173" s="1">
        <v>194</v>
      </c>
      <c r="I1173" s="1"/>
      <c r="L1173" s="15" t="s">
        <v>2203</v>
      </c>
      <c r="M1173" s="15"/>
      <c r="N1173" s="15"/>
      <c r="O1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oh_señor_envia_tu_espiritu.html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173" s="15" t="str">
        <f>_xlfn.TEXTBEFORE(_xlfn.TEXTAFTER(CantoralDB[[#This Row],[index.html]],"&gt;"),"&gt;")&amp;"&gt;"</f>
        <v>&lt;a href="canciones/nsb/oh_señor_envia_tu_espiritu.html"&gt;</v>
      </c>
    </row>
    <row r="1174" spans="1:21" hidden="1" x14ac:dyDescent="0.3">
      <c r="A1174" s="1">
        <f>ROW(CantoralDB[[#This Row],[Título]])-1</f>
        <v>1173</v>
      </c>
      <c r="B1174" s="1" t="s">
        <v>101</v>
      </c>
      <c r="C1174" s="1" t="s">
        <v>192</v>
      </c>
      <c r="D1174" s="1" t="s">
        <v>1485</v>
      </c>
      <c r="E1174" s="1">
        <v>191</v>
      </c>
      <c r="G1174" s="1" t="s">
        <v>209</v>
      </c>
      <c r="H1174" s="1" t="s">
        <v>532</v>
      </c>
      <c r="I1174" s="1" t="s">
        <v>612</v>
      </c>
      <c r="L1174" s="15" t="s">
        <v>799</v>
      </c>
      <c r="M1174" s="15"/>
      <c r="N1174" s="15"/>
      <c r="O1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oh_señor_mueve_mi_espiritu.html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174" s="15" t="str">
        <f>_xlfn.TEXTBEFORE(_xlfn.TEXTAFTER(CantoralDB[[#This Row],[index.html]],"&gt;"),"&gt;")&amp;"&gt;"</f>
        <v>&lt;a href="canciones/nsb/oh_señor_mueve_mi_espiritu.html"&gt;</v>
      </c>
    </row>
    <row r="1175" spans="1:21" hidden="1" x14ac:dyDescent="0.3">
      <c r="A1175" s="1">
        <f>ROW(CantoralDB[[#This Row],[Título]])-1</f>
        <v>1174</v>
      </c>
      <c r="B1175" s="1" t="s">
        <v>3416</v>
      </c>
      <c r="C1175" s="1"/>
      <c r="F1175" s="1">
        <v>78</v>
      </c>
      <c r="I1175" s="1"/>
      <c r="L1175" s="15" t="s">
        <v>799</v>
      </c>
      <c r="M1175" s="15"/>
      <c r="N1175" s="15"/>
      <c r="O1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oh_ven_ven_y_deleitate.html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href="canciones/nuevas/oh_ven_ven_y_deleitate.html"&gt;Oh, ven, ven y deléitate&lt;/a&gt;&lt;/li&gt;</v>
      </c>
      <c r="U1175" s="15" t="str">
        <f>_xlfn.TEXTBEFORE(_xlfn.TEXTAFTER(CantoralDB[[#This Row],[index.html]],"&gt;"),"&gt;")&amp;"&gt;"</f>
        <v>&lt;a href="canciones/nuevas/oh_ven_ven_y_deleitate.html"&gt;</v>
      </c>
    </row>
    <row r="1176" spans="1:21" hidden="1" x14ac:dyDescent="0.3">
      <c r="A1176" s="1">
        <f>ROW(CantoralDB[[#This Row],[Título]])-1</f>
        <v>1175</v>
      </c>
      <c r="B1176" s="1" t="s">
        <v>2182</v>
      </c>
      <c r="C1176" s="1"/>
      <c r="E1176" s="1">
        <v>184</v>
      </c>
      <c r="I1176" s="1" t="s">
        <v>612</v>
      </c>
      <c r="L1176" s="15" t="s">
        <v>479</v>
      </c>
      <c r="M1176" s="15"/>
      <c r="N1176" s="15"/>
      <c r="O1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oi_tu_voz.html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1176" s="15" t="str">
        <f>_xlfn.TEXTBEFORE(_xlfn.TEXTAFTER(CantoralDB[[#This Row],[index.html]],"&gt;"),"&gt;")&amp;"&gt;"</f>
        <v>&lt;a href="canciones/carmelo_erdozain/oi_tu_voz.html"&gt;</v>
      </c>
    </row>
    <row r="1177" spans="1:21" hidden="1" x14ac:dyDescent="0.3">
      <c r="A1177" s="1">
        <f>ROW(CantoralDB[[#This Row],[Título]])-1</f>
        <v>1176</v>
      </c>
      <c r="B1177" s="1" t="s">
        <v>2003</v>
      </c>
      <c r="C1177" s="1"/>
      <c r="I1177" s="1" t="s">
        <v>612</v>
      </c>
      <c r="L1177" s="15" t="s">
        <v>261</v>
      </c>
      <c r="M1177" s="15"/>
      <c r="N1177" s="15"/>
      <c r="O1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href="canciones/hakuna/ojala.html"&gt;Ojalá&lt;/a&gt;&lt;/li&gt;</v>
      </c>
      <c r="U1177" s="15" t="str">
        <f>_xlfn.TEXTBEFORE(_xlfn.TEXTAFTER(CantoralDB[[#This Row],[index.html]],"&gt;"),"&gt;")&amp;"&gt;"</f>
        <v>&lt;a href="canciones/hakuna/ojala.html"&gt;</v>
      </c>
    </row>
    <row r="1178" spans="1:21" hidden="1" x14ac:dyDescent="0.3">
      <c r="A1178" s="1">
        <f>ROW(CantoralDB[[#This Row],[Título]])-1</f>
        <v>1177</v>
      </c>
      <c r="B1178" s="1" t="s">
        <v>102</v>
      </c>
      <c r="C1178" s="1" t="s">
        <v>201</v>
      </c>
      <c r="D1178" s="1" t="s">
        <v>673</v>
      </c>
      <c r="E1178" s="1">
        <v>193</v>
      </c>
      <c r="G1178" s="1" t="s">
        <v>209</v>
      </c>
      <c r="H1178" s="1" t="s">
        <v>1039</v>
      </c>
      <c r="I1178" s="1" t="s">
        <v>612</v>
      </c>
      <c r="L1178" s="15" t="s">
        <v>483</v>
      </c>
      <c r="M1178" s="15"/>
      <c r="N1178" s="15"/>
      <c r="O1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ojala_escuchemos_hoy_su_voz.html</v>
      </c>
      <c r="R1178" s="1"/>
      <c r="S1178" s="1"/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1178" s="15" t="str">
        <f>_xlfn.TEXTBEFORE(_xlfn.TEXTAFTER(CantoralDB[[#This Row],[index.html]],"&gt;"),"&gt;")&amp;"&gt;"</f>
        <v>&lt;a href="canciones/cesareo_gabarain/ojala_escuchemos_hoy_su_voz.html"&gt;</v>
      </c>
    </row>
    <row r="1179" spans="1:21" hidden="1" x14ac:dyDescent="0.3">
      <c r="A1179" s="1">
        <f>ROW(CantoralDB[[#This Row],[Título]])-1</f>
        <v>1178</v>
      </c>
      <c r="B1179" s="1" t="s">
        <v>2040</v>
      </c>
      <c r="C1179" s="1"/>
      <c r="I1179" s="1" t="s">
        <v>612</v>
      </c>
      <c r="L1179" s="15" t="s">
        <v>261</v>
      </c>
      <c r="M1179" s="15"/>
      <c r="N1179" s="15"/>
      <c r="O1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olor_a_tostadas.html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1179" s="15" t="str">
        <f>_xlfn.TEXTBEFORE(_xlfn.TEXTAFTER(CantoralDB[[#This Row],[index.html]],"&gt;"),"&gt;")&amp;"&gt;"</f>
        <v>&lt;a href="canciones/hakuna/olor_a_tostadas.html"&gt;</v>
      </c>
    </row>
    <row r="1180" spans="1:21" hidden="1" x14ac:dyDescent="0.3">
      <c r="A1180" s="1">
        <f>ROW(CantoralDB[[#This Row],[Título]])-1</f>
        <v>1179</v>
      </c>
      <c r="B1180" s="1" t="s">
        <v>1691</v>
      </c>
      <c r="C1180" s="1"/>
      <c r="I1180" s="1"/>
      <c r="L1180" s="15" t="s">
        <v>484</v>
      </c>
      <c r="M1180" s="15" t="s">
        <v>1535</v>
      </c>
      <c r="N1180" s="15">
        <v>7</v>
      </c>
      <c r="O1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oracion_a_san_francisco.html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1180" s="15" t="str">
        <f>_xlfn.TEXTBEFORE(_xlfn.TEXTAFTER(CantoralDB[[#This Row],[index.html]],"&gt;"),"&gt;")&amp;"&gt;"</f>
        <v>&lt;a href="canciones/kairoi/oracion_a_san_francisco.html"&gt;</v>
      </c>
    </row>
    <row r="1181" spans="1:21" hidden="1" x14ac:dyDescent="0.3">
      <c r="A1181" s="1">
        <f>ROW(CantoralDB[[#This Row],[Título]])-1</f>
        <v>1180</v>
      </c>
      <c r="B1181" s="1" t="s">
        <v>1830</v>
      </c>
      <c r="C1181" s="1"/>
      <c r="I1181" s="1"/>
      <c r="L1181" s="15" t="s">
        <v>501</v>
      </c>
      <c r="M1181" s="15" t="s">
        <v>1550</v>
      </c>
      <c r="N1181" s="15">
        <v>12</v>
      </c>
      <c r="O1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oracion_de_una_mujer.html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1181" s="15" t="str">
        <f>_xlfn.TEXTBEFORE(_xlfn.TEXTAFTER(CantoralDB[[#This Row],[index.html]],"&gt;"),"&gt;")&amp;"&gt;"</f>
        <v>&lt;a href="canciones/ain_karem/oracion_de_una_mujer.html"&gt;</v>
      </c>
    </row>
    <row r="1182" spans="1:21" hidden="1" x14ac:dyDescent="0.3">
      <c r="A1182" s="1">
        <f>ROW(CantoralDB[[#This Row],[Título]])-1</f>
        <v>1181</v>
      </c>
      <c r="B1182" s="1" t="s">
        <v>103</v>
      </c>
      <c r="C1182" s="1" t="s">
        <v>997</v>
      </c>
      <c r="D1182" s="1" t="s">
        <v>729</v>
      </c>
      <c r="E1182" s="1">
        <v>443</v>
      </c>
      <c r="F1182" s="1">
        <v>208</v>
      </c>
      <c r="G1182" s="1" t="s">
        <v>209</v>
      </c>
      <c r="H1182" s="1" t="s">
        <v>1051</v>
      </c>
      <c r="I1182" s="1" t="s">
        <v>612</v>
      </c>
      <c r="L1182" s="15" t="s">
        <v>484</v>
      </c>
      <c r="M1182" s="15" t="s">
        <v>1525</v>
      </c>
      <c r="N1182" s="15">
        <v>5</v>
      </c>
      <c r="O1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oracion_del_pobre.html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1182" s="15" t="str">
        <f>_xlfn.TEXTBEFORE(_xlfn.TEXTAFTER(CantoralDB[[#This Row],[index.html]],"&gt;"),"&gt;")&amp;"&gt;"</f>
        <v>&lt;a href="canciones/kairoi/oracion_del_pobre.html"&gt;</v>
      </c>
    </row>
    <row r="1183" spans="1:21" hidden="1" x14ac:dyDescent="0.3">
      <c r="A1183" s="1">
        <f>ROW(CantoralDB[[#This Row],[Título]])-1</f>
        <v>1182</v>
      </c>
      <c r="B1183" s="1" t="s">
        <v>104</v>
      </c>
      <c r="C1183" s="1"/>
      <c r="E1183" s="1">
        <v>185</v>
      </c>
      <c r="I1183" s="1"/>
      <c r="L1183" s="15" t="s">
        <v>481</v>
      </c>
      <c r="M1183" s="15" t="s">
        <v>1975</v>
      </c>
      <c r="N1183" s="15">
        <v>5</v>
      </c>
      <c r="O1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1183" s="15" t="str">
        <f>_xlfn.TEXTBEFORE(_xlfn.TEXTAFTER(CantoralDB[[#This Row],[index.html]],"&gt;"),"&gt;")&amp;"&gt;"</f>
        <v>&lt;a href="canciones/francisco_palazon/os_doy_un_mandato_nuevo.html"&gt;</v>
      </c>
    </row>
    <row r="1184" spans="1:21" hidden="1" x14ac:dyDescent="0.3">
      <c r="A1184" s="1">
        <f>ROW(CantoralDB[[#This Row],[Título]])-1</f>
        <v>1183</v>
      </c>
      <c r="B1184" s="1" t="s">
        <v>104</v>
      </c>
      <c r="C1184" s="1" t="s">
        <v>201</v>
      </c>
      <c r="D1184" s="1" t="s">
        <v>674</v>
      </c>
      <c r="E1184" s="1">
        <v>192</v>
      </c>
      <c r="G1184" s="1" t="s">
        <v>209</v>
      </c>
      <c r="H1184" s="1" t="s">
        <v>1041</v>
      </c>
      <c r="I1184" s="1" t="s">
        <v>612</v>
      </c>
      <c r="L1184" s="15" t="s">
        <v>510</v>
      </c>
      <c r="M1184" s="15"/>
      <c r="N1184" s="15"/>
      <c r="O1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84" s="1" t="s">
        <v>855</v>
      </c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184" s="15" t="str">
        <f>_xlfn.TEXTBEFORE(_xlfn.TEXTAFTER(CantoralDB[[#This Row],[index.html]],"&gt;"),"&gt;")&amp;"&gt;"</f>
        <v>&lt;a href="canciones/ricardo_cantalapiedra/os_doy_un_mandato_nuevo.html"&gt;</v>
      </c>
    </row>
    <row r="1185" spans="1:21" hidden="1" x14ac:dyDescent="0.3">
      <c r="A1185" s="1">
        <f>ROW(CantoralDB[[#This Row],[Título]])-1</f>
        <v>1184</v>
      </c>
      <c r="B1185" s="1" t="s">
        <v>1872</v>
      </c>
      <c r="C1185" s="1"/>
      <c r="I1185" s="1" t="s">
        <v>612</v>
      </c>
      <c r="L1185" s="15" t="s">
        <v>501</v>
      </c>
      <c r="M1185" s="15" t="s">
        <v>1553</v>
      </c>
      <c r="N1185" s="15">
        <v>16</v>
      </c>
      <c r="O1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os_envio.html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href="canciones/ain_karem/os_envio.html"&gt;Os envío&lt;/a&gt;&lt;/li&gt;</v>
      </c>
      <c r="U1185" s="15" t="str">
        <f>_xlfn.TEXTBEFORE(_xlfn.TEXTAFTER(CantoralDB[[#This Row],[index.html]],"&gt;"),"&gt;")&amp;"&gt;"</f>
        <v>&lt;a href="canciones/ain_karem/os_envio.html"&gt;</v>
      </c>
    </row>
    <row r="1186" spans="1:21" hidden="1" x14ac:dyDescent="0.3">
      <c r="A1186" s="1">
        <f>ROW(CantoralDB[[#This Row],[Título]])-1</f>
        <v>1185</v>
      </c>
      <c r="B1186" s="1" t="s">
        <v>1943</v>
      </c>
      <c r="C1186" s="1"/>
      <c r="I1186" s="1" t="s">
        <v>612</v>
      </c>
      <c r="L1186" s="15" t="s">
        <v>1804</v>
      </c>
      <c r="M1186" s="15" t="s">
        <v>1945</v>
      </c>
      <c r="N1186" s="15">
        <v>5</v>
      </c>
      <c r="O1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oyeme.html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href="canciones/ruah/oyeme.html"&gt;Óyeme&lt;/a&gt;&lt;/li&gt;</v>
      </c>
      <c r="U1186" s="15" t="str">
        <f>_xlfn.TEXTBEFORE(_xlfn.TEXTAFTER(CantoralDB[[#This Row],[index.html]],"&gt;"),"&gt;")&amp;"&gt;"</f>
        <v>&lt;a href="canciones/ruah/oyeme.html"&gt;</v>
      </c>
    </row>
    <row r="1187" spans="1:21" hidden="1" x14ac:dyDescent="0.3">
      <c r="A1187" s="1">
        <f>ROW(CantoralDB[[#This Row],[Título]])-1</f>
        <v>1186</v>
      </c>
      <c r="B1187" s="1" t="s">
        <v>3799</v>
      </c>
      <c r="C1187" s="1"/>
      <c r="F1187" s="1">
        <v>445</v>
      </c>
      <c r="I1187" s="1"/>
      <c r="L1187" s="15" t="s">
        <v>799</v>
      </c>
      <c r="M1187" s="15"/>
      <c r="N1187" s="15"/>
      <c r="O1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pa_arriba.html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href="canciones/nuevas/pa_arriba.html"&gt;Pa arriba&lt;/a&gt;&lt;/li&gt;</v>
      </c>
      <c r="U1187" s="15" t="str">
        <f>_xlfn.TEXTBEFORE(_xlfn.TEXTAFTER(CantoralDB[[#This Row],[index.html]],"&gt;"),"&gt;")&amp;"&gt;"</f>
        <v>&lt;a href="canciones/nuevas/pa_arriba.html"&gt;</v>
      </c>
    </row>
    <row r="1188" spans="1:21" hidden="1" x14ac:dyDescent="0.3">
      <c r="A1188" s="1">
        <f>ROW(CantoralDB[[#This Row],[Título]])-1</f>
        <v>1187</v>
      </c>
      <c r="B1188" s="1" t="s">
        <v>1762</v>
      </c>
      <c r="C1188" s="1"/>
      <c r="I1188" s="1"/>
      <c r="L1188" s="15" t="s">
        <v>484</v>
      </c>
      <c r="M1188" s="15" t="s">
        <v>1543</v>
      </c>
      <c r="N1188" s="15">
        <v>14</v>
      </c>
      <c r="O1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href="canciones/kairoi/padre.html"&gt;Padre&lt;/a&gt;&lt;/li&gt;</v>
      </c>
      <c r="U1188" s="15" t="str">
        <f>_xlfn.TEXTBEFORE(_xlfn.TEXTAFTER(CantoralDB[[#This Row],[index.html]],"&gt;"),"&gt;")&amp;"&gt;"</f>
        <v>&lt;a href="canciones/kairoi/padre.html"&gt;</v>
      </c>
    </row>
    <row r="1189" spans="1:21" hidden="1" x14ac:dyDescent="0.3">
      <c r="A1189" s="1">
        <f>ROW(CantoralDB[[#This Row],[Título]])-1</f>
        <v>1188</v>
      </c>
      <c r="B1189" s="1" t="s">
        <v>1340</v>
      </c>
      <c r="C1189" s="1"/>
      <c r="E1189" s="1">
        <v>196</v>
      </c>
      <c r="I1189" s="1" t="s">
        <v>612</v>
      </c>
      <c r="L1189" s="15" t="s">
        <v>484</v>
      </c>
      <c r="M1189" s="15" t="s">
        <v>1535</v>
      </c>
      <c r="N1189" s="15">
        <v>8</v>
      </c>
      <c r="O1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padre_de_las_misericordias.html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1189" s="15" t="str">
        <f>_xlfn.TEXTBEFORE(_xlfn.TEXTAFTER(CantoralDB[[#This Row],[index.html]],"&gt;"),"&gt;")&amp;"&gt;"</f>
        <v>&lt;a href="canciones/kairoi/padre_de_las_misericordias.html"&gt;</v>
      </c>
    </row>
    <row r="1190" spans="1:21" hidden="1" x14ac:dyDescent="0.3">
      <c r="A1190" s="1">
        <f>ROW(CantoralDB[[#This Row],[Título]])-1</f>
        <v>1189</v>
      </c>
      <c r="B1190" s="1" t="s">
        <v>1783</v>
      </c>
      <c r="C1190" s="1"/>
      <c r="I1190" s="1"/>
      <c r="L1190" s="15" t="s">
        <v>484</v>
      </c>
      <c r="M1190" s="15" t="s">
        <v>1545</v>
      </c>
      <c r="N1190" s="15">
        <v>8</v>
      </c>
      <c r="O1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padre_del_hombre.html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1190" s="15" t="str">
        <f>_xlfn.TEXTBEFORE(_xlfn.TEXTAFTER(CantoralDB[[#This Row],[index.html]],"&gt;"),"&gt;")&amp;"&gt;"</f>
        <v>&lt;a href="canciones/kairoi/padre_del_hombre.html"&gt;</v>
      </c>
    </row>
    <row r="1191" spans="1:21" hidden="1" x14ac:dyDescent="0.3">
      <c r="A1191" s="1">
        <f>ROW(CantoralDB[[#This Row],[Título]])-1</f>
        <v>1190</v>
      </c>
      <c r="B1191" s="1" t="s">
        <v>1599</v>
      </c>
      <c r="C1191" s="1"/>
      <c r="I1191" s="1"/>
      <c r="L1191" s="15" t="s">
        <v>499</v>
      </c>
      <c r="M1191" s="15" t="s">
        <v>3803</v>
      </c>
      <c r="N1191" s="15">
        <v>6</v>
      </c>
      <c r="O1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191" s="15" t="str">
        <f>_xlfn.TEXTBEFORE(_xlfn.TEXTAFTER(CantoralDB[[#This Row],[index.html]],"&gt;"),"&gt;")&amp;"&gt;"</f>
        <v>&lt;a href="canciones/brotes_de_olivo/padre_nuestro.html"&gt;</v>
      </c>
    </row>
    <row r="1192" spans="1:21" hidden="1" x14ac:dyDescent="0.3">
      <c r="A1192" s="1">
        <f>ROW(CantoralDB[[#This Row],[Título]])-1</f>
        <v>1191</v>
      </c>
      <c r="B1192" s="1" t="s">
        <v>1599</v>
      </c>
      <c r="C1192" s="1"/>
      <c r="I1192" s="1" t="s">
        <v>612</v>
      </c>
      <c r="L1192" s="15" t="s">
        <v>481</v>
      </c>
      <c r="M1192" s="15" t="s">
        <v>21</v>
      </c>
      <c r="N1192" s="15">
        <v>8</v>
      </c>
      <c r="O1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1192" s="15" t="str">
        <f>_xlfn.TEXTBEFORE(_xlfn.TEXTAFTER(CantoralDB[[#This Row],[index.html]],"&gt;"),"&gt;")&amp;"&gt;"</f>
        <v>&lt;a href="canciones/francisco_palazon/padre_nuestro.html"&gt;</v>
      </c>
    </row>
    <row r="1193" spans="1:21" hidden="1" x14ac:dyDescent="0.3">
      <c r="A1193" s="1">
        <f>ROW(CantoralDB[[#This Row],[Título]])-1</f>
        <v>1192</v>
      </c>
      <c r="B1193" s="1" t="s">
        <v>1599</v>
      </c>
      <c r="C1193" s="1"/>
      <c r="I1193" s="1"/>
      <c r="L1193" s="15" t="s">
        <v>482</v>
      </c>
      <c r="M1193" s="15" t="s">
        <v>1899</v>
      </c>
      <c r="N1193" s="15">
        <v>8</v>
      </c>
      <c r="O1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href="canciones/toño_casado/padre_nuestro.html"&gt;Padre nuestro&lt;/a&gt;&lt;/li&gt;</v>
      </c>
      <c r="U1193" s="15" t="str">
        <f>_xlfn.TEXTBEFORE(_xlfn.TEXTAFTER(CantoralDB[[#This Row],[index.html]],"&gt;"),"&gt;")&amp;"&gt;"</f>
        <v>&lt;a href="canciones/toño_casado/padre_nuestro.html"&gt;</v>
      </c>
    </row>
    <row r="1194" spans="1:21" hidden="1" x14ac:dyDescent="0.3">
      <c r="A1194" s="1">
        <f>ROW(CantoralDB[[#This Row],[Título]])-1</f>
        <v>1193</v>
      </c>
      <c r="B1194" s="1" t="s">
        <v>622</v>
      </c>
      <c r="C1194" s="1" t="s">
        <v>197</v>
      </c>
      <c r="D1194" s="1" t="s">
        <v>1486</v>
      </c>
      <c r="G1194" s="1" t="s">
        <v>248</v>
      </c>
      <c r="H1194" s="1" t="s">
        <v>1044</v>
      </c>
      <c r="I1194" s="1" t="s">
        <v>612</v>
      </c>
      <c r="L1194" s="15" t="s">
        <v>479</v>
      </c>
      <c r="M1194" s="15"/>
      <c r="N1194" s="15"/>
      <c r="O1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padre_nuestro_(erdozain).html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1194" s="15" t="str">
        <f>_xlfn.TEXTBEFORE(_xlfn.TEXTAFTER(CantoralDB[[#This Row],[index.html]],"&gt;"),"&gt;")&amp;"&gt;"</f>
        <v>&lt;a href="canciones/carmelo_erdozain/padre_nuestro_(erdozain).html"&gt;</v>
      </c>
    </row>
    <row r="1195" spans="1:21" hidden="1" x14ac:dyDescent="0.3">
      <c r="A1195" s="1">
        <f>ROW(CantoralDB[[#This Row],[Título]])-1</f>
        <v>1194</v>
      </c>
      <c r="B1195" s="1" t="s">
        <v>105</v>
      </c>
      <c r="C1195" s="1" t="s">
        <v>197</v>
      </c>
      <c r="D1195" s="1" t="s">
        <v>1487</v>
      </c>
      <c r="E1195" s="1">
        <v>444</v>
      </c>
      <c r="G1195" s="1" t="s">
        <v>209</v>
      </c>
      <c r="H1195" s="1" t="s">
        <v>1033</v>
      </c>
      <c r="I1195" s="1" t="s">
        <v>612</v>
      </c>
      <c r="L1195" s="15" t="s">
        <v>799</v>
      </c>
      <c r="M1195" s="15"/>
      <c r="N1195" s="15"/>
      <c r="O1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padre_nuestro_(mexicano).html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195" s="15" t="str">
        <f>_xlfn.TEXTBEFORE(_xlfn.TEXTAFTER(CantoralDB[[#This Row],[index.html]],"&gt;"),"&gt;")&amp;"&gt;"</f>
        <v>&lt;a href="canciones/nsb/padre_nuestro_(mexicano).html"&gt;</v>
      </c>
    </row>
    <row r="1196" spans="1:21" hidden="1" x14ac:dyDescent="0.3">
      <c r="A1196" s="1">
        <f>ROW(CantoralDB[[#This Row],[Título]])-1</f>
        <v>1195</v>
      </c>
      <c r="B1196" s="1" t="s">
        <v>2102</v>
      </c>
      <c r="C1196" s="1"/>
      <c r="I1196" s="1" t="s">
        <v>612</v>
      </c>
      <c r="L1196" s="15" t="s">
        <v>481</v>
      </c>
      <c r="M1196" s="15" t="s">
        <v>2135</v>
      </c>
      <c r="N1196" s="15">
        <v>6</v>
      </c>
      <c r="O1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padre_nuestro_(misa_coral).html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href="canciones/francisco_palazon/padre_nuestro_(misa_coral).html"&gt;Padre nuestro (misa coral)&lt;/a&gt;&lt;/li&gt;</v>
      </c>
      <c r="U1196" s="15" t="str">
        <f>_xlfn.TEXTBEFORE(_xlfn.TEXTAFTER(CantoralDB[[#This Row],[index.html]],"&gt;"),"&gt;")&amp;"&gt;"</f>
        <v>&lt;a href="canciones/francisco_palazon/padre_nuestro_(misa_coral).html"&gt;</v>
      </c>
    </row>
    <row r="1197" spans="1:21" hidden="1" x14ac:dyDescent="0.3">
      <c r="A1197" s="1">
        <f>ROW(CantoralDB[[#This Row],[Título]])-1</f>
        <v>1196</v>
      </c>
      <c r="B1197" s="1" t="s">
        <v>3124</v>
      </c>
      <c r="C1197" s="1"/>
      <c r="I1197" s="1"/>
      <c r="L1197" s="15" t="s">
        <v>481</v>
      </c>
      <c r="M1197" s="15" t="s">
        <v>1977</v>
      </c>
      <c r="N1197" s="15">
        <v>7</v>
      </c>
      <c r="O1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padre_nuestro_(reunidos_en_su_nombre).html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1197" s="15" t="str">
        <f>_xlfn.TEXTBEFORE(_xlfn.TEXTAFTER(CantoralDB[[#This Row],[index.html]],"&gt;"),"&gt;")&amp;"&gt;"</f>
        <v>&lt;a href="canciones/francisco_palazon/padre_nuestro_(reunidos_en_su_nombre).html"&gt;</v>
      </c>
    </row>
    <row r="1198" spans="1:21" hidden="1" x14ac:dyDescent="0.3">
      <c r="A1198" s="1">
        <f>ROW(CantoralDB[[#This Row],[Título]])-1</f>
        <v>1197</v>
      </c>
      <c r="B1198" s="1" t="s">
        <v>2211</v>
      </c>
      <c r="C1198" s="1"/>
      <c r="F1198" s="1">
        <v>306</v>
      </c>
      <c r="I1198" s="1" t="s">
        <v>612</v>
      </c>
      <c r="L1198" s="15" t="s">
        <v>484</v>
      </c>
      <c r="M1198" s="15" t="s">
        <v>1528</v>
      </c>
      <c r="N1198" s="15">
        <v>10</v>
      </c>
      <c r="O1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1198" s="15" t="str">
        <f>_xlfn.TEXTBEFORE(_xlfn.TEXTAFTER(CantoralDB[[#This Row],[index.html]],"&gt;"),"&gt;")&amp;"&gt;"</f>
        <v>&lt;a href="canciones/kairoi/padre_nuestro_i.html"&gt;</v>
      </c>
    </row>
    <row r="1199" spans="1:21" hidden="1" x14ac:dyDescent="0.3">
      <c r="A1199" s="1">
        <f>ROW(CantoralDB[[#This Row],[Título]])-1</f>
        <v>1198</v>
      </c>
      <c r="B1199" s="1" t="s">
        <v>2210</v>
      </c>
      <c r="C1199" s="1"/>
      <c r="I1199" s="1"/>
      <c r="L1199" s="15" t="s">
        <v>484</v>
      </c>
      <c r="M1199" s="15" t="s">
        <v>1543</v>
      </c>
      <c r="N1199" s="15">
        <v>7</v>
      </c>
      <c r="O1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1199" s="15" t="str">
        <f>_xlfn.TEXTBEFORE(_xlfn.TEXTAFTER(CantoralDB[[#This Row],[index.html]],"&gt;"),"&gt;")&amp;"&gt;"</f>
        <v>&lt;a href="canciones/kairoi/padre_nuestro_ii.html"&gt;</v>
      </c>
    </row>
    <row r="1200" spans="1:21" hidden="1" x14ac:dyDescent="0.3">
      <c r="A1200" s="1">
        <f>ROW(CantoralDB[[#This Row],[Título]])-1</f>
        <v>1199</v>
      </c>
      <c r="B1200" s="1" t="s">
        <v>2210</v>
      </c>
      <c r="C1200" s="1"/>
      <c r="I1200" s="1"/>
      <c r="L1200" s="15" t="s">
        <v>484</v>
      </c>
      <c r="M1200" s="15" t="s">
        <v>1546</v>
      </c>
      <c r="N1200" s="15">
        <v>4</v>
      </c>
      <c r="O1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1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200" s="1"/>
      <c r="S1200" s="1" t="s">
        <v>535</v>
      </c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200" s="15" t="e">
        <f>_xlfn.TEXTBEFORE(_xlfn.TEXTAFTER(CantoralDB[[#This Row],[index.html]],"&gt;"),"&gt;")&amp;"&gt;"</f>
        <v>#N/A</v>
      </c>
    </row>
    <row r="1201" spans="1:21" hidden="1" x14ac:dyDescent="0.3">
      <c r="A1201" s="1">
        <f>ROW(CantoralDB[[#This Row],[Título]])-1</f>
        <v>1200</v>
      </c>
      <c r="B1201" s="1" t="s">
        <v>262</v>
      </c>
      <c r="C1201" s="1" t="s">
        <v>197</v>
      </c>
      <c r="D1201" s="1" t="s">
        <v>1488</v>
      </c>
      <c r="G1201" s="1" t="s">
        <v>263</v>
      </c>
      <c r="H1201" s="1" t="s">
        <v>1039</v>
      </c>
      <c r="I1201" s="1" t="s">
        <v>612</v>
      </c>
      <c r="L1201" s="15" t="s">
        <v>540</v>
      </c>
      <c r="M1201" s="15"/>
      <c r="N1201" s="15"/>
      <c r="O1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padre_nuestro_zaragozano.html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201" s="15" t="str">
        <f>_xlfn.TEXTBEFORE(_xlfn.TEXTAFTER(CantoralDB[[#This Row],[index.html]],"&gt;"),"&gt;")&amp;"&gt;"</f>
        <v>&lt;a href="canciones/nsb/padre_nuestro_zaragozano.html"&gt;</v>
      </c>
    </row>
    <row r="1202" spans="1:21" hidden="1" x14ac:dyDescent="0.3">
      <c r="A1202" s="1">
        <f>ROW(CantoralDB[[#This Row],[Título]])-1</f>
        <v>1201</v>
      </c>
      <c r="B1202" s="1" t="s">
        <v>242</v>
      </c>
      <c r="C1202" s="1" t="s">
        <v>197</v>
      </c>
      <c r="D1202" s="1" t="s">
        <v>1489</v>
      </c>
      <c r="G1202" s="1" t="s">
        <v>220</v>
      </c>
      <c r="H1202" s="1" t="s">
        <v>532</v>
      </c>
      <c r="I1202" s="1" t="s">
        <v>612</v>
      </c>
      <c r="L1202" s="15" t="s">
        <v>482</v>
      </c>
      <c r="M1202" s="15" t="s">
        <v>1893</v>
      </c>
      <c r="N1202" s="15">
        <v>10</v>
      </c>
      <c r="O1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padre_nuestro_padre_nuestro.html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202" s="15" t="str">
        <f>_xlfn.TEXTBEFORE(_xlfn.TEXTAFTER(CantoralDB[[#This Row],[index.html]],"&gt;"),"&gt;")&amp;"&gt;"</f>
        <v>&lt;a href="canciones/toño_casado/padre_nuestro_padre_nuestro.html"&gt;</v>
      </c>
    </row>
    <row r="1203" spans="1:21" hidden="1" x14ac:dyDescent="0.3">
      <c r="A1203" s="1">
        <f>ROW(CantoralDB[[#This Row],[Título]])-1</f>
        <v>1202</v>
      </c>
      <c r="B1203" s="1" t="s">
        <v>1342</v>
      </c>
      <c r="C1203" s="1"/>
      <c r="E1203" s="1">
        <v>199</v>
      </c>
      <c r="I1203" s="1"/>
      <c r="L1203" s="15" t="s">
        <v>2206</v>
      </c>
      <c r="M1203" s="15"/>
      <c r="N1203" s="15"/>
      <c r="O1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padre_nuestro_que_estas_en_la_tierra.html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1203" s="15" t="str">
        <f>_xlfn.TEXTBEFORE(_xlfn.TEXTAFTER(CantoralDB[[#This Row],[index.html]],"&gt;"),"&gt;")&amp;"&gt;"</f>
        <v>&lt;a href="canciones/fernando_viejo/padre_nuestro_que_estas_en_la_tierra.html"&gt;</v>
      </c>
    </row>
    <row r="1204" spans="1:21" hidden="1" x14ac:dyDescent="0.3">
      <c r="A1204" s="1">
        <f>ROW(CantoralDB[[#This Row],[Título]])-1</f>
        <v>1203</v>
      </c>
      <c r="B1204" s="1" t="s">
        <v>106</v>
      </c>
      <c r="C1204" s="1" t="s">
        <v>197</v>
      </c>
      <c r="D1204" s="1" t="s">
        <v>1490</v>
      </c>
      <c r="E1204" s="1">
        <v>198</v>
      </c>
      <c r="F1204" s="1">
        <v>203</v>
      </c>
      <c r="G1204" s="1" t="s">
        <v>209</v>
      </c>
      <c r="H1204" s="1" t="s">
        <v>1051</v>
      </c>
      <c r="I1204" s="1" t="s">
        <v>612</v>
      </c>
      <c r="L1204" s="15" t="s">
        <v>2160</v>
      </c>
      <c r="M1204" s="15"/>
      <c r="N1204" s="15"/>
      <c r="O1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padre_nuestro_tu_que_estas.html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data-author="Oficial" data-momento="Padrenuestro" data-nnew="H06" data-nold="198"&gt;&lt;a href="canciones/nsb/padre_nuestro_tu_que_estas.html"&gt;Padre nuestro, tú que estás&lt;/a&gt;&lt;/li&gt;</v>
      </c>
      <c r="U1204" s="15" t="str">
        <f>_xlfn.TEXTBEFORE(_xlfn.TEXTAFTER(CantoralDB[[#This Row],[index.html]],"&gt;"),"&gt;")&amp;"&gt;"</f>
        <v>&lt;a href="canciones/nsb/padre_nuestro_tu_que_estas.html"&gt;</v>
      </c>
    </row>
    <row r="1205" spans="1:21" hidden="1" x14ac:dyDescent="0.3">
      <c r="A1205" s="1">
        <f>ROW(CantoralDB[[#This Row],[Título]])-1</f>
        <v>1204</v>
      </c>
      <c r="B1205" s="1" t="s">
        <v>1341</v>
      </c>
      <c r="C1205" s="1"/>
      <c r="E1205" s="1">
        <v>197</v>
      </c>
      <c r="I1205" s="1"/>
      <c r="L1205" s="15" t="s">
        <v>488</v>
      </c>
      <c r="M1205" s="15"/>
      <c r="N1205" s="15"/>
      <c r="O1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data-nold="197"&gt;&lt;a href="canciones/al-haraca/padre_me_pongo_en_tus_manos.html"&gt;Padre, me pongo en tus manos&lt;/a&gt;&lt;/li&gt;</v>
      </c>
      <c r="U1205" s="15" t="str">
        <f>_xlfn.TEXTBEFORE(_xlfn.TEXTAFTER(CantoralDB[[#This Row],[index.html]],"&gt;"),"&gt;")&amp;"&gt;"</f>
        <v>&lt;a href="canciones/al-haraca/padre_me_pongo_en_tus_manos.html"&gt;</v>
      </c>
    </row>
    <row r="1206" spans="1:21" hidden="1" x14ac:dyDescent="0.3">
      <c r="A1206" s="1">
        <f>ROW(CantoralDB[[#This Row],[Título]])-1</f>
        <v>1205</v>
      </c>
      <c r="B1206" s="1" t="s">
        <v>1341</v>
      </c>
      <c r="C1206" s="1"/>
      <c r="F1206" s="1">
        <v>137</v>
      </c>
      <c r="I1206" s="1" t="s">
        <v>612</v>
      </c>
      <c r="L1206" s="15" t="s">
        <v>484</v>
      </c>
      <c r="M1206" s="15" t="s">
        <v>1525</v>
      </c>
      <c r="N1206" s="15">
        <v>8</v>
      </c>
      <c r="O1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1206" s="15" t="str">
        <f>_xlfn.TEXTBEFORE(_xlfn.TEXTAFTER(CantoralDB[[#This Row],[index.html]],"&gt;"),"&gt;")&amp;"&gt;"</f>
        <v>&lt;a href="canciones/kairoi/padre_me_pongo_en_tus_manos.html"&gt;</v>
      </c>
    </row>
    <row r="1207" spans="1:21" hidden="1" x14ac:dyDescent="0.3">
      <c r="A1207" s="1">
        <f>ROW(CantoralDB[[#This Row],[Título]])-1</f>
        <v>1206</v>
      </c>
      <c r="B1207" s="1" t="s">
        <v>1645</v>
      </c>
      <c r="C1207" s="1"/>
      <c r="I1207" s="1"/>
      <c r="L1207" s="15" t="s">
        <v>484</v>
      </c>
      <c r="M1207" s="15" t="s">
        <v>1528</v>
      </c>
      <c r="N1207" s="15">
        <v>12</v>
      </c>
      <c r="O1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padre_perdon.html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href="canciones/kairoi/padre_perdon.html"&gt;Padre, perdón&lt;/a&gt;&lt;/li&gt;</v>
      </c>
      <c r="U1207" s="15" t="str">
        <f>_xlfn.TEXTBEFORE(_xlfn.TEXTAFTER(CantoralDB[[#This Row],[index.html]],"&gt;"),"&gt;")&amp;"&gt;"</f>
        <v>&lt;a href="canciones/kairoi/padre_perdon.html"&gt;</v>
      </c>
    </row>
    <row r="1208" spans="1:21" hidden="1" x14ac:dyDescent="0.3">
      <c r="A1208" s="1">
        <f>ROW(CantoralDB[[#This Row],[Título]])-1</f>
        <v>1207</v>
      </c>
      <c r="B1208" s="1" t="s">
        <v>3656</v>
      </c>
      <c r="C1208" s="1"/>
      <c r="F1208" s="1">
        <v>323</v>
      </c>
      <c r="I1208" s="1"/>
      <c r="L1208" s="15" t="s">
        <v>3657</v>
      </c>
      <c r="M1208" s="15"/>
      <c r="N1208" s="15"/>
      <c r="O1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padre_te_adoramos.html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208" s="15" t="str">
        <f>_xlfn.TEXTBEFORE(_xlfn.TEXTAFTER(CantoralDB[[#This Row],[index.html]],"&gt;"),"&gt;")&amp;"&gt;"</f>
        <v>&lt;a href="canciones/nuevas/padre_te_adoramos.html"&gt;</v>
      </c>
    </row>
    <row r="1209" spans="1:21" hidden="1" x14ac:dyDescent="0.3">
      <c r="A1209" s="1">
        <f>ROW(CantoralDB[[#This Row],[Título]])-1</f>
        <v>1208</v>
      </c>
      <c r="B1209" s="1" t="s">
        <v>107</v>
      </c>
      <c r="C1209" s="1" t="s">
        <v>198</v>
      </c>
      <c r="D1209" s="1" t="s">
        <v>1491</v>
      </c>
      <c r="E1209" s="1">
        <v>195</v>
      </c>
      <c r="F1209" s="1">
        <v>5</v>
      </c>
      <c r="G1209" s="1" t="s">
        <v>209</v>
      </c>
      <c r="H1209" s="1" t="s">
        <v>1039</v>
      </c>
      <c r="I1209" s="1" t="s">
        <v>612</v>
      </c>
      <c r="L1209" s="15" t="s">
        <v>2207</v>
      </c>
      <c r="M1209" s="15"/>
      <c r="N1209" s="15"/>
      <c r="O1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padre_unenos.html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209" s="15" t="str">
        <f>_xlfn.TEXTBEFORE(_xlfn.TEXTAFTER(CantoralDB[[#This Row],[index.html]],"&gt;"),"&gt;")&amp;"&gt;"</f>
        <v>&lt;a href="canciones/perpetuo_socorro/padre_unenos.html"&gt;</v>
      </c>
    </row>
    <row r="1210" spans="1:21" hidden="1" x14ac:dyDescent="0.3">
      <c r="A1210" s="1">
        <f>ROW(CantoralDB[[#This Row],[Título]])-1</f>
        <v>1209</v>
      </c>
      <c r="B1210" s="1" t="s">
        <v>562</v>
      </c>
      <c r="C1210" s="1" t="s">
        <v>192</v>
      </c>
      <c r="D1210" s="1" t="s">
        <v>1492</v>
      </c>
      <c r="G1210" s="1" t="s">
        <v>557</v>
      </c>
      <c r="H1210" s="1" t="s">
        <v>1042</v>
      </c>
      <c r="I1210" s="1" t="s">
        <v>612</v>
      </c>
      <c r="L1210" s="15" t="s">
        <v>484</v>
      </c>
      <c r="M1210" s="15" t="s">
        <v>1532</v>
      </c>
      <c r="N1210" s="15">
        <v>4</v>
      </c>
      <c r="O1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padre_vuelvo_a_ti.html</v>
      </c>
      <c r="R1210" s="1" t="s">
        <v>856</v>
      </c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1210" s="15" t="str">
        <f>_xlfn.TEXTBEFORE(_xlfn.TEXTAFTER(CantoralDB[[#This Row],[index.html]],"&gt;"),"&gt;")&amp;"&gt;"</f>
        <v>&lt;a href="canciones/kairoi/padre_vuelvo_a_ti.html"&gt;</v>
      </c>
    </row>
    <row r="1211" spans="1:21" hidden="1" x14ac:dyDescent="0.3">
      <c r="A1211" s="1">
        <f>ROW(CantoralDB[[#This Row],[Título]])-1</f>
        <v>1210</v>
      </c>
      <c r="B1211" s="1" t="s">
        <v>197</v>
      </c>
      <c r="C1211" s="1"/>
      <c r="F1211" s="1">
        <v>114</v>
      </c>
      <c r="I1211" s="1"/>
      <c r="L1211" s="15" t="s">
        <v>799</v>
      </c>
      <c r="M1211" s="15"/>
      <c r="N1211" s="15"/>
      <c r="O1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href="canciones/nuevas/padrenuestro.html"&gt;Padrenuestro&lt;/a&gt;&lt;/li&gt;</v>
      </c>
      <c r="U1211" s="15" t="str">
        <f>_xlfn.TEXTBEFORE(_xlfn.TEXTAFTER(CantoralDB[[#This Row],[index.html]],"&gt;"),"&gt;")&amp;"&gt;"</f>
        <v>&lt;a href="canciones/nuevas/padrenuestro.html"&gt;</v>
      </c>
    </row>
    <row r="1212" spans="1:21" hidden="1" x14ac:dyDescent="0.3">
      <c r="A1212" s="1">
        <f>ROW(CantoralDB[[#This Row],[Título]])-1</f>
        <v>1211</v>
      </c>
      <c r="B1212" s="1" t="s">
        <v>197</v>
      </c>
      <c r="C1212" s="1"/>
      <c r="I1212" s="1" t="s">
        <v>612</v>
      </c>
      <c r="L1212" s="15" t="s">
        <v>484</v>
      </c>
      <c r="M1212" s="15" t="s">
        <v>1537</v>
      </c>
      <c r="N1212" s="15">
        <v>9</v>
      </c>
      <c r="O1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href="canciones/kairoi/padrenuestro.html"&gt;Padrenuestro&lt;/a&gt;&lt;/li&gt;</v>
      </c>
      <c r="U1212" s="15" t="str">
        <f>_xlfn.TEXTBEFORE(_xlfn.TEXTAFTER(CantoralDB[[#This Row],[index.html]],"&gt;"),"&gt;")&amp;"&gt;"</f>
        <v>&lt;a href="canciones/kairoi/padrenuestro.html"&gt;</v>
      </c>
    </row>
    <row r="1213" spans="1:21" hidden="1" x14ac:dyDescent="0.3">
      <c r="A1213" s="1">
        <f>ROW(CantoralDB[[#This Row],[Título]])-1</f>
        <v>1212</v>
      </c>
      <c r="B1213" s="1" t="s">
        <v>1834</v>
      </c>
      <c r="C1213" s="1"/>
      <c r="I1213" s="1" t="s">
        <v>612</v>
      </c>
      <c r="L1213" s="15" t="s">
        <v>501</v>
      </c>
      <c r="M1213" s="15" t="s">
        <v>1551</v>
      </c>
      <c r="N1213" s="15">
        <v>3</v>
      </c>
      <c r="O1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href="canciones/ain_karem/palabra.html"&gt;Palabra&lt;/a&gt;&lt;/li&gt;</v>
      </c>
      <c r="U1213" s="15" t="str">
        <f>_xlfn.TEXTBEFORE(_xlfn.TEXTAFTER(CantoralDB[[#This Row],[index.html]],"&gt;"),"&gt;")&amp;"&gt;"</f>
        <v>&lt;a href="canciones/ain_karem/palabra.html"&gt;</v>
      </c>
    </row>
    <row r="1214" spans="1:21" hidden="1" x14ac:dyDescent="0.3">
      <c r="A1214" s="1">
        <f>ROW(CantoralDB[[#This Row],[Título]])-1</f>
        <v>1213</v>
      </c>
      <c r="B1214" s="1" t="s">
        <v>1836</v>
      </c>
      <c r="C1214" s="1"/>
      <c r="I1214" s="1" t="s">
        <v>612</v>
      </c>
      <c r="L1214" s="15" t="s">
        <v>501</v>
      </c>
      <c r="M1214" s="15" t="s">
        <v>1551</v>
      </c>
      <c r="N1214" s="15">
        <v>7</v>
      </c>
      <c r="O1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palabra_encarnada.html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1214" s="15" t="str">
        <f>_xlfn.TEXTBEFORE(_xlfn.TEXTAFTER(CantoralDB[[#This Row],[index.html]],"&gt;"),"&gt;")&amp;"&gt;"</f>
        <v>&lt;a href="canciones/ain_karem/palabra_encarnada.html"&gt;</v>
      </c>
    </row>
    <row r="1215" spans="1:21" hidden="1" x14ac:dyDescent="0.3">
      <c r="A1215" s="1">
        <f>ROW(CantoralDB[[#This Row],[Título]])-1</f>
        <v>1214</v>
      </c>
      <c r="B1215" s="1" t="s">
        <v>1801</v>
      </c>
      <c r="C1215" s="1"/>
      <c r="I1215" s="1" t="s">
        <v>612</v>
      </c>
      <c r="L1215" s="15" t="s">
        <v>501</v>
      </c>
      <c r="M1215" s="15" t="s">
        <v>1548</v>
      </c>
      <c r="N1215" s="15">
        <v>6</v>
      </c>
      <c r="O1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palabras_de_vida.html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1215" s="15" t="str">
        <f>_xlfn.TEXTBEFORE(_xlfn.TEXTAFTER(CantoralDB[[#This Row],[index.html]],"&gt;"),"&gt;")&amp;"&gt;"</f>
        <v>&lt;a href="canciones/ain_karem/palabras_de_vida.html"&gt;</v>
      </c>
    </row>
    <row r="1216" spans="1:21" hidden="1" x14ac:dyDescent="0.3">
      <c r="A1216" s="1">
        <f>ROW(CantoralDB[[#This Row],[Título]])-1</f>
        <v>1215</v>
      </c>
      <c r="B1216" s="1" t="s">
        <v>1813</v>
      </c>
      <c r="C1216" s="1"/>
      <c r="I1216" s="1"/>
      <c r="L1216" s="15" t="s">
        <v>501</v>
      </c>
      <c r="M1216" s="15" t="s">
        <v>1549</v>
      </c>
      <c r="N1216" s="15">
        <v>5</v>
      </c>
      <c r="O1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pan_compartido.html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1216" s="15" t="str">
        <f>_xlfn.TEXTBEFORE(_xlfn.TEXTAFTER(CantoralDB[[#This Row],[index.html]],"&gt;"),"&gt;")&amp;"&gt;"</f>
        <v>&lt;a href="canciones/ain_karem/pan_compartido.html"&gt;</v>
      </c>
    </row>
    <row r="1217" spans="1:21" hidden="1" x14ac:dyDescent="0.3">
      <c r="A1217" s="1">
        <f>ROW(CantoralDB[[#This Row],[Título]])-1</f>
        <v>1216</v>
      </c>
      <c r="B1217" s="1" t="s">
        <v>3806</v>
      </c>
      <c r="C1217" s="1"/>
      <c r="I1217" s="1" t="s">
        <v>612</v>
      </c>
      <c r="L1217" s="15" t="s">
        <v>499</v>
      </c>
      <c r="M1217" s="15" t="s">
        <v>3803</v>
      </c>
      <c r="N1217" s="15">
        <v>4</v>
      </c>
      <c r="O1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pan_y_vino_de_amor.html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217" s="15" t="str">
        <f>_xlfn.TEXTBEFORE(_xlfn.TEXTAFTER(CantoralDB[[#This Row],[index.html]],"&gt;"),"&gt;")&amp;"&gt;"</f>
        <v>&lt;a href="canciones/brotes_de_olivo/pan_y_vino_de_amor.html"&gt;</v>
      </c>
    </row>
    <row r="1218" spans="1:21" hidden="1" x14ac:dyDescent="0.3">
      <c r="A1218" s="1">
        <f>ROW(CantoralDB[[#This Row],[Título]])-1</f>
        <v>1217</v>
      </c>
      <c r="B1218" s="1" t="s">
        <v>108</v>
      </c>
      <c r="C1218" s="1" t="s">
        <v>997</v>
      </c>
      <c r="D1218" s="1" t="s">
        <v>730</v>
      </c>
      <c r="E1218" s="1">
        <v>445</v>
      </c>
      <c r="G1218" s="1" t="s">
        <v>209</v>
      </c>
      <c r="H1218" s="1" t="s">
        <v>473</v>
      </c>
      <c r="I1218" s="1" t="s">
        <v>612</v>
      </c>
      <c r="L1218" s="15" t="s">
        <v>799</v>
      </c>
      <c r="M1218" s="15"/>
      <c r="N1218" s="15"/>
      <c r="O1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para_el_que_sabe.html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218" s="15" t="str">
        <f>_xlfn.TEXTBEFORE(_xlfn.TEXTAFTER(CantoralDB[[#This Row],[index.html]],"&gt;"),"&gt;")&amp;"&gt;"</f>
        <v>&lt;a href="canciones/nsb/para_el_que_sabe.html"&gt;</v>
      </c>
    </row>
    <row r="1219" spans="1:21" hidden="1" x14ac:dyDescent="0.3">
      <c r="A1219" s="1">
        <f>ROW(CantoralDB[[#This Row],[Título]])-1</f>
        <v>1218</v>
      </c>
      <c r="B1219" s="1" t="s">
        <v>1819</v>
      </c>
      <c r="C1219" s="1"/>
      <c r="I1219" s="1" t="s">
        <v>612</v>
      </c>
      <c r="L1219" s="15" t="s">
        <v>501</v>
      </c>
      <c r="M1219" s="15" t="s">
        <v>1549</v>
      </c>
      <c r="N1219" s="15">
        <v>13</v>
      </c>
      <c r="O1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1219" s="15" t="str">
        <f>_xlfn.TEXTBEFORE(_xlfn.TEXTAFTER(CantoralDB[[#This Row],[index.html]],"&gt;"),"&gt;")&amp;"&gt;"</f>
        <v>&lt;a href="canciones/ain_karem/para_estar_contigo.html"&gt;</v>
      </c>
    </row>
    <row r="1220" spans="1:21" hidden="1" x14ac:dyDescent="0.3">
      <c r="A1220" s="1">
        <f>ROW(CantoralDB[[#This Row],[Título]])-1</f>
        <v>1219</v>
      </c>
      <c r="B1220" s="1" t="s">
        <v>1819</v>
      </c>
      <c r="C1220" s="1"/>
      <c r="I1220" s="1" t="s">
        <v>612</v>
      </c>
      <c r="L1220" s="15" t="s">
        <v>1804</v>
      </c>
      <c r="M1220" s="15" t="s">
        <v>1951</v>
      </c>
      <c r="N1220" s="15">
        <v>13</v>
      </c>
      <c r="O1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220" s="15" t="str">
        <f>_xlfn.TEXTBEFORE(_xlfn.TEXTAFTER(CantoralDB[[#This Row],[index.html]],"&gt;"),"&gt;")&amp;"&gt;"</f>
        <v>&lt;a href="canciones/ruah/para_estar_contigo.html"&gt;</v>
      </c>
    </row>
    <row r="1221" spans="1:21" x14ac:dyDescent="0.3">
      <c r="A1221" s="1">
        <f>ROW(CantoralDB[[#This Row],[Título]])-1</f>
        <v>1220</v>
      </c>
      <c r="B1221" s="1" t="s">
        <v>935</v>
      </c>
      <c r="C1221" s="1" t="s">
        <v>1025</v>
      </c>
      <c r="D1221" s="1" t="s">
        <v>1186</v>
      </c>
      <c r="H1221" s="1" t="s">
        <v>532</v>
      </c>
      <c r="I1221" s="1" t="s">
        <v>612</v>
      </c>
      <c r="L1221" s="15" t="s">
        <v>1991</v>
      </c>
      <c r="M1221" s="15"/>
      <c r="N1221" s="15"/>
      <c r="O1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221" s="1"/>
      <c r="S1221" s="1" t="s">
        <v>425</v>
      </c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221" s="15" t="str">
        <f>_xlfn.TEXTBEFORE(_xlfn.TEXTAFTER(CantoralDB[[#This Row],[index.html]],"&gt;"),"&gt;")&amp;"&gt;"</f>
        <v>&lt;a href="canciones/taize/para_mim_ser_feliz.html"&gt;</v>
      </c>
    </row>
    <row r="1222" spans="1:21" hidden="1" x14ac:dyDescent="0.3">
      <c r="A1222" s="1">
        <f>ROW(CantoralDB[[#This Row],[Título]])-1</f>
        <v>1221</v>
      </c>
      <c r="B1222" s="1" t="s">
        <v>425</v>
      </c>
      <c r="C1222" s="1" t="s">
        <v>1026</v>
      </c>
      <c r="D1222" s="1" t="s">
        <v>1186</v>
      </c>
      <c r="H1222" s="1" t="s">
        <v>532</v>
      </c>
      <c r="I1222" s="1" t="s">
        <v>612</v>
      </c>
      <c r="L1222" s="15" t="s">
        <v>2201</v>
      </c>
      <c r="M1222" s="15"/>
      <c r="N1222" s="15"/>
      <c r="O1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222" s="15" t="str">
        <f>_xlfn.TEXTBEFORE(_xlfn.TEXTAFTER(CantoralDB[[#This Row],[index.html]],"&gt;"),"&gt;")&amp;"&gt;"</f>
        <v>&lt;a href="canciones/taize/para_mim_ser_feliz.html"&gt;</v>
      </c>
    </row>
    <row r="1223" spans="1:21" hidden="1" x14ac:dyDescent="0.3">
      <c r="A1223" s="1">
        <f>ROW(CantoralDB[[#This Row],[Título]])-1</f>
        <v>1222</v>
      </c>
      <c r="B1223" s="1" t="s">
        <v>2106</v>
      </c>
      <c r="C1223" s="1"/>
      <c r="I1223" s="1"/>
      <c r="L1223" s="15" t="s">
        <v>481</v>
      </c>
      <c r="M1223" s="15" t="s">
        <v>2104</v>
      </c>
      <c r="N1223" s="15">
        <v>1</v>
      </c>
      <c r="O1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para_que_escuchase_el_viento.html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1223" s="15" t="str">
        <f>_xlfn.TEXTBEFORE(_xlfn.TEXTAFTER(CantoralDB[[#This Row],[index.html]],"&gt;"),"&gt;")&amp;"&gt;"</f>
        <v>&lt;a href="canciones/francisco_palazon/para_que_escuchase_el_viento.html"&gt;</v>
      </c>
    </row>
    <row r="1224" spans="1:21" hidden="1" x14ac:dyDescent="0.3">
      <c r="A1224" s="1">
        <f>ROW(CantoralDB[[#This Row],[Título]])-1</f>
        <v>1223</v>
      </c>
      <c r="B1224" s="1" t="s">
        <v>3224</v>
      </c>
      <c r="C1224" s="1"/>
      <c r="I1224" s="1"/>
      <c r="L1224" s="15" t="s">
        <v>3160</v>
      </c>
      <c r="M1224" s="15" t="s">
        <v>3191</v>
      </c>
      <c r="N1224" s="15">
        <v>12</v>
      </c>
      <c r="O1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para_que_me_sirve.html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href="canciones/hermana_glenda/para_que_me_sirve.html"&gt;Para qué me sirve&lt;/a&gt;&lt;/li&gt;</v>
      </c>
      <c r="U1224" s="15" t="str">
        <f>_xlfn.TEXTBEFORE(_xlfn.TEXTAFTER(CantoralDB[[#This Row],[index.html]],"&gt;"),"&gt;")&amp;"&gt;"</f>
        <v>&lt;a href="canciones/hermana_glenda/para_que_me_sirve.html"&gt;</v>
      </c>
    </row>
    <row r="1225" spans="1:21" hidden="1" x14ac:dyDescent="0.3">
      <c r="A1225" s="1">
        <f>ROW(CantoralDB[[#This Row],[Título]])-1</f>
        <v>1224</v>
      </c>
      <c r="B1225" s="1" t="s">
        <v>3189</v>
      </c>
      <c r="C1225" s="1"/>
      <c r="I1225" s="1"/>
      <c r="L1225" s="15" t="s">
        <v>3160</v>
      </c>
      <c r="M1225" s="15" t="s">
        <v>53</v>
      </c>
      <c r="N1225" s="15">
        <v>8</v>
      </c>
      <c r="O1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para_ti_toda_mi_musica.html</v>
      </c>
      <c r="R1225" s="1" t="s">
        <v>3242</v>
      </c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href="canciones/hermana_glenda/para_ti_toda_mi_musica.html"&gt;Para ti toda mi música&lt;/a&gt;&lt;/li&gt;</v>
      </c>
      <c r="U1225" s="15" t="str">
        <f>_xlfn.TEXTBEFORE(_xlfn.TEXTAFTER(CantoralDB[[#This Row],[index.html]],"&gt;"),"&gt;")&amp;"&gt;"</f>
        <v>&lt;a href="canciones/hermana_glenda/para_ti_toda_mi_musica.html"&gt;</v>
      </c>
    </row>
    <row r="1226" spans="1:21" hidden="1" x14ac:dyDescent="0.3">
      <c r="A1226" s="1">
        <f>ROW(CantoralDB[[#This Row],[Título]])-1</f>
        <v>1225</v>
      </c>
      <c r="B1226" s="1" t="s">
        <v>3539</v>
      </c>
      <c r="C1226" s="1"/>
      <c r="F1226" s="1">
        <v>192</v>
      </c>
      <c r="I1226" s="1"/>
      <c r="L1226" s="15" t="s">
        <v>3160</v>
      </c>
      <c r="M1226" s="15"/>
      <c r="N1226" s="15"/>
      <c r="O1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para_ti_toda_mi_musica_señor.html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1226" s="15" t="str">
        <f>_xlfn.TEXTBEFORE(_xlfn.TEXTAFTER(CantoralDB[[#This Row],[index.html]],"&gt;"),"&gt;")&amp;"&gt;"</f>
        <v>&lt;a href="canciones/hermana_glenda/para_ti_toda_mi_musica_señor.html"&gt;</v>
      </c>
    </row>
    <row r="1227" spans="1:21" hidden="1" x14ac:dyDescent="0.3">
      <c r="A1227" s="1">
        <f>ROW(CantoralDB[[#This Row],[Título]])-1</f>
        <v>1226</v>
      </c>
      <c r="B1227" s="1" t="s">
        <v>3474</v>
      </c>
      <c r="C1227" s="1"/>
      <c r="F1227" s="1">
        <v>130</v>
      </c>
      <c r="I1227" s="1"/>
      <c r="L1227" s="15" t="s">
        <v>3473</v>
      </c>
      <c r="M1227" s="15"/>
      <c r="N1227" s="15"/>
      <c r="O1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pasa_por_aqui_señor.html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1227" s="15" t="str">
        <f>_xlfn.TEXTBEFORE(_xlfn.TEXTAFTER(CantoralDB[[#This Row],[index.html]],"&gt;"),"&gt;")&amp;"&gt;"</f>
        <v>&lt;a href="canciones/nuevas/pasa_por_aqui_señor.html"&gt;</v>
      </c>
    </row>
    <row r="1228" spans="1:21" hidden="1" x14ac:dyDescent="0.3">
      <c r="A1228" s="1">
        <f>ROW(CantoralDB[[#This Row],[Título]])-1</f>
        <v>1227</v>
      </c>
      <c r="B1228" s="1" t="s">
        <v>2016</v>
      </c>
      <c r="C1228" s="1"/>
      <c r="I1228" s="1" t="s">
        <v>612</v>
      </c>
      <c r="L1228" s="15" t="s">
        <v>261</v>
      </c>
      <c r="M1228" s="15"/>
      <c r="N1228" s="15"/>
      <c r="O1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pasion_de_dios.html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1228" s="15" t="str">
        <f>_xlfn.TEXTBEFORE(_xlfn.TEXTAFTER(CantoralDB[[#This Row],[index.html]],"&gt;"),"&gt;")&amp;"&gt;"</f>
        <v>&lt;a href="canciones/hakuna/pasion_de_dios.html"&gt;</v>
      </c>
    </row>
    <row r="1229" spans="1:21" hidden="1" x14ac:dyDescent="0.3">
      <c r="A1229" s="1">
        <f>ROW(CantoralDB[[#This Row],[Título]])-1</f>
        <v>1228</v>
      </c>
      <c r="B1229" s="1" t="s">
        <v>2059</v>
      </c>
      <c r="C1229" s="1"/>
      <c r="I1229" s="1" t="s">
        <v>612</v>
      </c>
      <c r="L1229" s="15" t="s">
        <v>261</v>
      </c>
      <c r="M1229" s="15"/>
      <c r="N1229" s="15"/>
      <c r="O1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pasion_i_no_se_que_viste_en_mi.html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1229" s="15" t="str">
        <f>_xlfn.TEXTBEFORE(_xlfn.TEXTAFTER(CantoralDB[[#This Row],[index.html]],"&gt;"),"&gt;")&amp;"&gt;"</f>
        <v>&lt;a href="canciones/hakuna/pasion_i_no_se_que_viste_en_mi.html"&gt;</v>
      </c>
    </row>
    <row r="1230" spans="1:21" hidden="1" x14ac:dyDescent="0.3">
      <c r="A1230" s="1">
        <f>ROW(CantoralDB[[#This Row],[Título]])-1</f>
        <v>1229</v>
      </c>
      <c r="B1230" s="1" t="s">
        <v>2060</v>
      </c>
      <c r="C1230" s="1"/>
      <c r="I1230" s="1" t="s">
        <v>612</v>
      </c>
      <c r="L1230" s="15" t="s">
        <v>261</v>
      </c>
      <c r="M1230" s="15"/>
      <c r="N1230" s="15"/>
      <c r="O1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pasion_ii_mi_peso_en_tus_hombros.html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1230" s="15" t="str">
        <f>_xlfn.TEXTBEFORE(_xlfn.TEXTAFTER(CantoralDB[[#This Row],[index.html]],"&gt;"),"&gt;")&amp;"&gt;"</f>
        <v>&lt;a href="canciones/hakuna/pasion_ii_mi_peso_en_tus_hombros.html"&gt;</v>
      </c>
    </row>
    <row r="1231" spans="1:21" hidden="1" x14ac:dyDescent="0.3">
      <c r="A1231" s="1">
        <f>ROW(CantoralDB[[#This Row],[Título]])-1</f>
        <v>1230</v>
      </c>
      <c r="B1231" s="1" t="s">
        <v>2061</v>
      </c>
      <c r="C1231" s="1"/>
      <c r="I1231" s="1" t="s">
        <v>612</v>
      </c>
      <c r="L1231" s="15" t="s">
        <v>261</v>
      </c>
      <c r="M1231" s="15"/>
      <c r="N1231" s="15"/>
      <c r="O1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pasion_iii_paraisos_sin_tu_rostro.html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1231" s="15" t="str">
        <f>_xlfn.TEXTBEFORE(_xlfn.TEXTAFTER(CantoralDB[[#This Row],[index.html]],"&gt;"),"&gt;")&amp;"&gt;"</f>
        <v>&lt;a href="canciones/hakuna/pasion_iii_paraisos_sin_tu_rostro.html"&gt;</v>
      </c>
    </row>
    <row r="1232" spans="1:21" hidden="1" x14ac:dyDescent="0.3">
      <c r="A1232" s="1">
        <f>ROW(CantoralDB[[#This Row],[Título]])-1</f>
        <v>1231</v>
      </c>
      <c r="B1232" s="1" t="s">
        <v>2062</v>
      </c>
      <c r="C1232" s="1"/>
      <c r="I1232" s="1" t="s">
        <v>612</v>
      </c>
      <c r="L1232" s="15" t="s">
        <v>261</v>
      </c>
      <c r="M1232" s="15"/>
      <c r="N1232" s="15"/>
      <c r="O1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pasion_iv_un_dios_debil.html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1232" s="15" t="str">
        <f>_xlfn.TEXTBEFORE(_xlfn.TEXTAFTER(CantoralDB[[#This Row],[index.html]],"&gt;"),"&gt;")&amp;"&gt;"</f>
        <v>&lt;a href="canciones/hakuna/pasion_iv_un_dios_debil.html"&gt;</v>
      </c>
    </row>
    <row r="1233" spans="1:21" hidden="1" x14ac:dyDescent="0.3">
      <c r="A1233" s="1">
        <f>ROW(CantoralDB[[#This Row],[Título]])-1</f>
        <v>1232</v>
      </c>
      <c r="B1233" s="1" t="s">
        <v>2063</v>
      </c>
      <c r="C1233" s="1"/>
      <c r="I1233" s="1" t="s">
        <v>612</v>
      </c>
      <c r="L1233" s="15" t="s">
        <v>261</v>
      </c>
      <c r="M1233" s="15"/>
      <c r="N1233" s="15"/>
      <c r="O1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pasion_ix_por_que.html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1233" s="15" t="str">
        <f>_xlfn.TEXTBEFORE(_xlfn.TEXTAFTER(CantoralDB[[#This Row],[index.html]],"&gt;"),"&gt;")&amp;"&gt;"</f>
        <v>&lt;a href="canciones/hakuna/pasion_ix_por_que.html"&gt;</v>
      </c>
    </row>
    <row r="1234" spans="1:21" hidden="1" x14ac:dyDescent="0.3">
      <c r="A1234" s="1">
        <f>ROW(CantoralDB[[#This Row],[Título]])-1</f>
        <v>1233</v>
      </c>
      <c r="B1234" s="1" t="s">
        <v>2075</v>
      </c>
      <c r="C1234" s="1"/>
      <c r="I1234" s="1" t="s">
        <v>612</v>
      </c>
      <c r="L1234" s="15" t="s">
        <v>261</v>
      </c>
      <c r="M1234" s="15"/>
      <c r="N1234" s="15"/>
      <c r="O1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pasion_v_cirineo.html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1234" s="15" t="str">
        <f>_xlfn.TEXTBEFORE(_xlfn.TEXTAFTER(CantoralDB[[#This Row],[index.html]],"&gt;"),"&gt;")&amp;"&gt;"</f>
        <v>&lt;a href="canciones/hakuna/pasion_v_cirineo.html"&gt;</v>
      </c>
    </row>
    <row r="1235" spans="1:21" hidden="1" x14ac:dyDescent="0.3">
      <c r="A1235" s="1">
        <f>ROW(CantoralDB[[#This Row],[Título]])-1</f>
        <v>1234</v>
      </c>
      <c r="B1235" s="1" t="s">
        <v>2064</v>
      </c>
      <c r="C1235" s="1"/>
      <c r="I1235" s="1" t="s">
        <v>612</v>
      </c>
      <c r="L1235" s="15" t="s">
        <v>261</v>
      </c>
      <c r="M1235" s="15"/>
      <c r="N1235" s="15"/>
      <c r="O1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pasion_vi_veronica.html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1235" s="15" t="str">
        <f>_xlfn.TEXTBEFORE(_xlfn.TEXTAFTER(CantoralDB[[#This Row],[index.html]],"&gt;"),"&gt;")&amp;"&gt;"</f>
        <v>&lt;a href="canciones/hakuna/pasion_vi_veronica.html"&gt;</v>
      </c>
    </row>
    <row r="1236" spans="1:21" hidden="1" x14ac:dyDescent="0.3">
      <c r="A1236" s="1">
        <f>ROW(CantoralDB[[#This Row],[Título]])-1</f>
        <v>1235</v>
      </c>
      <c r="B1236" s="1" t="s">
        <v>2065</v>
      </c>
      <c r="C1236" s="1"/>
      <c r="I1236" s="1" t="s">
        <v>612</v>
      </c>
      <c r="L1236" s="15" t="s">
        <v>261</v>
      </c>
      <c r="M1236" s="15"/>
      <c r="N1236" s="15"/>
      <c r="O1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pasion_vii_y_te_caes.html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1236" s="15" t="str">
        <f>_xlfn.TEXTBEFORE(_xlfn.TEXTAFTER(CantoralDB[[#This Row],[index.html]],"&gt;"),"&gt;")&amp;"&gt;"</f>
        <v>&lt;a href="canciones/hakuna/pasion_vii_y_te_caes.html"&gt;</v>
      </c>
    </row>
    <row r="1237" spans="1:21" hidden="1" x14ac:dyDescent="0.3">
      <c r="A1237" s="1">
        <f>ROW(CantoralDB[[#This Row],[Título]])-1</f>
        <v>1236</v>
      </c>
      <c r="B1237" s="1" t="s">
        <v>2076</v>
      </c>
      <c r="C1237" s="1"/>
      <c r="I1237" s="1" t="s">
        <v>612</v>
      </c>
      <c r="L1237" s="15" t="s">
        <v>261</v>
      </c>
      <c r="M1237" s="15"/>
      <c r="N1237" s="15"/>
      <c r="O1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pasion_viii_jerusalen.html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1237" s="15" t="str">
        <f>_xlfn.TEXTBEFORE(_xlfn.TEXTAFTER(CantoralDB[[#This Row],[index.html]],"&gt;"),"&gt;")&amp;"&gt;"</f>
        <v>&lt;a href="canciones/hakuna/pasion_viii_jerusalen.html"&gt;</v>
      </c>
    </row>
    <row r="1238" spans="1:21" hidden="1" x14ac:dyDescent="0.3">
      <c r="A1238" s="1">
        <f>ROW(CantoralDB[[#This Row],[Título]])-1</f>
        <v>1237</v>
      </c>
      <c r="B1238" s="1" t="s">
        <v>2066</v>
      </c>
      <c r="C1238" s="1"/>
      <c r="I1238" s="1" t="s">
        <v>612</v>
      </c>
      <c r="L1238" s="15" t="s">
        <v>261</v>
      </c>
      <c r="M1238" s="15"/>
      <c r="N1238" s="15"/>
      <c r="O1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pasion_x_despojado.html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1238" s="15" t="str">
        <f>_xlfn.TEXTBEFORE(_xlfn.TEXTAFTER(CantoralDB[[#This Row],[index.html]],"&gt;"),"&gt;")&amp;"&gt;"</f>
        <v>&lt;a href="canciones/hakuna/pasion_x_despojado.html"&gt;</v>
      </c>
    </row>
    <row r="1239" spans="1:21" hidden="1" x14ac:dyDescent="0.3">
      <c r="A1239" s="1">
        <f>ROW(CantoralDB[[#This Row],[Título]])-1</f>
        <v>1238</v>
      </c>
      <c r="B1239" s="1" t="s">
        <v>2067</v>
      </c>
      <c r="C1239" s="1"/>
      <c r="I1239" s="1" t="s">
        <v>612</v>
      </c>
      <c r="L1239" s="15" t="s">
        <v>261</v>
      </c>
      <c r="M1239" s="15"/>
      <c r="N1239" s="15"/>
      <c r="O1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pasion_xi_la_medida_del_amor.html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1239" s="15" t="str">
        <f>_xlfn.TEXTBEFORE(_xlfn.TEXTAFTER(CantoralDB[[#This Row],[index.html]],"&gt;"),"&gt;")&amp;"&gt;"</f>
        <v>&lt;a href="canciones/hakuna/pasion_xi_la_medida_del_amor.html"&gt;</v>
      </c>
    </row>
    <row r="1240" spans="1:21" hidden="1" x14ac:dyDescent="0.3">
      <c r="A1240" s="1">
        <f>ROW(CantoralDB[[#This Row],[Título]])-1</f>
        <v>1239</v>
      </c>
      <c r="B1240" s="1" t="s">
        <v>2072</v>
      </c>
      <c r="C1240" s="1"/>
      <c r="I1240" s="1"/>
      <c r="L1240" s="15" t="s">
        <v>261</v>
      </c>
      <c r="M1240" s="15"/>
      <c r="N1240" s="15"/>
      <c r="O1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pasion_xii_expiro.html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href="canciones/hakuna/pasion_xii_expiro.html"&gt;Pasión XII Expiró&lt;/a&gt;&lt;/li&gt;</v>
      </c>
      <c r="U1240" s="15" t="str">
        <f>_xlfn.TEXTBEFORE(_xlfn.TEXTAFTER(CantoralDB[[#This Row],[index.html]],"&gt;"),"&gt;")&amp;"&gt;"</f>
        <v>&lt;a href="canciones/hakuna/pasion_xii_expiro.html"&gt;</v>
      </c>
    </row>
    <row r="1241" spans="1:21" hidden="1" x14ac:dyDescent="0.3">
      <c r="A1241" s="1">
        <f>ROW(CantoralDB[[#This Row],[Título]])-1</f>
        <v>1240</v>
      </c>
      <c r="B1241" s="1" t="s">
        <v>2068</v>
      </c>
      <c r="C1241" s="1"/>
      <c r="I1241" s="1" t="s">
        <v>612</v>
      </c>
      <c r="L1241" s="15" t="s">
        <v>261</v>
      </c>
      <c r="M1241" s="15"/>
      <c r="N1241" s="15"/>
      <c r="O1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pasion_xiii_madre.html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1241" s="15" t="str">
        <f>_xlfn.TEXTBEFORE(_xlfn.TEXTAFTER(CantoralDB[[#This Row],[index.html]],"&gt;"),"&gt;")&amp;"&gt;"</f>
        <v>&lt;a href="canciones/hakuna/pasion_xiii_madre.html"&gt;</v>
      </c>
    </row>
    <row r="1242" spans="1:21" hidden="1" x14ac:dyDescent="0.3">
      <c r="A1242" s="1">
        <f>ROW(CantoralDB[[#This Row],[Título]])-1</f>
        <v>1241</v>
      </c>
      <c r="B1242" s="1" t="s">
        <v>2069</v>
      </c>
      <c r="C1242" s="1"/>
      <c r="I1242" s="1" t="s">
        <v>612</v>
      </c>
      <c r="L1242" s="15" t="s">
        <v>261</v>
      </c>
      <c r="M1242" s="15"/>
      <c r="N1242" s="15"/>
      <c r="O1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pasion_xiv_donde_estas_tu.html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1242" s="15" t="str">
        <f>_xlfn.TEXTBEFORE(_xlfn.TEXTAFTER(CantoralDB[[#This Row],[index.html]],"&gt;"),"&gt;")&amp;"&gt;"</f>
        <v>&lt;a href="canciones/hakuna/pasion_xiv_donde_estas_tu.html"&gt;</v>
      </c>
    </row>
    <row r="1243" spans="1:21" hidden="1" x14ac:dyDescent="0.3">
      <c r="A1243" s="1">
        <f>ROW(CantoralDB[[#This Row],[Título]])-1</f>
        <v>1242</v>
      </c>
      <c r="B1243" s="1" t="s">
        <v>2070</v>
      </c>
      <c r="C1243" s="1"/>
      <c r="I1243" s="1" t="s">
        <v>612</v>
      </c>
      <c r="L1243" s="15" t="s">
        <v>261</v>
      </c>
      <c r="M1243" s="15"/>
      <c r="N1243" s="15"/>
      <c r="O1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pasion_xv_soy_libre.html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1243" s="15" t="str">
        <f>_xlfn.TEXTBEFORE(_xlfn.TEXTAFTER(CantoralDB[[#This Row],[index.html]],"&gt;"),"&gt;")&amp;"&gt;"</f>
        <v>&lt;a href="canciones/hakuna/pasion_xv_soy_libre.html"&gt;</v>
      </c>
    </row>
    <row r="1244" spans="1:21" hidden="1" x14ac:dyDescent="0.3">
      <c r="A1244" s="1">
        <f>ROW(CantoralDB[[#This Row],[Título]])-1</f>
        <v>1243</v>
      </c>
      <c r="B1244" s="1" t="s">
        <v>2071</v>
      </c>
      <c r="C1244" s="1"/>
      <c r="I1244" s="1" t="s">
        <v>612</v>
      </c>
      <c r="L1244" s="15" t="s">
        <v>261</v>
      </c>
      <c r="M1244" s="15"/>
      <c r="N1244" s="15"/>
      <c r="O1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pasion_xvi_por_mi_por_ti.html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1244" s="15" t="str">
        <f>_xlfn.TEXTBEFORE(_xlfn.TEXTAFTER(CantoralDB[[#This Row],[index.html]],"&gt;"),"&gt;")&amp;"&gt;"</f>
        <v>&lt;a href="canciones/hakuna/pasion_xvi_por_mi_por_ti.html"&gt;</v>
      </c>
    </row>
    <row r="1245" spans="1:21" hidden="1" x14ac:dyDescent="0.3">
      <c r="A1245" s="1">
        <f>ROW(CantoralDB[[#This Row],[Título]])-1</f>
        <v>1244</v>
      </c>
      <c r="B1245" s="1" t="s">
        <v>3199</v>
      </c>
      <c r="C1245" s="1"/>
      <c r="I1245" s="1"/>
      <c r="L1245" s="15" t="s">
        <v>3160</v>
      </c>
      <c r="M1245" s="15" t="s">
        <v>3192</v>
      </c>
      <c r="N1245" s="15">
        <v>6</v>
      </c>
      <c r="O1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href="canciones/hermana_glenda/pastores.html"&gt;Pastores&lt;/a&gt;&lt;/li&gt;</v>
      </c>
      <c r="U1245" s="15" t="str">
        <f>_xlfn.TEXTBEFORE(_xlfn.TEXTAFTER(CantoralDB[[#This Row],[index.html]],"&gt;"),"&gt;")&amp;"&gt;"</f>
        <v>&lt;a href="canciones/hermana_glenda/pastores.html"&gt;</v>
      </c>
    </row>
    <row r="1246" spans="1:21" hidden="1" x14ac:dyDescent="0.3">
      <c r="A1246" s="1">
        <f>ROW(CantoralDB[[#This Row],[Título]])-1</f>
        <v>1245</v>
      </c>
      <c r="B1246" s="1" t="s">
        <v>185</v>
      </c>
      <c r="C1246" s="1" t="s">
        <v>476</v>
      </c>
      <c r="D1246" s="1" t="s">
        <v>1108</v>
      </c>
      <c r="G1246" s="1" t="s">
        <v>209</v>
      </c>
      <c r="H1246" s="1" t="s">
        <v>1047</v>
      </c>
      <c r="I1246" s="1" t="s">
        <v>612</v>
      </c>
      <c r="L1246" s="15" t="s">
        <v>2200</v>
      </c>
      <c r="M1246" s="15"/>
      <c r="N1246" s="15"/>
      <c r="O1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pastores_venid.html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246" s="15" t="str">
        <f>_xlfn.TEXTBEFORE(_xlfn.TEXTAFTER(CantoralDB[[#This Row],[index.html]],"&gt;"),"&gt;")&amp;"&gt;"</f>
        <v>&lt;a href="canciones/villancicos/pastores_venid.html"&gt;</v>
      </c>
    </row>
    <row r="1247" spans="1:21" hidden="1" x14ac:dyDescent="0.3">
      <c r="A1247" s="1">
        <f>ROW(CantoralDB[[#This Row],[Título]])-1</f>
        <v>1246</v>
      </c>
      <c r="B1247" s="1" t="s">
        <v>3450</v>
      </c>
      <c r="C1247" s="1"/>
      <c r="F1247" s="1">
        <v>115</v>
      </c>
      <c r="I1247" s="1"/>
      <c r="L1247" s="15" t="s">
        <v>3451</v>
      </c>
      <c r="M1247" s="15"/>
      <c r="N1247" s="15"/>
      <c r="O1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paz_a_vosotros.html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247" s="15" t="str">
        <f>_xlfn.TEXTBEFORE(_xlfn.TEXTAFTER(CantoralDB[[#This Row],[index.html]],"&gt;"),"&gt;")&amp;"&gt;"</f>
        <v>&lt;a href="canciones/rosa_cruz/paz_a_vosotros.html"&gt;</v>
      </c>
    </row>
    <row r="1248" spans="1:21" hidden="1" x14ac:dyDescent="0.3">
      <c r="A1248" s="1">
        <f>ROW(CantoralDB[[#This Row],[Título]])-1</f>
        <v>1247</v>
      </c>
      <c r="B1248" s="1" t="s">
        <v>109</v>
      </c>
      <c r="C1248" s="1" t="s">
        <v>198</v>
      </c>
      <c r="D1248" s="1" t="s">
        <v>1493</v>
      </c>
      <c r="E1248" s="1">
        <v>201</v>
      </c>
      <c r="G1248" s="1" t="s">
        <v>209</v>
      </c>
      <c r="H1248" s="1" t="s">
        <v>1041</v>
      </c>
      <c r="I1248" s="1" t="s">
        <v>612</v>
      </c>
      <c r="L1248" s="15" t="s">
        <v>484</v>
      </c>
      <c r="M1248" s="15" t="s">
        <v>1528</v>
      </c>
      <c r="N1248" s="15">
        <v>1</v>
      </c>
      <c r="O1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paz_en_la_tierra.html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1248" s="15" t="str">
        <f>_xlfn.TEXTBEFORE(_xlfn.TEXTAFTER(CantoralDB[[#This Row],[index.html]],"&gt;"),"&gt;")&amp;"&gt;"</f>
        <v>&lt;a href="canciones/kairoi/paz_en_la_tierra.html"&gt;</v>
      </c>
    </row>
    <row r="1249" spans="1:21" hidden="1" x14ac:dyDescent="0.3">
      <c r="A1249" s="1">
        <f>ROW(CantoralDB[[#This Row],[Título]])-1</f>
        <v>1248</v>
      </c>
      <c r="B1249" s="1" t="s">
        <v>110</v>
      </c>
      <c r="C1249" s="1" t="s">
        <v>198</v>
      </c>
      <c r="D1249" s="1" t="s">
        <v>1494</v>
      </c>
      <c r="E1249" s="1">
        <v>200</v>
      </c>
      <c r="G1249" s="1" t="s">
        <v>209</v>
      </c>
      <c r="H1249" s="1" t="s">
        <v>1031</v>
      </c>
      <c r="I1249" s="1" t="s">
        <v>612</v>
      </c>
      <c r="L1249" s="15" t="s">
        <v>799</v>
      </c>
      <c r="M1249" s="15"/>
      <c r="N1249" s="15"/>
      <c r="O1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paz_señor_en_el_cielo_y_la_tierra.html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249" s="15" t="str">
        <f>_xlfn.TEXTBEFORE(_xlfn.TEXTAFTER(CantoralDB[[#This Row],[index.html]],"&gt;"),"&gt;")&amp;"&gt;"</f>
        <v>&lt;a href="canciones/nsb/paz_señor_en_el_cielo_y_la_tierra.html"&gt;</v>
      </c>
    </row>
    <row r="1250" spans="1:21" hidden="1" x14ac:dyDescent="0.3">
      <c r="A1250" s="1">
        <f>ROW(CantoralDB[[#This Row],[Título]])-1</f>
        <v>1249</v>
      </c>
      <c r="B1250" s="1" t="s">
        <v>1916</v>
      </c>
      <c r="C1250" s="1"/>
      <c r="I1250" s="1" t="s">
        <v>612</v>
      </c>
      <c r="L1250" s="15" t="s">
        <v>1804</v>
      </c>
      <c r="M1250" s="15" t="s">
        <v>1951</v>
      </c>
      <c r="N1250" s="15">
        <v>2</v>
      </c>
      <c r="O1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pedid_y_se_os_dara.html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250" s="15" t="str">
        <f>_xlfn.TEXTBEFORE(_xlfn.TEXTAFTER(CantoralDB[[#This Row],[index.html]],"&gt;"),"&gt;")&amp;"&gt;"</f>
        <v>&lt;a href="canciones/ruah/pedid_y_se_os_dara.html"&gt;</v>
      </c>
    </row>
    <row r="1251" spans="1:21" hidden="1" x14ac:dyDescent="0.3">
      <c r="A1251" s="1">
        <f>ROW(CantoralDB[[#This Row],[Título]])-1</f>
        <v>1250</v>
      </c>
      <c r="B1251" s="1" t="s">
        <v>3567</v>
      </c>
      <c r="C1251" s="1"/>
      <c r="F1251" s="1">
        <v>225</v>
      </c>
      <c r="I1251" s="1"/>
      <c r="L1251" s="15" t="s">
        <v>799</v>
      </c>
      <c r="M1251" s="15"/>
      <c r="N1251" s="15"/>
      <c r="O1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pequeño_como_una_brisa.html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href="canciones/nuevas/pequeño_como_una_brisa.html"&gt;Pequeño como una brisa&lt;/a&gt;&lt;/li&gt;</v>
      </c>
      <c r="U1251" s="15" t="str">
        <f>_xlfn.TEXTBEFORE(_xlfn.TEXTAFTER(CantoralDB[[#This Row],[index.html]],"&gt;"),"&gt;")&amp;"&gt;"</f>
        <v>&lt;a href="canciones/nuevas/pequeño_como_una_brisa.html"&gt;</v>
      </c>
    </row>
    <row r="1252" spans="1:21" hidden="1" x14ac:dyDescent="0.3">
      <c r="A1252" s="1">
        <f>ROW(CantoralDB[[#This Row],[Título]])-1</f>
        <v>1251</v>
      </c>
      <c r="B1252" s="1" t="s">
        <v>1746</v>
      </c>
      <c r="C1252" s="1"/>
      <c r="I1252" s="1" t="s">
        <v>612</v>
      </c>
      <c r="L1252" s="15" t="s">
        <v>484</v>
      </c>
      <c r="M1252" s="15" t="s">
        <v>1542</v>
      </c>
      <c r="N1252" s="15">
        <v>7</v>
      </c>
      <c r="O1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pequeño_corazon.html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1252" s="15" t="str">
        <f>_xlfn.TEXTBEFORE(_xlfn.TEXTAFTER(CantoralDB[[#This Row],[index.html]],"&gt;"),"&gt;")&amp;"&gt;"</f>
        <v>&lt;a href="canciones/kairoi/pequeño_corazon.html"&gt;</v>
      </c>
    </row>
    <row r="1253" spans="1:21" hidden="1" x14ac:dyDescent="0.3">
      <c r="A1253" s="1">
        <f>ROW(CantoralDB[[#This Row],[Título]])-1</f>
        <v>1252</v>
      </c>
      <c r="B1253" s="1" t="s">
        <v>1883</v>
      </c>
      <c r="C1253" s="1"/>
      <c r="I1253" s="1"/>
      <c r="L1253" s="15" t="s">
        <v>501</v>
      </c>
      <c r="M1253" s="15" t="s">
        <v>1553</v>
      </c>
      <c r="N1253" s="15">
        <v>13</v>
      </c>
      <c r="O1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pequeño_israel.html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1253" s="15" t="str">
        <f>_xlfn.TEXTBEFORE(_xlfn.TEXTAFTER(CantoralDB[[#This Row],[index.html]],"&gt;"),"&gt;")&amp;"&gt;"</f>
        <v>&lt;a href="canciones/ain_karem/pequeño_israel.html"&gt;</v>
      </c>
    </row>
    <row r="1254" spans="1:21" hidden="1" x14ac:dyDescent="0.3">
      <c r="A1254" s="1">
        <f>ROW(CantoralDB[[#This Row],[Título]])-1</f>
        <v>1253</v>
      </c>
      <c r="B1254" s="1" t="s">
        <v>426</v>
      </c>
      <c r="C1254" s="1" t="s">
        <v>1026</v>
      </c>
      <c r="D1254" s="1" t="s">
        <v>1187</v>
      </c>
      <c r="H1254" s="1" t="s">
        <v>1069</v>
      </c>
      <c r="I1254" s="1" t="s">
        <v>612</v>
      </c>
      <c r="L1254" s="15" t="s">
        <v>2201</v>
      </c>
      <c r="M1254" s="15"/>
      <c r="N1254" s="15"/>
      <c r="O1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254" s="15" t="str">
        <f>_xlfn.TEXTBEFORE(_xlfn.TEXTAFTER(CantoralDB[[#This Row],[index.html]],"&gt;"),"&gt;")&amp;"&gt;"</f>
        <v>&lt;a href="canciones/taize/per_crucem.html"&gt;</v>
      </c>
    </row>
    <row r="1255" spans="1:21" hidden="1" x14ac:dyDescent="0.3">
      <c r="A1255" s="1">
        <f>ROW(CantoralDB[[#This Row],[Título]])-1</f>
        <v>1254</v>
      </c>
      <c r="B1255" s="1" t="s">
        <v>1346</v>
      </c>
      <c r="C1255" s="1"/>
      <c r="E1255" s="1">
        <v>212</v>
      </c>
      <c r="I1255" s="1" t="s">
        <v>612</v>
      </c>
      <c r="L1255" s="15" t="s">
        <v>491</v>
      </c>
      <c r="M1255" s="15"/>
      <c r="N1255" s="15"/>
      <c r="O1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perdon_señor_perdon.html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1255" s="15" t="str">
        <f>_xlfn.TEXTBEFORE(_xlfn.TEXTAFTER(CantoralDB[[#This Row],[index.html]],"&gt;"),"&gt;")&amp;"&gt;"</f>
        <v>&lt;a href="canciones/juan_antonio_espinosa/perdon_señor_perdon.html"&gt;</v>
      </c>
    </row>
    <row r="1256" spans="1:21" hidden="1" x14ac:dyDescent="0.3">
      <c r="A1256" s="1">
        <f>ROW(CantoralDB[[#This Row],[Título]])-1</f>
        <v>1255</v>
      </c>
      <c r="B1256" s="1" t="s">
        <v>1782</v>
      </c>
      <c r="C1256" s="1"/>
      <c r="I1256" s="1"/>
      <c r="L1256" s="15" t="s">
        <v>484</v>
      </c>
      <c r="M1256" s="15" t="s">
        <v>1545</v>
      </c>
      <c r="N1256" s="15">
        <v>7</v>
      </c>
      <c r="O1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perdona_que_te_lo_diga.html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1256" s="15" t="str">
        <f>_xlfn.TEXTBEFORE(_xlfn.TEXTAFTER(CantoralDB[[#This Row],[index.html]],"&gt;"),"&gt;")&amp;"&gt;"</f>
        <v>&lt;a href="canciones/kairoi/perdona_que_te_lo_diga.html"&gt;</v>
      </c>
    </row>
    <row r="1257" spans="1:21" hidden="1" x14ac:dyDescent="0.3">
      <c r="A1257" s="1">
        <f>ROW(CantoralDB[[#This Row],[Título]])-1</f>
        <v>1256</v>
      </c>
      <c r="B1257" s="1" t="s">
        <v>1348</v>
      </c>
      <c r="C1257" s="1"/>
      <c r="E1257" s="1">
        <v>215</v>
      </c>
      <c r="I1257" s="1"/>
      <c r="L1257" s="15" t="s">
        <v>480</v>
      </c>
      <c r="M1257" s="15"/>
      <c r="N1257" s="15"/>
      <c r="O1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perdoname_señor.html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1257" s="15" t="str">
        <f>_xlfn.TEXTBEFORE(_xlfn.TEXTAFTER(CantoralDB[[#This Row],[index.html]],"&gt;"),"&gt;")&amp;"&gt;"</f>
        <v>&lt;a href="canciones/juanjo_elezkano/perdoname_señor.html"&gt;</v>
      </c>
    </row>
    <row r="1258" spans="1:21" hidden="1" x14ac:dyDescent="0.3">
      <c r="A1258" s="1">
        <f>ROW(CantoralDB[[#This Row],[Título]])-1</f>
        <v>1257</v>
      </c>
      <c r="B1258" s="1" t="s">
        <v>489</v>
      </c>
      <c r="C1258" s="1" t="s">
        <v>191</v>
      </c>
      <c r="D1258" s="1" t="s">
        <v>749</v>
      </c>
      <c r="G1258" s="1" t="s">
        <v>216</v>
      </c>
      <c r="H1258" s="1" t="s">
        <v>533</v>
      </c>
      <c r="I1258" s="1" t="s">
        <v>612</v>
      </c>
      <c r="L1258" s="15" t="s">
        <v>483</v>
      </c>
      <c r="M1258" s="15"/>
      <c r="N1258" s="15"/>
      <c r="O1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peregrino_(exodo_y_liberacion).html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1258" s="15" t="str">
        <f>_xlfn.TEXTBEFORE(_xlfn.TEXTAFTER(CantoralDB[[#This Row],[index.html]],"&gt;"),"&gt;")&amp;"&gt;"</f>
        <v>&lt;a href="canciones/cesareo_gabarain/peregrino_(exodo_y_liberacion).html"&gt;</v>
      </c>
    </row>
    <row r="1259" spans="1:21" hidden="1" x14ac:dyDescent="0.3">
      <c r="A1259" s="1">
        <f>ROW(CantoralDB[[#This Row],[Título]])-1</f>
        <v>1258</v>
      </c>
      <c r="B1259" s="1" t="s">
        <v>247</v>
      </c>
      <c r="C1259" s="1" t="s">
        <v>191</v>
      </c>
      <c r="D1259" s="1" t="s">
        <v>750</v>
      </c>
      <c r="E1259" s="1">
        <v>208</v>
      </c>
      <c r="G1259" s="1" t="s">
        <v>248</v>
      </c>
      <c r="H1259" s="1" t="s">
        <v>1035</v>
      </c>
      <c r="I1259" s="1" t="s">
        <v>612</v>
      </c>
      <c r="L1259" s="15" t="s">
        <v>486</v>
      </c>
      <c r="M1259" s="15"/>
      <c r="N1259" s="15"/>
      <c r="O1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peregrinos_de_la_paz_y_la_alegria.html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259" s="15" t="str">
        <f>_xlfn.TEXTBEFORE(_xlfn.TEXTAFTER(CantoralDB[[#This Row],[index.html]],"&gt;"),"&gt;")&amp;"&gt;"</f>
        <v>&lt;a href="canciones/antonio_alcalde/peregrinos_de_la_paz_y_la_alegria.html"&gt;</v>
      </c>
    </row>
    <row r="1260" spans="1:21" x14ac:dyDescent="0.3">
      <c r="A1260" s="1">
        <f>ROW(CantoralDB[[#This Row],[Título]])-1</f>
        <v>1259</v>
      </c>
      <c r="B1260" s="1" t="s">
        <v>890</v>
      </c>
      <c r="C1260" s="1" t="s">
        <v>1025</v>
      </c>
      <c r="D1260" s="1" t="s">
        <v>1131</v>
      </c>
      <c r="H1260" s="1" t="s">
        <v>1069</v>
      </c>
      <c r="I1260" s="1" t="s">
        <v>612</v>
      </c>
      <c r="L1260" s="15" t="s">
        <v>1991</v>
      </c>
      <c r="M1260" s="15"/>
      <c r="N1260" s="15"/>
      <c r="O1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1260" s="1" t="s">
        <v>956</v>
      </c>
      <c r="S1260" s="1" t="s">
        <v>318</v>
      </c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260" s="15" t="str">
        <f>_xlfn.TEXTBEFORE(_xlfn.TEXTAFTER(CantoralDB[[#This Row],[index.html]],"&gt;"),"&gt;")&amp;"&gt;"</f>
        <v>&lt;a href="canciones/taize/bleibet_hier.html"&gt;</v>
      </c>
    </row>
    <row r="1261" spans="1:21" hidden="1" x14ac:dyDescent="0.3">
      <c r="A1261" s="1">
        <f>ROW(CantoralDB[[#This Row],[Título]])-1</f>
        <v>1260</v>
      </c>
      <c r="B1261" s="1" t="s">
        <v>111</v>
      </c>
      <c r="C1261" s="1" t="s">
        <v>997</v>
      </c>
      <c r="D1261" s="1" t="s">
        <v>731</v>
      </c>
      <c r="E1261" s="1">
        <v>313</v>
      </c>
      <c r="F1261" s="1">
        <v>318</v>
      </c>
      <c r="G1261" s="1" t="s">
        <v>209</v>
      </c>
      <c r="H1261" s="1" t="s">
        <v>1041</v>
      </c>
      <c r="I1261" s="1" t="s">
        <v>612</v>
      </c>
      <c r="L1261" s="15" t="s">
        <v>483</v>
      </c>
      <c r="M1261" s="15"/>
      <c r="N1261" s="15"/>
      <c r="O1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pescador_de_hombres.html</v>
      </c>
      <c r="R1261" s="1" t="s">
        <v>857</v>
      </c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1261" s="15" t="str">
        <f>_xlfn.TEXTBEFORE(_xlfn.TEXTAFTER(CantoralDB[[#This Row],[index.html]],"&gt;"),"&gt;")&amp;"&gt;"</f>
        <v>&lt;a href="canciones/cesareo_gabarain/pescador_de_hombres.html"&gt;</v>
      </c>
    </row>
    <row r="1262" spans="1:21" hidden="1" x14ac:dyDescent="0.3">
      <c r="A1262" s="1">
        <f>ROW(CantoralDB[[#This Row],[Título]])-1</f>
        <v>1261</v>
      </c>
      <c r="B1262" s="1" t="s">
        <v>2128</v>
      </c>
      <c r="C1262" s="1"/>
      <c r="I1262" s="1"/>
      <c r="L1262" s="15" t="s">
        <v>481</v>
      </c>
      <c r="M1262" s="15" t="s">
        <v>1978</v>
      </c>
      <c r="N1262" s="15">
        <v>3</v>
      </c>
      <c r="O1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pidamos_al_señor.html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1262" s="15" t="str">
        <f>_xlfn.TEXTBEFORE(_xlfn.TEXTAFTER(CantoralDB[[#This Row],[index.html]],"&gt;"),"&gt;")&amp;"&gt;"</f>
        <v>&lt;a href="canciones/francisco_palazon/pidamos_al_señor.html"&gt;</v>
      </c>
    </row>
    <row r="1263" spans="1:21" hidden="1" x14ac:dyDescent="0.3">
      <c r="A1263" s="1">
        <f>ROW(CantoralDB[[#This Row],[Título]])-1</f>
        <v>1262</v>
      </c>
      <c r="B1263" s="1" t="s">
        <v>3219</v>
      </c>
      <c r="C1263" s="1"/>
      <c r="I1263" s="1"/>
      <c r="L1263" s="15" t="s">
        <v>3160</v>
      </c>
      <c r="M1263" s="15" t="s">
        <v>3191</v>
      </c>
      <c r="N1263" s="15">
        <v>7</v>
      </c>
      <c r="O1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pide_y_se_te_dara.html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href="canciones/hermana_glenda/pide_y_se_te_dara.html"&gt;Pide y se te dará&lt;/a&gt;&lt;/li&gt;</v>
      </c>
      <c r="U1263" s="15" t="str">
        <f>_xlfn.TEXTBEFORE(_xlfn.TEXTAFTER(CantoralDB[[#This Row],[index.html]],"&gt;"),"&gt;")&amp;"&gt;"</f>
        <v>&lt;a href="canciones/hermana_glenda/pide_y_se_te_dara.html"&gt;</v>
      </c>
    </row>
    <row r="1264" spans="1:21" hidden="1" x14ac:dyDescent="0.3">
      <c r="A1264" s="1">
        <f>ROW(CantoralDB[[#This Row],[Título]])-1</f>
        <v>1263</v>
      </c>
      <c r="B1264" s="1" t="s">
        <v>1343</v>
      </c>
      <c r="C1264" s="1"/>
      <c r="E1264" s="1">
        <v>204</v>
      </c>
      <c r="I1264" s="1"/>
      <c r="L1264" s="15" t="s">
        <v>2206</v>
      </c>
      <c r="M1264" s="15"/>
      <c r="N1264" s="15"/>
      <c r="O1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piedad_señor_piedad.html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1264" s="15" t="str">
        <f>_xlfn.TEXTBEFORE(_xlfn.TEXTAFTER(CantoralDB[[#This Row],[index.html]],"&gt;"),"&gt;")&amp;"&gt;"</f>
        <v>&lt;a href="canciones/fernando_viejo/piedad_señor_piedad.html"&gt;</v>
      </c>
    </row>
    <row r="1265" spans="1:21" hidden="1" x14ac:dyDescent="0.3">
      <c r="A1265" s="1">
        <f>ROW(CantoralDB[[#This Row],[Título]])-1</f>
        <v>1264</v>
      </c>
      <c r="B1265" s="1" t="s">
        <v>1639</v>
      </c>
      <c r="C1265" s="1"/>
      <c r="I1265" s="1"/>
      <c r="L1265" s="15" t="s">
        <v>484</v>
      </c>
      <c r="M1265" s="15" t="s">
        <v>1527</v>
      </c>
      <c r="N1265" s="15">
        <v>6</v>
      </c>
      <c r="O1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pienso_en_usted.html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1265" s="15" t="str">
        <f>_xlfn.TEXTBEFORE(_xlfn.TEXTAFTER(CantoralDB[[#This Row],[index.html]],"&gt;"),"&gt;")&amp;"&gt;"</f>
        <v>&lt;a href="canciones/kairoi/pienso_en_usted.html"&gt;</v>
      </c>
    </row>
    <row r="1266" spans="1:21" hidden="1" x14ac:dyDescent="0.3">
      <c r="A1266" s="1">
        <f>ROW(CantoralDB[[#This Row],[Título]])-1</f>
        <v>1265</v>
      </c>
      <c r="B1266" s="1" t="s">
        <v>1718</v>
      </c>
      <c r="C1266" s="1"/>
      <c r="I1266" s="1"/>
      <c r="L1266" s="15" t="s">
        <v>484</v>
      </c>
      <c r="M1266" s="15" t="s">
        <v>1538</v>
      </c>
      <c r="N1266" s="15">
        <v>7</v>
      </c>
      <c r="O1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pinta_de_luz.html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href="canciones/kairoi/pinta_de_luz.html"&gt;Pinta de luz&lt;/a&gt;&lt;/li&gt;</v>
      </c>
      <c r="U1266" s="15" t="str">
        <f>_xlfn.TEXTBEFORE(_xlfn.TEXTAFTER(CantoralDB[[#This Row],[index.html]],"&gt;"),"&gt;")&amp;"&gt;"</f>
        <v>&lt;a href="canciones/kairoi/pinta_de_luz.html"&gt;</v>
      </c>
    </row>
    <row r="1267" spans="1:21" hidden="1" x14ac:dyDescent="0.3">
      <c r="A1267" s="1">
        <f>ROW(CantoralDB[[#This Row],[Título]])-1</f>
        <v>1266</v>
      </c>
      <c r="B1267" s="1" t="s">
        <v>1778</v>
      </c>
      <c r="C1267" s="1"/>
      <c r="I1267" s="1"/>
      <c r="L1267" s="15" t="s">
        <v>484</v>
      </c>
      <c r="M1267" s="15" t="s">
        <v>1545</v>
      </c>
      <c r="N1267" s="15">
        <v>3</v>
      </c>
      <c r="O1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plegaria.html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href="canciones/kairoi/plegaria.html"&gt;Plegaria&lt;/a&gt;&lt;/li&gt;</v>
      </c>
      <c r="U1267" s="15" t="str">
        <f>_xlfn.TEXTBEFORE(_xlfn.TEXTAFTER(CantoralDB[[#This Row],[index.html]],"&gt;"),"&gt;")&amp;"&gt;"</f>
        <v>&lt;a href="canciones/kairoi/plegaria.html"&gt;</v>
      </c>
    </row>
    <row r="1268" spans="1:21" hidden="1" x14ac:dyDescent="0.3">
      <c r="A1268" s="1">
        <f>ROW(CantoralDB[[#This Row],[Título]])-1</f>
        <v>1267</v>
      </c>
      <c r="B1268" s="1" t="s">
        <v>2039</v>
      </c>
      <c r="C1268" s="1"/>
      <c r="I1268" s="1" t="s">
        <v>612</v>
      </c>
      <c r="L1268" s="15" t="s">
        <v>261</v>
      </c>
      <c r="M1268" s="15"/>
      <c r="N1268" s="15"/>
      <c r="O1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pluma_de_escribano.html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1268" s="15" t="str">
        <f>_xlfn.TEXTBEFORE(_xlfn.TEXTAFTER(CantoralDB[[#This Row],[index.html]],"&gt;"),"&gt;")&amp;"&gt;"</f>
        <v>&lt;a href="canciones/hakuna/pluma_de_escribano.html"&gt;</v>
      </c>
    </row>
    <row r="1269" spans="1:21" hidden="1" x14ac:dyDescent="0.3">
      <c r="A1269" s="1">
        <f>ROW(CantoralDB[[#This Row],[Título]])-1</f>
        <v>1268</v>
      </c>
      <c r="B1269" s="1" t="s">
        <v>3598</v>
      </c>
      <c r="C1269" s="1"/>
      <c r="F1269" s="1">
        <v>263</v>
      </c>
      <c r="I1269" s="1"/>
      <c r="L1269" s="15" t="s">
        <v>799</v>
      </c>
      <c r="M1269" s="15"/>
      <c r="N1269" s="15"/>
      <c r="O1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pon_hoy_la_llama_de_amor.html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269" s="15" t="str">
        <f>_xlfn.TEXTBEFORE(_xlfn.TEXTAFTER(CantoralDB[[#This Row],[index.html]],"&gt;"),"&gt;")&amp;"&gt;"</f>
        <v>&lt;a href="canciones/nuevas/pon_hoy_la_llama_de_amor.html"&gt;</v>
      </c>
    </row>
    <row r="1270" spans="1:21" hidden="1" x14ac:dyDescent="0.3">
      <c r="A1270" s="1">
        <f>ROW(CantoralDB[[#This Row],[Título]])-1</f>
        <v>1269</v>
      </c>
      <c r="B1270" s="1" t="s">
        <v>112</v>
      </c>
      <c r="C1270" s="1" t="s">
        <v>198</v>
      </c>
      <c r="D1270" s="1" t="s">
        <v>1495</v>
      </c>
      <c r="E1270" s="1">
        <v>448</v>
      </c>
      <c r="F1270" s="1">
        <v>191</v>
      </c>
      <c r="G1270" s="1" t="s">
        <v>209</v>
      </c>
      <c r="H1270" s="1" t="s">
        <v>532</v>
      </c>
      <c r="I1270" s="1" t="s">
        <v>612</v>
      </c>
      <c r="L1270" s="15" t="s">
        <v>799</v>
      </c>
      <c r="M1270" s="15"/>
      <c r="N1270" s="15"/>
      <c r="O1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pon_tu_mano.html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270" s="15" t="str">
        <f>_xlfn.TEXTBEFORE(_xlfn.TEXTAFTER(CantoralDB[[#This Row],[index.html]],"&gt;"),"&gt;")&amp;"&gt;"</f>
        <v>&lt;a href="canciones/nsb/pon_tu_mano.html"&gt;</v>
      </c>
    </row>
    <row r="1271" spans="1:21" hidden="1" x14ac:dyDescent="0.3">
      <c r="A1271" s="1">
        <f>ROW(CantoralDB[[#This Row],[Título]])-1</f>
        <v>1270</v>
      </c>
      <c r="B1271" s="1" t="s">
        <v>1799</v>
      </c>
      <c r="C1271" s="1"/>
      <c r="I1271" s="1" t="s">
        <v>612</v>
      </c>
      <c r="L1271" s="15" t="s">
        <v>501</v>
      </c>
      <c r="M1271" s="15" t="s">
        <v>1548</v>
      </c>
      <c r="N1271" s="15">
        <v>3</v>
      </c>
      <c r="O1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poneos_en_pie.html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href="canciones/ain_karem/poneos_en_pie.html"&gt;Ponéos en pie&lt;/a&gt;&lt;/li&gt;</v>
      </c>
      <c r="U1271" s="15" t="str">
        <f>_xlfn.TEXTBEFORE(_xlfn.TEXTAFTER(CantoralDB[[#This Row],[index.html]],"&gt;"),"&gt;")&amp;"&gt;"</f>
        <v>&lt;a href="canciones/ain_karem/poneos_en_pie.html"&gt;</v>
      </c>
    </row>
    <row r="1272" spans="1:21" hidden="1" x14ac:dyDescent="0.3">
      <c r="A1272" s="1">
        <f>ROW(CantoralDB[[#This Row],[Título]])-1</f>
        <v>1271</v>
      </c>
      <c r="B1272" s="1" t="s">
        <v>3645</v>
      </c>
      <c r="C1272" s="1"/>
      <c r="F1272" s="1">
        <v>310</v>
      </c>
      <c r="I1272" s="1"/>
      <c r="L1272" s="15" t="s">
        <v>3644</v>
      </c>
      <c r="M1272" s="15"/>
      <c r="N1272" s="15"/>
      <c r="O1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ponte_ya_de_pie.html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data-author="Gocam"&gt;&lt;a href="canciones/nuevas/ponte_ya_de_pie.html"&gt;Ponte ya de pie&lt;/a&gt;&lt;/li&gt;</v>
      </c>
      <c r="U1272" s="15" t="str">
        <f>_xlfn.TEXTBEFORE(_xlfn.TEXTAFTER(CantoralDB[[#This Row],[index.html]],"&gt;"),"&gt;")&amp;"&gt;"</f>
        <v>&lt;a href="canciones/nuevas/ponte_ya_de_pie.html"&gt;</v>
      </c>
    </row>
    <row r="1273" spans="1:21" hidden="1" x14ac:dyDescent="0.3">
      <c r="A1273" s="1">
        <f>ROW(CantoralDB[[#This Row],[Título]])-1</f>
        <v>1272</v>
      </c>
      <c r="B1273" s="1" t="s">
        <v>1866</v>
      </c>
      <c r="C1273" s="1"/>
      <c r="I1273" s="1" t="s">
        <v>612</v>
      </c>
      <c r="L1273" s="15" t="s">
        <v>501</v>
      </c>
      <c r="M1273" s="15" t="s">
        <v>1554</v>
      </c>
      <c r="N1273" s="15">
        <v>14</v>
      </c>
      <c r="O1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por_amor_a_tu_pueblo.html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1273" s="15" t="str">
        <f>_xlfn.TEXTBEFORE(_xlfn.TEXTAFTER(CantoralDB[[#This Row],[index.html]],"&gt;"),"&gt;")&amp;"&gt;"</f>
        <v>&lt;a href="canciones/ain_karem/por_amor_a_tu_pueblo.html"&gt;</v>
      </c>
    </row>
    <row r="1274" spans="1:21" hidden="1" x14ac:dyDescent="0.3">
      <c r="A1274" s="1">
        <f>ROW(CantoralDB[[#This Row],[Título]])-1</f>
        <v>1273</v>
      </c>
      <c r="B1274" s="1" t="s">
        <v>3265</v>
      </c>
      <c r="C1274" s="1"/>
      <c r="I1274" s="1"/>
      <c r="L1274" s="15" t="s">
        <v>3160</v>
      </c>
      <c r="M1274" s="15" t="s">
        <v>415</v>
      </c>
      <c r="N1274" s="15">
        <v>4</v>
      </c>
      <c r="O1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por_el_dolor_creyente.html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href="canciones/hermana_glenda/por_el_dolor_creyente.html"&gt;Por el dolor creyente&lt;/a&gt;&lt;/li&gt;</v>
      </c>
      <c r="U1274" s="15" t="str">
        <f>_xlfn.TEXTBEFORE(_xlfn.TEXTAFTER(CantoralDB[[#This Row],[index.html]],"&gt;"),"&gt;")&amp;"&gt;"</f>
        <v>&lt;a href="canciones/hermana_glenda/por_el_dolor_creyente.html"&gt;</v>
      </c>
    </row>
    <row r="1275" spans="1:21" hidden="1" x14ac:dyDescent="0.3">
      <c r="A1275" s="1">
        <f>ROW(CantoralDB[[#This Row],[Título]])-1</f>
        <v>1274</v>
      </c>
      <c r="B1275" s="1" t="s">
        <v>186</v>
      </c>
      <c r="C1275" s="1" t="s">
        <v>198</v>
      </c>
      <c r="D1275" s="1" t="s">
        <v>1496</v>
      </c>
      <c r="E1275" s="1">
        <v>209</v>
      </c>
      <c r="G1275" s="1" t="s">
        <v>209</v>
      </c>
      <c r="H1275" s="1" t="s">
        <v>1051</v>
      </c>
      <c r="I1275" s="1" t="s">
        <v>612</v>
      </c>
      <c r="L1275" s="15" t="s">
        <v>488</v>
      </c>
      <c r="M1275" s="15"/>
      <c r="N1275" s="15"/>
      <c r="O1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por_la_paz_no_callare.html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1275" s="15" t="str">
        <f>_xlfn.TEXTBEFORE(_xlfn.TEXTAFTER(CantoralDB[[#This Row],[index.html]],"&gt;"),"&gt;")&amp;"&gt;"</f>
        <v>&lt;a href="canciones/al-haraca/por_la_paz_no_callare.html"&gt;</v>
      </c>
    </row>
    <row r="1276" spans="1:21" hidden="1" x14ac:dyDescent="0.3">
      <c r="A1276" s="1">
        <f>ROW(CantoralDB[[#This Row],[Título]])-1</f>
        <v>1275</v>
      </c>
      <c r="B1276" s="1" t="s">
        <v>113</v>
      </c>
      <c r="C1276" s="1" t="s">
        <v>195</v>
      </c>
      <c r="D1276" s="1" t="s">
        <v>771</v>
      </c>
      <c r="E1276" s="1">
        <v>214</v>
      </c>
      <c r="G1276" s="1" t="s">
        <v>209</v>
      </c>
      <c r="H1276" s="1" t="s">
        <v>532</v>
      </c>
      <c r="I1276" s="1" t="s">
        <v>612</v>
      </c>
      <c r="L1276" s="15" t="s">
        <v>799</v>
      </c>
      <c r="M1276" s="15"/>
      <c r="N1276" s="15"/>
      <c r="O1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por_los_hombres.html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276" s="15" t="str">
        <f>_xlfn.TEXTBEFORE(_xlfn.TEXTAFTER(CantoralDB[[#This Row],[index.html]],"&gt;"),"&gt;")&amp;"&gt;"</f>
        <v>&lt;a href="canciones/nsb/por_los_hombres.html"&gt;</v>
      </c>
    </row>
    <row r="1277" spans="1:21" hidden="1" x14ac:dyDescent="0.3">
      <c r="A1277" s="1">
        <f>ROW(CantoralDB[[#This Row],[Título]])-1</f>
        <v>1276</v>
      </c>
      <c r="B1277" s="1" t="s">
        <v>2045</v>
      </c>
      <c r="C1277" s="1"/>
      <c r="I1277" s="1" t="s">
        <v>612</v>
      </c>
      <c r="L1277" s="15" t="s">
        <v>261</v>
      </c>
      <c r="M1277" s="15"/>
      <c r="N1277" s="15"/>
      <c r="O1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por_que_lloras.html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1277" s="15" t="str">
        <f>_xlfn.TEXTBEFORE(_xlfn.TEXTAFTER(CantoralDB[[#This Row],[index.html]],"&gt;"),"&gt;")&amp;"&gt;"</f>
        <v>&lt;a href="canciones/hakuna/por_que_lloras.html"&gt;</v>
      </c>
    </row>
    <row r="1278" spans="1:21" hidden="1" x14ac:dyDescent="0.3">
      <c r="A1278" s="1">
        <f>ROW(CantoralDB[[#This Row],[Título]])-1</f>
        <v>1277</v>
      </c>
      <c r="B1278" s="1" t="s">
        <v>1967</v>
      </c>
      <c r="C1278" s="1"/>
      <c r="I1278" s="1" t="s">
        <v>612</v>
      </c>
      <c r="L1278" s="15" t="s">
        <v>1804</v>
      </c>
      <c r="M1278" s="15" t="s">
        <v>1952</v>
      </c>
      <c r="N1278" s="15">
        <v>12</v>
      </c>
      <c r="O1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por_ti_jerusalen.html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278" s="15" t="str">
        <f>_xlfn.TEXTBEFORE(_xlfn.TEXTAFTER(CantoralDB[[#This Row],[index.html]],"&gt;"),"&gt;")&amp;"&gt;"</f>
        <v>&lt;a href="canciones/ruah/por_ti_jerusalen.html"&gt;</v>
      </c>
    </row>
    <row r="1279" spans="1:21" hidden="1" x14ac:dyDescent="0.3">
      <c r="A1279" s="1">
        <f>ROW(CantoralDB[[#This Row],[Título]])-1</f>
        <v>1278</v>
      </c>
      <c r="B1279" s="1" t="s">
        <v>114</v>
      </c>
      <c r="C1279" s="1" t="s">
        <v>199</v>
      </c>
      <c r="D1279" s="1" t="s">
        <v>1497</v>
      </c>
      <c r="E1279" s="1">
        <v>203</v>
      </c>
      <c r="G1279" s="1" t="s">
        <v>209</v>
      </c>
      <c r="H1279" s="1" t="s">
        <v>473</v>
      </c>
      <c r="I1279" s="1" t="s">
        <v>612</v>
      </c>
      <c r="L1279" s="15" t="s">
        <v>491</v>
      </c>
      <c r="M1279" s="15"/>
      <c r="N1279" s="15"/>
      <c r="O1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por_ti_mi_dios.html</v>
      </c>
      <c r="R1279" s="1" t="s">
        <v>858</v>
      </c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1279" s="15" t="str">
        <f>_xlfn.TEXTBEFORE(_xlfn.TEXTAFTER(CantoralDB[[#This Row],[index.html]],"&gt;"),"&gt;")&amp;"&gt;"</f>
        <v>&lt;a href="canciones/juan_antonio_espinosa/por_ti_mi_dios.html"&gt;</v>
      </c>
    </row>
    <row r="1280" spans="1:21" x14ac:dyDescent="0.3">
      <c r="A1280" s="1">
        <f>ROW(CantoralDB[[#This Row],[Título]])-1</f>
        <v>1279</v>
      </c>
      <c r="B1280" s="1" t="s">
        <v>936</v>
      </c>
      <c r="C1280" s="1" t="s">
        <v>1025</v>
      </c>
      <c r="D1280" s="1" t="s">
        <v>1187</v>
      </c>
      <c r="H1280" s="1" t="s">
        <v>1069</v>
      </c>
      <c r="I1280" s="1" t="s">
        <v>612</v>
      </c>
      <c r="L1280" s="15" t="s">
        <v>1991</v>
      </c>
      <c r="M1280" s="15"/>
      <c r="N1280" s="15"/>
      <c r="O1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280" s="1"/>
      <c r="S1280" s="1" t="s">
        <v>426</v>
      </c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280" s="15" t="str">
        <f>_xlfn.TEXTBEFORE(_xlfn.TEXTAFTER(CantoralDB[[#This Row],[index.html]],"&gt;"),"&gt;")&amp;"&gt;"</f>
        <v>&lt;a href="canciones/taize/per_crucem.html"&gt;</v>
      </c>
    </row>
    <row r="1281" spans="1:21" hidden="1" x14ac:dyDescent="0.3">
      <c r="A1281" s="1">
        <f>ROW(CantoralDB[[#This Row],[Título]])-1</f>
        <v>1280</v>
      </c>
      <c r="B1281" s="1" t="s">
        <v>1344</v>
      </c>
      <c r="C1281" s="1"/>
      <c r="E1281" s="1">
        <v>206</v>
      </c>
      <c r="I1281" s="1"/>
      <c r="L1281" s="15" t="s">
        <v>487</v>
      </c>
      <c r="M1281" s="15"/>
      <c r="N1281" s="15"/>
      <c r="O1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porque_el_mundo_esta_lleno_de_misterios.html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1281" s="15" t="str">
        <f>_xlfn.TEXTBEFORE(_xlfn.TEXTAFTER(CantoralDB[[#This Row],[index.html]],"&gt;"),"&gt;")&amp;"&gt;"</f>
        <v>&lt;a href="canciones/miguel_manzano/porque_el_mundo_esta_lleno_de_misterios.html"&gt;</v>
      </c>
    </row>
    <row r="1282" spans="1:21" hidden="1" x14ac:dyDescent="0.3">
      <c r="A1282" s="1">
        <f>ROW(CantoralDB[[#This Row],[Título]])-1</f>
        <v>1281</v>
      </c>
      <c r="B1282" s="1" t="s">
        <v>3270</v>
      </c>
      <c r="C1282" s="1"/>
      <c r="I1282" s="1"/>
      <c r="L1282" s="15" t="s">
        <v>3160</v>
      </c>
      <c r="M1282" s="15" t="s">
        <v>415</v>
      </c>
      <c r="N1282" s="15">
        <v>9</v>
      </c>
      <c r="O1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porque_es_tarde_dios_mio.html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href="canciones/hermana_glenda/porque_es_tarde_dios_mio.html"&gt;Porque es tarde, Dios mío&lt;/a&gt;&lt;/li&gt;</v>
      </c>
      <c r="U1282" s="15" t="str">
        <f>_xlfn.TEXTBEFORE(_xlfn.TEXTAFTER(CantoralDB[[#This Row],[index.html]],"&gt;"),"&gt;")&amp;"&gt;"</f>
        <v>&lt;a href="canciones/hermana_glenda/porque_es_tarde_dios_mio.html"&gt;</v>
      </c>
    </row>
    <row r="1283" spans="1:21" hidden="1" x14ac:dyDescent="0.3">
      <c r="A1283" s="1">
        <f>ROW(CantoralDB[[#This Row],[Título]])-1</f>
        <v>1282</v>
      </c>
      <c r="B1283" s="1" t="s">
        <v>1347</v>
      </c>
      <c r="C1283" s="1"/>
      <c r="E1283" s="1">
        <v>213</v>
      </c>
      <c r="I1283" s="1"/>
      <c r="L1283" s="15" t="s">
        <v>488</v>
      </c>
      <c r="M1283" s="15"/>
      <c r="N1283" s="15"/>
      <c r="O1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porque_fuiste_mujer_de_un_pueblo_esclavo.html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data-nold="213"&gt;&lt;a href="canciones/al-haraca/porque_fuiste_mujer_de_un_pueblo_esclavo.html"&gt;Porque fuiste mujer de un pueblo esclavo&lt;/a&gt;&lt;/li&gt;</v>
      </c>
      <c r="U1283" s="15" t="str">
        <f>_xlfn.TEXTBEFORE(_xlfn.TEXTAFTER(CantoralDB[[#This Row],[index.html]],"&gt;"),"&gt;")&amp;"&gt;"</f>
        <v>&lt;a href="canciones/al-haraca/porque_fuiste_mujer_de_un_pueblo_esclavo.html"&gt;</v>
      </c>
    </row>
    <row r="1284" spans="1:21" hidden="1" x14ac:dyDescent="0.3">
      <c r="A1284" s="1">
        <f>ROW(CantoralDB[[#This Row],[Título]])-1</f>
        <v>1283</v>
      </c>
      <c r="B1284" s="1" t="s">
        <v>3570</v>
      </c>
      <c r="C1284" s="1"/>
      <c r="F1284" s="1">
        <v>230</v>
      </c>
      <c r="I1284" s="1"/>
      <c r="L1284" s="15" t="s">
        <v>799</v>
      </c>
      <c r="M1284" s="15"/>
      <c r="N1284" s="15"/>
      <c r="O1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porque_para_siempre_dios.html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284" s="15" t="str">
        <f>_xlfn.TEXTBEFORE(_xlfn.TEXTAFTER(CantoralDB[[#This Row],[index.html]],"&gt;"),"&gt;")&amp;"&gt;"</f>
        <v>&lt;a href="canciones/nuevas/porque_para_siempre_dios.html"&gt;</v>
      </c>
    </row>
    <row r="1285" spans="1:21" hidden="1" x14ac:dyDescent="0.3">
      <c r="A1285" s="1">
        <f>ROW(CantoralDB[[#This Row],[Título]])-1</f>
        <v>1284</v>
      </c>
      <c r="B1285" s="1" t="s">
        <v>3745</v>
      </c>
      <c r="C1285" s="1"/>
      <c r="F1285" s="1">
        <v>399</v>
      </c>
      <c r="I1285" s="1"/>
      <c r="L1285" s="15" t="s">
        <v>799</v>
      </c>
      <c r="M1285" s="15"/>
      <c r="N1285" s="15"/>
      <c r="O1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porque_tu_eres_bueno.html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href="canciones/nuevas/porque_tu_eres_bueno.html"&gt;Porque tú eres bueno&lt;/a&gt;&lt;/li&gt;</v>
      </c>
      <c r="U1285" s="15" t="str">
        <f>_xlfn.TEXTBEFORE(_xlfn.TEXTAFTER(CantoralDB[[#This Row],[index.html]],"&gt;"),"&gt;")&amp;"&gt;"</f>
        <v>&lt;a href="canciones/nuevas/porque_tu_eres_bueno.html"&gt;</v>
      </c>
    </row>
    <row r="1286" spans="1:21" hidden="1" x14ac:dyDescent="0.3">
      <c r="A1286" s="1">
        <f>ROW(CantoralDB[[#This Row],[Título]])-1</f>
        <v>1285</v>
      </c>
      <c r="B1286" s="1" t="s">
        <v>3447</v>
      </c>
      <c r="C1286" s="1"/>
      <c r="F1286" s="1">
        <v>110</v>
      </c>
      <c r="I1286" s="1"/>
      <c r="L1286" s="15" t="s">
        <v>3436</v>
      </c>
      <c r="M1286" s="15"/>
      <c r="N1286" s="15"/>
      <c r="O1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postrado.html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href="canciones/nuevas/postrado.html"&gt;Postrado&lt;/a&gt;&lt;/li&gt;</v>
      </c>
      <c r="U1286" s="15" t="str">
        <f>_xlfn.TEXTBEFORE(_xlfn.TEXTAFTER(CantoralDB[[#This Row],[index.html]],"&gt;"),"&gt;")&amp;"&gt;"</f>
        <v>&lt;a href="canciones/nuevas/postrado.html"&gt;</v>
      </c>
    </row>
    <row r="1287" spans="1:21" hidden="1" x14ac:dyDescent="0.3">
      <c r="A1287" s="1">
        <f>ROW(CantoralDB[[#This Row],[Título]])-1</f>
        <v>1286</v>
      </c>
      <c r="B1287" s="1" t="s">
        <v>3276</v>
      </c>
      <c r="C1287" s="1"/>
      <c r="I1287" s="1"/>
      <c r="L1287" s="15" t="s">
        <v>3160</v>
      </c>
      <c r="M1287" s="15" t="s">
        <v>415</v>
      </c>
      <c r="N1287" s="15">
        <v>15</v>
      </c>
      <c r="O1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href="canciones/hermana_glenda/pregon_pascual.html"&gt;Pregón Pascual&lt;/a&gt;&lt;/li&gt;</v>
      </c>
      <c r="U1287" s="15" t="str">
        <f>_xlfn.TEXTBEFORE(_xlfn.TEXTAFTER(CantoralDB[[#This Row],[index.html]],"&gt;"),"&gt;")&amp;"&gt;"</f>
        <v>&lt;a href="canciones/hermana_glenda/pregon_pascual.html"&gt;</v>
      </c>
    </row>
    <row r="1288" spans="1:21" hidden="1" x14ac:dyDescent="0.3">
      <c r="A1288" s="1">
        <f>ROW(CantoralDB[[#This Row],[Título]])-1</f>
        <v>1287</v>
      </c>
      <c r="B1288" s="1" t="s">
        <v>1963</v>
      </c>
      <c r="C1288" s="1"/>
      <c r="I1288" s="1" t="s">
        <v>612</v>
      </c>
      <c r="L1288" s="15" t="s">
        <v>484</v>
      </c>
      <c r="M1288" s="15" t="s">
        <v>1578</v>
      </c>
      <c r="N1288" s="15">
        <v>1</v>
      </c>
      <c r="O1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pregon_pascual_(aleluya).html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1288" s="15" t="str">
        <f>_xlfn.TEXTBEFORE(_xlfn.TEXTAFTER(CantoralDB[[#This Row],[index.html]],"&gt;"),"&gt;")&amp;"&gt;"</f>
        <v>&lt;a href="canciones/kairoi/pregon_pascual_(aleluya).html"&gt;</v>
      </c>
    </row>
    <row r="1289" spans="1:21" hidden="1" x14ac:dyDescent="0.3">
      <c r="A1289" s="1">
        <f>ROW(CantoralDB[[#This Row],[Título]])-1</f>
        <v>1288</v>
      </c>
      <c r="B1289" s="1" t="s">
        <v>1964</v>
      </c>
      <c r="C1289" s="1" t="s">
        <v>211</v>
      </c>
      <c r="D1289" s="1" t="s">
        <v>1498</v>
      </c>
      <c r="G1289" s="1" t="s">
        <v>209</v>
      </c>
      <c r="H1289" s="1" t="s">
        <v>1048</v>
      </c>
      <c r="I1289" s="1" t="s">
        <v>612</v>
      </c>
      <c r="L1289" s="15" t="s">
        <v>484</v>
      </c>
      <c r="M1289" s="15" t="s">
        <v>1529</v>
      </c>
      <c r="N1289" s="15">
        <v>9</v>
      </c>
      <c r="O1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pregon_pascual_(gloria).html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1289" s="15" t="str">
        <f>_xlfn.TEXTBEFORE(_xlfn.TEXTAFTER(CantoralDB[[#This Row],[index.html]],"&gt;"),"&gt;")&amp;"&gt;"</f>
        <v>&lt;a href="canciones/kairoi/pregon_pascual_(gloria).html"&gt;</v>
      </c>
    </row>
    <row r="1290" spans="1:21" hidden="1" x14ac:dyDescent="0.3">
      <c r="A1290" s="25">
        <f>ROW(CantoralDB[[#This Row],[Título]])-1</f>
        <v>1289</v>
      </c>
      <c r="B1290" s="1" t="s">
        <v>3816</v>
      </c>
      <c r="C1290" s="1"/>
      <c r="D1290" s="25"/>
      <c r="E1290" s="25"/>
      <c r="I1290" s="1" t="s">
        <v>612</v>
      </c>
      <c r="L1290" s="15" t="s">
        <v>3100</v>
      </c>
      <c r="M1290" s="15"/>
      <c r="N1290" s="15"/>
      <c r="O1290" s="26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90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pregon_pascual_(neocatecumenal).html</v>
      </c>
      <c r="R1290" s="27"/>
      <c r="S1290" s="25"/>
      <c r="T1290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290" s="26" t="str">
        <f>_xlfn.TEXTBEFORE(_xlfn.TEXTAFTER(CantoralDB[[#This Row],[index.html]],"&gt;"),"&gt;")&amp;"&gt;"</f>
        <v>&lt;a href="canciones/nuevas/pregon_pascual_(neocatecumenal).html"&gt;</v>
      </c>
    </row>
    <row r="1291" spans="1:21" hidden="1" x14ac:dyDescent="0.3">
      <c r="A1291" s="1">
        <f>ROW(CantoralDB[[#This Row],[Título]])-1</f>
        <v>1290</v>
      </c>
      <c r="B1291" s="1" t="s">
        <v>115</v>
      </c>
      <c r="C1291" s="1" t="s">
        <v>191</v>
      </c>
      <c r="D1291" s="1" t="s">
        <v>751</v>
      </c>
      <c r="E1291" s="1">
        <v>449</v>
      </c>
      <c r="F1291" s="1">
        <v>215</v>
      </c>
      <c r="G1291" s="1" t="s">
        <v>209</v>
      </c>
      <c r="H1291" s="1" t="s">
        <v>1037</v>
      </c>
      <c r="I1291" s="1" t="s">
        <v>612</v>
      </c>
      <c r="L1291" s="15" t="s">
        <v>591</v>
      </c>
      <c r="M1291" s="15"/>
      <c r="N1291" s="15"/>
      <c r="O1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preparad_el_camino_al_señor.html</v>
      </c>
      <c r="R1291" s="1" t="s">
        <v>859</v>
      </c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291" s="15" t="str">
        <f>_xlfn.TEXTBEFORE(_xlfn.TEXTAFTER(CantoralDB[[#This Row],[index.html]],"&gt;"),"&gt;")&amp;"&gt;"</f>
        <v>&lt;a href="canciones/nsb/preparad_el_camino_al_señor.html"&gt;</v>
      </c>
    </row>
    <row r="1292" spans="1:21" hidden="1" x14ac:dyDescent="0.3">
      <c r="A1292" s="1">
        <f>ROW(CantoralDB[[#This Row],[Título]])-1</f>
        <v>1291</v>
      </c>
      <c r="B1292" s="1" t="s">
        <v>609</v>
      </c>
      <c r="C1292" s="1" t="s">
        <v>997</v>
      </c>
      <c r="D1292" s="1" t="s">
        <v>732</v>
      </c>
      <c r="G1292" s="1" t="s">
        <v>606</v>
      </c>
      <c r="H1292" s="1" t="s">
        <v>532</v>
      </c>
      <c r="I1292" s="1" t="s">
        <v>612</v>
      </c>
      <c r="L1292" s="15" t="s">
        <v>610</v>
      </c>
      <c r="M1292" s="15"/>
      <c r="N1292" s="15"/>
      <c r="O1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principio_y_fundamento.html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292" s="15" t="str">
        <f>_xlfn.TEXTBEFORE(_xlfn.TEXTAFTER(CantoralDB[[#This Row],[index.html]],"&gt;"),"&gt;")&amp;"&gt;"</f>
        <v>&lt;a href="canciones/nsb/principio_y_fundamento.html"&gt;</v>
      </c>
    </row>
    <row r="1293" spans="1:21" hidden="1" x14ac:dyDescent="0.3">
      <c r="A1293" s="1">
        <f>ROW(CantoralDB[[#This Row],[Título]])-1</f>
        <v>1292</v>
      </c>
      <c r="B1293" s="1" t="s">
        <v>2004</v>
      </c>
      <c r="C1293" s="1"/>
      <c r="I1293" s="1" t="s">
        <v>612</v>
      </c>
      <c r="L1293" s="15" t="s">
        <v>261</v>
      </c>
      <c r="M1293" s="15"/>
      <c r="N1293" s="15"/>
      <c r="O1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pringados.html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href="canciones/hakuna/pringados.html"&gt;Pringados&lt;/a&gt;&lt;/li&gt;</v>
      </c>
      <c r="U1293" s="15" t="str">
        <f>_xlfn.TEXTBEFORE(_xlfn.TEXTAFTER(CantoralDB[[#This Row],[index.html]],"&gt;"),"&gt;")&amp;"&gt;"</f>
        <v>&lt;a href="canciones/hakuna/pringados.html"&gt;</v>
      </c>
    </row>
    <row r="1294" spans="1:21" hidden="1" x14ac:dyDescent="0.3">
      <c r="A1294" s="1">
        <f>ROW(CantoralDB[[#This Row],[Título]])-1</f>
        <v>1293</v>
      </c>
      <c r="B1294" s="1" t="s">
        <v>1541</v>
      </c>
      <c r="C1294" s="1"/>
      <c r="I1294" s="1"/>
      <c r="L1294" s="15" t="s">
        <v>484</v>
      </c>
      <c r="M1294" s="15" t="s">
        <v>1541</v>
      </c>
      <c r="N1294" s="15">
        <v>2</v>
      </c>
      <c r="O1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profeta_de_la_familia.html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1294" s="15" t="str">
        <f>_xlfn.TEXTBEFORE(_xlfn.TEXTAFTER(CantoralDB[[#This Row],[index.html]],"&gt;"),"&gt;")&amp;"&gt;"</f>
        <v>&lt;a href="canciones/kairoi/profeta_de_la_familia.html"&gt;</v>
      </c>
    </row>
    <row r="1295" spans="1:21" x14ac:dyDescent="0.3">
      <c r="A1295" s="1">
        <f>ROW(CantoralDB[[#This Row],[Título]])-1</f>
        <v>1294</v>
      </c>
      <c r="B1295" s="1" t="s">
        <v>887</v>
      </c>
      <c r="C1295" s="1" t="s">
        <v>1025</v>
      </c>
      <c r="D1295" s="1" t="s">
        <v>1128</v>
      </c>
      <c r="H1295" s="1" t="s">
        <v>1049</v>
      </c>
      <c r="I1295" s="1" t="s">
        <v>612</v>
      </c>
      <c r="L1295" s="15" t="s">
        <v>1991</v>
      </c>
      <c r="M1295" s="15"/>
      <c r="N1295" s="15"/>
      <c r="O1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1295" s="1" t="s">
        <v>953</v>
      </c>
      <c r="S1295" s="1" t="s">
        <v>312</v>
      </c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295" s="15" t="str">
        <f>_xlfn.TEXTBEFORE(_xlfn.TEXTAFTER(CantoralDB[[#This Row],[index.html]],"&gt;"),"&gt;")&amp;"&gt;"</f>
        <v>&lt;a href="canciones/taize/behüte_mich_gott.html"&gt;</v>
      </c>
    </row>
    <row r="1296" spans="1:21" hidden="1" x14ac:dyDescent="0.3">
      <c r="A1296" s="1">
        <f>ROW(CantoralDB[[#This Row],[Título]])-1</f>
        <v>1295</v>
      </c>
      <c r="B1296" s="1" t="s">
        <v>116</v>
      </c>
      <c r="C1296" s="1"/>
      <c r="E1296" s="1">
        <v>207</v>
      </c>
      <c r="I1296" s="1" t="s">
        <v>612</v>
      </c>
      <c r="L1296" s="15" t="s">
        <v>481</v>
      </c>
      <c r="M1296" s="15" t="s">
        <v>1976</v>
      </c>
      <c r="N1296" s="15">
        <v>10</v>
      </c>
      <c r="O1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1296" s="15" t="str">
        <f>_xlfn.TEXTBEFORE(_xlfn.TEXTAFTER(CantoralDB[[#This Row],[index.html]],"&gt;"),"&gt;")&amp;"&gt;"</f>
        <v>&lt;a href="canciones/francisco_palazon/protegeme_dios_mio.html"&gt;</v>
      </c>
    </row>
    <row r="1297" spans="1:21" hidden="1" x14ac:dyDescent="0.3">
      <c r="A1297" s="1">
        <f>ROW(CantoralDB[[#This Row],[Título]])-1</f>
        <v>1296</v>
      </c>
      <c r="B1297" s="1" t="s">
        <v>116</v>
      </c>
      <c r="C1297" s="1" t="s">
        <v>997</v>
      </c>
      <c r="D1297" s="1" t="s">
        <v>733</v>
      </c>
      <c r="E1297" s="1">
        <v>202</v>
      </c>
      <c r="G1297" s="1" t="s">
        <v>209</v>
      </c>
      <c r="H1297" s="1" t="s">
        <v>532</v>
      </c>
      <c r="I1297" s="1" t="s">
        <v>612</v>
      </c>
      <c r="L1297" s="15" t="s">
        <v>510</v>
      </c>
      <c r="M1297" s="15"/>
      <c r="N1297" s="15"/>
      <c r="O1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297" s="15" t="str">
        <f>_xlfn.TEXTBEFORE(_xlfn.TEXTAFTER(CantoralDB[[#This Row],[index.html]],"&gt;"),"&gt;")&amp;"&gt;"</f>
        <v>&lt;a href="canciones/ricardo_cantalapiedra/protegeme_dios_mio.html"&gt;</v>
      </c>
    </row>
    <row r="1298" spans="1:21" hidden="1" x14ac:dyDescent="0.3">
      <c r="A1298" s="1">
        <f>ROW(CantoralDB[[#This Row],[Título]])-1</f>
        <v>1297</v>
      </c>
      <c r="B1298" s="1" t="s">
        <v>428</v>
      </c>
      <c r="C1298" s="1" t="s">
        <v>1026</v>
      </c>
      <c r="D1298" s="1" t="s">
        <v>1167</v>
      </c>
      <c r="H1298" s="1" t="s">
        <v>1065</v>
      </c>
      <c r="I1298" s="1" t="s">
        <v>612</v>
      </c>
      <c r="L1298" s="15" t="s">
        <v>2201</v>
      </c>
      <c r="M1298" s="15"/>
      <c r="N1298" s="15"/>
      <c r="O1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298" s="15" t="str">
        <f>_xlfn.TEXTBEFORE(_xlfn.TEXTAFTER(CantoralDB[[#This Row],[index.html]],"&gt;"),"&gt;")&amp;"&gt;"</f>
        <v>&lt;a href="canciones/taize/psallite_deo.html"&gt;</v>
      </c>
    </row>
    <row r="1299" spans="1:21" hidden="1" x14ac:dyDescent="0.3">
      <c r="A1299" s="1">
        <f>ROW(CantoralDB[[#This Row],[Título]])-1</f>
        <v>1298</v>
      </c>
      <c r="B1299" s="1" t="s">
        <v>3419</v>
      </c>
      <c r="C1299" s="1"/>
      <c r="F1299" s="1">
        <v>81</v>
      </c>
      <c r="I1299" s="1"/>
      <c r="L1299" s="15" t="s">
        <v>799</v>
      </c>
      <c r="M1299" s="15"/>
      <c r="N1299" s="15"/>
      <c r="O1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pueblo_de_dios.html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href="canciones/nuevas/pueblo_de_dios.html"&gt;Pueblo de Dios&lt;/a&gt;&lt;/li&gt;</v>
      </c>
      <c r="U1299" s="15" t="str">
        <f>_xlfn.TEXTBEFORE(_xlfn.TEXTAFTER(CantoralDB[[#This Row],[index.html]],"&gt;"),"&gt;")&amp;"&gt;"</f>
        <v>&lt;a href="canciones/nuevas/pueblo_de_dios.html"&gt;</v>
      </c>
    </row>
    <row r="1300" spans="1:21" hidden="1" x14ac:dyDescent="0.3">
      <c r="A1300" s="1">
        <f>ROW(CantoralDB[[#This Row],[Título]])-1</f>
        <v>1299</v>
      </c>
      <c r="B1300" s="1" t="s">
        <v>117</v>
      </c>
      <c r="C1300" s="1"/>
      <c r="I1300" s="1"/>
      <c r="L1300" s="15" t="s">
        <v>481</v>
      </c>
      <c r="M1300" s="15" t="s">
        <v>1975</v>
      </c>
      <c r="N1300" s="15">
        <v>8</v>
      </c>
      <c r="O1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1300" s="15" t="str">
        <f>_xlfn.TEXTBEFORE(_xlfn.TEXTAFTER(CantoralDB[[#This Row],[index.html]],"&gt;"),"&gt;")&amp;"&gt;"</f>
        <v>&lt;a href="canciones/francisco_palazon/pueblo_mio.html"&gt;</v>
      </c>
    </row>
    <row r="1301" spans="1:21" hidden="1" x14ac:dyDescent="0.3">
      <c r="A1301" s="1">
        <f>ROW(CantoralDB[[#This Row],[Título]])-1</f>
        <v>1300</v>
      </c>
      <c r="B1301" s="1" t="s">
        <v>117</v>
      </c>
      <c r="C1301" s="1" t="s">
        <v>997</v>
      </c>
      <c r="D1301" s="1" t="s">
        <v>998</v>
      </c>
      <c r="E1301" s="1">
        <v>205</v>
      </c>
      <c r="G1301" s="1" t="s">
        <v>209</v>
      </c>
      <c r="H1301" s="1" t="s">
        <v>1068</v>
      </c>
      <c r="I1301" s="1" t="s">
        <v>612</v>
      </c>
      <c r="L1301" s="15" t="s">
        <v>510</v>
      </c>
      <c r="M1301" s="15"/>
      <c r="N1301" s="15"/>
      <c r="O1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301" s="1" t="s">
        <v>860</v>
      </c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301" s="15" t="str">
        <f>_xlfn.TEXTBEFORE(_xlfn.TEXTAFTER(CantoralDB[[#This Row],[index.html]],"&gt;"),"&gt;")&amp;"&gt;"</f>
        <v>&lt;a href="canciones/ricardo_cantalapiedra/pueblo_mio.html"&gt;</v>
      </c>
    </row>
    <row r="1302" spans="1:21" hidden="1" x14ac:dyDescent="0.3">
      <c r="A1302" s="1">
        <f>ROW(CantoralDB[[#This Row],[Título]])-1</f>
        <v>1301</v>
      </c>
      <c r="B1302" s="1" t="s">
        <v>1349</v>
      </c>
      <c r="C1302" s="1"/>
      <c r="E1302" s="1">
        <v>216</v>
      </c>
      <c r="I1302" s="1"/>
      <c r="L1302" s="15" t="s">
        <v>2205</v>
      </c>
      <c r="M1302" s="15"/>
      <c r="N1302" s="15"/>
      <c r="O1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pueblo_que_avanzas_buscando.html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302" s="15" t="str">
        <f>_xlfn.TEXTBEFORE(_xlfn.TEXTAFTER(CantoralDB[[#This Row],[index.html]],"&gt;"),"&gt;")&amp;"&gt;"</f>
        <v>&lt;a href="canciones/nsb/pueblo_que_avanzas_buscando.html"&gt;</v>
      </c>
    </row>
    <row r="1303" spans="1:21" hidden="1" x14ac:dyDescent="0.3">
      <c r="A1303" s="1">
        <f>ROW(CantoralDB[[#This Row],[Título]])-1</f>
        <v>1302</v>
      </c>
      <c r="B1303" s="1" t="s">
        <v>1876</v>
      </c>
      <c r="C1303" s="1"/>
      <c r="I1303" s="1" t="s">
        <v>612</v>
      </c>
      <c r="L1303" s="15" t="s">
        <v>501</v>
      </c>
      <c r="M1303" s="15" t="s">
        <v>1553</v>
      </c>
      <c r="N1303" s="15">
        <v>4</v>
      </c>
      <c r="O1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pueblo_suyo.html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1303" s="15" t="str">
        <f>_xlfn.TEXTBEFORE(_xlfn.TEXTAFTER(CantoralDB[[#This Row],[index.html]],"&gt;"),"&gt;")&amp;"&gt;"</f>
        <v>&lt;a href="canciones/ain_karem/pueblo_suyo.html"&gt;</v>
      </c>
    </row>
    <row r="1304" spans="1:21" hidden="1" x14ac:dyDescent="0.3">
      <c r="A1304" s="1">
        <f>ROW(CantoralDB[[#This Row],[Título]])-1</f>
        <v>1303</v>
      </c>
      <c r="B1304" s="1" t="s">
        <v>118</v>
      </c>
      <c r="C1304" s="1" t="s">
        <v>997</v>
      </c>
      <c r="D1304" s="1" t="s">
        <v>999</v>
      </c>
      <c r="E1304" s="1">
        <v>211</v>
      </c>
      <c r="G1304" s="1" t="s">
        <v>209</v>
      </c>
      <c r="H1304" s="1" t="s">
        <v>1039</v>
      </c>
      <c r="I1304" s="1" t="s">
        <v>612</v>
      </c>
      <c r="L1304" s="15" t="s">
        <v>479</v>
      </c>
      <c r="M1304" s="15"/>
      <c r="N1304" s="15"/>
      <c r="O1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purificame_señor.html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1304" s="15" t="str">
        <f>_xlfn.TEXTBEFORE(_xlfn.TEXTAFTER(CantoralDB[[#This Row],[index.html]],"&gt;"),"&gt;")&amp;"&gt;"</f>
        <v>&lt;a href="canciones/carmelo_erdozain/purificame_señor.html"&gt;</v>
      </c>
    </row>
    <row r="1305" spans="1:21" x14ac:dyDescent="0.3">
      <c r="A1305" s="1">
        <f>ROW(CantoralDB[[#This Row],[Título]])-1</f>
        <v>1304</v>
      </c>
      <c r="B1305" s="1" t="s">
        <v>930</v>
      </c>
      <c r="C1305" s="1" t="s">
        <v>1025</v>
      </c>
      <c r="D1305" s="1" t="s">
        <v>1181</v>
      </c>
      <c r="H1305" s="1" t="s">
        <v>1065</v>
      </c>
      <c r="I1305" s="1" t="s">
        <v>612</v>
      </c>
      <c r="L1305" s="15" t="s">
        <v>1991</v>
      </c>
      <c r="M1305" s="15"/>
      <c r="N1305" s="15"/>
      <c r="O1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1305" s="1" t="s">
        <v>978</v>
      </c>
      <c r="S1305" s="1" t="s">
        <v>788</v>
      </c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305" s="15" t="str">
        <f>_xlfn.TEXTBEFORE(_xlfn.TEXTAFTER(CantoralDB[[#This Row],[index.html]],"&gt;"),"&gt;")&amp;"&gt;"</f>
        <v>&lt;a href="canciones/taize/laudate_dominum.html"&gt;</v>
      </c>
    </row>
    <row r="1306" spans="1:21" hidden="1" x14ac:dyDescent="0.3">
      <c r="A1306" s="1">
        <f>ROW(CantoralDB[[#This Row],[Título]])-1</f>
        <v>1305</v>
      </c>
      <c r="B1306" s="1" t="s">
        <v>119</v>
      </c>
      <c r="C1306" s="1" t="s">
        <v>191</v>
      </c>
      <c r="D1306" s="1" t="s">
        <v>752</v>
      </c>
      <c r="E1306" s="1">
        <v>221</v>
      </c>
      <c r="G1306" s="1" t="s">
        <v>209</v>
      </c>
      <c r="H1306" s="1" t="s">
        <v>1037</v>
      </c>
      <c r="I1306" s="1" t="s">
        <v>612</v>
      </c>
      <c r="L1306" s="15" t="s">
        <v>487</v>
      </c>
      <c r="M1306" s="15"/>
      <c r="N1306" s="15"/>
      <c r="O1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que_alegria_cuando_me_dijeron.html</v>
      </c>
      <c r="R1306" s="1" t="s">
        <v>861</v>
      </c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1306" s="15" t="str">
        <f>_xlfn.TEXTBEFORE(_xlfn.TEXTAFTER(CantoralDB[[#This Row],[index.html]],"&gt;"),"&gt;")&amp;"&gt;"</f>
        <v>&lt;a href="canciones/miguel_manzano/que_alegria_cuando_me_dijeron.html"&gt;</v>
      </c>
    </row>
    <row r="1307" spans="1:21" hidden="1" x14ac:dyDescent="0.3">
      <c r="A1307" s="1">
        <f>ROW(CantoralDB[[#This Row],[Título]])-1</f>
        <v>1306</v>
      </c>
      <c r="B1307" s="1" t="s">
        <v>2013</v>
      </c>
      <c r="C1307" s="1"/>
      <c r="I1307" s="1" t="s">
        <v>612</v>
      </c>
      <c r="L1307" s="15" t="s">
        <v>261</v>
      </c>
      <c r="M1307" s="15"/>
      <c r="N1307" s="15"/>
      <c r="O1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que_bien_se_esta_cuando_se_esta_bien.html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1307" s="15" t="str">
        <f>_xlfn.TEXTBEFORE(_xlfn.TEXTAFTER(CantoralDB[[#This Row],[index.html]],"&gt;"),"&gt;")&amp;"&gt;"</f>
        <v>&lt;a href="canciones/hakuna/que_bien_se_esta_cuando_se_esta_bien.html"&gt;</v>
      </c>
    </row>
    <row r="1308" spans="1:21" hidden="1" x14ac:dyDescent="0.3">
      <c r="A1308" s="1">
        <f>ROW(CantoralDB[[#This Row],[Título]])-1</f>
        <v>1307</v>
      </c>
      <c r="B1308" s="1" t="s">
        <v>3278</v>
      </c>
      <c r="C1308" s="1"/>
      <c r="I1308" s="1"/>
      <c r="L1308" s="15" t="s">
        <v>3160</v>
      </c>
      <c r="M1308" s="15" t="s">
        <v>891</v>
      </c>
      <c r="N1308" s="15">
        <v>7</v>
      </c>
      <c r="O1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que_brille_tu_rostro.html</v>
      </c>
      <c r="R1308" s="1" t="s">
        <v>3286</v>
      </c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href="canciones/hermana_glenda/que_brille_tu_rostro.html"&gt;Que brille tu rostro&lt;/a&gt;&lt;/li&gt;</v>
      </c>
      <c r="U1308" s="15" t="str">
        <f>_xlfn.TEXTBEFORE(_xlfn.TEXTAFTER(CantoralDB[[#This Row],[index.html]],"&gt;"),"&gt;")&amp;"&gt;"</f>
        <v>&lt;a href="canciones/hermana_glenda/que_brille_tu_rostro.html"&gt;</v>
      </c>
    </row>
    <row r="1309" spans="1:21" hidden="1" x14ac:dyDescent="0.3">
      <c r="A1309" s="1">
        <f>ROW(CantoralDB[[#This Row],[Título]])-1</f>
        <v>1308</v>
      </c>
      <c r="B1309" s="1" t="s">
        <v>3537</v>
      </c>
      <c r="C1309" s="1"/>
      <c r="F1309" s="1">
        <v>189</v>
      </c>
      <c r="I1309" s="1"/>
      <c r="L1309" s="15" t="s">
        <v>3347</v>
      </c>
      <c r="M1309" s="15"/>
      <c r="N1309" s="15"/>
      <c r="O1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que_bueno_es_alabarte.html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1309" s="15" t="str">
        <f>_xlfn.TEXTBEFORE(_xlfn.TEXTAFTER(CantoralDB[[#This Row],[index.html]],"&gt;"),"&gt;")&amp;"&gt;"</f>
        <v>&lt;a href="canciones/luis_alfredo_diaz/que_bueno_es_alabarte.html"&gt;</v>
      </c>
    </row>
    <row r="1310" spans="1:21" x14ac:dyDescent="0.3">
      <c r="A1310" s="1">
        <f>ROW(CantoralDB[[#This Row],[Título]])-1</f>
        <v>1309</v>
      </c>
      <c r="B1310" s="1" t="s">
        <v>894</v>
      </c>
      <c r="C1310" s="1" t="s">
        <v>1025</v>
      </c>
      <c r="D1310" s="1" t="s">
        <v>1135</v>
      </c>
      <c r="H1310" s="1" t="s">
        <v>1069</v>
      </c>
      <c r="I1310" s="1" t="s">
        <v>612</v>
      </c>
      <c r="L1310" s="15" t="s">
        <v>1991</v>
      </c>
      <c r="M1310" s="15"/>
      <c r="N1310" s="15"/>
      <c r="O1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1310" s="1" t="s">
        <v>958</v>
      </c>
      <c r="S1310" s="1" t="s">
        <v>323</v>
      </c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310" s="15" t="str">
        <f>_xlfn.TEXTBEFORE(_xlfn.TEXTAFTER(CantoralDB[[#This Row],[index.html]],"&gt;"),"&gt;")&amp;"&gt;"</f>
        <v>&lt;a href="canciones/taize/bonum_est_confidere.html"&gt;</v>
      </c>
    </row>
    <row r="1311" spans="1:21" hidden="1" x14ac:dyDescent="0.3">
      <c r="A1311" s="1">
        <f>ROW(CantoralDB[[#This Row],[Título]])-1</f>
        <v>1310</v>
      </c>
      <c r="B1311" s="1" t="s">
        <v>3483</v>
      </c>
      <c r="C1311" s="1"/>
      <c r="F1311" s="1">
        <v>140</v>
      </c>
      <c r="I1311" s="1"/>
      <c r="L1311" s="15" t="s">
        <v>3354</v>
      </c>
      <c r="M1311" s="15"/>
      <c r="N1311" s="15"/>
      <c r="O1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que_deseables.html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1311" s="15" t="str">
        <f>_xlfn.TEXTBEFORE(_xlfn.TEXTAFTER(CantoralDB[[#This Row],[index.html]],"&gt;"),"&gt;")&amp;"&gt;"</f>
        <v>&lt;a href="canciones/lazaro_iparraguirre/que_deseables.html"&gt;</v>
      </c>
    </row>
    <row r="1312" spans="1:21" hidden="1" x14ac:dyDescent="0.3">
      <c r="A1312" s="1">
        <f>ROW(CantoralDB[[#This Row],[Título]])-1</f>
        <v>1311</v>
      </c>
      <c r="B1312" s="1" t="s">
        <v>1352</v>
      </c>
      <c r="C1312" s="1"/>
      <c r="E1312" s="1">
        <v>223</v>
      </c>
      <c r="I1312" s="1"/>
      <c r="L1312" s="15" t="s">
        <v>2206</v>
      </c>
      <c r="M1312" s="15"/>
      <c r="N1312" s="15"/>
      <c r="O1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que_detalle_señor.html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1312" s="15" t="str">
        <f>_xlfn.TEXTBEFORE(_xlfn.TEXTAFTER(CantoralDB[[#This Row],[index.html]],"&gt;"),"&gt;")&amp;"&gt;"</f>
        <v>&lt;a href="canciones/fernando_viejo/que_detalle_señor.html"&gt;</v>
      </c>
    </row>
    <row r="1313" spans="1:21" hidden="1" x14ac:dyDescent="0.3">
      <c r="A1313" s="1">
        <f>ROW(CantoralDB[[#This Row],[Título]])-1</f>
        <v>1312</v>
      </c>
      <c r="B1313" s="1" t="s">
        <v>3149</v>
      </c>
      <c r="C1313" s="1"/>
      <c r="I1313" s="1" t="s">
        <v>612</v>
      </c>
      <c r="L1313" s="15" t="s">
        <v>481</v>
      </c>
      <c r="M1313" s="15" t="s">
        <v>1974</v>
      </c>
      <c r="N1313" s="15">
        <v>11</v>
      </c>
      <c r="O1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que_en_nuestros_dias_reine_la_paz.html</v>
      </c>
      <c r="R1313" s="1" t="s">
        <v>3138</v>
      </c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1313" s="15" t="str">
        <f>_xlfn.TEXTBEFORE(_xlfn.TEXTAFTER(CantoralDB[[#This Row],[index.html]],"&gt;"),"&gt;")&amp;"&gt;"</f>
        <v>&lt;a href="canciones/francisco_palazon/que_en_nuestros_dias_reine_la_paz.html"&gt;</v>
      </c>
    </row>
    <row r="1314" spans="1:21" hidden="1" x14ac:dyDescent="0.3">
      <c r="A1314" s="1">
        <f>ROW(CantoralDB[[#This Row],[Título]])-1</f>
        <v>1313</v>
      </c>
      <c r="B1314" s="1" t="s">
        <v>1353</v>
      </c>
      <c r="C1314" s="1"/>
      <c r="E1314" s="1">
        <v>224</v>
      </c>
      <c r="I1314" s="1"/>
      <c r="L1314" s="15" t="s">
        <v>2158</v>
      </c>
      <c r="M1314" s="15"/>
      <c r="N1314" s="15"/>
      <c r="O1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que_facil_es_decir_si.html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314" s="15" t="str">
        <f>_xlfn.TEXTBEFORE(_xlfn.TEXTAFTER(CantoralDB[[#This Row],[index.html]],"&gt;"),"&gt;")&amp;"&gt;"</f>
        <v>&lt;a href="canciones/nsb/que_facil_es_decir_si.html"&gt;</v>
      </c>
    </row>
    <row r="1315" spans="1:21" hidden="1" x14ac:dyDescent="0.3">
      <c r="A1315" s="1">
        <f>ROW(CantoralDB[[#This Row],[Título]])-1</f>
        <v>1314</v>
      </c>
      <c r="B1315" s="1" t="s">
        <v>2174</v>
      </c>
      <c r="C1315" s="1"/>
      <c r="I1315" s="1"/>
      <c r="L1315" s="15" t="s">
        <v>481</v>
      </c>
      <c r="M1315" s="15" t="s">
        <v>1975</v>
      </c>
      <c r="N1315" s="15">
        <v>6</v>
      </c>
      <c r="O1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que_la_lengua_humana.html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1315" s="15" t="str">
        <f>_xlfn.TEXTBEFORE(_xlfn.TEXTAFTER(CantoralDB[[#This Row],[index.html]],"&gt;"),"&gt;")&amp;"&gt;"</f>
        <v>&lt;a href="canciones/francisco_palazon/que_la_lengua_humana.html"&gt;</v>
      </c>
    </row>
    <row r="1316" spans="1:21" hidden="1" x14ac:dyDescent="0.3">
      <c r="A1316" s="1">
        <f>ROW(CantoralDB[[#This Row],[Título]])-1</f>
        <v>1315</v>
      </c>
      <c r="B1316" s="1" t="s">
        <v>3205</v>
      </c>
      <c r="C1316" s="1"/>
      <c r="I1316" s="1"/>
      <c r="L1316" s="15" t="s">
        <v>3160</v>
      </c>
      <c r="M1316" s="15" t="s">
        <v>3192</v>
      </c>
      <c r="N1316" s="15">
        <v>14</v>
      </c>
      <c r="O1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que_nadie_lo_miraba.html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href="canciones/hermana_glenda/que_nadie_lo_miraba.html"&gt;Que nadie lo miraba&lt;/a&gt;&lt;/li&gt;</v>
      </c>
      <c r="U1316" s="15" t="str">
        <f>_xlfn.TEXTBEFORE(_xlfn.TEXTAFTER(CantoralDB[[#This Row],[index.html]],"&gt;"),"&gt;")&amp;"&gt;"</f>
        <v>&lt;a href="canciones/hermana_glenda/que_nadie_lo_miraba.html"&gt;</v>
      </c>
    </row>
    <row r="1317" spans="1:21" hidden="1" x14ac:dyDescent="0.3">
      <c r="A1317" s="1">
        <f>ROW(CantoralDB[[#This Row],[Título]])-1</f>
        <v>1316</v>
      </c>
      <c r="B1317" s="1" t="s">
        <v>1702</v>
      </c>
      <c r="C1317" s="1"/>
      <c r="I1317" s="1"/>
      <c r="L1317" s="15" t="s">
        <v>484</v>
      </c>
      <c r="M1317" s="15" t="s">
        <v>1578</v>
      </c>
      <c r="N1317" s="15">
        <v>9</v>
      </c>
      <c r="O1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que_no_nos_den_el_pan_bañado_en_sangre.html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1317" s="15" t="str">
        <f>_xlfn.TEXTBEFORE(_xlfn.TEXTAFTER(CantoralDB[[#This Row],[index.html]],"&gt;"),"&gt;")&amp;"&gt;"</f>
        <v>&lt;a href="canciones/kairoi/que_no_nos_den_el_pan_bañado_en_sangre.html"&gt;</v>
      </c>
    </row>
    <row r="1318" spans="1:21" hidden="1" x14ac:dyDescent="0.3">
      <c r="A1318" s="1">
        <f>ROW(CantoralDB[[#This Row],[Título]])-1</f>
        <v>1317</v>
      </c>
      <c r="B1318" s="1" t="s">
        <v>2018</v>
      </c>
      <c r="C1318" s="1"/>
      <c r="I1318" s="1" t="s">
        <v>612</v>
      </c>
      <c r="L1318" s="15" t="s">
        <v>261</v>
      </c>
      <c r="M1318" s="15"/>
      <c r="N1318" s="15"/>
      <c r="O1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que_no_se_pierda_ninguno.html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1318" s="15" t="str">
        <f>_xlfn.TEXTBEFORE(_xlfn.TEXTAFTER(CantoralDB[[#This Row],[index.html]],"&gt;"),"&gt;")&amp;"&gt;"</f>
        <v>&lt;a href="canciones/hakuna/que_no_se_pierda_ninguno.html"&gt;</v>
      </c>
    </row>
    <row r="1319" spans="1:21" hidden="1" x14ac:dyDescent="0.3">
      <c r="A1319" s="1">
        <f>ROW(CantoralDB[[#This Row],[Título]])-1</f>
        <v>1318</v>
      </c>
      <c r="B1319" s="1" t="s">
        <v>3695</v>
      </c>
      <c r="C1319" s="1"/>
      <c r="F1319" s="1">
        <v>358</v>
      </c>
      <c r="I1319" s="1"/>
      <c r="L1319" s="15" t="s">
        <v>3644</v>
      </c>
      <c r="M1319" s="15"/>
      <c r="N1319" s="15"/>
      <c r="O1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que_nuestro_dios_te_guarde.html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data-author="Gocam"&gt;&lt;a href="canciones/nuevas/que_nuestro_dios_te_guarde.html"&gt;Que nuestro Dios te guarde&lt;/a&gt;&lt;/li&gt;</v>
      </c>
      <c r="U1319" s="15" t="str">
        <f>_xlfn.TEXTBEFORE(_xlfn.TEXTAFTER(CantoralDB[[#This Row],[index.html]],"&gt;"),"&gt;")&amp;"&gt;"</f>
        <v>&lt;a href="canciones/nuevas/que_nuestro_dios_te_guarde.html"&gt;</v>
      </c>
    </row>
    <row r="1320" spans="1:21" hidden="1" x14ac:dyDescent="0.3">
      <c r="A1320" s="1">
        <f>ROW(CantoralDB[[#This Row],[Título]])-1</f>
        <v>1319</v>
      </c>
      <c r="B1320" s="1" t="s">
        <v>1833</v>
      </c>
      <c r="C1320" s="1"/>
      <c r="I1320" s="1" t="s">
        <v>612</v>
      </c>
      <c r="L1320" s="15" t="s">
        <v>501</v>
      </c>
      <c r="M1320" s="15" t="s">
        <v>1551</v>
      </c>
      <c r="N1320" s="15">
        <v>2</v>
      </c>
      <c r="O1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que_se_alegren_tus_entrañas.html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1320" s="15" t="str">
        <f>_xlfn.TEXTBEFORE(_xlfn.TEXTAFTER(CantoralDB[[#This Row],[index.html]],"&gt;"),"&gt;")&amp;"&gt;"</f>
        <v>&lt;a href="canciones/ain_karem/que_se_alegren_tus_entrañas.html"&gt;</v>
      </c>
    </row>
    <row r="1321" spans="1:21" hidden="1" x14ac:dyDescent="0.3">
      <c r="A1321" s="1">
        <f>ROW(CantoralDB[[#This Row],[Título]])-1</f>
        <v>1320</v>
      </c>
      <c r="B1321" s="1" t="s">
        <v>265</v>
      </c>
      <c r="C1321" s="1" t="s">
        <v>199</v>
      </c>
      <c r="D1321" s="1" t="s">
        <v>1499</v>
      </c>
      <c r="G1321" s="1" t="s">
        <v>266</v>
      </c>
      <c r="H1321" s="1" t="s">
        <v>532</v>
      </c>
      <c r="I1321" s="1" t="s">
        <v>612</v>
      </c>
      <c r="L1321" s="15" t="s">
        <v>499</v>
      </c>
      <c r="M1321" s="15"/>
      <c r="N1321" s="15"/>
      <c r="O1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que_sea_mi_vida_la_sal.html</v>
      </c>
      <c r="R1321" s="1" t="s">
        <v>819</v>
      </c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321" s="15" t="str">
        <f>_xlfn.TEXTBEFORE(_xlfn.TEXTAFTER(CantoralDB[[#This Row],[index.html]],"&gt;"),"&gt;")&amp;"&gt;"</f>
        <v>&lt;a href="canciones/brotes_de_olivo/que_sea_mi_vida_la_sal.html"&gt;</v>
      </c>
    </row>
    <row r="1322" spans="1:21" hidden="1" x14ac:dyDescent="0.3">
      <c r="A1322" s="1">
        <f>ROW(CantoralDB[[#This Row],[Título]])-1</f>
        <v>1321</v>
      </c>
      <c r="B1322" s="1" t="s">
        <v>1695</v>
      </c>
      <c r="C1322" s="1"/>
      <c r="I1322" s="1"/>
      <c r="L1322" s="15" t="s">
        <v>484</v>
      </c>
      <c r="M1322" s="15" t="s">
        <v>1536</v>
      </c>
      <c r="N1322" s="15">
        <v>5</v>
      </c>
      <c r="O1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que_sepamos_estar.html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1322" s="15" t="str">
        <f>_xlfn.TEXTBEFORE(_xlfn.TEXTAFTER(CantoralDB[[#This Row],[index.html]],"&gt;"),"&gt;")&amp;"&gt;"</f>
        <v>&lt;a href="canciones/kairoi/que_sepamos_estar.html"&gt;</v>
      </c>
    </row>
    <row r="1323" spans="1:21" hidden="1" x14ac:dyDescent="0.3">
      <c r="A1323" s="1">
        <f>ROW(CantoralDB[[#This Row],[Título]])-1</f>
        <v>1322</v>
      </c>
      <c r="B1323" s="1" t="s">
        <v>3792</v>
      </c>
      <c r="C1323" s="1"/>
      <c r="F1323" s="1">
        <v>437</v>
      </c>
      <c r="I1323" s="1"/>
      <c r="L1323" s="15" t="s">
        <v>3104</v>
      </c>
      <c r="M1323" s="15"/>
      <c r="N1323" s="15"/>
      <c r="O1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que_seria_de_mi.html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1323" s="15" t="str">
        <f>_xlfn.TEXTBEFORE(_xlfn.TEXTAFTER(CantoralDB[[#This Row],[index.html]],"&gt;"),"&gt;")&amp;"&gt;"</f>
        <v>&lt;a href="canciones/nuevas/que_seria_de_mi.html"&gt;</v>
      </c>
    </row>
    <row r="1324" spans="1:21" hidden="1" x14ac:dyDescent="0.3">
      <c r="A1324" s="1">
        <f>ROW(CantoralDB[[#This Row],[Título]])-1</f>
        <v>1323</v>
      </c>
      <c r="B1324" s="1" t="s">
        <v>120</v>
      </c>
      <c r="C1324" s="1" t="s">
        <v>195</v>
      </c>
      <c r="D1324" s="1" t="s">
        <v>772</v>
      </c>
      <c r="E1324" s="1">
        <v>450</v>
      </c>
      <c r="F1324" s="1">
        <v>401</v>
      </c>
      <c r="G1324" s="1" t="s">
        <v>209</v>
      </c>
      <c r="H1324" s="1" t="s">
        <v>1039</v>
      </c>
      <c r="I1324" s="1" t="s">
        <v>612</v>
      </c>
      <c r="L1324" s="15" t="s">
        <v>3347</v>
      </c>
      <c r="M1324" s="15"/>
      <c r="N1324" s="15"/>
      <c r="O1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que_te_puedo_dar.html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1324" s="15" t="str">
        <f>_xlfn.TEXTBEFORE(_xlfn.TEXTAFTER(CantoralDB[[#This Row],[index.html]],"&gt;"),"&gt;")&amp;"&gt;"</f>
        <v>&lt;a href="canciones/luis_alfredo_diaz/que_te_puedo_dar.html"&gt;</v>
      </c>
    </row>
    <row r="1325" spans="1:21" hidden="1" x14ac:dyDescent="0.3">
      <c r="A1325" s="1">
        <f>ROW(CantoralDB[[#This Row],[Título]])-1</f>
        <v>1324</v>
      </c>
      <c r="B1325" s="1" t="s">
        <v>121</v>
      </c>
      <c r="C1325" s="1" t="s">
        <v>997</v>
      </c>
      <c r="D1325" s="1" t="s">
        <v>1000</v>
      </c>
      <c r="E1325" s="1">
        <v>217</v>
      </c>
      <c r="G1325" s="1" t="s">
        <v>209</v>
      </c>
      <c r="H1325" s="1" t="s">
        <v>1034</v>
      </c>
      <c r="I1325" s="1" t="s">
        <v>612</v>
      </c>
      <c r="L1325" s="15" t="s">
        <v>486</v>
      </c>
      <c r="M1325" s="15"/>
      <c r="N1325" s="15"/>
      <c r="O1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que_tendra_lo_pequeño.html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325" s="15" t="str">
        <f>_xlfn.TEXTBEFORE(_xlfn.TEXTAFTER(CantoralDB[[#This Row],[index.html]],"&gt;"),"&gt;")&amp;"&gt;"</f>
        <v>&lt;a href="canciones/antonio_alcalde/que_tendra_lo_pequeño.html"&gt;</v>
      </c>
    </row>
    <row r="1326" spans="1:21" hidden="1" x14ac:dyDescent="0.3">
      <c r="A1326" s="1">
        <f>ROW(CantoralDB[[#This Row],[Título]])-1</f>
        <v>1325</v>
      </c>
      <c r="B1326" s="1" t="s">
        <v>3768</v>
      </c>
      <c r="C1326" s="1"/>
      <c r="F1326" s="1">
        <v>417</v>
      </c>
      <c r="I1326" s="1"/>
      <c r="L1326" s="15" t="s">
        <v>594</v>
      </c>
      <c r="M1326" s="15"/>
      <c r="N1326" s="15"/>
      <c r="O1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que_tendras_tu.html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1326" s="15" t="str">
        <f>_xlfn.TEXTBEFORE(_xlfn.TEXTAFTER(CantoralDB[[#This Row],[index.html]],"&gt;"),"&gt;")&amp;"&gt;"</f>
        <v>&lt;a href="canciones/alejandro_ruiz/que_tendras_tu.html"&gt;</v>
      </c>
    </row>
    <row r="1327" spans="1:21" x14ac:dyDescent="0.3">
      <c r="A1327" s="1">
        <f>ROW(CantoralDB[[#This Row],[Título]])-1</f>
        <v>1326</v>
      </c>
      <c r="B1327" s="1" t="s">
        <v>931</v>
      </c>
      <c r="C1327" s="1" t="s">
        <v>1025</v>
      </c>
      <c r="D1327" s="1" t="s">
        <v>1182</v>
      </c>
      <c r="F1327" s="1">
        <v>429</v>
      </c>
      <c r="H1327" s="1" t="s">
        <v>1049</v>
      </c>
      <c r="I1327" s="1" t="s">
        <v>612</v>
      </c>
      <c r="L1327" s="15" t="s">
        <v>1991</v>
      </c>
      <c r="M1327" s="15"/>
      <c r="N1327" s="15"/>
      <c r="O1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1327" s="1" t="s">
        <v>978</v>
      </c>
      <c r="S1327" s="1" t="s">
        <v>789</v>
      </c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327" s="15" t="str">
        <f>_xlfn.TEXTBEFORE(_xlfn.TEXTAFTER(CantoralDB[[#This Row],[index.html]],"&gt;"),"&gt;")&amp;"&gt;"</f>
        <v>&lt;a href="canciones/taize/laudate_omnes_gentes.html"&gt;</v>
      </c>
    </row>
    <row r="1328" spans="1:21" hidden="1" x14ac:dyDescent="0.3">
      <c r="A1328" s="1">
        <f>ROW(CantoralDB[[#This Row],[Título]])-1</f>
        <v>1327</v>
      </c>
      <c r="B1328" s="1" t="s">
        <v>240</v>
      </c>
      <c r="C1328" s="1" t="s">
        <v>997</v>
      </c>
      <c r="D1328" s="1" t="s">
        <v>1001</v>
      </c>
      <c r="G1328" s="1" t="s">
        <v>220</v>
      </c>
      <c r="H1328" s="1" t="s">
        <v>1034</v>
      </c>
      <c r="I1328" s="1" t="s">
        <v>612</v>
      </c>
      <c r="L1328" s="15" t="s">
        <v>482</v>
      </c>
      <c r="M1328" s="15" t="s">
        <v>1893</v>
      </c>
      <c r="N1328" s="15">
        <v>4</v>
      </c>
      <c r="O1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que_tu_palabra_nos_cambie_el_corazon.html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328" s="15" t="str">
        <f>_xlfn.TEXTBEFORE(_xlfn.TEXTAFTER(CantoralDB[[#This Row],[index.html]],"&gt;"),"&gt;")&amp;"&gt;"</f>
        <v>&lt;a href="canciones/toño_casado/que_tu_palabra_nos_cambie_el_corazon.html"&gt;</v>
      </c>
    </row>
    <row r="1329" spans="1:21" x14ac:dyDescent="0.3">
      <c r="A1329" s="1">
        <f>ROW(CantoralDB[[#This Row],[Título]])-1</f>
        <v>1328</v>
      </c>
      <c r="B1329" s="1" t="s">
        <v>932</v>
      </c>
      <c r="C1329" s="1" t="s">
        <v>1025</v>
      </c>
      <c r="D1329" s="1" t="s">
        <v>1183</v>
      </c>
      <c r="H1329" s="1" t="s">
        <v>1041</v>
      </c>
      <c r="I1329" s="1" t="s">
        <v>612</v>
      </c>
      <c r="L1329" s="15" t="s">
        <v>1991</v>
      </c>
      <c r="M1329" s="15"/>
      <c r="N1329" s="15"/>
      <c r="O1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1329" s="1" t="s">
        <v>979</v>
      </c>
      <c r="S1329" s="1" t="s">
        <v>408</v>
      </c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329" s="15" t="str">
        <f>_xlfn.TEXTBEFORE(_xlfn.TEXTAFTER(CantoralDB[[#This Row],[index.html]],"&gt;"),"&gt;")&amp;"&gt;"</f>
        <v>&lt;a href="canciones/taize/let_all_who_are_thirsty_come.html"&gt;</v>
      </c>
    </row>
    <row r="1330" spans="1:21" hidden="1" x14ac:dyDescent="0.3">
      <c r="A1330" s="1">
        <f>ROW(CantoralDB[[#This Row],[Título]])-1</f>
        <v>1329</v>
      </c>
      <c r="B1330" s="1" t="s">
        <v>122</v>
      </c>
      <c r="C1330" s="1" t="s">
        <v>191</v>
      </c>
      <c r="D1330" s="1" t="s">
        <v>753</v>
      </c>
      <c r="E1330" s="1">
        <v>220</v>
      </c>
      <c r="G1330" s="1" t="s">
        <v>209</v>
      </c>
      <c r="H1330" s="1" t="s">
        <v>533</v>
      </c>
      <c r="I1330" s="1" t="s">
        <v>612</v>
      </c>
      <c r="L1330" s="15" t="s">
        <v>491</v>
      </c>
      <c r="M1330" s="15"/>
      <c r="N1330" s="15"/>
      <c r="O1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que_ves_en_la_noche.html</v>
      </c>
      <c r="R1330" s="1" t="s">
        <v>862</v>
      </c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1330" s="15" t="str">
        <f>_xlfn.TEXTBEFORE(_xlfn.TEXTAFTER(CantoralDB[[#This Row],[index.html]],"&gt;"),"&gt;")&amp;"&gt;"</f>
        <v>&lt;a href="canciones/juan_antonio_espinosa/que_ves_en_la_noche.html"&gt;</v>
      </c>
    </row>
    <row r="1331" spans="1:21" hidden="1" x14ac:dyDescent="0.3">
      <c r="A1331" s="1">
        <f>ROW(CantoralDB[[#This Row],[Título]])-1</f>
        <v>1330</v>
      </c>
      <c r="B1331" s="1" t="s">
        <v>1757</v>
      </c>
      <c r="C1331" s="1"/>
      <c r="I1331" s="1"/>
      <c r="L1331" s="15" t="s">
        <v>484</v>
      </c>
      <c r="M1331" s="15" t="s">
        <v>1543</v>
      </c>
      <c r="N1331" s="15">
        <v>8</v>
      </c>
      <c r="O1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que_vuestro_corazon_no_se_turbe.html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1331" s="15" t="str">
        <f>_xlfn.TEXTBEFORE(_xlfn.TEXTAFTER(CantoralDB[[#This Row],[index.html]],"&gt;"),"&gt;")&amp;"&gt;"</f>
        <v>&lt;a href="canciones/kairoi/que_vuestro_corazon_no_se_turbe.html"&gt;</v>
      </c>
    </row>
    <row r="1332" spans="1:21" hidden="1" x14ac:dyDescent="0.3">
      <c r="A1332" s="1">
        <f>ROW(CantoralDB[[#This Row],[Título]])-1</f>
        <v>1331</v>
      </c>
      <c r="B1332" s="1" t="s">
        <v>1877</v>
      </c>
      <c r="C1332" s="1"/>
      <c r="I1332" s="1" t="s">
        <v>612</v>
      </c>
      <c r="L1332" s="15" t="s">
        <v>501</v>
      </c>
      <c r="M1332" s="15" t="s">
        <v>1553</v>
      </c>
      <c r="N1332" s="15">
        <v>5</v>
      </c>
      <c r="O1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quedas_libre.html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1332" s="15" t="str">
        <f>_xlfn.TEXTBEFORE(_xlfn.TEXTAFTER(CantoralDB[[#This Row],[index.html]],"&gt;"),"&gt;")&amp;"&gt;"</f>
        <v>&lt;a href="canciones/ain_karem/quedas_libre.html"&gt;</v>
      </c>
    </row>
    <row r="1333" spans="1:21" hidden="1" x14ac:dyDescent="0.3">
      <c r="A1333" s="1">
        <f>ROW(CantoralDB[[#This Row],[Título]])-1</f>
        <v>1332</v>
      </c>
      <c r="B1333" s="1" t="s">
        <v>1614</v>
      </c>
      <c r="C1333" s="1"/>
      <c r="I1333" s="1" t="s">
        <v>612</v>
      </c>
      <c r="L1333" s="15" t="s">
        <v>484</v>
      </c>
      <c r="M1333" s="15" t="s">
        <v>1532</v>
      </c>
      <c r="N1333" s="15">
        <v>3</v>
      </c>
      <c r="O1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quedate_aqui_señor.html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1333" s="15" t="str">
        <f>_xlfn.TEXTBEFORE(_xlfn.TEXTAFTER(CantoralDB[[#This Row],[index.html]],"&gt;"),"&gt;")&amp;"&gt;"</f>
        <v>&lt;a href="canciones/kairoi/quedate_aqui_señor.html"&gt;</v>
      </c>
    </row>
    <row r="1334" spans="1:21" hidden="1" x14ac:dyDescent="0.3">
      <c r="A1334" s="1">
        <f>ROW(CantoralDB[[#This Row],[Título]])-1</f>
        <v>1333</v>
      </c>
      <c r="B1334" s="1" t="s">
        <v>123</v>
      </c>
      <c r="C1334" s="1" t="s">
        <v>997</v>
      </c>
      <c r="D1334" s="1" t="s">
        <v>1002</v>
      </c>
      <c r="E1334" s="1">
        <v>222</v>
      </c>
      <c r="G1334" s="1" t="s">
        <v>209</v>
      </c>
      <c r="H1334" s="1" t="s">
        <v>533</v>
      </c>
      <c r="I1334" s="1" t="s">
        <v>612</v>
      </c>
      <c r="L1334" s="15" t="s">
        <v>491</v>
      </c>
      <c r="M1334" s="15"/>
      <c r="N1334" s="15"/>
      <c r="O1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quedate_con_nosotros.html</v>
      </c>
      <c r="R1334" s="1" t="s">
        <v>809</v>
      </c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1334" s="15" t="str">
        <f>_xlfn.TEXTBEFORE(_xlfn.TEXTAFTER(CantoralDB[[#This Row],[index.html]],"&gt;"),"&gt;")&amp;"&gt;"</f>
        <v>&lt;a href="canciones/juan_antonio_espinosa/quedate_con_nosotros.html"&gt;</v>
      </c>
    </row>
    <row r="1335" spans="1:21" hidden="1" x14ac:dyDescent="0.3">
      <c r="A1335" s="1">
        <f>ROW(CantoralDB[[#This Row],[Título]])-1</f>
        <v>1334</v>
      </c>
      <c r="B1335" s="1" t="s">
        <v>1622</v>
      </c>
      <c r="C1335" s="1"/>
      <c r="I1335" s="1" t="s">
        <v>612</v>
      </c>
      <c r="L1335" s="15" t="s">
        <v>484</v>
      </c>
      <c r="M1335" s="15" t="s">
        <v>1536</v>
      </c>
      <c r="N1335" s="15">
        <v>6</v>
      </c>
      <c r="O1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quejate_si_puedes.html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1335" s="15" t="str">
        <f>_xlfn.TEXTBEFORE(_xlfn.TEXTAFTER(CantoralDB[[#This Row],[index.html]],"&gt;"),"&gt;")&amp;"&gt;"</f>
        <v>&lt;a href="canciones/kairoi/quejate_si_puedes.html"&gt;</v>
      </c>
    </row>
    <row r="1336" spans="1:21" hidden="1" x14ac:dyDescent="0.3">
      <c r="A1336" s="1">
        <f>ROW(CantoralDB[[#This Row],[Título]])-1</f>
        <v>1335</v>
      </c>
      <c r="B1336" s="1" t="s">
        <v>3774</v>
      </c>
      <c r="C1336" s="1"/>
      <c r="F1336" s="1">
        <v>422</v>
      </c>
      <c r="I1336" s="1"/>
      <c r="L1336" s="15" t="s">
        <v>3778</v>
      </c>
      <c r="M1336" s="15"/>
      <c r="N1336" s="15"/>
      <c r="O1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queremos_a_cristo_proclamar.html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1336" s="15" t="str">
        <f>_xlfn.TEXTBEFORE(_xlfn.TEXTAFTER(CantoralDB[[#This Row],[index.html]],"&gt;"),"&gt;")&amp;"&gt;"</f>
        <v>&lt;a href="canciones/nuevas/queremos_a_cristo_proclamar.html"&gt;</v>
      </c>
    </row>
    <row r="1337" spans="1:21" hidden="1" x14ac:dyDescent="0.3">
      <c r="A1337" s="1">
        <f>ROW(CantoralDB[[#This Row],[Título]])-1</f>
        <v>1336</v>
      </c>
      <c r="B1337" s="1" t="s">
        <v>3674</v>
      </c>
      <c r="C1337" s="1"/>
      <c r="F1337" s="1">
        <v>342</v>
      </c>
      <c r="I1337" s="1"/>
      <c r="L1337" s="15" t="s">
        <v>799</v>
      </c>
      <c r="M1337" s="15"/>
      <c r="N1337" s="15"/>
      <c r="O1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queremos_ser.html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href="canciones/nuevas/queremos_ser.html"&gt;Queremos ser&lt;/a&gt;&lt;/li&gt;</v>
      </c>
      <c r="U1337" s="15" t="str">
        <f>_xlfn.TEXTBEFORE(_xlfn.TEXTAFTER(CantoralDB[[#This Row],[index.html]],"&gt;"),"&gt;")&amp;"&gt;"</f>
        <v>&lt;a href="canciones/nuevas/queremos_ser.html"&gt;</v>
      </c>
    </row>
    <row r="1338" spans="1:21" hidden="1" x14ac:dyDescent="0.3">
      <c r="A1338" s="1">
        <f>ROW(CantoralDB[[#This Row],[Título]])-1</f>
        <v>1337</v>
      </c>
      <c r="B1338" s="1" t="s">
        <v>2212</v>
      </c>
      <c r="C1338" s="1"/>
      <c r="I1338" s="1" t="s">
        <v>612</v>
      </c>
      <c r="L1338" s="15" t="s">
        <v>1804</v>
      </c>
      <c r="M1338" s="15" t="s">
        <v>1952</v>
      </c>
      <c r="N1338" s="15">
        <v>9</v>
      </c>
      <c r="O1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quien_amo_primero.html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338" s="15" t="str">
        <f>_xlfn.TEXTBEFORE(_xlfn.TEXTAFTER(CantoralDB[[#This Row],[index.html]],"&gt;"),"&gt;")&amp;"&gt;"</f>
        <v>&lt;a href="canciones/ruah/quien_amo_primero.html"&gt;</v>
      </c>
    </row>
    <row r="1339" spans="1:21" hidden="1" x14ac:dyDescent="0.3">
      <c r="A1339" s="1">
        <f>ROW(CantoralDB[[#This Row],[Título]])-1</f>
        <v>1338</v>
      </c>
      <c r="B1339" s="1" t="s">
        <v>3262</v>
      </c>
      <c r="C1339" s="1"/>
      <c r="I1339" s="1"/>
      <c r="L1339" s="15" t="s">
        <v>3160</v>
      </c>
      <c r="M1339" s="15" t="s">
        <v>3248</v>
      </c>
      <c r="N1339" s="15">
        <v>16</v>
      </c>
      <c r="O1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href="canciones/hermana_glenda/quien_eres_tu.html"&gt;Quién eres tú&lt;/a&gt;&lt;/li&gt;</v>
      </c>
      <c r="U1339" s="15" t="str">
        <f>_xlfn.TEXTBEFORE(_xlfn.TEXTAFTER(CantoralDB[[#This Row],[index.html]],"&gt;"),"&gt;")&amp;"&gt;"</f>
        <v>&lt;a href="canciones/hermana_glenda/quien_eres_tu.html"&gt;</v>
      </c>
    </row>
    <row r="1340" spans="1:21" hidden="1" x14ac:dyDescent="0.3">
      <c r="A1340" s="1">
        <f>ROW(CantoralDB[[#This Row],[Título]])-1</f>
        <v>1339</v>
      </c>
      <c r="B1340" s="1" t="s">
        <v>3301</v>
      </c>
      <c r="C1340" s="1"/>
      <c r="I1340" s="1"/>
      <c r="L1340" s="15" t="s">
        <v>3160</v>
      </c>
      <c r="M1340" s="15" t="s">
        <v>3299</v>
      </c>
      <c r="N1340" s="15">
        <v>4</v>
      </c>
      <c r="O1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quien_eres_tu_señor.html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href="canciones/hermana_glenda/quien_eres_tu_señor.html"&gt;Quién eres tú, Señor&lt;/a&gt;&lt;/li&gt;</v>
      </c>
      <c r="U1340" s="15" t="str">
        <f>_xlfn.TEXTBEFORE(_xlfn.TEXTAFTER(CantoralDB[[#This Row],[index.html]],"&gt;"),"&gt;")&amp;"&gt;"</f>
        <v>&lt;a href="canciones/hermana_glenda/quien_eres_tu_señor.html"&gt;</v>
      </c>
    </row>
    <row r="1341" spans="1:21" hidden="1" x14ac:dyDescent="0.3">
      <c r="A1341" s="1">
        <f>ROW(CantoralDB[[#This Row],[Título]])-1</f>
        <v>1340</v>
      </c>
      <c r="B1341" s="1" t="s">
        <v>3310</v>
      </c>
      <c r="C1341" s="1"/>
      <c r="I1341" s="1"/>
      <c r="L1341" s="15" t="s">
        <v>484</v>
      </c>
      <c r="M1341" s="15" t="s">
        <v>1543</v>
      </c>
      <c r="N1341" s="15">
        <v>11</v>
      </c>
      <c r="O1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quien_eres_jesus_para_mi.html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1341" s="15" t="str">
        <f>_xlfn.TEXTBEFORE(_xlfn.TEXTAFTER(CantoralDB[[#This Row],[index.html]],"&gt;"),"&gt;")&amp;"&gt;"</f>
        <v>&lt;a href="canciones/kairoi/quien_eres_jesus_para_mi.html"&gt;</v>
      </c>
    </row>
    <row r="1342" spans="1:21" hidden="1" x14ac:dyDescent="0.3">
      <c r="A1342" s="1">
        <f>ROW(CantoralDB[[#This Row],[Título]])-1</f>
        <v>1341</v>
      </c>
      <c r="B1342" s="1" t="s">
        <v>3796</v>
      </c>
      <c r="C1342" s="1"/>
      <c r="F1342" s="1">
        <v>441</v>
      </c>
      <c r="I1342" s="1"/>
      <c r="L1342" s="15" t="s">
        <v>3458</v>
      </c>
      <c r="M1342" s="15"/>
      <c r="N1342" s="15"/>
      <c r="O1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quien_es_este.html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1342" s="15" t="str">
        <f>_xlfn.TEXTBEFORE(_xlfn.TEXTAFTER(CantoralDB[[#This Row],[index.html]],"&gt;"),"&gt;")&amp;"&gt;"</f>
        <v>&lt;a href="canciones/marta_gil-delgado/quien_es_este.html"&gt;</v>
      </c>
    </row>
    <row r="1343" spans="1:21" hidden="1" x14ac:dyDescent="0.3">
      <c r="A1343" s="1">
        <f>ROW(CantoralDB[[#This Row],[Título]])-1</f>
        <v>1342</v>
      </c>
      <c r="B1343" s="1" t="s">
        <v>3227</v>
      </c>
      <c r="C1343" s="1"/>
      <c r="F1343" s="1">
        <v>202</v>
      </c>
      <c r="I1343" s="1"/>
      <c r="L1343" s="15" t="s">
        <v>3160</v>
      </c>
      <c r="M1343" s="15" t="s">
        <v>3191</v>
      </c>
      <c r="N1343" s="15">
        <v>15</v>
      </c>
      <c r="O1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quien_ha_encontrado_un_amigo.html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1343" s="15" t="str">
        <f>_xlfn.TEXTBEFORE(_xlfn.TEXTAFTER(CantoralDB[[#This Row],[index.html]],"&gt;"),"&gt;")&amp;"&gt;"</f>
        <v>&lt;a href="canciones/hermana_glenda/quien_ha_encontrado_un_amigo.html"&gt;</v>
      </c>
    </row>
    <row r="1344" spans="1:21" hidden="1" x14ac:dyDescent="0.3">
      <c r="A1344" s="1">
        <f>ROW(CantoralDB[[#This Row],[Título]])-1</f>
        <v>1343</v>
      </c>
      <c r="B1344" s="1" t="s">
        <v>1350</v>
      </c>
      <c r="C1344" s="1"/>
      <c r="E1344" s="1">
        <v>218</v>
      </c>
      <c r="I1344" s="1"/>
      <c r="L1344" s="15" t="s">
        <v>2146</v>
      </c>
      <c r="M1344" s="15"/>
      <c r="N1344" s="15"/>
      <c r="O1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quien_mas_amigo_que_tu.html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data-nold="218"&gt;&lt;a href="canciones/nsb/quien_mas_amigo_que_tu.html"&gt;Quién más amigo que tú&lt;/a&gt;&lt;/li&gt;</v>
      </c>
      <c r="U1344" s="15" t="str">
        <f>_xlfn.TEXTBEFORE(_xlfn.TEXTAFTER(CantoralDB[[#This Row],[index.html]],"&gt;"),"&gt;")&amp;"&gt;"</f>
        <v>&lt;a href="canciones/nsb/quien_mas_amigo_que_tu.html"&gt;</v>
      </c>
    </row>
    <row r="1345" spans="1:21" hidden="1" x14ac:dyDescent="0.3">
      <c r="A1345" s="1">
        <f>ROW(CantoralDB[[#This Row],[Título]])-1</f>
        <v>1344</v>
      </c>
      <c r="B1345" s="1" t="s">
        <v>1990</v>
      </c>
      <c r="C1345" s="1"/>
      <c r="I1345" s="1"/>
      <c r="L1345" s="15" t="s">
        <v>484</v>
      </c>
      <c r="M1345" s="15" t="s">
        <v>1526</v>
      </c>
      <c r="N1345" s="15">
        <v>6</v>
      </c>
      <c r="O1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quien_me_ayuda.html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1345" s="15" t="str">
        <f>_xlfn.TEXTBEFORE(_xlfn.TEXTAFTER(CantoralDB[[#This Row],[index.html]],"&gt;"),"&gt;")&amp;"&gt;"</f>
        <v>&lt;a href="canciones/kairoi/quien_me_ayuda.html"&gt;</v>
      </c>
    </row>
    <row r="1346" spans="1:21" hidden="1" x14ac:dyDescent="0.3">
      <c r="A1346" s="1">
        <f>ROW(CantoralDB[[#This Row],[Título]])-1</f>
        <v>1345</v>
      </c>
      <c r="B1346" s="1" t="s">
        <v>230</v>
      </c>
      <c r="C1346" s="1" t="s">
        <v>997</v>
      </c>
      <c r="D1346" s="1" t="s">
        <v>1003</v>
      </c>
      <c r="H1346" s="1" t="s">
        <v>1034</v>
      </c>
      <c r="I1346" s="1" t="s">
        <v>612</v>
      </c>
      <c r="L1346" s="15" t="s">
        <v>508</v>
      </c>
      <c r="M1346" s="15"/>
      <c r="N1346" s="15"/>
      <c r="O1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quien_nos_separara.html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346" s="15" t="str">
        <f>_xlfn.TEXTBEFORE(_xlfn.TEXTAFTER(CantoralDB[[#This Row],[index.html]],"&gt;"),"&gt;")&amp;"&gt;"</f>
        <v>&lt;a href="canciones/nsb/quien_nos_separara.html"&gt;</v>
      </c>
    </row>
    <row r="1347" spans="1:21" hidden="1" x14ac:dyDescent="0.3">
      <c r="A1347" s="1">
        <f>ROW(CantoralDB[[#This Row],[Título]])-1</f>
        <v>1346</v>
      </c>
      <c r="B1347" s="1" t="s">
        <v>3223</v>
      </c>
      <c r="C1347" s="1"/>
      <c r="F1347" s="1">
        <v>218</v>
      </c>
      <c r="I1347" s="1"/>
      <c r="L1347" s="15" t="s">
        <v>3160</v>
      </c>
      <c r="M1347" s="15" t="s">
        <v>3191</v>
      </c>
      <c r="N1347" s="15">
        <v>11</v>
      </c>
      <c r="O1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quien_pierde_su_vida_la_encuentra.html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1347" s="15" t="str">
        <f>_xlfn.TEXTBEFORE(_xlfn.TEXTAFTER(CantoralDB[[#This Row],[index.html]],"&gt;"),"&gt;")&amp;"&gt;"</f>
        <v>&lt;a href="canciones/hermana_glenda/quien_pierde_su_vida_la_encuentra.html"&gt;</v>
      </c>
    </row>
    <row r="1348" spans="1:21" hidden="1" x14ac:dyDescent="0.3">
      <c r="A1348" s="1">
        <f>ROW(CantoralDB[[#This Row],[Título]])-1</f>
        <v>1347</v>
      </c>
      <c r="B1348" s="1" t="s">
        <v>3192</v>
      </c>
      <c r="C1348" s="1"/>
      <c r="I1348" s="1"/>
      <c r="L1348" s="15" t="s">
        <v>3160</v>
      </c>
      <c r="M1348" s="15" t="s">
        <v>3192</v>
      </c>
      <c r="N1348" s="15">
        <v>15</v>
      </c>
      <c r="O1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quien_podra_sanarme.html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href="canciones/hermana_glenda/quien_podra_sanarme.html"&gt;Quién podrá sanarme&lt;/a&gt;&lt;/li&gt;</v>
      </c>
      <c r="U1348" s="15" t="str">
        <f>_xlfn.TEXTBEFORE(_xlfn.TEXTAFTER(CantoralDB[[#This Row],[index.html]],"&gt;"),"&gt;")&amp;"&gt;"</f>
        <v>&lt;a href="canciones/hermana_glenda/quien_podra_sanarme.html"&gt;</v>
      </c>
    </row>
    <row r="1349" spans="1:21" hidden="1" x14ac:dyDescent="0.3">
      <c r="A1349" s="1">
        <f>ROW(CantoralDB[[#This Row],[Título]])-1</f>
        <v>1348</v>
      </c>
      <c r="B1349" s="1" t="s">
        <v>3147</v>
      </c>
      <c r="C1349" s="1"/>
      <c r="I1349" s="1" t="s">
        <v>612</v>
      </c>
      <c r="L1349" s="15" t="s">
        <v>481</v>
      </c>
      <c r="M1349" s="15" t="s">
        <v>1974</v>
      </c>
      <c r="N1349" s="15">
        <v>9</v>
      </c>
      <c r="O1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quien_puede_entrar_en_tu_templo.html</v>
      </c>
      <c r="R1349" s="1" t="s">
        <v>3136</v>
      </c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1349" s="15" t="str">
        <f>_xlfn.TEXTBEFORE(_xlfn.TEXTAFTER(CantoralDB[[#This Row],[index.html]],"&gt;"),"&gt;")&amp;"&gt;"</f>
        <v>&lt;a href="canciones/francisco_palazon/quien_puede_entrar_en_tu_templo.html"&gt;</v>
      </c>
    </row>
    <row r="1350" spans="1:21" hidden="1" x14ac:dyDescent="0.3">
      <c r="A1350" s="1">
        <f>ROW(CantoralDB[[#This Row],[Título]])-1</f>
        <v>1349</v>
      </c>
      <c r="B1350" s="1" t="s">
        <v>3180</v>
      </c>
      <c r="C1350" s="1"/>
      <c r="I1350" s="1"/>
      <c r="L1350" s="15" t="s">
        <v>3160</v>
      </c>
      <c r="M1350" s="15" t="s">
        <v>3175</v>
      </c>
      <c r="N1350" s="15">
        <v>6</v>
      </c>
      <c r="O1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href="canciones/hermana_glenda/quien_te_separara.html"&gt;Quién te separará&lt;/a&gt;&lt;/li&gt;</v>
      </c>
      <c r="U1350" s="15" t="str">
        <f>_xlfn.TEXTBEFORE(_xlfn.TEXTAFTER(CantoralDB[[#This Row],[index.html]],"&gt;"),"&gt;")&amp;"&gt;"</f>
        <v>&lt;a href="canciones/hermana_glenda/quien_te_separara.html"&gt;</v>
      </c>
    </row>
    <row r="1351" spans="1:21" hidden="1" x14ac:dyDescent="0.3">
      <c r="A1351" s="1">
        <f>ROW(CantoralDB[[#This Row],[Título]])-1</f>
        <v>1350</v>
      </c>
      <c r="B1351" s="1" t="s">
        <v>3295</v>
      </c>
      <c r="C1351" s="1"/>
      <c r="I1351" s="1"/>
      <c r="L1351" s="15" t="s">
        <v>3160</v>
      </c>
      <c r="M1351" s="15" t="s">
        <v>3291</v>
      </c>
      <c r="N1351" s="15">
        <v>6</v>
      </c>
      <c r="O1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quien_te_separara_de_mi.html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href="canciones/hermana_glenda/quien_te_separara_de_mi.html"&gt;Quién te separará de mí&lt;/a&gt;&lt;/li&gt;</v>
      </c>
      <c r="U1351" s="15" t="str">
        <f>_xlfn.TEXTBEFORE(_xlfn.TEXTAFTER(CantoralDB[[#This Row],[index.html]],"&gt;"),"&gt;")&amp;"&gt;"</f>
        <v>&lt;a href="canciones/hermana_glenda/quien_te_separara_de_mi.html"&gt;</v>
      </c>
    </row>
    <row r="1352" spans="1:21" hidden="1" x14ac:dyDescent="0.3">
      <c r="A1352" s="1">
        <f>ROW(CantoralDB[[#This Row],[Título]])-1</f>
        <v>1351</v>
      </c>
      <c r="B1352" s="1" t="s">
        <v>3323</v>
      </c>
      <c r="C1352" s="1"/>
      <c r="I1352" s="1" t="s">
        <v>612</v>
      </c>
      <c r="L1352" s="15" t="s">
        <v>499</v>
      </c>
      <c r="M1352" s="15" t="s">
        <v>3316</v>
      </c>
      <c r="N1352" s="15">
        <v>7</v>
      </c>
      <c r="O1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quien_tirara_la_primera_piedra.html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352" s="15" t="str">
        <f>_xlfn.TEXTBEFORE(_xlfn.TEXTAFTER(CantoralDB[[#This Row],[index.html]],"&gt;"),"&gt;")&amp;"&gt;"</f>
        <v>&lt;a href="canciones/brotes_de_olivo/quien_tirara_la_primera_piedra.html"&gt;</v>
      </c>
    </row>
    <row r="1353" spans="1:21" hidden="1" x14ac:dyDescent="0.3">
      <c r="A1353" s="1">
        <f>ROW(CantoralDB[[#This Row],[Título]])-1</f>
        <v>1352</v>
      </c>
      <c r="B1353" s="1" t="s">
        <v>3547</v>
      </c>
      <c r="C1353" s="1"/>
      <c r="F1353" s="1">
        <v>201</v>
      </c>
      <c r="I1353" s="1"/>
      <c r="L1353" s="15" t="s">
        <v>3548</v>
      </c>
      <c r="M1353" s="15"/>
      <c r="N1353" s="15"/>
      <c r="O1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quiero_agradecer.html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1353" s="15" t="str">
        <f>_xlfn.TEXTBEFORE(_xlfn.TEXTAFTER(CantoralDB[[#This Row],[index.html]],"&gt;"),"&gt;")&amp;"&gt;"</f>
        <v>&lt;a href="canciones/nuevas/quiero_agradecer.html"&gt;</v>
      </c>
    </row>
    <row r="1354" spans="1:21" hidden="1" x14ac:dyDescent="0.3">
      <c r="A1354" s="1">
        <f>ROW(CantoralDB[[#This Row],[Título]])-1</f>
        <v>1353</v>
      </c>
      <c r="B1354" s="1" t="s">
        <v>124</v>
      </c>
      <c r="C1354" s="1" t="s">
        <v>191</v>
      </c>
      <c r="D1354" s="1" t="s">
        <v>754</v>
      </c>
      <c r="E1354" s="1">
        <v>451</v>
      </c>
      <c r="F1354" s="1">
        <v>299</v>
      </c>
      <c r="G1354" s="1" t="s">
        <v>209</v>
      </c>
      <c r="H1354" s="1" t="s">
        <v>1034</v>
      </c>
      <c r="I1354" s="1" t="s">
        <v>612</v>
      </c>
      <c r="L1354" s="15" t="s">
        <v>490</v>
      </c>
      <c r="M1354" s="15"/>
      <c r="N1354" s="15"/>
      <c r="O1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quiero_alabarte.html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354" s="15" t="str">
        <f>_xlfn.TEXTBEFORE(_xlfn.TEXTAFTER(CantoralDB[[#This Row],[index.html]],"&gt;"),"&gt;")&amp;"&gt;"</f>
        <v>&lt;a href="canciones/nsb/quiero_alabarte.html"&gt;</v>
      </c>
    </row>
    <row r="1355" spans="1:21" hidden="1" x14ac:dyDescent="0.3">
      <c r="A1355" s="1">
        <f>ROW(CantoralDB[[#This Row],[Título]])-1</f>
        <v>1354</v>
      </c>
      <c r="B1355" s="1" t="s">
        <v>560</v>
      </c>
      <c r="C1355" s="1" t="s">
        <v>201</v>
      </c>
      <c r="D1355" s="1" t="s">
        <v>675</v>
      </c>
      <c r="G1355" s="1" t="s">
        <v>557</v>
      </c>
      <c r="H1355" s="1" t="s">
        <v>1034</v>
      </c>
      <c r="I1355" s="1" t="s">
        <v>612</v>
      </c>
      <c r="L1355" s="15" t="s">
        <v>616</v>
      </c>
      <c r="M1355" s="15"/>
      <c r="N1355" s="15"/>
      <c r="O1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355" s="15" t="str">
        <f>_xlfn.TEXTBEFORE(_xlfn.TEXTAFTER(CantoralDB[[#This Row],[index.html]],"&gt;"),"&gt;")&amp;"&gt;"</f>
        <v>&lt;a href="canciones/nsb/quiero_caminar.html"&gt;</v>
      </c>
    </row>
    <row r="1356" spans="1:21" hidden="1" x14ac:dyDescent="0.3">
      <c r="A1356" s="1">
        <f>ROW(CantoralDB[[#This Row],[Título]])-1</f>
        <v>1355</v>
      </c>
      <c r="B1356" s="1" t="s">
        <v>237</v>
      </c>
      <c r="C1356" s="1" t="s">
        <v>200</v>
      </c>
      <c r="D1356" s="1" t="s">
        <v>1093</v>
      </c>
      <c r="G1356" s="1" t="s">
        <v>209</v>
      </c>
      <c r="H1356" s="1" t="s">
        <v>1034</v>
      </c>
      <c r="I1356" s="1" t="s">
        <v>612</v>
      </c>
      <c r="L1356" s="15" t="s">
        <v>581</v>
      </c>
      <c r="M1356" s="15"/>
      <c r="N1356" s="15"/>
      <c r="O1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quiero_caminar_contigo_maria.html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356" s="15" t="str">
        <f>_xlfn.TEXTBEFORE(_xlfn.TEXTAFTER(CantoralDB[[#This Row],[index.html]],"&gt;"),"&gt;")&amp;"&gt;"</f>
        <v>&lt;a href="canciones/nsb/quiero_caminar_contigo_maria.html"&gt;</v>
      </c>
    </row>
    <row r="1357" spans="1:21" hidden="1" x14ac:dyDescent="0.3">
      <c r="A1357" s="1">
        <f>ROW(CantoralDB[[#This Row],[Título]])-1</f>
        <v>1356</v>
      </c>
      <c r="B1357" s="1" t="s">
        <v>2019</v>
      </c>
      <c r="C1357" s="1"/>
      <c r="I1357" s="1" t="s">
        <v>612</v>
      </c>
      <c r="L1357" s="15" t="s">
        <v>261</v>
      </c>
      <c r="M1357" s="15"/>
      <c r="N1357" s="15"/>
      <c r="O1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quiero_cenar_contigo.html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1357" s="15" t="str">
        <f>_xlfn.TEXTBEFORE(_xlfn.TEXTAFTER(CantoralDB[[#This Row],[index.html]],"&gt;"),"&gt;")&amp;"&gt;"</f>
        <v>&lt;a href="canciones/hakuna/quiero_cenar_contigo.html"&gt;</v>
      </c>
    </row>
    <row r="1358" spans="1:21" hidden="1" x14ac:dyDescent="0.3">
      <c r="A1358" s="1">
        <f>ROW(CantoralDB[[#This Row],[Título]])-1</f>
        <v>1357</v>
      </c>
      <c r="B1358" s="1" t="s">
        <v>1906</v>
      </c>
      <c r="C1358" s="1"/>
      <c r="I1358" s="1" t="s">
        <v>612</v>
      </c>
      <c r="L1358" s="15" t="s">
        <v>1804</v>
      </c>
      <c r="M1358" s="15" t="s">
        <v>1950</v>
      </c>
      <c r="N1358" s="15">
        <v>2</v>
      </c>
      <c r="O1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quiero_confiar.html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href="canciones/ruah/quiero_confiar.html"&gt;Quiero confiar&lt;/a&gt;&lt;/li&gt;</v>
      </c>
      <c r="U1358" s="15" t="str">
        <f>_xlfn.TEXTBEFORE(_xlfn.TEXTAFTER(CantoralDB[[#This Row],[index.html]],"&gt;"),"&gt;")&amp;"&gt;"</f>
        <v>&lt;a href="canciones/ruah/quiero_confiar.html"&gt;</v>
      </c>
    </row>
    <row r="1359" spans="1:21" hidden="1" x14ac:dyDescent="0.3">
      <c r="A1359" s="1">
        <f>ROW(CantoralDB[[#This Row],[Título]])-1</f>
        <v>1358</v>
      </c>
      <c r="B1359" s="1" t="s">
        <v>3346</v>
      </c>
      <c r="C1359" s="1"/>
      <c r="F1359" s="1">
        <v>14</v>
      </c>
      <c r="I1359" s="1"/>
      <c r="L1359" s="15" t="s">
        <v>3347</v>
      </c>
      <c r="M1359" s="15"/>
      <c r="N1359" s="15"/>
      <c r="O1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quiero_decir_que_si.html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1359" s="15" t="str">
        <f>_xlfn.TEXTBEFORE(_xlfn.TEXTAFTER(CantoralDB[[#This Row],[index.html]],"&gt;"),"&gt;")&amp;"&gt;"</f>
        <v>&lt;a href="canciones/luis_alfredo_diaz/quiero_decir_que_si.html"&gt;</v>
      </c>
    </row>
    <row r="1360" spans="1:21" hidden="1" x14ac:dyDescent="0.3">
      <c r="A1360" s="1">
        <f>ROW(CantoralDB[[#This Row],[Título]])-1</f>
        <v>1359</v>
      </c>
      <c r="B1360" s="1" t="s">
        <v>3573</v>
      </c>
      <c r="C1360" s="1"/>
      <c r="F1360" s="1">
        <v>234</v>
      </c>
      <c r="I1360" s="1"/>
      <c r="L1360" s="15" t="s">
        <v>799</v>
      </c>
      <c r="M1360" s="15"/>
      <c r="N1360" s="15"/>
      <c r="O1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quiero_levantar_mis_manos.html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360" s="15" t="str">
        <f>_xlfn.TEXTBEFORE(_xlfn.TEXTAFTER(CantoralDB[[#This Row],[index.html]],"&gt;"),"&gt;")&amp;"&gt;"</f>
        <v>&lt;a href="canciones/nuevas/quiero_levantar_mis_manos.html"&gt;</v>
      </c>
    </row>
    <row r="1361" spans="1:21" hidden="1" x14ac:dyDescent="0.3">
      <c r="A1361" s="1">
        <f>ROW(CantoralDB[[#This Row],[Título]])-1</f>
        <v>1360</v>
      </c>
      <c r="B1361" s="1" t="s">
        <v>3675</v>
      </c>
      <c r="C1361" s="1"/>
      <c r="F1361" s="1">
        <v>343</v>
      </c>
      <c r="I1361" s="1"/>
      <c r="L1361" s="15" t="s">
        <v>799</v>
      </c>
      <c r="M1361" s="15"/>
      <c r="N1361" s="15"/>
      <c r="O1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quiero_llenar_tu_trono_de_alabanza.html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361" s="15" t="str">
        <f>_xlfn.TEXTBEFORE(_xlfn.TEXTAFTER(CantoralDB[[#This Row],[index.html]],"&gt;"),"&gt;")&amp;"&gt;"</f>
        <v>&lt;a href="canciones/nuevas/quiero_llenar_tu_trono_de_alabanza.html"&gt;</v>
      </c>
    </row>
    <row r="1362" spans="1:21" hidden="1" x14ac:dyDescent="0.3">
      <c r="A1362" s="1">
        <f>ROW(CantoralDB[[#This Row],[Título]])-1</f>
        <v>1361</v>
      </c>
      <c r="B1362" s="1" t="s">
        <v>598</v>
      </c>
      <c r="C1362" s="1" t="s">
        <v>997</v>
      </c>
      <c r="D1362" s="1" t="s">
        <v>1004</v>
      </c>
      <c r="G1362" s="1" t="s">
        <v>599</v>
      </c>
      <c r="H1362" s="1" t="s">
        <v>1034</v>
      </c>
      <c r="I1362" s="1" t="s">
        <v>612</v>
      </c>
      <c r="L1362" s="15" t="s">
        <v>632</v>
      </c>
      <c r="M1362" s="15"/>
      <c r="N1362" s="15"/>
      <c r="O1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quiero_ser_pan.html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362" s="15" t="str">
        <f>_xlfn.TEXTBEFORE(_xlfn.TEXTAFTER(CantoralDB[[#This Row],[index.html]],"&gt;"),"&gt;")&amp;"&gt;"</f>
        <v>&lt;a href="canciones/nsb/quiero_ser_pan.html"&gt;</v>
      </c>
    </row>
    <row r="1363" spans="1:21" hidden="1" x14ac:dyDescent="0.3">
      <c r="A1363" s="1">
        <f>ROW(CantoralDB[[#This Row],[Título]])-1</f>
        <v>1362</v>
      </c>
      <c r="B1363" s="1" t="s">
        <v>1351</v>
      </c>
      <c r="C1363" s="1"/>
      <c r="E1363" s="1">
        <v>219</v>
      </c>
      <c r="I1363" s="1"/>
      <c r="L1363" s="15" t="s">
        <v>2161</v>
      </c>
      <c r="M1363" s="15"/>
      <c r="N1363" s="15"/>
      <c r="O1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quiero_ser_oh_señor.html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363" s="15" t="str">
        <f>_xlfn.TEXTBEFORE(_xlfn.TEXTAFTER(CantoralDB[[#This Row],[index.html]],"&gt;"),"&gt;")&amp;"&gt;"</f>
        <v>&lt;a href="canciones/nsb/quiero_ser_oh_señor.html"&gt;</v>
      </c>
    </row>
    <row r="1364" spans="1:21" hidden="1" x14ac:dyDescent="0.3">
      <c r="A1364" s="1">
        <f>ROW(CantoralDB[[#This Row],[Título]])-1</f>
        <v>1363</v>
      </c>
      <c r="B1364" s="1" t="s">
        <v>1629</v>
      </c>
      <c r="C1364" s="1"/>
      <c r="I1364" s="1"/>
      <c r="L1364" s="15" t="s">
        <v>484</v>
      </c>
      <c r="M1364" s="15" t="s">
        <v>1526</v>
      </c>
      <c r="N1364" s="15">
        <v>4</v>
      </c>
      <c r="O1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quisiera_haber_nacido.html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1364" s="15" t="str">
        <f>_xlfn.TEXTBEFORE(_xlfn.TEXTAFTER(CantoralDB[[#This Row],[index.html]],"&gt;"),"&gt;")&amp;"&gt;"</f>
        <v>&lt;a href="canciones/kairoi/quisiera_haber_nacido.html"&gt;</v>
      </c>
    </row>
    <row r="1365" spans="1:21" hidden="1" x14ac:dyDescent="0.3">
      <c r="A1365" s="1">
        <f>ROW(CantoralDB[[#This Row],[Título]])-1</f>
        <v>1364</v>
      </c>
      <c r="B1365" s="1" t="s">
        <v>1790</v>
      </c>
      <c r="C1365" s="1"/>
      <c r="I1365" s="1" t="s">
        <v>612</v>
      </c>
      <c r="L1365" s="15" t="s">
        <v>501</v>
      </c>
      <c r="M1365" s="15" t="s">
        <v>1547</v>
      </c>
      <c r="N1365" s="15">
        <v>4</v>
      </c>
      <c r="O1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realidad.html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href="canciones/ain_karem/realidad.html"&gt;Realidad&lt;/a&gt;&lt;/li&gt;</v>
      </c>
      <c r="U1365" s="15" t="str">
        <f>_xlfn.TEXTBEFORE(_xlfn.TEXTAFTER(CantoralDB[[#This Row],[index.html]],"&gt;"),"&gt;")&amp;"&gt;"</f>
        <v>&lt;a href="canciones/ain_karem/realidad.html"&gt;</v>
      </c>
    </row>
    <row r="1366" spans="1:21" hidden="1" x14ac:dyDescent="0.3">
      <c r="A1366" s="1">
        <f>ROW(CantoralDB[[#This Row],[Título]])-1</f>
        <v>1365</v>
      </c>
      <c r="B1366" s="1" t="s">
        <v>1781</v>
      </c>
      <c r="C1366" s="1"/>
      <c r="I1366" s="1"/>
      <c r="L1366" s="15" t="s">
        <v>484</v>
      </c>
      <c r="M1366" s="15" t="s">
        <v>1545</v>
      </c>
      <c r="N1366" s="15">
        <v>6</v>
      </c>
      <c r="O1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rebosando_nombres.html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1366" s="15" t="str">
        <f>_xlfn.TEXTBEFORE(_xlfn.TEXTAFTER(CantoralDB[[#This Row],[index.html]],"&gt;"),"&gt;")&amp;"&gt;"</f>
        <v>&lt;a href="canciones/kairoi/rebosando_nombres.html"&gt;</v>
      </c>
    </row>
    <row r="1367" spans="1:21" hidden="1" x14ac:dyDescent="0.3">
      <c r="A1367" s="1">
        <f>ROW(CantoralDB[[#This Row],[Título]])-1</f>
        <v>1366</v>
      </c>
      <c r="B1367" s="1" t="s">
        <v>3030</v>
      </c>
      <c r="C1367" s="1"/>
      <c r="I1367" s="1" t="s">
        <v>612</v>
      </c>
      <c r="L1367" s="15" t="s">
        <v>501</v>
      </c>
      <c r="M1367" s="15" t="s">
        <v>1553</v>
      </c>
      <c r="N1367" s="15">
        <v>10</v>
      </c>
      <c r="O1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recibid_mi_espiritu.html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1367" s="15" t="str">
        <f>_xlfn.TEXTBEFORE(_xlfn.TEXTAFTER(CantoralDB[[#This Row],[index.html]],"&gt;"),"&gt;")&amp;"&gt;"</f>
        <v>&lt;a href="canciones/ain_karem/recibid_mi_espiritu.html"&gt;</v>
      </c>
    </row>
    <row r="1368" spans="1:21" hidden="1" x14ac:dyDescent="0.3">
      <c r="A1368" s="1">
        <f>ROW(CantoralDB[[#This Row],[Título]])-1</f>
        <v>1367</v>
      </c>
      <c r="B1368" s="1" t="s">
        <v>1355</v>
      </c>
      <c r="C1368" s="1"/>
      <c r="E1368" s="1">
        <v>228</v>
      </c>
      <c r="I1368" s="1"/>
      <c r="L1368" s="15" t="s">
        <v>2162</v>
      </c>
      <c r="M1368" s="15"/>
      <c r="N1368" s="15"/>
      <c r="O1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regina_caeli.html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data-author="Gregoriano" data-nold="228"&gt;&lt;a href="canciones/nsb/regina_caeli.html"&gt;Regina caeli&lt;/a&gt;&lt;/li&gt;</v>
      </c>
      <c r="U1368" s="15" t="str">
        <f>_xlfn.TEXTBEFORE(_xlfn.TEXTAFTER(CantoralDB[[#This Row],[index.html]],"&gt;"),"&gt;")&amp;"&gt;"</f>
        <v>&lt;a href="canciones/nsb/regina_caeli.html"&gt;</v>
      </c>
    </row>
    <row r="1369" spans="1:21" hidden="1" x14ac:dyDescent="0.3">
      <c r="A1369" s="1">
        <f>ROW(CantoralDB[[#This Row],[Título]])-1</f>
        <v>1368</v>
      </c>
      <c r="B1369" s="1" t="s">
        <v>125</v>
      </c>
      <c r="C1369" s="1" t="s">
        <v>200</v>
      </c>
      <c r="D1369" s="1" t="s">
        <v>1094</v>
      </c>
      <c r="E1369" s="1">
        <v>227</v>
      </c>
      <c r="G1369" s="1" t="s">
        <v>209</v>
      </c>
      <c r="H1369" s="1" t="s">
        <v>473</v>
      </c>
      <c r="I1369" s="1" t="s">
        <v>612</v>
      </c>
      <c r="L1369" s="15" t="s">
        <v>481</v>
      </c>
      <c r="M1369" s="15" t="s">
        <v>1320</v>
      </c>
      <c r="N1369" s="15">
        <v>4</v>
      </c>
      <c r="O1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reina_del_cielo.html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data-nnew="M19" data-nold="227"&gt;&lt;a href="canciones/francisco_palazon/reina_del_cielo.html"&gt;Reina del Cielo&lt;/a&gt;&lt;/li&gt;</v>
      </c>
      <c r="U1369" s="15" t="str">
        <f>_xlfn.TEXTBEFORE(_xlfn.TEXTAFTER(CantoralDB[[#This Row],[index.html]],"&gt;"),"&gt;")&amp;"&gt;"</f>
        <v>&lt;a href="canciones/francisco_palazon/reina_del_cielo.html"&gt;</v>
      </c>
    </row>
    <row r="1370" spans="1:21" hidden="1" x14ac:dyDescent="0.3">
      <c r="A1370" s="1">
        <f>ROW(CantoralDB[[#This Row],[Título]])-1</f>
        <v>1369</v>
      </c>
      <c r="B1370" s="1" t="s">
        <v>3692</v>
      </c>
      <c r="C1370" s="1"/>
      <c r="F1370" s="1">
        <v>356</v>
      </c>
      <c r="I1370" s="1"/>
      <c r="L1370" s="15" t="s">
        <v>799</v>
      </c>
      <c r="M1370" s="15"/>
      <c r="N1370" s="15"/>
      <c r="O1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reina_en_mi.html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href="canciones/nuevas/reina_en_mi.html"&gt;Reina en mí&lt;/a&gt;&lt;/li&gt;</v>
      </c>
      <c r="U1370" s="15" t="str">
        <f>_xlfn.TEXTBEFORE(_xlfn.TEXTAFTER(CantoralDB[[#This Row],[index.html]],"&gt;"),"&gt;")&amp;"&gt;"</f>
        <v>&lt;a href="canciones/nuevas/reina_en_mi.html"&gt;</v>
      </c>
    </row>
    <row r="1371" spans="1:21" hidden="1" x14ac:dyDescent="0.3">
      <c r="A1371" s="1">
        <f>ROW(CantoralDB[[#This Row],[Título]])-1</f>
        <v>1370</v>
      </c>
      <c r="B1371" s="1" t="s">
        <v>3478</v>
      </c>
      <c r="C1371" s="1"/>
      <c r="F1371" s="1">
        <v>134</v>
      </c>
      <c r="I1371" s="1"/>
      <c r="L1371" s="15" t="s">
        <v>3340</v>
      </c>
      <c r="M1371" s="15"/>
      <c r="N1371" s="15"/>
      <c r="O1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renuevame.html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1371" s="15" t="str">
        <f>_xlfn.TEXTBEFORE(_xlfn.TEXTAFTER(CantoralDB[[#This Row],[index.html]],"&gt;"),"&gt;")&amp;"&gt;"</f>
        <v>&lt;a href="canciones/marcos_witt/renuevame.html"&gt;</v>
      </c>
    </row>
    <row r="1372" spans="1:21" hidden="1" x14ac:dyDescent="0.3">
      <c r="A1372" s="1">
        <f>ROW(CantoralDB[[#This Row],[Título]])-1</f>
        <v>1371</v>
      </c>
      <c r="B1372" s="1" t="s">
        <v>3572</v>
      </c>
      <c r="C1372" s="1"/>
      <c r="F1372" s="1">
        <v>233</v>
      </c>
      <c r="I1372" s="1"/>
      <c r="L1372" s="15" t="s">
        <v>490</v>
      </c>
      <c r="M1372" s="15"/>
      <c r="N1372" s="15"/>
      <c r="O1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resucitaremos_con_el.html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372" s="15" t="str">
        <f>_xlfn.TEXTBEFORE(_xlfn.TEXTAFTER(CantoralDB[[#This Row],[index.html]],"&gt;"),"&gt;")&amp;"&gt;"</f>
        <v>&lt;a href="canciones/nuevas/resucitaremos_con_el.html"&gt;</v>
      </c>
    </row>
    <row r="1373" spans="1:21" hidden="1" x14ac:dyDescent="0.3">
      <c r="A1373" s="1">
        <f>ROW(CantoralDB[[#This Row],[Título]])-1</f>
        <v>1372</v>
      </c>
      <c r="B1373" s="1" t="s">
        <v>3641</v>
      </c>
      <c r="C1373" s="1"/>
      <c r="F1373" s="1">
        <v>308</v>
      </c>
      <c r="I1373" s="1"/>
      <c r="L1373" s="15" t="s">
        <v>3354</v>
      </c>
      <c r="M1373" s="15"/>
      <c r="N1373" s="15"/>
      <c r="O1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1373" s="15" t="str">
        <f>_xlfn.TEXTBEFORE(_xlfn.TEXTAFTER(CantoralDB[[#This Row],[index.html]],"&gt;"),"&gt;")&amp;"&gt;"</f>
        <v>&lt;a href="canciones/lazaro_iparraguirre/resucito.html"&gt;</v>
      </c>
    </row>
    <row r="1374" spans="1:21" hidden="1" x14ac:dyDescent="0.3">
      <c r="A1374" s="1">
        <f>ROW(CantoralDB[[#This Row],[Título]])-1</f>
        <v>1373</v>
      </c>
      <c r="B1374" s="1" t="s">
        <v>126</v>
      </c>
      <c r="C1374" s="1" t="s">
        <v>997</v>
      </c>
      <c r="D1374" s="1" t="s">
        <v>1005</v>
      </c>
      <c r="E1374" s="1">
        <v>225</v>
      </c>
      <c r="G1374" s="1" t="s">
        <v>209</v>
      </c>
      <c r="H1374" s="1" t="s">
        <v>533</v>
      </c>
      <c r="I1374" s="1" t="s">
        <v>612</v>
      </c>
      <c r="L1374" s="15" t="s">
        <v>582</v>
      </c>
      <c r="M1374" s="15"/>
      <c r="N1374" s="15"/>
      <c r="O1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resucito_aleluya.html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374" s="15" t="str">
        <f>_xlfn.TEXTBEFORE(_xlfn.TEXTAFTER(CantoralDB[[#This Row],[index.html]],"&gt;"),"&gt;")&amp;"&gt;"</f>
        <v>&lt;a href="canciones/nsb/resucito_aleluya.html"&gt;</v>
      </c>
    </row>
    <row r="1375" spans="1:21" hidden="1" x14ac:dyDescent="0.3">
      <c r="A1375" s="1">
        <f>ROW(CantoralDB[[#This Row],[Título]])-1</f>
        <v>1374</v>
      </c>
      <c r="B1375" s="1" t="s">
        <v>127</v>
      </c>
      <c r="C1375" s="1" t="s">
        <v>191</v>
      </c>
      <c r="D1375" s="1" t="s">
        <v>755</v>
      </c>
      <c r="E1375" s="1">
        <v>453</v>
      </c>
      <c r="G1375" s="1" t="s">
        <v>209</v>
      </c>
      <c r="H1375" s="1" t="s">
        <v>1039</v>
      </c>
      <c r="I1375" s="1" t="s">
        <v>612</v>
      </c>
      <c r="L1375" s="15" t="s">
        <v>481</v>
      </c>
      <c r="M1375" s="15" t="s">
        <v>1977</v>
      </c>
      <c r="N1375" s="15">
        <v>1</v>
      </c>
      <c r="O1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reunidos_en_el_nombre_del_señor.html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1375" s="15" t="str">
        <f>_xlfn.TEXTBEFORE(_xlfn.TEXTAFTER(CantoralDB[[#This Row],[index.html]],"&gt;"),"&gt;")&amp;"&gt;"</f>
        <v>&lt;a href="canciones/francisco_palazon/reunidos_en_el_nombre_del_señor.html"&gt;</v>
      </c>
    </row>
    <row r="1376" spans="1:21" hidden="1" x14ac:dyDescent="0.3">
      <c r="A1376" s="1">
        <f>ROW(CantoralDB[[#This Row],[Título]])-1</f>
        <v>1375</v>
      </c>
      <c r="B1376" s="1" t="s">
        <v>2005</v>
      </c>
      <c r="C1376" s="1"/>
      <c r="I1376" s="1" t="s">
        <v>612</v>
      </c>
      <c r="L1376" s="15" t="s">
        <v>261</v>
      </c>
      <c r="M1376" s="15"/>
      <c r="N1376" s="15"/>
      <c r="O1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revolucion.html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href="canciones/hakuna/revolucion.html"&gt;Revolución&lt;/a&gt;&lt;/li&gt;</v>
      </c>
      <c r="U1376" s="15" t="str">
        <f>_xlfn.TEXTBEFORE(_xlfn.TEXTAFTER(CantoralDB[[#This Row],[index.html]],"&gt;"),"&gt;")&amp;"&gt;"</f>
        <v>&lt;a href="canciones/hakuna/revolucion.html"&gt;</v>
      </c>
    </row>
    <row r="1377" spans="1:21" hidden="1" x14ac:dyDescent="0.3">
      <c r="A1377" s="1">
        <f>ROW(CantoralDB[[#This Row],[Título]])-1</f>
        <v>1376</v>
      </c>
      <c r="B1377" s="1" t="s">
        <v>3362</v>
      </c>
      <c r="C1377" s="1"/>
      <c r="F1377" s="1">
        <v>28</v>
      </c>
      <c r="I1377" s="1"/>
      <c r="L1377" s="15" t="s">
        <v>799</v>
      </c>
      <c r="M1377" s="15"/>
      <c r="N1377" s="15"/>
      <c r="O1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377" s="15" t="str">
        <f>_xlfn.TEXTBEFORE(_xlfn.TEXTAFTER(CantoralDB[[#This Row],[index.html]],"&gt;"),"&gt;")&amp;"&gt;"</f>
        <v>&lt;a href="canciones/nuevas/rey_de_reyes.html"&gt;</v>
      </c>
    </row>
    <row r="1378" spans="1:21" hidden="1" x14ac:dyDescent="0.3">
      <c r="A1378" s="1">
        <f>ROW(CantoralDB[[#This Row],[Título]])-1</f>
        <v>1377</v>
      </c>
      <c r="B1378" s="1" t="s">
        <v>3362</v>
      </c>
      <c r="C1378" s="1"/>
      <c r="F1378" s="1">
        <v>138</v>
      </c>
      <c r="I1378" s="1"/>
      <c r="L1378" s="15" t="s">
        <v>799</v>
      </c>
      <c r="M1378" s="15"/>
      <c r="N1378" s="15"/>
      <c r="O1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378" s="15" t="str">
        <f>_xlfn.TEXTBEFORE(_xlfn.TEXTAFTER(CantoralDB[[#This Row],[index.html]],"&gt;"),"&gt;")&amp;"&gt;"</f>
        <v>&lt;a href="canciones/nuevas/rey_de_reyes.html"&gt;</v>
      </c>
    </row>
    <row r="1379" spans="1:21" hidden="1" x14ac:dyDescent="0.3">
      <c r="A1379" s="1">
        <f>ROW(CantoralDB[[#This Row],[Título]])-1</f>
        <v>1378</v>
      </c>
      <c r="B1379" s="1" t="s">
        <v>1354</v>
      </c>
      <c r="C1379" s="1"/>
      <c r="E1379" s="1">
        <v>226</v>
      </c>
      <c r="I1379" s="1" t="s">
        <v>612</v>
      </c>
      <c r="L1379" s="15" t="s">
        <v>484</v>
      </c>
      <c r="M1379" s="15" t="s">
        <v>1535</v>
      </c>
      <c r="N1379" s="15">
        <v>3</v>
      </c>
      <c r="O1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rezar_no_es_otra_cosa.html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1379" s="15" t="str">
        <f>_xlfn.TEXTBEFORE(_xlfn.TEXTAFTER(CantoralDB[[#This Row],[index.html]],"&gt;"),"&gt;")&amp;"&gt;"</f>
        <v>&lt;a href="canciones/kairoi/rezar_no_es_otra_cosa.html"&gt;</v>
      </c>
    </row>
    <row r="1380" spans="1:21" hidden="1" x14ac:dyDescent="0.3">
      <c r="A1380" s="1">
        <f>ROW(CantoralDB[[#This Row],[Título]])-1</f>
        <v>1379</v>
      </c>
      <c r="B1380" s="1" t="s">
        <v>1658</v>
      </c>
      <c r="C1380" s="1"/>
      <c r="I1380" s="1"/>
      <c r="L1380" s="15" t="s">
        <v>484</v>
      </c>
      <c r="M1380" s="15" t="s">
        <v>1531</v>
      </c>
      <c r="N1380" s="15">
        <v>2</v>
      </c>
      <c r="O1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rock_de_paz.html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href="canciones/kairoi/rock_de_paz.html"&gt;Rock de paz&lt;/a&gt;&lt;/li&gt;</v>
      </c>
      <c r="U1380" s="15" t="str">
        <f>_xlfn.TEXTBEFORE(_xlfn.TEXTAFTER(CantoralDB[[#This Row],[index.html]],"&gt;"),"&gt;")&amp;"&gt;"</f>
        <v>&lt;a href="canciones/kairoi/rock_de_paz.html"&gt;</v>
      </c>
    </row>
    <row r="1381" spans="1:21" hidden="1" x14ac:dyDescent="0.3">
      <c r="A1381" s="1">
        <f>ROW(CantoralDB[[#This Row],[Título]])-1</f>
        <v>1380</v>
      </c>
      <c r="B1381" s="1" t="s">
        <v>1804</v>
      </c>
      <c r="C1381" s="1"/>
      <c r="F1381" s="1">
        <v>86</v>
      </c>
      <c r="I1381" s="1"/>
      <c r="L1381" s="15" t="s">
        <v>799</v>
      </c>
      <c r="M1381" s="15"/>
      <c r="N1381" s="15"/>
      <c r="O1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href="canciones/nuevas/ruah.html"&gt;Ruah&lt;/a&gt;&lt;/li&gt;</v>
      </c>
      <c r="U1381" s="15" t="str">
        <f>_xlfn.TEXTBEFORE(_xlfn.TEXTAFTER(CantoralDB[[#This Row],[index.html]],"&gt;"),"&gt;")&amp;"&gt;"</f>
        <v>&lt;a href="canciones/nuevas/ruah.html"&gt;</v>
      </c>
    </row>
    <row r="1382" spans="1:21" hidden="1" x14ac:dyDescent="0.3">
      <c r="A1382" s="1">
        <f>ROW(CantoralDB[[#This Row],[Título]])-1</f>
        <v>1381</v>
      </c>
      <c r="B1382" s="1" t="s">
        <v>1804</v>
      </c>
      <c r="C1382" s="1"/>
      <c r="I1382" s="1"/>
      <c r="L1382" s="15" t="s">
        <v>501</v>
      </c>
      <c r="M1382" s="15" t="s">
        <v>1548</v>
      </c>
      <c r="N1382" s="15">
        <v>9</v>
      </c>
      <c r="O1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href="canciones/ain_karem/ruah.html"&gt;Ruah&lt;/a&gt;&lt;/li&gt;</v>
      </c>
      <c r="U1382" s="15" t="str">
        <f>_xlfn.TEXTBEFORE(_xlfn.TEXTAFTER(CantoralDB[[#This Row],[index.html]],"&gt;"),"&gt;")&amp;"&gt;"</f>
        <v>&lt;a href="canciones/ain_karem/ruah.html"&gt;</v>
      </c>
    </row>
    <row r="1383" spans="1:21" hidden="1" x14ac:dyDescent="0.3">
      <c r="A1383" s="1">
        <f>ROW(CantoralDB[[#This Row],[Título]])-1</f>
        <v>1382</v>
      </c>
      <c r="B1383" s="1" t="s">
        <v>1794</v>
      </c>
      <c r="C1383" s="1"/>
      <c r="I1383" s="1"/>
      <c r="L1383" s="15" t="s">
        <v>501</v>
      </c>
      <c r="M1383" s="15" t="s">
        <v>1547</v>
      </c>
      <c r="N1383" s="15">
        <v>10</v>
      </c>
      <c r="O1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rut_y_noemi.html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1383" s="15" t="str">
        <f>_xlfn.TEXTBEFORE(_xlfn.TEXTAFTER(CantoralDB[[#This Row],[index.html]],"&gt;"),"&gt;")&amp;"&gt;"</f>
        <v>&lt;a href="canciones/ain_karem/rut_y_noemi.html"&gt;</v>
      </c>
    </row>
    <row r="1384" spans="1:21" hidden="1" x14ac:dyDescent="0.3">
      <c r="A1384" s="1">
        <f>ROW(CantoralDB[[#This Row],[Título]])-1</f>
        <v>1383</v>
      </c>
      <c r="B1384" s="1" t="s">
        <v>1911</v>
      </c>
      <c r="C1384" s="1"/>
      <c r="I1384" s="1" t="s">
        <v>612</v>
      </c>
      <c r="K1384" s="1" t="s">
        <v>3113</v>
      </c>
      <c r="L1384" s="15" t="s">
        <v>1804</v>
      </c>
      <c r="M1384" s="15" t="s">
        <v>1950</v>
      </c>
      <c r="N1384" s="15">
        <v>8</v>
      </c>
      <c r="O1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sabes_bien.html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href="canciones/ruah/sabes_bien.html"&gt;Sabes bien&lt;/a&gt;&lt;/li&gt;</v>
      </c>
      <c r="U1384" s="15" t="str">
        <f>_xlfn.TEXTBEFORE(_xlfn.TEXTAFTER(CantoralDB[[#This Row],[index.html]],"&gt;"),"&gt;")&amp;"&gt;"</f>
        <v>&lt;a href="canciones/ruah/sabes_bien.html"&gt;</v>
      </c>
    </row>
    <row r="1385" spans="1:21" hidden="1" x14ac:dyDescent="0.3">
      <c r="A1385" s="1">
        <f>ROW(CantoralDB[[#This Row],[Título]])-1</f>
        <v>1384</v>
      </c>
      <c r="B1385" s="1" t="s">
        <v>1359</v>
      </c>
      <c r="C1385" s="1"/>
      <c r="E1385" s="1">
        <v>236</v>
      </c>
      <c r="I1385" s="1"/>
      <c r="L1385" s="15" t="s">
        <v>799</v>
      </c>
      <c r="M1385" s="15"/>
      <c r="N1385" s="15"/>
      <c r="O1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sacareis_aguas_con_gozo.html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data-nold="236"&gt;&lt;a href="canciones/nsb/sacareis_aguas_con_gozo.html"&gt;Sacaréis aguas con gozo&lt;/a&gt;&lt;/li&gt;</v>
      </c>
      <c r="U1385" s="15" t="str">
        <f>_xlfn.TEXTBEFORE(_xlfn.TEXTAFTER(CantoralDB[[#This Row],[index.html]],"&gt;"),"&gt;")&amp;"&gt;"</f>
        <v>&lt;a href="canciones/nsb/sacareis_aguas_con_gozo.html"&gt;</v>
      </c>
    </row>
    <row r="1386" spans="1:21" hidden="1" x14ac:dyDescent="0.3">
      <c r="A1386" s="1">
        <f>ROW(CantoralDB[[#This Row],[Título]])-1</f>
        <v>1385</v>
      </c>
      <c r="B1386" s="1" t="s">
        <v>1707</v>
      </c>
      <c r="C1386" s="1"/>
      <c r="I1386" s="1"/>
      <c r="L1386" s="15" t="s">
        <v>484</v>
      </c>
      <c r="M1386" s="15" t="s">
        <v>1537</v>
      </c>
      <c r="N1386" s="15">
        <v>4</v>
      </c>
      <c r="O1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salmo.html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href="canciones/kairoi/salmo.html"&gt;Salmo&lt;/a&gt;&lt;/li&gt;</v>
      </c>
      <c r="U1386" s="15" t="str">
        <f>_xlfn.TEXTBEFORE(_xlfn.TEXTAFTER(CantoralDB[[#This Row],[index.html]],"&gt;"),"&gt;")&amp;"&gt;"</f>
        <v>&lt;a href="canciones/kairoi/salmo.html"&gt;</v>
      </c>
    </row>
    <row r="1387" spans="1:21" hidden="1" x14ac:dyDescent="0.3">
      <c r="A1387" s="1">
        <f>ROW(CantoralDB[[#This Row],[Título]])-1</f>
        <v>1386</v>
      </c>
      <c r="B1387" s="1" t="s">
        <v>3583</v>
      </c>
      <c r="C1387" s="1"/>
      <c r="F1387" s="1">
        <v>245</v>
      </c>
      <c r="I1387" s="1"/>
      <c r="L1387" s="15" t="s">
        <v>799</v>
      </c>
      <c r="M1387" s="15"/>
      <c r="N1387" s="15"/>
      <c r="O1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salvador_para_todos.html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href="canciones/nuevas/salvador_para_todos.html"&gt;Salvador para todos&lt;/a&gt;&lt;/li&gt;</v>
      </c>
      <c r="U1387" s="15" t="str">
        <f>_xlfn.TEXTBEFORE(_xlfn.TEXTAFTER(CantoralDB[[#This Row],[index.html]],"&gt;"),"&gt;")&amp;"&gt;"</f>
        <v>&lt;a href="canciones/nuevas/salvador_para_todos.html"&gt;</v>
      </c>
    </row>
    <row r="1388" spans="1:21" hidden="1" x14ac:dyDescent="0.3">
      <c r="A1388" s="1">
        <f>ROW(CantoralDB[[#This Row],[Título]])-1</f>
        <v>1387</v>
      </c>
      <c r="B1388" s="1" t="s">
        <v>3094</v>
      </c>
      <c r="C1388" s="1"/>
      <c r="F1388" s="1">
        <v>244</v>
      </c>
      <c r="I1388" s="1"/>
      <c r="L1388" s="15" t="s">
        <v>3108</v>
      </c>
      <c r="M1388" s="15"/>
      <c r="N1388" s="15"/>
      <c r="O1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href="canciones/nuevas/salvame.html"&gt;Sálvame&lt;/a&gt;&lt;/li&gt;</v>
      </c>
      <c r="U1388" s="15" t="str">
        <f>_xlfn.TEXTBEFORE(_xlfn.TEXTAFTER(CantoralDB[[#This Row],[index.html]],"&gt;"),"&gt;")&amp;"&gt;"</f>
        <v>&lt;a href="canciones/nuevas/salvame.html"&gt;</v>
      </c>
    </row>
    <row r="1389" spans="1:21" hidden="1" x14ac:dyDescent="0.3">
      <c r="A1389" s="1">
        <f>ROW(CantoralDB[[#This Row],[Título]])-1</f>
        <v>1388</v>
      </c>
      <c r="B1389" s="1" t="s">
        <v>3094</v>
      </c>
      <c r="C1389" s="15"/>
      <c r="I1389" s="1" t="s">
        <v>612</v>
      </c>
      <c r="L1389" s="15" t="s">
        <v>3108</v>
      </c>
      <c r="M1389" s="15"/>
      <c r="N1389" s="15"/>
      <c r="O1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href="canciones/nuevas/salvame.html"&gt;Sálvame&lt;/a&gt;&lt;/li&gt;</v>
      </c>
      <c r="U1389" s="15" t="str">
        <f>_xlfn.TEXTBEFORE(_xlfn.TEXTAFTER(CantoralDB[[#This Row],[index.html]],"&gt;"),"&gt;")&amp;"&gt;"</f>
        <v>&lt;a href="canciones/nuevas/salvame.html"&gt;</v>
      </c>
    </row>
    <row r="1390" spans="1:21" hidden="1" x14ac:dyDescent="0.3">
      <c r="A1390" s="1">
        <f>ROW(CantoralDB[[#This Row],[Título]])-1</f>
        <v>1389</v>
      </c>
      <c r="B1390" s="1" t="s">
        <v>1703</v>
      </c>
      <c r="C1390" s="1"/>
      <c r="I1390" s="1"/>
      <c r="L1390" s="15" t="s">
        <v>484</v>
      </c>
      <c r="M1390" s="15" t="s">
        <v>1578</v>
      </c>
      <c r="N1390" s="15">
        <v>10</v>
      </c>
      <c r="O1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salve_compañera_nuestra.html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1390" s="15" t="str">
        <f>_xlfn.TEXTBEFORE(_xlfn.TEXTAFTER(CantoralDB[[#This Row],[index.html]],"&gt;"),"&gt;")&amp;"&gt;"</f>
        <v>&lt;a href="canciones/kairoi/salve_compañera_nuestra.html"&gt;</v>
      </c>
    </row>
    <row r="1391" spans="1:21" hidden="1" x14ac:dyDescent="0.3">
      <c r="A1391" s="1">
        <f>ROW(CantoralDB[[#This Row],[Título]])-1</f>
        <v>1390</v>
      </c>
      <c r="B1391" s="1" t="s">
        <v>602</v>
      </c>
      <c r="C1391" s="1" t="s">
        <v>200</v>
      </c>
      <c r="D1391" s="1" t="s">
        <v>1095</v>
      </c>
      <c r="G1391" s="1" t="s">
        <v>603</v>
      </c>
      <c r="H1391" s="1" t="s">
        <v>1041</v>
      </c>
      <c r="I1391" s="1" t="s">
        <v>612</v>
      </c>
      <c r="L1391" s="15" t="s">
        <v>799</v>
      </c>
      <c r="M1391" s="15"/>
      <c r="N1391" s="15"/>
      <c r="O1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salve_madre.html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391" s="15" t="str">
        <f>_xlfn.TEXTBEFORE(_xlfn.TEXTAFTER(CantoralDB[[#This Row],[index.html]],"&gt;"),"&gt;")&amp;"&gt;"</f>
        <v>&lt;a href="canciones/nsb/salve_madre.html"&gt;</v>
      </c>
    </row>
    <row r="1392" spans="1:21" hidden="1" x14ac:dyDescent="0.3">
      <c r="A1392" s="1">
        <f>ROW(CantoralDB[[#This Row],[Título]])-1</f>
        <v>1391</v>
      </c>
      <c r="B1392" s="1" t="s">
        <v>587</v>
      </c>
      <c r="C1392" s="1" t="s">
        <v>200</v>
      </c>
      <c r="D1392" s="1" t="s">
        <v>1096</v>
      </c>
      <c r="F1392" s="1">
        <v>97</v>
      </c>
      <c r="G1392" s="1" t="s">
        <v>588</v>
      </c>
      <c r="H1392" s="1" t="s">
        <v>1031</v>
      </c>
      <c r="I1392" s="1" t="s">
        <v>612</v>
      </c>
      <c r="L1392" s="15" t="s">
        <v>604</v>
      </c>
      <c r="M1392" s="15"/>
      <c r="N1392" s="15"/>
      <c r="O1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392" s="15" t="str">
        <f>_xlfn.TEXTBEFORE(_xlfn.TEXTAFTER(CantoralDB[[#This Row],[index.html]],"&gt;"),"&gt;")&amp;"&gt;"</f>
        <v>&lt;a href="canciones/nsb/salve_regina.html"&gt;</v>
      </c>
    </row>
    <row r="1393" spans="1:21" hidden="1" x14ac:dyDescent="0.3">
      <c r="A1393" s="1">
        <f>ROW(CantoralDB[[#This Row],[Título]])-1</f>
        <v>1392</v>
      </c>
      <c r="B1393" s="1" t="s">
        <v>587</v>
      </c>
      <c r="C1393" s="1"/>
      <c r="F1393" s="1">
        <v>285</v>
      </c>
      <c r="I1393" s="1"/>
      <c r="L1393" s="15" t="s">
        <v>3619</v>
      </c>
      <c r="M1393" s="15"/>
      <c r="N1393" s="15"/>
      <c r="O1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393" s="15" t="str">
        <f>_xlfn.TEXTBEFORE(_xlfn.TEXTAFTER(CantoralDB[[#This Row],[index.html]],"&gt;"),"&gt;")&amp;"&gt;"</f>
        <v>&lt;a href="canciones/nuevas/salve_regina.html"&gt;</v>
      </c>
    </row>
    <row r="1394" spans="1:21" hidden="1" x14ac:dyDescent="0.3">
      <c r="A1394" s="1">
        <f>ROW(CantoralDB[[#This Row],[Título]])-1</f>
        <v>1393</v>
      </c>
      <c r="B1394" s="1" t="s">
        <v>1820</v>
      </c>
      <c r="C1394" s="1"/>
      <c r="I1394" s="1" t="s">
        <v>612</v>
      </c>
      <c r="L1394" s="15" t="s">
        <v>501</v>
      </c>
      <c r="M1394" s="15" t="s">
        <v>1549</v>
      </c>
      <c r="N1394" s="15">
        <v>14</v>
      </c>
      <c r="O1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samaritano.html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href="canciones/ain_karem/samaritano.html"&gt;Samaritano&lt;/a&gt;&lt;/li&gt;</v>
      </c>
      <c r="U1394" s="15" t="str">
        <f>_xlfn.TEXTBEFORE(_xlfn.TEXTAFTER(CantoralDB[[#This Row],[index.html]],"&gt;"),"&gt;")&amp;"&gt;"</f>
        <v>&lt;a href="canciones/ain_karem/samaritano.html"&gt;</v>
      </c>
    </row>
    <row r="1395" spans="1:21" hidden="1" x14ac:dyDescent="0.3">
      <c r="A1395" s="1">
        <f>ROW(CantoralDB[[#This Row],[Título]])-1</f>
        <v>1394</v>
      </c>
      <c r="B1395" s="1" t="s">
        <v>3673</v>
      </c>
      <c r="C1395" s="1"/>
      <c r="F1395" s="1">
        <v>341</v>
      </c>
      <c r="I1395" s="1"/>
      <c r="L1395" s="15" t="s">
        <v>3451</v>
      </c>
      <c r="M1395" s="15"/>
      <c r="N1395" s="15"/>
      <c r="O1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saname_ahora.html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395" s="15" t="str">
        <f>_xlfn.TEXTBEFORE(_xlfn.TEXTAFTER(CantoralDB[[#This Row],[index.html]],"&gt;"),"&gt;")&amp;"&gt;"</f>
        <v>&lt;a href="canciones/rosa_cruz/saname_ahora.html"&gt;</v>
      </c>
    </row>
    <row r="1396" spans="1:21" hidden="1" x14ac:dyDescent="0.3">
      <c r="A1396" s="1">
        <f>ROW(CantoralDB[[#This Row],[Título]])-1</f>
        <v>1395</v>
      </c>
      <c r="B1396" s="1" t="s">
        <v>433</v>
      </c>
      <c r="C1396" s="1" t="s">
        <v>1026</v>
      </c>
      <c r="D1396" s="1" t="s">
        <v>1188</v>
      </c>
      <c r="H1396" s="1" t="s">
        <v>1069</v>
      </c>
      <c r="I1396" s="1" t="s">
        <v>612</v>
      </c>
      <c r="L1396" s="15" t="s">
        <v>2201</v>
      </c>
      <c r="M1396" s="15"/>
      <c r="N1396" s="15"/>
      <c r="O1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396" s="15" t="str">
        <f>_xlfn.TEXTBEFORE(_xlfn.TEXTAFTER(CantoralDB[[#This Row],[index.html]],"&gt;"),"&gt;")&amp;"&gt;"</f>
        <v>&lt;a href="canciones/taize/sanasi_on_lamppu.html"&gt;</v>
      </c>
    </row>
    <row r="1397" spans="1:21" hidden="1" x14ac:dyDescent="0.3">
      <c r="A1397" s="1">
        <f>ROW(CantoralDB[[#This Row],[Título]])-1</f>
        <v>1396</v>
      </c>
      <c r="B1397" s="1" t="s">
        <v>1737</v>
      </c>
      <c r="C1397" s="1"/>
      <c r="I1397" s="1"/>
      <c r="L1397" s="15" t="s">
        <v>484</v>
      </c>
      <c r="M1397" s="15" t="s">
        <v>1541</v>
      </c>
      <c r="N1397" s="15">
        <v>6</v>
      </c>
      <c r="O1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santa_familia.html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href="canciones/kairoi/santa_familia.html"&gt;Santa Familia&lt;/a&gt;&lt;/li&gt;</v>
      </c>
      <c r="U1397" s="15" t="str">
        <f>_xlfn.TEXTBEFORE(_xlfn.TEXTAFTER(CantoralDB[[#This Row],[index.html]],"&gt;"),"&gt;")&amp;"&gt;"</f>
        <v>&lt;a href="canciones/kairoi/santa_familia.html"&gt;</v>
      </c>
    </row>
    <row r="1398" spans="1:21" hidden="1" x14ac:dyDescent="0.3">
      <c r="A1398" s="1">
        <f>ROW(CantoralDB[[#This Row],[Título]])-1</f>
        <v>1397</v>
      </c>
      <c r="B1398" s="1" t="s">
        <v>128</v>
      </c>
      <c r="C1398" s="1" t="s">
        <v>200</v>
      </c>
      <c r="D1398" s="1" t="s">
        <v>1097</v>
      </c>
      <c r="E1398" s="1">
        <v>164</v>
      </c>
      <c r="G1398" s="1" t="s">
        <v>209</v>
      </c>
      <c r="H1398" s="1" t="s">
        <v>532</v>
      </c>
      <c r="I1398" s="1" t="s">
        <v>612</v>
      </c>
      <c r="L1398" s="15" t="s">
        <v>491</v>
      </c>
      <c r="M1398" s="15"/>
      <c r="N1398" s="15"/>
      <c r="O1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santa_maria_del_camino.html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1398" s="15" t="str">
        <f>_xlfn.TEXTBEFORE(_xlfn.TEXTAFTER(CantoralDB[[#This Row],[index.html]],"&gt;"),"&gt;")&amp;"&gt;"</f>
        <v>&lt;a href="canciones/juan_antonio_espinosa/santa_maria_del_camino.html"&gt;</v>
      </c>
    </row>
    <row r="1399" spans="1:21" hidden="1" x14ac:dyDescent="0.3">
      <c r="A1399" s="1">
        <f>ROW(CantoralDB[[#This Row],[Título]])-1</f>
        <v>1398</v>
      </c>
      <c r="B1399" s="1" t="s">
        <v>196</v>
      </c>
      <c r="C1399" s="1"/>
      <c r="I1399" s="1" t="s">
        <v>612</v>
      </c>
      <c r="L1399" s="15" t="s">
        <v>501</v>
      </c>
      <c r="M1399" s="15" t="s">
        <v>1549</v>
      </c>
      <c r="N1399" s="15">
        <v>11</v>
      </c>
      <c r="O1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href="canciones/ain_karem/santo.html"&gt;Santo&lt;/a&gt;&lt;/li&gt;</v>
      </c>
      <c r="U1399" s="15" t="str">
        <f>_xlfn.TEXTBEFORE(_xlfn.TEXTAFTER(CantoralDB[[#This Row],[index.html]],"&gt;"),"&gt;")&amp;"&gt;"</f>
        <v>&lt;a href="canciones/ain_karem/santo.html"&gt;</v>
      </c>
    </row>
    <row r="1400" spans="1:21" hidden="1" x14ac:dyDescent="0.3">
      <c r="A1400" s="1">
        <f>ROW(CantoralDB[[#This Row],[Título]])-1</f>
        <v>1399</v>
      </c>
      <c r="B1400" s="1" t="s">
        <v>196</v>
      </c>
      <c r="C1400" s="1"/>
      <c r="I1400" s="1"/>
      <c r="L1400" s="15" t="s">
        <v>499</v>
      </c>
      <c r="M1400" s="15" t="s">
        <v>3803</v>
      </c>
      <c r="N1400" s="15">
        <v>5</v>
      </c>
      <c r="O1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400" s="15" t="str">
        <f>_xlfn.TEXTBEFORE(_xlfn.TEXTAFTER(CantoralDB[[#This Row],[index.html]],"&gt;"),"&gt;")&amp;"&gt;"</f>
        <v>&lt;a href="canciones/brotes_de_olivo/santo.html"&gt;</v>
      </c>
    </row>
    <row r="1401" spans="1:21" hidden="1" x14ac:dyDescent="0.3">
      <c r="A1401" s="1">
        <f>ROW(CantoralDB[[#This Row],[Título]])-1</f>
        <v>1400</v>
      </c>
      <c r="B1401" s="1" t="s">
        <v>196</v>
      </c>
      <c r="C1401" s="1"/>
      <c r="I1401" s="1"/>
      <c r="L1401" s="15" t="s">
        <v>484</v>
      </c>
      <c r="M1401" s="15" t="s">
        <v>1537</v>
      </c>
      <c r="N1401" s="15">
        <v>8</v>
      </c>
      <c r="O1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href="canciones/kairoi/santo.html"&gt;Santo&lt;/a&gt;&lt;/li&gt;</v>
      </c>
      <c r="U1401" s="15" t="str">
        <f>_xlfn.TEXTBEFORE(_xlfn.TEXTAFTER(CantoralDB[[#This Row],[index.html]],"&gt;"),"&gt;")&amp;"&gt;"</f>
        <v>&lt;a href="canciones/kairoi/santo.html"&gt;</v>
      </c>
    </row>
    <row r="1402" spans="1:21" hidden="1" x14ac:dyDescent="0.3">
      <c r="A1402" s="1">
        <f>ROW(CantoralDB[[#This Row],[Título]])-1</f>
        <v>1401</v>
      </c>
      <c r="B1402" s="1" t="s">
        <v>129</v>
      </c>
      <c r="C1402" s="1" t="s">
        <v>196</v>
      </c>
      <c r="D1402" s="1" t="s">
        <v>1500</v>
      </c>
      <c r="E1402" s="1">
        <v>455</v>
      </c>
      <c r="F1402" s="1">
        <v>45</v>
      </c>
      <c r="G1402" s="1" t="s">
        <v>209</v>
      </c>
      <c r="H1402" s="1" t="s">
        <v>1047</v>
      </c>
      <c r="I1402" s="1" t="s">
        <v>612</v>
      </c>
      <c r="L1402" s="15" t="s">
        <v>523</v>
      </c>
      <c r="M1402" s="15"/>
      <c r="N1402" s="15"/>
      <c r="O1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santo_(cielo_y_tierra_pasaran).html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402" s="15" t="str">
        <f>_xlfn.TEXTBEFORE(_xlfn.TEXTAFTER(CantoralDB[[#This Row],[index.html]],"&gt;"),"&gt;")&amp;"&gt;"</f>
        <v>&lt;a href="canciones/nsb/santo_(cielo_y_tierra_pasaran).html"&gt;</v>
      </c>
    </row>
    <row r="1403" spans="1:21" hidden="1" x14ac:dyDescent="0.3">
      <c r="A1403" s="1">
        <f>ROW(CantoralDB[[#This Row],[Título]])-1</f>
        <v>1402</v>
      </c>
      <c r="B1403" s="1" t="s">
        <v>529</v>
      </c>
      <c r="C1403" s="1" t="s">
        <v>196</v>
      </c>
      <c r="D1403" s="1" t="s">
        <v>1502</v>
      </c>
      <c r="G1403" s="1" t="s">
        <v>220</v>
      </c>
      <c r="H1403" s="1" t="s">
        <v>1051</v>
      </c>
      <c r="I1403" s="1" t="s">
        <v>612</v>
      </c>
      <c r="L1403" s="15" t="s">
        <v>482</v>
      </c>
      <c r="M1403" s="15" t="s">
        <v>1893</v>
      </c>
      <c r="N1403" s="15">
        <v>7</v>
      </c>
      <c r="O1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santo_(estan_llenos_de_tu_amor).html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403" s="15" t="str">
        <f>_xlfn.TEXTBEFORE(_xlfn.TEXTAFTER(CantoralDB[[#This Row],[index.html]],"&gt;"),"&gt;")&amp;"&gt;"</f>
        <v>&lt;a href="canciones/toño_casado/santo_(estan_llenos_de_tu_amor).html"&gt;</v>
      </c>
    </row>
    <row r="1404" spans="1:21" hidden="1" x14ac:dyDescent="0.3">
      <c r="A1404" s="1">
        <f>ROW(CantoralDB[[#This Row],[Título]])-1</f>
        <v>1403</v>
      </c>
      <c r="B1404" s="1" t="s">
        <v>3449</v>
      </c>
      <c r="C1404" s="1"/>
      <c r="F1404" s="1">
        <v>113</v>
      </c>
      <c r="I1404" s="1"/>
      <c r="L1404" s="15" t="s">
        <v>630</v>
      </c>
      <c r="M1404" s="15"/>
      <c r="N1404" s="15"/>
      <c r="O1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santo_(gen_rosso).html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1404" s="15" t="str">
        <f>_xlfn.TEXTBEFORE(_xlfn.TEXTAFTER(CantoralDB[[#This Row],[index.html]],"&gt;"),"&gt;")&amp;"&gt;"</f>
        <v>&lt;a href="canciones/nuevas/santo_(gen_rosso).html"&gt;</v>
      </c>
    </row>
    <row r="1405" spans="1:21" hidden="1" x14ac:dyDescent="0.3">
      <c r="A1405" s="1">
        <f>ROW(CantoralDB[[#This Row],[Título]])-1</f>
        <v>1404</v>
      </c>
      <c r="B1405" s="1" t="s">
        <v>527</v>
      </c>
      <c r="C1405" s="1" t="s">
        <v>196</v>
      </c>
      <c r="D1405" s="1" t="s">
        <v>1501</v>
      </c>
      <c r="F1405" s="1">
        <v>74</v>
      </c>
      <c r="G1405" s="1" t="s">
        <v>209</v>
      </c>
      <c r="H1405" s="1" t="s">
        <v>532</v>
      </c>
      <c r="I1405" s="1" t="s">
        <v>612</v>
      </c>
      <c r="L1405" s="15" t="s">
        <v>586</v>
      </c>
      <c r="M1405" s="15"/>
      <c r="N1405" s="15"/>
      <c r="O1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santo_(händel).html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405" s="15" t="str">
        <f>_xlfn.TEXTBEFORE(_xlfn.TEXTAFTER(CantoralDB[[#This Row],[index.html]],"&gt;"),"&gt;")&amp;"&gt;"</f>
        <v>&lt;a href="canciones/nsb/santo_(händel).html"&gt;</v>
      </c>
    </row>
    <row r="1406" spans="1:21" hidden="1" x14ac:dyDescent="0.3">
      <c r="A1406" s="1">
        <f>ROW(CantoralDB[[#This Row],[Título]])-1</f>
        <v>1405</v>
      </c>
      <c r="B1406" s="1" t="s">
        <v>530</v>
      </c>
      <c r="C1406" s="1" t="s">
        <v>196</v>
      </c>
      <c r="D1406" s="1" t="s">
        <v>1503</v>
      </c>
      <c r="G1406" s="1" t="s">
        <v>220</v>
      </c>
      <c r="H1406" s="1" t="s">
        <v>1034</v>
      </c>
      <c r="I1406" s="1" t="s">
        <v>612</v>
      </c>
      <c r="L1406" s="15" t="s">
        <v>482</v>
      </c>
      <c r="M1406" s="15" t="s">
        <v>1899</v>
      </c>
      <c r="N1406" s="15">
        <v>7</v>
      </c>
      <c r="O1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santo_(hosanna_en_el_cielo_al_señor).html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406" s="15" t="str">
        <f>_xlfn.TEXTBEFORE(_xlfn.TEXTAFTER(CantoralDB[[#This Row],[index.html]],"&gt;"),"&gt;")&amp;"&gt;"</f>
        <v>&lt;a href="canciones/toño_casado/santo_(hosanna_en_el_cielo_al_señor).html"&gt;</v>
      </c>
    </row>
    <row r="1407" spans="1:21" hidden="1" x14ac:dyDescent="0.3">
      <c r="A1407" s="1">
        <f>ROW(CantoralDB[[#This Row],[Título]])-1</f>
        <v>1406</v>
      </c>
      <c r="B1407" s="1" t="s">
        <v>2099</v>
      </c>
      <c r="C1407" s="1"/>
      <c r="I1407" s="1" t="s">
        <v>612</v>
      </c>
      <c r="L1407" s="15" t="s">
        <v>481</v>
      </c>
      <c r="M1407" s="15" t="s">
        <v>2135</v>
      </c>
      <c r="N1407" s="15">
        <v>5</v>
      </c>
      <c r="O1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santo_(misa_coral).html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href="canciones/francisco_palazon/santo_(misa_coral).html"&gt;Santo (misa coral)&lt;/a&gt;&lt;/li&gt;</v>
      </c>
      <c r="U1407" s="15" t="str">
        <f>_xlfn.TEXTBEFORE(_xlfn.TEXTAFTER(CantoralDB[[#This Row],[index.html]],"&gt;"),"&gt;")&amp;"&gt;"</f>
        <v>&lt;a href="canciones/francisco_palazon/santo_(misa_coral).html"&gt;</v>
      </c>
    </row>
    <row r="1408" spans="1:21" hidden="1" x14ac:dyDescent="0.3">
      <c r="A1408" s="1">
        <f>ROW(CantoralDB[[#This Row],[Título]])-1</f>
        <v>1407</v>
      </c>
      <c r="B1408" s="1" t="s">
        <v>232</v>
      </c>
      <c r="C1408" s="1" t="s">
        <v>196</v>
      </c>
      <c r="D1408" s="1" t="s">
        <v>1508</v>
      </c>
      <c r="G1408" s="1" t="s">
        <v>216</v>
      </c>
      <c r="H1408" s="1" t="s">
        <v>532</v>
      </c>
      <c r="I1408" s="1" t="s">
        <v>612</v>
      </c>
      <c r="L1408" s="15" t="s">
        <v>525</v>
      </c>
      <c r="M1408" s="15"/>
      <c r="N1408" s="15"/>
      <c r="O1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santo_(mocedades).html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408" s="15" t="str">
        <f>_xlfn.TEXTBEFORE(_xlfn.TEXTAFTER(CantoralDB[[#This Row],[index.html]],"&gt;"),"&gt;")&amp;"&gt;"</f>
        <v>&lt;a href="canciones/nsb/santo_(mocedades).html"&gt;</v>
      </c>
    </row>
    <row r="1409" spans="1:21" hidden="1" x14ac:dyDescent="0.3">
      <c r="A1409" s="1">
        <f>ROW(CantoralDB[[#This Row],[Título]])-1</f>
        <v>1408</v>
      </c>
      <c r="B1409" s="1" t="s">
        <v>531</v>
      </c>
      <c r="C1409" s="1" t="s">
        <v>196</v>
      </c>
      <c r="D1409" s="1" t="s">
        <v>1505</v>
      </c>
      <c r="G1409" s="1" t="s">
        <v>254</v>
      </c>
      <c r="H1409" s="1" t="s">
        <v>473</v>
      </c>
      <c r="I1409" s="1" t="s">
        <v>612</v>
      </c>
      <c r="L1409" s="15" t="s">
        <v>524</v>
      </c>
      <c r="M1409" s="15"/>
      <c r="N1409" s="15"/>
      <c r="O1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santo_(olguin).html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409" s="15" t="str">
        <f>_xlfn.TEXTBEFORE(_xlfn.TEXTAFTER(CantoralDB[[#This Row],[index.html]],"&gt;"),"&gt;")&amp;"&gt;"</f>
        <v>&lt;a href="canciones/nsb/santo_(olguin).html"&gt;</v>
      </c>
    </row>
    <row r="1410" spans="1:21" hidden="1" x14ac:dyDescent="0.3">
      <c r="A1410" s="1">
        <f>ROW(CantoralDB[[#This Row],[Título]])-1</f>
        <v>1409</v>
      </c>
      <c r="B1410" s="1" t="s">
        <v>1277</v>
      </c>
      <c r="C1410" s="1" t="s">
        <v>196</v>
      </c>
      <c r="D1410" s="1" t="s">
        <v>1506</v>
      </c>
      <c r="E1410" s="1">
        <v>245</v>
      </c>
      <c r="G1410" s="1" t="s">
        <v>209</v>
      </c>
      <c r="H1410" s="1" t="s">
        <v>1054</v>
      </c>
      <c r="I1410" s="1" t="s">
        <v>612</v>
      </c>
      <c r="L1410" s="15" t="s">
        <v>481</v>
      </c>
      <c r="M1410" s="15" t="s">
        <v>21</v>
      </c>
      <c r="N1410" s="15">
        <v>6</v>
      </c>
      <c r="O1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santo_(palazon).html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1410" s="15" t="str">
        <f>_xlfn.TEXTBEFORE(_xlfn.TEXTAFTER(CantoralDB[[#This Row],[index.html]],"&gt;"),"&gt;")&amp;"&gt;"</f>
        <v>&lt;a href="canciones/francisco_palazon/santo_(palazon).html"&gt;</v>
      </c>
    </row>
    <row r="1411" spans="1:21" hidden="1" x14ac:dyDescent="0.3">
      <c r="A1411" s="1">
        <f>ROW(CantoralDB[[#This Row],[Título]])-1</f>
        <v>1410</v>
      </c>
      <c r="B1411" s="1" t="s">
        <v>2095</v>
      </c>
      <c r="C1411" s="1"/>
      <c r="I1411" s="1"/>
      <c r="L1411" s="15" t="s">
        <v>481</v>
      </c>
      <c r="M1411" s="15" t="s">
        <v>2097</v>
      </c>
      <c r="N1411" s="15">
        <v>6</v>
      </c>
      <c r="O1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santo_(requiem).html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1411" s="15" t="str">
        <f>_xlfn.TEXTBEFORE(_xlfn.TEXTAFTER(CantoralDB[[#This Row],[index.html]],"&gt;"),"&gt;")&amp;"&gt;"</f>
        <v>&lt;a href="canciones/francisco_palazon/santo_(requiem).html"&gt;</v>
      </c>
    </row>
    <row r="1412" spans="1:21" hidden="1" x14ac:dyDescent="0.3">
      <c r="A1412" s="1">
        <f>ROW(CantoralDB[[#This Row],[Título]])-1</f>
        <v>1411</v>
      </c>
      <c r="B1412" s="1" t="s">
        <v>3121</v>
      </c>
      <c r="C1412" s="1"/>
      <c r="I1412" s="1"/>
      <c r="L1412" s="15" t="s">
        <v>481</v>
      </c>
      <c r="M1412" s="15" t="s">
        <v>1977</v>
      </c>
      <c r="N1412" s="15">
        <v>4</v>
      </c>
      <c r="O1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santo_(reunidos_en_su_nombre).html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1412" s="15" t="str">
        <f>_xlfn.TEXTBEFORE(_xlfn.TEXTAFTER(CantoralDB[[#This Row],[index.html]],"&gt;"),"&gt;")&amp;"&gt;"</f>
        <v>&lt;a href="canciones/francisco_palazon/santo_(reunidos_en_su_nombre).html"&gt;</v>
      </c>
    </row>
    <row r="1413" spans="1:21" hidden="1" x14ac:dyDescent="0.3">
      <c r="A1413" s="1">
        <f>ROW(CantoralDB[[#This Row],[Título]])-1</f>
        <v>1412</v>
      </c>
      <c r="B1413" s="1" t="s">
        <v>583</v>
      </c>
      <c r="C1413" s="1" t="s">
        <v>196</v>
      </c>
      <c r="D1413" s="1" t="s">
        <v>1507</v>
      </c>
      <c r="G1413" s="1" t="s">
        <v>209</v>
      </c>
      <c r="H1413" s="1" t="s">
        <v>1041</v>
      </c>
      <c r="I1413" s="1" t="s">
        <v>612</v>
      </c>
      <c r="L1413" s="15" t="s">
        <v>799</v>
      </c>
      <c r="M1413" s="15"/>
      <c r="N1413" s="15"/>
      <c r="O1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santo_(santo_domingo_de_silos).html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413" s="15" t="str">
        <f>_xlfn.TEXTBEFORE(_xlfn.TEXTAFTER(CantoralDB[[#This Row],[index.html]],"&gt;"),"&gt;")&amp;"&gt;"</f>
        <v>&lt;a href="canciones/nsb/santo_(santo_domingo_de_silos).html"&gt;</v>
      </c>
    </row>
    <row r="1414" spans="1:21" hidden="1" x14ac:dyDescent="0.3">
      <c r="A1414" s="1">
        <f>ROW(CantoralDB[[#This Row],[Título]])-1</f>
        <v>1413</v>
      </c>
      <c r="B1414" s="1" t="s">
        <v>130</v>
      </c>
      <c r="C1414" s="1" t="s">
        <v>196</v>
      </c>
      <c r="D1414" s="1" t="s">
        <v>1504</v>
      </c>
      <c r="E1414" s="1">
        <v>457</v>
      </c>
      <c r="G1414" s="1" t="s">
        <v>209</v>
      </c>
      <c r="H1414" s="1" t="s">
        <v>1037</v>
      </c>
      <c r="I1414" s="1" t="s">
        <v>612</v>
      </c>
      <c r="L1414" s="15" t="s">
        <v>526</v>
      </c>
      <c r="M1414" s="15"/>
      <c r="N1414" s="15"/>
      <c r="O1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santo_(the_beatles).html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414" s="15" t="str">
        <f>_xlfn.TEXTBEFORE(_xlfn.TEXTAFTER(CantoralDB[[#This Row],[index.html]],"&gt;"),"&gt;")&amp;"&gt;"</f>
        <v>&lt;a href="canciones/nsb/santo_(the_beatles).html"&gt;</v>
      </c>
    </row>
    <row r="1415" spans="1:21" hidden="1" x14ac:dyDescent="0.3">
      <c r="A1415" s="1">
        <f>ROW(CantoralDB[[#This Row],[Título]])-1</f>
        <v>1414</v>
      </c>
      <c r="B1415" s="1" t="s">
        <v>571</v>
      </c>
      <c r="C1415" s="1" t="s">
        <v>196</v>
      </c>
      <c r="D1415" s="1" t="s">
        <v>782</v>
      </c>
      <c r="G1415" s="1" t="s">
        <v>209</v>
      </c>
      <c r="H1415" s="1" t="s">
        <v>1041</v>
      </c>
      <c r="I1415" s="1" t="s">
        <v>612</v>
      </c>
      <c r="L1415" s="15" t="s">
        <v>799</v>
      </c>
      <c r="M1415" s="15"/>
      <c r="N1415" s="15"/>
      <c r="O1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santo_eres_señor_dios_nuestro.html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415" s="15" t="str">
        <f>_xlfn.TEXTBEFORE(_xlfn.TEXTAFTER(CantoralDB[[#This Row],[index.html]],"&gt;"),"&gt;")&amp;"&gt;"</f>
        <v>&lt;a href="canciones/nsb/santo_eres_señor_dios_nuestro.html"&gt;</v>
      </c>
    </row>
    <row r="1416" spans="1:21" hidden="1" x14ac:dyDescent="0.3">
      <c r="A1416" s="1">
        <f>ROW(CantoralDB[[#This Row],[Título]])-1</f>
        <v>1415</v>
      </c>
      <c r="B1416" s="1" t="s">
        <v>564</v>
      </c>
      <c r="C1416" s="1"/>
      <c r="F1416" s="1">
        <v>161</v>
      </c>
      <c r="I1416" s="1"/>
      <c r="L1416" s="15" t="s">
        <v>799</v>
      </c>
      <c r="M1416" s="15"/>
      <c r="N1416" s="15"/>
      <c r="O1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href="canciones/nuevas/santo_es_el_señor.html"&gt;Santo es el Señor&lt;/a&gt;&lt;/li&gt;</v>
      </c>
      <c r="U1416" s="15" t="str">
        <f>_xlfn.TEXTBEFORE(_xlfn.TEXTAFTER(CantoralDB[[#This Row],[index.html]],"&gt;"),"&gt;")&amp;"&gt;"</f>
        <v>&lt;a href="canciones/nuevas/santo_es_el_señor.html"&gt;</v>
      </c>
    </row>
    <row r="1417" spans="1:21" hidden="1" x14ac:dyDescent="0.3">
      <c r="A1417" s="1">
        <f>ROW(CantoralDB[[#This Row],[Título]])-1</f>
        <v>1416</v>
      </c>
      <c r="B1417" s="1" t="s">
        <v>564</v>
      </c>
      <c r="C1417" s="1" t="s">
        <v>196</v>
      </c>
      <c r="D1417" s="1" t="s">
        <v>783</v>
      </c>
      <c r="G1417" s="1" t="s">
        <v>557</v>
      </c>
      <c r="H1417" s="1" t="s">
        <v>1034</v>
      </c>
      <c r="I1417" s="1" t="s">
        <v>612</v>
      </c>
      <c r="L1417" s="15" t="s">
        <v>799</v>
      </c>
      <c r="M1417" s="15"/>
      <c r="N1417" s="15"/>
      <c r="O1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417" s="15" t="str">
        <f>_xlfn.TEXTBEFORE(_xlfn.TEXTAFTER(CantoralDB[[#This Row],[index.html]],"&gt;"),"&gt;")&amp;"&gt;"</f>
        <v>&lt;a href="canciones/nsb/santo_es_el_señor.html"&gt;</v>
      </c>
    </row>
    <row r="1418" spans="1:21" hidden="1" x14ac:dyDescent="0.3">
      <c r="A1418" s="1">
        <f>ROW(CantoralDB[[#This Row],[Título]])-1</f>
        <v>1417</v>
      </c>
      <c r="B1418" s="1" t="s">
        <v>528</v>
      </c>
      <c r="C1418" s="1" t="s">
        <v>196</v>
      </c>
      <c r="D1418" s="1" t="s">
        <v>781</v>
      </c>
      <c r="E1418" s="1">
        <v>231</v>
      </c>
      <c r="G1418" s="1" t="s">
        <v>209</v>
      </c>
      <c r="H1418" s="1" t="s">
        <v>1031</v>
      </c>
      <c r="I1418" s="1" t="s">
        <v>612</v>
      </c>
      <c r="L1418" s="15" t="s">
        <v>519</v>
      </c>
      <c r="M1418" s="15"/>
      <c r="N1418" s="15"/>
      <c r="O1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santo_salvadoreño.html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418" s="15" t="str">
        <f>_xlfn.TEXTBEFORE(_xlfn.TEXTAFTER(CantoralDB[[#This Row],[index.html]],"&gt;"),"&gt;")&amp;"&gt;"</f>
        <v>&lt;a href="canciones/nsb/santo_salvadoreño.html"&gt;</v>
      </c>
    </row>
    <row r="1419" spans="1:21" hidden="1" x14ac:dyDescent="0.3">
      <c r="A1419" s="1">
        <f>ROW(CantoralDB[[#This Row],[Título]])-1</f>
        <v>1418</v>
      </c>
      <c r="B1419" s="1" t="s">
        <v>3352</v>
      </c>
      <c r="C1419" s="1"/>
      <c r="F1419" s="1">
        <v>18</v>
      </c>
      <c r="I1419" s="1"/>
      <c r="L1419" s="15" t="s">
        <v>3353</v>
      </c>
      <c r="M1419" s="15"/>
      <c r="N1419" s="15"/>
      <c r="O1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santo_tu_eres_señor.html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419" s="15" t="str">
        <f>_xlfn.TEXTBEFORE(_xlfn.TEXTAFTER(CantoralDB[[#This Row],[index.html]],"&gt;"),"&gt;")&amp;"&gt;"</f>
        <v>&lt;a href="canciones/nuevas/santo_tu_eres_señor.html"&gt;</v>
      </c>
    </row>
    <row r="1420" spans="1:21" hidden="1" x14ac:dyDescent="0.3">
      <c r="A1420" s="1">
        <f>ROW(CantoralDB[[#This Row],[Título]])-1</f>
        <v>1419</v>
      </c>
      <c r="B1420" s="1" t="s">
        <v>131</v>
      </c>
      <c r="C1420" s="1" t="s">
        <v>196</v>
      </c>
      <c r="D1420" s="1" t="s">
        <v>784</v>
      </c>
      <c r="E1420" s="1">
        <v>459</v>
      </c>
      <c r="F1420" s="1">
        <v>379</v>
      </c>
      <c r="G1420" s="1" t="s">
        <v>209</v>
      </c>
      <c r="H1420" s="1" t="s">
        <v>1031</v>
      </c>
      <c r="I1420" s="1" t="s">
        <v>612</v>
      </c>
      <c r="L1420" s="15" t="s">
        <v>799</v>
      </c>
      <c r="M1420" s="15"/>
      <c r="N1420" s="15"/>
      <c r="O1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santo_zaireño.html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420" s="15" t="str">
        <f>_xlfn.TEXTBEFORE(_xlfn.TEXTAFTER(CantoralDB[[#This Row],[index.html]],"&gt;"),"&gt;")&amp;"&gt;"</f>
        <v>&lt;a href="canciones/nsb/santo_zaireño.html"&gt;</v>
      </c>
    </row>
    <row r="1421" spans="1:21" hidden="1" x14ac:dyDescent="0.3">
      <c r="A1421" s="1">
        <f>ROW(CantoralDB[[#This Row],[Título]])-1</f>
        <v>1420</v>
      </c>
      <c r="B1421" s="1" t="s">
        <v>3410</v>
      </c>
      <c r="C1421" s="1"/>
      <c r="F1421" s="1">
        <v>71</v>
      </c>
      <c r="I1421" s="1"/>
      <c r="L1421" s="15" t="s">
        <v>799</v>
      </c>
      <c r="M1421" s="15"/>
      <c r="N1421" s="15"/>
      <c r="O1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santo_dios_de_fuerza_y_poder.html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421" s="15" t="str">
        <f>_xlfn.TEXTBEFORE(_xlfn.TEXTAFTER(CantoralDB[[#This Row],[index.html]],"&gt;"),"&gt;")&amp;"&gt;"</f>
        <v>&lt;a href="canciones/nuevas/santo_dios_de_fuerza_y_poder.html"&gt;</v>
      </c>
    </row>
    <row r="1422" spans="1:21" hidden="1" x14ac:dyDescent="0.3">
      <c r="A1422" s="1">
        <f>ROW(CantoralDB[[#This Row],[Título]])-1</f>
        <v>1421</v>
      </c>
      <c r="B1422" s="1" t="s">
        <v>3411</v>
      </c>
      <c r="C1422" s="1"/>
      <c r="F1422" s="1">
        <v>72</v>
      </c>
      <c r="I1422" s="1"/>
      <c r="L1422" s="15" t="s">
        <v>799</v>
      </c>
      <c r="M1422" s="15"/>
      <c r="N1422" s="15"/>
      <c r="O1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santo_dios_de_los_hombres.html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422" s="15" t="str">
        <f>_xlfn.TEXTBEFORE(_xlfn.TEXTAFTER(CantoralDB[[#This Row],[index.html]],"&gt;"),"&gt;")&amp;"&gt;"</f>
        <v>&lt;a href="canciones/nuevas/santo_dios_de_los_hombres.html"&gt;</v>
      </c>
    </row>
    <row r="1423" spans="1:21" hidden="1" x14ac:dyDescent="0.3">
      <c r="A1423" s="1">
        <f>ROW(CantoralDB[[#This Row],[Título]])-1</f>
        <v>1422</v>
      </c>
      <c r="B1423" s="1" t="s">
        <v>569</v>
      </c>
      <c r="C1423" s="1" t="s">
        <v>196</v>
      </c>
      <c r="D1423" s="1" t="s">
        <v>785</v>
      </c>
      <c r="G1423" s="1" t="s">
        <v>557</v>
      </c>
      <c r="H1423" s="1" t="s">
        <v>532</v>
      </c>
      <c r="I1423" s="1" t="s">
        <v>612</v>
      </c>
      <c r="L1423" s="15" t="s">
        <v>570</v>
      </c>
      <c r="M1423" s="15"/>
      <c r="N1423" s="15"/>
      <c r="O1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santo_santo_santo.html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423" s="15" t="str">
        <f>_xlfn.TEXTBEFORE(_xlfn.TEXTAFTER(CantoralDB[[#This Row],[index.html]],"&gt;"),"&gt;")&amp;"&gt;"</f>
        <v>&lt;a href="canciones/nsb/santo_santo_santo.html"&gt;</v>
      </c>
    </row>
    <row r="1424" spans="1:21" hidden="1" x14ac:dyDescent="0.3">
      <c r="A1424" s="1">
        <f>ROW(CantoralDB[[#This Row],[Título]])-1</f>
        <v>1423</v>
      </c>
      <c r="B1424" s="1" t="s">
        <v>1768</v>
      </c>
      <c r="C1424" s="1"/>
      <c r="I1424" s="1"/>
      <c r="L1424" s="15" t="s">
        <v>484</v>
      </c>
      <c r="M1424" s="15" t="s">
        <v>1544</v>
      </c>
      <c r="N1424" s="15">
        <v>6</v>
      </c>
      <c r="O1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scaramouche.html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href="canciones/kairoi/scaramouche.html"&gt;Scaramouche&lt;/a&gt;&lt;/li&gt;</v>
      </c>
      <c r="U1424" s="15" t="str">
        <f>_xlfn.TEXTBEFORE(_xlfn.TEXTAFTER(CantoralDB[[#This Row],[index.html]],"&gt;"),"&gt;")&amp;"&gt;"</f>
        <v>&lt;a href="canciones/kairoi/scaramouche.html"&gt;</v>
      </c>
    </row>
    <row r="1425" spans="1:21" hidden="1" x14ac:dyDescent="0.3">
      <c r="A1425" s="1">
        <f>ROW(CantoralDB[[#This Row],[Título]])-1</f>
        <v>1424</v>
      </c>
      <c r="B1425" s="1" t="s">
        <v>1365</v>
      </c>
      <c r="C1425" s="1"/>
      <c r="E1425" s="1">
        <v>244</v>
      </c>
      <c r="I1425" s="1" t="s">
        <v>612</v>
      </c>
      <c r="L1425" s="15" t="s">
        <v>479</v>
      </c>
      <c r="M1425" s="15"/>
      <c r="N1425" s="15"/>
      <c r="O1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se_acerca_el_reino_de_dios.html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1425" s="15" t="str">
        <f>_xlfn.TEXTBEFORE(_xlfn.TEXTAFTER(CantoralDB[[#This Row],[index.html]],"&gt;"),"&gt;")&amp;"&gt;"</f>
        <v>&lt;a href="canciones/carmelo_erdozain/se_acerca_el_reino_de_dios.html"&gt;</v>
      </c>
    </row>
    <row r="1426" spans="1:21" hidden="1" x14ac:dyDescent="0.3">
      <c r="A1426" s="1">
        <f>ROW(CantoralDB[[#This Row],[Título]])-1</f>
        <v>1425</v>
      </c>
      <c r="B1426" s="1" t="s">
        <v>132</v>
      </c>
      <c r="C1426" s="1" t="s">
        <v>997</v>
      </c>
      <c r="D1426" s="1" t="s">
        <v>1006</v>
      </c>
      <c r="E1426" s="1">
        <v>233</v>
      </c>
      <c r="G1426" s="1" t="s">
        <v>209</v>
      </c>
      <c r="H1426" s="1" t="s">
        <v>532</v>
      </c>
      <c r="I1426" s="1" t="s">
        <v>612</v>
      </c>
      <c r="L1426" s="15" t="s">
        <v>799</v>
      </c>
      <c r="M1426" s="15"/>
      <c r="N1426" s="15"/>
      <c r="O1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se_acerca_tu_navidad.html</v>
      </c>
      <c r="R1426" s="1"/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426" s="15" t="str">
        <f>_xlfn.TEXTBEFORE(_xlfn.TEXTAFTER(CantoralDB[[#This Row],[index.html]],"&gt;"),"&gt;")&amp;"&gt;"</f>
        <v>&lt;a href="canciones/nsb/se_acerca_tu_navidad.html"&gt;</v>
      </c>
    </row>
    <row r="1427" spans="1:21" hidden="1" x14ac:dyDescent="0.3">
      <c r="A1427" s="1">
        <f>ROW(CantoralDB[[#This Row],[Título]])-1</f>
        <v>1426</v>
      </c>
      <c r="B1427" s="1" t="s">
        <v>3729</v>
      </c>
      <c r="C1427" s="1"/>
      <c r="F1427" s="1">
        <v>388</v>
      </c>
      <c r="I1427" s="1"/>
      <c r="L1427" s="15" t="s">
        <v>799</v>
      </c>
      <c r="M1427" s="15"/>
      <c r="N1427" s="15"/>
      <c r="O1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se_encienden_las_velas.html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href="canciones/nuevas/se_encienden_las_velas.html"&gt;Se encienden las velas&lt;/a&gt;&lt;/li&gt;</v>
      </c>
      <c r="U1427" s="15" t="str">
        <f>_xlfn.TEXTBEFORE(_xlfn.TEXTAFTER(CantoralDB[[#This Row],[index.html]],"&gt;"),"&gt;")&amp;"&gt;"</f>
        <v>&lt;a href="canciones/nuevas/se_encienden_las_velas.html"&gt;</v>
      </c>
    </row>
    <row r="1428" spans="1:21" hidden="1" x14ac:dyDescent="0.3">
      <c r="A1428" s="1">
        <f>ROW(CantoralDB[[#This Row],[Título]])-1</f>
        <v>1427</v>
      </c>
      <c r="B1428" s="1" t="s">
        <v>3741</v>
      </c>
      <c r="C1428" s="1"/>
      <c r="F1428" s="1">
        <v>396</v>
      </c>
      <c r="I1428" s="1"/>
      <c r="L1428" s="15" t="s">
        <v>3743</v>
      </c>
      <c r="M1428" s="15"/>
      <c r="N1428" s="15"/>
      <c r="O1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se_exalta_nuestro_dios.html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428" s="15" t="str">
        <f>_xlfn.TEXTBEFORE(_xlfn.TEXTAFTER(CantoralDB[[#This Row],[index.html]],"&gt;"),"&gt;")&amp;"&gt;"</f>
        <v>&lt;a href="canciones/nuevas/se_exalta_nuestro_dios.html"&gt;</v>
      </c>
    </row>
    <row r="1429" spans="1:21" hidden="1" x14ac:dyDescent="0.3">
      <c r="A1429" s="1">
        <f>ROW(CantoralDB[[#This Row],[Título]])-1</f>
        <v>1428</v>
      </c>
      <c r="B1429" s="1" t="s">
        <v>3337</v>
      </c>
      <c r="C1429" s="1"/>
      <c r="F1429" s="1">
        <v>4</v>
      </c>
      <c r="I1429" s="1"/>
      <c r="L1429" s="15" t="s">
        <v>3338</v>
      </c>
      <c r="M1429" s="15"/>
      <c r="N1429" s="15"/>
      <c r="O1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se_fue_pero_a_nuestro_lado_esta.html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429" s="15" t="str">
        <f>_xlfn.TEXTBEFORE(_xlfn.TEXTAFTER(CantoralDB[[#This Row],[index.html]],"&gt;"),"&gt;")&amp;"&gt;"</f>
        <v>&lt;a href="canciones/nuevas/se_fue_pero_a_nuestro_lado_esta.html"&gt;</v>
      </c>
    </row>
    <row r="1430" spans="1:21" hidden="1" x14ac:dyDescent="0.3">
      <c r="A1430" s="1">
        <f>ROW(CantoralDB[[#This Row],[Título]])-1</f>
        <v>1429</v>
      </c>
      <c r="B1430" s="1" t="s">
        <v>1800</v>
      </c>
      <c r="C1430" s="1"/>
      <c r="I1430" s="1" t="s">
        <v>612</v>
      </c>
      <c r="L1430" s="15" t="s">
        <v>501</v>
      </c>
      <c r="M1430" s="15" t="s">
        <v>1548</v>
      </c>
      <c r="N1430" s="15">
        <v>4</v>
      </c>
      <c r="O1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se_mi_luz.html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href="canciones/ain_karem/se_mi_luz.html"&gt;Sé mi luz&lt;/a&gt;&lt;/li&gt;</v>
      </c>
      <c r="U1430" s="15" t="str">
        <f>_xlfn.TEXTBEFORE(_xlfn.TEXTAFTER(CantoralDB[[#This Row],[index.html]],"&gt;"),"&gt;")&amp;"&gt;"</f>
        <v>&lt;a href="canciones/ain_karem/se_mi_luz.html"&gt;</v>
      </c>
    </row>
    <row r="1431" spans="1:21" hidden="1" x14ac:dyDescent="0.3">
      <c r="A1431" s="1">
        <f>ROW(CantoralDB[[#This Row],[Título]])-1</f>
        <v>1430</v>
      </c>
      <c r="B1431" s="1" t="s">
        <v>3246</v>
      </c>
      <c r="C1431" s="1"/>
      <c r="I1431" s="1"/>
      <c r="L1431" s="15" t="s">
        <v>3160</v>
      </c>
      <c r="M1431" s="15" t="s">
        <v>53</v>
      </c>
      <c r="N1431" s="15">
        <v>9</v>
      </c>
      <c r="O1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se_que_no_me_dejaras.html</v>
      </c>
      <c r="R1431" s="1" t="s">
        <v>3243</v>
      </c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href="canciones/hermana_glenda/se_que_no_me_dejaras.html"&gt;Sé que no me dejarás&lt;/a&gt;&lt;/li&gt;</v>
      </c>
      <c r="U1431" s="15" t="str">
        <f>_xlfn.TEXTBEFORE(_xlfn.TEXTAFTER(CantoralDB[[#This Row],[index.html]],"&gt;"),"&gt;")&amp;"&gt;"</f>
        <v>&lt;a href="canciones/hermana_glenda/se_que_no_me_dejaras.html"&gt;</v>
      </c>
    </row>
    <row r="1432" spans="1:21" hidden="1" x14ac:dyDescent="0.3">
      <c r="A1432" s="1">
        <f>ROW(CantoralDB[[#This Row],[Título]])-1</f>
        <v>1431</v>
      </c>
      <c r="B1432" s="1" t="s">
        <v>3345</v>
      </c>
      <c r="C1432" s="1"/>
      <c r="F1432" s="1">
        <v>13</v>
      </c>
      <c r="I1432" s="1"/>
      <c r="L1432" s="15" t="s">
        <v>499</v>
      </c>
      <c r="M1432" s="15"/>
      <c r="N1432" s="15"/>
      <c r="O1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se_que_voy_contigo.html</v>
      </c>
      <c r="R1432" s="1"/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432" s="15" t="str">
        <f>_xlfn.TEXTBEFORE(_xlfn.TEXTAFTER(CantoralDB[[#This Row],[index.html]],"&gt;"),"&gt;")&amp;"&gt;"</f>
        <v>&lt;a href="canciones/brotes_de_olivo/se_que_voy_contigo.html"&gt;</v>
      </c>
    </row>
    <row r="1433" spans="1:21" x14ac:dyDescent="0.3">
      <c r="A1433" s="1">
        <f>ROW(CantoralDB[[#This Row],[Título]])-1</f>
        <v>1432</v>
      </c>
      <c r="B1433" s="1" t="s">
        <v>940</v>
      </c>
      <c r="C1433" s="1" t="s">
        <v>1025</v>
      </c>
      <c r="D1433" s="1" t="s">
        <v>1189</v>
      </c>
      <c r="H1433" s="1" t="s">
        <v>1085</v>
      </c>
      <c r="I1433" s="1" t="s">
        <v>612</v>
      </c>
      <c r="L1433" s="15" t="s">
        <v>1991</v>
      </c>
      <c r="M1433" s="15"/>
      <c r="N1433" s="15"/>
      <c r="O1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433" s="1" t="s">
        <v>987</v>
      </c>
      <c r="S1433" s="1" t="s">
        <v>443</v>
      </c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433" s="15" t="str">
        <f>_xlfn.TEXTBEFORE(_xlfn.TEXTAFTER(CantoralDB[[#This Row],[index.html]],"&gt;"),"&gt;")&amp;"&gt;"</f>
        <v>&lt;a href="canciones/taize/staňte_se_soli.html"&gt;</v>
      </c>
    </row>
    <row r="1434" spans="1:21" hidden="1" x14ac:dyDescent="0.3">
      <c r="A1434" s="1">
        <f>ROW(CantoralDB[[#This Row],[Título]])-1</f>
        <v>1433</v>
      </c>
      <c r="B1434" s="1" t="s">
        <v>3698</v>
      </c>
      <c r="C1434" s="1"/>
      <c r="F1434" s="1">
        <v>361</v>
      </c>
      <c r="I1434" s="1"/>
      <c r="L1434" s="15" t="s">
        <v>3347</v>
      </c>
      <c r="M1434" s="15"/>
      <c r="N1434" s="15"/>
      <c r="O1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se_siente_una_paz_tan_grande.html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1434" s="15" t="str">
        <f>_xlfn.TEXTBEFORE(_xlfn.TEXTAFTER(CantoralDB[[#This Row],[index.html]],"&gt;"),"&gt;")&amp;"&gt;"</f>
        <v>&lt;a href="canciones/luis_alfredo_diaz/se_siente_una_paz_tan_grande.html"&gt;</v>
      </c>
    </row>
    <row r="1435" spans="1:21" hidden="1" x14ac:dyDescent="0.3">
      <c r="A1435" s="1">
        <f>ROW(CantoralDB[[#This Row],[Título]])-1</f>
        <v>1434</v>
      </c>
      <c r="B1435" s="1" t="s">
        <v>3367</v>
      </c>
      <c r="C1435" s="1"/>
      <c r="F1435" s="1">
        <v>33</v>
      </c>
      <c r="I1435" s="1"/>
      <c r="L1435" s="15" t="s">
        <v>799</v>
      </c>
      <c r="M1435" s="15"/>
      <c r="N1435" s="15"/>
      <c r="O1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sea_la_gloria.html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href="canciones/nuevas/sea_la_gloria.html"&gt;Sea la gloria&lt;/a&gt;&lt;/li&gt;</v>
      </c>
      <c r="U1435" s="15" t="str">
        <f>_xlfn.TEXTBEFORE(_xlfn.TEXTAFTER(CantoralDB[[#This Row],[index.html]],"&gt;"),"&gt;")&amp;"&gt;"</f>
        <v>&lt;a href="canciones/nuevas/sea_la_gloria.html"&gt;</v>
      </c>
    </row>
    <row r="1436" spans="1:21" hidden="1" x14ac:dyDescent="0.3">
      <c r="A1436" s="1">
        <f>ROW(CantoralDB[[#This Row],[Título]])-1</f>
        <v>1435</v>
      </c>
      <c r="B1436" s="1" t="s">
        <v>1948</v>
      </c>
      <c r="C1436" s="1"/>
      <c r="I1436" s="1" t="s">
        <v>612</v>
      </c>
      <c r="L1436" s="15" t="s">
        <v>1804</v>
      </c>
      <c r="M1436" s="15" t="s">
        <v>1945</v>
      </c>
      <c r="N1436" s="15">
        <v>10</v>
      </c>
      <c r="O1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seas.html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href="canciones/ruah/seas.html"&gt;Seas&lt;/a&gt;&lt;/li&gt;</v>
      </c>
      <c r="U1436" s="15" t="str">
        <f>_xlfn.TEXTBEFORE(_xlfn.TEXTAFTER(CantoralDB[[#This Row],[index.html]],"&gt;"),"&gt;")&amp;"&gt;"</f>
        <v>&lt;a href="canciones/ruah/seas.html"&gt;</v>
      </c>
    </row>
    <row r="1437" spans="1:21" hidden="1" x14ac:dyDescent="0.3">
      <c r="A1437" s="1">
        <f>ROW(CantoralDB[[#This Row],[Título]])-1</f>
        <v>1436</v>
      </c>
      <c r="B1437" s="1" t="s">
        <v>611</v>
      </c>
      <c r="C1437" s="1" t="s">
        <v>211</v>
      </c>
      <c r="D1437" s="1" t="s">
        <v>1509</v>
      </c>
      <c r="G1437" s="1" t="s">
        <v>606</v>
      </c>
      <c r="H1437" s="1" t="s">
        <v>1034</v>
      </c>
      <c r="I1437" s="1" t="s">
        <v>612</v>
      </c>
      <c r="L1437" s="15" t="s">
        <v>639</v>
      </c>
      <c r="M1437" s="15"/>
      <c r="N1437" s="15"/>
      <c r="O1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secuencia_de_pascua.html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437" s="15" t="str">
        <f>_xlfn.TEXTBEFORE(_xlfn.TEXTAFTER(CantoralDB[[#This Row],[index.html]],"&gt;"),"&gt;")&amp;"&gt;"</f>
        <v>&lt;a href="canciones/nsb/secuencia_de_pascua.html"&gt;</v>
      </c>
    </row>
    <row r="1438" spans="1:21" hidden="1" x14ac:dyDescent="0.3">
      <c r="A1438" s="1">
        <f>ROW(CantoralDB[[#This Row],[Título]])-1</f>
        <v>1437</v>
      </c>
      <c r="B1438" s="1" t="s">
        <v>1860</v>
      </c>
      <c r="C1438" s="1"/>
      <c r="I1438" s="1" t="s">
        <v>612</v>
      </c>
      <c r="L1438" s="15" t="s">
        <v>501</v>
      </c>
      <c r="M1438" s="15" t="s">
        <v>1554</v>
      </c>
      <c r="N1438" s="15">
        <v>6</v>
      </c>
      <c r="O1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secuencia_pascual.html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1438" s="15" t="str">
        <f>_xlfn.TEXTBEFORE(_xlfn.TEXTAFTER(CantoralDB[[#This Row],[index.html]],"&gt;"),"&gt;")&amp;"&gt;"</f>
        <v>&lt;a href="canciones/ain_karem/secuencia_pascual.html"&gt;</v>
      </c>
    </row>
    <row r="1439" spans="1:21" hidden="1" x14ac:dyDescent="0.3">
      <c r="A1439" s="1">
        <f>ROW(CantoralDB[[#This Row],[Título]])-1</f>
        <v>1438</v>
      </c>
      <c r="B1439" s="1" t="s">
        <v>1849</v>
      </c>
      <c r="C1439" s="1"/>
      <c r="I1439" s="1" t="s">
        <v>612</v>
      </c>
      <c r="L1439" s="15" t="s">
        <v>501</v>
      </c>
      <c r="M1439" s="15" t="s">
        <v>1552</v>
      </c>
      <c r="N1439" s="15">
        <v>6</v>
      </c>
      <c r="O1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sed_felices.html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1439" s="15" t="str">
        <f>_xlfn.TEXTBEFORE(_xlfn.TEXTAFTER(CantoralDB[[#This Row],[index.html]],"&gt;"),"&gt;")&amp;"&gt;"</f>
        <v>&lt;a href="canciones/ain_karem/sed_felices.html"&gt;</v>
      </c>
    </row>
    <row r="1440" spans="1:21" hidden="1" x14ac:dyDescent="0.3">
      <c r="A1440" s="1">
        <f>ROW(CantoralDB[[#This Row],[Título]])-1</f>
        <v>1439</v>
      </c>
      <c r="B1440" s="1" t="s">
        <v>3585</v>
      </c>
      <c r="C1440" s="1"/>
      <c r="F1440" s="1">
        <v>248</v>
      </c>
      <c r="I1440" s="1"/>
      <c r="L1440" s="15" t="s">
        <v>3344</v>
      </c>
      <c r="M1440" s="15"/>
      <c r="N1440" s="15"/>
      <c r="O1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seduce_mi_corazon.html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1440" s="15" t="str">
        <f>_xlfn.TEXTBEFORE(_xlfn.TEXTAFTER(CantoralDB[[#This Row],[index.html]],"&gt;"),"&gt;")&amp;"&gt;"</f>
        <v>&lt;a href="canciones/nuevas/seduce_mi_corazon.html"&gt;</v>
      </c>
    </row>
    <row r="1441" spans="1:21" hidden="1" x14ac:dyDescent="0.3">
      <c r="A1441" s="1">
        <f>ROW(CantoralDB[[#This Row],[Título]])-1</f>
        <v>1440</v>
      </c>
      <c r="B1441" s="1" t="s">
        <v>1802</v>
      </c>
      <c r="C1441" s="1"/>
      <c r="I1441" s="1"/>
      <c r="L1441" s="15" t="s">
        <v>501</v>
      </c>
      <c r="M1441" s="15" t="s">
        <v>1548</v>
      </c>
      <c r="N1441" s="15">
        <v>7</v>
      </c>
      <c r="O1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seducida.html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href="canciones/ain_karem/seducida.html"&gt;Seducida&lt;/a&gt;&lt;/li&gt;</v>
      </c>
      <c r="U1441" s="15" t="str">
        <f>_xlfn.TEXTBEFORE(_xlfn.TEXTAFTER(CantoralDB[[#This Row],[index.html]],"&gt;"),"&gt;")&amp;"&gt;"</f>
        <v>&lt;a href="canciones/ain_karem/seducida.html"&gt;</v>
      </c>
    </row>
    <row r="1442" spans="1:21" hidden="1" x14ac:dyDescent="0.3">
      <c r="A1442" s="1">
        <f>ROW(CantoralDB[[#This Row],[Título]])-1</f>
        <v>1441</v>
      </c>
      <c r="B1442" s="1" t="s">
        <v>3363</v>
      </c>
      <c r="C1442" s="1"/>
      <c r="F1442" s="1">
        <v>29</v>
      </c>
      <c r="I1442" s="1"/>
      <c r="L1442" s="15" t="s">
        <v>799</v>
      </c>
      <c r="M1442" s="15"/>
      <c r="N1442" s="15"/>
      <c r="O1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seguid_unidos_a_mi.html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href="canciones/nuevas/seguid_unidos_a_mi.html"&gt;Seguid unidos a mí&lt;/a&gt;&lt;/li&gt;</v>
      </c>
      <c r="U1442" s="15" t="str">
        <f>_xlfn.TEXTBEFORE(_xlfn.TEXTAFTER(CantoralDB[[#This Row],[index.html]],"&gt;"),"&gt;")&amp;"&gt;"</f>
        <v>&lt;a href="canciones/nuevas/seguid_unidos_a_mi.html"&gt;</v>
      </c>
    </row>
    <row r="1443" spans="1:21" hidden="1" x14ac:dyDescent="0.3">
      <c r="A1443" s="1">
        <f>ROW(CantoralDB[[#This Row],[Título]])-1</f>
        <v>1442</v>
      </c>
      <c r="B1443" s="1" t="s">
        <v>1725</v>
      </c>
      <c r="C1443" s="1"/>
      <c r="I1443" s="1" t="s">
        <v>612</v>
      </c>
      <c r="L1443" s="15" t="s">
        <v>484</v>
      </c>
      <c r="M1443" s="15" t="s">
        <v>1540</v>
      </c>
      <c r="N1443" s="15">
        <v>1</v>
      </c>
      <c r="O1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seguir_amando.html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href="canciones/kairoi/seguir_amando.html"&gt;Seguir amando&lt;/a&gt;&lt;/li&gt;</v>
      </c>
      <c r="U1443" s="15" t="str">
        <f>_xlfn.TEXTBEFORE(_xlfn.TEXTAFTER(CantoralDB[[#This Row],[index.html]],"&gt;"),"&gt;")&amp;"&gt;"</f>
        <v>&lt;a href="canciones/kairoi/seguir_amando.html"&gt;</v>
      </c>
    </row>
    <row r="1444" spans="1:21" hidden="1" x14ac:dyDescent="0.3">
      <c r="A1444" s="1">
        <f>ROW(CantoralDB[[#This Row],[Título]])-1</f>
        <v>1443</v>
      </c>
      <c r="B1444" s="1" t="s">
        <v>1875</v>
      </c>
      <c r="C1444" s="1"/>
      <c r="I1444" s="1" t="s">
        <v>612</v>
      </c>
      <c r="L1444" s="15" t="s">
        <v>501</v>
      </c>
      <c r="M1444" s="15" t="s">
        <v>1553</v>
      </c>
      <c r="N1444" s="15">
        <v>3</v>
      </c>
      <c r="O1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seguirte.html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href="canciones/ain_karem/seguirte.html"&gt;Seguirte&lt;/a&gt;&lt;/li&gt;</v>
      </c>
      <c r="U1444" s="15" t="str">
        <f>_xlfn.TEXTBEFORE(_xlfn.TEXTAFTER(CantoralDB[[#This Row],[index.html]],"&gt;"),"&gt;")&amp;"&gt;"</f>
        <v>&lt;a href="canciones/ain_karem/seguirte.html"&gt;</v>
      </c>
    </row>
    <row r="1445" spans="1:21" hidden="1" x14ac:dyDescent="0.3">
      <c r="A1445" s="1">
        <f>ROW(CantoralDB[[#This Row],[Título]])-1</f>
        <v>1444</v>
      </c>
      <c r="B1445" s="1" t="s">
        <v>2006</v>
      </c>
      <c r="C1445" s="1"/>
      <c r="I1445" s="1" t="s">
        <v>612</v>
      </c>
      <c r="L1445" s="15" t="s">
        <v>261</v>
      </c>
      <c r="M1445" s="15"/>
      <c r="N1445" s="15"/>
      <c r="O1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sencillamente.html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href="canciones/hakuna/sencillamente.html"&gt;Sencillamente&lt;/a&gt;&lt;/li&gt;</v>
      </c>
      <c r="U1445" s="15" t="str">
        <f>_xlfn.TEXTBEFORE(_xlfn.TEXTAFTER(CantoralDB[[#This Row],[index.html]],"&gt;"),"&gt;")&amp;"&gt;"</f>
        <v>&lt;a href="canciones/hakuna/sencillamente.html"&gt;</v>
      </c>
    </row>
    <row r="1446" spans="1:21" hidden="1" x14ac:dyDescent="0.3">
      <c r="A1446" s="1">
        <f>ROW(CantoralDB[[#This Row],[Título]])-1</f>
        <v>1445</v>
      </c>
      <c r="B1446" s="1" t="s">
        <v>3460</v>
      </c>
      <c r="C1446" s="1"/>
      <c r="F1446" s="1">
        <v>121</v>
      </c>
      <c r="I1446" s="1"/>
      <c r="L1446" s="15" t="s">
        <v>3459</v>
      </c>
      <c r="M1446" s="15"/>
      <c r="N1446" s="15"/>
      <c r="O1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sendas_dios_hara.html</v>
      </c>
      <c r="R1446" s="1"/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1446" s="15" t="str">
        <f>_xlfn.TEXTBEFORE(_xlfn.TEXTAFTER(CantoralDB[[#This Row],[index.html]],"&gt;"),"&gt;")&amp;"&gt;"</f>
        <v>&lt;a href="canciones/nuevas/sendas_dios_hara.html"&gt;</v>
      </c>
    </row>
    <row r="1447" spans="1:21" hidden="1" x14ac:dyDescent="0.3">
      <c r="A1447" s="1">
        <f>ROW(CantoralDB[[#This Row],[Título]])-1</f>
        <v>1446</v>
      </c>
      <c r="B1447" s="1" t="s">
        <v>1533</v>
      </c>
      <c r="C1447" s="1"/>
      <c r="I1447" s="1"/>
      <c r="L1447" s="15" t="s">
        <v>484</v>
      </c>
      <c r="M1447" s="15" t="s">
        <v>1533</v>
      </c>
      <c r="N1447" s="15">
        <v>10</v>
      </c>
      <c r="O1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señor_de_la_historia.html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1447" s="15" t="str">
        <f>_xlfn.TEXTBEFORE(_xlfn.TEXTAFTER(CantoralDB[[#This Row],[index.html]],"&gt;"),"&gt;")&amp;"&gt;"</f>
        <v>&lt;a href="canciones/kairoi/señor_de_la_historia.html"&gt;</v>
      </c>
    </row>
    <row r="1448" spans="1:21" hidden="1" x14ac:dyDescent="0.3">
      <c r="A1448" s="1">
        <f>ROW(CantoralDB[[#This Row],[Título]])-1</f>
        <v>1447</v>
      </c>
      <c r="B1448" s="1" t="s">
        <v>1850</v>
      </c>
      <c r="C1448" s="1"/>
      <c r="I1448" s="1" t="s">
        <v>612</v>
      </c>
      <c r="L1448" s="15" t="s">
        <v>501</v>
      </c>
      <c r="M1448" s="15" t="s">
        <v>1552</v>
      </c>
      <c r="N1448" s="15">
        <v>9</v>
      </c>
      <c r="O1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señor_de_la_sabiduria.html</v>
      </c>
      <c r="R1448" s="1"/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1448" s="15" t="str">
        <f>_xlfn.TEXTBEFORE(_xlfn.TEXTAFTER(CantoralDB[[#This Row],[index.html]],"&gt;"),"&gt;")&amp;"&gt;"</f>
        <v>&lt;a href="canciones/ain_karem/señor_de_la_sabiduria.html"&gt;</v>
      </c>
    </row>
    <row r="1449" spans="1:21" hidden="1" x14ac:dyDescent="0.3">
      <c r="A1449" s="1">
        <f>ROW(CantoralDB[[#This Row],[Título]])-1</f>
        <v>1448</v>
      </c>
      <c r="B1449" s="1" t="s">
        <v>1961</v>
      </c>
      <c r="C1449" s="1"/>
      <c r="I1449" s="1" t="s">
        <v>612</v>
      </c>
      <c r="L1449" s="15" t="s">
        <v>484</v>
      </c>
      <c r="M1449" s="15" t="s">
        <v>1534</v>
      </c>
      <c r="N1449" s="15">
        <v>8</v>
      </c>
      <c r="O1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señor_dios_me_tienes_ante_ti.html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1449" s="15" t="str">
        <f>_xlfn.TEXTBEFORE(_xlfn.TEXTAFTER(CantoralDB[[#This Row],[index.html]],"&gt;"),"&gt;")&amp;"&gt;"</f>
        <v>&lt;a href="canciones/kairoi/señor_dios_me_tienes_ante_ti.html"&gt;</v>
      </c>
    </row>
    <row r="1450" spans="1:21" hidden="1" x14ac:dyDescent="0.3">
      <c r="A1450" s="1">
        <f>ROW(CantoralDB[[#This Row],[Título]])-1</f>
        <v>1449</v>
      </c>
      <c r="B1450" s="1" t="s">
        <v>1841</v>
      </c>
      <c r="C1450" s="1"/>
      <c r="I1450" s="1" t="s">
        <v>612</v>
      </c>
      <c r="L1450" s="15" t="s">
        <v>501</v>
      </c>
      <c r="M1450" s="15" t="s">
        <v>1551</v>
      </c>
      <c r="N1450" s="15">
        <v>12</v>
      </c>
      <c r="O1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señor_mio_y_dios_mio.html</v>
      </c>
      <c r="R1450" s="1"/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450" s="15" t="str">
        <f>_xlfn.TEXTBEFORE(_xlfn.TEXTAFTER(CantoralDB[[#This Row],[index.html]],"&gt;"),"&gt;")&amp;"&gt;"</f>
        <v>&lt;a href="canciones/ain_karem/señor_mio_y_dios_mio.html"&gt;</v>
      </c>
    </row>
    <row r="1451" spans="1:21" hidden="1" x14ac:dyDescent="0.3">
      <c r="A1451" s="1">
        <f>ROW(CantoralDB[[#This Row],[Título]])-1</f>
        <v>1450</v>
      </c>
      <c r="B1451" s="1" t="s">
        <v>2086</v>
      </c>
      <c r="C1451" s="1"/>
      <c r="E1451" s="1">
        <v>232</v>
      </c>
      <c r="F1451" s="1">
        <v>17</v>
      </c>
      <c r="I1451" s="1" t="s">
        <v>612</v>
      </c>
      <c r="L1451" s="15" t="s">
        <v>481</v>
      </c>
      <c r="M1451" s="15" t="s">
        <v>1979</v>
      </c>
      <c r="N1451" s="15">
        <v>6</v>
      </c>
      <c r="O1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1451" s="15" t="str">
        <f>_xlfn.TEXTBEFORE(_xlfn.TEXTAFTER(CantoralDB[[#This Row],[index.html]],"&gt;"),"&gt;")&amp;"&gt;"</f>
        <v>&lt;a href="canciones/francisco_palazon/señor_dios_nuestro.html"&gt;</v>
      </c>
    </row>
    <row r="1452" spans="1:21" hidden="1" x14ac:dyDescent="0.3">
      <c r="A1452" s="1">
        <f>ROW(CantoralDB[[#This Row],[Título]])-1</f>
        <v>1451</v>
      </c>
      <c r="B1452" s="1" t="s">
        <v>1367</v>
      </c>
      <c r="C1452" s="1"/>
      <c r="E1452" s="1" t="s">
        <v>2163</v>
      </c>
      <c r="I1452" s="1"/>
      <c r="L1452" s="15" t="s">
        <v>486</v>
      </c>
      <c r="M1452" s="15"/>
      <c r="N1452" s="15"/>
      <c r="O1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señor_dios_nuestro_restauranos.html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452" s="15" t="str">
        <f>_xlfn.TEXTBEFORE(_xlfn.TEXTAFTER(CantoralDB[[#This Row],[index.html]],"&gt;"),"&gt;")&amp;"&gt;"</f>
        <v>&lt;a href="canciones/antonio_alcalde/señor_dios_nuestro_restauranos.html"&gt;</v>
      </c>
    </row>
    <row r="1453" spans="1:21" hidden="1" x14ac:dyDescent="0.3">
      <c r="A1453" s="1">
        <f>ROW(CantoralDB[[#This Row],[Título]])-1</f>
        <v>1452</v>
      </c>
      <c r="B1453" s="1" t="s">
        <v>3142</v>
      </c>
      <c r="C1453" s="1"/>
      <c r="I1453" s="1" t="s">
        <v>612</v>
      </c>
      <c r="L1453" s="15" t="s">
        <v>481</v>
      </c>
      <c r="M1453" s="15" t="s">
        <v>1974</v>
      </c>
      <c r="N1453" s="15">
        <v>3</v>
      </c>
      <c r="O1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señor_escucha_mi_oracion.html</v>
      </c>
      <c r="R1453" s="1" t="s">
        <v>3130</v>
      </c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1453" s="15" t="str">
        <f>_xlfn.TEXTBEFORE(_xlfn.TEXTAFTER(CantoralDB[[#This Row],[index.html]],"&gt;"),"&gt;")&amp;"&gt;"</f>
        <v>&lt;a href="canciones/francisco_palazon/señor_escucha_mi_oracion.html"&gt;</v>
      </c>
    </row>
    <row r="1454" spans="1:21" hidden="1" x14ac:dyDescent="0.3">
      <c r="A1454" s="1">
        <f>ROW(CantoralDB[[#This Row],[Título]])-1</f>
        <v>1453</v>
      </c>
      <c r="B1454" s="1" t="s">
        <v>1357</v>
      </c>
      <c r="C1454" s="1"/>
      <c r="E1454" s="1">
        <v>230</v>
      </c>
      <c r="I1454" s="1"/>
      <c r="L1454" s="15" t="s">
        <v>2207</v>
      </c>
      <c r="M1454" s="15"/>
      <c r="N1454" s="15"/>
      <c r="O1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señor_guiame_por_el_sendero.html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454" s="15" t="str">
        <f>_xlfn.TEXTBEFORE(_xlfn.TEXTAFTER(CantoralDB[[#This Row],[index.html]],"&gt;"),"&gt;")&amp;"&gt;"</f>
        <v>&lt;a href="canciones/perpetuo_socorro/señor_guiame_por_el_sendero.html"&gt;</v>
      </c>
    </row>
    <row r="1455" spans="1:21" hidden="1" x14ac:dyDescent="0.3">
      <c r="A1455" s="1">
        <f>ROW(CantoralDB[[#This Row],[Título]])-1</f>
        <v>1454</v>
      </c>
      <c r="B1455" s="1" t="s">
        <v>3744</v>
      </c>
      <c r="C1455" s="1"/>
      <c r="F1455" s="1">
        <v>398</v>
      </c>
      <c r="I1455" s="1"/>
      <c r="L1455" s="15" t="s">
        <v>799</v>
      </c>
      <c r="M1455" s="15"/>
      <c r="N1455" s="15"/>
      <c r="O1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señor_llevame_a_tus_atrios.html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455" s="15" t="str">
        <f>_xlfn.TEXTBEFORE(_xlfn.TEXTAFTER(CantoralDB[[#This Row],[index.html]],"&gt;"),"&gt;")&amp;"&gt;"</f>
        <v>&lt;a href="canciones/nuevas/señor_llevame_a_tus_atrios.html"&gt;</v>
      </c>
    </row>
    <row r="1456" spans="1:21" hidden="1" x14ac:dyDescent="0.3">
      <c r="A1456" s="1">
        <f>ROW(CantoralDB[[#This Row],[Título]])-1</f>
        <v>1455</v>
      </c>
      <c r="B1456" s="1" t="s">
        <v>3804</v>
      </c>
      <c r="C1456" s="1"/>
      <c r="I1456" s="1" t="s">
        <v>612</v>
      </c>
      <c r="L1456" s="15" t="s">
        <v>499</v>
      </c>
      <c r="M1456" s="15" t="s">
        <v>3803</v>
      </c>
      <c r="N1456" s="15">
        <v>1</v>
      </c>
      <c r="O1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señor_mirame.html</v>
      </c>
      <c r="R1456" s="1"/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456" s="15" t="str">
        <f>_xlfn.TEXTBEFORE(_xlfn.TEXTAFTER(CantoralDB[[#This Row],[index.html]],"&gt;"),"&gt;")&amp;"&gt;"</f>
        <v>&lt;a href="canciones/brotes_de_olivo/señor_mirame.html"&gt;</v>
      </c>
    </row>
    <row r="1457" spans="1:21" hidden="1" x14ac:dyDescent="0.3">
      <c r="A1457" s="1">
        <f>ROW(CantoralDB[[#This Row],[Título]])-1</f>
        <v>1456</v>
      </c>
      <c r="B1457" s="1" t="s">
        <v>437</v>
      </c>
      <c r="C1457" s="1" t="s">
        <v>1026</v>
      </c>
      <c r="D1457" s="1" t="s">
        <v>1190</v>
      </c>
      <c r="H1457" s="1" t="s">
        <v>1050</v>
      </c>
      <c r="I1457" s="1" t="s">
        <v>612</v>
      </c>
      <c r="L1457" s="15" t="s">
        <v>2201</v>
      </c>
      <c r="M1457" s="15"/>
      <c r="N1457" s="15"/>
      <c r="O1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señor_que_florezca_tu_justicia.html</v>
      </c>
      <c r="R1457" s="1" t="s">
        <v>986</v>
      </c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457" s="15" t="str">
        <f>_xlfn.TEXTBEFORE(_xlfn.TEXTAFTER(CantoralDB[[#This Row],[index.html]],"&gt;"),"&gt;")&amp;"&gt;"</f>
        <v>&lt;a href="canciones/taize/señor_que_florezca_tu_justicia.html"&gt;</v>
      </c>
    </row>
    <row r="1458" spans="1:21" hidden="1" x14ac:dyDescent="0.3">
      <c r="A1458" s="1">
        <f>ROW(CantoralDB[[#This Row],[Título]])-1</f>
        <v>1457</v>
      </c>
      <c r="B1458" s="1" t="s">
        <v>133</v>
      </c>
      <c r="C1458" s="1" t="s">
        <v>192</v>
      </c>
      <c r="D1458" s="1" t="s">
        <v>1510</v>
      </c>
      <c r="E1458" s="1">
        <v>460</v>
      </c>
      <c r="G1458" s="1" t="s">
        <v>209</v>
      </c>
      <c r="H1458" s="1" t="s">
        <v>1038</v>
      </c>
      <c r="I1458" s="1" t="s">
        <v>612</v>
      </c>
      <c r="L1458" s="15" t="s">
        <v>796</v>
      </c>
      <c r="M1458" s="15"/>
      <c r="N1458" s="15"/>
      <c r="O1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458" s="15" t="str">
        <f>_xlfn.TEXTBEFORE(_xlfn.TEXTAFTER(CantoralDB[[#This Row],[index.html]],"&gt;"),"&gt;")&amp;"&gt;"</f>
        <v>&lt;a href="canciones/nsb/señor_ten_piedad.html"&gt;</v>
      </c>
    </row>
    <row r="1459" spans="1:21" hidden="1" x14ac:dyDescent="0.3">
      <c r="A1459" s="1">
        <f>ROW(CantoralDB[[#This Row],[Título]])-1</f>
        <v>1458</v>
      </c>
      <c r="B1459" s="1" t="s">
        <v>133</v>
      </c>
      <c r="C1459" s="1"/>
      <c r="F1459" s="1">
        <v>103</v>
      </c>
      <c r="I1459" s="1"/>
      <c r="L1459" s="15" t="s">
        <v>3442</v>
      </c>
      <c r="M1459" s="15"/>
      <c r="N1459" s="15"/>
      <c r="O1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459" s="15" t="str">
        <f>_xlfn.TEXTBEFORE(_xlfn.TEXTAFTER(CantoralDB[[#This Row],[index.html]],"&gt;"),"&gt;")&amp;"&gt;"</f>
        <v>&lt;a href="canciones/nuevas/señor_ten_piedad.html"&gt;</v>
      </c>
    </row>
    <row r="1460" spans="1:21" hidden="1" x14ac:dyDescent="0.3">
      <c r="A1460" s="1">
        <f>ROW(CantoralDB[[#This Row],[Título]])-1</f>
        <v>1459</v>
      </c>
      <c r="B1460" s="1" t="s">
        <v>3127</v>
      </c>
      <c r="C1460" s="1"/>
      <c r="I1460" s="1" t="s">
        <v>612</v>
      </c>
      <c r="L1460" s="15" t="s">
        <v>481</v>
      </c>
      <c r="M1460" s="15" t="s">
        <v>21</v>
      </c>
      <c r="N1460" s="15">
        <v>2</v>
      </c>
      <c r="O1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señor_ten_piedad_(alrededor_de_tu_mesa).html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1460" s="15" t="str">
        <f>_xlfn.TEXTBEFORE(_xlfn.TEXTAFTER(CantoralDB[[#This Row],[index.html]],"&gt;"),"&gt;")&amp;"&gt;"</f>
        <v>&lt;a href="canciones/francisco_palazon/señor_ten_piedad_(alrededor_de_tu_mesa).html"&gt;</v>
      </c>
    </row>
    <row r="1461" spans="1:21" hidden="1" x14ac:dyDescent="0.3">
      <c r="A1461" s="1">
        <f>ROW(CantoralDB[[#This Row],[Título]])-1</f>
        <v>1460</v>
      </c>
      <c r="B1461" s="1" t="s">
        <v>3119</v>
      </c>
      <c r="C1461" s="1"/>
      <c r="I1461" s="1"/>
      <c r="L1461" s="15" t="s">
        <v>481</v>
      </c>
      <c r="M1461" s="15" t="s">
        <v>1977</v>
      </c>
      <c r="N1461" s="15">
        <v>2</v>
      </c>
      <c r="O1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señor_ten_piedad_(reunidos_en_su_nombre).html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1461" s="15" t="str">
        <f>_xlfn.TEXTBEFORE(_xlfn.TEXTAFTER(CantoralDB[[#This Row],[index.html]],"&gt;"),"&gt;")&amp;"&gt;"</f>
        <v>&lt;a href="canciones/francisco_palazon/señor_ten_piedad_(reunidos_en_su_nombre).html"&gt;</v>
      </c>
    </row>
    <row r="1462" spans="1:21" hidden="1" x14ac:dyDescent="0.3">
      <c r="A1462" s="1">
        <f>ROW(CantoralDB[[#This Row],[Título]])-1</f>
        <v>1461</v>
      </c>
      <c r="B1462" s="1" t="s">
        <v>3469</v>
      </c>
      <c r="C1462" s="1"/>
      <c r="F1462" s="1">
        <v>127</v>
      </c>
      <c r="I1462" s="1"/>
      <c r="L1462" s="15" t="s">
        <v>3470</v>
      </c>
      <c r="M1462" s="15"/>
      <c r="N1462" s="15"/>
      <c r="O1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señor_ten_piedad_de_mi_pecador.html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462" s="15" t="str">
        <f>_xlfn.TEXTBEFORE(_xlfn.TEXTAFTER(CantoralDB[[#This Row],[index.html]],"&gt;"),"&gt;")&amp;"&gt;"</f>
        <v>&lt;a href="canciones/nuevas/señor_ten_piedad_de_mi_pecador.html"&gt;</v>
      </c>
    </row>
    <row r="1463" spans="1:21" hidden="1" x14ac:dyDescent="0.3">
      <c r="A1463" s="1">
        <f>ROW(CantoralDB[[#This Row],[Título]])-1</f>
        <v>1462</v>
      </c>
      <c r="B1463" s="1" t="s">
        <v>565</v>
      </c>
      <c r="C1463" s="1" t="s">
        <v>192</v>
      </c>
      <c r="D1463" s="1" t="s">
        <v>1511</v>
      </c>
      <c r="G1463" s="1" t="s">
        <v>557</v>
      </c>
      <c r="H1463" s="1" t="s">
        <v>1043</v>
      </c>
      <c r="I1463" s="1" t="s">
        <v>612</v>
      </c>
      <c r="L1463" s="15" t="s">
        <v>518</v>
      </c>
      <c r="M1463" s="15"/>
      <c r="N1463" s="15"/>
      <c r="O1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señor_ten_piedad_de_nosotros.html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data-nnew="B07"&gt;&lt;a href="canciones/nsb/señor_ten_piedad_de_nosotros.html"&gt;Señor, ten piedad de nosotros&lt;/a&gt;&lt;/li&gt;</v>
      </c>
      <c r="U1463" s="15" t="str">
        <f>_xlfn.TEXTBEFORE(_xlfn.TEXTAFTER(CantoralDB[[#This Row],[index.html]],"&gt;"),"&gt;")&amp;"&gt;"</f>
        <v>&lt;a href="canciones/nsb/señor_ten_piedad_de_nosotros.html"&gt;</v>
      </c>
    </row>
    <row r="1464" spans="1:21" hidden="1" x14ac:dyDescent="0.3">
      <c r="A1464" s="1">
        <f>ROW(CantoralDB[[#This Row],[Título]])-1</f>
        <v>1463</v>
      </c>
      <c r="B1464" s="1" t="s">
        <v>1901</v>
      </c>
      <c r="C1464" s="1"/>
      <c r="I1464" s="1" t="s">
        <v>612</v>
      </c>
      <c r="L1464" s="15" t="s">
        <v>482</v>
      </c>
      <c r="M1464" s="15" t="s">
        <v>1893</v>
      </c>
      <c r="N1464" s="15">
        <v>2</v>
      </c>
      <c r="O1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464" s="15" t="str">
        <f>_xlfn.TEXTBEFORE(_xlfn.TEXTAFTER(CantoralDB[[#This Row],[index.html]],"&gt;"),"&gt;")&amp;"&gt;"</f>
        <v>&lt;a href="canciones/toño_casado/señor_ten_piedad_i.html"&gt;</v>
      </c>
    </row>
    <row r="1465" spans="1:21" hidden="1" x14ac:dyDescent="0.3">
      <c r="A1465" s="1">
        <f>ROW(CantoralDB[[#This Row],[Título]])-1</f>
        <v>1464</v>
      </c>
      <c r="B1465" s="1" t="s">
        <v>1902</v>
      </c>
      <c r="C1465" s="1"/>
      <c r="I1465" s="1" t="s">
        <v>612</v>
      </c>
      <c r="L1465" s="15" t="s">
        <v>482</v>
      </c>
      <c r="M1465" s="15" t="s">
        <v>1899</v>
      </c>
      <c r="N1465" s="15">
        <v>2</v>
      </c>
      <c r="O1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señor_ten_piedad_ii.html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465" s="15" t="str">
        <f>_xlfn.TEXTBEFORE(_xlfn.TEXTAFTER(CantoralDB[[#This Row],[index.html]],"&gt;"),"&gt;")&amp;"&gt;"</f>
        <v>&lt;a href="canciones/toño_casado/señor_ten_piedad_ii.html"&gt;</v>
      </c>
    </row>
    <row r="1466" spans="1:21" hidden="1" x14ac:dyDescent="0.3">
      <c r="A1466" s="1">
        <f>ROW(CantoralDB[[#This Row],[Título]])-1</f>
        <v>1465</v>
      </c>
      <c r="B1466" s="1" t="s">
        <v>1362</v>
      </c>
      <c r="C1466" s="1"/>
      <c r="E1466" s="1">
        <v>240</v>
      </c>
      <c r="I1466" s="1" t="s">
        <v>612</v>
      </c>
      <c r="L1466" s="15" t="s">
        <v>481</v>
      </c>
      <c r="M1466" s="15" t="s">
        <v>1979</v>
      </c>
      <c r="N1466" s="15">
        <v>7</v>
      </c>
      <c r="O1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señor_tu_has_sido_nuestro_refugio.html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1466" s="15" t="str">
        <f>_xlfn.TEXTBEFORE(_xlfn.TEXTAFTER(CantoralDB[[#This Row],[index.html]],"&gt;"),"&gt;")&amp;"&gt;"</f>
        <v>&lt;a href="canciones/francisco_palazon/señor_tu_has_sido_nuestro_refugio.html"&gt;</v>
      </c>
    </row>
    <row r="1467" spans="1:21" hidden="1" x14ac:dyDescent="0.3">
      <c r="A1467" s="1">
        <f>ROW(CantoralDB[[#This Row],[Título]])-1</f>
        <v>1466</v>
      </c>
      <c r="B1467" s="1" t="s">
        <v>1364</v>
      </c>
      <c r="C1467" s="1"/>
      <c r="E1467" s="1">
        <v>243</v>
      </c>
      <c r="I1467" s="1" t="s">
        <v>612</v>
      </c>
      <c r="L1467" s="15" t="s">
        <v>491</v>
      </c>
      <c r="M1467" s="15"/>
      <c r="N1467" s="15"/>
      <c r="O1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señor_tu_que_brillas.html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1467" s="15" t="str">
        <f>_xlfn.TEXTBEFORE(_xlfn.TEXTAFTER(CantoralDB[[#This Row],[index.html]],"&gt;"),"&gt;")&amp;"&gt;"</f>
        <v>&lt;a href="canciones/juan_antonio_espinosa/señor_tu_que_brillas.html"&gt;</v>
      </c>
    </row>
    <row r="1468" spans="1:21" hidden="1" x14ac:dyDescent="0.3">
      <c r="A1468" s="1">
        <f>ROW(CantoralDB[[#This Row],[Título]])-1</f>
        <v>1467</v>
      </c>
      <c r="B1468" s="1" t="s">
        <v>1619</v>
      </c>
      <c r="C1468" s="1"/>
      <c r="I1468" s="1" t="s">
        <v>612</v>
      </c>
      <c r="L1468" s="15" t="s">
        <v>484</v>
      </c>
      <c r="M1468" s="15" t="s">
        <v>1534</v>
      </c>
      <c r="N1468" s="15">
        <v>6</v>
      </c>
      <c r="O1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señor_yo_no_soy_digno.html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1468" s="15" t="str">
        <f>_xlfn.TEXTBEFORE(_xlfn.TEXTAFTER(CantoralDB[[#This Row],[index.html]],"&gt;"),"&gt;")&amp;"&gt;"</f>
        <v>&lt;a href="canciones/kairoi/señor_yo_no_soy_digno.html"&gt;</v>
      </c>
    </row>
    <row r="1469" spans="1:21" hidden="1" x14ac:dyDescent="0.3">
      <c r="A1469" s="1">
        <f>ROW(CantoralDB[[#This Row],[Título]])-1</f>
        <v>1468</v>
      </c>
      <c r="B1469" s="1" t="s">
        <v>134</v>
      </c>
      <c r="C1469" s="1" t="s">
        <v>198</v>
      </c>
      <c r="D1469" s="1" t="s">
        <v>780</v>
      </c>
      <c r="E1469" s="1">
        <v>234</v>
      </c>
      <c r="G1469" s="1" t="s">
        <v>209</v>
      </c>
      <c r="H1469" s="1" t="s">
        <v>1051</v>
      </c>
      <c r="I1469" s="1" t="s">
        <v>612</v>
      </c>
      <c r="L1469" s="15" t="s">
        <v>518</v>
      </c>
      <c r="M1469" s="15"/>
      <c r="N1469" s="15"/>
      <c r="O1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shalom_haberim.html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data-momento="Paz" data-nnew="I10" data-nold="234"&gt;&lt;a href="canciones/nsb/shalom_haberim.html"&gt;Shalom haberim&lt;/a&gt;&lt;/li&gt;</v>
      </c>
      <c r="U1469" s="15" t="str">
        <f>_xlfn.TEXTBEFORE(_xlfn.TEXTAFTER(CantoralDB[[#This Row],[index.html]],"&gt;"),"&gt;")&amp;"&gt;"</f>
        <v>&lt;a href="canciones/nsb/shalom_haberim.html"&gt;</v>
      </c>
    </row>
    <row r="1470" spans="1:21" hidden="1" x14ac:dyDescent="0.3">
      <c r="A1470" s="1">
        <f>ROW(CantoralDB[[#This Row],[Título]])-1</f>
        <v>1469</v>
      </c>
      <c r="B1470" s="1" t="s">
        <v>3095</v>
      </c>
      <c r="C1470" s="1"/>
      <c r="F1470" s="1">
        <v>380</v>
      </c>
      <c r="I1470" s="1"/>
      <c r="L1470" s="15" t="s">
        <v>3718</v>
      </c>
      <c r="M1470" s="15"/>
      <c r="N1470" s="15"/>
      <c r="O1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data-author="Bernardetto Conte"&gt;&lt;a href="canciones/nuevas/shalom_te_doy_la_paz.html"&gt;Shalom, te doy la paz&lt;/a&gt;&lt;/li&gt;</v>
      </c>
      <c r="U1470" s="15" t="str">
        <f>_xlfn.TEXTBEFORE(_xlfn.TEXTAFTER(CantoralDB[[#This Row],[index.html]],"&gt;"),"&gt;")&amp;"&gt;"</f>
        <v>&lt;a href="canciones/nuevas/shalom_te_doy_la_paz.html"&gt;</v>
      </c>
    </row>
    <row r="1471" spans="1:21" hidden="1" x14ac:dyDescent="0.3">
      <c r="A1471" s="1">
        <f>ROW(CantoralDB[[#This Row],[Título]])-1</f>
        <v>1470</v>
      </c>
      <c r="B1471" s="1" t="s">
        <v>3095</v>
      </c>
      <c r="C1471" s="15"/>
      <c r="I1471" s="1" t="s">
        <v>612</v>
      </c>
      <c r="L1471" s="15" t="s">
        <v>3109</v>
      </c>
      <c r="M1471" s="15"/>
      <c r="N1471" s="15"/>
      <c r="O1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data-author="Bruno Conte y Carlos Ferrante"&gt;&lt;a href="canciones/nuevas/shalom_te_doy_la_paz.html"&gt;Shalom, te doy la paz&lt;/a&gt;&lt;/li&gt;</v>
      </c>
      <c r="U1471" s="15" t="str">
        <f>_xlfn.TEXTBEFORE(_xlfn.TEXTAFTER(CantoralDB[[#This Row],[index.html]],"&gt;"),"&gt;")&amp;"&gt;"</f>
        <v>&lt;a href="canciones/nuevas/shalom_te_doy_la_paz.html"&gt;</v>
      </c>
    </row>
    <row r="1472" spans="1:21" hidden="1" x14ac:dyDescent="0.3">
      <c r="A1472" s="1">
        <f>ROW(CantoralDB[[#This Row],[Título]])-1</f>
        <v>1471</v>
      </c>
      <c r="B1472" s="1" t="s">
        <v>3357</v>
      </c>
      <c r="C1472" s="1"/>
      <c r="F1472" s="1">
        <v>21</v>
      </c>
      <c r="I1472" s="1"/>
      <c r="L1472" s="15" t="s">
        <v>799</v>
      </c>
      <c r="M1472" s="15"/>
      <c r="N1472" s="15"/>
      <c r="O1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shema_israel.html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href="canciones/nuevas/shema_israel.html"&gt;Shemá, Israel&lt;/a&gt;&lt;/li&gt;</v>
      </c>
      <c r="U1472" s="15" t="str">
        <f>_xlfn.TEXTBEFORE(_xlfn.TEXTAFTER(CantoralDB[[#This Row],[index.html]],"&gt;"),"&gt;")&amp;"&gt;"</f>
        <v>&lt;a href="canciones/nuevas/shema_israel.html"&gt;</v>
      </c>
    </row>
    <row r="1473" spans="1:21" hidden="1" x14ac:dyDescent="0.3">
      <c r="A1473" s="1">
        <f>ROW(CantoralDB[[#This Row],[Título]])-1</f>
        <v>1472</v>
      </c>
      <c r="B1473" s="1" t="s">
        <v>1369</v>
      </c>
      <c r="C1473" s="1"/>
      <c r="E1473" s="1">
        <v>249</v>
      </c>
      <c r="I1473" s="1"/>
      <c r="L1473" s="15" t="s">
        <v>517</v>
      </c>
      <c r="M1473" s="15"/>
      <c r="N1473" s="15"/>
      <c r="O1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1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si_cada_noche.html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data-nold="249"&gt;&lt;a href="canciones/gregorio_fernandez/si_cada_noche.html"&gt;Si cada noche&lt;/a&gt;&lt;/li&gt;</v>
      </c>
      <c r="U1473" s="15" t="str">
        <f>_xlfn.TEXTBEFORE(_xlfn.TEXTAFTER(CantoralDB[[#This Row],[index.html]],"&gt;"),"&gt;")&amp;"&gt;"</f>
        <v>&lt;a href="canciones/gregorio_fernandez/si_cada_noche.html"&gt;</v>
      </c>
    </row>
    <row r="1474" spans="1:21" hidden="1" x14ac:dyDescent="0.3">
      <c r="A1474" s="1">
        <f>ROW(CantoralDB[[#This Row],[Título]])-1</f>
        <v>1473</v>
      </c>
      <c r="B1474" s="1" t="s">
        <v>3170</v>
      </c>
      <c r="C1474" s="1"/>
      <c r="I1474" s="1"/>
      <c r="L1474" s="15" t="s">
        <v>3160</v>
      </c>
      <c r="M1474" s="15" t="s">
        <v>3161</v>
      </c>
      <c r="N1474" s="15">
        <v>9</v>
      </c>
      <c r="O1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href="canciones/hermana_glenda/si_conocieras.html"&gt;Si conocieras&lt;/a&gt;&lt;/li&gt;</v>
      </c>
      <c r="U1474" s="15" t="str">
        <f>_xlfn.TEXTBEFORE(_xlfn.TEXTAFTER(CantoralDB[[#This Row],[index.html]],"&gt;"),"&gt;")&amp;"&gt;"</f>
        <v>&lt;a href="canciones/hermana_glenda/si_conocieras.html"&gt;</v>
      </c>
    </row>
    <row r="1475" spans="1:21" hidden="1" x14ac:dyDescent="0.3">
      <c r="A1475" s="1">
        <f>ROW(CantoralDB[[#This Row],[Título]])-1</f>
        <v>1474</v>
      </c>
      <c r="B1475" s="1" t="s">
        <v>3215</v>
      </c>
      <c r="C1475" s="1"/>
      <c r="I1475" s="1"/>
      <c r="L1475" s="15" t="s">
        <v>3160</v>
      </c>
      <c r="M1475" s="15" t="s">
        <v>3191</v>
      </c>
      <c r="N1475" s="15">
        <v>1</v>
      </c>
      <c r="O1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si_conocieras_el_don_de_dios.html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href="canciones/hermana_glenda/si_conocieras_el_don_de_dios.html"&gt;Si conocieras el don de Dios&lt;/a&gt;&lt;/li&gt;</v>
      </c>
      <c r="U1475" s="15" t="str">
        <f>_xlfn.TEXTBEFORE(_xlfn.TEXTAFTER(CantoralDB[[#This Row],[index.html]],"&gt;"),"&gt;")&amp;"&gt;"</f>
        <v>&lt;a href="canciones/hermana_glenda/si_conocieras_el_don_de_dios.html"&gt;</v>
      </c>
    </row>
    <row r="1476" spans="1:21" hidden="1" x14ac:dyDescent="0.3">
      <c r="A1476" s="1">
        <f>ROW(CantoralDB[[#This Row],[Título]])-1</f>
        <v>1475</v>
      </c>
      <c r="B1476" s="1" t="s">
        <v>1363</v>
      </c>
      <c r="C1476" s="1"/>
      <c r="E1476" s="1">
        <v>242</v>
      </c>
      <c r="I1476" s="1"/>
      <c r="L1476" s="15" t="s">
        <v>2159</v>
      </c>
      <c r="M1476" s="15"/>
      <c r="N1476" s="15"/>
      <c r="O1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si_despierta_el_corazon.html</v>
      </c>
      <c r="R1476" s="1"/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476" s="15" t="str">
        <f>_xlfn.TEXTBEFORE(_xlfn.TEXTAFTER(CantoralDB[[#This Row],[index.html]],"&gt;"),"&gt;")&amp;"&gt;"</f>
        <v>&lt;a href="canciones/nsb/si_despierta_el_corazon.html"&gt;</v>
      </c>
    </row>
    <row r="1477" spans="1:21" hidden="1" x14ac:dyDescent="0.3">
      <c r="A1477" s="1">
        <f>ROW(CantoralDB[[#This Row],[Título]])-1</f>
        <v>1476</v>
      </c>
      <c r="B1477" s="1" t="s">
        <v>135</v>
      </c>
      <c r="C1477" s="1" t="s">
        <v>997</v>
      </c>
      <c r="D1477" s="1" t="s">
        <v>1007</v>
      </c>
      <c r="E1477" s="1">
        <v>235</v>
      </c>
      <c r="G1477" s="1" t="s">
        <v>209</v>
      </c>
      <c r="H1477" s="1" t="s">
        <v>532</v>
      </c>
      <c r="I1477" s="1" t="s">
        <v>612</v>
      </c>
      <c r="L1477" s="15" t="s">
        <v>518</v>
      </c>
      <c r="M1477" s="15"/>
      <c r="N1477" s="15"/>
      <c r="O1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si_dios_a_su_mesa_nos_quiere_sentar.html</v>
      </c>
      <c r="R1477" s="1"/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data-nnew="K66" data-nold="235"&gt;&lt;a href="canciones/nsb/si_dios_a_su_mesa_nos_quiere_sentar.html"&gt;Si Dios a su mesa nos quiere sentar&lt;/a&gt;&lt;/li&gt;</v>
      </c>
      <c r="U1477" s="15" t="str">
        <f>_xlfn.TEXTBEFORE(_xlfn.TEXTAFTER(CantoralDB[[#This Row],[index.html]],"&gt;"),"&gt;")&amp;"&gt;"</f>
        <v>&lt;a href="canciones/nsb/si_dios_a_su_mesa_nos_quiere_sentar.html"&gt;</v>
      </c>
    </row>
    <row r="1478" spans="1:21" hidden="1" x14ac:dyDescent="0.3">
      <c r="A1478" s="1">
        <f>ROW(CantoralDB[[#This Row],[Título]])-1</f>
        <v>1477</v>
      </c>
      <c r="B1478" s="1" t="s">
        <v>3500</v>
      </c>
      <c r="C1478" s="1"/>
      <c r="F1478" s="1">
        <v>156</v>
      </c>
      <c r="I1478" s="1"/>
      <c r="L1478" s="15" t="s">
        <v>799</v>
      </c>
      <c r="M1478" s="15"/>
      <c r="N1478" s="15"/>
      <c r="O1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si_el_espiritu_de_dios.html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href="canciones/nuevas/si_el_espiritu_de_dios.html"&gt;Si el Espíritu de Dios&lt;/a&gt;&lt;/li&gt;</v>
      </c>
      <c r="U1478" s="15" t="str">
        <f>_xlfn.TEXTBEFORE(_xlfn.TEXTAFTER(CantoralDB[[#This Row],[index.html]],"&gt;"),"&gt;")&amp;"&gt;"</f>
        <v>&lt;a href="canciones/nuevas/si_el_espiritu_de_dios.html"&gt;</v>
      </c>
    </row>
    <row r="1479" spans="1:21" hidden="1" x14ac:dyDescent="0.3">
      <c r="A1479" s="1">
        <f>ROW(CantoralDB[[#This Row],[Título]])-1</f>
        <v>1478</v>
      </c>
      <c r="B1479" s="1" t="s">
        <v>3521</v>
      </c>
      <c r="C1479" s="1"/>
      <c r="F1479" s="1">
        <v>174</v>
      </c>
      <c r="I1479" s="1"/>
      <c r="L1479" s="15" t="s">
        <v>799</v>
      </c>
      <c r="M1479" s="15"/>
      <c r="N1479" s="15"/>
      <c r="O1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si_es_verdad_que_dios_te_quiere.html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479" s="15" t="str">
        <f>_xlfn.TEXTBEFORE(_xlfn.TEXTAFTER(CantoralDB[[#This Row],[index.html]],"&gt;"),"&gt;")&amp;"&gt;"</f>
        <v>&lt;a href="canciones/nuevas/si_es_verdad_que_dios_te_quiere.html"&gt;</v>
      </c>
    </row>
    <row r="1480" spans="1:21" hidden="1" x14ac:dyDescent="0.3">
      <c r="A1480" s="1">
        <f>ROW(CantoralDB[[#This Row],[Título]])-1</f>
        <v>1479</v>
      </c>
      <c r="B1480" s="1" t="s">
        <v>3435</v>
      </c>
      <c r="C1480" s="1"/>
      <c r="F1480" s="1">
        <v>96</v>
      </c>
      <c r="I1480" s="1"/>
      <c r="L1480" s="15" t="s">
        <v>3354</v>
      </c>
      <c r="M1480" s="15"/>
      <c r="N1480" s="15"/>
      <c r="O1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si_estas_buscando.html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1480" s="15" t="str">
        <f>_xlfn.TEXTBEFORE(_xlfn.TEXTAFTER(CantoralDB[[#This Row],[index.html]],"&gt;"),"&gt;")&amp;"&gt;"</f>
        <v>&lt;a href="canciones/lazaro_iparraguirre/si_estas_buscando.html"&gt;</v>
      </c>
    </row>
    <row r="1481" spans="1:21" hidden="1" x14ac:dyDescent="0.3">
      <c r="A1481" s="1">
        <f>ROW(CantoralDB[[#This Row],[Título]])-1</f>
        <v>1480</v>
      </c>
      <c r="B1481" s="1" t="s">
        <v>1878</v>
      </c>
      <c r="C1481" s="1"/>
      <c r="I1481" s="1"/>
      <c r="L1481" s="15" t="s">
        <v>501</v>
      </c>
      <c r="M1481" s="15" t="s">
        <v>1553</v>
      </c>
      <c r="N1481" s="15">
        <v>6</v>
      </c>
      <c r="O1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si_le_dais_posada.html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1481" s="15" t="str">
        <f>_xlfn.TEXTBEFORE(_xlfn.TEXTAFTER(CantoralDB[[#This Row],[index.html]],"&gt;"),"&gt;")&amp;"&gt;"</f>
        <v>&lt;a href="canciones/ain_karem/si_le_dais_posada.html"&gt;</v>
      </c>
    </row>
    <row r="1482" spans="1:21" hidden="1" x14ac:dyDescent="0.3">
      <c r="A1482" s="1">
        <f>ROW(CantoralDB[[#This Row],[Título]])-1</f>
        <v>1481</v>
      </c>
      <c r="B1482" s="1" t="s">
        <v>3355</v>
      </c>
      <c r="C1482" s="1"/>
      <c r="F1482" s="1">
        <v>19</v>
      </c>
      <c r="I1482" s="1"/>
      <c r="L1482" s="15" t="s">
        <v>3354</v>
      </c>
      <c r="M1482" s="15"/>
      <c r="N1482" s="15"/>
      <c r="O1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si_lo_que_buscas.html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1482" s="15" t="str">
        <f>_xlfn.TEXTBEFORE(_xlfn.TEXTAFTER(CantoralDB[[#This Row],[index.html]],"&gt;"),"&gt;")&amp;"&gt;"</f>
        <v>&lt;a href="canciones/lazaro_iparraguirre/si_lo_que_buscas.html"&gt;</v>
      </c>
    </row>
    <row r="1483" spans="1:21" hidden="1" x14ac:dyDescent="0.3">
      <c r="A1483" s="1">
        <f>ROW(CantoralDB[[#This Row],[Título]])-1</f>
        <v>1482</v>
      </c>
      <c r="B1483" s="1" t="s">
        <v>251</v>
      </c>
      <c r="C1483" s="1" t="s">
        <v>997</v>
      </c>
      <c r="D1483" s="1" t="s">
        <v>1008</v>
      </c>
      <c r="G1483" s="1" t="s">
        <v>248</v>
      </c>
      <c r="H1483" s="1" t="s">
        <v>473</v>
      </c>
      <c r="I1483" s="1" t="s">
        <v>612</v>
      </c>
      <c r="L1483" s="15" t="s">
        <v>481</v>
      </c>
      <c r="M1483" s="15" t="s">
        <v>3157</v>
      </c>
      <c r="N1483" s="15"/>
      <c r="O1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si_me_falta_el_amor.html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1483" s="15" t="str">
        <f>_xlfn.TEXTBEFORE(_xlfn.TEXTAFTER(CantoralDB[[#This Row],[index.html]],"&gt;"),"&gt;")&amp;"&gt;"</f>
        <v>&lt;a href="canciones/francisco_palazon/si_me_falta_el_amor.html"&gt;</v>
      </c>
    </row>
    <row r="1484" spans="1:21" hidden="1" x14ac:dyDescent="0.3">
      <c r="A1484" s="1">
        <f>ROW(CantoralDB[[#This Row],[Título]])-1</f>
        <v>1483</v>
      </c>
      <c r="B1484" s="1" t="s">
        <v>3164</v>
      </c>
      <c r="C1484" s="1"/>
      <c r="I1484" s="1"/>
      <c r="L1484" s="15" t="s">
        <v>3160</v>
      </c>
      <c r="M1484" s="15" t="s">
        <v>3175</v>
      </c>
      <c r="N1484" s="15">
        <v>1</v>
      </c>
      <c r="O1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1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si_me_faltas.html</v>
      </c>
      <c r="R1484" s="1"/>
      <c r="S1484" s="1" t="s">
        <v>535</v>
      </c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484" s="15" t="e">
        <f>_xlfn.TEXTBEFORE(_xlfn.TEXTAFTER(CantoralDB[[#This Row],[index.html]],"&gt;"),"&gt;")&amp;"&gt;"</f>
        <v>#N/A</v>
      </c>
    </row>
    <row r="1485" spans="1:21" hidden="1" x14ac:dyDescent="0.3">
      <c r="A1485" s="1">
        <f>ROW(CantoralDB[[#This Row],[Título]])-1</f>
        <v>1484</v>
      </c>
      <c r="B1485" s="1" t="s">
        <v>3164</v>
      </c>
      <c r="C1485" s="1"/>
      <c r="I1485" s="1"/>
      <c r="L1485" s="15" t="s">
        <v>3160</v>
      </c>
      <c r="M1485" s="15" t="s">
        <v>3161</v>
      </c>
      <c r="N1485" s="15">
        <v>3</v>
      </c>
      <c r="O1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si_me_faltas.html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href="canciones/hermana_glenda/si_me_faltas.html"&gt;Si me faltas&lt;/a&gt;&lt;/li&gt;</v>
      </c>
      <c r="U1485" s="15" t="str">
        <f>_xlfn.TEXTBEFORE(_xlfn.TEXTAFTER(CantoralDB[[#This Row],[index.html]],"&gt;"),"&gt;")&amp;"&gt;"</f>
        <v>&lt;a href="canciones/hermana_glenda/si_me_faltas.html"&gt;</v>
      </c>
    </row>
    <row r="1486" spans="1:21" hidden="1" x14ac:dyDescent="0.3">
      <c r="A1486" s="1">
        <f>ROW(CantoralDB[[#This Row],[Título]])-1</f>
        <v>1485</v>
      </c>
      <c r="B1486" s="1" t="s">
        <v>1356</v>
      </c>
      <c r="C1486" s="1"/>
      <c r="E1486" s="1">
        <v>229</v>
      </c>
      <c r="I1486" s="1"/>
      <c r="L1486" s="15" t="s">
        <v>510</v>
      </c>
      <c r="M1486" s="15"/>
      <c r="N1486" s="15"/>
      <c r="O1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si_no_encuentro_la_alegria.html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486" s="15" t="str">
        <f>_xlfn.TEXTBEFORE(_xlfn.TEXTAFTER(CantoralDB[[#This Row],[index.html]],"&gt;"),"&gt;")&amp;"&gt;"</f>
        <v>&lt;a href="canciones/ricardo_cantalapiedra/si_no_encuentro_la_alegria.html"&gt;</v>
      </c>
    </row>
    <row r="1487" spans="1:21" hidden="1" x14ac:dyDescent="0.3">
      <c r="A1487" s="1">
        <f>ROW(CantoralDB[[#This Row],[Título]])-1</f>
        <v>1486</v>
      </c>
      <c r="B1487" s="1" t="s">
        <v>3186</v>
      </c>
      <c r="C1487" s="1"/>
      <c r="I1487" s="1"/>
      <c r="L1487" s="15" t="s">
        <v>3160</v>
      </c>
      <c r="M1487" s="15" t="s">
        <v>3175</v>
      </c>
      <c r="N1487" s="15">
        <v>12</v>
      </c>
      <c r="O1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si_quereis_darme_consuelo.html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href="canciones/hermana_glenda/si_quereis_darme_consuelo.html"&gt;Si queréis darme consuelo&lt;/a&gt;&lt;/li&gt;</v>
      </c>
      <c r="U1487" s="15" t="str">
        <f>_xlfn.TEXTBEFORE(_xlfn.TEXTAFTER(CantoralDB[[#This Row],[index.html]],"&gt;"),"&gt;")&amp;"&gt;"</f>
        <v>&lt;a href="canciones/hermana_glenda/si_quereis_darme_consuelo.html"&gt;</v>
      </c>
    </row>
    <row r="1488" spans="1:21" hidden="1" x14ac:dyDescent="0.3">
      <c r="A1488" s="1">
        <f>ROW(CantoralDB[[#This Row],[Título]])-1</f>
        <v>1487</v>
      </c>
      <c r="B1488" s="1" t="s">
        <v>1370</v>
      </c>
      <c r="C1488" s="1"/>
      <c r="E1488" s="1">
        <v>250</v>
      </c>
      <c r="I1488" s="1"/>
      <c r="L1488" s="15" t="s">
        <v>517</v>
      </c>
      <c r="M1488" s="15"/>
      <c r="N1488" s="15"/>
      <c r="O1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1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si_sabes_de_humildad_y_sencillez.html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data-nold="250"&gt;&lt;a href="canciones/gregorio_fernandez/si_sabes_de_humildad_y_sencillez.html"&gt;Si sabes de humildad y sencillez&lt;/a&gt;&lt;/li&gt;</v>
      </c>
      <c r="U1488" s="15" t="str">
        <f>_xlfn.TEXTBEFORE(_xlfn.TEXTAFTER(CantoralDB[[#This Row],[index.html]],"&gt;"),"&gt;")&amp;"&gt;"</f>
        <v>&lt;a href="canciones/gregorio_fernandez/si_sabes_de_humildad_y_sencillez.html"&gt;</v>
      </c>
    </row>
    <row r="1489" spans="1:21" hidden="1" x14ac:dyDescent="0.3">
      <c r="A1489" s="1">
        <f>ROW(CantoralDB[[#This Row],[Título]])-1</f>
        <v>1488</v>
      </c>
      <c r="B1489" s="1" t="s">
        <v>1927</v>
      </c>
      <c r="C1489" s="1"/>
      <c r="I1489" s="1" t="s">
        <v>612</v>
      </c>
      <c r="L1489" s="15" t="s">
        <v>1804</v>
      </c>
      <c r="M1489" s="15" t="s">
        <v>1952</v>
      </c>
      <c r="N1489" s="15">
        <v>2</v>
      </c>
      <c r="O1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si_tu_quieres.html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href="canciones/ruah/si_tu_quieres.html"&gt;Si tú quieres&lt;/a&gt;&lt;/li&gt;</v>
      </c>
      <c r="U1489" s="15" t="str">
        <f>_xlfn.TEXTBEFORE(_xlfn.TEXTAFTER(CantoralDB[[#This Row],[index.html]],"&gt;"),"&gt;")&amp;"&gt;"</f>
        <v>&lt;a href="canciones/ruah/si_tu_quieres.html"&gt;</v>
      </c>
    </row>
    <row r="1490" spans="1:21" hidden="1" x14ac:dyDescent="0.3">
      <c r="A1490" s="1">
        <f>ROW(CantoralDB[[#This Row],[Título]])-1</f>
        <v>1489</v>
      </c>
      <c r="B1490" s="1" t="s">
        <v>1755</v>
      </c>
      <c r="C1490" s="1"/>
      <c r="I1490" s="1"/>
      <c r="L1490" s="15" t="s">
        <v>484</v>
      </c>
      <c r="M1490" s="15" t="s">
        <v>1543</v>
      </c>
      <c r="N1490" s="15">
        <v>5</v>
      </c>
      <c r="O1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si_tu_sabes.html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href="canciones/kairoi/si_tu_sabes.html"&gt;Si tú sabes&lt;/a&gt;&lt;/li&gt;</v>
      </c>
      <c r="U1490" s="15" t="str">
        <f>_xlfn.TEXTBEFORE(_xlfn.TEXTAFTER(CantoralDB[[#This Row],[index.html]],"&gt;"),"&gt;")&amp;"&gt;"</f>
        <v>&lt;a href="canciones/kairoi/si_tu_sabes.html"&gt;</v>
      </c>
    </row>
    <row r="1491" spans="1:21" hidden="1" x14ac:dyDescent="0.3">
      <c r="A1491" s="1">
        <f>ROW(CantoralDB[[#This Row],[Título]])-1</f>
        <v>1490</v>
      </c>
      <c r="B1491" s="1" t="s">
        <v>3359</v>
      </c>
      <c r="C1491" s="1"/>
      <c r="F1491" s="1">
        <v>24</v>
      </c>
      <c r="I1491" s="1"/>
      <c r="L1491" s="15" t="s">
        <v>799</v>
      </c>
      <c r="M1491" s="15"/>
      <c r="N1491" s="15"/>
      <c r="O1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si_tuvieras_fe_como_un_granito_de_mostaza.html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491" s="15" t="str">
        <f>_xlfn.TEXTBEFORE(_xlfn.TEXTAFTER(CantoralDB[[#This Row],[index.html]],"&gt;"),"&gt;")&amp;"&gt;"</f>
        <v>&lt;a href="canciones/nuevas/si_tuvieras_fe_como_un_granito_de_mostaza.html"&gt;</v>
      </c>
    </row>
    <row r="1492" spans="1:21" hidden="1" x14ac:dyDescent="0.3">
      <c r="A1492" s="1">
        <f>ROW(CantoralDB[[#This Row],[Título]])-1</f>
        <v>1491</v>
      </c>
      <c r="B1492" s="1" t="s">
        <v>1692</v>
      </c>
      <c r="C1492" s="1"/>
      <c r="I1492" s="1"/>
      <c r="L1492" s="15" t="s">
        <v>484</v>
      </c>
      <c r="M1492" s="15" t="s">
        <v>1535</v>
      </c>
      <c r="N1492" s="15">
        <v>10</v>
      </c>
      <c r="O1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si_vamos_desnudos_por_cristo.html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1492" s="15" t="str">
        <f>_xlfn.TEXTBEFORE(_xlfn.TEXTAFTER(CantoralDB[[#This Row],[index.html]],"&gt;"),"&gt;")&amp;"&gt;"</f>
        <v>&lt;a href="canciones/kairoi/si_vamos_desnudos_por_cristo.html"&gt;</v>
      </c>
    </row>
    <row r="1493" spans="1:21" hidden="1" x14ac:dyDescent="0.3">
      <c r="A1493" s="1">
        <f>ROW(CantoralDB[[#This Row],[Título]])-1</f>
        <v>1492</v>
      </c>
      <c r="B1493" s="1" t="s">
        <v>1786</v>
      </c>
      <c r="C1493" s="1"/>
      <c r="I1493" s="1"/>
      <c r="L1493" s="15" t="s">
        <v>484</v>
      </c>
      <c r="M1493" s="15" t="s">
        <v>1545</v>
      </c>
      <c r="N1493" s="15">
        <v>11</v>
      </c>
      <c r="O1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si_yo_cambiara.html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1493" s="15" t="str">
        <f>_xlfn.TEXTBEFORE(_xlfn.TEXTAFTER(CantoralDB[[#This Row],[index.html]],"&gt;"),"&gt;")&amp;"&gt;"</f>
        <v>&lt;a href="canciones/kairoi/si_yo_cambiara.html"&gt;</v>
      </c>
    </row>
    <row r="1494" spans="1:21" hidden="1" x14ac:dyDescent="0.3">
      <c r="A1494" s="1">
        <f>ROW(CantoralDB[[#This Row],[Título]])-1</f>
        <v>1493</v>
      </c>
      <c r="B1494" s="1" t="s">
        <v>3376</v>
      </c>
      <c r="C1494" s="1"/>
      <c r="F1494" s="1">
        <v>42</v>
      </c>
      <c r="I1494" s="1"/>
      <c r="L1494" s="15" t="s">
        <v>799</v>
      </c>
      <c r="M1494" s="15"/>
      <c r="N1494" s="15"/>
      <c r="O1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si_yo_confio_en_el_señor.html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494" s="15" t="str">
        <f>_xlfn.TEXTBEFORE(_xlfn.TEXTAFTER(CantoralDB[[#This Row],[index.html]],"&gt;"),"&gt;")&amp;"&gt;"</f>
        <v>&lt;a href="canciones/nuevas/si_yo_confio_en_el_señor.html"&gt;</v>
      </c>
    </row>
    <row r="1495" spans="1:21" hidden="1" x14ac:dyDescent="0.3">
      <c r="A1495" s="1">
        <f>ROW(CantoralDB[[#This Row],[Título]])-1</f>
        <v>1494</v>
      </c>
      <c r="B1495" s="1" t="s">
        <v>3506</v>
      </c>
      <c r="C1495" s="1"/>
      <c r="F1495" s="1">
        <v>160</v>
      </c>
      <c r="I1495" s="1"/>
      <c r="L1495" s="15" t="s">
        <v>488</v>
      </c>
      <c r="M1495" s="15"/>
      <c r="N1495" s="15"/>
      <c r="O1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al-haraca</v>
      </c>
      <c r="Q1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si_con_vosotros_estoy.html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1495" s="15" t="str">
        <f>_xlfn.TEXTBEFORE(_xlfn.TEXTAFTER(CantoralDB[[#This Row],[index.html]],"&gt;"),"&gt;")&amp;"&gt;"</f>
        <v>&lt;a href="canciones/al-haraca/si_con_vosotros_estoy.html"&gt;</v>
      </c>
    </row>
    <row r="1496" spans="1:21" hidden="1" x14ac:dyDescent="0.3">
      <c r="A1496" s="1">
        <f>ROW(CantoralDB[[#This Row],[Título]])-1</f>
        <v>1495</v>
      </c>
      <c r="B1496" s="1" t="s">
        <v>1620</v>
      </c>
      <c r="C1496" s="1"/>
      <c r="I1496" s="1" t="s">
        <v>612</v>
      </c>
      <c r="L1496" s="15" t="s">
        <v>484</v>
      </c>
      <c r="M1496" s="15" t="s">
        <v>1536</v>
      </c>
      <c r="N1496" s="15">
        <v>1</v>
      </c>
      <c r="O1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si_jesus.html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href="canciones/kairoi/si_jesus.html"&gt;Sí, Jesús&lt;/a&gt;&lt;/li&gt;</v>
      </c>
      <c r="U1496" s="15" t="str">
        <f>_xlfn.TEXTBEFORE(_xlfn.TEXTAFTER(CantoralDB[[#This Row],[index.html]],"&gt;"),"&gt;")&amp;"&gt;"</f>
        <v>&lt;a href="canciones/kairoi/si_jesus.html"&gt;</v>
      </c>
    </row>
    <row r="1497" spans="1:21" hidden="1" x14ac:dyDescent="0.3">
      <c r="A1497" s="1">
        <f>ROW(CantoralDB[[#This Row],[Título]])-1</f>
        <v>1496</v>
      </c>
      <c r="B1497" s="1" t="s">
        <v>1071</v>
      </c>
      <c r="C1497" s="1" t="s">
        <v>997</v>
      </c>
      <c r="D1497" s="1" t="s">
        <v>1072</v>
      </c>
      <c r="H1497" s="1" t="s">
        <v>1037</v>
      </c>
      <c r="I1497" s="1" t="s">
        <v>612</v>
      </c>
      <c r="L1497" s="15" t="s">
        <v>799</v>
      </c>
      <c r="M1497" s="15"/>
      <c r="N1497" s="15"/>
      <c r="O1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siempre_en_ti.html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497" s="15" t="str">
        <f>_xlfn.TEXTBEFORE(_xlfn.TEXTAFTER(CantoralDB[[#This Row],[index.html]],"&gt;"),"&gt;")&amp;"&gt;"</f>
        <v>&lt;a href="canciones/nsb/siempre_en_ti.html"&gt;</v>
      </c>
    </row>
    <row r="1498" spans="1:21" hidden="1" x14ac:dyDescent="0.3">
      <c r="A1498" s="1">
        <f>ROW(CantoralDB[[#This Row],[Título]])-1</f>
        <v>1497</v>
      </c>
      <c r="B1498" s="1" t="s">
        <v>3329</v>
      </c>
      <c r="C1498" s="1"/>
      <c r="I1498" s="1" t="s">
        <v>612</v>
      </c>
      <c r="L1498" s="15" t="s">
        <v>499</v>
      </c>
      <c r="M1498" s="15" t="s">
        <v>3316</v>
      </c>
      <c r="N1498" s="15">
        <v>13</v>
      </c>
      <c r="O1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siempre_estare_con_vosotros.html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498" s="15" t="str">
        <f>_xlfn.TEXTBEFORE(_xlfn.TEXTAFTER(CantoralDB[[#This Row],[index.html]],"&gt;"),"&gt;")&amp;"&gt;"</f>
        <v>&lt;a href="canciones/brotes_de_olivo/siempre_estare_con_vosotros.html"&gt;</v>
      </c>
    </row>
    <row r="1499" spans="1:21" hidden="1" x14ac:dyDescent="0.3">
      <c r="A1499" s="1">
        <f>ROW(CantoralDB[[#This Row],[Título]])-1</f>
        <v>1498</v>
      </c>
      <c r="B1499" s="1" t="s">
        <v>218</v>
      </c>
      <c r="C1499" s="1" t="s">
        <v>200</v>
      </c>
      <c r="D1499" s="1" t="s">
        <v>1098</v>
      </c>
      <c r="G1499" s="1" t="s">
        <v>220</v>
      </c>
      <c r="H1499" s="1" t="s">
        <v>1074</v>
      </c>
      <c r="I1499" s="1" t="s">
        <v>612</v>
      </c>
      <c r="L1499" s="15" t="s">
        <v>482</v>
      </c>
      <c r="M1499" s="15" t="s">
        <v>1900</v>
      </c>
      <c r="N1499" s="15">
        <v>4</v>
      </c>
      <c r="O1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siempre_estuviste_aqui_(almudena).html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499" s="15" t="str">
        <f>_xlfn.TEXTBEFORE(_xlfn.TEXTAFTER(CantoralDB[[#This Row],[index.html]],"&gt;"),"&gt;")&amp;"&gt;"</f>
        <v>&lt;a href="canciones/toño_casado/siempre_estuviste_aqui_(almudena).html"&gt;</v>
      </c>
    </row>
    <row r="1500" spans="1:21" hidden="1" x14ac:dyDescent="0.3">
      <c r="A1500" s="1">
        <f>ROW(CantoralDB[[#This Row],[Título]])-1</f>
        <v>1499</v>
      </c>
      <c r="B1500" s="1" t="s">
        <v>2021</v>
      </c>
      <c r="C1500" s="1"/>
      <c r="I1500" s="1" t="s">
        <v>612</v>
      </c>
      <c r="L1500" s="15" t="s">
        <v>261</v>
      </c>
      <c r="M1500" s="15"/>
      <c r="N1500" s="15"/>
      <c r="O1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siempre_imagine.html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1500" s="15" t="str">
        <f>_xlfn.TEXTBEFORE(_xlfn.TEXTAFTER(CantoralDB[[#This Row],[index.html]],"&gt;"),"&gt;")&amp;"&gt;"</f>
        <v>&lt;a href="canciones/hakuna/siempre_imagine.html"&gt;</v>
      </c>
    </row>
    <row r="1501" spans="1:21" hidden="1" x14ac:dyDescent="0.3">
      <c r="A1501" s="1">
        <f>ROW(CantoralDB[[#This Row],[Título]])-1</f>
        <v>1500</v>
      </c>
      <c r="B1501" s="1" t="s">
        <v>1631</v>
      </c>
      <c r="C1501" s="1"/>
      <c r="I1501" s="1"/>
      <c r="L1501" s="15" t="s">
        <v>484</v>
      </c>
      <c r="M1501" s="15" t="s">
        <v>1526</v>
      </c>
      <c r="N1501" s="15">
        <v>7</v>
      </c>
      <c r="O1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siempre_me_gusto_decirte_hola.html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1501" s="15" t="str">
        <f>_xlfn.TEXTBEFORE(_xlfn.TEXTAFTER(CantoralDB[[#This Row],[index.html]],"&gt;"),"&gt;")&amp;"&gt;"</f>
        <v>&lt;a href="canciones/kairoi/siempre_me_gusto_decirte_hola.html"&gt;</v>
      </c>
    </row>
    <row r="1502" spans="1:21" hidden="1" x14ac:dyDescent="0.3">
      <c r="A1502" s="1">
        <f>ROW(CantoralDB[[#This Row],[Título]])-1</f>
        <v>1501</v>
      </c>
      <c r="B1502" s="1" t="s">
        <v>1368</v>
      </c>
      <c r="C1502" s="1"/>
      <c r="E1502" s="1">
        <v>247</v>
      </c>
      <c r="I1502" s="1"/>
      <c r="L1502" s="15" t="s">
        <v>480</v>
      </c>
      <c r="M1502" s="15"/>
      <c r="N1502" s="15"/>
      <c r="O1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siempre_que_es_navidad.html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1502" s="15" t="str">
        <f>_xlfn.TEXTBEFORE(_xlfn.TEXTAFTER(CantoralDB[[#This Row],[index.html]],"&gt;"),"&gt;")&amp;"&gt;"</f>
        <v>&lt;a href="canciones/juanjo_elezkano/siempre_que_es_navidad.html"&gt;</v>
      </c>
    </row>
    <row r="1503" spans="1:21" hidden="1" x14ac:dyDescent="0.3">
      <c r="A1503" s="1">
        <f>ROW(CantoralDB[[#This Row],[Título]])-1</f>
        <v>1502</v>
      </c>
      <c r="B1503" s="1" t="s">
        <v>1361</v>
      </c>
      <c r="C1503" s="1"/>
      <c r="E1503" s="1">
        <v>239</v>
      </c>
      <c r="I1503" s="1"/>
      <c r="L1503" s="15" t="s">
        <v>547</v>
      </c>
      <c r="M1503" s="15"/>
      <c r="N1503" s="15"/>
      <c r="O1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siempre_unidos_mano_a_mano.html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1503" s="15" t="str">
        <f>_xlfn.TEXTBEFORE(_xlfn.TEXTAFTER(CantoralDB[[#This Row],[index.html]],"&gt;"),"&gt;")&amp;"&gt;"</f>
        <v>&lt;a href="canciones/emilio_vicente_mateu/siempre_unidos_mano_a_mano.html"&gt;</v>
      </c>
    </row>
    <row r="1504" spans="1:21" hidden="1" x14ac:dyDescent="0.3">
      <c r="A1504" s="1">
        <f>ROW(CantoralDB[[#This Row],[Título]])-1</f>
        <v>1503</v>
      </c>
      <c r="B1504" s="1" t="s">
        <v>1735</v>
      </c>
      <c r="C1504" s="1"/>
      <c r="I1504" s="1"/>
      <c r="L1504" s="15" t="s">
        <v>484</v>
      </c>
      <c r="M1504" s="15" t="s">
        <v>1541</v>
      </c>
      <c r="N1504" s="15">
        <v>4</v>
      </c>
      <c r="O1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siempre_si_celebrare.html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1504" s="15" t="str">
        <f>_xlfn.TEXTBEFORE(_xlfn.TEXTAFTER(CantoralDB[[#This Row],[index.html]],"&gt;"),"&gt;")&amp;"&gt;"</f>
        <v>&lt;a href="canciones/kairoi/siempre_si_celebrare.html"&gt;</v>
      </c>
    </row>
    <row r="1505" spans="1:21" hidden="1" x14ac:dyDescent="0.3">
      <c r="A1505" s="1">
        <f>ROW(CantoralDB[[#This Row],[Título]])-1</f>
        <v>1504</v>
      </c>
      <c r="B1505" s="1" t="s">
        <v>3515</v>
      </c>
      <c r="C1505" s="1"/>
      <c r="F1505" s="1">
        <v>169</v>
      </c>
      <c r="I1505" s="1"/>
      <c r="L1505" s="15" t="s">
        <v>3516</v>
      </c>
      <c r="M1505" s="15"/>
      <c r="N1505" s="15"/>
      <c r="O1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Cecilia"&gt;&lt;a href="canciones/nuevas/siento.html"&gt;Siento&lt;/a&gt;&lt;/li&gt;</v>
      </c>
      <c r="U1505" s="15" t="str">
        <f>_xlfn.TEXTBEFORE(_xlfn.TEXTAFTER(CantoralDB[[#This Row],[index.html]],"&gt;"),"&gt;")&amp;"&gt;"</f>
        <v>&lt;a href="canciones/nuevas/siento.html"&gt;</v>
      </c>
    </row>
    <row r="1506" spans="1:21" hidden="1" x14ac:dyDescent="0.3">
      <c r="A1506" s="1">
        <f>ROW(CantoralDB[[#This Row],[Título]])-1</f>
        <v>1505</v>
      </c>
      <c r="B1506" s="1" t="s">
        <v>3742</v>
      </c>
      <c r="C1506" s="1"/>
      <c r="F1506" s="1">
        <v>397</v>
      </c>
      <c r="I1506" s="1"/>
      <c r="L1506" s="15" t="s">
        <v>799</v>
      </c>
      <c r="M1506" s="15"/>
      <c r="N1506" s="15"/>
      <c r="O1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siento_que_tus_ojos_me_miran.html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506" s="15" t="str">
        <f>_xlfn.TEXTBEFORE(_xlfn.TEXTAFTER(CantoralDB[[#This Row],[index.html]],"&gt;"),"&gt;")&amp;"&gt;"</f>
        <v>&lt;a href="canciones/nuevas/siento_que_tus_ojos_me_miran.html"&gt;</v>
      </c>
    </row>
    <row r="1507" spans="1:21" hidden="1" x14ac:dyDescent="0.3">
      <c r="A1507" s="1">
        <f>ROW(CantoralDB[[#This Row],[Título]])-1</f>
        <v>1506</v>
      </c>
      <c r="B1507" s="1" t="s">
        <v>1785</v>
      </c>
      <c r="C1507" s="1"/>
      <c r="I1507" s="1"/>
      <c r="L1507" s="15" t="s">
        <v>484</v>
      </c>
      <c r="M1507" s="15" t="s">
        <v>1545</v>
      </c>
      <c r="N1507" s="15">
        <v>10</v>
      </c>
      <c r="O1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siento_tu_dolor.html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1507" s="15" t="str">
        <f>_xlfn.TEXTBEFORE(_xlfn.TEXTAFTER(CantoralDB[[#This Row],[index.html]],"&gt;"),"&gt;")&amp;"&gt;"</f>
        <v>&lt;a href="canciones/kairoi/siento_tu_dolor.html"&gt;</v>
      </c>
    </row>
    <row r="1508" spans="1:21" hidden="1" x14ac:dyDescent="0.3">
      <c r="A1508" s="1">
        <f>ROW(CantoralDB[[#This Row],[Título]])-1</f>
        <v>1507</v>
      </c>
      <c r="B1508" s="1" t="s">
        <v>1602</v>
      </c>
      <c r="C1508" s="1"/>
      <c r="I1508" s="1" t="s">
        <v>612</v>
      </c>
      <c r="L1508" s="15" t="s">
        <v>484</v>
      </c>
      <c r="M1508" s="15" t="s">
        <v>1529</v>
      </c>
      <c r="N1508" s="15">
        <v>4</v>
      </c>
      <c r="O1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siento_tu_llamada.html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1508" s="15" t="str">
        <f>_xlfn.TEXTBEFORE(_xlfn.TEXTAFTER(CantoralDB[[#This Row],[index.html]],"&gt;"),"&gt;")&amp;"&gt;"</f>
        <v>&lt;a href="canciones/kairoi/siento_tu_llamada.html"&gt;</v>
      </c>
    </row>
    <row r="1509" spans="1:21" hidden="1" x14ac:dyDescent="0.3">
      <c r="A1509" s="1">
        <f>ROW(CantoralDB[[#This Row],[Título]])-1</f>
        <v>1508</v>
      </c>
      <c r="B1509" s="1" t="s">
        <v>568</v>
      </c>
      <c r="C1509" s="1" t="s">
        <v>195</v>
      </c>
      <c r="D1509" s="1" t="s">
        <v>773</v>
      </c>
      <c r="G1509" s="1" t="s">
        <v>557</v>
      </c>
      <c r="H1509" s="1" t="s">
        <v>532</v>
      </c>
      <c r="I1509" s="1" t="s">
        <v>612</v>
      </c>
      <c r="L1509" s="15" t="s">
        <v>522</v>
      </c>
      <c r="M1509" s="15"/>
      <c r="N1509" s="15"/>
      <c r="O1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sigue_habiendo.html</v>
      </c>
      <c r="R1509" s="1" t="s">
        <v>863</v>
      </c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509" s="15" t="str">
        <f>_xlfn.TEXTBEFORE(_xlfn.TEXTAFTER(CantoralDB[[#This Row],[index.html]],"&gt;"),"&gt;")&amp;"&gt;"</f>
        <v>&lt;a href="canciones/nsb/sigue_habiendo.html"&gt;</v>
      </c>
    </row>
    <row r="1510" spans="1:21" hidden="1" x14ac:dyDescent="0.3">
      <c r="A1510" s="1">
        <f>ROW(CantoralDB[[#This Row],[Título]])-1</f>
        <v>1509</v>
      </c>
      <c r="B1510" s="1" t="s">
        <v>1932</v>
      </c>
      <c r="C1510" s="1"/>
      <c r="I1510" s="1" t="s">
        <v>612</v>
      </c>
      <c r="L1510" s="15" t="s">
        <v>1804</v>
      </c>
      <c r="M1510" s="15" t="s">
        <v>1952</v>
      </c>
      <c r="N1510" s="15">
        <v>7</v>
      </c>
      <c r="O1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silencio.html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href="canciones/ruah/silencio.html"&gt;Silencio&lt;/a&gt;&lt;/li&gt;</v>
      </c>
      <c r="U1510" s="15" t="str">
        <f>_xlfn.TEXTBEFORE(_xlfn.TEXTAFTER(CantoralDB[[#This Row],[index.html]],"&gt;"),"&gt;")&amp;"&gt;"</f>
        <v>&lt;a href="canciones/ruah/silencio.html"&gt;</v>
      </c>
    </row>
    <row r="1511" spans="1:21" hidden="1" x14ac:dyDescent="0.3">
      <c r="A1511" s="1">
        <f>ROW(CantoralDB[[#This Row],[Título]])-1</f>
        <v>1510</v>
      </c>
      <c r="B1511" s="1" t="s">
        <v>3811</v>
      </c>
      <c r="C1511" s="1"/>
      <c r="I1511" s="1"/>
      <c r="L1511" s="15" t="s">
        <v>499</v>
      </c>
      <c r="M1511" s="15" t="s">
        <v>3803</v>
      </c>
      <c r="N1511" s="15">
        <v>11</v>
      </c>
      <c r="O1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sinfonia_de_las_vocales.html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511" s="15" t="str">
        <f>_xlfn.TEXTBEFORE(_xlfn.TEXTAFTER(CantoralDB[[#This Row],[index.html]],"&gt;"),"&gt;")&amp;"&gt;"</f>
        <v>&lt;a href="canciones/brotes_de_olivo/sinfonia_de_las_vocales.html"&gt;</v>
      </c>
    </row>
    <row r="1512" spans="1:21" hidden="1" x14ac:dyDescent="0.3">
      <c r="A1512" s="1">
        <f>ROW(CantoralDB[[#This Row],[Título]])-1</f>
        <v>1511</v>
      </c>
      <c r="B1512" s="1" t="s">
        <v>1626</v>
      </c>
      <c r="C1512" s="1"/>
      <c r="I1512" s="1"/>
      <c r="L1512" s="15" t="s">
        <v>484</v>
      </c>
      <c r="M1512" s="15" t="s">
        <v>1526</v>
      </c>
      <c r="N1512" s="15">
        <v>1</v>
      </c>
      <c r="O1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sintonia.html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href="canciones/kairoi/sintonia.html"&gt;Sintonía&lt;/a&gt;&lt;/li&gt;</v>
      </c>
      <c r="U1512" s="15" t="str">
        <f>_xlfn.TEXTBEFORE(_xlfn.TEXTAFTER(CantoralDB[[#This Row],[index.html]],"&gt;"),"&gt;")&amp;"&gt;"</f>
        <v>&lt;a href="canciones/kairoi/sintonia.html"&gt;</v>
      </c>
    </row>
    <row r="1513" spans="1:21" hidden="1" x14ac:dyDescent="0.3">
      <c r="A1513" s="1">
        <f>ROW(CantoralDB[[#This Row],[Título]])-1</f>
        <v>1512</v>
      </c>
      <c r="B1513" s="1" t="s">
        <v>136</v>
      </c>
      <c r="C1513" s="1" t="s">
        <v>201</v>
      </c>
      <c r="D1513" s="1" t="s">
        <v>676</v>
      </c>
      <c r="E1513" s="1">
        <v>461</v>
      </c>
      <c r="G1513" s="1" t="s">
        <v>209</v>
      </c>
      <c r="H1513" s="1" t="s">
        <v>1041</v>
      </c>
      <c r="I1513" s="1" t="s">
        <v>612</v>
      </c>
      <c r="L1513" s="15" t="s">
        <v>509</v>
      </c>
      <c r="M1513" s="15"/>
      <c r="N1513" s="15"/>
      <c r="O1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sois_la_sal.html</v>
      </c>
      <c r="R1513" s="1" t="s">
        <v>819</v>
      </c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513" s="15" t="str">
        <f>_xlfn.TEXTBEFORE(_xlfn.TEXTAFTER(CantoralDB[[#This Row],[index.html]],"&gt;"),"&gt;")&amp;"&gt;"</f>
        <v>&lt;a href="canciones/nsb/sois_la_sal.html"&gt;</v>
      </c>
    </row>
    <row r="1514" spans="1:21" hidden="1" x14ac:dyDescent="0.3">
      <c r="A1514" s="1">
        <f>ROW(CantoralDB[[#This Row],[Título]])-1</f>
        <v>1513</v>
      </c>
      <c r="B1514" s="1" t="s">
        <v>137</v>
      </c>
      <c r="C1514" s="1" t="s">
        <v>997</v>
      </c>
      <c r="D1514" s="1" t="s">
        <v>1009</v>
      </c>
      <c r="E1514" s="1">
        <v>241</v>
      </c>
      <c r="G1514" s="1" t="s">
        <v>209</v>
      </c>
      <c r="H1514" s="1" t="s">
        <v>532</v>
      </c>
      <c r="I1514" s="1" t="s">
        <v>612</v>
      </c>
      <c r="L1514" s="15" t="s">
        <v>483</v>
      </c>
      <c r="M1514" s="15"/>
      <c r="N1514" s="15"/>
      <c r="O1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sois_la_semilla.html</v>
      </c>
      <c r="R1514" s="1" t="s">
        <v>864</v>
      </c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1514" s="15" t="str">
        <f>_xlfn.TEXTBEFORE(_xlfn.TEXTAFTER(CantoralDB[[#This Row],[index.html]],"&gt;"),"&gt;")&amp;"&gt;"</f>
        <v>&lt;a href="canciones/cesareo_gabarain/sois_la_semilla.html"&gt;</v>
      </c>
    </row>
    <row r="1515" spans="1:21" hidden="1" x14ac:dyDescent="0.3">
      <c r="A1515" s="1">
        <f>ROW(CantoralDB[[#This Row],[Título]])-1</f>
        <v>1514</v>
      </c>
      <c r="B1515" s="1" t="s">
        <v>1360</v>
      </c>
      <c r="C1515" s="1"/>
      <c r="E1515" s="1">
        <v>238</v>
      </c>
      <c r="I1515" s="1"/>
      <c r="L1515" s="15" t="s">
        <v>3347</v>
      </c>
      <c r="M1515" s="15"/>
      <c r="N1515" s="15"/>
      <c r="O1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solidaridad.html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1515" s="15" t="str">
        <f>_xlfn.TEXTBEFORE(_xlfn.TEXTAFTER(CantoralDB[[#This Row],[index.html]],"&gt;"),"&gt;")&amp;"&gt;"</f>
        <v>&lt;a href="canciones/luis_alfredo_diaz/solidaridad.html"&gt;</v>
      </c>
    </row>
    <row r="1516" spans="1:21" hidden="1" x14ac:dyDescent="0.3">
      <c r="A1516" s="1">
        <f>ROW(CantoralDB[[#This Row],[Título]])-1</f>
        <v>1515</v>
      </c>
      <c r="B1516" s="1" t="s">
        <v>1861</v>
      </c>
      <c r="C1516" s="1"/>
      <c r="I1516" s="1" t="s">
        <v>612</v>
      </c>
      <c r="L1516" s="15" t="s">
        <v>501</v>
      </c>
      <c r="M1516" s="15" t="s">
        <v>1554</v>
      </c>
      <c r="N1516" s="15">
        <v>7</v>
      </c>
      <c r="O1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solo_en_dios.html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1516" s="15" t="str">
        <f>_xlfn.TEXTBEFORE(_xlfn.TEXTAFTER(CantoralDB[[#This Row],[index.html]],"&gt;"),"&gt;")&amp;"&gt;"</f>
        <v>&lt;a href="canciones/ain_karem/solo_en_dios.html"&gt;</v>
      </c>
    </row>
    <row r="1517" spans="1:21" hidden="1" x14ac:dyDescent="0.3">
      <c r="A1517" s="1">
        <f>ROW(CantoralDB[[#This Row],[Título]])-1</f>
        <v>1516</v>
      </c>
      <c r="B1517" s="1" t="s">
        <v>1632</v>
      </c>
      <c r="C1517" s="1"/>
      <c r="I1517" s="1"/>
      <c r="L1517" s="15" t="s">
        <v>484</v>
      </c>
      <c r="M1517" s="15" t="s">
        <v>1526</v>
      </c>
      <c r="N1517" s="15">
        <v>8</v>
      </c>
      <c r="O1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solo_trabajar.html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href="canciones/kairoi/solo_trabajar.html"&gt;Sólo trabajar&lt;/a&gt;&lt;/li&gt;</v>
      </c>
      <c r="U1517" s="15" t="str">
        <f>_xlfn.TEXTBEFORE(_xlfn.TEXTAFTER(CantoralDB[[#This Row],[index.html]],"&gt;"),"&gt;")&amp;"&gt;"</f>
        <v>&lt;a href="canciones/kairoi/solo_trabajar.html"&gt;</v>
      </c>
    </row>
    <row r="1518" spans="1:21" hidden="1" x14ac:dyDescent="0.3">
      <c r="A1518" s="1">
        <f>ROW(CantoralDB[[#This Row],[Título]])-1</f>
        <v>1517</v>
      </c>
      <c r="B1518" s="1" t="s">
        <v>1848</v>
      </c>
      <c r="C1518" s="1"/>
      <c r="I1518" s="1" t="s">
        <v>612</v>
      </c>
      <c r="L1518" s="15" t="s">
        <v>501</v>
      </c>
      <c r="M1518" s="15" t="s">
        <v>1552</v>
      </c>
      <c r="N1518" s="15">
        <v>5</v>
      </c>
      <c r="O1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518" s="1"/>
      <c r="S1518" s="1"/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href="canciones/ain_karem/solo_tu.html"&gt;Sólo Tú&lt;/a&gt;&lt;/li&gt;</v>
      </c>
      <c r="U1518" s="15" t="str">
        <f>_xlfn.TEXTBEFORE(_xlfn.TEXTAFTER(CantoralDB[[#This Row],[index.html]],"&gt;"),"&gt;")&amp;"&gt;"</f>
        <v>&lt;a href="canciones/ain_karem/solo_tu.html"&gt;</v>
      </c>
    </row>
    <row r="1519" spans="1:21" hidden="1" x14ac:dyDescent="0.3">
      <c r="A1519" s="1">
        <f>ROW(CantoralDB[[#This Row],[Título]])-1</f>
        <v>1518</v>
      </c>
      <c r="B1519" s="1" t="s">
        <v>1789</v>
      </c>
      <c r="C1519" s="1"/>
      <c r="I1519" s="1"/>
      <c r="L1519" s="15" t="s">
        <v>484</v>
      </c>
      <c r="M1519" s="15" t="s">
        <v>1546</v>
      </c>
      <c r="N1519" s="15">
        <v>9</v>
      </c>
      <c r="O1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href="canciones/kairoi/somos.html"&gt;Somos&lt;/a&gt;&lt;/li&gt;</v>
      </c>
      <c r="U1519" s="15" t="str">
        <f>_xlfn.TEXTBEFORE(_xlfn.TEXTAFTER(CantoralDB[[#This Row],[index.html]],"&gt;"),"&gt;")&amp;"&gt;"</f>
        <v>&lt;a href="canciones/kairoi/somos.html"&gt;</v>
      </c>
    </row>
    <row r="1520" spans="1:21" hidden="1" x14ac:dyDescent="0.3">
      <c r="A1520" s="1">
        <f>ROW(CantoralDB[[#This Row],[Título]])-1</f>
        <v>1519</v>
      </c>
      <c r="B1520" s="1" t="s">
        <v>1957</v>
      </c>
      <c r="C1520" s="1"/>
      <c r="I1520" s="1" t="s">
        <v>612</v>
      </c>
      <c r="L1520" s="15" t="s">
        <v>484</v>
      </c>
      <c r="M1520" s="15" t="s">
        <v>1537</v>
      </c>
      <c r="N1520" s="15">
        <v>1</v>
      </c>
      <c r="O1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somos_cancion.html</v>
      </c>
      <c r="R1520" s="1"/>
      <c r="S1520" s="1"/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href="canciones/kairoi/somos_cancion.html"&gt;Somos canción&lt;/a&gt;&lt;/li&gt;</v>
      </c>
      <c r="U1520" s="15" t="str">
        <f>_xlfn.TEXTBEFORE(_xlfn.TEXTAFTER(CantoralDB[[#This Row],[index.html]],"&gt;"),"&gt;")&amp;"&gt;"</f>
        <v>&lt;a href="canciones/kairoi/somos_cancion.html"&gt;</v>
      </c>
    </row>
    <row r="1521" spans="1:21" hidden="1" x14ac:dyDescent="0.3">
      <c r="A1521" s="1">
        <f>ROW(CantoralDB[[#This Row],[Título]])-1</f>
        <v>1520</v>
      </c>
      <c r="B1521" s="1" t="s">
        <v>1843</v>
      </c>
      <c r="C1521" s="1"/>
      <c r="I1521" s="1" t="s">
        <v>612</v>
      </c>
      <c r="L1521" s="15" t="s">
        <v>501</v>
      </c>
      <c r="M1521" s="15" t="s">
        <v>1551</v>
      </c>
      <c r="N1521" s="15">
        <v>14</v>
      </c>
      <c r="O1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somos_del_señor.html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521" s="15" t="str">
        <f>_xlfn.TEXTBEFORE(_xlfn.TEXTAFTER(CantoralDB[[#This Row],[index.html]],"&gt;"),"&gt;")&amp;"&gt;"</f>
        <v>&lt;a href="canciones/ain_karem/somos_del_señor.html"&gt;</v>
      </c>
    </row>
    <row r="1522" spans="1:21" hidden="1" x14ac:dyDescent="0.3">
      <c r="A1522" s="1">
        <f>ROW(CantoralDB[[#This Row],[Título]])-1</f>
        <v>1521</v>
      </c>
      <c r="B1522" s="1" t="s">
        <v>1779</v>
      </c>
      <c r="C1522" s="1"/>
      <c r="I1522" s="1"/>
      <c r="L1522" s="15" t="s">
        <v>484</v>
      </c>
      <c r="M1522" s="15" t="s">
        <v>1545</v>
      </c>
      <c r="N1522" s="15">
        <v>4</v>
      </c>
      <c r="O1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somos_iglesia.html</v>
      </c>
      <c r="R1522" s="1"/>
      <c r="S1522" s="1"/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href="canciones/kairoi/somos_iglesia.html"&gt;Somos Iglesia&lt;/a&gt;&lt;/li&gt;</v>
      </c>
      <c r="U1522" s="15" t="str">
        <f>_xlfn.TEXTBEFORE(_xlfn.TEXTAFTER(CantoralDB[[#This Row],[index.html]],"&gt;"),"&gt;")&amp;"&gt;"</f>
        <v>&lt;a href="canciones/kairoi/somos_iglesia.html"&gt;</v>
      </c>
    </row>
    <row r="1523" spans="1:21" hidden="1" x14ac:dyDescent="0.3">
      <c r="A1523" s="1">
        <f>ROW(CantoralDB[[#This Row],[Título]])-1</f>
        <v>1522</v>
      </c>
      <c r="B1523" s="1" t="s">
        <v>1397</v>
      </c>
      <c r="C1523" s="1"/>
      <c r="E1523" s="1">
        <v>309</v>
      </c>
      <c r="I1523" s="1"/>
      <c r="L1523" s="15" t="s">
        <v>799</v>
      </c>
      <c r="M1523" s="15"/>
      <c r="N1523" s="15"/>
      <c r="O1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somos_los_que_hacemos_puentes.html</v>
      </c>
      <c r="R1523" s="1"/>
      <c r="S1523" s="1"/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523" s="15" t="str">
        <f>_xlfn.TEXTBEFORE(_xlfn.TEXTAFTER(CantoralDB[[#This Row],[index.html]],"&gt;"),"&gt;")&amp;"&gt;"</f>
        <v>&lt;a href="canciones/nsb/somos_los_que_hacemos_puentes.html"&gt;</v>
      </c>
    </row>
    <row r="1524" spans="1:21" hidden="1" x14ac:dyDescent="0.3">
      <c r="A1524" s="1">
        <f>ROW(CantoralDB[[#This Row],[Título]])-1</f>
        <v>1523</v>
      </c>
      <c r="B1524" s="1" t="s">
        <v>1610</v>
      </c>
      <c r="C1524" s="1"/>
      <c r="I1524" s="1" t="s">
        <v>612</v>
      </c>
      <c r="L1524" s="15" t="s">
        <v>484</v>
      </c>
      <c r="M1524" s="15" t="s">
        <v>1536</v>
      </c>
      <c r="N1524" s="15">
        <v>10</v>
      </c>
      <c r="O1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somos_testigos.html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1524" s="15" t="str">
        <f>_xlfn.TEXTBEFORE(_xlfn.TEXTAFTER(CantoralDB[[#This Row],[index.html]],"&gt;"),"&gt;")&amp;"&gt;"</f>
        <v>&lt;a href="canciones/kairoi/somos_testigos.html"&gt;</v>
      </c>
    </row>
    <row r="1525" spans="1:21" hidden="1" x14ac:dyDescent="0.3">
      <c r="A1525" s="1">
        <f>ROW(CantoralDB[[#This Row],[Título]])-1</f>
        <v>1524</v>
      </c>
      <c r="B1525" s="1" t="s">
        <v>138</v>
      </c>
      <c r="C1525" s="1" t="s">
        <v>997</v>
      </c>
      <c r="D1525" s="1" t="s">
        <v>1010</v>
      </c>
      <c r="E1525" s="1">
        <v>237</v>
      </c>
      <c r="G1525" s="1" t="s">
        <v>209</v>
      </c>
      <c r="H1525" s="1" t="s">
        <v>473</v>
      </c>
      <c r="I1525" s="1" t="s">
        <v>612</v>
      </c>
      <c r="L1525" s="15" t="s">
        <v>547</v>
      </c>
      <c r="M1525" s="15"/>
      <c r="N1525" s="15"/>
      <c r="O1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somos_un_pueblo_que_camina.html</v>
      </c>
      <c r="R1525" s="1"/>
      <c r="S1525" s="1"/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1525" s="15" t="str">
        <f>_xlfn.TEXTBEFORE(_xlfn.TEXTAFTER(CantoralDB[[#This Row],[index.html]],"&gt;"),"&gt;")&amp;"&gt;"</f>
        <v>&lt;a href="canciones/emilio_vicente_mateu/somos_un_pueblo_que_camina.html"&gt;</v>
      </c>
    </row>
    <row r="1526" spans="1:21" hidden="1" x14ac:dyDescent="0.3">
      <c r="A1526" s="1">
        <f>ROW(CantoralDB[[#This Row],[Título]])-1</f>
        <v>1525</v>
      </c>
      <c r="B1526" s="1" t="s">
        <v>1366</v>
      </c>
      <c r="C1526" s="1"/>
      <c r="E1526" s="1">
        <v>246</v>
      </c>
      <c r="I1526" s="1"/>
      <c r="L1526" s="15" t="s">
        <v>547</v>
      </c>
      <c r="M1526" s="15"/>
      <c r="N1526" s="15"/>
      <c r="O1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somos_un_solo_cuerpo.html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1526" s="15" t="str">
        <f>_xlfn.TEXTBEFORE(_xlfn.TEXTAFTER(CantoralDB[[#This Row],[index.html]],"&gt;"),"&gt;")&amp;"&gt;"</f>
        <v>&lt;a href="canciones/emilio_vicente_mateu/somos_un_solo_cuerpo.html"&gt;</v>
      </c>
    </row>
    <row r="1527" spans="1:21" hidden="1" x14ac:dyDescent="0.3">
      <c r="A1527" s="1">
        <f>ROW(CantoralDB[[#This Row],[Título]])-1</f>
        <v>1526</v>
      </c>
      <c r="B1527" s="1" t="s">
        <v>1655</v>
      </c>
      <c r="C1527" s="1"/>
      <c r="I1527" s="1" t="s">
        <v>612</v>
      </c>
      <c r="L1527" s="15" t="s">
        <v>484</v>
      </c>
      <c r="M1527" s="15" t="s">
        <v>1530</v>
      </c>
      <c r="N1527" s="15">
        <v>11</v>
      </c>
      <c r="O1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somos_una_familia.html</v>
      </c>
      <c r="R1527" s="1"/>
      <c r="S1527" s="1"/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1527" s="15" t="str">
        <f>_xlfn.TEXTBEFORE(_xlfn.TEXTAFTER(CantoralDB[[#This Row],[index.html]],"&gt;"),"&gt;")&amp;"&gt;"</f>
        <v>&lt;a href="canciones/kairoi/somos_una_familia.html"&gt;</v>
      </c>
    </row>
    <row r="1528" spans="1:21" hidden="1" x14ac:dyDescent="0.3">
      <c r="A1528" s="1">
        <f>ROW(CantoralDB[[#This Row],[Título]])-1</f>
        <v>1527</v>
      </c>
      <c r="B1528" s="1" t="s">
        <v>1855</v>
      </c>
      <c r="C1528" s="1"/>
      <c r="I1528" s="1"/>
      <c r="L1528" s="15" t="s">
        <v>501</v>
      </c>
      <c r="M1528" s="15" t="s">
        <v>1552</v>
      </c>
      <c r="N1528" s="15">
        <v>15</v>
      </c>
      <c r="O1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somos_vedruna.html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1528" s="15" t="str">
        <f>_xlfn.TEXTBEFORE(_xlfn.TEXTAFTER(CantoralDB[[#This Row],[index.html]],"&gt;"),"&gt;")&amp;"&gt;"</f>
        <v>&lt;a href="canciones/ain_karem/somos_vedruna.html"&gt;</v>
      </c>
    </row>
    <row r="1529" spans="1:21" hidden="1" x14ac:dyDescent="0.3">
      <c r="A1529" s="1">
        <f>ROW(CantoralDB[[#This Row],[Título]])-1</f>
        <v>1528</v>
      </c>
      <c r="B1529" s="1" t="s">
        <v>1720</v>
      </c>
      <c r="C1529" s="1"/>
      <c r="I1529" s="1" t="s">
        <v>612</v>
      </c>
      <c r="L1529" s="15" t="s">
        <v>484</v>
      </c>
      <c r="M1529" s="15" t="s">
        <v>1538</v>
      </c>
      <c r="N1529" s="15">
        <v>9</v>
      </c>
      <c r="O1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soñar_un_mundo_mas_feliz.html</v>
      </c>
      <c r="R1529" s="1"/>
      <c r="S1529" s="1"/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1529" s="15" t="str">
        <f>_xlfn.TEXTBEFORE(_xlfn.TEXTAFTER(CantoralDB[[#This Row],[index.html]],"&gt;"),"&gt;")&amp;"&gt;"</f>
        <v>&lt;a href="canciones/kairoi/soñar_un_mundo_mas_feliz.html"&gt;</v>
      </c>
    </row>
    <row r="1530" spans="1:21" hidden="1" x14ac:dyDescent="0.3">
      <c r="A1530" s="1">
        <f>ROW(CantoralDB[[#This Row],[Título]])-1</f>
        <v>1529</v>
      </c>
      <c r="B1530" s="1" t="s">
        <v>1907</v>
      </c>
      <c r="C1530" s="1"/>
      <c r="I1530" s="1" t="s">
        <v>612</v>
      </c>
      <c r="L1530" s="15" t="s">
        <v>1804</v>
      </c>
      <c r="M1530" s="15" t="s">
        <v>1950</v>
      </c>
      <c r="N1530" s="15">
        <v>3</v>
      </c>
      <c r="O1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href="canciones/ruah/soy_de_ti.html"&gt;Soy de ti&lt;/a&gt;&lt;/li&gt;</v>
      </c>
      <c r="U1530" s="15" t="str">
        <f>_xlfn.TEXTBEFORE(_xlfn.TEXTAFTER(CantoralDB[[#This Row],[index.html]],"&gt;"),"&gt;")&amp;"&gt;"</f>
        <v>&lt;a href="canciones/ruah/soy_de_ti.html"&gt;</v>
      </c>
    </row>
    <row r="1531" spans="1:21" hidden="1" x14ac:dyDescent="0.3">
      <c r="A1531" s="1">
        <f>ROW(CantoralDB[[#This Row],[Título]])-1</f>
        <v>1530</v>
      </c>
      <c r="B1531" s="1" t="s">
        <v>3255</v>
      </c>
      <c r="C1531" s="1"/>
      <c r="I1531" s="1"/>
      <c r="L1531" s="15" t="s">
        <v>3160</v>
      </c>
      <c r="M1531" s="15" t="s">
        <v>3248</v>
      </c>
      <c r="N1531" s="15">
        <v>8</v>
      </c>
      <c r="O1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soy_de_tiempo.html</v>
      </c>
      <c r="R1531" s="1"/>
      <c r="S1531" s="1"/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href="canciones/hermana_glenda/soy_de_tiempo.html"&gt;Soy de tiempo&lt;/a&gt;&lt;/li&gt;</v>
      </c>
      <c r="U1531" s="15" t="str">
        <f>_xlfn.TEXTBEFORE(_xlfn.TEXTAFTER(CantoralDB[[#This Row],[index.html]],"&gt;"),"&gt;")&amp;"&gt;"</f>
        <v>&lt;a href="canciones/hermana_glenda/soy_de_tiempo.html"&gt;</v>
      </c>
    </row>
    <row r="1532" spans="1:21" hidden="1" x14ac:dyDescent="0.3">
      <c r="A1532" s="1">
        <f>ROW(CantoralDB[[#This Row],[Título]])-1</f>
        <v>1531</v>
      </c>
      <c r="B1532" s="1" t="s">
        <v>1730</v>
      </c>
      <c r="C1532" s="1"/>
      <c r="I1532" s="1" t="s">
        <v>612</v>
      </c>
      <c r="L1532" s="15" t="s">
        <v>484</v>
      </c>
      <c r="M1532" s="15" t="s">
        <v>1540</v>
      </c>
      <c r="N1532" s="15">
        <v>7</v>
      </c>
      <c r="O1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soy_mujer.html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href="canciones/kairoi/soy_mujer.html"&gt;Soy mujer&lt;/a&gt;&lt;/li&gt;</v>
      </c>
      <c r="U1532" s="15" t="str">
        <f>_xlfn.TEXTBEFORE(_xlfn.TEXTAFTER(CantoralDB[[#This Row],[index.html]],"&gt;"),"&gt;")&amp;"&gt;"</f>
        <v>&lt;a href="canciones/kairoi/soy_mujer.html"&gt;</v>
      </c>
    </row>
    <row r="1533" spans="1:21" hidden="1" x14ac:dyDescent="0.3">
      <c r="A1533" s="1">
        <f>ROW(CantoralDB[[#This Row],[Título]])-1</f>
        <v>1532</v>
      </c>
      <c r="B1533" s="1" t="s">
        <v>2164</v>
      </c>
      <c r="C1533" s="1"/>
      <c r="E1533" s="1">
        <v>248</v>
      </c>
      <c r="I1533" s="1"/>
      <c r="L1533" s="15" t="s">
        <v>518</v>
      </c>
      <c r="M1533" s="15"/>
      <c r="N1533" s="15"/>
      <c r="O1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soy_un_pobre_pastorcillo.html</v>
      </c>
      <c r="R1533" s="1"/>
      <c r="S1533" s="1"/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data-nold="248"&gt;&lt;a href="canciones/nsb/soy_un_pobre_pastorcillo.html"&gt;Soy un pobre pastorcillo&lt;/a&gt;&lt;/li&gt;</v>
      </c>
      <c r="U1533" s="15" t="str">
        <f>_xlfn.TEXTBEFORE(_xlfn.TEXTAFTER(CantoralDB[[#This Row],[index.html]],"&gt;"),"&gt;")&amp;"&gt;"</f>
        <v>&lt;a href="canciones/nsb/soy_un_pobre_pastorcillo.html"&gt;</v>
      </c>
    </row>
    <row r="1534" spans="1:21" hidden="1" x14ac:dyDescent="0.3">
      <c r="A1534" s="1">
        <f>ROW(CantoralDB[[#This Row],[Título]])-1</f>
        <v>1533</v>
      </c>
      <c r="B1534" s="1" t="s">
        <v>442</v>
      </c>
      <c r="C1534" s="1" t="s">
        <v>1026</v>
      </c>
      <c r="D1534" s="1" t="s">
        <v>1165</v>
      </c>
      <c r="H1534" s="1" t="s">
        <v>1084</v>
      </c>
      <c r="I1534" s="1" t="s">
        <v>612</v>
      </c>
      <c r="L1534" s="15" t="s">
        <v>2201</v>
      </c>
      <c r="M1534" s="15"/>
      <c r="N1534" s="15"/>
      <c r="O1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534" s="15" t="str">
        <f>_xlfn.TEXTBEFORE(_xlfn.TEXTAFTER(CantoralDB[[#This Row],[index.html]],"&gt;"),"&gt;")&amp;"&gt;"</f>
        <v>&lt;a href="canciones/taize/spiritus_jesu_christi.html"&gt;</v>
      </c>
    </row>
    <row r="1535" spans="1:21" hidden="1" x14ac:dyDescent="0.3">
      <c r="A1535" s="1">
        <f>ROW(CantoralDB[[#This Row],[Título]])-1</f>
        <v>1534</v>
      </c>
      <c r="B1535" s="1" t="s">
        <v>443</v>
      </c>
      <c r="C1535" s="1" t="s">
        <v>1026</v>
      </c>
      <c r="D1535" s="1" t="s">
        <v>1189</v>
      </c>
      <c r="H1535" s="1" t="s">
        <v>1085</v>
      </c>
      <c r="I1535" s="1" t="s">
        <v>612</v>
      </c>
      <c r="L1535" s="15" t="s">
        <v>2201</v>
      </c>
      <c r="M1535" s="15"/>
      <c r="N1535" s="15"/>
      <c r="O1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535" s="1"/>
      <c r="S1535" s="1"/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535" s="15" t="str">
        <f>_xlfn.TEXTBEFORE(_xlfn.TEXTAFTER(CantoralDB[[#This Row],[index.html]],"&gt;"),"&gt;")&amp;"&gt;"</f>
        <v>&lt;a href="canciones/taize/staňte_se_soli.html"&gt;</v>
      </c>
    </row>
    <row r="1536" spans="1:21" hidden="1" x14ac:dyDescent="0.3">
      <c r="A1536" s="1">
        <f>ROW(CantoralDB[[#This Row],[Título]])-1</f>
        <v>1535</v>
      </c>
      <c r="B1536" s="1" t="s">
        <v>1736</v>
      </c>
      <c r="C1536" s="1"/>
      <c r="I1536" s="1"/>
      <c r="L1536" s="15" t="s">
        <v>484</v>
      </c>
      <c r="M1536" s="15" t="s">
        <v>1541</v>
      </c>
      <c r="N1536" s="15">
        <v>5</v>
      </c>
      <c r="O1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su_palabra.html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href="canciones/kairoi/su_palabra.html"&gt;Su palabra&lt;/a&gt;&lt;/li&gt;</v>
      </c>
      <c r="U1536" s="15" t="str">
        <f>_xlfn.TEXTBEFORE(_xlfn.TEXTAFTER(CantoralDB[[#This Row],[index.html]],"&gt;"),"&gt;")&amp;"&gt;"</f>
        <v>&lt;a href="canciones/kairoi/su_palabra.html"&gt;</v>
      </c>
    </row>
    <row r="1537" spans="1:21" hidden="1" x14ac:dyDescent="0.3">
      <c r="A1537" s="1">
        <f>ROW(CantoralDB[[#This Row],[Título]])-1</f>
        <v>1536</v>
      </c>
      <c r="B1537" s="1" t="s">
        <v>1905</v>
      </c>
      <c r="C1537" s="1"/>
      <c r="I1537" s="1" t="s">
        <v>612</v>
      </c>
      <c r="L1537" s="15" t="s">
        <v>1804</v>
      </c>
      <c r="M1537" s="15" t="s">
        <v>1950</v>
      </c>
      <c r="N1537" s="15">
        <v>1</v>
      </c>
      <c r="O1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suelta_el_timon.html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537" s="15" t="str">
        <f>_xlfn.TEXTBEFORE(_xlfn.TEXTAFTER(CantoralDB[[#This Row],[index.html]],"&gt;"),"&gt;")&amp;"&gt;"</f>
        <v>&lt;a href="canciones/ruah/suelta_el_timon.html"&gt;</v>
      </c>
    </row>
    <row r="1538" spans="1:21" hidden="1" x14ac:dyDescent="0.3">
      <c r="A1538" s="1">
        <f>ROW(CantoralDB[[#This Row],[Título]])-1</f>
        <v>1537</v>
      </c>
      <c r="B1538" s="1" t="s">
        <v>1732</v>
      </c>
      <c r="C1538" s="1"/>
      <c r="I1538" s="1" t="s">
        <v>612</v>
      </c>
      <c r="L1538" s="15" t="s">
        <v>484</v>
      </c>
      <c r="M1538" s="15" t="s">
        <v>1540</v>
      </c>
      <c r="N1538" s="15">
        <v>10</v>
      </c>
      <c r="O1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sueña.html</v>
      </c>
      <c r="R1538" s="1"/>
      <c r="S1538" s="1"/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href="canciones/kairoi/sueña.html"&gt;Sueña&lt;/a&gt;&lt;/li&gt;</v>
      </c>
      <c r="U1538" s="15" t="str">
        <f>_xlfn.TEXTBEFORE(_xlfn.TEXTAFTER(CantoralDB[[#This Row],[index.html]],"&gt;"),"&gt;")&amp;"&gt;"</f>
        <v>&lt;a href="canciones/kairoi/sueña.html"&gt;</v>
      </c>
    </row>
    <row r="1539" spans="1:21" hidden="1" x14ac:dyDescent="0.3">
      <c r="A1539" s="1">
        <f>ROW(CantoralDB[[#This Row],[Título]])-1</f>
        <v>1538</v>
      </c>
      <c r="B1539" s="1" t="s">
        <v>3256</v>
      </c>
      <c r="C1539" s="1"/>
      <c r="I1539" s="1"/>
      <c r="L1539" s="15" t="s">
        <v>3160</v>
      </c>
      <c r="M1539" s="15" t="s">
        <v>3248</v>
      </c>
      <c r="N1539" s="15">
        <v>9</v>
      </c>
      <c r="O1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sufro.html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href="canciones/hermana_glenda/sufro.html"&gt;Sufro&lt;/a&gt;&lt;/li&gt;</v>
      </c>
      <c r="U1539" s="15" t="str">
        <f>_xlfn.TEXTBEFORE(_xlfn.TEXTAFTER(CantoralDB[[#This Row],[index.html]],"&gt;"),"&gt;")&amp;"&gt;"</f>
        <v>&lt;a href="canciones/hermana_glenda/sufro.html"&gt;</v>
      </c>
    </row>
    <row r="1540" spans="1:21" hidden="1" x14ac:dyDescent="0.3">
      <c r="A1540" s="1">
        <f>ROW(CantoralDB[[#This Row],[Título]])-1</f>
        <v>1539</v>
      </c>
      <c r="B1540" s="1" t="s">
        <v>444</v>
      </c>
      <c r="C1540" s="1" t="s">
        <v>1026</v>
      </c>
      <c r="D1540" s="1" t="s">
        <v>1143</v>
      </c>
      <c r="H1540" s="1" t="s">
        <v>1041</v>
      </c>
      <c r="I1540" s="1" t="s">
        <v>612</v>
      </c>
      <c r="L1540" s="15" t="s">
        <v>2201</v>
      </c>
      <c r="M1540" s="15"/>
      <c r="N1540" s="15"/>
      <c r="O1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1540" s="1"/>
      <c r="S1540" s="1"/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540" s="15" t="str">
        <f>_xlfn.TEXTBEFORE(_xlfn.TEXTAFTER(CantoralDB[[#This Row],[index.html]],"&gt;"),"&gt;")&amp;"&gt;"</f>
        <v>&lt;a href="canciones/taize/surrexit_christus.html"&gt;</v>
      </c>
    </row>
    <row r="1541" spans="1:21" hidden="1" x14ac:dyDescent="0.3">
      <c r="A1541" s="1">
        <f>ROW(CantoralDB[[#This Row],[Título]])-1</f>
        <v>1540</v>
      </c>
      <c r="B1541" s="1" t="s">
        <v>445</v>
      </c>
      <c r="C1541" s="1" t="s">
        <v>1026</v>
      </c>
      <c r="D1541" s="1" t="s">
        <v>1144</v>
      </c>
      <c r="H1541" s="1" t="s">
        <v>1032</v>
      </c>
      <c r="I1541" s="1" t="s">
        <v>612</v>
      </c>
      <c r="L1541" s="15" t="s">
        <v>2201</v>
      </c>
      <c r="M1541" s="15"/>
      <c r="N1541" s="15"/>
      <c r="O1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1541" s="1"/>
      <c r="S1541" s="1"/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541" s="15" t="str">
        <f>_xlfn.TEXTBEFORE(_xlfn.TEXTAFTER(CantoralDB[[#This Row],[index.html]],"&gt;"),"&gt;")&amp;"&gt;"</f>
        <v>&lt;a href="canciones/taize/surrexit_dominus_vere_(canon).html"&gt;</v>
      </c>
    </row>
    <row r="1542" spans="1:21" hidden="1" x14ac:dyDescent="0.3">
      <c r="A1542" s="1">
        <f>ROW(CantoralDB[[#This Row],[Título]])-1</f>
        <v>1541</v>
      </c>
      <c r="B1542" s="1" t="s">
        <v>1812</v>
      </c>
      <c r="C1542" s="1"/>
      <c r="I1542" s="1"/>
      <c r="L1542" s="15" t="s">
        <v>501</v>
      </c>
      <c r="M1542" s="15" t="s">
        <v>1549</v>
      </c>
      <c r="N1542" s="15">
        <v>4</v>
      </c>
      <c r="O1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talita_kum.html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href="canciones/ain_karem/talita_kum.html"&gt;Talita kum&lt;/a&gt;&lt;/li&gt;</v>
      </c>
      <c r="U1542" s="15" t="str">
        <f>_xlfn.TEXTBEFORE(_xlfn.TEXTAFTER(CantoralDB[[#This Row],[index.html]],"&gt;"),"&gt;")&amp;"&gt;"</f>
        <v>&lt;a href="canciones/ain_karem/talita_kum.html"&gt;</v>
      </c>
    </row>
    <row r="1543" spans="1:21" hidden="1" x14ac:dyDescent="0.3">
      <c r="A1543" s="1">
        <f>ROW(CantoralDB[[#This Row],[Título]])-1</f>
        <v>1542</v>
      </c>
      <c r="B1543" s="1" t="s">
        <v>2014</v>
      </c>
      <c r="C1543" s="1"/>
      <c r="I1543" s="1" t="s">
        <v>612</v>
      </c>
      <c r="L1543" s="15" t="s">
        <v>261</v>
      </c>
      <c r="M1543" s="15"/>
      <c r="N1543" s="15"/>
      <c r="O1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tan_cerca.html</v>
      </c>
      <c r="R1543" s="1"/>
      <c r="S1543" s="1"/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href="canciones/hakuna/tan_cerca.html"&gt;Tan cerca&lt;/a&gt;&lt;/li&gt;</v>
      </c>
      <c r="U1543" s="15" t="str">
        <f>_xlfn.TEXTBEFORE(_xlfn.TEXTAFTER(CantoralDB[[#This Row],[index.html]],"&gt;"),"&gt;")&amp;"&gt;"</f>
        <v>&lt;a href="canciones/hakuna/tan_cerca.html"&gt;</v>
      </c>
    </row>
    <row r="1544" spans="1:21" hidden="1" x14ac:dyDescent="0.3">
      <c r="A1544" s="1">
        <f>ROW(CantoralDB[[#This Row],[Título]])-1</f>
        <v>1543</v>
      </c>
      <c r="B1544" s="1" t="s">
        <v>139</v>
      </c>
      <c r="C1544" s="1" t="s">
        <v>997</v>
      </c>
      <c r="D1544" s="1" t="s">
        <v>1011</v>
      </c>
      <c r="E1544" s="1">
        <v>463</v>
      </c>
      <c r="F1544" s="1">
        <v>26</v>
      </c>
      <c r="G1544" s="1" t="s">
        <v>209</v>
      </c>
      <c r="H1544" s="1" t="s">
        <v>532</v>
      </c>
      <c r="I1544" s="1" t="s">
        <v>612</v>
      </c>
      <c r="L1544" s="15" t="s">
        <v>3347</v>
      </c>
      <c r="M1544" s="15"/>
      <c r="N1544" s="15"/>
      <c r="O1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tan_cerca_de_mi.html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1544" s="15" t="str">
        <f>_xlfn.TEXTBEFORE(_xlfn.TEXTAFTER(CantoralDB[[#This Row],[index.html]],"&gt;"),"&gt;")&amp;"&gt;"</f>
        <v>&lt;a href="canciones/luis_alfredo_diaz/tan_cerca_de_mi.html"&gt;</v>
      </c>
    </row>
    <row r="1545" spans="1:21" hidden="1" x14ac:dyDescent="0.3">
      <c r="A1545" s="1">
        <f>ROW(CantoralDB[[#This Row],[Título]])-1</f>
        <v>1544</v>
      </c>
      <c r="B1545" s="1" t="s">
        <v>629</v>
      </c>
      <c r="C1545" s="1" t="s">
        <v>997</v>
      </c>
      <c r="D1545" s="1" t="s">
        <v>1012</v>
      </c>
      <c r="G1545" s="1" t="s">
        <v>209</v>
      </c>
      <c r="H1545" s="1" t="s">
        <v>1037</v>
      </c>
      <c r="I1545" s="1" t="s">
        <v>612</v>
      </c>
      <c r="L1545" s="15" t="s">
        <v>576</v>
      </c>
      <c r="M1545" s="15"/>
      <c r="N1545" s="15"/>
      <c r="O1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tanto_amo_dios_al_mundo.html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545" s="15" t="str">
        <f>_xlfn.TEXTBEFORE(_xlfn.TEXTAFTER(CantoralDB[[#This Row],[index.html]],"&gt;"),"&gt;")&amp;"&gt;"</f>
        <v>&lt;a href="canciones/nsb/tanto_amo_dios_al_mundo.html"&gt;</v>
      </c>
    </row>
    <row r="1546" spans="1:21" x14ac:dyDescent="0.3">
      <c r="A1546" s="1">
        <f>ROW(CantoralDB[[#This Row],[Título]])-1</f>
        <v>1545</v>
      </c>
      <c r="B1546" s="1" t="s">
        <v>877</v>
      </c>
      <c r="C1546" s="1" t="s">
        <v>1025</v>
      </c>
      <c r="D1546" s="1" t="s">
        <v>1115</v>
      </c>
      <c r="H1546" s="1" t="s">
        <v>1076</v>
      </c>
      <c r="I1546" s="1" t="s">
        <v>612</v>
      </c>
      <c r="L1546" s="15" t="s">
        <v>1991</v>
      </c>
      <c r="M1546" s="15"/>
      <c r="N1546" s="15"/>
      <c r="O1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1546" s="1"/>
      <c r="S1546" s="1" t="s">
        <v>281</v>
      </c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546" s="15" t="str">
        <f>_xlfn.TEXTBEFORE(_xlfn.TEXTAFTER(CantoralDB[[#This Row],[index.html]],"&gt;"),"&gt;")&amp;"&gt;"</f>
        <v>&lt;a href="canciones/taize/adoramus_te_o_christe.html"&gt;</v>
      </c>
    </row>
    <row r="1547" spans="1:21" hidden="1" x14ac:dyDescent="0.3">
      <c r="A1547" s="1">
        <f>ROW(CantoralDB[[#This Row],[Título]])-1</f>
        <v>1546</v>
      </c>
      <c r="B1547" s="1" t="s">
        <v>1710</v>
      </c>
      <c r="C1547" s="1"/>
      <c r="I1547" s="1" t="s">
        <v>612</v>
      </c>
      <c r="L1547" s="15" t="s">
        <v>484</v>
      </c>
      <c r="M1547" s="15" t="s">
        <v>1537</v>
      </c>
      <c r="N1547" s="15">
        <v>11</v>
      </c>
      <c r="O1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te_agradezco.html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href="canciones/kairoi/te_agradezco.html"&gt;Te agradezco&lt;/a&gt;&lt;/li&gt;</v>
      </c>
      <c r="U1547" s="15" t="str">
        <f>_xlfn.TEXTBEFORE(_xlfn.TEXTAFTER(CantoralDB[[#This Row],[index.html]],"&gt;"),"&gt;")&amp;"&gt;"</f>
        <v>&lt;a href="canciones/kairoi/te_agradezco.html"&gt;</v>
      </c>
    </row>
    <row r="1548" spans="1:21" hidden="1" x14ac:dyDescent="0.3">
      <c r="A1548" s="1">
        <f>ROW(CantoralDB[[#This Row],[Título]])-1</f>
        <v>1547</v>
      </c>
      <c r="B1548" s="1" t="s">
        <v>3668</v>
      </c>
      <c r="C1548" s="1"/>
      <c r="F1548" s="1">
        <v>336</v>
      </c>
      <c r="I1548" s="1"/>
      <c r="L1548" s="15" t="s">
        <v>799</v>
      </c>
      <c r="M1548" s="15"/>
      <c r="N1548" s="15"/>
      <c r="O1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te_alabaran_oh_señor.html</v>
      </c>
      <c r="R1548" s="1"/>
      <c r="S1548" s="1"/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href="canciones/nuevas/te_alabaran_oh_señor.html"&gt;Te alabarán, oh, Señor&lt;/a&gt;&lt;/li&gt;</v>
      </c>
      <c r="U1548" s="15" t="str">
        <f>_xlfn.TEXTBEFORE(_xlfn.TEXTAFTER(CantoralDB[[#This Row],[index.html]],"&gt;"),"&gt;")&amp;"&gt;"</f>
        <v>&lt;a href="canciones/nuevas/te_alabaran_oh_señor.html"&gt;</v>
      </c>
    </row>
    <row r="1549" spans="1:21" hidden="1" x14ac:dyDescent="0.3">
      <c r="A1549" s="1">
        <f>ROW(CantoralDB[[#This Row],[Título]])-1</f>
        <v>1548</v>
      </c>
      <c r="B1549" s="1" t="s">
        <v>1371</v>
      </c>
      <c r="C1549" s="1"/>
      <c r="E1549" s="1">
        <v>252</v>
      </c>
      <c r="I1549" s="1" t="s">
        <v>612</v>
      </c>
      <c r="L1549" s="15" t="s">
        <v>484</v>
      </c>
      <c r="M1549" s="15" t="s">
        <v>1535</v>
      </c>
      <c r="N1549" s="15">
        <v>9</v>
      </c>
      <c r="O1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te_alabo_señor.html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1549" s="15" t="str">
        <f>_xlfn.TEXTBEFORE(_xlfn.TEXTAFTER(CantoralDB[[#This Row],[index.html]],"&gt;"),"&gt;")&amp;"&gt;"</f>
        <v>&lt;a href="canciones/kairoi/te_alabo_señor.html"&gt;</v>
      </c>
    </row>
    <row r="1550" spans="1:21" hidden="1" x14ac:dyDescent="0.3">
      <c r="A1550" s="1">
        <f>ROW(CantoralDB[[#This Row],[Título]])-1</f>
        <v>1549</v>
      </c>
      <c r="B1550" s="1" t="s">
        <v>3464</v>
      </c>
      <c r="C1550" s="1"/>
      <c r="F1550" s="1">
        <v>123</v>
      </c>
      <c r="I1550" s="1"/>
      <c r="L1550" s="15" t="s">
        <v>3463</v>
      </c>
      <c r="M1550" s="15"/>
      <c r="N1550" s="15"/>
      <c r="O1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te_amo_rey.html</v>
      </c>
      <c r="R1550" s="1"/>
      <c r="S1550" s="1"/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550" s="15" t="str">
        <f>_xlfn.TEXTBEFORE(_xlfn.TEXTAFTER(CantoralDB[[#This Row],[index.html]],"&gt;"),"&gt;")&amp;"&gt;"</f>
        <v>&lt;a href="canciones/nuevas/te_amo_rey.html"&gt;</v>
      </c>
    </row>
    <row r="1551" spans="1:21" hidden="1" x14ac:dyDescent="0.3">
      <c r="A1551" s="1">
        <f>ROW(CantoralDB[[#This Row],[Título]])-1</f>
        <v>1550</v>
      </c>
      <c r="B1551" s="1" t="s">
        <v>561</v>
      </c>
      <c r="C1551" s="1" t="s">
        <v>201</v>
      </c>
      <c r="D1551" s="1" t="s">
        <v>677</v>
      </c>
      <c r="G1551" s="1" t="s">
        <v>557</v>
      </c>
      <c r="H1551" s="1" t="s">
        <v>532</v>
      </c>
      <c r="I1551" s="1" t="s">
        <v>612</v>
      </c>
      <c r="L1551" s="15" t="s">
        <v>617</v>
      </c>
      <c r="M1551" s="15"/>
      <c r="N1551" s="15"/>
      <c r="O1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te_amo_señor.html</v>
      </c>
      <c r="R1551" s="1" t="s">
        <v>865</v>
      </c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551" s="15" t="str">
        <f>_xlfn.TEXTBEFORE(_xlfn.TEXTAFTER(CantoralDB[[#This Row],[index.html]],"&gt;"),"&gt;")&amp;"&gt;"</f>
        <v>&lt;a href="canciones/nsb/te_amo_señor.html"&gt;</v>
      </c>
    </row>
    <row r="1552" spans="1:21" hidden="1" x14ac:dyDescent="0.3">
      <c r="A1552" s="1">
        <f>ROW(CantoralDB[[#This Row],[Título]])-1</f>
        <v>1551</v>
      </c>
      <c r="B1552" s="1" t="s">
        <v>1798</v>
      </c>
      <c r="C1552" s="1"/>
      <c r="I1552" s="1" t="s">
        <v>612</v>
      </c>
      <c r="L1552" s="15" t="s">
        <v>501</v>
      </c>
      <c r="M1552" s="15" t="s">
        <v>1548</v>
      </c>
      <c r="N1552" s="15">
        <v>2</v>
      </c>
      <c r="O1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te_basta_mi_gracia.html</v>
      </c>
      <c r="R1552" s="1"/>
      <c r="S1552" s="1"/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552" s="15" t="str">
        <f>_xlfn.TEXTBEFORE(_xlfn.TEXTAFTER(CantoralDB[[#This Row],[index.html]],"&gt;"),"&gt;")&amp;"&gt;"</f>
        <v>&lt;a href="canciones/ain_karem/te_basta_mi_gracia.html"&gt;</v>
      </c>
    </row>
    <row r="1553" spans="1:21" hidden="1" x14ac:dyDescent="0.3">
      <c r="A1553" s="1">
        <f>ROW(CantoralDB[[#This Row],[Título]])-1</f>
        <v>1552</v>
      </c>
      <c r="B1553" s="1" t="s">
        <v>1373</v>
      </c>
      <c r="C1553" s="1"/>
      <c r="E1553" s="1">
        <v>256</v>
      </c>
      <c r="I1553" s="1"/>
      <c r="L1553" s="15" t="s">
        <v>547</v>
      </c>
      <c r="M1553" s="15"/>
      <c r="N1553" s="15"/>
      <c r="O1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te_buscamos_señor.html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1553" s="15" t="str">
        <f>_xlfn.TEXTBEFORE(_xlfn.TEXTAFTER(CantoralDB[[#This Row],[index.html]],"&gt;"),"&gt;")&amp;"&gt;"</f>
        <v>&lt;a href="canciones/emilio_vicente_mateu/te_buscamos_señor.html"&gt;</v>
      </c>
    </row>
    <row r="1554" spans="1:21" hidden="1" x14ac:dyDescent="0.3">
      <c r="A1554" s="1">
        <f>ROW(CantoralDB[[#This Row],[Título]])-1</f>
        <v>1553</v>
      </c>
      <c r="B1554" s="1" t="s">
        <v>3455</v>
      </c>
      <c r="C1554" s="1"/>
      <c r="F1554" s="1">
        <v>118</v>
      </c>
      <c r="I1554" s="1"/>
      <c r="L1554" s="15" t="s">
        <v>543</v>
      </c>
      <c r="M1554" s="15"/>
      <c r="N1554" s="15"/>
      <c r="O1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te_cubrire.html</v>
      </c>
      <c r="R1554" s="1"/>
      <c r="S1554" s="1"/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1554" s="15" t="str">
        <f>_xlfn.TEXTBEFORE(_xlfn.TEXTAFTER(CantoralDB[[#This Row],[index.html]],"&gt;"),"&gt;")&amp;"&gt;"</f>
        <v>&lt;a href="canciones/josep_asuncion/te_cubrire.html"&gt;</v>
      </c>
    </row>
    <row r="1555" spans="1:21" hidden="1" x14ac:dyDescent="0.3">
      <c r="A1555" s="1">
        <f>ROW(CantoralDB[[#This Row],[Título]])-1</f>
        <v>1554</v>
      </c>
      <c r="B1555" s="1" t="s">
        <v>3707</v>
      </c>
      <c r="C1555" s="1"/>
      <c r="F1555" s="1">
        <v>371</v>
      </c>
      <c r="I1555" s="1"/>
      <c r="L1555" s="15" t="s">
        <v>799</v>
      </c>
      <c r="M1555" s="15"/>
      <c r="N1555" s="15"/>
      <c r="O1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te_damos_gloria.html</v>
      </c>
      <c r="R1555" s="1"/>
      <c r="S1555" s="1"/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href="canciones/nuevas/te_damos_gloria.html"&gt;Te damos gloria&lt;/a&gt;&lt;/li&gt;</v>
      </c>
      <c r="U1555" s="15" t="str">
        <f>_xlfn.TEXTBEFORE(_xlfn.TEXTAFTER(CantoralDB[[#This Row],[index.html]],"&gt;"),"&gt;")&amp;"&gt;"</f>
        <v>&lt;a href="canciones/nuevas/te_damos_gloria.html"&gt;</v>
      </c>
    </row>
    <row r="1556" spans="1:21" hidden="1" x14ac:dyDescent="0.3">
      <c r="A1556" s="1">
        <f>ROW(CantoralDB[[#This Row],[Título]])-1</f>
        <v>1555</v>
      </c>
      <c r="B1556" s="1" t="s">
        <v>140</v>
      </c>
      <c r="C1556" s="1"/>
      <c r="I1556" s="1"/>
      <c r="L1556" s="15" t="s">
        <v>481</v>
      </c>
      <c r="M1556" s="15" t="s">
        <v>1978</v>
      </c>
      <c r="N1556" s="15">
        <v>7</v>
      </c>
      <c r="O1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1556" s="15" t="str">
        <f>_xlfn.TEXTBEFORE(_xlfn.TEXTAFTER(CantoralDB[[#This Row],[index.html]],"&gt;"),"&gt;")&amp;"&gt;"</f>
        <v>&lt;a href="canciones/francisco_palazon/te_damos_gracias_señor.html"&gt;</v>
      </c>
    </row>
    <row r="1557" spans="1:21" hidden="1" x14ac:dyDescent="0.3">
      <c r="A1557" s="1">
        <f>ROW(CantoralDB[[#This Row],[Título]])-1</f>
        <v>1556</v>
      </c>
      <c r="B1557" s="1" t="s">
        <v>140</v>
      </c>
      <c r="C1557" s="1"/>
      <c r="E1557" s="1">
        <v>258</v>
      </c>
      <c r="G1557" s="1" t="s">
        <v>209</v>
      </c>
      <c r="I1557" s="1" t="s">
        <v>612</v>
      </c>
      <c r="L1557" s="15" t="s">
        <v>491</v>
      </c>
      <c r="M1557" s="15"/>
      <c r="N1557" s="15"/>
      <c r="O1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1557" s="15" t="str">
        <f>_xlfn.TEXTBEFORE(_xlfn.TEXTAFTER(CantoralDB[[#This Row],[index.html]],"&gt;"),"&gt;")&amp;"&gt;"</f>
        <v>&lt;a href="canciones/juan_antonio_espinosa/te_damos_gracias_señor.html"&gt;</v>
      </c>
    </row>
    <row r="1558" spans="1:21" hidden="1" x14ac:dyDescent="0.3">
      <c r="A1558" s="1">
        <f>ROW(CantoralDB[[#This Row],[Título]])-1</f>
        <v>1557</v>
      </c>
      <c r="B1558" s="1" t="s">
        <v>140</v>
      </c>
      <c r="C1558" s="1" t="s">
        <v>193</v>
      </c>
      <c r="D1558" s="1" t="s">
        <v>1512</v>
      </c>
      <c r="F1558" s="1">
        <v>329</v>
      </c>
      <c r="G1558" s="1" t="s">
        <v>209</v>
      </c>
      <c r="I1558" s="1" t="s">
        <v>612</v>
      </c>
      <c r="L1558" s="15" t="s">
        <v>574</v>
      </c>
      <c r="M1558" s="15"/>
      <c r="N1558" s="15"/>
      <c r="O1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8" s="1"/>
      <c r="S1558" s="1"/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558" s="15" t="str">
        <f>_xlfn.TEXTBEFORE(_xlfn.TEXTAFTER(CantoralDB[[#This Row],[index.html]],"&gt;"),"&gt;")&amp;"&gt;"</f>
        <v>&lt;a href="canciones/pelayo_sanchez/te_damos_gracias_señor.html"&gt;</v>
      </c>
    </row>
    <row r="1559" spans="1:21" hidden="1" x14ac:dyDescent="0.3">
      <c r="A1559" s="1">
        <f>ROW(CantoralDB[[#This Row],[Título]])-1</f>
        <v>1558</v>
      </c>
      <c r="B1559" s="1" t="s">
        <v>2083</v>
      </c>
      <c r="C1559" s="1"/>
      <c r="I1559" s="1" t="s">
        <v>612</v>
      </c>
      <c r="L1559" s="15" t="s">
        <v>481</v>
      </c>
      <c r="M1559" s="15" t="s">
        <v>1979</v>
      </c>
      <c r="N1559" s="15">
        <v>3</v>
      </c>
      <c r="O1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te_doy_gracias_señor.html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1559" s="15" t="str">
        <f>_xlfn.TEXTBEFORE(_xlfn.TEXTAFTER(CantoralDB[[#This Row],[index.html]],"&gt;"),"&gt;")&amp;"&gt;"</f>
        <v>&lt;a href="canciones/francisco_palazon/te_doy_gracias_señor.html"&gt;</v>
      </c>
    </row>
    <row r="1560" spans="1:21" hidden="1" x14ac:dyDescent="0.3">
      <c r="A1560" s="1">
        <f>ROW(CantoralDB[[#This Row],[Título]])-1</f>
        <v>1559</v>
      </c>
      <c r="B1560" s="1" t="s">
        <v>3096</v>
      </c>
      <c r="C1560" s="15"/>
      <c r="F1560" s="1">
        <v>439</v>
      </c>
      <c r="I1560" s="1" t="s">
        <v>612</v>
      </c>
      <c r="L1560" s="15" t="s">
        <v>3794</v>
      </c>
      <c r="M1560" s="15"/>
      <c r="N1560" s="15"/>
      <c r="O1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te_doy_mi_corazon.html</v>
      </c>
      <c r="R1560" s="1"/>
      <c r="S1560" s="1"/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560" s="15" t="str">
        <f>_xlfn.TEXTBEFORE(_xlfn.TEXTAFTER(CantoralDB[[#This Row],[index.html]],"&gt;"),"&gt;")&amp;"&gt;"</f>
        <v>&lt;a href="canciones/nuevas/te_doy_mi_corazon.html"&gt;</v>
      </c>
    </row>
    <row r="1561" spans="1:21" hidden="1" x14ac:dyDescent="0.3">
      <c r="A1561" s="1">
        <f>ROW(CantoralDB[[#This Row],[Título]])-1</f>
        <v>1560</v>
      </c>
      <c r="B1561" s="1" t="s">
        <v>3423</v>
      </c>
      <c r="C1561" s="1"/>
      <c r="F1561" s="1">
        <v>84</v>
      </c>
      <c r="I1561" s="1"/>
      <c r="L1561" s="15" t="s">
        <v>799</v>
      </c>
      <c r="M1561" s="15"/>
      <c r="N1561" s="15"/>
      <c r="O1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te_ensalzamos.html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href="canciones/nuevas/te_ensalzamos.html"&gt;Te ensalzamos&lt;/a&gt;&lt;/li&gt;</v>
      </c>
      <c r="U1561" s="15" t="str">
        <f>_xlfn.TEXTBEFORE(_xlfn.TEXTAFTER(CantoralDB[[#This Row],[index.html]],"&gt;"),"&gt;")&amp;"&gt;"</f>
        <v>&lt;a href="canciones/nuevas/te_ensalzamos.html"&gt;</v>
      </c>
    </row>
    <row r="1562" spans="1:21" hidden="1" x14ac:dyDescent="0.3">
      <c r="A1562" s="1">
        <f>ROW(CantoralDB[[#This Row],[Título]])-1</f>
        <v>1561</v>
      </c>
      <c r="B1562" s="1" t="s">
        <v>141</v>
      </c>
      <c r="C1562" s="1" t="s">
        <v>201</v>
      </c>
      <c r="D1562" s="1" t="s">
        <v>678</v>
      </c>
      <c r="E1562" s="1">
        <v>257</v>
      </c>
      <c r="G1562" s="1" t="s">
        <v>209</v>
      </c>
      <c r="H1562" s="1" t="s">
        <v>532</v>
      </c>
      <c r="I1562" s="1" t="s">
        <v>612</v>
      </c>
      <c r="L1562" s="15" t="s">
        <v>510</v>
      </c>
      <c r="M1562" s="15"/>
      <c r="N1562" s="15"/>
      <c r="O1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te_ensalzare_señor.html</v>
      </c>
      <c r="R1562" s="1" t="s">
        <v>866</v>
      </c>
      <c r="S1562" s="1"/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562" s="15" t="str">
        <f>_xlfn.TEXTBEFORE(_xlfn.TEXTAFTER(CantoralDB[[#This Row],[index.html]],"&gt;"),"&gt;")&amp;"&gt;"</f>
        <v>&lt;a href="canciones/ricardo_cantalapiedra/te_ensalzare_señor.html"&gt;</v>
      </c>
    </row>
    <row r="1563" spans="1:21" hidden="1" x14ac:dyDescent="0.3">
      <c r="A1563" s="1">
        <f>ROW(CantoralDB[[#This Row],[Título]])-1</f>
        <v>1562</v>
      </c>
      <c r="B1563" s="1" t="s">
        <v>3269</v>
      </c>
      <c r="C1563" s="1"/>
      <c r="I1563" s="1"/>
      <c r="L1563" s="15" t="s">
        <v>3160</v>
      </c>
      <c r="M1563" s="15" t="s">
        <v>415</v>
      </c>
      <c r="N1563" s="15">
        <v>8</v>
      </c>
      <c r="O1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te_esta_cantando_el_martillo.html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href="canciones/hermana_glenda/te_esta_cantando_el_martillo.html"&gt;Te está cantando el martillo&lt;/a&gt;&lt;/li&gt;</v>
      </c>
      <c r="U1563" s="15" t="str">
        <f>_xlfn.TEXTBEFORE(_xlfn.TEXTAFTER(CantoralDB[[#This Row],[index.html]],"&gt;"),"&gt;")&amp;"&gt;"</f>
        <v>&lt;a href="canciones/hermana_glenda/te_esta_cantando_el_martillo.html"&gt;</v>
      </c>
    </row>
    <row r="1564" spans="1:21" hidden="1" x14ac:dyDescent="0.3">
      <c r="A1564" s="1">
        <f>ROW(CantoralDB[[#This Row],[Título]])-1</f>
        <v>1563</v>
      </c>
      <c r="B1564" s="1" t="s">
        <v>246</v>
      </c>
      <c r="C1564" s="1" t="s">
        <v>195</v>
      </c>
      <c r="D1564" s="1" t="s">
        <v>774</v>
      </c>
      <c r="G1564" s="1" t="s">
        <v>220</v>
      </c>
      <c r="H1564" s="1" t="s">
        <v>532</v>
      </c>
      <c r="I1564" s="1" t="s">
        <v>612</v>
      </c>
      <c r="L1564" s="15" t="s">
        <v>482</v>
      </c>
      <c r="M1564" s="15" t="s">
        <v>1899</v>
      </c>
      <c r="N1564" s="15">
        <v>6</v>
      </c>
      <c r="O1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te_ofrecemos.html</v>
      </c>
      <c r="R1564" s="1"/>
      <c r="S1564" s="1"/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564" s="15" t="str">
        <f>_xlfn.TEXTBEFORE(_xlfn.TEXTAFTER(CantoralDB[[#This Row],[index.html]],"&gt;"),"&gt;")&amp;"&gt;"</f>
        <v>&lt;a href="canciones/toño_casado/te_ofrecemos.html"&gt;</v>
      </c>
    </row>
    <row r="1565" spans="1:21" hidden="1" x14ac:dyDescent="0.3">
      <c r="A1565" s="1">
        <f>ROW(CantoralDB[[#This Row],[Título]])-1</f>
        <v>1564</v>
      </c>
      <c r="B1565" s="1" t="s">
        <v>3123</v>
      </c>
      <c r="C1565" s="1"/>
      <c r="I1565" s="1"/>
      <c r="L1565" s="15" t="s">
        <v>481</v>
      </c>
      <c r="M1565" s="15" t="s">
        <v>1977</v>
      </c>
      <c r="N1565" s="15">
        <v>6</v>
      </c>
      <c r="O1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1565" s="15" t="str">
        <f>_xlfn.TEXTBEFORE(_xlfn.TEXTAFTER(CantoralDB[[#This Row],[index.html]],"&gt;"),"&gt;")&amp;"&gt;"</f>
        <v>&lt;a href="canciones/francisco_palazon/te_ofrecemos_señor.html"&gt;</v>
      </c>
    </row>
    <row r="1566" spans="1:21" hidden="1" x14ac:dyDescent="0.3">
      <c r="A1566" s="1">
        <f>ROW(CantoralDB[[#This Row],[Título]])-1</f>
        <v>1565</v>
      </c>
      <c r="B1566" s="1" t="s">
        <v>2091</v>
      </c>
      <c r="C1566" s="1"/>
      <c r="I1566" s="1"/>
      <c r="L1566" s="15" t="s">
        <v>481</v>
      </c>
      <c r="M1566" s="15" t="s">
        <v>2097</v>
      </c>
      <c r="N1566" s="15">
        <v>5</v>
      </c>
      <c r="O1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te_ofrecemos_señor_sacrificios_y_oblaciones.html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1566" s="15" t="str">
        <f>_xlfn.TEXTBEFORE(_xlfn.TEXTAFTER(CantoralDB[[#This Row],[index.html]],"&gt;"),"&gt;")&amp;"&gt;"</f>
        <v>&lt;a href="canciones/francisco_palazon/te_ofrecemos_señor_sacrificios_y_oblaciones.html"&gt;</v>
      </c>
    </row>
    <row r="1567" spans="1:21" hidden="1" x14ac:dyDescent="0.3">
      <c r="A1567" s="1">
        <f>ROW(CantoralDB[[#This Row],[Título]])-1</f>
        <v>1566</v>
      </c>
      <c r="B1567" s="1" t="s">
        <v>1956</v>
      </c>
      <c r="C1567" s="1"/>
      <c r="I1567" s="1" t="s">
        <v>612</v>
      </c>
      <c r="L1567" s="15" t="s">
        <v>484</v>
      </c>
      <c r="M1567" s="15" t="s">
        <v>1536</v>
      </c>
      <c r="N1567" s="15">
        <v>11</v>
      </c>
      <c r="O1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te_reclamaran_la_vida.html</v>
      </c>
      <c r="R1567" s="1"/>
      <c r="S1567" s="1"/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1567" s="15" t="str">
        <f>_xlfn.TEXTBEFORE(_xlfn.TEXTAFTER(CantoralDB[[#This Row],[index.html]],"&gt;"),"&gt;")&amp;"&gt;"</f>
        <v>&lt;a href="canciones/kairoi/te_reclamaran_la_vida.html"&gt;</v>
      </c>
    </row>
    <row r="1568" spans="1:21" hidden="1" x14ac:dyDescent="0.3">
      <c r="A1568" s="1">
        <f>ROW(CantoralDB[[#This Row],[Título]])-1</f>
        <v>1567</v>
      </c>
      <c r="B1568" s="1" t="s">
        <v>1751</v>
      </c>
      <c r="C1568" s="1"/>
      <c r="I1568" s="1" t="s">
        <v>612</v>
      </c>
      <c r="L1568" s="15" t="s">
        <v>484</v>
      </c>
      <c r="M1568" s="15" t="s">
        <v>1542</v>
      </c>
      <c r="N1568" s="15">
        <v>13</v>
      </c>
      <c r="O1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href="canciones/kairoi/te_seguire.html"&gt;Te seguiré&lt;/a&gt;&lt;/li&gt;</v>
      </c>
      <c r="U1568" s="15" t="str">
        <f>_xlfn.TEXTBEFORE(_xlfn.TEXTAFTER(CantoralDB[[#This Row],[index.html]],"&gt;"),"&gt;")&amp;"&gt;"</f>
        <v>&lt;a href="canciones/kairoi/te_seguire.html"&gt;</v>
      </c>
    </row>
    <row r="1569" spans="1:21" hidden="1" x14ac:dyDescent="0.3">
      <c r="A1569" s="1">
        <f>ROW(CantoralDB[[#This Row],[Título]])-1</f>
        <v>1568</v>
      </c>
      <c r="B1569" s="1" t="s">
        <v>1939</v>
      </c>
      <c r="C1569" s="1"/>
      <c r="I1569" s="1" t="s">
        <v>612</v>
      </c>
      <c r="L1569" s="15" t="s">
        <v>1804</v>
      </c>
      <c r="M1569" s="15" t="s">
        <v>1945</v>
      </c>
      <c r="N1569" s="15">
        <v>1</v>
      </c>
      <c r="O1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te_seguire_llamando.html</v>
      </c>
      <c r="R1569" s="1"/>
      <c r="S1569" s="1"/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569" s="15" t="str">
        <f>_xlfn.TEXTBEFORE(_xlfn.TEXTAFTER(CantoralDB[[#This Row],[index.html]],"&gt;"),"&gt;")&amp;"&gt;"</f>
        <v>&lt;a href="canciones/ruah/te_seguire_llamando.html"&gt;</v>
      </c>
    </row>
    <row r="1570" spans="1:21" hidden="1" x14ac:dyDescent="0.3">
      <c r="A1570" s="1">
        <f>ROW(CantoralDB[[#This Row],[Título]])-1</f>
        <v>1569</v>
      </c>
      <c r="B1570" s="1" t="s">
        <v>3428</v>
      </c>
      <c r="C1570" s="1"/>
      <c r="F1570" s="1">
        <v>89</v>
      </c>
      <c r="I1570" s="1"/>
      <c r="L1570" s="15" t="s">
        <v>3340</v>
      </c>
      <c r="M1570" s="15"/>
      <c r="N1570" s="15"/>
      <c r="O1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temprano_yo_te_buscare.html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1570" s="15" t="str">
        <f>_xlfn.TEXTBEFORE(_xlfn.TEXTAFTER(CantoralDB[[#This Row],[index.html]],"&gt;"),"&gt;")&amp;"&gt;"</f>
        <v>&lt;a href="canciones/marcos_witt/temprano_yo_te_buscare.html"&gt;</v>
      </c>
    </row>
    <row r="1571" spans="1:21" hidden="1" x14ac:dyDescent="0.3">
      <c r="A1571" s="1">
        <f>ROW(CantoralDB[[#This Row],[Título]])-1</f>
        <v>1570</v>
      </c>
      <c r="B1571" s="1" t="s">
        <v>1920</v>
      </c>
      <c r="C1571" s="1"/>
      <c r="I1571" s="1" t="s">
        <v>612</v>
      </c>
      <c r="L1571" s="15" t="s">
        <v>1804</v>
      </c>
      <c r="M1571" s="15" t="s">
        <v>1951</v>
      </c>
      <c r="N1571" s="15">
        <v>7</v>
      </c>
      <c r="O1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ten_compasion.html</v>
      </c>
      <c r="R1571" s="1"/>
      <c r="S1571" s="1"/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href="canciones/ruah/ten_compasion.html"&gt;Ten compasión&lt;/a&gt;&lt;/li&gt;</v>
      </c>
      <c r="U1571" s="15" t="str">
        <f>_xlfn.TEXTBEFORE(_xlfn.TEXTAFTER(CantoralDB[[#This Row],[index.html]],"&gt;"),"&gt;")&amp;"&gt;"</f>
        <v>&lt;a href="canciones/ruah/ten_compasion.html"&gt;</v>
      </c>
    </row>
    <row r="1572" spans="1:21" hidden="1" x14ac:dyDescent="0.3">
      <c r="A1572" s="1">
        <f>ROW(CantoralDB[[#This Row],[Título]])-1</f>
        <v>1571</v>
      </c>
      <c r="B1572" s="1" t="s">
        <v>1625</v>
      </c>
      <c r="C1572" s="1"/>
      <c r="I1572" s="1" t="s">
        <v>612</v>
      </c>
      <c r="L1572" s="15" t="s">
        <v>501</v>
      </c>
      <c r="M1572" s="15" t="s">
        <v>1552</v>
      </c>
      <c r="N1572" s="15">
        <v>7</v>
      </c>
      <c r="O1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href="canciones/ain_karem/ten_piedad.html"&gt;Ten piedad&lt;/a&gt;&lt;/li&gt;</v>
      </c>
      <c r="U1572" s="15" t="str">
        <f>_xlfn.TEXTBEFORE(_xlfn.TEXTAFTER(CantoralDB[[#This Row],[index.html]],"&gt;"),"&gt;")&amp;"&gt;"</f>
        <v>&lt;a href="canciones/ain_karem/ten_piedad.html"&gt;</v>
      </c>
    </row>
    <row r="1573" spans="1:21" hidden="1" x14ac:dyDescent="0.3">
      <c r="A1573" s="1">
        <f>ROW(CantoralDB[[#This Row],[Título]])-1</f>
        <v>1572</v>
      </c>
      <c r="B1573" s="1" t="s">
        <v>1625</v>
      </c>
      <c r="C1573" s="1"/>
      <c r="I1573" s="1" t="s">
        <v>612</v>
      </c>
      <c r="L1573" s="15" t="s">
        <v>499</v>
      </c>
      <c r="M1573" s="15" t="s">
        <v>3803</v>
      </c>
      <c r="N1573" s="15">
        <v>2</v>
      </c>
      <c r="O1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3" s="1"/>
      <c r="S1573" s="1"/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573" s="15" t="str">
        <f>_xlfn.TEXTBEFORE(_xlfn.TEXTAFTER(CantoralDB[[#This Row],[index.html]],"&gt;"),"&gt;")&amp;"&gt;"</f>
        <v>&lt;a href="canciones/brotes_de_olivo/ten_piedad.html"&gt;</v>
      </c>
    </row>
    <row r="1574" spans="1:21" hidden="1" x14ac:dyDescent="0.3">
      <c r="A1574" s="1">
        <f>ROW(CantoralDB[[#This Row],[Título]])-1</f>
        <v>1573</v>
      </c>
      <c r="B1574" s="1" t="s">
        <v>1625</v>
      </c>
      <c r="C1574" s="1"/>
      <c r="I1574" s="1" t="s">
        <v>612</v>
      </c>
      <c r="L1574" s="15" t="s">
        <v>481</v>
      </c>
      <c r="M1574" s="15" t="s">
        <v>2135</v>
      </c>
      <c r="N1574" s="15">
        <v>2</v>
      </c>
      <c r="O1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4" s="1"/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1574" s="15" t="str">
        <f>_xlfn.TEXTBEFORE(_xlfn.TEXTAFTER(CantoralDB[[#This Row],[index.html]],"&gt;"),"&gt;")&amp;"&gt;"</f>
        <v>&lt;a href="canciones/francisco_palazon/ten_piedad.html"&gt;</v>
      </c>
    </row>
    <row r="1575" spans="1:21" hidden="1" x14ac:dyDescent="0.3">
      <c r="A1575" s="1">
        <f>ROW(CantoralDB[[#This Row],[Título]])-1</f>
        <v>1574</v>
      </c>
      <c r="B1575" s="1" t="s">
        <v>2080</v>
      </c>
      <c r="C1575" s="1"/>
      <c r="I1575" s="1" t="s">
        <v>612</v>
      </c>
      <c r="L1575" s="15" t="s">
        <v>484</v>
      </c>
      <c r="M1575" s="15" t="s">
        <v>1537</v>
      </c>
      <c r="N1575" s="15">
        <v>2</v>
      </c>
      <c r="O1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ten_piedad_de_mi.html</v>
      </c>
      <c r="R1575" s="1"/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1575" s="15" t="str">
        <f>_xlfn.TEXTBEFORE(_xlfn.TEXTAFTER(CantoralDB[[#This Row],[index.html]],"&gt;"),"&gt;")&amp;"&gt;"</f>
        <v>&lt;a href="canciones/kairoi/ten_piedad_de_mi.html"&gt;</v>
      </c>
    </row>
    <row r="1576" spans="1:21" hidden="1" x14ac:dyDescent="0.3">
      <c r="A1576" s="1">
        <f>ROW(CantoralDB[[#This Row],[Título]])-1</f>
        <v>1575</v>
      </c>
      <c r="B1576" s="1" t="s">
        <v>187</v>
      </c>
      <c r="C1576" s="1" t="s">
        <v>192</v>
      </c>
      <c r="D1576" s="1" t="s">
        <v>1513</v>
      </c>
      <c r="G1576" s="1" t="s">
        <v>209</v>
      </c>
      <c r="H1576" s="1" t="s">
        <v>1044</v>
      </c>
      <c r="I1576" s="1" t="s">
        <v>612</v>
      </c>
      <c r="L1576" s="15" t="s">
        <v>518</v>
      </c>
      <c r="M1576" s="15"/>
      <c r="N1576" s="15"/>
      <c r="O1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ten_piedad_de_mi_señor.html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data-nnew="B08"&gt;&lt;a href="canciones/nsb/ten_piedad_de_mi_señor.html"&gt;Ten piedad de mi, Señor&lt;/a&gt;&lt;/li&gt;</v>
      </c>
      <c r="U1576" s="15" t="str">
        <f>_xlfn.TEXTBEFORE(_xlfn.TEXTAFTER(CantoralDB[[#This Row],[index.html]],"&gt;"),"&gt;")&amp;"&gt;"</f>
        <v>&lt;a href="canciones/nsb/ten_piedad_de_mi_señor.html"&gt;</v>
      </c>
    </row>
    <row r="1577" spans="1:21" x14ac:dyDescent="0.3">
      <c r="A1577" s="1">
        <f>ROW(CantoralDB[[#This Row],[Título]])-1</f>
        <v>1576</v>
      </c>
      <c r="B1577" s="1" t="s">
        <v>925</v>
      </c>
      <c r="C1577" s="1" t="s">
        <v>1025</v>
      </c>
      <c r="D1577" s="1" t="s">
        <v>1175</v>
      </c>
      <c r="H1577" s="1" t="s">
        <v>1039</v>
      </c>
      <c r="I1577" s="1" t="s">
        <v>612</v>
      </c>
      <c r="L1577" s="15" t="s">
        <v>1991</v>
      </c>
      <c r="M1577" s="15"/>
      <c r="N1577" s="15"/>
      <c r="O1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1577" s="1"/>
      <c r="S1577" s="1" t="s">
        <v>386</v>
      </c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577" s="15" t="str">
        <f>_xlfn.TEXTBEFORE(_xlfn.TEXTAFTER(CantoralDB[[#This Row],[index.html]],"&gt;"),"&gt;")&amp;"&gt;"</f>
        <v>&lt;a href="canciones/taize/kyrie_1.html"&gt;</v>
      </c>
    </row>
    <row r="1578" spans="1:21" x14ac:dyDescent="0.3">
      <c r="A1578" s="1">
        <f>ROW(CantoralDB[[#This Row],[Título]])-1</f>
        <v>1577</v>
      </c>
      <c r="B1578" s="1" t="s">
        <v>926</v>
      </c>
      <c r="C1578" s="1" t="s">
        <v>1025</v>
      </c>
      <c r="D1578" s="1" t="s">
        <v>1176</v>
      </c>
      <c r="H1578" s="1" t="s">
        <v>1046</v>
      </c>
      <c r="I1578" s="1" t="s">
        <v>612</v>
      </c>
      <c r="L1578" s="15" t="s">
        <v>1991</v>
      </c>
      <c r="M1578" s="15"/>
      <c r="N1578" s="15"/>
      <c r="O1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1578" s="1"/>
      <c r="S1578" s="1" t="s">
        <v>399</v>
      </c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578" s="15" t="str">
        <f>_xlfn.TEXTBEFORE(_xlfn.TEXTAFTER(CantoralDB[[#This Row],[index.html]],"&gt;"),"&gt;")&amp;"&gt;"</f>
        <v>&lt;a href="canciones/taize/kyrie_20.html"&gt;</v>
      </c>
    </row>
    <row r="1579" spans="1:21" x14ac:dyDescent="0.3">
      <c r="A1579" s="1">
        <f>ROW(CantoralDB[[#This Row],[Título]])-1</f>
        <v>1578</v>
      </c>
      <c r="B1579" s="1" t="s">
        <v>927</v>
      </c>
      <c r="C1579" s="1" t="s">
        <v>1025</v>
      </c>
      <c r="D1579" s="1" t="s">
        <v>1177</v>
      </c>
      <c r="H1579" s="1" t="s">
        <v>1066</v>
      </c>
      <c r="I1579" s="1" t="s">
        <v>612</v>
      </c>
      <c r="L1579" s="15" t="s">
        <v>1991</v>
      </c>
      <c r="M1579" s="15"/>
      <c r="N1579" s="15"/>
      <c r="O1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1579" s="1"/>
      <c r="S1579" s="1" t="s">
        <v>388</v>
      </c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579" s="15" t="str">
        <f>_xlfn.TEXTBEFORE(_xlfn.TEXTAFTER(CantoralDB[[#This Row],[index.html]],"&gt;"),"&gt;")&amp;"&gt;"</f>
        <v>&lt;a href="canciones/taize/kyrie_6.html"&gt;</v>
      </c>
    </row>
    <row r="1580" spans="1:21" x14ac:dyDescent="0.3">
      <c r="A1580" s="1">
        <f>ROW(CantoralDB[[#This Row],[Título]])-1</f>
        <v>1579</v>
      </c>
      <c r="B1580" s="1" t="s">
        <v>928</v>
      </c>
      <c r="C1580" s="1" t="s">
        <v>1025</v>
      </c>
      <c r="D1580" s="1" t="s">
        <v>1178</v>
      </c>
      <c r="H1580" s="1" t="s">
        <v>1051</v>
      </c>
      <c r="I1580" s="1" t="s">
        <v>612</v>
      </c>
      <c r="L1580" s="15" t="s">
        <v>1991</v>
      </c>
      <c r="M1580" s="15"/>
      <c r="N1580" s="15"/>
      <c r="O1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1580" s="1"/>
      <c r="S1580" s="1" t="s">
        <v>390</v>
      </c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580" s="15" t="str">
        <f>_xlfn.TEXTBEFORE(_xlfn.TEXTAFTER(CantoralDB[[#This Row],[index.html]],"&gt;"),"&gt;")&amp;"&gt;"</f>
        <v>&lt;a href="canciones/taize/kyrie_8.html"&gt;</v>
      </c>
    </row>
    <row r="1581" spans="1:21" hidden="1" x14ac:dyDescent="0.3">
      <c r="A1581" s="1">
        <f>ROW(CantoralDB[[#This Row],[Título]])-1</f>
        <v>1580</v>
      </c>
      <c r="B1581" s="1" t="s">
        <v>3361</v>
      </c>
      <c r="C1581" s="1"/>
      <c r="F1581" s="1">
        <v>27</v>
      </c>
      <c r="I1581" s="1"/>
      <c r="L1581" s="15" t="s">
        <v>799</v>
      </c>
      <c r="M1581" s="15"/>
      <c r="N1581" s="15"/>
      <c r="O1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tenemos_tanto.html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href="canciones/nuevas/tenemos_tanto.html"&gt;Tenemos tanto&lt;/a&gt;&lt;/li&gt;</v>
      </c>
      <c r="U1581" s="15" t="str">
        <f>_xlfn.TEXTBEFORE(_xlfn.TEXTAFTER(CantoralDB[[#This Row],[index.html]],"&gt;"),"&gt;")&amp;"&gt;"</f>
        <v>&lt;a href="canciones/nuevas/tenemos_tanto.html"&gt;</v>
      </c>
    </row>
    <row r="1582" spans="1:21" hidden="1" x14ac:dyDescent="0.3">
      <c r="A1582" s="1">
        <f>ROW(CantoralDB[[#This Row],[Título]])-1</f>
        <v>1581</v>
      </c>
      <c r="B1582" s="1" t="s">
        <v>142</v>
      </c>
      <c r="C1582" s="1" t="s">
        <v>997</v>
      </c>
      <c r="D1582" s="1" t="s">
        <v>1014</v>
      </c>
      <c r="E1582" s="1">
        <v>255</v>
      </c>
      <c r="G1582" s="1" t="s">
        <v>209</v>
      </c>
      <c r="H1582" s="1" t="s">
        <v>1069</v>
      </c>
      <c r="I1582" s="1" t="s">
        <v>612</v>
      </c>
      <c r="L1582" s="15" t="s">
        <v>799</v>
      </c>
      <c r="M1582" s="15"/>
      <c r="N1582" s="15"/>
      <c r="O1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tengo_que_gritar.html</v>
      </c>
      <c r="R1582" s="1" t="s">
        <v>867</v>
      </c>
      <c r="S1582" s="1"/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582" s="15" t="str">
        <f>_xlfn.TEXTBEFORE(_xlfn.TEXTAFTER(CantoralDB[[#This Row],[index.html]],"&gt;"),"&gt;")&amp;"&gt;"</f>
        <v>&lt;a href="canciones/nsb/tengo_que_gritar.html"&gt;</v>
      </c>
    </row>
    <row r="1583" spans="1:21" hidden="1" x14ac:dyDescent="0.3">
      <c r="A1583" s="1">
        <f>ROW(CantoralDB[[#This Row],[Título]])-1</f>
        <v>1582</v>
      </c>
      <c r="B1583" s="1" t="s">
        <v>891</v>
      </c>
      <c r="C1583" s="1"/>
      <c r="I1583" s="1"/>
      <c r="L1583" s="15" t="s">
        <v>3160</v>
      </c>
      <c r="M1583" s="15" t="s">
        <v>891</v>
      </c>
      <c r="N1583" s="15">
        <v>2</v>
      </c>
      <c r="O1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tengo_sed_de_ti.html</v>
      </c>
      <c r="R1583" s="1" t="s">
        <v>3283</v>
      </c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href="canciones/hermana_glenda/tengo_sed_de_ti.html"&gt;Tengo sed de ti&lt;/a&gt;&lt;/li&gt;</v>
      </c>
      <c r="U1583" s="15" t="str">
        <f>_xlfn.TEXTBEFORE(_xlfn.TEXTAFTER(CantoralDB[[#This Row],[index.html]],"&gt;"),"&gt;")&amp;"&gt;"</f>
        <v>&lt;a href="canciones/hermana_glenda/tengo_sed_de_ti.html"&gt;</v>
      </c>
    </row>
    <row r="1584" spans="1:21" x14ac:dyDescent="0.3">
      <c r="A1584" s="1">
        <f>ROW(CantoralDB[[#This Row],[Título]])-1</f>
        <v>1583</v>
      </c>
      <c r="B1584" s="1" t="s">
        <v>891</v>
      </c>
      <c r="C1584" s="1" t="s">
        <v>1025</v>
      </c>
      <c r="D1584" s="1" t="s">
        <v>1132</v>
      </c>
      <c r="H1584" s="1" t="s">
        <v>1069</v>
      </c>
      <c r="I1584" s="1" t="s">
        <v>612</v>
      </c>
      <c r="L1584" s="15" t="s">
        <v>1991</v>
      </c>
      <c r="M1584" s="15"/>
      <c r="N1584" s="15"/>
      <c r="O1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1584" s="1" t="s">
        <v>957</v>
      </c>
      <c r="S1584" s="1" t="s">
        <v>319</v>
      </c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584" s="15" t="str">
        <f>_xlfn.TEXTBEFORE(_xlfn.TEXTAFTER(CantoralDB[[#This Row],[index.html]],"&gt;"),"&gt;")&amp;"&gt;"</f>
        <v>&lt;a href="canciones/taize/bless_the_lord.html"&gt;</v>
      </c>
    </row>
    <row r="1585" spans="1:21" hidden="1" x14ac:dyDescent="0.3">
      <c r="A1585" s="1">
        <f>ROW(CantoralDB[[#This Row],[Título]])-1</f>
        <v>1584</v>
      </c>
      <c r="B1585" s="1" t="s">
        <v>1717</v>
      </c>
      <c r="C1585" s="1"/>
      <c r="I1585" s="1"/>
      <c r="L1585" s="15" t="s">
        <v>484</v>
      </c>
      <c r="M1585" s="15" t="s">
        <v>1538</v>
      </c>
      <c r="N1585" s="15">
        <v>6</v>
      </c>
      <c r="O1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teresa_toda.html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href="canciones/kairoi/teresa_toda.html"&gt;Teresa Toda&lt;/a&gt;&lt;/li&gt;</v>
      </c>
      <c r="U1585" s="15" t="str">
        <f>_xlfn.TEXTBEFORE(_xlfn.TEXTAFTER(CantoralDB[[#This Row],[index.html]],"&gt;"),"&gt;")&amp;"&gt;"</f>
        <v>&lt;a href="canciones/kairoi/teresa_toda.html"&gt;</v>
      </c>
    </row>
    <row r="1586" spans="1:21" hidden="1" x14ac:dyDescent="0.3">
      <c r="A1586" s="1">
        <f>ROW(CantoralDB[[#This Row],[Título]])-1</f>
        <v>1585</v>
      </c>
      <c r="B1586" s="1" t="s">
        <v>1643</v>
      </c>
      <c r="C1586" s="1"/>
      <c r="I1586" s="1"/>
      <c r="L1586" s="15" t="s">
        <v>484</v>
      </c>
      <c r="M1586" s="15" t="s">
        <v>1527</v>
      </c>
      <c r="N1586" s="15">
        <v>11</v>
      </c>
      <c r="O1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testamento_espiritual.html</v>
      </c>
      <c r="R1586" s="1"/>
      <c r="S1586" s="1"/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1586" s="15" t="str">
        <f>_xlfn.TEXTBEFORE(_xlfn.TEXTAFTER(CantoralDB[[#This Row],[index.html]],"&gt;"),"&gt;")&amp;"&gt;"</f>
        <v>&lt;a href="canciones/kairoi/testamento_espiritual.html"&gt;</v>
      </c>
    </row>
    <row r="1587" spans="1:21" hidden="1" x14ac:dyDescent="0.3">
      <c r="A1587" s="1">
        <f>ROW(CantoralDB[[#This Row],[Título]])-1</f>
        <v>1586</v>
      </c>
      <c r="B1587" s="1" t="s">
        <v>1712</v>
      </c>
      <c r="C1587" s="1"/>
      <c r="I1587" s="1"/>
      <c r="L1587" s="15" t="s">
        <v>484</v>
      </c>
      <c r="M1587" s="15" t="s">
        <v>1538</v>
      </c>
      <c r="N1587" s="15">
        <v>1</v>
      </c>
      <c r="O1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testigos_del_señor.html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1587" s="15" t="str">
        <f>_xlfn.TEXTBEFORE(_xlfn.TEXTAFTER(CantoralDB[[#This Row],[index.html]],"&gt;"),"&gt;")&amp;"&gt;"</f>
        <v>&lt;a href="canciones/kairoi/testigos_del_señor.html"&gt;</v>
      </c>
    </row>
    <row r="1588" spans="1:21" hidden="1" x14ac:dyDescent="0.3">
      <c r="A1588" s="1">
        <f>ROW(CantoralDB[[#This Row],[Título]])-1</f>
        <v>1587</v>
      </c>
      <c r="B1588" s="1" t="s">
        <v>449</v>
      </c>
      <c r="C1588" s="1" t="s">
        <v>1026</v>
      </c>
      <c r="D1588" s="1" t="s">
        <v>1161</v>
      </c>
      <c r="H1588" s="1" t="s">
        <v>1050</v>
      </c>
      <c r="I1588" s="1" t="s">
        <v>612</v>
      </c>
      <c r="L1588" s="15" t="s">
        <v>2201</v>
      </c>
      <c r="M1588" s="15"/>
      <c r="N1588" s="15"/>
      <c r="O1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1588" s="1"/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588" s="15" t="str">
        <f>_xlfn.TEXTBEFORE(_xlfn.TEXTAFTER(CantoralDB[[#This Row],[index.html]],"&gt;"),"&gt;")&amp;"&gt;"</f>
        <v>&lt;a href="canciones/taize/the_kingdom_of_god.html"&gt;</v>
      </c>
    </row>
    <row r="1589" spans="1:21" hidden="1" x14ac:dyDescent="0.3">
      <c r="A1589" s="1">
        <f>ROW(CantoralDB[[#This Row],[Título]])-1</f>
        <v>1588</v>
      </c>
      <c r="B1589" s="1" t="s">
        <v>1375</v>
      </c>
      <c r="C1589" s="1"/>
      <c r="E1589" s="1">
        <v>260</v>
      </c>
      <c r="I1589" s="1" t="s">
        <v>612</v>
      </c>
      <c r="L1589" s="15" t="s">
        <v>547</v>
      </c>
      <c r="M1589" s="15"/>
      <c r="N1589" s="15"/>
      <c r="O1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tiempo_de_espera.html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1589" s="15" t="str">
        <f>_xlfn.TEXTBEFORE(_xlfn.TEXTAFTER(CantoralDB[[#This Row],[index.html]],"&gt;"),"&gt;")&amp;"&gt;"</f>
        <v>&lt;a href="canciones/emilio_vicente_mateu/tiempo_de_espera.html"&gt;</v>
      </c>
    </row>
    <row r="1590" spans="1:21" hidden="1" x14ac:dyDescent="0.3">
      <c r="A1590" s="1">
        <f>ROW(CantoralDB[[#This Row],[Título]])-1</f>
        <v>1589</v>
      </c>
      <c r="B1590" s="1" t="s">
        <v>1372</v>
      </c>
      <c r="C1590" s="1"/>
      <c r="E1590" s="1">
        <v>253</v>
      </c>
      <c r="I1590" s="1"/>
      <c r="L1590" s="15" t="s">
        <v>2158</v>
      </c>
      <c r="M1590" s="15"/>
      <c r="N1590" s="15"/>
      <c r="O1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tiendeme_tu_mano.html</v>
      </c>
      <c r="R1590" s="1"/>
      <c r="S1590" s="1"/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590" s="15" t="str">
        <f>_xlfn.TEXTBEFORE(_xlfn.TEXTAFTER(CantoralDB[[#This Row],[index.html]],"&gt;"),"&gt;")&amp;"&gt;"</f>
        <v>&lt;a href="canciones/nsb/tiendeme_tu_mano.html"&gt;</v>
      </c>
    </row>
    <row r="1591" spans="1:21" hidden="1" x14ac:dyDescent="0.3">
      <c r="A1591" s="1">
        <f>ROW(CantoralDB[[#This Row],[Título]])-1</f>
        <v>1590</v>
      </c>
      <c r="B1591" s="1" t="s">
        <v>1676</v>
      </c>
      <c r="C1591" s="1"/>
      <c r="I1591" s="1"/>
      <c r="L1591" s="15" t="s">
        <v>484</v>
      </c>
      <c r="M1591" s="15" t="s">
        <v>1533</v>
      </c>
      <c r="N1591" s="15">
        <v>7</v>
      </c>
      <c r="O1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tiene_el_sida.html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href="canciones/kairoi/tiene_el_sida.html"&gt;Tiene el sida&lt;/a&gt;&lt;/li&gt;</v>
      </c>
      <c r="U1591" s="15" t="str">
        <f>_xlfn.TEXTBEFORE(_xlfn.TEXTAFTER(CantoralDB[[#This Row],[index.html]],"&gt;"),"&gt;")&amp;"&gt;"</f>
        <v>&lt;a href="canciones/kairoi/tiene_el_sida.html"&gt;</v>
      </c>
    </row>
    <row r="1592" spans="1:21" hidden="1" x14ac:dyDescent="0.3">
      <c r="A1592" s="1">
        <f>ROW(CantoralDB[[#This Row],[Título]])-1</f>
        <v>1591</v>
      </c>
      <c r="B1592" s="1" t="s">
        <v>3810</v>
      </c>
      <c r="C1592" s="1"/>
      <c r="I1592" s="1"/>
      <c r="L1592" s="15" t="s">
        <v>499</v>
      </c>
      <c r="M1592" s="15" t="s">
        <v>3803</v>
      </c>
      <c r="N1592" s="15">
        <v>10</v>
      </c>
      <c r="O1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tierra.html</v>
      </c>
      <c r="R1592" s="1"/>
      <c r="S1592" s="1"/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592" s="15" t="str">
        <f>_xlfn.TEXTBEFORE(_xlfn.TEXTAFTER(CantoralDB[[#This Row],[index.html]],"&gt;"),"&gt;")&amp;"&gt;"</f>
        <v>&lt;a href="canciones/brotes_de_olivo/tierra.html"&gt;</v>
      </c>
    </row>
    <row r="1593" spans="1:21" hidden="1" x14ac:dyDescent="0.3">
      <c r="A1593" s="1">
        <f>ROW(CantoralDB[[#This Row],[Título]])-1</f>
        <v>1592</v>
      </c>
      <c r="B1593" s="1" t="s">
        <v>3501</v>
      </c>
      <c r="C1593" s="1"/>
      <c r="F1593" s="1">
        <v>157</v>
      </c>
      <c r="I1593" s="1"/>
      <c r="L1593" s="15" t="s">
        <v>3502</v>
      </c>
      <c r="M1593" s="15"/>
      <c r="N1593" s="15"/>
      <c r="O1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tierra_firme_(getsemani).html</v>
      </c>
      <c r="R1593" s="1"/>
      <c r="S1593" s="1"/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1593" s="15" t="str">
        <f>_xlfn.TEXTBEFORE(_xlfn.TEXTAFTER(CantoralDB[[#This Row],[index.html]],"&gt;"),"&gt;")&amp;"&gt;"</f>
        <v>&lt;a href="canciones/nuevas/tierra_firme_(getsemani).html"&gt;</v>
      </c>
    </row>
    <row r="1594" spans="1:21" hidden="1" x14ac:dyDescent="0.3">
      <c r="A1594" s="1">
        <f>ROW(CantoralDB[[#This Row],[Título]])-1</f>
        <v>1593</v>
      </c>
      <c r="B1594" s="1" t="s">
        <v>1595</v>
      </c>
      <c r="C1594" s="1"/>
      <c r="I1594" s="1" t="s">
        <v>612</v>
      </c>
      <c r="L1594" s="15" t="s">
        <v>484</v>
      </c>
      <c r="M1594" s="15" t="s">
        <v>1528</v>
      </c>
      <c r="N1594" s="15">
        <v>4</v>
      </c>
      <c r="O1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tocare_para_ti.html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1594" s="15" t="str">
        <f>_xlfn.TEXTBEFORE(_xlfn.TEXTAFTER(CantoralDB[[#This Row],[index.html]],"&gt;"),"&gt;")&amp;"&gt;"</f>
        <v>&lt;a href="canciones/kairoi/tocare_para_ti.html"&gt;</v>
      </c>
    </row>
    <row r="1595" spans="1:21" hidden="1" x14ac:dyDescent="0.3">
      <c r="A1595" s="1">
        <f>ROW(CantoralDB[[#This Row],[Título]])-1</f>
        <v>1594</v>
      </c>
      <c r="B1595" s="1" t="s">
        <v>1377</v>
      </c>
      <c r="C1595" s="1"/>
      <c r="E1595" s="1">
        <v>263</v>
      </c>
      <c r="I1595" s="1"/>
      <c r="L1595" s="15" t="s">
        <v>2207</v>
      </c>
      <c r="M1595" s="15"/>
      <c r="N1595" s="15"/>
      <c r="O1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todavia_cantamos.html</v>
      </c>
      <c r="R1595" s="1"/>
      <c r="S1595" s="1"/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595" s="15" t="str">
        <f>_xlfn.TEXTBEFORE(_xlfn.TEXTAFTER(CantoralDB[[#This Row],[index.html]],"&gt;"),"&gt;")&amp;"&gt;"</f>
        <v>&lt;a href="canciones/perpetuo_socorro/todavia_cantamos.html"&gt;</v>
      </c>
    </row>
    <row r="1596" spans="1:21" hidden="1" x14ac:dyDescent="0.3">
      <c r="A1596" s="1">
        <f>ROW(CantoralDB[[#This Row],[Título]])-1</f>
        <v>1595</v>
      </c>
      <c r="B1596" s="1" t="s">
        <v>3260</v>
      </c>
      <c r="C1596" s="1"/>
      <c r="I1596" s="1"/>
      <c r="L1596" s="15" t="s">
        <v>3160</v>
      </c>
      <c r="M1596" s="15" t="s">
        <v>3248</v>
      </c>
      <c r="N1596" s="15">
        <v>14</v>
      </c>
      <c r="O1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href="canciones/hermana_glenda/todavia_no_se_manifiesta.html"&gt;Todavía no se manifiesta&lt;/a&gt;&lt;/li&gt;</v>
      </c>
      <c r="U1596" s="15" t="str">
        <f>_xlfn.TEXTBEFORE(_xlfn.TEXTAFTER(CantoralDB[[#This Row],[index.html]],"&gt;"),"&gt;")&amp;"&gt;"</f>
        <v>&lt;a href="canciones/hermana_glenda/todavia_no_se_manifiesta.html"&gt;</v>
      </c>
    </row>
    <row r="1597" spans="1:21" hidden="1" x14ac:dyDescent="0.3">
      <c r="A1597" s="1">
        <f>ROW(CantoralDB[[#This Row],[Título]])-1</f>
        <v>1596</v>
      </c>
      <c r="B1597" s="1" t="s">
        <v>3296</v>
      </c>
      <c r="C1597" s="1"/>
      <c r="I1597" s="1"/>
      <c r="L1597" s="15" t="s">
        <v>3160</v>
      </c>
      <c r="M1597" s="15" t="s">
        <v>3291</v>
      </c>
      <c r="N1597" s="15">
        <v>8</v>
      </c>
      <c r="O1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todavia_no_se_manifiesta_quien_eres.html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href="canciones/hermana_glenda/todavia_no_se_manifiesta_quien_eres.html"&gt;Todavía no se manifiesta quién eres&lt;/a&gt;&lt;/li&gt;</v>
      </c>
      <c r="U1597" s="15" t="str">
        <f>_xlfn.TEXTBEFORE(_xlfn.TEXTAFTER(CantoralDB[[#This Row],[index.html]],"&gt;"),"&gt;")&amp;"&gt;"</f>
        <v>&lt;a href="canciones/hermana_glenda/todavia_no_se_manifiesta_quien_eres.html"&gt;</v>
      </c>
    </row>
    <row r="1598" spans="1:21" hidden="1" x14ac:dyDescent="0.3">
      <c r="A1598" s="1">
        <f>ROW(CantoralDB[[#This Row],[Título]])-1</f>
        <v>1597</v>
      </c>
      <c r="B1598" s="1" t="s">
        <v>2007</v>
      </c>
      <c r="C1598" s="1"/>
      <c r="I1598" s="1" t="s">
        <v>612</v>
      </c>
      <c r="L1598" s="15" t="s">
        <v>261</v>
      </c>
      <c r="M1598" s="15"/>
      <c r="N1598" s="15"/>
      <c r="O1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todo.html</v>
      </c>
      <c r="R1598" s="1"/>
      <c r="S1598" s="1"/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href="canciones/hakuna/todo.html"&gt;Todo&lt;/a&gt;&lt;/li&gt;</v>
      </c>
      <c r="U1598" s="15" t="str">
        <f>_xlfn.TEXTBEFORE(_xlfn.TEXTAFTER(CantoralDB[[#This Row],[index.html]],"&gt;"),"&gt;")&amp;"&gt;"</f>
        <v>&lt;a href="canciones/hakuna/todo.html"&gt;</v>
      </c>
    </row>
    <row r="1599" spans="1:21" hidden="1" x14ac:dyDescent="0.3">
      <c r="A1599" s="1">
        <f>ROW(CantoralDB[[#This Row],[Título]])-1</f>
        <v>1598</v>
      </c>
      <c r="B1599" s="1" t="s">
        <v>3097</v>
      </c>
      <c r="C1599" s="15"/>
      <c r="I1599" s="1" t="s">
        <v>612</v>
      </c>
      <c r="L1599" s="15" t="s">
        <v>581</v>
      </c>
      <c r="M1599" s="15"/>
      <c r="N1599" s="15"/>
      <c r="O1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todo_es_tuyo.html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href="canciones/nuevas/todo_es_tuyo.html"&gt;Todo es tuyo&lt;/a&gt;&lt;/li&gt;</v>
      </c>
      <c r="U1599" s="15" t="str">
        <f>_xlfn.TEXTBEFORE(_xlfn.TEXTAFTER(CantoralDB[[#This Row],[index.html]],"&gt;"),"&gt;")&amp;"&gt;"</f>
        <v>&lt;a href="canciones/nuevas/todo_es_tuyo.html"&gt;</v>
      </c>
    </row>
    <row r="1600" spans="1:21" hidden="1" x14ac:dyDescent="0.3">
      <c r="A1600" s="1">
        <f>ROW(CantoralDB[[#This Row],[Título]])-1</f>
        <v>1599</v>
      </c>
      <c r="B1600" s="1" t="s">
        <v>3293</v>
      </c>
      <c r="C1600" s="1"/>
      <c r="I1600" s="1"/>
      <c r="L1600" s="15" t="s">
        <v>3160</v>
      </c>
      <c r="M1600" s="15" t="s">
        <v>3291</v>
      </c>
      <c r="N1600" s="15">
        <v>3</v>
      </c>
      <c r="O1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todo_es_viento.html</v>
      </c>
      <c r="R1600" s="1"/>
      <c r="S1600" s="1"/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href="canciones/hermana_glenda/todo_es_viento.html"&gt;Todo es viento&lt;/a&gt;&lt;/li&gt;</v>
      </c>
      <c r="U1600" s="15" t="str">
        <f>_xlfn.TEXTBEFORE(_xlfn.TEXTAFTER(CantoralDB[[#This Row],[index.html]],"&gt;"),"&gt;")&amp;"&gt;"</f>
        <v>&lt;a href="canciones/hermana_glenda/todo_es_viento.html"&gt;</v>
      </c>
    </row>
    <row r="1601" spans="1:21" hidden="1" x14ac:dyDescent="0.3">
      <c r="A1601" s="1">
        <f>ROW(CantoralDB[[#This Row],[Título]])-1</f>
        <v>1600</v>
      </c>
      <c r="B1601" s="1" t="s">
        <v>504</v>
      </c>
      <c r="C1601" s="1" t="s">
        <v>193</v>
      </c>
      <c r="D1601" s="1" t="s">
        <v>1514</v>
      </c>
      <c r="G1601" s="1" t="s">
        <v>216</v>
      </c>
      <c r="H1601" s="1" t="s">
        <v>532</v>
      </c>
      <c r="I1601" s="1" t="s">
        <v>612</v>
      </c>
      <c r="L1601" s="15" t="s">
        <v>484</v>
      </c>
      <c r="M1601" s="15" t="s">
        <v>1528</v>
      </c>
      <c r="N1601" s="15">
        <v>3</v>
      </c>
      <c r="O1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todo_mi_ser_(alabo_tu_bondad).html</v>
      </c>
      <c r="R1601" s="1"/>
      <c r="S1601" s="1"/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1601" s="15" t="str">
        <f>_xlfn.TEXTBEFORE(_xlfn.TEXTAFTER(CantoralDB[[#This Row],[index.html]],"&gt;"),"&gt;")&amp;"&gt;"</f>
        <v>&lt;a href="canciones/kairoi/todo_mi_ser_(alabo_tu_bondad).html"&gt;</v>
      </c>
    </row>
    <row r="1602" spans="1:21" hidden="1" x14ac:dyDescent="0.3">
      <c r="A1602" s="1">
        <f>ROW(CantoralDB[[#This Row],[Título]])-1</f>
        <v>1601</v>
      </c>
      <c r="B1602" s="1" t="s">
        <v>1378</v>
      </c>
      <c r="C1602" s="1"/>
      <c r="E1602" s="1">
        <v>267</v>
      </c>
      <c r="I1602" s="1"/>
      <c r="L1602" s="15" t="s">
        <v>2140</v>
      </c>
      <c r="M1602" s="15"/>
      <c r="N1602" s="15"/>
      <c r="O1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todos_esperamos.html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602" s="15" t="str">
        <f>_xlfn.TEXTBEFORE(_xlfn.TEXTAFTER(CantoralDB[[#This Row],[index.html]],"&gt;"),"&gt;")&amp;"&gt;"</f>
        <v>&lt;a href="canciones/nsb/todos_esperamos.html"&gt;</v>
      </c>
    </row>
    <row r="1603" spans="1:21" hidden="1" x14ac:dyDescent="0.3">
      <c r="A1603" s="1">
        <f>ROW(CantoralDB[[#This Row],[Título]])-1</f>
        <v>1602</v>
      </c>
      <c r="B1603" s="1" t="s">
        <v>3812</v>
      </c>
      <c r="C1603" s="1"/>
      <c r="I1603" s="1"/>
      <c r="L1603" s="15" t="s">
        <v>499</v>
      </c>
      <c r="M1603" s="15" t="s">
        <v>3803</v>
      </c>
      <c r="N1603" s="15">
        <v>12</v>
      </c>
      <c r="O1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todos_juntos.html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603" s="15" t="str">
        <f>_xlfn.TEXTBEFORE(_xlfn.TEXTAFTER(CantoralDB[[#This Row],[index.html]],"&gt;"),"&gt;")&amp;"&gt;"</f>
        <v>&lt;a href="canciones/brotes_de_olivo/todos_juntos.html"&gt;</v>
      </c>
    </row>
    <row r="1604" spans="1:21" hidden="1" x14ac:dyDescent="0.3">
      <c r="A1604" s="1">
        <f>ROW(CantoralDB[[#This Row],[Título]])-1</f>
        <v>1603</v>
      </c>
      <c r="B1604" s="1" t="s">
        <v>2031</v>
      </c>
      <c r="C1604" s="1"/>
      <c r="I1604" s="1" t="s">
        <v>612</v>
      </c>
      <c r="L1604" s="15" t="s">
        <v>261</v>
      </c>
      <c r="M1604" s="15"/>
      <c r="N1604" s="15"/>
      <c r="O1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todos_por_todos.html</v>
      </c>
      <c r="R1604" s="1"/>
      <c r="S1604" s="1"/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1604" s="15" t="str">
        <f>_xlfn.TEXTBEFORE(_xlfn.TEXTAFTER(CantoralDB[[#This Row],[index.html]],"&gt;"),"&gt;")&amp;"&gt;"</f>
        <v>&lt;a href="canciones/hakuna/todos_por_todos.html"&gt;</v>
      </c>
    </row>
    <row r="1605" spans="1:21" hidden="1" x14ac:dyDescent="0.3">
      <c r="A1605" s="1">
        <f>ROW(CantoralDB[[#This Row],[Título]])-1</f>
        <v>1604</v>
      </c>
      <c r="B1605" s="1" t="s">
        <v>143</v>
      </c>
      <c r="C1605" s="1" t="s">
        <v>997</v>
      </c>
      <c r="D1605" s="1" t="s">
        <v>1015</v>
      </c>
      <c r="E1605" s="1">
        <v>266</v>
      </c>
      <c r="G1605" s="1" t="s">
        <v>209</v>
      </c>
      <c r="H1605" s="1" t="s">
        <v>1041</v>
      </c>
      <c r="I1605" s="1" t="s">
        <v>612</v>
      </c>
      <c r="L1605" s="15" t="s">
        <v>483</v>
      </c>
      <c r="M1605" s="15"/>
      <c r="N1605" s="15"/>
      <c r="O1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todos_unidos.html</v>
      </c>
      <c r="R1605" s="1"/>
      <c r="S1605" s="1"/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1605" s="15" t="str">
        <f>_xlfn.TEXTBEFORE(_xlfn.TEXTAFTER(CantoralDB[[#This Row],[index.html]],"&gt;"),"&gt;")&amp;"&gt;"</f>
        <v>&lt;a href="canciones/cesareo_gabarain/todos_unidos.html"&gt;</v>
      </c>
    </row>
    <row r="1606" spans="1:21" hidden="1" x14ac:dyDescent="0.3">
      <c r="A1606" s="1">
        <f>ROW(CantoralDB[[#This Row],[Título]])-1</f>
        <v>1605</v>
      </c>
      <c r="B1606" s="1" t="s">
        <v>1376</v>
      </c>
      <c r="C1606" s="1"/>
      <c r="E1606" s="1">
        <v>261</v>
      </c>
      <c r="I1606" s="1"/>
      <c r="L1606" s="15" t="s">
        <v>479</v>
      </c>
      <c r="M1606" s="15"/>
      <c r="N1606" s="15"/>
      <c r="O1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todos_unidos_en_la_vida.html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data-nold="261"&gt;&lt;a href="canciones/carmelo_erdozain/todos_unidos_en_la_vida.html"&gt;Todos unidos en la vida&lt;/a&gt;&lt;/li&gt;</v>
      </c>
      <c r="U1606" s="15" t="str">
        <f>_xlfn.TEXTBEFORE(_xlfn.TEXTAFTER(CantoralDB[[#This Row],[index.html]],"&gt;"),"&gt;")&amp;"&gt;"</f>
        <v>&lt;a href="canciones/carmelo_erdozain/todos_unidos_en_la_vida.html"&gt;</v>
      </c>
    </row>
    <row r="1607" spans="1:21" hidden="1" x14ac:dyDescent="0.3">
      <c r="A1607" s="1">
        <f>ROW(CantoralDB[[#This Row],[Título]])-1</f>
        <v>1606</v>
      </c>
      <c r="B1607" s="1" t="s">
        <v>3694</v>
      </c>
      <c r="C1607" s="1"/>
      <c r="F1607" s="1">
        <v>357</v>
      </c>
      <c r="I1607" s="1"/>
      <c r="L1607" s="15" t="s">
        <v>3594</v>
      </c>
      <c r="M1607" s="15"/>
      <c r="N1607" s="15"/>
      <c r="O1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toma_mi_vida.html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1607" s="15" t="str">
        <f>_xlfn.TEXTBEFORE(_xlfn.TEXTAFTER(CantoralDB[[#This Row],[index.html]],"&gt;"),"&gt;")&amp;"&gt;"</f>
        <v>&lt;a href="canciones/nuevas/toma_mi_vida.html"&gt;</v>
      </c>
    </row>
    <row r="1608" spans="1:21" hidden="1" x14ac:dyDescent="0.3">
      <c r="A1608" s="1">
        <f>ROW(CantoralDB[[#This Row],[Título]])-1</f>
        <v>1607</v>
      </c>
      <c r="B1608" s="1" t="s">
        <v>3380</v>
      </c>
      <c r="C1608" s="1"/>
      <c r="F1608" s="1">
        <v>47</v>
      </c>
      <c r="I1608" s="1"/>
      <c r="L1608" s="15" t="s">
        <v>3354</v>
      </c>
      <c r="M1608" s="15"/>
      <c r="N1608" s="15"/>
      <c r="O1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tomad_y_comed.html</v>
      </c>
      <c r="R1608" s="1"/>
      <c r="S1608" s="1"/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1608" s="15" t="str">
        <f>_xlfn.TEXTBEFORE(_xlfn.TEXTAFTER(CantoralDB[[#This Row],[index.html]],"&gt;"),"&gt;")&amp;"&gt;"</f>
        <v>&lt;a href="canciones/lazaro_iparraguirre/tomad_y_comed.html"&gt;</v>
      </c>
    </row>
    <row r="1609" spans="1:21" hidden="1" x14ac:dyDescent="0.3">
      <c r="A1609" s="1">
        <f>ROW(CantoralDB[[#This Row],[Título]])-1</f>
        <v>1608</v>
      </c>
      <c r="B1609" s="1" t="s">
        <v>260</v>
      </c>
      <c r="C1609" s="1" t="s">
        <v>997</v>
      </c>
      <c r="D1609" s="1" t="s">
        <v>1013</v>
      </c>
      <c r="G1609" s="1" t="s">
        <v>261</v>
      </c>
      <c r="H1609" s="1" t="s">
        <v>1034</v>
      </c>
      <c r="I1609" s="1" t="s">
        <v>612</v>
      </c>
      <c r="L1609" s="15" t="s">
        <v>261</v>
      </c>
      <c r="M1609" s="15"/>
      <c r="N1609" s="15"/>
      <c r="O1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tomad_comed.html</v>
      </c>
      <c r="R1609" s="1" t="s">
        <v>868</v>
      </c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1609" s="15" t="str">
        <f>_xlfn.TEXTBEFORE(_xlfn.TEXTAFTER(CantoralDB[[#This Row],[index.html]],"&gt;"),"&gt;")&amp;"&gt;"</f>
        <v>&lt;a href="canciones/hakuna/tomad_comed.html"&gt;</v>
      </c>
    </row>
    <row r="1610" spans="1:21" hidden="1" x14ac:dyDescent="0.3">
      <c r="A1610" s="1">
        <f>ROW(CantoralDB[[#This Row],[Título]])-1</f>
        <v>1609</v>
      </c>
      <c r="B1610" s="1" t="s">
        <v>144</v>
      </c>
      <c r="C1610" s="1" t="s">
        <v>997</v>
      </c>
      <c r="D1610" s="1" t="s">
        <v>1016</v>
      </c>
      <c r="E1610" s="1">
        <v>310</v>
      </c>
      <c r="F1610" s="1">
        <v>73</v>
      </c>
      <c r="G1610" s="1" t="s">
        <v>209</v>
      </c>
      <c r="H1610" s="1" t="s">
        <v>1039</v>
      </c>
      <c r="I1610" s="1" t="s">
        <v>612</v>
      </c>
      <c r="L1610" s="15" t="s">
        <v>584</v>
      </c>
      <c r="M1610" s="15"/>
      <c r="N1610" s="15"/>
      <c r="O1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tomado_de_la_mano.html</v>
      </c>
      <c r="R1610" s="1" t="s">
        <v>869</v>
      </c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610" s="15" t="str">
        <f>_xlfn.TEXTBEFORE(_xlfn.TEXTAFTER(CantoralDB[[#This Row],[index.html]],"&gt;"),"&gt;")&amp;"&gt;"</f>
        <v>&lt;a href="canciones/nsb/tomado_de_la_mano.html"&gt;</v>
      </c>
    </row>
    <row r="1611" spans="1:21" hidden="1" x14ac:dyDescent="0.3">
      <c r="A1611" s="1">
        <f>ROW(CantoralDB[[#This Row],[Título]])-1</f>
        <v>1610</v>
      </c>
      <c r="B1611" s="1" t="s">
        <v>3605</v>
      </c>
      <c r="C1611" s="1"/>
      <c r="F1611" s="1">
        <v>270</v>
      </c>
      <c r="I1611" s="1"/>
      <c r="L1611" s="15" t="s">
        <v>799</v>
      </c>
      <c r="M1611" s="15"/>
      <c r="N1611" s="15"/>
      <c r="O1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tomame.html</v>
      </c>
      <c r="R1611" s="1"/>
      <c r="S1611" s="1"/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href="canciones/nuevas/tomame.html"&gt;Tómame&lt;/a&gt;&lt;/li&gt;</v>
      </c>
      <c r="U1611" s="15" t="str">
        <f>_xlfn.TEXTBEFORE(_xlfn.TEXTAFTER(CantoralDB[[#This Row],[index.html]],"&gt;"),"&gt;")&amp;"&gt;"</f>
        <v>&lt;a href="canciones/nuevas/tomame.html"&gt;</v>
      </c>
    </row>
    <row r="1612" spans="1:21" hidden="1" x14ac:dyDescent="0.3">
      <c r="A1612" s="1">
        <f>ROW(CantoralDB[[#This Row],[Título]])-1</f>
        <v>1611</v>
      </c>
      <c r="B1612" s="1" t="s">
        <v>2008</v>
      </c>
      <c r="C1612" s="1"/>
      <c r="I1612" s="1" t="s">
        <v>612</v>
      </c>
      <c r="L1612" s="15" t="s">
        <v>261</v>
      </c>
      <c r="M1612" s="15"/>
      <c r="N1612" s="15"/>
      <c r="O1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tonto.html</v>
      </c>
      <c r="R1612" s="1"/>
      <c r="S1612" s="1"/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href="canciones/hakuna/tonto.html"&gt;Tonto&lt;/a&gt;&lt;/li&gt;</v>
      </c>
      <c r="U1612" s="15" t="str">
        <f>_xlfn.TEXTBEFORE(_xlfn.TEXTAFTER(CantoralDB[[#This Row],[index.html]],"&gt;"),"&gt;")&amp;"&gt;"</f>
        <v>&lt;a href="canciones/hakuna/tonto.html"&gt;</v>
      </c>
    </row>
    <row r="1613" spans="1:21" hidden="1" x14ac:dyDescent="0.3">
      <c r="A1613" s="1">
        <f>ROW(CantoralDB[[#This Row],[Título]])-1</f>
        <v>1612</v>
      </c>
      <c r="B1613" s="1" t="s">
        <v>145</v>
      </c>
      <c r="C1613" s="1" t="s">
        <v>195</v>
      </c>
      <c r="D1613" s="1" t="s">
        <v>775</v>
      </c>
      <c r="E1613" s="1">
        <v>265</v>
      </c>
      <c r="G1613" s="1" t="s">
        <v>209</v>
      </c>
      <c r="H1613" s="1" t="s">
        <v>1034</v>
      </c>
      <c r="I1613" s="1" t="s">
        <v>612</v>
      </c>
      <c r="L1613" s="15" t="s">
        <v>799</v>
      </c>
      <c r="M1613" s="15"/>
      <c r="N1613" s="15"/>
      <c r="O1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traemos_a_tu_altar.html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613" s="15" t="str">
        <f>_xlfn.TEXTBEFORE(_xlfn.TEXTAFTER(CantoralDB[[#This Row],[index.html]],"&gt;"),"&gt;")&amp;"&gt;"</f>
        <v>&lt;a href="canciones/nsb/traemos_a_tu_altar.html"&gt;</v>
      </c>
    </row>
    <row r="1614" spans="1:21" hidden="1" x14ac:dyDescent="0.3">
      <c r="A1614" s="1">
        <f>ROW(CantoralDB[[#This Row],[Título]])-1</f>
        <v>1613</v>
      </c>
      <c r="B1614" s="1" t="s">
        <v>1895</v>
      </c>
      <c r="C1614" s="1"/>
      <c r="I1614" s="1"/>
      <c r="L1614" s="15" t="s">
        <v>482</v>
      </c>
      <c r="M1614" s="15" t="s">
        <v>1893</v>
      </c>
      <c r="N1614" s="15">
        <v>8</v>
      </c>
      <c r="O1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traeras_la_paz.html</v>
      </c>
      <c r="R1614" s="1"/>
      <c r="S1614" s="1"/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614" s="15" t="str">
        <f>_xlfn.TEXTBEFORE(_xlfn.TEXTAFTER(CantoralDB[[#This Row],[index.html]],"&gt;"),"&gt;")&amp;"&gt;"</f>
        <v>&lt;a href="canciones/toño_casado/traeras_la_paz.html"&gt;</v>
      </c>
    </row>
    <row r="1615" spans="1:21" hidden="1" x14ac:dyDescent="0.3">
      <c r="A1615" s="1">
        <f>ROW(CantoralDB[[#This Row],[Título]])-1</f>
        <v>1614</v>
      </c>
      <c r="B1615" s="1" t="s">
        <v>3264</v>
      </c>
      <c r="C1615" s="1"/>
      <c r="I1615" s="1"/>
      <c r="L1615" s="15" t="s">
        <v>3160</v>
      </c>
      <c r="M1615" s="15" t="s">
        <v>415</v>
      </c>
      <c r="N1615" s="15">
        <v>3</v>
      </c>
      <c r="O1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transparente.html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href="canciones/hermana_glenda/transparente.html"&gt;Transparente&lt;/a&gt;&lt;/li&gt;</v>
      </c>
      <c r="U1615" s="15" t="str">
        <f>_xlfn.TEXTBEFORE(_xlfn.TEXTAFTER(CantoralDB[[#This Row],[index.html]],"&gt;"),"&gt;")&amp;"&gt;"</f>
        <v>&lt;a href="canciones/hermana_glenda/transparente.html"&gt;</v>
      </c>
    </row>
    <row r="1616" spans="1:21" hidden="1" x14ac:dyDescent="0.3">
      <c r="A1616" s="1">
        <f>ROW(CantoralDB[[#This Row],[Título]])-1</f>
        <v>1615</v>
      </c>
      <c r="B1616" s="1" t="s">
        <v>1764</v>
      </c>
      <c r="C1616" s="1"/>
      <c r="I1616" s="1"/>
      <c r="L1616" s="15" t="s">
        <v>484</v>
      </c>
      <c r="M1616" s="15" t="s">
        <v>1544</v>
      </c>
      <c r="N1616" s="15">
        <v>2</v>
      </c>
      <c r="O1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tras_el_cristal.html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1616" s="15" t="str">
        <f>_xlfn.TEXTBEFORE(_xlfn.TEXTAFTER(CantoralDB[[#This Row],[index.html]],"&gt;"),"&gt;")&amp;"&gt;"</f>
        <v>&lt;a href="canciones/kairoi/tras_el_cristal.html"&gt;</v>
      </c>
    </row>
    <row r="1617" spans="1:21" hidden="1" x14ac:dyDescent="0.3">
      <c r="A1617" s="1">
        <f>ROW(CantoralDB[[#This Row],[Título]])-1</f>
        <v>1616</v>
      </c>
      <c r="B1617" s="1" t="s">
        <v>3809</v>
      </c>
      <c r="C1617" s="1"/>
      <c r="I1617" s="1"/>
      <c r="L1617" s="15" t="s">
        <v>499</v>
      </c>
      <c r="M1617" s="15" t="s">
        <v>3803</v>
      </c>
      <c r="N1617" s="15">
        <v>9</v>
      </c>
      <c r="O1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tras_las_huellas_del_padre.html</v>
      </c>
      <c r="R1617" s="1"/>
      <c r="S1617" s="1"/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617" s="15" t="str">
        <f>_xlfn.TEXTBEFORE(_xlfn.TEXTAFTER(CantoralDB[[#This Row],[index.html]],"&gt;"),"&gt;")&amp;"&gt;"</f>
        <v>&lt;a href="canciones/brotes_de_olivo/tras_las_huellas_del_padre.html"&gt;</v>
      </c>
    </row>
    <row r="1618" spans="1:21" hidden="1" x14ac:dyDescent="0.3">
      <c r="A1618" s="1">
        <f>ROW(CantoralDB[[#This Row],[Título]])-1</f>
        <v>1617</v>
      </c>
      <c r="B1618" s="1" t="s">
        <v>2108</v>
      </c>
      <c r="C1618" s="1"/>
      <c r="I1618" s="1"/>
      <c r="L1618" s="15" t="s">
        <v>481</v>
      </c>
      <c r="M1618" s="15" t="s">
        <v>2104</v>
      </c>
      <c r="N1618" s="15">
        <v>3</v>
      </c>
      <c r="O1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trigo_y_cizaña.html</v>
      </c>
      <c r="R1618" s="1"/>
      <c r="S1618" s="1"/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1618" s="15" t="str">
        <f>_xlfn.TEXTBEFORE(_xlfn.TEXTAFTER(CantoralDB[[#This Row],[index.html]],"&gt;"),"&gt;")&amp;"&gt;"</f>
        <v>&lt;a href="canciones/francisco_palazon/trigo_y_cizaña.html"&gt;</v>
      </c>
    </row>
    <row r="1619" spans="1:21" hidden="1" x14ac:dyDescent="0.3">
      <c r="A1619" s="1">
        <f>ROW(CantoralDB[[#This Row],[Título]])-1</f>
        <v>1618</v>
      </c>
      <c r="B1619" s="1" t="s">
        <v>2051</v>
      </c>
      <c r="C1619" s="1"/>
      <c r="I1619" s="1"/>
      <c r="L1619" s="15" t="s">
        <v>261</v>
      </c>
      <c r="M1619" s="15"/>
      <c r="N1619" s="15"/>
      <c r="O1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trueno.html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href="canciones/hakuna/trueno.html"&gt;Trueno&lt;/a&gt;&lt;/li&gt;</v>
      </c>
      <c r="U1619" s="15" t="str">
        <f>_xlfn.TEXTBEFORE(_xlfn.TEXTAFTER(CantoralDB[[#This Row],[index.html]],"&gt;"),"&gt;")&amp;"&gt;"</f>
        <v>&lt;a href="canciones/hakuna/trueno.html"&gt;</v>
      </c>
    </row>
    <row r="1620" spans="1:21" hidden="1" x14ac:dyDescent="0.3">
      <c r="A1620" s="1">
        <f>ROW(CantoralDB[[#This Row],[Título]])-1</f>
        <v>1619</v>
      </c>
      <c r="B1620" s="1" t="s">
        <v>3706</v>
      </c>
      <c r="C1620" s="1"/>
      <c r="F1620" s="1">
        <v>370</v>
      </c>
      <c r="I1620" s="1"/>
      <c r="L1620" s="15" t="s">
        <v>3340</v>
      </c>
      <c r="M1620" s="15"/>
      <c r="N1620" s="15"/>
      <c r="O1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tu_amor_por_mi.html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1620" s="15" t="str">
        <f>_xlfn.TEXTBEFORE(_xlfn.TEXTAFTER(CantoralDB[[#This Row],[index.html]],"&gt;"),"&gt;")&amp;"&gt;"</f>
        <v>&lt;a href="canciones/marcos_witt/tu_amor_por_mi.html"&gt;</v>
      </c>
    </row>
    <row r="1621" spans="1:21" hidden="1" x14ac:dyDescent="0.3">
      <c r="A1621" s="1">
        <f>ROW(CantoralDB[[#This Row],[Título]])-1</f>
        <v>1620</v>
      </c>
      <c r="B1621" s="1" t="s">
        <v>3375</v>
      </c>
      <c r="C1621" s="1"/>
      <c r="F1621" s="1">
        <v>40</v>
      </c>
      <c r="I1621" s="1"/>
      <c r="L1621" s="15" t="s">
        <v>799</v>
      </c>
      <c r="M1621" s="15"/>
      <c r="N1621" s="15"/>
      <c r="O1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tu_amor_sublime.html</v>
      </c>
      <c r="R1621" s="1"/>
      <c r="S1621" s="1"/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href="canciones/nuevas/tu_amor_sublime.html"&gt;Tu amor sublime&lt;/a&gt;&lt;/li&gt;</v>
      </c>
      <c r="U1621" s="15" t="str">
        <f>_xlfn.TEXTBEFORE(_xlfn.TEXTAFTER(CantoralDB[[#This Row],[index.html]],"&gt;"),"&gt;")&amp;"&gt;"</f>
        <v>&lt;a href="canciones/nuevas/tu_amor_sublime.html"&gt;</v>
      </c>
    </row>
    <row r="1622" spans="1:21" hidden="1" x14ac:dyDescent="0.3">
      <c r="A1622" s="1">
        <f>ROW(CantoralDB[[#This Row],[Título]])-1</f>
        <v>1621</v>
      </c>
      <c r="B1622" s="1" t="s">
        <v>1611</v>
      </c>
      <c r="C1622" s="1"/>
      <c r="I1622" s="1" t="s">
        <v>612</v>
      </c>
      <c r="L1622" s="15" t="s">
        <v>484</v>
      </c>
      <c r="M1622" s="15" t="s">
        <v>1529</v>
      </c>
      <c r="N1622" s="15">
        <v>12</v>
      </c>
      <c r="O1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tu_camino_y_tu_verdad.html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1622" s="15" t="str">
        <f>_xlfn.TEXTBEFORE(_xlfn.TEXTAFTER(CantoralDB[[#This Row],[index.html]],"&gt;"),"&gt;")&amp;"&gt;"</f>
        <v>&lt;a href="canciones/kairoi/tu_camino_y_tu_verdad.html"&gt;</v>
      </c>
    </row>
    <row r="1623" spans="1:21" hidden="1" x14ac:dyDescent="0.3">
      <c r="A1623" s="1">
        <f>ROW(CantoralDB[[#This Row],[Título]])-1</f>
        <v>1622</v>
      </c>
      <c r="B1623" s="1" t="s">
        <v>3274</v>
      </c>
      <c r="C1623" s="1"/>
      <c r="I1623" s="1"/>
      <c r="L1623" s="15" t="s">
        <v>3160</v>
      </c>
      <c r="M1623" s="15" t="s">
        <v>415</v>
      </c>
      <c r="N1623" s="15">
        <v>13</v>
      </c>
      <c r="O1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tu_conoces_mi_canto.html</v>
      </c>
      <c r="R1623" s="1"/>
      <c r="S1623" s="1"/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href="canciones/hermana_glenda/tu_conoces_mi_canto.html"&gt;Tú conoces mi canto&lt;/a&gt;&lt;/li&gt;</v>
      </c>
      <c r="U1623" s="15" t="str">
        <f>_xlfn.TEXTBEFORE(_xlfn.TEXTAFTER(CantoralDB[[#This Row],[index.html]],"&gt;"),"&gt;")&amp;"&gt;"</f>
        <v>&lt;a href="canciones/hermana_glenda/tu_conoces_mi_canto.html"&gt;</v>
      </c>
    </row>
    <row r="1624" spans="1:21" hidden="1" x14ac:dyDescent="0.3">
      <c r="A1624" s="1">
        <f>ROW(CantoralDB[[#This Row],[Título]])-1</f>
        <v>1623</v>
      </c>
      <c r="B1624" s="1" t="s">
        <v>2175</v>
      </c>
      <c r="C1624" s="1"/>
      <c r="I1624" s="1"/>
      <c r="L1624" s="15" t="s">
        <v>481</v>
      </c>
      <c r="M1624" s="15" t="s">
        <v>1975</v>
      </c>
      <c r="N1624" s="15">
        <v>9</v>
      </c>
      <c r="O1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tu_cruz_adoramos_señor.html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1624" s="15" t="str">
        <f>_xlfn.TEXTBEFORE(_xlfn.TEXTAFTER(CantoralDB[[#This Row],[index.html]],"&gt;"),"&gt;")&amp;"&gt;"</f>
        <v>&lt;a href="canciones/francisco_palazon/tu_cruz_adoramos_señor.html"&gt;</v>
      </c>
    </row>
    <row r="1625" spans="1:21" hidden="1" x14ac:dyDescent="0.3">
      <c r="A1625" s="1">
        <f>ROW(CantoralDB[[#This Row],[Título]])-1</f>
        <v>1624</v>
      </c>
      <c r="B1625" s="1" t="s">
        <v>146</v>
      </c>
      <c r="C1625" s="1" t="s">
        <v>997</v>
      </c>
      <c r="D1625" s="1" t="s">
        <v>1017</v>
      </c>
      <c r="E1625" s="1">
        <v>465</v>
      </c>
      <c r="G1625" s="1" t="s">
        <v>209</v>
      </c>
      <c r="H1625" s="1" t="s">
        <v>1070</v>
      </c>
      <c r="I1625" s="1" t="s">
        <v>612</v>
      </c>
      <c r="L1625" s="15" t="s">
        <v>633</v>
      </c>
      <c r="M1625" s="15"/>
      <c r="N1625" s="15"/>
      <c r="O1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tu_eres_capaz.html</v>
      </c>
      <c r="R1625" s="1"/>
      <c r="S1625" s="1"/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625" s="15" t="str">
        <f>_xlfn.TEXTBEFORE(_xlfn.TEXTAFTER(CantoralDB[[#This Row],[index.html]],"&gt;"),"&gt;")&amp;"&gt;"</f>
        <v>&lt;a href="canciones/nsb/tu_eres_capaz.html"&gt;</v>
      </c>
    </row>
    <row r="1626" spans="1:21" hidden="1" x14ac:dyDescent="0.3">
      <c r="A1626" s="1">
        <f>ROW(CantoralDB[[#This Row],[Título]])-1</f>
        <v>1625</v>
      </c>
      <c r="B1626" s="1" t="s">
        <v>1590</v>
      </c>
      <c r="C1626" s="1"/>
      <c r="I1626" s="1" t="s">
        <v>612</v>
      </c>
      <c r="L1626" s="15" t="s">
        <v>484</v>
      </c>
      <c r="M1626" s="15" t="s">
        <v>92</v>
      </c>
      <c r="N1626" s="15">
        <v>10</v>
      </c>
      <c r="O1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tu_eres_del_señor.html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1626" s="15" t="str">
        <f>_xlfn.TEXTBEFORE(_xlfn.TEXTAFTER(CantoralDB[[#This Row],[index.html]],"&gt;"),"&gt;")&amp;"&gt;"</f>
        <v>&lt;a href="canciones/kairoi/tu_eres_del_señor.html"&gt;</v>
      </c>
    </row>
    <row r="1627" spans="1:21" hidden="1" x14ac:dyDescent="0.3">
      <c r="A1627" s="1">
        <f>ROW(CantoralDB[[#This Row],[Título]])-1</f>
        <v>1626</v>
      </c>
      <c r="B1627" s="1" t="s">
        <v>3758</v>
      </c>
      <c r="C1627" s="1"/>
      <c r="F1627" s="1">
        <v>410</v>
      </c>
      <c r="I1627" s="1"/>
      <c r="L1627" s="15" t="s">
        <v>3759</v>
      </c>
      <c r="M1627" s="15"/>
      <c r="N1627" s="15"/>
      <c r="O1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tu_eres_dios.html</v>
      </c>
      <c r="R1627" s="1"/>
      <c r="S1627" s="1"/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1627" s="15" t="str">
        <f>_xlfn.TEXTBEFORE(_xlfn.TEXTAFTER(CantoralDB[[#This Row],[index.html]],"&gt;"),"&gt;")&amp;"&gt;"</f>
        <v>&lt;a href="canciones/nuevas/tu_eres_dios.html"&gt;</v>
      </c>
    </row>
    <row r="1628" spans="1:21" hidden="1" x14ac:dyDescent="0.3">
      <c r="A1628" s="1">
        <f>ROW(CantoralDB[[#This Row],[Título]])-1</f>
        <v>1627</v>
      </c>
      <c r="B1628" s="1" t="s">
        <v>3225</v>
      </c>
      <c r="C1628" s="1"/>
      <c r="I1628" s="1"/>
      <c r="L1628" s="15" t="s">
        <v>3160</v>
      </c>
      <c r="M1628" s="15" t="s">
        <v>3191</v>
      </c>
      <c r="N1628" s="15">
        <v>13</v>
      </c>
      <c r="O1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tu_eres_el_agua_viva.html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href="canciones/hermana_glenda/tu_eres_el_agua_viva.html"&gt;Tú eres el agua viva&lt;/a&gt;&lt;/li&gt;</v>
      </c>
      <c r="U1628" s="15" t="str">
        <f>_xlfn.TEXTBEFORE(_xlfn.TEXTAFTER(CantoralDB[[#This Row],[index.html]],"&gt;"),"&gt;")&amp;"&gt;"</f>
        <v>&lt;a href="canciones/hermana_glenda/tu_eres_el_agua_viva.html"&gt;</v>
      </c>
    </row>
    <row r="1629" spans="1:21" hidden="1" x14ac:dyDescent="0.3">
      <c r="A1629" s="1">
        <f>ROW(CantoralDB[[#This Row],[Título]])-1</f>
        <v>1628</v>
      </c>
      <c r="B1629" s="1" t="s">
        <v>147</v>
      </c>
      <c r="C1629" s="1" t="s">
        <v>997</v>
      </c>
      <c r="D1629" s="1" t="s">
        <v>1018</v>
      </c>
      <c r="E1629" s="1">
        <v>262</v>
      </c>
      <c r="G1629" s="1" t="s">
        <v>209</v>
      </c>
      <c r="H1629" s="1" t="s">
        <v>1034</v>
      </c>
      <c r="I1629" s="1" t="s">
        <v>612</v>
      </c>
      <c r="L1629" s="15" t="s">
        <v>491</v>
      </c>
      <c r="M1629" s="15"/>
      <c r="N1629" s="15"/>
      <c r="O1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tu_eres_el_dios_que_nos_salva.html</v>
      </c>
      <c r="R1629" s="1"/>
      <c r="S1629" s="1"/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1629" s="15" t="str">
        <f>_xlfn.TEXTBEFORE(_xlfn.TEXTAFTER(CantoralDB[[#This Row],[index.html]],"&gt;"),"&gt;")&amp;"&gt;"</f>
        <v>&lt;a href="canciones/juan_antonio_espinosa/tu_eres_el_dios_que_nos_salva.html"&gt;</v>
      </c>
    </row>
    <row r="1630" spans="1:21" x14ac:dyDescent="0.3">
      <c r="A1630" s="1">
        <f>ROW(CantoralDB[[#This Row],[Título]])-1</f>
        <v>1629</v>
      </c>
      <c r="B1630" s="1" t="s">
        <v>944</v>
      </c>
      <c r="C1630" s="1" t="s">
        <v>1025</v>
      </c>
      <c r="D1630" s="1" t="s">
        <v>1191</v>
      </c>
      <c r="H1630" s="1" t="s">
        <v>1049</v>
      </c>
      <c r="I1630" s="1" t="s">
        <v>612</v>
      </c>
      <c r="L1630" s="15" t="s">
        <v>1991</v>
      </c>
      <c r="M1630" s="15"/>
      <c r="N1630" s="15"/>
      <c r="O1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630" s="1"/>
      <c r="S1630" s="1" t="s">
        <v>454</v>
      </c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630" s="15" t="str">
        <f>_xlfn.TEXTBEFORE(_xlfn.TEXTAFTER(CantoralDB[[#This Row],[index.html]],"&gt;"),"&gt;")&amp;"&gt;"</f>
        <v>&lt;a href="canciones/taize/tu_sei_sorgente_viva.html"&gt;</v>
      </c>
    </row>
    <row r="1631" spans="1:21" hidden="1" x14ac:dyDescent="0.3">
      <c r="A1631" s="1">
        <f>ROW(CantoralDB[[#This Row],[Título]])-1</f>
        <v>1630</v>
      </c>
      <c r="B1631" s="1" t="s">
        <v>1591</v>
      </c>
      <c r="C1631" s="1"/>
      <c r="I1631" s="1" t="s">
        <v>612</v>
      </c>
      <c r="L1631" s="15" t="s">
        <v>484</v>
      </c>
      <c r="M1631" s="15" t="s">
        <v>92</v>
      </c>
      <c r="N1631" s="15">
        <v>12</v>
      </c>
      <c r="O1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tu_eres_maria.html</v>
      </c>
      <c r="R1631" s="1"/>
      <c r="S1631" s="1"/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1631" s="15" t="str">
        <f>_xlfn.TEXTBEFORE(_xlfn.TEXTAFTER(CantoralDB[[#This Row],[index.html]],"&gt;"),"&gt;")&amp;"&gt;"</f>
        <v>&lt;a href="canciones/kairoi/tu_eres_maria.html"&gt;</v>
      </c>
    </row>
    <row r="1632" spans="1:21" hidden="1" x14ac:dyDescent="0.3">
      <c r="A1632" s="1">
        <f>ROW(CantoralDB[[#This Row],[Título]])-1</f>
        <v>1631</v>
      </c>
      <c r="B1632" s="1" t="s">
        <v>1845</v>
      </c>
      <c r="C1632" s="1"/>
      <c r="I1632" s="1" t="s">
        <v>612</v>
      </c>
      <c r="L1632" s="15" t="s">
        <v>501</v>
      </c>
      <c r="M1632" s="15" t="s">
        <v>1552</v>
      </c>
      <c r="N1632" s="15">
        <v>2</v>
      </c>
      <c r="O1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tu_eres_mi_bien.html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1632" s="15" t="str">
        <f>_xlfn.TEXTBEFORE(_xlfn.TEXTAFTER(CantoralDB[[#This Row],[index.html]],"&gt;"),"&gt;")&amp;"&gt;"</f>
        <v>&lt;a href="canciones/ain_karem/tu_eres_mi_bien.html"&gt;</v>
      </c>
    </row>
    <row r="1633" spans="1:21" hidden="1" x14ac:dyDescent="0.3">
      <c r="A1633" s="1">
        <f>ROW(CantoralDB[[#This Row],[Título]])-1</f>
        <v>1632</v>
      </c>
      <c r="B1633" s="1" t="s">
        <v>3277</v>
      </c>
      <c r="C1633" s="1"/>
      <c r="I1633" s="1"/>
      <c r="L1633" s="15" t="s">
        <v>3160</v>
      </c>
      <c r="M1633" s="15" t="s">
        <v>891</v>
      </c>
      <c r="N1633" s="15">
        <v>4</v>
      </c>
      <c r="O1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tu_eres_mi_descanso.html</v>
      </c>
      <c r="R1633" s="1" t="s">
        <v>853</v>
      </c>
      <c r="S1633" s="1"/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href="canciones/hermana_glenda/tu_eres_mi_descanso.html"&gt;Tú eres mi descanso&lt;/a&gt;&lt;/li&gt;</v>
      </c>
      <c r="U1633" s="15" t="str">
        <f>_xlfn.TEXTBEFORE(_xlfn.TEXTAFTER(CantoralDB[[#This Row],[index.html]],"&gt;"),"&gt;")&amp;"&gt;"</f>
        <v>&lt;a href="canciones/hermana_glenda/tu_eres_mi_descanso.html"&gt;</v>
      </c>
    </row>
    <row r="1634" spans="1:21" hidden="1" x14ac:dyDescent="0.3">
      <c r="A1634" s="1">
        <f>ROW(CantoralDB[[#This Row],[Título]])-1</f>
        <v>1633</v>
      </c>
      <c r="B1634" s="1" t="s">
        <v>3232</v>
      </c>
      <c r="C1634" s="1"/>
      <c r="I1634" s="1"/>
      <c r="L1634" s="15" t="s">
        <v>3160</v>
      </c>
      <c r="M1634" s="15" t="s">
        <v>53</v>
      </c>
      <c r="N1634" s="15">
        <v>3</v>
      </c>
      <c r="O16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tu_eres_mi_lampara.html</v>
      </c>
      <c r="R1634" s="1" t="s">
        <v>3132</v>
      </c>
      <c r="S1634" s="1"/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href="canciones/hermana_glenda/tu_eres_mi_lampara.html"&gt;Tú eres mi lámpara&lt;/a&gt;&lt;/li&gt;</v>
      </c>
      <c r="U1634" s="15" t="str">
        <f>_xlfn.TEXTBEFORE(_xlfn.TEXTAFTER(CantoralDB[[#This Row],[index.html]],"&gt;"),"&gt;")&amp;"&gt;"</f>
        <v>&lt;a href="canciones/hermana_glenda/tu_eres_mi_lampara.html"&gt;</v>
      </c>
    </row>
    <row r="1635" spans="1:21" hidden="1" x14ac:dyDescent="0.3">
      <c r="A1635" s="1">
        <f>ROW(CantoralDB[[#This Row],[Título]])-1</f>
        <v>1634</v>
      </c>
      <c r="B1635" s="1" t="s">
        <v>3234</v>
      </c>
      <c r="C1635" s="1"/>
      <c r="I1635" s="1"/>
      <c r="L1635" s="15" t="s">
        <v>3160</v>
      </c>
      <c r="M1635" s="15" t="s">
        <v>53</v>
      </c>
      <c r="N1635" s="15">
        <v>5</v>
      </c>
      <c r="O1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tu_eres_mi_roca.html</v>
      </c>
      <c r="R1635" s="1" t="s">
        <v>3239</v>
      </c>
      <c r="S1635" s="1"/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href="canciones/hermana_glenda/tu_eres_mi_roca.html"&gt;Tú eres mi roca&lt;/a&gt;&lt;/li&gt;</v>
      </c>
      <c r="U1635" s="15" t="str">
        <f>_xlfn.TEXTBEFORE(_xlfn.TEXTAFTER(CantoralDB[[#This Row],[index.html]],"&gt;"),"&gt;")&amp;"&gt;"</f>
        <v>&lt;a href="canciones/hermana_glenda/tu_eres_mi_roca.html"&gt;</v>
      </c>
    </row>
    <row r="1636" spans="1:21" hidden="1" x14ac:dyDescent="0.3">
      <c r="A1636" s="1">
        <f>ROW(CantoralDB[[#This Row],[Título]])-1</f>
        <v>1635</v>
      </c>
      <c r="B1636" s="1" t="s">
        <v>1584</v>
      </c>
      <c r="C1636" s="1"/>
      <c r="I1636" s="1" t="s">
        <v>612</v>
      </c>
      <c r="L1636" s="15" t="s">
        <v>484</v>
      </c>
      <c r="M1636" s="15" t="s">
        <v>92</v>
      </c>
      <c r="N1636" s="15">
        <v>2</v>
      </c>
      <c r="O1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tu_estas_cerca.html</v>
      </c>
      <c r="R1636" s="1"/>
      <c r="S1636" s="1"/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1636" s="15" t="str">
        <f>_xlfn.TEXTBEFORE(_xlfn.TEXTAFTER(CantoralDB[[#This Row],[index.html]],"&gt;"),"&gt;")&amp;"&gt;"</f>
        <v>&lt;a href="canciones/kairoi/tu_estas_cerca.html"&gt;</v>
      </c>
    </row>
    <row r="1637" spans="1:21" hidden="1" x14ac:dyDescent="0.3">
      <c r="A1637" s="1">
        <f>ROW(CantoralDB[[#This Row],[Título]])-1</f>
        <v>1636</v>
      </c>
      <c r="B1637" s="1" t="s">
        <v>3713</v>
      </c>
      <c r="C1637" s="1"/>
      <c r="F1637" s="1">
        <v>375</v>
      </c>
      <c r="I1637" s="1"/>
      <c r="L1637" s="15" t="s">
        <v>3683</v>
      </c>
      <c r="M1637" s="15"/>
      <c r="N1637" s="15"/>
      <c r="O1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tu_fidelidad.html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637" s="15" t="str">
        <f>_xlfn.TEXTBEFORE(_xlfn.TEXTAFTER(CantoralDB[[#This Row],[index.html]],"&gt;"),"&gt;")&amp;"&gt;"</f>
        <v>&lt;a href="canciones/nuevas/tu_fidelidad.html"&gt;</v>
      </c>
    </row>
    <row r="1638" spans="1:21" hidden="1" x14ac:dyDescent="0.3">
      <c r="A1638" s="1">
        <f>ROW(CantoralDB[[#This Row],[Título]])-1</f>
        <v>1637</v>
      </c>
      <c r="B1638" s="1" t="s">
        <v>3179</v>
      </c>
      <c r="C1638" s="1"/>
      <c r="I1638" s="1"/>
      <c r="L1638" s="15" t="s">
        <v>3160</v>
      </c>
      <c r="M1638" s="15" t="s">
        <v>3175</v>
      </c>
      <c r="N1638" s="15">
        <v>5</v>
      </c>
      <c r="O1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tu_gracia.html</v>
      </c>
      <c r="R1638" s="1"/>
      <c r="S1638" s="1"/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href="canciones/hermana_glenda/tu_gracia.html"&gt;Tu gracia&lt;/a&gt;&lt;/li&gt;</v>
      </c>
      <c r="U1638" s="15" t="str">
        <f>_xlfn.TEXTBEFORE(_xlfn.TEXTAFTER(CantoralDB[[#This Row],[index.html]],"&gt;"),"&gt;")&amp;"&gt;"</f>
        <v>&lt;a href="canciones/hermana_glenda/tu_gracia.html"&gt;</v>
      </c>
    </row>
    <row r="1639" spans="1:21" hidden="1" x14ac:dyDescent="0.3">
      <c r="A1639" s="1">
        <f>ROW(CantoralDB[[#This Row],[Título]])-1</f>
        <v>1638</v>
      </c>
      <c r="B1639" s="1" t="s">
        <v>3557</v>
      </c>
      <c r="C1639" s="1"/>
      <c r="F1639" s="1">
        <v>216</v>
      </c>
      <c r="I1639" s="1"/>
      <c r="L1639" s="15" t="s">
        <v>3558</v>
      </c>
      <c r="M1639" s="15"/>
      <c r="N1639" s="15"/>
      <c r="O1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tu_has_sido_fiel.html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639" s="15" t="str">
        <f>_xlfn.TEXTBEFORE(_xlfn.TEXTAFTER(CantoralDB[[#This Row],[index.html]],"&gt;"),"&gt;")&amp;"&gt;"</f>
        <v>&lt;a href="canciones/nuevas/tu_has_sido_fiel.html"&gt;</v>
      </c>
    </row>
    <row r="1640" spans="1:21" hidden="1" x14ac:dyDescent="0.3">
      <c r="A1640" s="1">
        <f>ROW(CantoralDB[[#This Row],[Título]])-1</f>
        <v>1639</v>
      </c>
      <c r="B1640" s="1" t="s">
        <v>1684</v>
      </c>
      <c r="C1640" s="1"/>
      <c r="I1640" s="1" t="s">
        <v>612</v>
      </c>
      <c r="L1640" s="15" t="s">
        <v>484</v>
      </c>
      <c r="M1640" s="15" t="s">
        <v>1534</v>
      </c>
      <c r="N1640" s="15">
        <v>10</v>
      </c>
      <c r="O1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tu_llamada.html</v>
      </c>
      <c r="R1640" s="1"/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href="canciones/kairoi/tu_llamada.html"&gt;Tu llamada&lt;/a&gt;&lt;/li&gt;</v>
      </c>
      <c r="U1640" s="15" t="str">
        <f>_xlfn.TEXTBEFORE(_xlfn.TEXTAFTER(CantoralDB[[#This Row],[index.html]],"&gt;"),"&gt;")&amp;"&gt;"</f>
        <v>&lt;a href="canciones/kairoi/tu_llamada.html"&gt;</v>
      </c>
    </row>
    <row r="1641" spans="1:21" hidden="1" x14ac:dyDescent="0.3">
      <c r="A1641" s="1">
        <f>ROW(CantoralDB[[#This Row],[Título]])-1</f>
        <v>1640</v>
      </c>
      <c r="B1641" s="1" t="s">
        <v>1816</v>
      </c>
      <c r="C1641" s="1"/>
      <c r="I1641" s="1" t="s">
        <v>612</v>
      </c>
      <c r="L1641" s="15" t="s">
        <v>501</v>
      </c>
      <c r="M1641" s="15" t="s">
        <v>1549</v>
      </c>
      <c r="N1641" s="15">
        <v>8</v>
      </c>
      <c r="O1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tu_lo_sabes.html</v>
      </c>
      <c r="R1641" s="1"/>
      <c r="S1641" s="1"/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1641" s="15" t="str">
        <f>_xlfn.TEXTBEFORE(_xlfn.TEXTAFTER(CantoralDB[[#This Row],[index.html]],"&gt;"),"&gt;")&amp;"&gt;"</f>
        <v>&lt;a href="canciones/ain_karem/tu_lo_sabes.html"&gt;</v>
      </c>
    </row>
    <row r="1642" spans="1:21" hidden="1" x14ac:dyDescent="0.3">
      <c r="A1642" s="1">
        <f>ROW(CantoralDB[[#This Row],[Título]])-1</f>
        <v>1641</v>
      </c>
      <c r="B1642" s="1" t="s">
        <v>3257</v>
      </c>
      <c r="C1642" s="1"/>
      <c r="I1642" s="1"/>
      <c r="L1642" s="15" t="s">
        <v>3160</v>
      </c>
      <c r="M1642" s="15" t="s">
        <v>3248</v>
      </c>
      <c r="N1642" s="15">
        <v>11</v>
      </c>
      <c r="O1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href="canciones/hermana_glenda/tu_logica.html"&gt;Tu lógica&lt;/a&gt;&lt;/li&gt;</v>
      </c>
      <c r="U1642" s="15" t="str">
        <f>_xlfn.TEXTBEFORE(_xlfn.TEXTAFTER(CantoralDB[[#This Row],[index.html]],"&gt;"),"&gt;")&amp;"&gt;"</f>
        <v>&lt;a href="canciones/hermana_glenda/tu_logica.html"&gt;</v>
      </c>
    </row>
    <row r="1643" spans="1:21" hidden="1" x14ac:dyDescent="0.3">
      <c r="A1643" s="1">
        <f>ROW(CantoralDB[[#This Row],[Título]])-1</f>
        <v>1642</v>
      </c>
      <c r="B1643" s="1" t="s">
        <v>3297</v>
      </c>
      <c r="C1643" s="1"/>
      <c r="I1643" s="1"/>
      <c r="L1643" s="15" t="s">
        <v>3160</v>
      </c>
      <c r="M1643" s="15" t="s">
        <v>3291</v>
      </c>
      <c r="N1643" s="15">
        <v>11</v>
      </c>
      <c r="O1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1643" s="1"/>
      <c r="S1643" s="1"/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href="canciones/hermana_glenda/tu_logica.html"&gt;Tú lógica&lt;/a&gt;&lt;/li&gt;</v>
      </c>
      <c r="U1643" s="15" t="str">
        <f>_xlfn.TEXTBEFORE(_xlfn.TEXTAFTER(CantoralDB[[#This Row],[index.html]],"&gt;"),"&gt;")&amp;"&gt;"</f>
        <v>&lt;a href="canciones/hermana_glenda/tu_logica.html"&gt;</v>
      </c>
    </row>
    <row r="1644" spans="1:21" hidden="1" x14ac:dyDescent="0.3">
      <c r="A1644" s="1">
        <f>ROW(CantoralDB[[#This Row],[Título]])-1</f>
        <v>1643</v>
      </c>
      <c r="B1644" s="1" t="s">
        <v>3235</v>
      </c>
      <c r="C1644" s="1"/>
      <c r="I1644" s="1"/>
      <c r="L1644" s="15" t="s">
        <v>3160</v>
      </c>
      <c r="M1644" s="15" t="s">
        <v>53</v>
      </c>
      <c r="N1644" s="15">
        <v>6</v>
      </c>
      <c r="O1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tu_me_conoces.html</v>
      </c>
      <c r="R1644" s="1" t="s">
        <v>3240</v>
      </c>
      <c r="S1644" s="1"/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href="canciones/hermana_glenda/tu_me_conoces.html"&gt;Tú me conoces&lt;/a&gt;&lt;/li&gt;</v>
      </c>
      <c r="U1644" s="15" t="str">
        <f>_xlfn.TEXTBEFORE(_xlfn.TEXTAFTER(CantoralDB[[#This Row],[index.html]],"&gt;"),"&gt;")&amp;"&gt;"</f>
        <v>&lt;a href="canciones/hermana_glenda/tu_me_conoces.html"&gt;</v>
      </c>
    </row>
    <row r="1645" spans="1:21" hidden="1" x14ac:dyDescent="0.3">
      <c r="A1645" s="1">
        <f>ROW(CantoralDB[[#This Row],[Título]])-1</f>
        <v>1644</v>
      </c>
      <c r="B1645" s="1" t="s">
        <v>3229</v>
      </c>
      <c r="C1645" s="1"/>
      <c r="I1645" s="1"/>
      <c r="L1645" s="15" t="s">
        <v>3160</v>
      </c>
      <c r="M1645" s="15" t="s">
        <v>3191</v>
      </c>
      <c r="N1645" s="15">
        <v>17</v>
      </c>
      <c r="O1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tu_me_has_seducido.html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href="canciones/hermana_glenda/tu_me_has_seducido.html"&gt;Tú me has seducido&lt;/a&gt;&lt;/li&gt;</v>
      </c>
      <c r="U1645" s="15" t="str">
        <f>_xlfn.TEXTBEFORE(_xlfn.TEXTAFTER(CantoralDB[[#This Row],[index.html]],"&gt;"),"&gt;")&amp;"&gt;"</f>
        <v>&lt;a href="canciones/hermana_glenda/tu_me_has_seducido.html"&gt;</v>
      </c>
    </row>
    <row r="1646" spans="1:21" hidden="1" x14ac:dyDescent="0.3">
      <c r="A1646" s="1">
        <f>ROW(CantoralDB[[#This Row],[Título]])-1</f>
        <v>1645</v>
      </c>
      <c r="B1646" s="1" t="s">
        <v>3797</v>
      </c>
      <c r="C1646" s="1"/>
      <c r="F1646" s="1">
        <v>442</v>
      </c>
      <c r="I1646" s="1"/>
      <c r="L1646" s="15" t="s">
        <v>594</v>
      </c>
      <c r="M1646" s="15"/>
      <c r="N1646" s="15"/>
      <c r="O1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tu_me_has_vestido.html</v>
      </c>
      <c r="R1646" s="1"/>
      <c r="S1646" s="1"/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1646" s="15" t="str">
        <f>_xlfn.TEXTBEFORE(_xlfn.TEXTAFTER(CantoralDB[[#This Row],[index.html]],"&gt;"),"&gt;")&amp;"&gt;"</f>
        <v>&lt;a href="canciones/alejandro_ruiz/tu_me_has_vestido.html"&gt;</v>
      </c>
    </row>
    <row r="1647" spans="1:21" hidden="1" x14ac:dyDescent="0.3">
      <c r="A1647" s="1">
        <f>ROW(CantoralDB[[#This Row],[Título]])-1</f>
        <v>1646</v>
      </c>
      <c r="B1647" s="1" t="s">
        <v>1581</v>
      </c>
      <c r="C1647" s="1"/>
      <c r="F1647" s="1">
        <v>265</v>
      </c>
      <c r="I1647" s="1" t="s">
        <v>612</v>
      </c>
      <c r="L1647" s="15" t="s">
        <v>484</v>
      </c>
      <c r="M1647" s="15" t="s">
        <v>1525</v>
      </c>
      <c r="N1647" s="15">
        <v>10</v>
      </c>
      <c r="O1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href="canciones/kairoi/tu_me_sondeas.html"&gt;Tú me sondeas&lt;/a&gt;&lt;/li&gt;</v>
      </c>
      <c r="U1647" s="15" t="str">
        <f>_xlfn.TEXTBEFORE(_xlfn.TEXTAFTER(CantoralDB[[#This Row],[index.html]],"&gt;"),"&gt;")&amp;"&gt;"</f>
        <v>&lt;a href="canciones/kairoi/tu_me_sondeas.html"&gt;</v>
      </c>
    </row>
    <row r="1648" spans="1:21" hidden="1" x14ac:dyDescent="0.3">
      <c r="A1648" s="1">
        <f>ROW(CantoralDB[[#This Row],[Título]])-1</f>
        <v>1647</v>
      </c>
      <c r="B1648" s="1" t="s">
        <v>1581</v>
      </c>
      <c r="C1648" s="1"/>
      <c r="I1648" s="1" t="s">
        <v>612</v>
      </c>
      <c r="L1648" s="15" t="s">
        <v>1804</v>
      </c>
      <c r="M1648" s="15" t="s">
        <v>1951</v>
      </c>
      <c r="N1648" s="15">
        <v>6</v>
      </c>
      <c r="O1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href="canciones/ruah/tu_me_sondeas.html"&gt;Tú me sondeas&lt;/a&gt;&lt;/li&gt;</v>
      </c>
      <c r="U1648" s="15" t="str">
        <f>_xlfn.TEXTBEFORE(_xlfn.TEXTAFTER(CantoralDB[[#This Row],[index.html]],"&gt;"),"&gt;")&amp;"&gt;"</f>
        <v>&lt;a href="canciones/ruah/tu_me_sondeas.html"&gt;</v>
      </c>
    </row>
    <row r="1649" spans="1:21" hidden="1" x14ac:dyDescent="0.3">
      <c r="A1649" s="1">
        <f>ROW(CantoralDB[[#This Row],[Título]])-1</f>
        <v>1648</v>
      </c>
      <c r="B1649" s="1" t="s">
        <v>3220</v>
      </c>
      <c r="C1649" s="1"/>
      <c r="I1649" s="1"/>
      <c r="L1649" s="15" t="s">
        <v>3160</v>
      </c>
      <c r="M1649" s="15" t="s">
        <v>3191</v>
      </c>
      <c r="N1649" s="15">
        <v>8</v>
      </c>
      <c r="O1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tu_mi_alfarero.html</v>
      </c>
      <c r="R1649" s="1"/>
      <c r="S1649" s="1"/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href="canciones/hermana_glenda/tu_mi_alfarero.html"&gt;Tú mi alfarero&lt;/a&gt;&lt;/li&gt;</v>
      </c>
      <c r="U1649" s="15" t="str">
        <f>_xlfn.TEXTBEFORE(_xlfn.TEXTAFTER(CantoralDB[[#This Row],[index.html]],"&gt;"),"&gt;")&amp;"&gt;"</f>
        <v>&lt;a href="canciones/hermana_glenda/tu_mi_alfarero.html"&gt;</v>
      </c>
    </row>
    <row r="1650" spans="1:21" hidden="1" x14ac:dyDescent="0.3">
      <c r="A1650" s="1">
        <f>ROW(CantoralDB[[#This Row],[Título]])-1</f>
        <v>1649</v>
      </c>
      <c r="B1650" s="1" t="s">
        <v>1739</v>
      </c>
      <c r="C1650" s="1"/>
      <c r="I1650" s="1"/>
      <c r="L1650" s="15" t="s">
        <v>484</v>
      </c>
      <c r="M1650" s="15" t="s">
        <v>1541</v>
      </c>
      <c r="N1650" s="15">
        <v>8</v>
      </c>
      <c r="O1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tu_mirada.html</v>
      </c>
      <c r="R1650" s="1"/>
      <c r="S1650" s="1"/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href="canciones/kairoi/tu_mirada.html"&gt;Tu mirada&lt;/a&gt;&lt;/li&gt;</v>
      </c>
      <c r="U1650" s="15" t="str">
        <f>_xlfn.TEXTBEFORE(_xlfn.TEXTAFTER(CantoralDB[[#This Row],[index.html]],"&gt;"),"&gt;")&amp;"&gt;"</f>
        <v>&lt;a href="canciones/kairoi/tu_mirada.html"&gt;</v>
      </c>
    </row>
    <row r="1651" spans="1:21" hidden="1" x14ac:dyDescent="0.3">
      <c r="A1651" s="1">
        <f>ROW(CantoralDB[[#This Row],[Título]])-1</f>
        <v>1650</v>
      </c>
      <c r="B1651" s="1" t="s">
        <v>2017</v>
      </c>
      <c r="C1651" s="1"/>
      <c r="I1651" s="1" t="s">
        <v>612</v>
      </c>
      <c r="L1651" s="15" t="s">
        <v>261</v>
      </c>
      <c r="M1651" s="15"/>
      <c r="N1651" s="15"/>
      <c r="O1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tu_misericordia.html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1651" s="15" t="str">
        <f>_xlfn.TEXTBEFORE(_xlfn.TEXTAFTER(CantoralDB[[#This Row],[index.html]],"&gt;"),"&gt;")&amp;"&gt;"</f>
        <v>&lt;a href="canciones/hakuna/tu_misericordia.html"&gt;</v>
      </c>
    </row>
    <row r="1652" spans="1:21" hidden="1" x14ac:dyDescent="0.3">
      <c r="A1652" s="1">
        <f>ROW(CantoralDB[[#This Row],[Título]])-1</f>
        <v>1651</v>
      </c>
      <c r="B1652" s="1" t="s">
        <v>601</v>
      </c>
      <c r="C1652" s="1" t="s">
        <v>997</v>
      </c>
      <c r="D1652" s="1" t="s">
        <v>1019</v>
      </c>
      <c r="E1652" s="1">
        <v>251</v>
      </c>
      <c r="G1652" s="1" t="s">
        <v>209</v>
      </c>
      <c r="H1652" s="1" t="s">
        <v>1034</v>
      </c>
      <c r="I1652" s="1" t="s">
        <v>612</v>
      </c>
      <c r="L1652" s="15" t="s">
        <v>483</v>
      </c>
      <c r="M1652" s="15"/>
      <c r="N1652" s="15"/>
      <c r="O1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tu_nos_dijiste_que_la_muerte.html</v>
      </c>
      <c r="R1652" s="1"/>
      <c r="S1652" s="1"/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1652" s="15" t="str">
        <f>_xlfn.TEXTBEFORE(_xlfn.TEXTAFTER(CantoralDB[[#This Row],[index.html]],"&gt;"),"&gt;")&amp;"&gt;"</f>
        <v>&lt;a href="canciones/cesareo_gabarain/tu_nos_dijiste_que_la_muerte.html"&gt;</v>
      </c>
    </row>
    <row r="1653" spans="1:21" x14ac:dyDescent="0.3">
      <c r="A1653" s="1">
        <f>ROW(CantoralDB[[#This Row],[Título]])-1</f>
        <v>1652</v>
      </c>
      <c r="B1653" s="1" t="s">
        <v>938</v>
      </c>
      <c r="C1653" s="1" t="s">
        <v>1025</v>
      </c>
      <c r="D1653" s="1" t="s">
        <v>1188</v>
      </c>
      <c r="H1653" s="1" t="s">
        <v>1069</v>
      </c>
      <c r="I1653" s="1" t="s">
        <v>612</v>
      </c>
      <c r="L1653" s="15" t="s">
        <v>1991</v>
      </c>
      <c r="M1653" s="15"/>
      <c r="N1653" s="15"/>
      <c r="O1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653" s="1" t="s">
        <v>985</v>
      </c>
      <c r="S1653" s="1" t="s">
        <v>433</v>
      </c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653" s="15" t="str">
        <f>_xlfn.TEXTBEFORE(_xlfn.TEXTAFTER(CantoralDB[[#This Row],[index.html]],"&gt;"),"&gt;")&amp;"&gt;"</f>
        <v>&lt;a href="canciones/taize/sanasi_on_lamppu.html"&gt;</v>
      </c>
    </row>
    <row r="1654" spans="1:21" hidden="1" x14ac:dyDescent="0.3">
      <c r="A1654" s="1">
        <f>ROW(CantoralDB[[#This Row],[Título]])-1</f>
        <v>1653</v>
      </c>
      <c r="B1654" s="1" t="s">
        <v>148</v>
      </c>
      <c r="C1654" s="1" t="s">
        <v>201</v>
      </c>
      <c r="D1654" s="1" t="s">
        <v>679</v>
      </c>
      <c r="E1654" s="1">
        <v>254</v>
      </c>
      <c r="G1654" s="1" t="s">
        <v>209</v>
      </c>
      <c r="H1654" s="1" t="s">
        <v>1041</v>
      </c>
      <c r="I1654" s="1" t="s">
        <v>612</v>
      </c>
      <c r="L1654" s="15" t="s">
        <v>491</v>
      </c>
      <c r="M1654" s="15"/>
      <c r="N1654" s="15"/>
      <c r="O1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tu_palabra_me_da_vida.html</v>
      </c>
      <c r="R1654" s="1"/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1654" s="15" t="str">
        <f>_xlfn.TEXTBEFORE(_xlfn.TEXTAFTER(CantoralDB[[#This Row],[index.html]],"&gt;"),"&gt;")&amp;"&gt;"</f>
        <v>&lt;a href="canciones/juan_antonio_espinosa/tu_palabra_me_da_vida.html"&gt;</v>
      </c>
    </row>
    <row r="1655" spans="1:21" hidden="1" x14ac:dyDescent="0.3">
      <c r="A1655" s="1">
        <f>ROW(CantoralDB[[#This Row],[Título]])-1</f>
        <v>1654</v>
      </c>
      <c r="B1655" s="1" t="s">
        <v>1896</v>
      </c>
      <c r="C1655" s="1"/>
      <c r="I1655" s="1"/>
      <c r="L1655" s="15" t="s">
        <v>482</v>
      </c>
      <c r="M1655" s="15" t="s">
        <v>1899</v>
      </c>
      <c r="N1655" s="15">
        <v>4</v>
      </c>
      <c r="O1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tu_palabra_se_hace_vida.html</v>
      </c>
      <c r="R1655" s="1"/>
      <c r="S1655" s="1"/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655" s="15" t="str">
        <f>_xlfn.TEXTBEFORE(_xlfn.TEXTAFTER(CantoralDB[[#This Row],[index.html]],"&gt;"),"&gt;")&amp;"&gt;"</f>
        <v>&lt;a href="canciones/toño_casado/tu_palabra_se_hace_vida.html"&gt;</v>
      </c>
    </row>
    <row r="1656" spans="1:21" hidden="1" x14ac:dyDescent="0.3">
      <c r="A1656" s="1">
        <f>ROW(CantoralDB[[#This Row],[Título]])-1</f>
        <v>1655</v>
      </c>
      <c r="B1656" s="1" t="s">
        <v>453</v>
      </c>
      <c r="C1656" s="1" t="s">
        <v>1026</v>
      </c>
      <c r="D1656" s="1" t="s">
        <v>1192</v>
      </c>
      <c r="H1656" s="1" t="s">
        <v>1035</v>
      </c>
      <c r="I1656" s="1" t="s">
        <v>612</v>
      </c>
      <c r="L1656" s="15" t="s">
        <v>2201</v>
      </c>
      <c r="M1656" s="15"/>
      <c r="N1656" s="15"/>
      <c r="O1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tu_palabra_señor.html</v>
      </c>
      <c r="R1656" s="1" t="s">
        <v>989</v>
      </c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656" s="15" t="str">
        <f>_xlfn.TEXTBEFORE(_xlfn.TEXTAFTER(CantoralDB[[#This Row],[index.html]],"&gt;"),"&gt;")&amp;"&gt;"</f>
        <v>&lt;a href="canciones/taize/tu_palabra_señor.html"&gt;</v>
      </c>
    </row>
    <row r="1657" spans="1:21" hidden="1" x14ac:dyDescent="0.3">
      <c r="A1657" s="1">
        <f>ROW(CantoralDB[[#This Row],[Título]])-1</f>
        <v>1656</v>
      </c>
      <c r="B1657" s="1" t="s">
        <v>2129</v>
      </c>
      <c r="C1657" s="1"/>
      <c r="I1657" s="1"/>
      <c r="L1657" s="15" t="s">
        <v>481</v>
      </c>
      <c r="M1657" s="15" t="s">
        <v>1978</v>
      </c>
      <c r="N1657" s="15">
        <v>4</v>
      </c>
      <c r="O1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tu_palabra_señor_es_gozo.html</v>
      </c>
      <c r="R1657" s="1"/>
      <c r="S1657" s="1"/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1657" s="15" t="str">
        <f>_xlfn.TEXTBEFORE(_xlfn.TEXTAFTER(CantoralDB[[#This Row],[index.html]],"&gt;"),"&gt;")&amp;"&gt;"</f>
        <v>&lt;a href="canciones/francisco_palazon/tu_palabra_señor_es_gozo.html"&gt;</v>
      </c>
    </row>
    <row r="1658" spans="1:21" hidden="1" x14ac:dyDescent="0.3">
      <c r="A1658" s="1">
        <f>ROW(CantoralDB[[#This Row],[Título]])-1</f>
        <v>1657</v>
      </c>
      <c r="B1658" s="1" t="s">
        <v>1281</v>
      </c>
      <c r="C1658" s="1"/>
      <c r="E1658" s="1">
        <v>312</v>
      </c>
      <c r="I1658" s="1"/>
      <c r="L1658" s="15" t="s">
        <v>799</v>
      </c>
      <c r="M1658" s="15"/>
      <c r="N1658" s="15"/>
      <c r="O1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tu_que_siempre_nos_perdonas.html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data-nold="312"&gt;&lt;a href="canciones/nsb/tu_que_siempre_nos_perdonas.html"&gt;Tú que siempre nos perdonas&lt;/a&gt;&lt;/li&gt;</v>
      </c>
      <c r="U1658" s="15" t="str">
        <f>_xlfn.TEXTBEFORE(_xlfn.TEXTAFTER(CantoralDB[[#This Row],[index.html]],"&gt;"),"&gt;")&amp;"&gt;"</f>
        <v>&lt;a href="canciones/nsb/tu_que_siempre_nos_perdonas.html"&gt;</v>
      </c>
    </row>
    <row r="1659" spans="1:21" hidden="1" x14ac:dyDescent="0.3">
      <c r="A1659" s="1">
        <f>ROW(CantoralDB[[#This Row],[Título]])-1</f>
        <v>1658</v>
      </c>
      <c r="B1659" s="1" t="s">
        <v>149</v>
      </c>
      <c r="C1659" s="1" t="s">
        <v>201</v>
      </c>
      <c r="D1659" s="1" t="s">
        <v>680</v>
      </c>
      <c r="E1659" s="1">
        <v>264</v>
      </c>
      <c r="G1659" s="1" t="s">
        <v>209</v>
      </c>
      <c r="H1659" s="1" t="s">
        <v>1050</v>
      </c>
      <c r="I1659" s="1" t="s">
        <v>612</v>
      </c>
      <c r="L1659" s="15" t="s">
        <v>487</v>
      </c>
      <c r="M1659" s="15"/>
      <c r="N1659" s="15"/>
      <c r="O1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tu_reino_es_vida.html</v>
      </c>
      <c r="R1659" s="1"/>
      <c r="S1659" s="1"/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1659" s="15" t="str">
        <f>_xlfn.TEXTBEFORE(_xlfn.TEXTAFTER(CantoralDB[[#This Row],[index.html]],"&gt;"),"&gt;")&amp;"&gt;"</f>
        <v>&lt;a href="canciones/miguel_manzano/tu_reino_es_vida.html"&gt;</v>
      </c>
    </row>
    <row r="1660" spans="1:21" hidden="1" x14ac:dyDescent="0.3">
      <c r="A1660" s="1">
        <f>ROW(CantoralDB[[#This Row],[Título]])-1</f>
        <v>1659</v>
      </c>
      <c r="B1660" s="1" t="s">
        <v>3334</v>
      </c>
      <c r="C1660" s="1"/>
      <c r="F1660" s="1">
        <v>2</v>
      </c>
      <c r="I1660" s="1"/>
      <c r="L1660" s="15" t="s">
        <v>594</v>
      </c>
      <c r="M1660" s="15"/>
      <c r="N1660" s="15"/>
      <c r="O1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tu_rompes_cadenas.html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1660" s="15" t="str">
        <f>_xlfn.TEXTBEFORE(_xlfn.TEXTAFTER(CantoralDB[[#This Row],[index.html]],"&gt;"),"&gt;")&amp;"&gt;"</f>
        <v>&lt;a href="canciones/alejandro_ruiz/tu_rompes_cadenas.html"&gt;</v>
      </c>
    </row>
    <row r="1661" spans="1:21" hidden="1" x14ac:dyDescent="0.3">
      <c r="A1661" s="1">
        <f>ROW(CantoralDB[[#This Row],[Título]])-1</f>
        <v>1660</v>
      </c>
      <c r="B1661" s="1" t="s">
        <v>2023</v>
      </c>
      <c r="C1661" s="1"/>
      <c r="I1661" s="1" t="s">
        <v>612</v>
      </c>
      <c r="L1661" s="15" t="s">
        <v>261</v>
      </c>
      <c r="M1661" s="15"/>
      <c r="N1661" s="15"/>
      <c r="O1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tu_rostro.html</v>
      </c>
      <c r="R1661" s="1"/>
      <c r="S1661" s="1"/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href="canciones/hakuna/tu_rostro.html"&gt;Tu rostro&lt;/a&gt;&lt;/li&gt;</v>
      </c>
      <c r="U1661" s="15" t="str">
        <f>_xlfn.TEXTBEFORE(_xlfn.TEXTAFTER(CantoralDB[[#This Row],[index.html]],"&gt;"),"&gt;")&amp;"&gt;"</f>
        <v>&lt;a href="canciones/hakuna/tu_rostro.html"&gt;</v>
      </c>
    </row>
    <row r="1662" spans="1:21" hidden="1" x14ac:dyDescent="0.3">
      <c r="A1662" s="1">
        <f>ROW(CantoralDB[[#This Row],[Título]])-1</f>
        <v>1661</v>
      </c>
      <c r="B1662" s="1" t="s">
        <v>3228</v>
      </c>
      <c r="C1662" s="1"/>
      <c r="I1662" s="1"/>
      <c r="L1662" s="15" t="s">
        <v>3160</v>
      </c>
      <c r="M1662" s="15" t="s">
        <v>3191</v>
      </c>
      <c r="N1662" s="15">
        <v>16</v>
      </c>
      <c r="O1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tu_sabes_que_te_amo.html</v>
      </c>
      <c r="R1662" s="1"/>
      <c r="S1662" s="1"/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href="canciones/hermana_glenda/tu_sabes_que_te_amo.html"&gt;Tú sabes que te amo&lt;/a&gt;&lt;/li&gt;</v>
      </c>
      <c r="U1662" s="15" t="str">
        <f>_xlfn.TEXTBEFORE(_xlfn.TEXTAFTER(CantoralDB[[#This Row],[index.html]],"&gt;"),"&gt;")&amp;"&gt;"</f>
        <v>&lt;a href="canciones/hermana_glenda/tu_sabes_que_te_amo.html"&gt;</v>
      </c>
    </row>
    <row r="1663" spans="1:21" x14ac:dyDescent="0.3">
      <c r="A1663" s="1">
        <f>ROW(CantoralDB[[#This Row],[Título]])-1</f>
        <v>1662</v>
      </c>
      <c r="B1663" s="1" t="s">
        <v>900</v>
      </c>
      <c r="C1663" s="1" t="s">
        <v>1025</v>
      </c>
      <c r="D1663" s="1" t="s">
        <v>1146</v>
      </c>
      <c r="H1663" s="1" t="s">
        <v>1050</v>
      </c>
      <c r="I1663" s="1" t="s">
        <v>612</v>
      </c>
      <c r="L1663" s="15" t="s">
        <v>1991</v>
      </c>
      <c r="M1663" s="15"/>
      <c r="N1663" s="15"/>
      <c r="O1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1663" s="1"/>
      <c r="S1663" s="1" t="s">
        <v>333</v>
      </c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663" s="15" t="str">
        <f>_xlfn.TEXTBEFORE(_xlfn.TEXTAFTER(CantoralDB[[#This Row],[index.html]],"&gt;"),"&gt;")&amp;"&gt;"</f>
        <v>&lt;a href="canciones/taize/crucem_tuam.html"&gt;</v>
      </c>
    </row>
    <row r="1664" spans="1:21" hidden="1" x14ac:dyDescent="0.3">
      <c r="A1664" s="1">
        <f>ROW(CantoralDB[[#This Row],[Título]])-1</f>
        <v>1663</v>
      </c>
      <c r="B1664" s="1" t="s">
        <v>454</v>
      </c>
      <c r="C1664" s="1" t="s">
        <v>1026</v>
      </c>
      <c r="D1664" s="1" t="s">
        <v>1191</v>
      </c>
      <c r="H1664" s="1" t="s">
        <v>1049</v>
      </c>
      <c r="I1664" s="1" t="s">
        <v>612</v>
      </c>
      <c r="L1664" s="15" t="s">
        <v>2201</v>
      </c>
      <c r="M1664" s="15"/>
      <c r="N1664" s="15"/>
      <c r="O1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664" s="15" t="str">
        <f>_xlfn.TEXTBEFORE(_xlfn.TEXTAFTER(CantoralDB[[#This Row],[index.html]],"&gt;"),"&gt;")&amp;"&gt;"</f>
        <v>&lt;a href="canciones/taize/tu_sei_sorgente_viva.html"&gt;</v>
      </c>
    </row>
    <row r="1665" spans="1:21" hidden="1" x14ac:dyDescent="0.3">
      <c r="A1665" s="1">
        <f>ROW(CantoralDB[[#This Row],[Título]])-1</f>
        <v>1664</v>
      </c>
      <c r="B1665" s="1" t="s">
        <v>1724</v>
      </c>
      <c r="C1665" s="1"/>
      <c r="I1665" s="1"/>
      <c r="L1665" s="15" t="s">
        <v>484</v>
      </c>
      <c r="M1665" s="15" t="s">
        <v>1539</v>
      </c>
      <c r="N1665" s="15">
        <v>14</v>
      </c>
      <c r="O1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tu_seras_hoy_champagnat.html</v>
      </c>
      <c r="R1665" s="1"/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1665" s="15" t="str">
        <f>_xlfn.TEXTBEFORE(_xlfn.TEXTAFTER(CantoralDB[[#This Row],[index.html]],"&gt;"),"&gt;")&amp;"&gt;"</f>
        <v>&lt;a href="canciones/kairoi/tu_seras_hoy_champagnat.html"&gt;</v>
      </c>
    </row>
    <row r="1666" spans="1:21" hidden="1" x14ac:dyDescent="0.3">
      <c r="A1666" s="1">
        <f>ROW(CantoralDB[[#This Row],[Título]])-1</f>
        <v>1665</v>
      </c>
      <c r="B1666" s="1" t="s">
        <v>1671</v>
      </c>
      <c r="C1666" s="1"/>
      <c r="I1666" s="1" t="s">
        <v>612</v>
      </c>
      <c r="L1666" s="15" t="s">
        <v>484</v>
      </c>
      <c r="M1666" s="15" t="s">
        <v>1533</v>
      </c>
      <c r="N1666" s="15">
        <v>2</v>
      </c>
      <c r="O1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tu_seras_mi_hermano.html</v>
      </c>
      <c r="R1666" s="1"/>
      <c r="S1666" s="1"/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1666" s="15" t="str">
        <f>_xlfn.TEXTBEFORE(_xlfn.TEXTAFTER(CantoralDB[[#This Row],[index.html]],"&gt;"),"&gt;")&amp;"&gt;"</f>
        <v>&lt;a href="canciones/kairoi/tu_seras_mi_hermano.html"&gt;</v>
      </c>
    </row>
    <row r="1667" spans="1:21" hidden="1" x14ac:dyDescent="0.3">
      <c r="A1667" s="1">
        <f>ROW(CantoralDB[[#This Row],[Título]])-1</f>
        <v>1666</v>
      </c>
      <c r="B1667" s="1" t="s">
        <v>1678</v>
      </c>
      <c r="C1667" s="1"/>
      <c r="I1667" s="1"/>
      <c r="L1667" s="15" t="s">
        <v>484</v>
      </c>
      <c r="M1667" s="15" t="s">
        <v>1533</v>
      </c>
      <c r="N1667" s="15">
        <v>9</v>
      </c>
      <c r="O1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tu_sonrisa_no_la_vi.html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1667" s="15" t="str">
        <f>_xlfn.TEXTBEFORE(_xlfn.TEXTAFTER(CantoralDB[[#This Row],[index.html]],"&gt;"),"&gt;")&amp;"&gt;"</f>
        <v>&lt;a href="canciones/kairoi/tu_sonrisa_no_la_vi.html"&gt;</v>
      </c>
    </row>
    <row r="1668" spans="1:21" hidden="1" x14ac:dyDescent="0.3">
      <c r="A1668" s="1">
        <f>ROW(CantoralDB[[#This Row],[Título]])-1</f>
        <v>1667</v>
      </c>
      <c r="B1668" s="1" t="s">
        <v>3222</v>
      </c>
      <c r="C1668" s="1"/>
      <c r="I1668" s="1"/>
      <c r="L1668" s="15" t="s">
        <v>3160</v>
      </c>
      <c r="M1668" s="15" t="s">
        <v>3191</v>
      </c>
      <c r="N1668" s="15">
        <v>10</v>
      </c>
      <c r="O1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tu_tienes_palabras_de_vida.html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href="canciones/hermana_glenda/tu_tienes_palabras_de_vida.html"&gt;Tú tienes palabras de vida&lt;/a&gt;&lt;/li&gt;</v>
      </c>
      <c r="U1668" s="15" t="str">
        <f>_xlfn.TEXTBEFORE(_xlfn.TEXTAFTER(CantoralDB[[#This Row],[index.html]],"&gt;"),"&gt;")&amp;"&gt;"</f>
        <v>&lt;a href="canciones/hermana_glenda/tu_tienes_palabras_de_vida.html"&gt;</v>
      </c>
    </row>
    <row r="1669" spans="1:21" hidden="1" x14ac:dyDescent="0.3">
      <c r="A1669" s="1">
        <f>ROW(CantoralDB[[#This Row],[Título]])-1</f>
        <v>1668</v>
      </c>
      <c r="B1669" s="1" t="s">
        <v>1919</v>
      </c>
      <c r="C1669" s="1"/>
      <c r="I1669" s="1" t="s">
        <v>612</v>
      </c>
      <c r="L1669" s="15" t="s">
        <v>1804</v>
      </c>
      <c r="M1669" s="15" t="s">
        <v>1951</v>
      </c>
      <c r="N1669" s="15">
        <v>5</v>
      </c>
      <c r="O1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tu_y_no_yo.html</v>
      </c>
      <c r="R1669" s="1"/>
      <c r="S1669" s="1"/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href="canciones/ruah/tu_y_no_yo.html"&gt;Tú y no yo&lt;/a&gt;&lt;/li&gt;</v>
      </c>
      <c r="U1669" s="15" t="str">
        <f>_xlfn.TEXTBEFORE(_xlfn.TEXTAFTER(CantoralDB[[#This Row],[index.html]],"&gt;"),"&gt;")&amp;"&gt;"</f>
        <v>&lt;a href="canciones/ruah/tu_y_no_yo.html"&gt;</v>
      </c>
    </row>
    <row r="1670" spans="1:21" hidden="1" x14ac:dyDescent="0.3">
      <c r="A1670" s="1">
        <f>ROW(CantoralDB[[#This Row],[Título]])-1</f>
        <v>1669</v>
      </c>
      <c r="B1670" s="1" t="s">
        <v>1635</v>
      </c>
      <c r="C1670" s="1"/>
      <c r="I1670" s="1"/>
      <c r="L1670" s="15" t="s">
        <v>484</v>
      </c>
      <c r="M1670" s="15" t="s">
        <v>1526</v>
      </c>
      <c r="N1670" s="15">
        <v>11</v>
      </c>
      <c r="O1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tu_y_yo_este_aquel.html</v>
      </c>
      <c r="R1670" s="1"/>
      <c r="S1670" s="1"/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1670" s="15" t="str">
        <f>_xlfn.TEXTBEFORE(_xlfn.TEXTAFTER(CantoralDB[[#This Row],[index.html]],"&gt;"),"&gt;")&amp;"&gt;"</f>
        <v>&lt;a href="canciones/kairoi/tu_y_yo_este_aquel.html"&gt;</v>
      </c>
    </row>
    <row r="1671" spans="1:21" hidden="1" x14ac:dyDescent="0.3">
      <c r="A1671" s="1">
        <f>ROW(CantoralDB[[#This Row],[Título]])-1</f>
        <v>1670</v>
      </c>
      <c r="B1671" s="1" t="s">
        <v>3437</v>
      </c>
      <c r="C1671" s="1"/>
      <c r="F1671" s="1">
        <v>98</v>
      </c>
      <c r="I1671" s="1"/>
      <c r="L1671" s="15" t="s">
        <v>3436</v>
      </c>
      <c r="M1671" s="15"/>
      <c r="N1671" s="15"/>
      <c r="O1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tu_el_dios_de_mi_refugio.html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671" s="15" t="str">
        <f>_xlfn.TEXTBEFORE(_xlfn.TEXTAFTER(CantoralDB[[#This Row],[index.html]],"&gt;"),"&gt;")&amp;"&gt;"</f>
        <v>&lt;a href="canciones/nuevas/tu_el_dios_de_mi_refugio.html"&gt;</v>
      </c>
    </row>
    <row r="1672" spans="1:21" hidden="1" x14ac:dyDescent="0.3">
      <c r="A1672" s="1">
        <f>ROW(CantoralDB[[#This Row],[Título]])-1</f>
        <v>1671</v>
      </c>
      <c r="B1672" s="1" t="s">
        <v>1616</v>
      </c>
      <c r="C1672" s="1"/>
      <c r="I1672" s="1" t="s">
        <v>612</v>
      </c>
      <c r="L1672" s="15" t="s">
        <v>484</v>
      </c>
      <c r="M1672" s="15" t="s">
        <v>1532</v>
      </c>
      <c r="N1672" s="15">
        <v>11</v>
      </c>
      <c r="O1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tu_jesus.html</v>
      </c>
      <c r="R1672" s="1"/>
      <c r="S1672" s="1"/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href="canciones/kairoi/tu_jesus.html"&gt;Tú, Jesús&lt;/a&gt;&lt;/li&gt;</v>
      </c>
      <c r="U1672" s="15" t="str">
        <f>_xlfn.TEXTBEFORE(_xlfn.TEXTAFTER(CantoralDB[[#This Row],[index.html]],"&gt;"),"&gt;")&amp;"&gt;"</f>
        <v>&lt;a href="canciones/kairoi/tu_jesus.html"&gt;</v>
      </c>
    </row>
    <row r="1673" spans="1:21" x14ac:dyDescent="0.3">
      <c r="A1673" s="1">
        <f>ROW(CantoralDB[[#This Row],[Título]])-1</f>
        <v>1672</v>
      </c>
      <c r="B1673" s="1" t="s">
        <v>898</v>
      </c>
      <c r="C1673" s="1" t="s">
        <v>1025</v>
      </c>
      <c r="D1673" s="1" t="s">
        <v>1139</v>
      </c>
      <c r="H1673" s="1" t="s">
        <v>1081</v>
      </c>
      <c r="I1673" s="1" t="s">
        <v>612</v>
      </c>
      <c r="L1673" s="15" t="s">
        <v>1991</v>
      </c>
      <c r="M1673" s="15"/>
      <c r="N1673" s="15"/>
      <c r="O1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1673" s="1" t="s">
        <v>874</v>
      </c>
      <c r="S1673" s="1" t="s">
        <v>329</v>
      </c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673" s="15" t="str">
        <f>_xlfn.TEXTBEFORE(_xlfn.TEXTAFTER(CantoralDB[[#This Row],[index.html]],"&gt;"),"&gt;")&amp;"&gt;"</f>
        <v>&lt;a href="canciones/taize/christe_lux_mundi.html"&gt;</v>
      </c>
    </row>
    <row r="1674" spans="1:21" hidden="1" x14ac:dyDescent="0.3">
      <c r="A1674" s="1">
        <f>ROW(CantoralDB[[#This Row],[Título]])-1</f>
        <v>1673</v>
      </c>
      <c r="B1674" s="1" t="s">
        <v>1597</v>
      </c>
      <c r="C1674" s="1"/>
      <c r="I1674" s="1" t="s">
        <v>612</v>
      </c>
      <c r="L1674" s="15" t="s">
        <v>484</v>
      </c>
      <c r="M1674" s="15" t="s">
        <v>1528</v>
      </c>
      <c r="N1674" s="15">
        <v>7</v>
      </c>
      <c r="O1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tu_señor.html</v>
      </c>
      <c r="R1674" s="1"/>
      <c r="S1674" s="1"/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href="canciones/kairoi/tu_señor.html"&gt;Tú, Señor&lt;/a&gt;&lt;/li&gt;</v>
      </c>
      <c r="U1674" s="15" t="str">
        <f>_xlfn.TEXTBEFORE(_xlfn.TEXTAFTER(CantoralDB[[#This Row],[index.html]],"&gt;"),"&gt;")&amp;"&gt;"</f>
        <v>&lt;a href="canciones/kairoi/tu_señor.html"&gt;</v>
      </c>
    </row>
    <row r="1675" spans="1:21" hidden="1" x14ac:dyDescent="0.3">
      <c r="A1675" s="1">
        <f>ROW(CantoralDB[[#This Row],[Título]])-1</f>
        <v>1674</v>
      </c>
      <c r="B1675" s="1" t="s">
        <v>455</v>
      </c>
      <c r="C1675" s="1" t="s">
        <v>1026</v>
      </c>
      <c r="D1675" s="1" t="s">
        <v>1193</v>
      </c>
      <c r="H1675" s="1" t="s">
        <v>1050</v>
      </c>
      <c r="I1675" s="1" t="s">
        <v>612</v>
      </c>
      <c r="L1675" s="15" t="s">
        <v>2201</v>
      </c>
      <c r="M1675" s="15"/>
      <c r="N1675" s="15"/>
      <c r="O1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675" s="15" t="str">
        <f>_xlfn.TEXTBEFORE(_xlfn.TEXTAFTER(CantoralDB[[#This Row],[index.html]],"&gt;"),"&gt;")&amp;"&gt;"</f>
        <v>&lt;a href="canciones/taize/tui_amoris.html"&gt;</v>
      </c>
    </row>
    <row r="1676" spans="1:21" hidden="1" x14ac:dyDescent="0.3">
      <c r="A1676" s="1">
        <f>ROW(CantoralDB[[#This Row],[Título]])-1</f>
        <v>1675</v>
      </c>
      <c r="B1676" s="1" t="s">
        <v>1374</v>
      </c>
      <c r="C1676" s="1"/>
      <c r="E1676" s="1">
        <v>259</v>
      </c>
      <c r="I1676" s="1"/>
      <c r="L1676" s="15" t="s">
        <v>799</v>
      </c>
      <c r="M1676" s="15"/>
      <c r="N1676" s="15"/>
      <c r="O1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tus_manos_son_palomas.html</v>
      </c>
      <c r="R1676" s="1"/>
      <c r="S1676" s="1"/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data-nold="259"&gt;&lt;a href="canciones/nsb/tus_manos_son_palomas.html"&gt;Tus manos son palomas&lt;/a&gt;&lt;/li&gt;</v>
      </c>
      <c r="U1676" s="15" t="str">
        <f>_xlfn.TEXTBEFORE(_xlfn.TEXTAFTER(CantoralDB[[#This Row],[index.html]],"&gt;"),"&gt;")&amp;"&gt;"</f>
        <v>&lt;a href="canciones/nsb/tus_manos_son_palomas.html"&gt;</v>
      </c>
    </row>
    <row r="1677" spans="1:21" hidden="1" x14ac:dyDescent="0.3">
      <c r="A1677" s="1">
        <f>ROW(CantoralDB[[#This Row],[Título]])-1</f>
        <v>1676</v>
      </c>
      <c r="B1677" s="1" t="s">
        <v>3406</v>
      </c>
      <c r="C1677" s="1"/>
      <c r="F1677" s="1">
        <v>67</v>
      </c>
      <c r="I1677" s="1"/>
      <c r="L1677" s="15" t="s">
        <v>799</v>
      </c>
      <c r="M1677" s="15"/>
      <c r="N1677" s="15"/>
      <c r="O1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tuya_es_la_gloria.html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href="canciones/nuevas/tuya_es_la_gloria.html"&gt;Tuya es la gloria&lt;/a&gt;&lt;/li&gt;</v>
      </c>
      <c r="U1677" s="15" t="str">
        <f>_xlfn.TEXTBEFORE(_xlfn.TEXTAFTER(CantoralDB[[#This Row],[index.html]],"&gt;"),"&gt;")&amp;"&gt;"</f>
        <v>&lt;a href="canciones/nuevas/tuya_es_la_gloria.html"&gt;</v>
      </c>
    </row>
    <row r="1678" spans="1:21" hidden="1" x14ac:dyDescent="0.3">
      <c r="A1678" s="1">
        <f>ROW(CantoralDB[[#This Row],[Título]])-1</f>
        <v>1677</v>
      </c>
      <c r="B1678" s="1" t="s">
        <v>3613</v>
      </c>
      <c r="C1678" s="1"/>
      <c r="F1678" s="1">
        <v>277</v>
      </c>
      <c r="I1678" s="1"/>
      <c r="L1678" s="15" t="s">
        <v>594</v>
      </c>
      <c r="M1678" s="15"/>
      <c r="N1678" s="15"/>
      <c r="O1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tuya_es_la_victoria.html</v>
      </c>
      <c r="R1678" s="1"/>
      <c r="S1678" s="1"/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1678" s="15" t="str">
        <f>_xlfn.TEXTBEFORE(_xlfn.TEXTAFTER(CantoralDB[[#This Row],[index.html]],"&gt;"),"&gt;")&amp;"&gt;"</f>
        <v>&lt;a href="canciones/alejandro_ruiz/tuya_es_la_victoria.html"&gt;</v>
      </c>
    </row>
    <row r="1679" spans="1:21" hidden="1" x14ac:dyDescent="0.3">
      <c r="A1679" s="1">
        <f>ROW(CantoralDB[[#This Row],[Título]])-1</f>
        <v>1678</v>
      </c>
      <c r="B1679" s="1" t="s">
        <v>1909</v>
      </c>
      <c r="C1679" s="1"/>
      <c r="I1679" s="1" t="s">
        <v>612</v>
      </c>
      <c r="L1679" s="15" t="s">
        <v>1804</v>
      </c>
      <c r="M1679" s="15" t="s">
        <v>1950</v>
      </c>
      <c r="N1679" s="15">
        <v>6</v>
      </c>
      <c r="O1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tuya_y_nueva.html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href="canciones/ruah/tuya_y_nueva.html"&gt;Tuya y nueva&lt;/a&gt;&lt;/li&gt;</v>
      </c>
      <c r="U1679" s="15" t="str">
        <f>_xlfn.TEXTBEFORE(_xlfn.TEXTAFTER(CantoralDB[[#This Row],[index.html]],"&gt;"),"&gt;")&amp;"&gt;"</f>
        <v>&lt;a href="canciones/ruah/tuya_y_nueva.html"&gt;</v>
      </c>
    </row>
    <row r="1680" spans="1:21" hidden="1" x14ac:dyDescent="0.3">
      <c r="A1680" s="1">
        <f>ROW(CantoralDB[[#This Row],[Título]])-1</f>
        <v>1679</v>
      </c>
      <c r="B1680" s="1" t="s">
        <v>1972</v>
      </c>
      <c r="C1680" s="1"/>
      <c r="I1680" s="1" t="s">
        <v>612</v>
      </c>
      <c r="L1680" s="15" t="s">
        <v>481</v>
      </c>
      <c r="M1680" s="15" t="s">
        <v>21</v>
      </c>
      <c r="N1680" s="15">
        <v>9</v>
      </c>
      <c r="O1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tuyo_es_el_reino.html</v>
      </c>
      <c r="R1680" s="1"/>
      <c r="S1680" s="1"/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1680" s="15" t="str">
        <f>_xlfn.TEXTBEFORE(_xlfn.TEXTAFTER(CantoralDB[[#This Row],[index.html]],"&gt;"),"&gt;")&amp;"&gt;"</f>
        <v>&lt;a href="canciones/francisco_palazon/tuyo_es_el_reino.html"&gt;</v>
      </c>
    </row>
    <row r="1681" spans="1:21" hidden="1" x14ac:dyDescent="0.3">
      <c r="A1681" s="1">
        <f>ROW(CantoralDB[[#This Row],[Título]])-1</f>
        <v>1680</v>
      </c>
      <c r="B1681" s="1" t="s">
        <v>456</v>
      </c>
      <c r="C1681" s="1" t="s">
        <v>1026</v>
      </c>
      <c r="D1681" s="1" t="s">
        <v>1159</v>
      </c>
      <c r="E1681" s="1">
        <v>466</v>
      </c>
      <c r="H1681" s="1" t="s">
        <v>1073</v>
      </c>
      <c r="I1681" s="1" t="s">
        <v>612</v>
      </c>
      <c r="L1681" s="15" t="s">
        <v>2201</v>
      </c>
      <c r="M1681" s="15"/>
      <c r="N1681" s="15"/>
      <c r="O1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681" s="15" t="str">
        <f>_xlfn.TEXTBEFORE(_xlfn.TEXTAFTER(CantoralDB[[#This Row],[index.html]],"&gt;"),"&gt;")&amp;"&gt;"</f>
        <v>&lt;a href="canciones/taize/ubi_caritas.html"&gt;</v>
      </c>
    </row>
    <row r="1682" spans="1:21" hidden="1" x14ac:dyDescent="0.3">
      <c r="A1682" s="1">
        <f>ROW(CantoralDB[[#This Row],[Título]])-1</f>
        <v>1681</v>
      </c>
      <c r="B1682" s="1" t="s">
        <v>3171</v>
      </c>
      <c r="C1682" s="1"/>
      <c r="I1682" s="1"/>
      <c r="L1682" s="15" t="s">
        <v>3160</v>
      </c>
      <c r="M1682" s="15" t="s">
        <v>3161</v>
      </c>
      <c r="N1682" s="15">
        <v>10</v>
      </c>
      <c r="O1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un_cantico_nuevo.html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href="canciones/hermana_glenda/un_cantico_nuevo.html"&gt;Un cántico nuevo&lt;/a&gt;&lt;/li&gt;</v>
      </c>
      <c r="U1682" s="15" t="str">
        <f>_xlfn.TEXTBEFORE(_xlfn.TEXTAFTER(CantoralDB[[#This Row],[index.html]],"&gt;"),"&gt;")&amp;"&gt;"</f>
        <v>&lt;a href="canciones/hermana_glenda/un_cantico_nuevo.html"&gt;</v>
      </c>
    </row>
    <row r="1683" spans="1:21" x14ac:dyDescent="0.3">
      <c r="A1683" s="1">
        <f>ROW(CantoralDB[[#This Row],[Título]])-1</f>
        <v>1682</v>
      </c>
      <c r="B1683" s="1" t="s">
        <v>896</v>
      </c>
      <c r="C1683" s="1" t="s">
        <v>1025</v>
      </c>
      <c r="D1683" s="1" t="s">
        <v>1137</v>
      </c>
      <c r="H1683" s="1" t="s">
        <v>1039</v>
      </c>
      <c r="I1683" s="1" t="s">
        <v>612</v>
      </c>
      <c r="L1683" s="15" t="s">
        <v>1991</v>
      </c>
      <c r="M1683" s="15"/>
      <c r="N1683" s="15"/>
      <c r="O1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1683" s="1" t="s">
        <v>960</v>
      </c>
      <c r="S1683" s="1" t="s">
        <v>327</v>
      </c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683" s="15" t="str">
        <f>_xlfn.TEXTBEFORE(_xlfn.TEXTAFTER(CantoralDB[[#This Row],[index.html]],"&gt;"),"&gt;")&amp;"&gt;"</f>
        <v>&lt;a href="canciones/taize/cantate_domino_canticum_novum.html"&gt;</v>
      </c>
    </row>
    <row r="1684" spans="1:21" hidden="1" x14ac:dyDescent="0.3">
      <c r="A1684" s="1">
        <f>ROW(CantoralDB[[#This Row],[Título]])-1</f>
        <v>1683</v>
      </c>
      <c r="B1684" s="1" t="s">
        <v>2166</v>
      </c>
      <c r="C1684" s="1"/>
      <c r="E1684" s="1">
        <v>276</v>
      </c>
      <c r="I1684" s="1"/>
      <c r="L1684" s="15" t="s">
        <v>480</v>
      </c>
      <c r="M1684" s="15"/>
      <c r="N1684" s="15"/>
      <c r="O1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un_corazon_arrepentido.html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1684" s="15" t="str">
        <f>_xlfn.TEXTBEFORE(_xlfn.TEXTAFTER(CantoralDB[[#This Row],[index.html]],"&gt;"),"&gt;")&amp;"&gt;"</f>
        <v>&lt;a href="canciones/juanjo_elezkano/un_corazon_arrepentido.html"&gt;</v>
      </c>
    </row>
    <row r="1685" spans="1:21" hidden="1" x14ac:dyDescent="0.3">
      <c r="A1685" s="1">
        <f>ROW(CantoralDB[[#This Row],[Título]])-1</f>
        <v>1684</v>
      </c>
      <c r="B1685" s="1" t="s">
        <v>1539</v>
      </c>
      <c r="C1685" s="1"/>
      <c r="I1685" s="1"/>
      <c r="L1685" s="15" t="s">
        <v>484</v>
      </c>
      <c r="M1685" s="15" t="s">
        <v>1539</v>
      </c>
      <c r="N1685" s="15">
        <v>1</v>
      </c>
      <c r="O1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un_corazon_sin_fronteras.html</v>
      </c>
      <c r="R1685" s="1"/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1685" s="15" t="str">
        <f>_xlfn.TEXTBEFORE(_xlfn.TEXTAFTER(CantoralDB[[#This Row],[index.html]],"&gt;"),"&gt;")&amp;"&gt;"</f>
        <v>&lt;a href="canciones/kairoi/un_corazon_sin_fronteras.html"&gt;</v>
      </c>
    </row>
    <row r="1686" spans="1:21" hidden="1" x14ac:dyDescent="0.3">
      <c r="A1686" s="1">
        <f>ROW(CantoralDB[[#This Row],[Título]])-1</f>
        <v>1685</v>
      </c>
      <c r="B1686" s="1" t="s">
        <v>150</v>
      </c>
      <c r="C1686" s="1" t="s">
        <v>195</v>
      </c>
      <c r="D1686" s="1" t="s">
        <v>776</v>
      </c>
      <c r="E1686" s="1">
        <v>467</v>
      </c>
      <c r="G1686" s="1" t="s">
        <v>209</v>
      </c>
      <c r="H1686" s="1" t="s">
        <v>1041</v>
      </c>
      <c r="I1686" s="1" t="s">
        <v>612</v>
      </c>
      <c r="L1686" s="15" t="s">
        <v>797</v>
      </c>
      <c r="M1686" s="15"/>
      <c r="N1686" s="15"/>
      <c r="O1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un_dia_abri_los_ojos.html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686" s="15" t="str">
        <f>_xlfn.TEXTBEFORE(_xlfn.TEXTAFTER(CantoralDB[[#This Row],[index.html]],"&gt;"),"&gt;")&amp;"&gt;"</f>
        <v>&lt;a href="canciones/nsb/un_dia_abri_los_ojos.html"&gt;</v>
      </c>
    </row>
    <row r="1687" spans="1:21" hidden="1" x14ac:dyDescent="0.3">
      <c r="A1687" s="1">
        <f>ROW(CantoralDB[[#This Row],[Título]])-1</f>
        <v>1686</v>
      </c>
      <c r="B1687" s="1" t="s">
        <v>1772</v>
      </c>
      <c r="C1687" s="1"/>
      <c r="I1687" s="1"/>
      <c r="L1687" s="15" t="s">
        <v>484</v>
      </c>
      <c r="M1687" s="15" t="s">
        <v>1544</v>
      </c>
      <c r="N1687" s="15">
        <v>10</v>
      </c>
      <c r="O1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un_dios_que_huele.html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1687" s="15" t="str">
        <f>_xlfn.TEXTBEFORE(_xlfn.TEXTAFTER(CantoralDB[[#This Row],[index.html]],"&gt;"),"&gt;")&amp;"&gt;"</f>
        <v>&lt;a href="canciones/kairoi/un_dios_que_huele.html"&gt;</v>
      </c>
    </row>
    <row r="1688" spans="1:21" hidden="1" x14ac:dyDescent="0.3">
      <c r="A1688" s="1">
        <f>ROW(CantoralDB[[#This Row],[Título]])-1</f>
        <v>1687</v>
      </c>
      <c r="B1688" s="1" t="s">
        <v>1766</v>
      </c>
      <c r="C1688" s="1"/>
      <c r="I1688" s="1"/>
      <c r="L1688" s="15" t="s">
        <v>484</v>
      </c>
      <c r="M1688" s="15" t="s">
        <v>1544</v>
      </c>
      <c r="N1688" s="15">
        <v>4</v>
      </c>
      <c r="O1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un_gesto.html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href="canciones/kairoi/un_gesto.html"&gt;Un gesto&lt;/a&gt;&lt;/li&gt;</v>
      </c>
      <c r="U1688" s="15" t="str">
        <f>_xlfn.TEXTBEFORE(_xlfn.TEXTAFTER(CantoralDB[[#This Row],[index.html]],"&gt;"),"&gt;")&amp;"&gt;"</f>
        <v>&lt;a href="canciones/kairoi/un_gesto.html"&gt;</v>
      </c>
    </row>
    <row r="1689" spans="1:21" hidden="1" x14ac:dyDescent="0.3">
      <c r="A1689" s="1">
        <f>ROW(CantoralDB[[#This Row],[Título]])-1</f>
        <v>1688</v>
      </c>
      <c r="B1689" s="1" t="s">
        <v>1636</v>
      </c>
      <c r="C1689" s="1"/>
      <c r="I1689" s="1"/>
      <c r="L1689" s="15" t="s">
        <v>484</v>
      </c>
      <c r="M1689" s="15" t="s">
        <v>1527</v>
      </c>
      <c r="N1689" s="15">
        <v>1</v>
      </c>
      <c r="O1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un_himno_surgira.html</v>
      </c>
      <c r="R1689" s="1"/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1689" s="15" t="str">
        <f>_xlfn.TEXTBEFORE(_xlfn.TEXTAFTER(CantoralDB[[#This Row],[index.html]],"&gt;"),"&gt;")&amp;"&gt;"</f>
        <v>&lt;a href="canciones/kairoi/un_himno_surgira.html"&gt;</v>
      </c>
    </row>
    <row r="1690" spans="1:21" hidden="1" x14ac:dyDescent="0.3">
      <c r="A1690" s="1">
        <f>ROW(CantoralDB[[#This Row],[Título]])-1</f>
        <v>1689</v>
      </c>
      <c r="B1690" s="1" t="s">
        <v>2113</v>
      </c>
      <c r="C1690" s="1"/>
      <c r="I1690" s="1"/>
      <c r="L1690" s="15" t="s">
        <v>481</v>
      </c>
      <c r="M1690" s="15" t="s">
        <v>2104</v>
      </c>
      <c r="N1690" s="15">
        <v>8</v>
      </c>
      <c r="O1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un_hombre_una_tierra.html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1690" s="15" t="str">
        <f>_xlfn.TEXTBEFORE(_xlfn.TEXTAFTER(CantoralDB[[#This Row],[index.html]],"&gt;"),"&gt;")&amp;"&gt;"</f>
        <v>&lt;a href="canciones/francisco_palazon/un_hombre_una_tierra.html"&gt;</v>
      </c>
    </row>
    <row r="1691" spans="1:21" hidden="1" x14ac:dyDescent="0.3">
      <c r="A1691" s="1">
        <f>ROW(CantoralDB[[#This Row],[Título]])-1</f>
        <v>1690</v>
      </c>
      <c r="B1691" s="1" t="s">
        <v>1699</v>
      </c>
      <c r="C1691" s="1"/>
      <c r="I1691" s="1"/>
      <c r="L1691" s="15" t="s">
        <v>484</v>
      </c>
      <c r="M1691" s="15" t="s">
        <v>1578</v>
      </c>
      <c r="N1691" s="15">
        <v>5</v>
      </c>
      <c r="O1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un_kirie_mas.html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href="canciones/kairoi/un_kirie_mas.html"&gt;Un kirie más&lt;/a&gt;&lt;/li&gt;</v>
      </c>
      <c r="U1691" s="15" t="str">
        <f>_xlfn.TEXTBEFORE(_xlfn.TEXTAFTER(CantoralDB[[#This Row],[index.html]],"&gt;"),"&gt;")&amp;"&gt;"</f>
        <v>&lt;a href="canciones/kairoi/un_kirie_mas.html"&gt;</v>
      </c>
    </row>
    <row r="1692" spans="1:21" hidden="1" x14ac:dyDescent="0.3">
      <c r="A1692" s="1">
        <f>ROW(CantoralDB[[#This Row],[Título]])-1</f>
        <v>1691</v>
      </c>
      <c r="B1692" s="1" t="s">
        <v>151</v>
      </c>
      <c r="C1692" s="1" t="s">
        <v>195</v>
      </c>
      <c r="D1692" s="1" t="s">
        <v>777</v>
      </c>
      <c r="E1692" s="1">
        <v>468</v>
      </c>
      <c r="G1692" s="1" t="s">
        <v>209</v>
      </c>
      <c r="H1692" s="1" t="s">
        <v>1053</v>
      </c>
      <c r="I1692" s="1" t="s">
        <v>612</v>
      </c>
      <c r="L1692" s="15" t="s">
        <v>483</v>
      </c>
      <c r="M1692" s="15"/>
      <c r="N1692" s="15"/>
      <c r="O1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un_niño_se_te_acerco.html</v>
      </c>
      <c r="R1692" s="1" t="s">
        <v>870</v>
      </c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1692" s="15" t="str">
        <f>_xlfn.TEXTBEFORE(_xlfn.TEXTAFTER(CantoralDB[[#This Row],[index.html]],"&gt;"),"&gt;")&amp;"&gt;"</f>
        <v>&lt;a href="canciones/cesareo_gabarain/un_niño_se_te_acerco.html"&gt;</v>
      </c>
    </row>
    <row r="1693" spans="1:21" hidden="1" x14ac:dyDescent="0.3">
      <c r="A1693" s="1">
        <f>ROW(CantoralDB[[#This Row],[Título]])-1</f>
        <v>1692</v>
      </c>
      <c r="B1693" s="1" t="s">
        <v>3300</v>
      </c>
      <c r="C1693" s="1"/>
      <c r="I1693" s="1"/>
      <c r="L1693" s="15" t="s">
        <v>3160</v>
      </c>
      <c r="M1693" s="15" t="s">
        <v>3299</v>
      </c>
      <c r="N1693" s="15">
        <v>3</v>
      </c>
      <c r="O1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un_nombre_nuevo.html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href="canciones/hermana_glenda/un_nombre_nuevo.html"&gt;Un nombre nuevo&lt;/a&gt;&lt;/li&gt;</v>
      </c>
      <c r="U1693" s="15" t="str">
        <f>_xlfn.TEXTBEFORE(_xlfn.TEXTAFTER(CantoralDB[[#This Row],[index.html]],"&gt;"),"&gt;")&amp;"&gt;"</f>
        <v>&lt;a href="canciones/hermana_glenda/un_nombre_nuevo.html"&gt;</v>
      </c>
    </row>
    <row r="1694" spans="1:21" hidden="1" x14ac:dyDescent="0.3">
      <c r="A1694" s="1">
        <f>ROW(CantoralDB[[#This Row],[Título]])-1</f>
        <v>1693</v>
      </c>
      <c r="B1694" s="1" t="s">
        <v>1381</v>
      </c>
      <c r="C1694" s="1"/>
      <c r="E1694" s="1">
        <v>273</v>
      </c>
      <c r="I1694" s="1"/>
      <c r="L1694" s="15" t="s">
        <v>3347</v>
      </c>
      <c r="M1694" s="15"/>
      <c r="N1694" s="15"/>
      <c r="O1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un_nuevo_reino_esta_amaneciendo.html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1694" s="15" t="str">
        <f>_xlfn.TEXTBEFORE(_xlfn.TEXTAFTER(CantoralDB[[#This Row],[index.html]],"&gt;"),"&gt;")&amp;"&gt;"</f>
        <v>&lt;a href="canciones/luis_alfredo_diaz/un_nuevo_reino_esta_amaneciendo.html"&gt;</v>
      </c>
    </row>
    <row r="1695" spans="1:21" hidden="1" x14ac:dyDescent="0.3">
      <c r="A1695" s="1">
        <f>ROW(CantoralDB[[#This Row],[Título]])-1</f>
        <v>1694</v>
      </c>
      <c r="B1695" s="1" t="s">
        <v>152</v>
      </c>
      <c r="C1695" s="1" t="s">
        <v>191</v>
      </c>
      <c r="D1695" s="1" t="s">
        <v>756</v>
      </c>
      <c r="E1695" s="1">
        <v>270</v>
      </c>
      <c r="G1695" s="1" t="s">
        <v>209</v>
      </c>
      <c r="H1695" s="1" t="s">
        <v>1031</v>
      </c>
      <c r="I1695" s="1" t="s">
        <v>612</v>
      </c>
      <c r="L1695" s="15" t="s">
        <v>799</v>
      </c>
      <c r="M1695" s="15"/>
      <c r="N1695" s="15"/>
      <c r="O1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un_nuevo_sitio_disponed.html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695" s="15" t="str">
        <f>_xlfn.TEXTBEFORE(_xlfn.TEXTAFTER(CantoralDB[[#This Row],[index.html]],"&gt;"),"&gt;")&amp;"&gt;"</f>
        <v>&lt;a href="canciones/nsb/un_nuevo_sitio_disponed.html"&gt;</v>
      </c>
    </row>
    <row r="1696" spans="1:21" hidden="1" x14ac:dyDescent="0.3">
      <c r="A1696" s="1">
        <f>ROW(CantoralDB[[#This Row],[Título]])-1</f>
        <v>1695</v>
      </c>
      <c r="B1696" s="1" t="s">
        <v>2020</v>
      </c>
      <c r="C1696" s="1"/>
      <c r="I1696" s="1" t="s">
        <v>612</v>
      </c>
      <c r="L1696" s="15" t="s">
        <v>261</v>
      </c>
      <c r="M1696" s="15"/>
      <c r="N1696" s="15"/>
      <c r="O1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un_paso_mas.html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href="canciones/hakuna/un_paso_mas.html"&gt;Un paso más&lt;/a&gt;&lt;/li&gt;</v>
      </c>
      <c r="U1696" s="15" t="str">
        <f>_xlfn.TEXTBEFORE(_xlfn.TEXTAFTER(CantoralDB[[#This Row],[index.html]],"&gt;"),"&gt;")&amp;"&gt;"</f>
        <v>&lt;a href="canciones/hakuna/un_paso_mas.html"&gt;</v>
      </c>
    </row>
    <row r="1697" spans="1:21" hidden="1" x14ac:dyDescent="0.3">
      <c r="A1697" s="1">
        <f>ROW(CantoralDB[[#This Row],[Título]])-1</f>
        <v>1696</v>
      </c>
      <c r="B1697" s="1" t="s">
        <v>477</v>
      </c>
      <c r="C1697" s="1" t="s">
        <v>191</v>
      </c>
      <c r="D1697" s="1" t="s">
        <v>757</v>
      </c>
      <c r="E1697" s="1">
        <v>272</v>
      </c>
      <c r="G1697" s="1" t="s">
        <v>216</v>
      </c>
      <c r="H1697" s="1" t="s">
        <v>533</v>
      </c>
      <c r="I1697" s="1" t="s">
        <v>612</v>
      </c>
      <c r="L1697" s="15" t="s">
        <v>491</v>
      </c>
      <c r="M1697" s="15"/>
      <c r="N1697" s="15"/>
      <c r="O1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un_pueblo_que_camina_por_el_mundo.html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1697" s="15" t="str">
        <f>_xlfn.TEXTBEFORE(_xlfn.TEXTAFTER(CantoralDB[[#This Row],[index.html]],"&gt;"),"&gt;")&amp;"&gt;"</f>
        <v>&lt;a href="canciones/juan_antonio_espinosa/un_pueblo_que_camina_por_el_mundo.html"&gt;</v>
      </c>
    </row>
    <row r="1698" spans="1:21" hidden="1" x14ac:dyDescent="0.3">
      <c r="A1698" s="1">
        <f>ROW(CantoralDB[[#This Row],[Título]])-1</f>
        <v>1697</v>
      </c>
      <c r="B1698" s="1" t="s">
        <v>2033</v>
      </c>
      <c r="C1698" s="1"/>
      <c r="I1698" s="1" t="s">
        <v>612</v>
      </c>
      <c r="L1698" s="15" t="s">
        <v>261</v>
      </c>
      <c r="M1698" s="15"/>
      <c r="N1698" s="15"/>
      <c r="O1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un_segundo.html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href="canciones/hakuna/un_segundo.html"&gt;Un segundo&lt;/a&gt;&lt;/li&gt;</v>
      </c>
      <c r="U1698" s="15" t="str">
        <f>_xlfn.TEXTBEFORE(_xlfn.TEXTAFTER(CantoralDB[[#This Row],[index.html]],"&gt;"),"&gt;")&amp;"&gt;"</f>
        <v>&lt;a href="canciones/hakuna/un_segundo.html"&gt;</v>
      </c>
    </row>
    <row r="1699" spans="1:21" hidden="1" x14ac:dyDescent="0.3">
      <c r="A1699" s="1">
        <f>ROW(CantoralDB[[#This Row],[Título]])-1</f>
        <v>1698</v>
      </c>
      <c r="B1699" s="1" t="s">
        <v>2054</v>
      </c>
      <c r="C1699" s="1"/>
      <c r="I1699" s="1"/>
      <c r="L1699" s="15" t="s">
        <v>261</v>
      </c>
      <c r="M1699" s="15"/>
      <c r="N1699" s="15"/>
      <c r="O1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un_sitio.html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href="canciones/hakuna/un_sitio.html"&gt;Un sitio&lt;/a&gt;&lt;/li&gt;</v>
      </c>
      <c r="U1699" s="15" t="str">
        <f>_xlfn.TEXTBEFORE(_xlfn.TEXTAFTER(CantoralDB[[#This Row],[index.html]],"&gt;"),"&gt;")&amp;"&gt;"</f>
        <v>&lt;a href="canciones/hakuna/un_sitio.html"&gt;</v>
      </c>
    </row>
    <row r="1700" spans="1:21" hidden="1" x14ac:dyDescent="0.3">
      <c r="A1700" s="1">
        <f>ROW(CantoralDB[[#This Row],[Título]])-1</f>
        <v>1699</v>
      </c>
      <c r="B1700" s="1" t="s">
        <v>1752</v>
      </c>
      <c r="C1700" s="1"/>
      <c r="I1700" s="1" t="s">
        <v>612</v>
      </c>
      <c r="L1700" s="15" t="s">
        <v>484</v>
      </c>
      <c r="M1700" s="15" t="s">
        <v>1542</v>
      </c>
      <c r="N1700" s="15">
        <v>14</v>
      </c>
      <c r="O1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un_solo_corazon.html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1700" s="15" t="str">
        <f>_xlfn.TEXTBEFORE(_xlfn.TEXTAFTER(CantoralDB[[#This Row],[index.html]],"&gt;"),"&gt;")&amp;"&gt;"</f>
        <v>&lt;a href="canciones/kairoi/un_solo_corazon.html"&gt;</v>
      </c>
    </row>
    <row r="1701" spans="1:21" hidden="1" x14ac:dyDescent="0.3">
      <c r="A1701" s="1">
        <f>ROW(CantoralDB[[#This Row],[Título]])-1</f>
        <v>1700</v>
      </c>
      <c r="B1701" s="1" t="s">
        <v>1379</v>
      </c>
      <c r="C1701" s="1"/>
      <c r="E1701" s="1">
        <v>268</v>
      </c>
      <c r="I1701" s="1"/>
      <c r="L1701" s="15" t="s">
        <v>2203</v>
      </c>
      <c r="M1701" s="15"/>
      <c r="N1701" s="15"/>
      <c r="O1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un_solo_señor.html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701" s="15" t="str">
        <f>_xlfn.TEXTBEFORE(_xlfn.TEXTAFTER(CantoralDB[[#This Row],[index.html]],"&gt;"),"&gt;")&amp;"&gt;"</f>
        <v>&lt;a href="canciones/nsb/un_solo_señor.html"&gt;</v>
      </c>
    </row>
    <row r="1702" spans="1:21" hidden="1" x14ac:dyDescent="0.3">
      <c r="A1702" s="1">
        <f>ROW(CantoralDB[[#This Row],[Título]])-1</f>
        <v>1701</v>
      </c>
      <c r="B1702" s="1" t="s">
        <v>1380</v>
      </c>
      <c r="C1702" s="1"/>
      <c r="E1702" s="1">
        <v>269</v>
      </c>
      <c r="I1702" s="1" t="s">
        <v>612</v>
      </c>
      <c r="L1702" s="15" t="s">
        <v>491</v>
      </c>
      <c r="M1702" s="15"/>
      <c r="N1702" s="15"/>
      <c r="O1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una_ciudad_para_todos.html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1702" s="15" t="str">
        <f>_xlfn.TEXTBEFORE(_xlfn.TEXTAFTER(CantoralDB[[#This Row],[index.html]],"&gt;"),"&gt;")&amp;"&gt;"</f>
        <v>&lt;a href="canciones/juan_antonio_espinosa/una_ciudad_para_todos.html"&gt;</v>
      </c>
    </row>
    <row r="1703" spans="1:21" hidden="1" x14ac:dyDescent="0.3">
      <c r="A1703" s="1">
        <f>ROW(CantoralDB[[#This Row],[Título]])-1</f>
        <v>1702</v>
      </c>
      <c r="B1703" s="1" t="s">
        <v>3162</v>
      </c>
      <c r="C1703" s="1"/>
      <c r="I1703" s="1"/>
      <c r="L1703" s="15" t="s">
        <v>3160</v>
      </c>
      <c r="M1703" s="15" t="s">
        <v>3161</v>
      </c>
      <c r="N1703" s="15">
        <v>1</v>
      </c>
      <c r="O1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una_cosa_importante.html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href="canciones/hermana_glenda/una_cosa_importante.html"&gt;Una cosa importante&lt;/a&gt;&lt;/li&gt;</v>
      </c>
      <c r="U1703" s="15" t="str">
        <f>_xlfn.TEXTBEFORE(_xlfn.TEXTAFTER(CantoralDB[[#This Row],[index.html]],"&gt;"),"&gt;")&amp;"&gt;"</f>
        <v>&lt;a href="canciones/hermana_glenda/una_cosa_importante.html"&gt;</v>
      </c>
    </row>
    <row r="1704" spans="1:21" hidden="1" x14ac:dyDescent="0.3">
      <c r="A1704" s="1">
        <f>ROW(CantoralDB[[#This Row],[Título]])-1</f>
        <v>1703</v>
      </c>
      <c r="B1704" s="1" t="s">
        <v>153</v>
      </c>
      <c r="C1704" s="1" t="s">
        <v>195</v>
      </c>
      <c r="D1704" s="1" t="s">
        <v>778</v>
      </c>
      <c r="E1704" s="1">
        <v>271</v>
      </c>
      <c r="G1704" s="1" t="s">
        <v>209</v>
      </c>
      <c r="H1704" s="1" t="s">
        <v>1039</v>
      </c>
      <c r="I1704" s="1" t="s">
        <v>612</v>
      </c>
      <c r="L1704" s="15" t="s">
        <v>483</v>
      </c>
      <c r="M1704" s="15"/>
      <c r="N1704" s="15"/>
      <c r="O1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una_espiga_dorada.html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1704" s="15" t="str">
        <f>_xlfn.TEXTBEFORE(_xlfn.TEXTAFTER(CantoralDB[[#This Row],[index.html]],"&gt;"),"&gt;")&amp;"&gt;"</f>
        <v>&lt;a href="canciones/cesareo_gabarain/una_espiga_dorada.html"&gt;</v>
      </c>
    </row>
    <row r="1705" spans="1:21" hidden="1" x14ac:dyDescent="0.3">
      <c r="A1705" s="1">
        <f>ROW(CantoralDB[[#This Row],[Título]])-1</f>
        <v>1704</v>
      </c>
      <c r="B1705" s="1" t="s">
        <v>1771</v>
      </c>
      <c r="C1705" s="1"/>
      <c r="I1705" s="1"/>
      <c r="L1705" s="15" t="s">
        <v>484</v>
      </c>
      <c r="M1705" s="15" t="s">
        <v>1544</v>
      </c>
      <c r="N1705" s="15">
        <v>9</v>
      </c>
      <c r="O1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una_iglesia_de_excluidos.html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1705" s="15" t="str">
        <f>_xlfn.TEXTBEFORE(_xlfn.TEXTAFTER(CantoralDB[[#This Row],[index.html]],"&gt;"),"&gt;")&amp;"&gt;"</f>
        <v>&lt;a href="canciones/kairoi/una_iglesia_de_excluidos.html"&gt;</v>
      </c>
    </row>
    <row r="1706" spans="1:21" hidden="1" x14ac:dyDescent="0.3">
      <c r="A1706" s="1">
        <f>ROW(CantoralDB[[#This Row],[Título]])-1</f>
        <v>1705</v>
      </c>
      <c r="B1706" s="1" t="s">
        <v>154</v>
      </c>
      <c r="C1706" s="1" t="s">
        <v>192</v>
      </c>
      <c r="D1706" s="1" t="s">
        <v>1515</v>
      </c>
      <c r="E1706" s="1">
        <v>274</v>
      </c>
      <c r="G1706" s="1" t="s">
        <v>209</v>
      </c>
      <c r="H1706" s="1" t="s">
        <v>1044</v>
      </c>
      <c r="I1706" s="1" t="s">
        <v>612</v>
      </c>
      <c r="L1706" s="15" t="s">
        <v>483</v>
      </c>
      <c r="M1706" s="15"/>
      <c r="N1706" s="15"/>
      <c r="O1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una_nueva_vida.html</v>
      </c>
      <c r="R1706" s="1"/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1706" s="15" t="str">
        <f>_xlfn.TEXTBEFORE(_xlfn.TEXTAFTER(CantoralDB[[#This Row],[index.html]],"&gt;"),"&gt;")&amp;"&gt;"</f>
        <v>&lt;a href="canciones/cesareo_gabarain/una_nueva_vida.html"&gt;</v>
      </c>
    </row>
    <row r="1707" spans="1:21" hidden="1" x14ac:dyDescent="0.3">
      <c r="A1707" s="1">
        <f>ROW(CantoralDB[[#This Row],[Título]])-1</f>
        <v>1706</v>
      </c>
      <c r="B1707" s="1" t="s">
        <v>548</v>
      </c>
      <c r="C1707" s="1" t="s">
        <v>997</v>
      </c>
      <c r="D1707" s="1" t="s">
        <v>1020</v>
      </c>
      <c r="G1707" s="1" t="s">
        <v>209</v>
      </c>
      <c r="H1707" s="1" t="s">
        <v>1031</v>
      </c>
      <c r="I1707" s="1" t="s">
        <v>612</v>
      </c>
      <c r="L1707" s="15" t="s">
        <v>3347</v>
      </c>
      <c r="M1707" s="15"/>
      <c r="N1707" s="15"/>
      <c r="O1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una_tarde_en_la_playa.html</v>
      </c>
      <c r="R1707" s="1" t="s">
        <v>821</v>
      </c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1707" s="15" t="str">
        <f>_xlfn.TEXTBEFORE(_xlfn.TEXTAFTER(CantoralDB[[#This Row],[index.html]],"&gt;"),"&gt;")&amp;"&gt;"</f>
        <v>&lt;a href="canciones/luis_alfredo_diaz/una_tarde_en_la_playa.html"&gt;</v>
      </c>
    </row>
    <row r="1708" spans="1:21" hidden="1" x14ac:dyDescent="0.3">
      <c r="A1708" s="1">
        <f>ROW(CantoralDB[[#This Row],[Título]])-1</f>
        <v>1707</v>
      </c>
      <c r="B1708" s="1" t="s">
        <v>1650</v>
      </c>
      <c r="C1708" s="1"/>
      <c r="I1708" s="1" t="s">
        <v>612</v>
      </c>
      <c r="L1708" s="15" t="s">
        <v>484</v>
      </c>
      <c r="M1708" s="15" t="s">
        <v>1530</v>
      </c>
      <c r="N1708" s="15">
        <v>6</v>
      </c>
      <c r="O1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href="canciones/kairoi/una_vida.html"&gt;Una vida&lt;/a&gt;&lt;/li&gt;</v>
      </c>
      <c r="U1708" s="15" t="str">
        <f>_xlfn.TEXTBEFORE(_xlfn.TEXTAFTER(CantoralDB[[#This Row],[index.html]],"&gt;"),"&gt;")&amp;"&gt;"</f>
        <v>&lt;a href="canciones/kairoi/una_vida.html"&gt;</v>
      </c>
    </row>
    <row r="1709" spans="1:21" hidden="1" x14ac:dyDescent="0.3">
      <c r="A1709" s="1">
        <f>ROW(CantoralDB[[#This Row],[Título]])-1</f>
        <v>1708</v>
      </c>
      <c r="B1709" s="1" t="s">
        <v>1618</v>
      </c>
      <c r="C1709" s="1"/>
      <c r="I1709" s="1" t="s">
        <v>612</v>
      </c>
      <c r="L1709" s="15" t="s">
        <v>484</v>
      </c>
      <c r="M1709" s="15" t="s">
        <v>1534</v>
      </c>
      <c r="N1709" s="15">
        <v>4</v>
      </c>
      <c r="O1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una_vida_que_busca_libertad.html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1709" s="15" t="str">
        <f>_xlfn.TEXTBEFORE(_xlfn.TEXTAFTER(CantoralDB[[#This Row],[index.html]],"&gt;"),"&gt;")&amp;"&gt;"</f>
        <v>&lt;a href="canciones/kairoi/una_vida_que_busca_libertad.html"&gt;</v>
      </c>
    </row>
    <row r="1710" spans="1:21" hidden="1" x14ac:dyDescent="0.3">
      <c r="A1710" s="1">
        <f>ROW(CantoralDB[[#This Row],[Título]])-1</f>
        <v>1709</v>
      </c>
      <c r="B1710" s="1" t="s">
        <v>188</v>
      </c>
      <c r="C1710" s="1" t="s">
        <v>191</v>
      </c>
      <c r="D1710" s="1" t="s">
        <v>758</v>
      </c>
      <c r="G1710" s="1" t="s">
        <v>209</v>
      </c>
      <c r="H1710" s="1" t="s">
        <v>1040</v>
      </c>
      <c r="I1710" s="1" t="s">
        <v>612</v>
      </c>
      <c r="L1710" s="15" t="s">
        <v>492</v>
      </c>
      <c r="M1710" s="15"/>
      <c r="N1710" s="15"/>
      <c r="O1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una_voz_clama_en_el_desierto.html</v>
      </c>
      <c r="R1710" s="1" t="s">
        <v>871</v>
      </c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710" s="15" t="str">
        <f>_xlfn.TEXTBEFORE(_xlfn.TEXTAFTER(CantoralDB[[#This Row],[index.html]],"&gt;"),"&gt;")&amp;"&gt;"</f>
        <v>&lt;a href="canciones/nsb/una_voz_clama_en_el_desierto.html"&gt;</v>
      </c>
    </row>
    <row r="1711" spans="1:21" hidden="1" x14ac:dyDescent="0.3">
      <c r="A1711" s="1">
        <f>ROW(CantoralDB[[#This Row],[Título]])-1</f>
        <v>1710</v>
      </c>
      <c r="B1711" s="1" t="s">
        <v>1382</v>
      </c>
      <c r="C1711" s="1"/>
      <c r="E1711" s="1" t="s">
        <v>2165</v>
      </c>
      <c r="I1711" s="1"/>
      <c r="L1711" s="15" t="s">
        <v>486</v>
      </c>
      <c r="M1711" s="15"/>
      <c r="N1711" s="15"/>
      <c r="O1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unenos_señor_jesus.html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711" s="15" t="str">
        <f>_xlfn.TEXTBEFORE(_xlfn.TEXTAFTER(CantoralDB[[#This Row],[index.html]],"&gt;"),"&gt;")&amp;"&gt;"</f>
        <v>&lt;a href="canciones/antonio_alcalde/unenos_señor_jesus.html"&gt;</v>
      </c>
    </row>
    <row r="1712" spans="1:21" hidden="1" x14ac:dyDescent="0.3">
      <c r="A1712" s="1">
        <f>ROW(CantoralDB[[#This Row],[Título]])-1</f>
        <v>1711</v>
      </c>
      <c r="B1712" s="1" t="s">
        <v>3173</v>
      </c>
      <c r="C1712" s="1"/>
      <c r="I1712" s="1"/>
      <c r="L1712" s="15" t="s">
        <v>3160</v>
      </c>
      <c r="M1712" s="15" t="s">
        <v>3161</v>
      </c>
      <c r="N1712" s="15">
        <v>13</v>
      </c>
      <c r="O1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ungido.html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href="canciones/hermana_glenda/ungido.html"&gt;Ungido&lt;/a&gt;&lt;/li&gt;</v>
      </c>
      <c r="U1712" s="15" t="str">
        <f>_xlfn.TEXTBEFORE(_xlfn.TEXTAFTER(CantoralDB[[#This Row],[index.html]],"&gt;"),"&gt;")&amp;"&gt;"</f>
        <v>&lt;a href="canciones/hermana_glenda/ungido.html"&gt;</v>
      </c>
    </row>
    <row r="1713" spans="1:21" hidden="1" x14ac:dyDescent="0.3">
      <c r="A1713" s="1">
        <f>ROW(CantoralDB[[#This Row],[Título]])-1</f>
        <v>1712</v>
      </c>
      <c r="B1713" s="1" t="s">
        <v>212</v>
      </c>
      <c r="C1713" s="1" t="s">
        <v>200</v>
      </c>
      <c r="D1713" s="1" t="s">
        <v>1099</v>
      </c>
      <c r="G1713" s="1" t="s">
        <v>209</v>
      </c>
      <c r="H1713" s="1" t="s">
        <v>1034</v>
      </c>
      <c r="I1713" s="1" t="s">
        <v>612</v>
      </c>
      <c r="L1713" s="15" t="s">
        <v>491</v>
      </c>
      <c r="M1713" s="15"/>
      <c r="N1713" s="15"/>
      <c r="O1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unidos_a_todos_los_pueblos.html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data-nnew="M23"&gt;&lt;a href="canciones/juan_antonio_espinosa/unidos_a_todos_los_pueblos.html"&gt;Unidos a todos los pueblos&lt;/a&gt;&lt;/li&gt;</v>
      </c>
      <c r="U1713" s="15" t="str">
        <f>_xlfn.TEXTBEFORE(_xlfn.TEXTAFTER(CantoralDB[[#This Row],[index.html]],"&gt;"),"&gt;")&amp;"&gt;"</f>
        <v>&lt;a href="canciones/juan_antonio_espinosa/unidos_a_todos_los_pueblos.html"&gt;</v>
      </c>
    </row>
    <row r="1714" spans="1:21" hidden="1" x14ac:dyDescent="0.3">
      <c r="A1714" s="1">
        <f>ROW(CantoralDB[[#This Row],[Título]])-1</f>
        <v>1713</v>
      </c>
      <c r="B1714" s="1" t="s">
        <v>155</v>
      </c>
      <c r="C1714" s="1" t="s">
        <v>191</v>
      </c>
      <c r="D1714" s="1" t="s">
        <v>759</v>
      </c>
      <c r="E1714" s="1">
        <v>275</v>
      </c>
      <c r="G1714" s="1" t="s">
        <v>209</v>
      </c>
      <c r="H1714" s="1" t="s">
        <v>1033</v>
      </c>
      <c r="I1714" s="1" t="s">
        <v>612</v>
      </c>
      <c r="L1714" s="15" t="s">
        <v>485</v>
      </c>
      <c r="M1714" s="15"/>
      <c r="N1714" s="15"/>
      <c r="O1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unidos_en_la_fiesta.html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1714" s="15" t="str">
        <f>_xlfn.TEXTBEFORE(_xlfn.TEXTAFTER(CantoralDB[[#This Row],[index.html]],"&gt;"),"&gt;")&amp;"&gt;"</f>
        <v>&lt;a href="canciones/joaquin_madurga/unidos_en_la_fiesta.html"&gt;</v>
      </c>
    </row>
    <row r="1715" spans="1:21" hidden="1" x14ac:dyDescent="0.3">
      <c r="A1715" s="1">
        <f>ROW(CantoralDB[[#This Row],[Título]])-1</f>
        <v>1714</v>
      </c>
      <c r="B1715" s="1" t="s">
        <v>2098</v>
      </c>
      <c r="C1715" s="1"/>
      <c r="I1715" s="1" t="s">
        <v>612</v>
      </c>
      <c r="L1715" s="15" t="s">
        <v>481</v>
      </c>
      <c r="M1715" s="15" t="s">
        <v>2135</v>
      </c>
      <c r="N1715" s="15">
        <v>1</v>
      </c>
      <c r="O1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unidos_por_la_fe_y_el_amor.html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1715" s="15" t="str">
        <f>_xlfn.TEXTBEFORE(_xlfn.TEXTAFTER(CantoralDB[[#This Row],[index.html]],"&gt;"),"&gt;")&amp;"&gt;"</f>
        <v>&lt;a href="canciones/francisco_palazon/unidos_por_la_fe_y_el_amor.html"&gt;</v>
      </c>
    </row>
    <row r="1716" spans="1:21" hidden="1" x14ac:dyDescent="0.3">
      <c r="A1716" s="1">
        <f>ROW(CantoralDB[[#This Row],[Título]])-1</f>
        <v>1715</v>
      </c>
      <c r="B1716" s="1" t="s">
        <v>1030</v>
      </c>
      <c r="C1716" s="1" t="s">
        <v>1026</v>
      </c>
      <c r="D1716" s="1" t="s">
        <v>1154</v>
      </c>
      <c r="H1716" s="1" t="s">
        <v>1031</v>
      </c>
      <c r="I1716" s="1" t="s">
        <v>612</v>
      </c>
      <c r="L1716" s="15" t="s">
        <v>2201</v>
      </c>
      <c r="M1716" s="15"/>
      <c r="N1716" s="15"/>
      <c r="O1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716" s="15" t="str">
        <f>_xlfn.TEXTBEFORE(_xlfn.TEXTAFTER(CantoralDB[[#This Row],[index.html]],"&gt;"),"&gt;")&amp;"&gt;"</f>
        <v>&lt;a href="canciones/taize/v_tebi_je_izvir_življenja.html"&gt;</v>
      </c>
    </row>
    <row r="1717" spans="1:21" hidden="1" x14ac:dyDescent="0.3">
      <c r="A1717" s="1">
        <f>ROW(CantoralDB[[#This Row],[Título]])-1</f>
        <v>1716</v>
      </c>
      <c r="B1717" s="1" t="s">
        <v>3444</v>
      </c>
      <c r="C1717" s="1"/>
      <c r="F1717" s="1">
        <v>106</v>
      </c>
      <c r="I1717" s="1"/>
      <c r="L1717" s="15" t="s">
        <v>799</v>
      </c>
      <c r="M1717" s="15"/>
      <c r="N1717" s="15"/>
      <c r="O1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va_bajando_ya.html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href="canciones/nuevas/va_bajando_ya.html"&gt;Va bajando ya&lt;/a&gt;&lt;/li&gt;</v>
      </c>
      <c r="U1717" s="15" t="str">
        <f>_xlfn.TEXTBEFORE(_xlfn.TEXTAFTER(CantoralDB[[#This Row],[index.html]],"&gt;"),"&gt;")&amp;"&gt;"</f>
        <v>&lt;a href="canciones/nuevas/va_bajando_ya.html"&gt;</v>
      </c>
    </row>
    <row r="1718" spans="1:21" hidden="1" x14ac:dyDescent="0.3">
      <c r="A1718" s="1">
        <f>ROW(CantoralDB[[#This Row],[Título]])-1</f>
        <v>1717</v>
      </c>
      <c r="B1718" s="1" t="s">
        <v>2078</v>
      </c>
      <c r="C1718" s="1"/>
      <c r="I1718" s="1" t="s">
        <v>612</v>
      </c>
      <c r="L1718" s="15" t="s">
        <v>484</v>
      </c>
      <c r="M1718" s="15" t="s">
        <v>1536</v>
      </c>
      <c r="N1718" s="15">
        <v>8</v>
      </c>
      <c r="O1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vale_mas_hablar_con_dios.html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1718" s="15" t="str">
        <f>_xlfn.TEXTBEFORE(_xlfn.TEXTAFTER(CantoralDB[[#This Row],[index.html]],"&gt;"),"&gt;")&amp;"&gt;"</f>
        <v>&lt;a href="canciones/kairoi/vale_mas_hablar_con_dios.html"&gt;</v>
      </c>
    </row>
    <row r="1719" spans="1:21" hidden="1" x14ac:dyDescent="0.3">
      <c r="A1719" s="1">
        <f>ROW(CantoralDB[[#This Row],[Título]])-1</f>
        <v>1718</v>
      </c>
      <c r="B1719" s="1" t="s">
        <v>3684</v>
      </c>
      <c r="C1719" s="1"/>
      <c r="F1719" s="1">
        <v>349</v>
      </c>
      <c r="I1719" s="1"/>
      <c r="L1719" s="15" t="s">
        <v>799</v>
      </c>
      <c r="M1719" s="15"/>
      <c r="N1719" s="15"/>
      <c r="O1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vamos_a_bendecir_al_señor.html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719" s="15" t="str">
        <f>_xlfn.TEXTBEFORE(_xlfn.TEXTAFTER(CantoralDB[[#This Row],[index.html]],"&gt;"),"&gt;")&amp;"&gt;"</f>
        <v>&lt;a href="canciones/nuevas/vamos_a_bendecir_al_señor.html"&gt;</v>
      </c>
    </row>
    <row r="1720" spans="1:21" hidden="1" x14ac:dyDescent="0.3">
      <c r="A1720" s="1">
        <f>ROW(CantoralDB[[#This Row],[Título]])-1</f>
        <v>1719</v>
      </c>
      <c r="B1720" s="1" t="s">
        <v>3396</v>
      </c>
      <c r="C1720" s="1"/>
      <c r="F1720" s="1">
        <v>58</v>
      </c>
      <c r="I1720" s="1"/>
      <c r="L1720" s="15" t="s">
        <v>799</v>
      </c>
      <c r="M1720" s="15"/>
      <c r="N1720" s="15"/>
      <c r="O1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vamos_a_cantar.html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href="canciones/nuevas/vamos_a_cantar.html"&gt;Vamos a cantar&lt;/a&gt;&lt;/li&gt;</v>
      </c>
      <c r="U1720" s="15" t="str">
        <f>_xlfn.TEXTBEFORE(_xlfn.TEXTAFTER(CantoralDB[[#This Row],[index.html]],"&gt;"),"&gt;")&amp;"&gt;"</f>
        <v>&lt;a href="canciones/nuevas/vamos_a_cantar.html"&gt;</v>
      </c>
    </row>
    <row r="1721" spans="1:21" hidden="1" x14ac:dyDescent="0.3">
      <c r="A1721" s="1">
        <f>ROW(CantoralDB[[#This Row],[Título]])-1</f>
        <v>1720</v>
      </c>
      <c r="B1721" s="1" t="s">
        <v>3366</v>
      </c>
      <c r="C1721" s="1"/>
      <c r="F1721" s="1">
        <v>32</v>
      </c>
      <c r="I1721" s="1"/>
      <c r="L1721" s="15" t="s">
        <v>799</v>
      </c>
      <c r="M1721" s="15"/>
      <c r="N1721" s="15"/>
      <c r="O1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vamos_a_juntarnos.html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href="canciones/nuevas/vamos_a_juntarnos.html"&gt;Vamos a juntarnos&lt;/a&gt;&lt;/li&gt;</v>
      </c>
      <c r="U1721" s="15" t="str">
        <f>_xlfn.TEXTBEFORE(_xlfn.TEXTAFTER(CantoralDB[[#This Row],[index.html]],"&gt;"),"&gt;")&amp;"&gt;"</f>
        <v>&lt;a href="canciones/nuevas/vamos_a_juntarnos.html"&gt;</v>
      </c>
    </row>
    <row r="1722" spans="1:21" hidden="1" x14ac:dyDescent="0.3">
      <c r="A1722" s="1">
        <f>ROW(CantoralDB[[#This Row],[Título]])-1</f>
        <v>1721</v>
      </c>
      <c r="B1722" s="1" t="s">
        <v>1383</v>
      </c>
      <c r="C1722" s="1"/>
      <c r="E1722" s="1">
        <v>279</v>
      </c>
      <c r="I1722" s="1"/>
      <c r="L1722" s="15" t="s">
        <v>2145</v>
      </c>
      <c r="M1722" s="15"/>
      <c r="N1722" s="15"/>
      <c r="O1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vamos_a_la_cena.html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722" s="15" t="str">
        <f>_xlfn.TEXTBEFORE(_xlfn.TEXTAFTER(CantoralDB[[#This Row],[index.html]],"&gt;"),"&gt;")&amp;"&gt;"</f>
        <v>&lt;a href="canciones/nsb/vamos_a_la_cena.html"&gt;</v>
      </c>
    </row>
    <row r="1723" spans="1:21" hidden="1" x14ac:dyDescent="0.3">
      <c r="A1723" s="1">
        <f>ROW(CantoralDB[[#This Row],[Título]])-1</f>
        <v>1722</v>
      </c>
      <c r="B1723" s="1" t="s">
        <v>156</v>
      </c>
      <c r="C1723" s="1" t="s">
        <v>191</v>
      </c>
      <c r="D1723" s="1" t="s">
        <v>760</v>
      </c>
      <c r="E1723" s="1">
        <v>284</v>
      </c>
      <c r="G1723" s="1" t="s">
        <v>209</v>
      </c>
      <c r="H1723" s="1" t="s">
        <v>532</v>
      </c>
      <c r="I1723" s="1" t="s">
        <v>612</v>
      </c>
      <c r="L1723" s="15" t="s">
        <v>479</v>
      </c>
      <c r="M1723" s="15"/>
      <c r="N1723" s="15"/>
      <c r="O1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vamos_a_preparar.html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1723" s="15" t="str">
        <f>_xlfn.TEXTBEFORE(_xlfn.TEXTAFTER(CantoralDB[[#This Row],[index.html]],"&gt;"),"&gt;")&amp;"&gt;"</f>
        <v>&lt;a href="canciones/carmelo_erdozain/vamos_a_preparar.html"&gt;</v>
      </c>
    </row>
    <row r="1724" spans="1:21" hidden="1" x14ac:dyDescent="0.3">
      <c r="A1724" s="1">
        <f>ROW(CantoralDB[[#This Row],[Título]])-1</f>
        <v>1723</v>
      </c>
      <c r="B1724" s="1" t="s">
        <v>1386</v>
      </c>
      <c r="C1724" s="1"/>
      <c r="E1724" s="1">
        <v>287</v>
      </c>
      <c r="I1724" s="1"/>
      <c r="L1724" s="15" t="s">
        <v>485</v>
      </c>
      <c r="M1724" s="15"/>
      <c r="N1724" s="15"/>
      <c r="O1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vamos_buscando_la_verdad.html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1724" s="15" t="str">
        <f>_xlfn.TEXTBEFORE(_xlfn.TEXTAFTER(CantoralDB[[#This Row],[index.html]],"&gt;"),"&gt;")&amp;"&gt;"</f>
        <v>&lt;a href="canciones/joaquin_madurga/vamos_buscando_la_verdad.html"&gt;</v>
      </c>
    </row>
    <row r="1725" spans="1:21" hidden="1" x14ac:dyDescent="0.3">
      <c r="A1725" s="1">
        <f>ROW(CantoralDB[[#This Row],[Título]])-1</f>
        <v>1724</v>
      </c>
      <c r="B1725" s="1" t="s">
        <v>157</v>
      </c>
      <c r="C1725" s="1" t="s">
        <v>191</v>
      </c>
      <c r="D1725" s="1" t="s">
        <v>761</v>
      </c>
      <c r="E1725" s="1">
        <v>277</v>
      </c>
      <c r="G1725" s="1" t="s">
        <v>209</v>
      </c>
      <c r="H1725" s="1" t="s">
        <v>1034</v>
      </c>
      <c r="I1725" s="1" t="s">
        <v>612</v>
      </c>
      <c r="L1725" s="15" t="s">
        <v>491</v>
      </c>
      <c r="M1725" s="15"/>
      <c r="N1725" s="15"/>
      <c r="O1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vamos_cantando_al_señor.html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1725" s="15" t="str">
        <f>_xlfn.TEXTBEFORE(_xlfn.TEXTAFTER(CantoralDB[[#This Row],[index.html]],"&gt;"),"&gt;")&amp;"&gt;"</f>
        <v>&lt;a href="canciones/juan_antonio_espinosa/vamos_cantando_al_señor.html"&gt;</v>
      </c>
    </row>
    <row r="1726" spans="1:21" hidden="1" x14ac:dyDescent="0.3">
      <c r="A1726" s="1">
        <f>ROW(CantoralDB[[#This Row],[Título]])-1</f>
        <v>1725</v>
      </c>
      <c r="B1726" s="1" t="s">
        <v>3507</v>
      </c>
      <c r="C1726" s="1"/>
      <c r="F1726" s="1">
        <v>162</v>
      </c>
      <c r="I1726" s="1"/>
      <c r="L1726" s="15" t="s">
        <v>799</v>
      </c>
      <c r="M1726" s="15"/>
      <c r="N1726" s="15"/>
      <c r="O1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href="canciones/nuevas/vamos_con_gozo.html"&gt;Vamos con gozo&lt;/a&gt;&lt;/li&gt;</v>
      </c>
      <c r="U1726" s="15" t="str">
        <f>_xlfn.TEXTBEFORE(_xlfn.TEXTAFTER(CantoralDB[[#This Row],[index.html]],"&gt;"),"&gt;")&amp;"&gt;"</f>
        <v>&lt;a href="canciones/nuevas/vamos_con_gozo.html"&gt;</v>
      </c>
    </row>
    <row r="1727" spans="1:21" hidden="1" x14ac:dyDescent="0.3">
      <c r="A1727" s="1">
        <f>ROW(CantoralDB[[#This Row],[Título]])-1</f>
        <v>1726</v>
      </c>
      <c r="B1727" s="1" t="s">
        <v>3507</v>
      </c>
      <c r="C1727" s="1"/>
      <c r="F1727" s="1">
        <v>324</v>
      </c>
      <c r="I1727" s="1"/>
      <c r="L1727" s="15" t="s">
        <v>3658</v>
      </c>
      <c r="M1727" s="15"/>
      <c r="N1727" s="15"/>
      <c r="O1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727" s="15" t="str">
        <f>_xlfn.TEXTBEFORE(_xlfn.TEXTAFTER(CantoralDB[[#This Row],[index.html]],"&gt;"),"&gt;")&amp;"&gt;"</f>
        <v>&lt;a href="canciones/nuevas/vamos_con_gozo.html"&gt;</v>
      </c>
    </row>
    <row r="1728" spans="1:21" hidden="1" x14ac:dyDescent="0.3">
      <c r="A1728" s="1">
        <f>ROW(CantoralDB[[#This Row],[Título]])-1</f>
        <v>1727</v>
      </c>
      <c r="B1728" s="1" t="s">
        <v>2079</v>
      </c>
      <c r="C1728" s="1"/>
      <c r="I1728" s="1" t="s">
        <v>612</v>
      </c>
      <c r="L1728" s="15" t="s">
        <v>484</v>
      </c>
      <c r="M1728" s="15" t="s">
        <v>1537</v>
      </c>
      <c r="N1728" s="15">
        <v>3</v>
      </c>
      <c r="O1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vamos_hacia_ti_(gloria_a_dios).html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1728" s="15" t="str">
        <f>_xlfn.TEXTBEFORE(_xlfn.TEXTAFTER(CantoralDB[[#This Row],[index.html]],"&gt;"),"&gt;")&amp;"&gt;"</f>
        <v>&lt;a href="canciones/kairoi/vamos_hacia_ti_(gloria_a_dios).html"&gt;</v>
      </c>
    </row>
    <row r="1729" spans="1:21" hidden="1" x14ac:dyDescent="0.3">
      <c r="A1729" s="1">
        <f>ROW(CantoralDB[[#This Row],[Título]])-1</f>
        <v>1728</v>
      </c>
      <c r="B1729" s="1" t="s">
        <v>158</v>
      </c>
      <c r="C1729" s="1" t="s">
        <v>191</v>
      </c>
      <c r="D1729" s="1" t="s">
        <v>762</v>
      </c>
      <c r="E1729" s="1">
        <v>285</v>
      </c>
      <c r="G1729" s="1" t="s">
        <v>209</v>
      </c>
      <c r="H1729" s="1" t="s">
        <v>1039</v>
      </c>
      <c r="I1729" s="1" t="s">
        <v>612</v>
      </c>
      <c r="L1729" s="15" t="s">
        <v>519</v>
      </c>
      <c r="M1729" s="15"/>
      <c r="N1729" s="15"/>
      <c r="O1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vamos_todos_al_banquete.html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729" s="15" t="str">
        <f>_xlfn.TEXTBEFORE(_xlfn.TEXTAFTER(CantoralDB[[#This Row],[index.html]],"&gt;"),"&gt;")&amp;"&gt;"</f>
        <v>&lt;a href="canciones/nsb/vamos_todos_al_banquete.html"&gt;</v>
      </c>
    </row>
    <row r="1730" spans="1:21" hidden="1" x14ac:dyDescent="0.3">
      <c r="A1730" s="1">
        <f>ROW(CantoralDB[[#This Row],[Título]])-1</f>
        <v>1729</v>
      </c>
      <c r="B1730" s="1" t="s">
        <v>3098</v>
      </c>
      <c r="C1730" s="15"/>
      <c r="I1730" s="1" t="s">
        <v>612</v>
      </c>
      <c r="L1730" s="15" t="s">
        <v>799</v>
      </c>
      <c r="M1730" s="15"/>
      <c r="N1730" s="15"/>
      <c r="O1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vamos_amigos.html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href="canciones/nuevas/vamos_amigos.html"&gt;Vamos, amigos&lt;/a&gt;&lt;/li&gt;</v>
      </c>
      <c r="U1730" s="15" t="str">
        <f>_xlfn.TEXTBEFORE(_xlfn.TEXTAFTER(CantoralDB[[#This Row],[index.html]],"&gt;"),"&gt;")&amp;"&gt;"</f>
        <v>&lt;a href="canciones/nuevas/vamos_amigos.html"&gt;</v>
      </c>
    </row>
    <row r="1731" spans="1:21" hidden="1" x14ac:dyDescent="0.3">
      <c r="A1731" s="1">
        <f>ROW(CantoralDB[[#This Row],[Título]])-1</f>
        <v>1730</v>
      </c>
      <c r="B1731" s="1" t="s">
        <v>159</v>
      </c>
      <c r="C1731" s="1" t="s">
        <v>199</v>
      </c>
      <c r="D1731" s="1" t="s">
        <v>1516</v>
      </c>
      <c r="E1731" s="1">
        <v>470</v>
      </c>
      <c r="F1731" s="1" t="s">
        <v>3392</v>
      </c>
      <c r="G1731" s="1" t="s">
        <v>209</v>
      </c>
      <c r="H1731" s="1" t="s">
        <v>1041</v>
      </c>
      <c r="I1731" s="1" t="s">
        <v>612</v>
      </c>
      <c r="L1731" s="15" t="s">
        <v>481</v>
      </c>
      <c r="M1731" s="15"/>
      <c r="N1731" s="15"/>
      <c r="O1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vaso_nuevo.html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1731" s="15" t="str">
        <f>_xlfn.TEXTBEFORE(_xlfn.TEXTAFTER(CantoralDB[[#This Row],[index.html]],"&gt;"),"&gt;")&amp;"&gt;"</f>
        <v>&lt;a href="canciones/francisco_palazon/vaso_nuevo.html"&gt;</v>
      </c>
    </row>
    <row r="1732" spans="1:21" hidden="1" x14ac:dyDescent="0.3">
      <c r="A1732" s="1">
        <f>ROW(CantoralDB[[#This Row],[Título]])-1</f>
        <v>1731</v>
      </c>
      <c r="B1732" s="1" t="s">
        <v>3623</v>
      </c>
      <c r="C1732" s="1"/>
      <c r="F1732" s="1">
        <v>290</v>
      </c>
      <c r="I1732" s="1"/>
      <c r="L1732" s="15" t="s">
        <v>574</v>
      </c>
      <c r="M1732" s="15"/>
      <c r="N1732" s="15"/>
      <c r="O1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ved_a_cristo.html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732" s="15" t="str">
        <f>_xlfn.TEXTBEFORE(_xlfn.TEXTAFTER(CantoralDB[[#This Row],[index.html]],"&gt;"),"&gt;")&amp;"&gt;"</f>
        <v>&lt;a href="canciones/pelayo_sanchez/ved_a_cristo.html"&gt;</v>
      </c>
    </row>
    <row r="1733" spans="1:21" hidden="1" x14ac:dyDescent="0.3">
      <c r="A1733" s="1">
        <f>ROW(CantoralDB[[#This Row],[Título]])-1</f>
        <v>1732</v>
      </c>
      <c r="B1733" s="1" t="s">
        <v>3649</v>
      </c>
      <c r="C1733" s="1"/>
      <c r="F1733" s="1">
        <v>313</v>
      </c>
      <c r="I1733" s="1"/>
      <c r="L1733" s="15" t="s">
        <v>574</v>
      </c>
      <c r="M1733" s="15"/>
      <c r="N1733" s="15"/>
      <c r="O1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ven_a_cantar.html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733" s="15" t="str">
        <f>_xlfn.TEXTBEFORE(_xlfn.TEXTAFTER(CantoralDB[[#This Row],[index.html]],"&gt;"),"&gt;")&amp;"&gt;"</f>
        <v>&lt;a href="canciones/pelayo_sanchez/ven_a_cantar.html"&gt;</v>
      </c>
    </row>
    <row r="1734" spans="1:21" hidden="1" x14ac:dyDescent="0.3">
      <c r="A1734" s="1">
        <f>ROW(CantoralDB[[#This Row],[Título]])-1</f>
        <v>1733</v>
      </c>
      <c r="B1734" s="1" t="s">
        <v>226</v>
      </c>
      <c r="C1734" s="1" t="s">
        <v>191</v>
      </c>
      <c r="D1734" s="1" t="s">
        <v>763</v>
      </c>
      <c r="G1734" s="1" t="s">
        <v>216</v>
      </c>
      <c r="H1734" s="1" t="s">
        <v>1039</v>
      </c>
      <c r="I1734" s="1" t="s">
        <v>612</v>
      </c>
      <c r="L1734" s="15" t="s">
        <v>493</v>
      </c>
      <c r="M1734" s="15"/>
      <c r="N1734" s="15"/>
      <c r="O1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ven_a_celebrar.html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734" s="15" t="str">
        <f>_xlfn.TEXTBEFORE(_xlfn.TEXTAFTER(CantoralDB[[#This Row],[index.html]],"&gt;"),"&gt;")&amp;"&gt;"</f>
        <v>&lt;a href="canciones/nsb/ven_a_celebrar.html"&gt;</v>
      </c>
    </row>
    <row r="1735" spans="1:21" hidden="1" x14ac:dyDescent="0.3">
      <c r="A1735" s="1">
        <f>ROW(CantoralDB[[#This Row],[Título]])-1</f>
        <v>1734</v>
      </c>
      <c r="B1735" s="1" t="s">
        <v>3566</v>
      </c>
      <c r="C1735" s="1"/>
      <c r="F1735" s="1">
        <v>224</v>
      </c>
      <c r="I1735" s="1"/>
      <c r="L1735" s="15" t="s">
        <v>799</v>
      </c>
      <c r="M1735" s="15"/>
      <c r="N1735" s="15"/>
      <c r="O1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ven_a_conocer.html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href="canciones/nuevas/ven_a_conocer.html"&gt;Ven a conocer&lt;/a&gt;&lt;/li&gt;</v>
      </c>
      <c r="U1735" s="15" t="str">
        <f>_xlfn.TEXTBEFORE(_xlfn.TEXTAFTER(CantoralDB[[#This Row],[index.html]],"&gt;"),"&gt;")&amp;"&gt;"</f>
        <v>&lt;a href="canciones/nuevas/ven_a_conocer.html"&gt;</v>
      </c>
    </row>
    <row r="1736" spans="1:21" hidden="1" x14ac:dyDescent="0.3">
      <c r="A1736" s="1">
        <f>ROW(CantoralDB[[#This Row],[Título]])-1</f>
        <v>1735</v>
      </c>
      <c r="B1736" s="1" t="s">
        <v>203</v>
      </c>
      <c r="C1736" s="1" t="s">
        <v>191</v>
      </c>
      <c r="D1736" s="1" t="s">
        <v>764</v>
      </c>
      <c r="G1736" s="1" t="s">
        <v>209</v>
      </c>
      <c r="H1736" s="1" t="s">
        <v>1037</v>
      </c>
      <c r="I1736" s="1" t="s">
        <v>612</v>
      </c>
      <c r="L1736" s="15" t="s">
        <v>482</v>
      </c>
      <c r="M1736" s="15" t="s">
        <v>1893</v>
      </c>
      <c r="N1736" s="15">
        <v>1</v>
      </c>
      <c r="O1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ven_a_la_fiesta.html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736" s="15" t="str">
        <f>_xlfn.TEXTBEFORE(_xlfn.TEXTAFTER(CantoralDB[[#This Row],[index.html]],"&gt;"),"&gt;")&amp;"&gt;"</f>
        <v>&lt;a href="canciones/toño_casado/ven_a_la_fiesta.html"&gt;</v>
      </c>
    </row>
    <row r="1737" spans="1:21" hidden="1" x14ac:dyDescent="0.3">
      <c r="A1737" s="1">
        <f>ROW(CantoralDB[[#This Row],[Título]])-1</f>
        <v>1736</v>
      </c>
      <c r="B1737" s="1" t="s">
        <v>1384</v>
      </c>
      <c r="C1737" s="1"/>
      <c r="E1737" s="1">
        <v>280</v>
      </c>
      <c r="I1737" s="1"/>
      <c r="L1737" s="15" t="s">
        <v>2167</v>
      </c>
      <c r="M1737" s="15"/>
      <c r="N1737" s="15"/>
      <c r="O1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ven_a_nuestro_mundo.html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737" s="15" t="str">
        <f>_xlfn.TEXTBEFORE(_xlfn.TEXTAFTER(CantoralDB[[#This Row],[index.html]],"&gt;"),"&gt;")&amp;"&gt;"</f>
        <v>&lt;a href="canciones/nsb/ven_a_nuestro_mundo.html"&gt;</v>
      </c>
    </row>
    <row r="1738" spans="1:21" hidden="1" x14ac:dyDescent="0.3">
      <c r="A1738" s="1">
        <f>ROW(CantoralDB[[#This Row],[Título]])-1</f>
        <v>1737</v>
      </c>
      <c r="B1738" s="1" t="s">
        <v>3614</v>
      </c>
      <c r="C1738" s="1"/>
      <c r="F1738" s="1">
        <v>278</v>
      </c>
      <c r="I1738" s="1"/>
      <c r="L1738" s="15" t="s">
        <v>799</v>
      </c>
      <c r="M1738" s="15"/>
      <c r="N1738" s="15"/>
      <c r="O1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href="canciones/nuevas/ven_ahora.html"&gt;Ven ahora&lt;/a&gt;&lt;/li&gt;</v>
      </c>
      <c r="U1738" s="15" t="str">
        <f>_xlfn.TEXTBEFORE(_xlfn.TEXTAFTER(CantoralDB[[#This Row],[index.html]],"&gt;"),"&gt;")&amp;"&gt;"</f>
        <v>&lt;a href="canciones/nuevas/ven_ahora.html"&gt;</v>
      </c>
    </row>
    <row r="1739" spans="1:21" hidden="1" x14ac:dyDescent="0.3">
      <c r="A1739" s="1">
        <f>ROW(CantoralDB[[#This Row],[Título]])-1</f>
        <v>1738</v>
      </c>
      <c r="B1739" s="1" t="s">
        <v>3606</v>
      </c>
      <c r="C1739" s="1"/>
      <c r="F1739" s="1">
        <v>271</v>
      </c>
      <c r="I1739" s="1"/>
      <c r="L1739" s="15" t="s">
        <v>3607</v>
      </c>
      <c r="M1739" s="15"/>
      <c r="N1739" s="15"/>
      <c r="O1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ven_ahora_espiritu_santo.html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1739" s="15" t="str">
        <f>_xlfn.TEXTBEFORE(_xlfn.TEXTAFTER(CantoralDB[[#This Row],[index.html]],"&gt;"),"&gt;")&amp;"&gt;"</f>
        <v>&lt;a href="canciones/nuevas/ven_ahora_espiritu_santo.html"&gt;</v>
      </c>
    </row>
    <row r="1740" spans="1:21" hidden="1" x14ac:dyDescent="0.3">
      <c r="A1740" s="1">
        <f>ROW(CantoralDB[[#This Row],[Título]])-1</f>
        <v>1739</v>
      </c>
      <c r="B1740" s="1" t="s">
        <v>3769</v>
      </c>
      <c r="C1740" s="1"/>
      <c r="F1740" s="1">
        <v>418</v>
      </c>
      <c r="I1740" s="1"/>
      <c r="L1740" s="15" t="s">
        <v>799</v>
      </c>
      <c r="M1740" s="15"/>
      <c r="N1740" s="15"/>
      <c r="O1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ven_al_corazon.html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href="canciones/nuevas/ven_al_corazon.html"&gt;Ven al corazón&lt;/a&gt;&lt;/li&gt;</v>
      </c>
      <c r="U1740" s="15" t="str">
        <f>_xlfn.TEXTBEFORE(_xlfn.TEXTAFTER(CantoralDB[[#This Row],[index.html]],"&gt;"),"&gt;")&amp;"&gt;"</f>
        <v>&lt;a href="canciones/nuevas/ven_al_corazon.html"&gt;</v>
      </c>
    </row>
    <row r="1741" spans="1:21" hidden="1" x14ac:dyDescent="0.3">
      <c r="A1741" s="1">
        <f>ROW(CantoralDB[[#This Row],[Título]])-1</f>
        <v>1740</v>
      </c>
      <c r="B1741" s="1" t="s">
        <v>1669</v>
      </c>
      <c r="C1741" s="1"/>
      <c r="I1741" s="1"/>
      <c r="L1741" s="15" t="s">
        <v>484</v>
      </c>
      <c r="M1741" s="15" t="s">
        <v>1532</v>
      </c>
      <c r="N1741" s="15">
        <v>12</v>
      </c>
      <c r="O1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ven_conmigo_amigo.html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1741" s="15" t="str">
        <f>_xlfn.TEXTBEFORE(_xlfn.TEXTAFTER(CantoralDB[[#This Row],[index.html]],"&gt;"),"&gt;")&amp;"&gt;"</f>
        <v>&lt;a href="canciones/kairoi/ven_conmigo_amigo.html"&gt;</v>
      </c>
    </row>
    <row r="1742" spans="1:21" hidden="1" x14ac:dyDescent="0.3">
      <c r="A1742" s="1">
        <f>ROW(CantoralDB[[#This Row],[Título]])-1</f>
        <v>1741</v>
      </c>
      <c r="B1742" s="1" t="s">
        <v>3807</v>
      </c>
      <c r="C1742" s="1"/>
      <c r="I1742" s="1"/>
      <c r="L1742" s="15" t="s">
        <v>499</v>
      </c>
      <c r="M1742" s="15" t="s">
        <v>3803</v>
      </c>
      <c r="N1742" s="15">
        <v>7</v>
      </c>
      <c r="O1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ven_junto_a_mi.html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742" s="15" t="str">
        <f>_xlfn.TEXTBEFORE(_xlfn.TEXTAFTER(CantoralDB[[#This Row],[index.html]],"&gt;"),"&gt;")&amp;"&gt;"</f>
        <v>&lt;a href="canciones/brotes_de_olivo/ven_junto_a_mi.html"&gt;</v>
      </c>
    </row>
    <row r="1743" spans="1:21" hidden="1" x14ac:dyDescent="0.3">
      <c r="A1743" s="1">
        <f>ROW(CantoralDB[[#This Row],[Título]])-1</f>
        <v>1742</v>
      </c>
      <c r="B1743" s="1" t="s">
        <v>3374</v>
      </c>
      <c r="C1743" s="1"/>
      <c r="F1743" s="1">
        <v>39</v>
      </c>
      <c r="I1743" s="1"/>
      <c r="L1743" s="15" t="s">
        <v>3373</v>
      </c>
      <c r="M1743" s="15"/>
      <c r="N1743" s="15"/>
      <c r="O1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ven_y_adorale.html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1743" s="15" t="str">
        <f>_xlfn.TEXTBEFORE(_xlfn.TEXTAFTER(CantoralDB[[#This Row],[index.html]],"&gt;"),"&gt;")&amp;"&gt;"</f>
        <v>&lt;a href="canciones/nuevas/ven_y_adorale.html"&gt;</v>
      </c>
    </row>
    <row r="1744" spans="1:21" hidden="1" x14ac:dyDescent="0.3">
      <c r="A1744" s="1">
        <f>ROW(CantoralDB[[#This Row],[Título]])-1</f>
        <v>1743</v>
      </c>
      <c r="B1744" s="1" t="s">
        <v>3415</v>
      </c>
      <c r="C1744" s="1"/>
      <c r="F1744" s="1">
        <v>77</v>
      </c>
      <c r="I1744" s="1"/>
      <c r="L1744" s="15" t="s">
        <v>543</v>
      </c>
      <c r="M1744" s="15"/>
      <c r="N1744" s="15"/>
      <c r="O1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ven_y_dejate_llevar.html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1744" s="15" t="str">
        <f>_xlfn.TEXTBEFORE(_xlfn.TEXTAFTER(CantoralDB[[#This Row],[index.html]],"&gt;"),"&gt;")&amp;"&gt;"</f>
        <v>&lt;a href="canciones/josep_asuncion/ven_y_dejate_llevar.html"&gt;</v>
      </c>
    </row>
    <row r="1745" spans="1:21" hidden="1" x14ac:dyDescent="0.3">
      <c r="A1745" s="1">
        <f>ROW(CantoralDB[[#This Row],[Título]])-1</f>
        <v>1744</v>
      </c>
      <c r="B1745" s="1" t="s">
        <v>597</v>
      </c>
      <c r="C1745" s="1" t="s">
        <v>201</v>
      </c>
      <c r="D1745" s="1" t="s">
        <v>681</v>
      </c>
      <c r="F1745" s="1">
        <v>368</v>
      </c>
      <c r="G1745" s="1" t="s">
        <v>213</v>
      </c>
      <c r="H1745" s="1" t="s">
        <v>1044</v>
      </c>
      <c r="I1745" s="1" t="s">
        <v>612</v>
      </c>
      <c r="L1745" s="15" t="s">
        <v>543</v>
      </c>
      <c r="M1745" s="15"/>
      <c r="N1745" s="15"/>
      <c r="O1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ven_y_descansate.html</v>
      </c>
      <c r="R1745" s="1"/>
      <c r="S1745" s="1"/>
      <c r="T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1745" s="15" t="str">
        <f>_xlfn.TEXTBEFORE(_xlfn.TEXTAFTER(CantoralDB[[#This Row],[index.html]],"&gt;"),"&gt;")&amp;"&gt;"</f>
        <v>&lt;a href="canciones/josep_asuncion/ven_y_descansate.html"&gt;</v>
      </c>
    </row>
    <row r="1746" spans="1:21" hidden="1" x14ac:dyDescent="0.3">
      <c r="A1746" s="1">
        <f>ROW(CantoralDB[[#This Row],[Título]])-1</f>
        <v>1745</v>
      </c>
      <c r="B1746" s="1" t="s">
        <v>3739</v>
      </c>
      <c r="C1746" s="1"/>
      <c r="F1746" s="1">
        <v>395</v>
      </c>
      <c r="I1746" s="1"/>
      <c r="L1746" s="15" t="s">
        <v>3740</v>
      </c>
      <c r="M1746" s="15"/>
      <c r="N1746" s="15"/>
      <c r="O1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ven_y_juntos_alabemos.html</v>
      </c>
      <c r="R1746" s="1"/>
      <c r="S1746" s="1"/>
      <c r="T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746" s="15" t="str">
        <f>_xlfn.TEXTBEFORE(_xlfn.TEXTAFTER(CantoralDB[[#This Row],[index.html]],"&gt;"),"&gt;")&amp;"&gt;"</f>
        <v>&lt;a href="canciones/nuevas/ven_y_juntos_alabemos.html"&gt;</v>
      </c>
    </row>
    <row r="1747" spans="1:21" hidden="1" x14ac:dyDescent="0.3">
      <c r="A1747" s="1">
        <f>ROW(CantoralDB[[#This Row],[Título]])-1</f>
        <v>1746</v>
      </c>
      <c r="B1747" s="1" t="s">
        <v>3618</v>
      </c>
      <c r="C1747" s="1"/>
      <c r="F1747" s="1">
        <v>283</v>
      </c>
      <c r="I1747" s="1"/>
      <c r="L1747" s="15" t="s">
        <v>799</v>
      </c>
      <c r="M1747" s="15"/>
      <c r="N1747" s="15"/>
      <c r="O1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ven_amor_de_dios.html</v>
      </c>
      <c r="R1747" s="1"/>
      <c r="S1747" s="1"/>
      <c r="T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href="canciones/nuevas/ven_amor_de_dios.html"&gt;Ven, Amor de Dios&lt;/a&gt;&lt;/li&gt;</v>
      </c>
      <c r="U1747" s="15" t="str">
        <f>_xlfn.TEXTBEFORE(_xlfn.TEXTAFTER(CantoralDB[[#This Row],[index.html]],"&gt;"),"&gt;")&amp;"&gt;"</f>
        <v>&lt;a href="canciones/nuevas/ven_amor_de_dios.html"&gt;</v>
      </c>
    </row>
    <row r="1748" spans="1:21" hidden="1" x14ac:dyDescent="0.3">
      <c r="A1748" s="1">
        <f>ROW(CantoralDB[[#This Row],[Título]])-1</f>
        <v>1747</v>
      </c>
      <c r="B1748" s="1" t="s">
        <v>3592</v>
      </c>
      <c r="C1748" s="1"/>
      <c r="F1748" s="1">
        <v>258</v>
      </c>
      <c r="I1748" s="1"/>
      <c r="L1748" s="15" t="s">
        <v>3594</v>
      </c>
      <c r="M1748" s="15"/>
      <c r="N1748" s="15"/>
      <c r="O1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ven_dios_padre.html</v>
      </c>
      <c r="R1748" s="1"/>
      <c r="S1748" s="1"/>
      <c r="T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1748" s="15" t="str">
        <f>_xlfn.TEXTBEFORE(_xlfn.TEXTAFTER(CantoralDB[[#This Row],[index.html]],"&gt;"),"&gt;")&amp;"&gt;"</f>
        <v>&lt;a href="canciones/nuevas/ven_dios_padre.html"&gt;</v>
      </c>
    </row>
    <row r="1749" spans="1:21" hidden="1" x14ac:dyDescent="0.3">
      <c r="A1749" s="1">
        <f>ROW(CantoralDB[[#This Row],[Título]])-1</f>
        <v>1748</v>
      </c>
      <c r="B1749" s="1" t="s">
        <v>3764</v>
      </c>
      <c r="C1749" s="1"/>
      <c r="F1749" s="1">
        <v>414</v>
      </c>
      <c r="I1749" s="1"/>
      <c r="L1749" s="15" t="s">
        <v>3767</v>
      </c>
      <c r="M1749" s="15"/>
      <c r="N1749" s="15"/>
      <c r="O1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ven_es_hora_de_adorarle.html</v>
      </c>
      <c r="R1749" s="1"/>
      <c r="S1749" s="1"/>
      <c r="T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1749" s="15" t="str">
        <f>_xlfn.TEXTBEFORE(_xlfn.TEXTAFTER(CantoralDB[[#This Row],[index.html]],"&gt;"),"&gt;")&amp;"&gt;"</f>
        <v>&lt;a href="canciones/nuevas/ven_es_hora_de_adorarle.html"&gt;</v>
      </c>
    </row>
    <row r="1750" spans="1:21" hidden="1" x14ac:dyDescent="0.3">
      <c r="A1750" s="1">
        <f>ROW(CantoralDB[[#This Row],[Título]])-1</f>
        <v>1749</v>
      </c>
      <c r="B1750" s="1" t="s">
        <v>1795</v>
      </c>
      <c r="C1750" s="1"/>
      <c r="I1750" s="1" t="s">
        <v>612</v>
      </c>
      <c r="L1750" s="15" t="s">
        <v>501</v>
      </c>
      <c r="M1750" s="15" t="s">
        <v>1547</v>
      </c>
      <c r="N1750" s="15">
        <v>11</v>
      </c>
      <c r="O1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750" s="1"/>
      <c r="S1750" s="1"/>
      <c r="T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1750" s="15" t="str">
        <f>_xlfn.TEXTBEFORE(_xlfn.TEXTAFTER(CantoralDB[[#This Row],[index.html]],"&gt;"),"&gt;")&amp;"&gt;"</f>
        <v>&lt;a href="canciones/ain_karem/ven_espiritu.html"&gt;</v>
      </c>
    </row>
    <row r="1751" spans="1:21" hidden="1" x14ac:dyDescent="0.3">
      <c r="A1751" s="1">
        <f>ROW(CantoralDB[[#This Row],[Título]])-1</f>
        <v>1750</v>
      </c>
      <c r="B1751" s="1" t="s">
        <v>1795</v>
      </c>
      <c r="C1751" s="1"/>
      <c r="F1751" s="1">
        <v>175</v>
      </c>
      <c r="I1751" s="1"/>
      <c r="L1751" s="15" t="s">
        <v>594</v>
      </c>
      <c r="M1751" s="15"/>
      <c r="N1751" s="15"/>
      <c r="O1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751" s="1"/>
      <c r="S1751" s="1"/>
      <c r="T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1751" s="15" t="str">
        <f>_xlfn.TEXTBEFORE(_xlfn.TEXTAFTER(CantoralDB[[#This Row],[index.html]],"&gt;"),"&gt;")&amp;"&gt;"</f>
        <v>&lt;a href="canciones/alejandro_ruiz/ven_espiritu.html"&gt;</v>
      </c>
    </row>
    <row r="1752" spans="1:21" x14ac:dyDescent="0.3">
      <c r="A1752" s="1">
        <f>ROW(CantoralDB[[#This Row],[Título]])-1</f>
        <v>1751</v>
      </c>
      <c r="B1752" s="1" t="s">
        <v>947</v>
      </c>
      <c r="C1752" s="1" t="s">
        <v>1025</v>
      </c>
      <c r="D1752" s="1" t="s">
        <v>1194</v>
      </c>
      <c r="H1752" s="1" t="s">
        <v>1031</v>
      </c>
      <c r="I1752" s="1" t="s">
        <v>612</v>
      </c>
      <c r="L1752" s="15" t="s">
        <v>1991</v>
      </c>
      <c r="M1752" s="15"/>
      <c r="N1752" s="15"/>
      <c r="O1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52" s="1"/>
      <c r="S1752" s="1" t="s">
        <v>466</v>
      </c>
      <c r="T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752" s="15" t="str">
        <f>_xlfn.TEXTBEFORE(_xlfn.TEXTAFTER(CantoralDB[[#This Row],[index.html]],"&gt;"),"&gt;")&amp;"&gt;"</f>
        <v>&lt;a href="canciones/taize/vieni_spirito_creatore_(canon).html"&gt;</v>
      </c>
    </row>
    <row r="1753" spans="1:21" hidden="1" x14ac:dyDescent="0.3">
      <c r="A1753" s="1">
        <f>ROW(CantoralDB[[#This Row],[Título]])-1</f>
        <v>1752</v>
      </c>
      <c r="B1753" s="1" t="s">
        <v>3487</v>
      </c>
      <c r="C1753" s="1"/>
      <c r="F1753" s="1">
        <v>144</v>
      </c>
      <c r="I1753" s="1"/>
      <c r="L1753" s="15" t="s">
        <v>3458</v>
      </c>
      <c r="M1753" s="15"/>
      <c r="N1753" s="15"/>
      <c r="O1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ven_espiritu_de_amor.html</v>
      </c>
      <c r="R1753" s="1"/>
      <c r="S1753" s="1"/>
      <c r="T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1753" s="15" t="str">
        <f>_xlfn.TEXTBEFORE(_xlfn.TEXTAFTER(CantoralDB[[#This Row],[index.html]],"&gt;"),"&gt;")&amp;"&gt;"</f>
        <v>&lt;a href="canciones/marta_gil-delgado/ven_espiritu_de_amor.html"&gt;</v>
      </c>
    </row>
    <row r="1754" spans="1:21" hidden="1" x14ac:dyDescent="0.3">
      <c r="A1754" s="1">
        <f>ROW(CantoralDB[[#This Row],[Título]])-1</f>
        <v>1753</v>
      </c>
      <c r="B1754" s="1" t="s">
        <v>945</v>
      </c>
      <c r="C1754" s="1"/>
      <c r="I1754" s="1" t="s">
        <v>612</v>
      </c>
      <c r="L1754" s="15" t="s">
        <v>501</v>
      </c>
      <c r="M1754" s="15" t="s">
        <v>1547</v>
      </c>
      <c r="N1754" s="15">
        <v>3</v>
      </c>
      <c r="O1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754" s="1"/>
      <c r="S1754" s="1"/>
      <c r="T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1754" s="15" t="str">
        <f>_xlfn.TEXTBEFORE(_xlfn.TEXTAFTER(CantoralDB[[#This Row],[index.html]],"&gt;"),"&gt;")&amp;"&gt;"</f>
        <v>&lt;a href="canciones/ain_karem/ven_espiritu_de_dios.html"&gt;</v>
      </c>
    </row>
    <row r="1755" spans="1:21" hidden="1" x14ac:dyDescent="0.3">
      <c r="A1755" s="1">
        <f>ROW(CantoralDB[[#This Row],[Título]])-1</f>
        <v>1754</v>
      </c>
      <c r="B1755" s="1" t="s">
        <v>945</v>
      </c>
      <c r="C1755" s="1"/>
      <c r="F1755" s="1">
        <v>93</v>
      </c>
      <c r="I1755" s="1"/>
      <c r="L1755" s="15" t="s">
        <v>3432</v>
      </c>
      <c r="M1755" s="15"/>
      <c r="N1755" s="15"/>
      <c r="O1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755" s="1"/>
      <c r="S1755" s="1"/>
      <c r="T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1755" s="15" t="str">
        <f>_xlfn.TEXTBEFORE(_xlfn.TEXTAFTER(CantoralDB[[#This Row],[index.html]],"&gt;"),"&gt;")&amp;"&gt;"</f>
        <v>&lt;a href="canciones/nuevas/ven_espiritu_de_dios.html"&gt;</v>
      </c>
    </row>
    <row r="1756" spans="1:21" x14ac:dyDescent="0.3">
      <c r="A1756" s="1">
        <f>ROW(CantoralDB[[#This Row],[Título]])-1</f>
        <v>1755</v>
      </c>
      <c r="B1756" s="1" t="s">
        <v>945</v>
      </c>
      <c r="C1756" s="1" t="s">
        <v>1025</v>
      </c>
      <c r="D1756" s="1" t="s">
        <v>1193</v>
      </c>
      <c r="H1756" s="1" t="s">
        <v>1050</v>
      </c>
      <c r="I1756" s="1" t="s">
        <v>612</v>
      </c>
      <c r="L1756" s="15" t="s">
        <v>1991</v>
      </c>
      <c r="M1756" s="15"/>
      <c r="N1756" s="15"/>
      <c r="O1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756" s="1"/>
      <c r="S1756" s="1" t="s">
        <v>455</v>
      </c>
      <c r="T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756" s="15" t="str">
        <f>_xlfn.TEXTBEFORE(_xlfn.TEXTAFTER(CantoralDB[[#This Row],[index.html]],"&gt;"),"&gt;")&amp;"&gt;"</f>
        <v>&lt;a href="canciones/taize/tui_amoris.html"&gt;</v>
      </c>
    </row>
    <row r="1757" spans="1:21" hidden="1" x14ac:dyDescent="0.3">
      <c r="A1757" s="1">
        <f>ROW(CantoralDB[[#This Row],[Título]])-1</f>
        <v>1756</v>
      </c>
      <c r="B1757" s="1" t="s">
        <v>217</v>
      </c>
      <c r="C1757" s="1" t="s">
        <v>219</v>
      </c>
      <c r="D1757" s="1" t="s">
        <v>1517</v>
      </c>
      <c r="G1757" s="1" t="s">
        <v>209</v>
      </c>
      <c r="H1757" s="1" t="s">
        <v>1035</v>
      </c>
      <c r="I1757" s="1" t="s">
        <v>612</v>
      </c>
      <c r="L1757" s="15" t="s">
        <v>799</v>
      </c>
      <c r="M1757" s="15"/>
      <c r="N1757" s="15"/>
      <c r="O1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ven_espiritu_de_dios_(esprit_createur).html</v>
      </c>
      <c r="R1757" s="1"/>
      <c r="S1757" s="1" t="s">
        <v>2186</v>
      </c>
      <c r="T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757" s="15" t="str">
        <f>_xlfn.TEXTBEFORE(_xlfn.TEXTAFTER(CantoralDB[[#This Row],[index.html]],"&gt;"),"&gt;")&amp;"&gt;"</f>
        <v>&lt;a href="canciones/nsb/ven_espiritu_de_dios_(esprit_createur).html"&gt;</v>
      </c>
    </row>
    <row r="1758" spans="1:21" hidden="1" x14ac:dyDescent="0.3">
      <c r="A1758" s="1">
        <f>ROW(CantoralDB[[#This Row],[Título]])-1</f>
        <v>1757</v>
      </c>
      <c r="B1758" s="1" t="s">
        <v>189</v>
      </c>
      <c r="C1758" s="1" t="s">
        <v>219</v>
      </c>
      <c r="D1758" s="1" t="s">
        <v>1518</v>
      </c>
      <c r="F1758" s="1">
        <v>135</v>
      </c>
      <c r="G1758" s="1" t="s">
        <v>209</v>
      </c>
      <c r="H1758" s="1" t="s">
        <v>1044</v>
      </c>
      <c r="I1758" s="1" t="s">
        <v>612</v>
      </c>
      <c r="L1758" s="15" t="s">
        <v>484</v>
      </c>
      <c r="M1758" s="15"/>
      <c r="N1758" s="15"/>
      <c r="O1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ven_espiritu_de_dios_(kairoi).html</v>
      </c>
      <c r="R1758" s="1"/>
      <c r="S1758" s="1"/>
      <c r="T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1758" s="15" t="str">
        <f>_xlfn.TEXTBEFORE(_xlfn.TEXTAFTER(CantoralDB[[#This Row],[index.html]],"&gt;"),"&gt;")&amp;"&gt;"</f>
        <v>&lt;a href="canciones/kairoi/ven_espiritu_de_dios_(kairoi).html"&gt;</v>
      </c>
    </row>
    <row r="1759" spans="1:21" hidden="1" x14ac:dyDescent="0.3">
      <c r="A1759" s="1">
        <f>ROW(CantoralDB[[#This Row],[Título]])-1</f>
        <v>1758</v>
      </c>
      <c r="B1759" s="1" t="s">
        <v>3393</v>
      </c>
      <c r="C1759" s="1"/>
      <c r="F1759" s="1">
        <v>55</v>
      </c>
      <c r="I1759" s="1"/>
      <c r="L1759" s="15" t="s">
        <v>799</v>
      </c>
      <c r="M1759" s="15"/>
      <c r="N1759" s="15"/>
      <c r="O1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ven_espiritu_divino.html</v>
      </c>
      <c r="R1759" s="1"/>
      <c r="S1759" s="1"/>
      <c r="T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href="canciones/nuevas/ven_espiritu_divino.html"&gt;Ven, Espíritu divino&lt;/a&gt;&lt;/li&gt;</v>
      </c>
      <c r="U1759" s="15" t="str">
        <f>_xlfn.TEXTBEFORE(_xlfn.TEXTAFTER(CantoralDB[[#This Row],[index.html]],"&gt;"),"&gt;")&amp;"&gt;"</f>
        <v>&lt;a href="canciones/nuevas/ven_espiritu_divino.html"&gt;</v>
      </c>
    </row>
    <row r="1760" spans="1:21" hidden="1" x14ac:dyDescent="0.3">
      <c r="A1760" s="1">
        <f>ROW(CantoralDB[[#This Row],[Título]])-1</f>
        <v>1759</v>
      </c>
      <c r="B1760" s="1" t="s">
        <v>539</v>
      </c>
      <c r="C1760" s="1" t="s">
        <v>211</v>
      </c>
      <c r="D1760" s="1" t="s">
        <v>1519</v>
      </c>
      <c r="G1760" s="1" t="s">
        <v>209</v>
      </c>
      <c r="H1760" s="1" t="s">
        <v>532</v>
      </c>
      <c r="I1760" s="1" t="s">
        <v>612</v>
      </c>
      <c r="L1760" s="15" t="s">
        <v>511</v>
      </c>
      <c r="M1760" s="15"/>
      <c r="N1760" s="15"/>
      <c r="O1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ven_espiritu_divino_(secuencia_de_pentecostes).html</v>
      </c>
      <c r="R1760" s="1"/>
      <c r="S1760" s="1"/>
      <c r="T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760" s="15" t="str">
        <f>_xlfn.TEXTBEFORE(_xlfn.TEXTAFTER(CantoralDB[[#This Row],[index.html]],"&gt;"),"&gt;")&amp;"&gt;"</f>
        <v>&lt;a href="canciones/nsb/ven_espiritu_divino_(secuencia_de_pentecostes).html"&gt;</v>
      </c>
    </row>
    <row r="1761" spans="1:21" hidden="1" x14ac:dyDescent="0.3">
      <c r="A1761" s="1">
        <f>ROW(CantoralDB[[#This Row],[Título]])-1</f>
        <v>1760</v>
      </c>
      <c r="B1761" s="1" t="s">
        <v>1389</v>
      </c>
      <c r="C1761" s="1"/>
      <c r="E1761" s="1">
        <v>290</v>
      </c>
      <c r="I1761" s="1"/>
      <c r="L1761" s="15" t="s">
        <v>479</v>
      </c>
      <c r="M1761" s="15"/>
      <c r="N1761" s="15"/>
      <c r="O1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761" s="1"/>
      <c r="S1761" s="1"/>
      <c r="T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1761" s="15" t="str">
        <f>_xlfn.TEXTBEFORE(_xlfn.TEXTAFTER(CantoralDB[[#This Row],[index.html]],"&gt;"),"&gt;")&amp;"&gt;"</f>
        <v>&lt;a href="canciones/carmelo_erdozain/ven_espiritu_santo.html"&gt;</v>
      </c>
    </row>
    <row r="1762" spans="1:21" hidden="1" x14ac:dyDescent="0.3">
      <c r="A1762" s="1">
        <f>ROW(CantoralDB[[#This Row],[Título]])-1</f>
        <v>1761</v>
      </c>
      <c r="B1762" s="1" t="s">
        <v>1389</v>
      </c>
      <c r="C1762" s="1"/>
      <c r="F1762" s="1">
        <v>273</v>
      </c>
      <c r="I1762" s="1"/>
      <c r="L1762" s="15" t="s">
        <v>3381</v>
      </c>
      <c r="M1762" s="15"/>
      <c r="N1762" s="15"/>
      <c r="O1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762" s="1"/>
      <c r="S1762" s="1"/>
      <c r="T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762" s="15" t="str">
        <f>_xlfn.TEXTBEFORE(_xlfn.TEXTAFTER(CantoralDB[[#This Row],[index.html]],"&gt;"),"&gt;")&amp;"&gt;"</f>
        <v>&lt;a href="canciones/nuevas/ven_espiritu_santo.html"&gt;</v>
      </c>
    </row>
    <row r="1763" spans="1:21" hidden="1" x14ac:dyDescent="0.3">
      <c r="A1763" s="1">
        <f>ROW(CantoralDB[[#This Row],[Título]])-1</f>
        <v>1762</v>
      </c>
      <c r="B1763" s="1" t="s">
        <v>3775</v>
      </c>
      <c r="C1763" s="1"/>
      <c r="F1763" s="1">
        <v>424</v>
      </c>
      <c r="I1763" s="1"/>
      <c r="L1763" s="15" t="s">
        <v>594</v>
      </c>
      <c r="M1763" s="15"/>
      <c r="N1763" s="15"/>
      <c r="O1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ven_espiritu_santo_de_dios.html</v>
      </c>
      <c r="R1763" s="1"/>
      <c r="S1763" s="1"/>
      <c r="T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1763" s="15" t="str">
        <f>_xlfn.TEXTBEFORE(_xlfn.TEXTAFTER(CantoralDB[[#This Row],[index.html]],"&gt;"),"&gt;")&amp;"&gt;"</f>
        <v>&lt;a href="canciones/alejandro_ruiz/ven_espiritu_santo_de_dios.html"&gt;</v>
      </c>
    </row>
    <row r="1764" spans="1:21" hidden="1" x14ac:dyDescent="0.3">
      <c r="A1764" s="1">
        <f>ROW(CantoralDB[[#This Row],[Título]])-1</f>
        <v>1763</v>
      </c>
      <c r="B1764" s="1" t="s">
        <v>3780</v>
      </c>
      <c r="C1764" s="1"/>
      <c r="F1764" s="1">
        <v>427</v>
      </c>
      <c r="I1764" s="1"/>
      <c r="L1764" s="15" t="s">
        <v>3782</v>
      </c>
      <c r="M1764" s="15"/>
      <c r="N1764" s="15"/>
      <c r="O1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ven_espiritu_ven.html</v>
      </c>
      <c r="R1764" s="1"/>
      <c r="S1764" s="1"/>
      <c r="T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764" s="15" t="str">
        <f>_xlfn.TEXTBEFORE(_xlfn.TEXTAFTER(CantoralDB[[#This Row],[index.html]],"&gt;"),"&gt;")&amp;"&gt;"</f>
        <v>&lt;a href="canciones/nuevas/ven_espiritu_ven.html"&gt;</v>
      </c>
    </row>
    <row r="1765" spans="1:21" hidden="1" x14ac:dyDescent="0.3">
      <c r="A1765" s="1">
        <f>ROW(CantoralDB[[#This Row],[Título]])-1</f>
        <v>1764</v>
      </c>
      <c r="B1765" s="1" t="s">
        <v>567</v>
      </c>
      <c r="C1765" s="1" t="s">
        <v>201</v>
      </c>
      <c r="D1765" s="1" t="s">
        <v>682</v>
      </c>
      <c r="G1765" s="1" t="s">
        <v>557</v>
      </c>
      <c r="H1765" s="1" t="s">
        <v>473</v>
      </c>
      <c r="I1765" s="1" t="s">
        <v>612</v>
      </c>
      <c r="L1765" s="15" t="s">
        <v>499</v>
      </c>
      <c r="M1765" s="15"/>
      <c r="N1765" s="15"/>
      <c r="O1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ven_no_apartes_de_mi_los_ojos.html</v>
      </c>
      <c r="R1765" s="1"/>
      <c r="S1765" s="1"/>
      <c r="T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765" s="15" t="str">
        <f>_xlfn.TEXTBEFORE(_xlfn.TEXTAFTER(CantoralDB[[#This Row],[index.html]],"&gt;"),"&gt;")&amp;"&gt;"</f>
        <v>&lt;a href="canciones/brotes_de_olivo/ven_no_apartes_de_mi_los_ojos.html"&gt;</v>
      </c>
    </row>
    <row r="1766" spans="1:21" hidden="1" x14ac:dyDescent="0.3">
      <c r="A1766" s="1">
        <f>ROW(CantoralDB[[#This Row],[Título]])-1</f>
        <v>1765</v>
      </c>
      <c r="B1766" s="1" t="s">
        <v>160</v>
      </c>
      <c r="C1766" s="1" t="s">
        <v>191</v>
      </c>
      <c r="D1766" s="1" t="s">
        <v>765</v>
      </c>
      <c r="E1766" s="1">
        <v>283</v>
      </c>
      <c r="G1766" s="1" t="s">
        <v>209</v>
      </c>
      <c r="H1766" s="1" t="s">
        <v>1037</v>
      </c>
      <c r="I1766" s="1" t="s">
        <v>612</v>
      </c>
      <c r="L1766" s="15" t="s">
        <v>479</v>
      </c>
      <c r="M1766" s="15"/>
      <c r="N1766" s="15"/>
      <c r="O1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ven_salvador.html</v>
      </c>
      <c r="R1766" s="1"/>
      <c r="S1766" s="1"/>
      <c r="T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1766" s="15" t="str">
        <f>_xlfn.TEXTBEFORE(_xlfn.TEXTAFTER(CantoralDB[[#This Row],[index.html]],"&gt;"),"&gt;")&amp;"&gt;"</f>
        <v>&lt;a href="canciones/carmelo_erdozain/ven_salvador.html"&gt;</v>
      </c>
    </row>
    <row r="1767" spans="1:21" hidden="1" x14ac:dyDescent="0.3">
      <c r="A1767" s="1">
        <f>ROW(CantoralDB[[#This Row],[Título]])-1</f>
        <v>1766</v>
      </c>
      <c r="B1767" s="1" t="s">
        <v>1385</v>
      </c>
      <c r="C1767" s="1"/>
      <c r="E1767" s="1">
        <v>281</v>
      </c>
      <c r="I1767" s="1"/>
      <c r="L1767" s="15" t="s">
        <v>481</v>
      </c>
      <c r="M1767" s="15"/>
      <c r="N1767" s="15"/>
      <c r="O1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ven_salvador_ven_a_salvar_a_tu_pueblo.html</v>
      </c>
      <c r="R1767" s="1"/>
      <c r="S1767" s="1"/>
      <c r="T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data-nold="281"&gt;&lt;a href="canciones/francisco_palazon/ven_salvador_ven_a_salvar_a_tu_pueblo.html"&gt;Ven, Salvador, ven a salvar a tu pueblo&lt;/a&gt;&lt;/li&gt;</v>
      </c>
      <c r="U1767" s="15" t="str">
        <f>_xlfn.TEXTBEFORE(_xlfn.TEXTAFTER(CantoralDB[[#This Row],[index.html]],"&gt;"),"&gt;")&amp;"&gt;"</f>
        <v>&lt;a href="canciones/francisco_palazon/ven_salvador_ven_a_salvar_a_tu_pueblo.html"&gt;</v>
      </c>
    </row>
    <row r="1768" spans="1:21" hidden="1" x14ac:dyDescent="0.3">
      <c r="A1768" s="1">
        <f>ROW(CantoralDB[[#This Row],[Título]])-1</f>
        <v>1767</v>
      </c>
      <c r="B1768" s="1" t="s">
        <v>1891</v>
      </c>
      <c r="C1768" s="1"/>
      <c r="I1768" s="1" t="s">
        <v>612</v>
      </c>
      <c r="L1768" s="15" t="s">
        <v>501</v>
      </c>
      <c r="M1768" s="15" t="s">
        <v>1554</v>
      </c>
      <c r="N1768" s="15">
        <v>19</v>
      </c>
      <c r="O1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ven_señor.html</v>
      </c>
      <c r="R1768" s="1"/>
      <c r="S1768" s="1"/>
      <c r="T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768" s="15" t="str">
        <f>_xlfn.TEXTBEFORE(_xlfn.TEXTAFTER(CantoralDB[[#This Row],[index.html]],"&gt;"),"&gt;")&amp;"&gt;"</f>
        <v>&lt;a href="canciones/ain_karem/ven_señor.html"&gt;</v>
      </c>
    </row>
    <row r="1769" spans="1:21" hidden="1" x14ac:dyDescent="0.3">
      <c r="A1769" s="1">
        <f>ROW(CantoralDB[[#This Row],[Título]])-1</f>
        <v>1768</v>
      </c>
      <c r="B1769" s="1" t="s">
        <v>1580</v>
      </c>
      <c r="C1769" s="1"/>
      <c r="I1769" s="1"/>
      <c r="L1769" s="15" t="s">
        <v>3160</v>
      </c>
      <c r="M1769" s="15" t="s">
        <v>3191</v>
      </c>
      <c r="N1769" s="15">
        <v>4</v>
      </c>
      <c r="O1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-</v>
      </c>
      <c r="P1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69" s="1"/>
      <c r="S1769" s="1" t="s">
        <v>535</v>
      </c>
      <c r="T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769" s="15" t="e">
        <f>_xlfn.TEXTBEFORE(_xlfn.TEXTAFTER(CantoralDB[[#This Row],[index.html]],"&gt;"),"&gt;")&amp;"&gt;"</f>
        <v>#N/A</v>
      </c>
    </row>
    <row r="1770" spans="1:21" hidden="1" x14ac:dyDescent="0.3">
      <c r="A1770" s="1">
        <f>ROW(CantoralDB[[#This Row],[Título]])-1</f>
        <v>1769</v>
      </c>
      <c r="B1770" s="1" t="s">
        <v>1580</v>
      </c>
      <c r="C1770" s="1"/>
      <c r="I1770" s="1"/>
      <c r="L1770" s="15" t="s">
        <v>3160</v>
      </c>
      <c r="M1770" s="15" t="s">
        <v>3161</v>
      </c>
      <c r="N1770" s="15">
        <v>11</v>
      </c>
      <c r="O1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70" s="1"/>
      <c r="S1770" s="1"/>
      <c r="T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1770" s="15" t="str">
        <f>_xlfn.TEXTBEFORE(_xlfn.TEXTAFTER(CantoralDB[[#This Row],[index.html]],"&gt;"),"&gt;")&amp;"&gt;"</f>
        <v>&lt;a href="canciones/hermana_glenda/ven_señor_jesus.html"&gt;</v>
      </c>
    </row>
    <row r="1771" spans="1:21" hidden="1" x14ac:dyDescent="0.3">
      <c r="A1771" s="1">
        <f>ROW(CantoralDB[[#This Row],[Título]])-1</f>
        <v>1770</v>
      </c>
      <c r="B1771" s="1" t="s">
        <v>1580</v>
      </c>
      <c r="C1771" s="1"/>
      <c r="F1771" s="1">
        <v>237</v>
      </c>
      <c r="I1771" s="1"/>
      <c r="L1771" s="15" t="s">
        <v>3160</v>
      </c>
      <c r="M1771" s="15"/>
      <c r="N1771" s="15"/>
      <c r="O1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71" s="1"/>
      <c r="S1771" s="1"/>
      <c r="T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1771" s="15" t="str">
        <f>_xlfn.TEXTBEFORE(_xlfn.TEXTAFTER(CantoralDB[[#This Row],[index.html]],"&gt;"),"&gt;")&amp;"&gt;"</f>
        <v>&lt;a href="canciones/hermana_glenda/ven_señor_jesus.html"&gt;</v>
      </c>
    </row>
    <row r="1772" spans="1:21" hidden="1" x14ac:dyDescent="0.3">
      <c r="A1772" s="1">
        <f>ROW(CantoralDB[[#This Row],[Título]])-1</f>
        <v>1771</v>
      </c>
      <c r="B1772" s="1" t="s">
        <v>1580</v>
      </c>
      <c r="C1772" s="1"/>
      <c r="I1772" s="1" t="s">
        <v>612</v>
      </c>
      <c r="L1772" s="15" t="s">
        <v>484</v>
      </c>
      <c r="M1772" s="15" t="s">
        <v>1525</v>
      </c>
      <c r="N1772" s="15">
        <v>7</v>
      </c>
      <c r="O1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72" s="1"/>
      <c r="S1772" s="1"/>
      <c r="T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1772" s="15" t="str">
        <f>_xlfn.TEXTBEFORE(_xlfn.TEXTAFTER(CantoralDB[[#This Row],[index.html]],"&gt;"),"&gt;")&amp;"&gt;"</f>
        <v>&lt;a href="canciones/kairoi/ven_señor_jesus.html"&gt;</v>
      </c>
    </row>
    <row r="1773" spans="1:21" hidden="1" x14ac:dyDescent="0.3">
      <c r="A1773" s="1">
        <f>ROW(CantoralDB[[#This Row],[Título]])-1</f>
        <v>1772</v>
      </c>
      <c r="B1773" s="1" t="s">
        <v>1390</v>
      </c>
      <c r="C1773" s="1"/>
      <c r="E1773" s="1">
        <v>291</v>
      </c>
      <c r="I1773" s="1" t="s">
        <v>612</v>
      </c>
      <c r="L1773" s="15" t="s">
        <v>486</v>
      </c>
      <c r="M1773" s="15"/>
      <c r="N1773" s="15"/>
      <c r="O1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ven_señor_a_nuestra_vida.html</v>
      </c>
      <c r="R1773" s="1"/>
      <c r="S1773" s="1"/>
      <c r="T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773" s="15" t="str">
        <f>_xlfn.TEXTBEFORE(_xlfn.TEXTAFTER(CantoralDB[[#This Row],[index.html]],"&gt;"),"&gt;")&amp;"&gt;"</f>
        <v>&lt;a href="canciones/antonio_alcalde/ven_señor_a_nuestra_vida.html"&gt;</v>
      </c>
    </row>
    <row r="1774" spans="1:21" hidden="1" x14ac:dyDescent="0.3">
      <c r="A1774" s="1">
        <f>ROW(CantoralDB[[#This Row],[Título]])-1</f>
        <v>1773</v>
      </c>
      <c r="B1774" s="1" t="s">
        <v>618</v>
      </c>
      <c r="C1774" s="1" t="s">
        <v>201</v>
      </c>
      <c r="D1774" s="1" t="s">
        <v>683</v>
      </c>
      <c r="G1774" s="1" t="s">
        <v>557</v>
      </c>
      <c r="H1774" s="1" t="s">
        <v>533</v>
      </c>
      <c r="I1774" s="1" t="s">
        <v>612</v>
      </c>
      <c r="L1774" s="15" t="s">
        <v>619</v>
      </c>
      <c r="M1774" s="15"/>
      <c r="N1774" s="15"/>
      <c r="O1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ven_si_te_has_caido_levantate.html</v>
      </c>
      <c r="R1774" s="1"/>
      <c r="S1774" s="1"/>
      <c r="T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774" s="15" t="str">
        <f>_xlfn.TEXTBEFORE(_xlfn.TEXTAFTER(CantoralDB[[#This Row],[index.html]],"&gt;"),"&gt;")&amp;"&gt;"</f>
        <v>&lt;a href="canciones/nsb/ven_si_te_has_caido_levantate.html"&gt;</v>
      </c>
    </row>
    <row r="1775" spans="1:21" hidden="1" x14ac:dyDescent="0.3">
      <c r="A1775" s="1">
        <f>ROW(CantoralDB[[#This Row],[Título]])-1</f>
        <v>1774</v>
      </c>
      <c r="B1775" s="1" t="s">
        <v>3787</v>
      </c>
      <c r="C1775" s="1"/>
      <c r="F1775" s="1">
        <v>434</v>
      </c>
      <c r="I1775" s="1"/>
      <c r="L1775" s="15" t="s">
        <v>3789</v>
      </c>
      <c r="M1775" s="15"/>
      <c r="N1775" s="15"/>
      <c r="O1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ven_ven_espiritu_de_dios.html</v>
      </c>
      <c r="R1775" s="1"/>
      <c r="S1775" s="1"/>
      <c r="T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1775" s="15" t="str">
        <f>_xlfn.TEXTBEFORE(_xlfn.TEXTAFTER(CantoralDB[[#This Row],[index.html]],"&gt;"),"&gt;")&amp;"&gt;"</f>
        <v>&lt;a href="canciones/nuevas/ven_ven_espiritu_de_dios.html"&gt;</v>
      </c>
    </row>
    <row r="1776" spans="1:21" hidden="1" x14ac:dyDescent="0.3">
      <c r="A1776" s="1">
        <f>ROW(CantoralDB[[#This Row],[Título]])-1</f>
        <v>1775</v>
      </c>
      <c r="B1776" s="1" t="s">
        <v>1283</v>
      </c>
      <c r="C1776" s="1"/>
      <c r="E1776" s="1">
        <v>282</v>
      </c>
      <c r="I1776" s="1"/>
      <c r="L1776" s="15" t="s">
        <v>547</v>
      </c>
      <c r="M1776" s="15"/>
      <c r="N1776" s="15"/>
      <c r="O1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vendra_la_libertad.html</v>
      </c>
      <c r="R1776" s="1"/>
      <c r="S1776" s="1"/>
      <c r="T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1776" s="15" t="str">
        <f>_xlfn.TEXTBEFORE(_xlfn.TEXTAFTER(CantoralDB[[#This Row],[index.html]],"&gt;"),"&gt;")&amp;"&gt;"</f>
        <v>&lt;a href="canciones/emilio_vicente_mateu/vendra_la_libertad.html"&gt;</v>
      </c>
    </row>
    <row r="1777" spans="1:21" hidden="1" x14ac:dyDescent="0.3">
      <c r="A1777" s="1">
        <f>ROW(CantoralDB[[#This Row],[Título]])-1</f>
        <v>1776</v>
      </c>
      <c r="B1777" s="1" t="s">
        <v>1609</v>
      </c>
      <c r="C1777" s="1"/>
      <c r="I1777" s="1" t="s">
        <v>612</v>
      </c>
      <c r="L1777" s="15" t="s">
        <v>484</v>
      </c>
      <c r="M1777" s="15" t="s">
        <v>1529</v>
      </c>
      <c r="N1777" s="15">
        <v>8</v>
      </c>
      <c r="O1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venga_tu_reino.html</v>
      </c>
      <c r="R1777" s="1"/>
      <c r="S1777" s="1"/>
      <c r="T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1777" s="15" t="str">
        <f>_xlfn.TEXTBEFORE(_xlfn.TEXTAFTER(CantoralDB[[#This Row],[index.html]],"&gt;"),"&gt;")&amp;"&gt;"</f>
        <v>&lt;a href="canciones/kairoi/venga_tu_reino.html"&gt;</v>
      </c>
    </row>
    <row r="1778" spans="1:21" hidden="1" x14ac:dyDescent="0.3">
      <c r="A1778" s="1">
        <f>ROW(CantoralDB[[#This Row],[Título]])-1</f>
        <v>1777</v>
      </c>
      <c r="B1778" s="1" t="s">
        <v>1885</v>
      </c>
      <c r="C1778" s="1"/>
      <c r="I1778" s="1" t="s">
        <v>612</v>
      </c>
      <c r="L1778" s="15" t="s">
        <v>501</v>
      </c>
      <c r="M1778" s="15" t="s">
        <v>1553</v>
      </c>
      <c r="N1778" s="15">
        <v>15</v>
      </c>
      <c r="O1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778" s="1"/>
      <c r="S1778" s="1"/>
      <c r="T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href="canciones/ain_karem/vengan_a_mi.html"&gt;Vengan a mi&lt;/a&gt;&lt;/li&gt;</v>
      </c>
      <c r="U1778" s="15" t="str">
        <f>_xlfn.TEXTBEFORE(_xlfn.TEXTAFTER(CantoralDB[[#This Row],[index.html]],"&gt;"),"&gt;")&amp;"&gt;"</f>
        <v>&lt;a href="canciones/ain_karem/vengan_a_mi.html"&gt;</v>
      </c>
    </row>
    <row r="1779" spans="1:21" hidden="1" x14ac:dyDescent="0.3">
      <c r="A1779" s="1">
        <f>ROW(CantoralDB[[#This Row],[Título]])-1</f>
        <v>1778</v>
      </c>
      <c r="B1779" s="1" t="s">
        <v>3165</v>
      </c>
      <c r="C1779" s="1"/>
      <c r="I1779" s="1"/>
      <c r="L1779" s="15" t="s">
        <v>3160</v>
      </c>
      <c r="M1779" s="15" t="s">
        <v>3161</v>
      </c>
      <c r="N1779" s="15">
        <v>4</v>
      </c>
      <c r="O1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779" s="1"/>
      <c r="S1779" s="1"/>
      <c r="T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href="canciones/hermana_glenda/vengan_a_mi.html"&gt;Vengan a mí&lt;/a&gt;&lt;/li&gt;</v>
      </c>
      <c r="U1779" s="15" t="str">
        <f>_xlfn.TEXTBEFORE(_xlfn.TEXTAFTER(CantoralDB[[#This Row],[index.html]],"&gt;"),"&gt;")&amp;"&gt;"</f>
        <v>&lt;a href="canciones/hermana_glenda/vengan_a_mi.html"&gt;</v>
      </c>
    </row>
    <row r="1780" spans="1:21" hidden="1" x14ac:dyDescent="0.3">
      <c r="A1780" s="1">
        <f>ROW(CantoralDB[[#This Row],[Título]])-1</f>
        <v>1779</v>
      </c>
      <c r="B1780" s="1" t="s">
        <v>3765</v>
      </c>
      <c r="C1780" s="1"/>
      <c r="F1780" s="1">
        <v>416</v>
      </c>
      <c r="I1780" s="1"/>
      <c r="L1780" s="15" t="s">
        <v>3766</v>
      </c>
      <c r="M1780" s="15"/>
      <c r="N1780" s="15"/>
      <c r="O1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vengo_a_adorarte.html</v>
      </c>
      <c r="R1780" s="1"/>
      <c r="S1780" s="1"/>
      <c r="T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780" s="15" t="str">
        <f>_xlfn.TEXTBEFORE(_xlfn.TEXTAFTER(CantoralDB[[#This Row],[index.html]],"&gt;"),"&gt;")&amp;"&gt;"</f>
        <v>&lt;a href="canciones/nuevas/vengo_a_adorarte.html"&gt;</v>
      </c>
    </row>
    <row r="1781" spans="1:21" hidden="1" x14ac:dyDescent="0.3">
      <c r="A1781" s="1">
        <f>ROW(CantoralDB[[#This Row],[Título]])-1</f>
        <v>1780</v>
      </c>
      <c r="B1781" s="1" t="s">
        <v>3309</v>
      </c>
      <c r="C1781" s="1"/>
      <c r="F1781" s="1">
        <v>259</v>
      </c>
      <c r="I1781" s="1"/>
      <c r="L1781" s="15" t="s">
        <v>799</v>
      </c>
      <c r="M1781" s="15"/>
      <c r="N1781" s="15"/>
      <c r="O1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781" s="1"/>
      <c r="S1781" s="1"/>
      <c r="T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href="canciones/nuevas/venid_a_mi.html"&gt;Venid a mí&lt;/a&gt;&lt;/li&gt;</v>
      </c>
      <c r="U1781" s="15" t="str">
        <f>_xlfn.TEXTBEFORE(_xlfn.TEXTAFTER(CantoralDB[[#This Row],[index.html]],"&gt;"),"&gt;")&amp;"&gt;"</f>
        <v>&lt;a href="canciones/nuevas/venid_a_mi.html"&gt;</v>
      </c>
    </row>
    <row r="1782" spans="1:21" hidden="1" x14ac:dyDescent="0.3">
      <c r="A1782" s="1">
        <f>ROW(CantoralDB[[#This Row],[Título]])-1</f>
        <v>1781</v>
      </c>
      <c r="B1782" s="1" t="s">
        <v>3309</v>
      </c>
      <c r="C1782" s="1"/>
      <c r="I1782" s="1"/>
      <c r="L1782" s="15" t="s">
        <v>484</v>
      </c>
      <c r="M1782" s="15" t="s">
        <v>1543</v>
      </c>
      <c r="N1782" s="15">
        <v>3</v>
      </c>
      <c r="O1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782" s="1"/>
      <c r="S1782" s="1"/>
      <c r="T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href="canciones/kairoi/venid_a_mi.html"&gt;Venid a mí&lt;/a&gt;&lt;/li&gt;</v>
      </c>
      <c r="U1782" s="15" t="str">
        <f>_xlfn.TEXTBEFORE(_xlfn.TEXTAFTER(CantoralDB[[#This Row],[index.html]],"&gt;"),"&gt;")&amp;"&gt;"</f>
        <v>&lt;a href="canciones/kairoi/venid_a_mi.html"&gt;</v>
      </c>
    </row>
    <row r="1783" spans="1:21" hidden="1" x14ac:dyDescent="0.3">
      <c r="A1783" s="1">
        <f>ROW(CantoralDB[[#This Row],[Título]])-1</f>
        <v>1782</v>
      </c>
      <c r="B1783" s="1" t="s">
        <v>1854</v>
      </c>
      <c r="C1783" s="1"/>
      <c r="I1783" s="1" t="s">
        <v>612</v>
      </c>
      <c r="L1783" s="15" t="s">
        <v>501</v>
      </c>
      <c r="M1783" s="15" t="s">
        <v>1552</v>
      </c>
      <c r="N1783" s="15">
        <v>14</v>
      </c>
      <c r="O1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venid_conmigo.html</v>
      </c>
      <c r="R1783" s="1"/>
      <c r="S1783" s="1"/>
      <c r="T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1783" s="15" t="str">
        <f>_xlfn.TEXTBEFORE(_xlfn.TEXTAFTER(CantoralDB[[#This Row],[index.html]],"&gt;"),"&gt;")&amp;"&gt;"</f>
        <v>&lt;a href="canciones/ain_karem/venid_conmigo.html"&gt;</v>
      </c>
    </row>
    <row r="1784" spans="1:21" hidden="1" x14ac:dyDescent="0.3">
      <c r="A1784" s="1">
        <f>ROW(CantoralDB[[#This Row],[Título]])-1</f>
        <v>1783</v>
      </c>
      <c r="B1784" s="1" t="s">
        <v>3612</v>
      </c>
      <c r="C1784" s="1"/>
      <c r="F1784" s="1">
        <v>276</v>
      </c>
      <c r="I1784" s="1"/>
      <c r="L1784" s="15" t="s">
        <v>799</v>
      </c>
      <c r="M1784" s="15"/>
      <c r="N1784" s="15"/>
      <c r="O1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venid_alabad.html</v>
      </c>
      <c r="R1784" s="1"/>
      <c r="S1784" s="1"/>
      <c r="T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href="canciones/nuevas/venid_alabad.html"&gt;Venid, alabad&lt;/a&gt;&lt;/li&gt;</v>
      </c>
      <c r="U1784" s="15" t="str">
        <f>_xlfn.TEXTBEFORE(_xlfn.TEXTAFTER(CantoralDB[[#This Row],[index.html]],"&gt;"),"&gt;")&amp;"&gt;"</f>
        <v>&lt;a href="canciones/nuevas/venid_alabad.html"&gt;</v>
      </c>
    </row>
    <row r="1785" spans="1:21" hidden="1" x14ac:dyDescent="0.3">
      <c r="A1785" s="1">
        <f>ROW(CantoralDB[[#This Row],[Título]])-1</f>
        <v>1784</v>
      </c>
      <c r="B1785" s="1" t="s">
        <v>3639</v>
      </c>
      <c r="C1785" s="1"/>
      <c r="F1785" s="1">
        <v>305</v>
      </c>
      <c r="I1785" s="1"/>
      <c r="L1785" s="15" t="s">
        <v>3354</v>
      </c>
      <c r="M1785" s="15"/>
      <c r="N1785" s="15"/>
      <c r="O1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venid_alabemos.html</v>
      </c>
      <c r="R1785" s="1"/>
      <c r="S1785" s="1"/>
      <c r="T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1785" s="15" t="str">
        <f>_xlfn.TEXTBEFORE(_xlfn.TEXTAFTER(CantoralDB[[#This Row],[index.html]],"&gt;"),"&gt;")&amp;"&gt;"</f>
        <v>&lt;a href="canciones/lazaro_iparraguirre/venid_alabemos.html"&gt;</v>
      </c>
    </row>
    <row r="1786" spans="1:21" hidden="1" x14ac:dyDescent="0.3">
      <c r="A1786" s="1">
        <f>ROW(CantoralDB[[#This Row],[Título]])-1</f>
        <v>1785</v>
      </c>
      <c r="B1786" s="1" t="s">
        <v>1388</v>
      </c>
      <c r="C1786" s="1" t="s">
        <v>476</v>
      </c>
      <c r="D1786" s="1" t="s">
        <v>1109</v>
      </c>
      <c r="E1786" s="1">
        <v>289</v>
      </c>
      <c r="H1786" s="1" t="s">
        <v>532</v>
      </c>
      <c r="I1786" s="1"/>
      <c r="L1786" s="15" t="s">
        <v>2200</v>
      </c>
      <c r="M1786" s="15"/>
      <c r="N1786" s="15"/>
      <c r="O1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venid_fieles_todos_(adeste_fideles).html</v>
      </c>
      <c r="R1786" s="1"/>
      <c r="S1786" s="1"/>
      <c r="T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data-nnew="O19" data-nold="289"&gt;&lt;a href="canciones/villancicos/venid_fieles_todos_(adeste_fideles).html"&gt;Venid, fieles todos (adeste fideles)&lt;/a&gt;&lt;/li&gt;</v>
      </c>
      <c r="U1786" s="15" t="str">
        <f>_xlfn.TEXTBEFORE(_xlfn.TEXTAFTER(CantoralDB[[#This Row],[index.html]],"&gt;"),"&gt;")&amp;"&gt;"</f>
        <v>&lt;a href="canciones/villancicos/venid_fieles_todos_(adeste_fideles).html"&gt;</v>
      </c>
    </row>
    <row r="1787" spans="1:21" hidden="1" x14ac:dyDescent="0.3">
      <c r="A1787" s="1">
        <f>ROW(CantoralDB[[#This Row],[Título]])-1</f>
        <v>1786</v>
      </c>
      <c r="B1787" s="1" t="s">
        <v>161</v>
      </c>
      <c r="C1787" s="1" t="s">
        <v>201</v>
      </c>
      <c r="D1787" s="1" t="s">
        <v>684</v>
      </c>
      <c r="E1787" s="1">
        <v>471</v>
      </c>
      <c r="G1787" s="1" t="s">
        <v>209</v>
      </c>
      <c r="H1787" s="1" t="s">
        <v>1039</v>
      </c>
      <c r="I1787" s="1" t="s">
        <v>612</v>
      </c>
      <c r="L1787" s="15" t="s">
        <v>480</v>
      </c>
      <c r="M1787" s="15"/>
      <c r="N1787" s="15"/>
      <c r="O1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venimos_a_escuchar_tu_voz.html</v>
      </c>
      <c r="R1787" s="1"/>
      <c r="S1787" s="1"/>
      <c r="T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1787" s="15" t="str">
        <f>_xlfn.TEXTBEFORE(_xlfn.TEXTAFTER(CantoralDB[[#This Row],[index.html]],"&gt;"),"&gt;")&amp;"&gt;"</f>
        <v>&lt;a href="canciones/juanjo_elezkano/venimos_a_escuchar_tu_voz.html"&gt;</v>
      </c>
    </row>
    <row r="1788" spans="1:21" hidden="1" x14ac:dyDescent="0.3">
      <c r="A1788" s="1">
        <f>ROW(CantoralDB[[#This Row],[Título]])-1</f>
        <v>1787</v>
      </c>
      <c r="B1788" s="1" t="s">
        <v>1760</v>
      </c>
      <c r="C1788" s="1"/>
      <c r="F1788" s="1">
        <v>41</v>
      </c>
      <c r="I1788" s="1"/>
      <c r="L1788" s="15" t="s">
        <v>799</v>
      </c>
      <c r="M1788" s="15"/>
      <c r="N1788" s="15"/>
      <c r="O1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788" s="1"/>
      <c r="S1788" s="1"/>
      <c r="T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href="canciones/nuevas/venimos_ante_ti.html"&gt;Venimos ante ti&lt;/a&gt;&lt;/li&gt;</v>
      </c>
      <c r="U1788" s="15" t="str">
        <f>_xlfn.TEXTBEFORE(_xlfn.TEXTAFTER(CantoralDB[[#This Row],[index.html]],"&gt;"),"&gt;")&amp;"&gt;"</f>
        <v>&lt;a href="canciones/nuevas/venimos_ante_ti.html"&gt;</v>
      </c>
    </row>
    <row r="1789" spans="1:21" hidden="1" x14ac:dyDescent="0.3">
      <c r="A1789" s="1">
        <f>ROW(CantoralDB[[#This Row],[Título]])-1</f>
        <v>1788</v>
      </c>
      <c r="B1789" s="1" t="s">
        <v>1760</v>
      </c>
      <c r="C1789" s="1"/>
      <c r="I1789" s="1"/>
      <c r="L1789" s="15" t="s">
        <v>484</v>
      </c>
      <c r="M1789" s="15" t="s">
        <v>1543</v>
      </c>
      <c r="N1789" s="15">
        <v>12</v>
      </c>
      <c r="O1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789" s="1"/>
      <c r="S1789" s="1"/>
      <c r="T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1789" s="15" t="str">
        <f>_xlfn.TEXTBEFORE(_xlfn.TEXTAFTER(CantoralDB[[#This Row],[index.html]],"&gt;"),"&gt;")&amp;"&gt;"</f>
        <v>&lt;a href="canciones/kairoi/venimos_ante_ti.html"&gt;</v>
      </c>
    </row>
    <row r="1790" spans="1:21" hidden="1" x14ac:dyDescent="0.3">
      <c r="A1790" s="1">
        <f>ROW(CantoralDB[[#This Row],[Título]])-1</f>
        <v>1789</v>
      </c>
      <c r="B1790" s="1" t="s">
        <v>1387</v>
      </c>
      <c r="C1790" s="1"/>
      <c r="E1790" s="1">
        <v>288</v>
      </c>
      <c r="I1790" s="1"/>
      <c r="L1790" s="15" t="s">
        <v>573</v>
      </c>
      <c r="M1790" s="15"/>
      <c r="N1790" s="15"/>
      <c r="O1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veo_en_tus_ojos_maria.html</v>
      </c>
      <c r="R1790" s="1"/>
      <c r="S1790" s="1"/>
      <c r="T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790" s="15" t="str">
        <f>_xlfn.TEXTBEFORE(_xlfn.TEXTAFTER(CantoralDB[[#This Row],[index.html]],"&gt;"),"&gt;")&amp;"&gt;"</f>
        <v>&lt;a href="canciones/nsb/veo_en_tus_ojos_maria.html"&gt;</v>
      </c>
    </row>
    <row r="1791" spans="1:21" hidden="1" x14ac:dyDescent="0.3">
      <c r="A1791" s="1">
        <f>ROW(CantoralDB[[#This Row],[Título]])-1</f>
        <v>1790</v>
      </c>
      <c r="B1791" s="1" t="s">
        <v>2009</v>
      </c>
      <c r="C1791" s="1"/>
      <c r="I1791" s="1" t="s">
        <v>612</v>
      </c>
      <c r="L1791" s="15" t="s">
        <v>261</v>
      </c>
      <c r="M1791" s="15"/>
      <c r="N1791" s="15"/>
      <c r="O1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vertigo.html</v>
      </c>
      <c r="R1791" s="1"/>
      <c r="S1791" s="1"/>
      <c r="T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href="canciones/hakuna/vertigo.html"&gt;Vértigo&lt;/a&gt;&lt;/li&gt;</v>
      </c>
      <c r="U1791" s="15" t="str">
        <f>_xlfn.TEXTBEFORE(_xlfn.TEXTAFTER(CantoralDB[[#This Row],[index.html]],"&gt;"),"&gt;")&amp;"&gt;"</f>
        <v>&lt;a href="canciones/hakuna/vertigo.html"&gt;</v>
      </c>
    </row>
    <row r="1792" spans="1:21" hidden="1" x14ac:dyDescent="0.3">
      <c r="A1792" s="1">
        <f>ROW(CantoralDB[[#This Row],[Título]])-1</f>
        <v>1791</v>
      </c>
      <c r="B1792" s="1" t="s">
        <v>162</v>
      </c>
      <c r="C1792" s="1" t="s">
        <v>997</v>
      </c>
      <c r="D1792" s="1" t="s">
        <v>1021</v>
      </c>
      <c r="E1792" s="1">
        <v>286</v>
      </c>
      <c r="G1792" s="1" t="s">
        <v>209</v>
      </c>
      <c r="H1792" s="1" t="s">
        <v>1032</v>
      </c>
      <c r="I1792" s="1" t="s">
        <v>612</v>
      </c>
      <c r="L1792" s="15" t="s">
        <v>2168</v>
      </c>
      <c r="M1792" s="15"/>
      <c r="N1792" s="15"/>
      <c r="O1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victoria_tu_reinaras.html</v>
      </c>
      <c r="R1792" s="1"/>
      <c r="S1792" s="1"/>
      <c r="T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data-author="Julien" data-momento="Comunión" data-nnew="K80" data-nold="286"&gt;&lt;a href="canciones/nsb/victoria_tu_reinaras.html"&gt;Victoria, tú reinarás&lt;/a&gt;&lt;/li&gt;</v>
      </c>
      <c r="U1792" s="15" t="str">
        <f>_xlfn.TEXTBEFORE(_xlfn.TEXTAFTER(CantoralDB[[#This Row],[index.html]],"&gt;"),"&gt;")&amp;"&gt;"</f>
        <v>&lt;a href="canciones/nsb/victoria_tu_reinaras.html"&gt;</v>
      </c>
    </row>
    <row r="1793" spans="1:21" hidden="1" x14ac:dyDescent="0.3">
      <c r="A1793" s="1">
        <f>ROW(CantoralDB[[#This Row],[Título]])-1</f>
        <v>1792</v>
      </c>
      <c r="B1793" s="1" t="s">
        <v>1959</v>
      </c>
      <c r="C1793" s="1"/>
      <c r="I1793" s="1" t="s">
        <v>612</v>
      </c>
      <c r="L1793" s="15" t="s">
        <v>501</v>
      </c>
      <c r="M1793" s="15" t="s">
        <v>1547</v>
      </c>
      <c r="N1793" s="15">
        <v>2</v>
      </c>
      <c r="O1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vid_verdadera.html</v>
      </c>
      <c r="R1793" s="1"/>
      <c r="S1793" s="1"/>
      <c r="T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href="canciones/ain_karem/vid_verdadera.html"&gt;Vid verdadera&lt;/a&gt;&lt;/li&gt;</v>
      </c>
      <c r="U1793" s="15" t="str">
        <f>_xlfn.TEXTBEFORE(_xlfn.TEXTAFTER(CantoralDB[[#This Row],[index.html]],"&gt;"),"&gt;")&amp;"&gt;"</f>
        <v>&lt;a href="canciones/ain_karem/vid_verdadera.html"&gt;</v>
      </c>
    </row>
    <row r="1794" spans="1:21" hidden="1" x14ac:dyDescent="0.3">
      <c r="A1794" s="1">
        <f>ROW(CantoralDB[[#This Row],[Título]])-1</f>
        <v>1793</v>
      </c>
      <c r="B1794" s="1" t="s">
        <v>3394</v>
      </c>
      <c r="C1794" s="1"/>
      <c r="F1794" s="1">
        <v>56</v>
      </c>
      <c r="I1794" s="1"/>
      <c r="L1794" s="15" t="s">
        <v>3395</v>
      </c>
      <c r="M1794" s="15"/>
      <c r="N1794" s="15"/>
      <c r="O1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viejos_y_jovenes.html</v>
      </c>
      <c r="R1794" s="1"/>
      <c r="S1794" s="1"/>
      <c r="T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794" s="15" t="str">
        <f>_xlfn.TEXTBEFORE(_xlfn.TEXTAFTER(CantoralDB[[#This Row],[index.html]],"&gt;"),"&gt;")&amp;"&gt;"</f>
        <v>&lt;a href="canciones/nuevas/viejos_y_jovenes.html"&gt;</v>
      </c>
    </row>
    <row r="1795" spans="1:21" hidden="1" x14ac:dyDescent="0.3">
      <c r="A1795" s="1">
        <f>ROW(CantoralDB[[#This Row],[Título]])-1</f>
        <v>1794</v>
      </c>
      <c r="B1795" s="1" t="s">
        <v>163</v>
      </c>
      <c r="C1795" s="1" t="s">
        <v>191</v>
      </c>
      <c r="D1795" s="1" t="s">
        <v>767</v>
      </c>
      <c r="E1795" s="1">
        <v>278</v>
      </c>
      <c r="G1795" s="1" t="s">
        <v>209</v>
      </c>
      <c r="H1795" s="1" t="s">
        <v>532</v>
      </c>
      <c r="I1795" s="1" t="s">
        <v>612</v>
      </c>
      <c r="L1795" s="15" t="s">
        <v>483</v>
      </c>
      <c r="M1795" s="15"/>
      <c r="N1795" s="15"/>
      <c r="O1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vienen_con_alegria.html</v>
      </c>
      <c r="R1795" s="1"/>
      <c r="S1795" s="1"/>
      <c r="T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1795" s="15" t="str">
        <f>_xlfn.TEXTBEFORE(_xlfn.TEXTAFTER(CantoralDB[[#This Row],[index.html]],"&gt;"),"&gt;")&amp;"&gt;"</f>
        <v>&lt;a href="canciones/cesareo_gabarain/vienen_con_alegria.html"&gt;</v>
      </c>
    </row>
    <row r="1796" spans="1:21" hidden="1" x14ac:dyDescent="0.3">
      <c r="A1796" s="1">
        <f>ROW(CantoralDB[[#This Row],[Título]])-1</f>
        <v>1795</v>
      </c>
      <c r="B1796" s="1" t="s">
        <v>466</v>
      </c>
      <c r="C1796" s="1" t="s">
        <v>1026</v>
      </c>
      <c r="D1796" s="1" t="s">
        <v>1194</v>
      </c>
      <c r="H1796" s="1" t="s">
        <v>1031</v>
      </c>
      <c r="I1796" s="1" t="s">
        <v>612</v>
      </c>
      <c r="L1796" s="15" t="s">
        <v>2201</v>
      </c>
      <c r="M1796" s="15"/>
      <c r="N1796" s="15"/>
      <c r="O1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96" s="1"/>
      <c r="S1796" s="1"/>
      <c r="T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796" s="15" t="str">
        <f>_xlfn.TEXTBEFORE(_xlfn.TEXTAFTER(CantoralDB[[#This Row],[index.html]],"&gt;"),"&gt;")&amp;"&gt;"</f>
        <v>&lt;a href="canciones/taize/vieni_spirito_creatore_(canon).html"&gt;</v>
      </c>
    </row>
    <row r="1797" spans="1:21" hidden="1" x14ac:dyDescent="0.3">
      <c r="A1797" s="1">
        <f>ROW(CantoralDB[[#This Row],[Título]])-1</f>
        <v>1796</v>
      </c>
      <c r="B1797" s="1" t="s">
        <v>3253</v>
      </c>
      <c r="C1797" s="1"/>
      <c r="I1797" s="1"/>
      <c r="L1797" s="15" t="s">
        <v>3160</v>
      </c>
      <c r="M1797" s="15" t="s">
        <v>3248</v>
      </c>
      <c r="N1797" s="15">
        <v>6</v>
      </c>
      <c r="O1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viento.html</v>
      </c>
      <c r="R1797" s="1"/>
      <c r="S1797" s="1"/>
      <c r="T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href="canciones/hermana_glenda/viento.html"&gt;Viento&lt;/a&gt;&lt;/li&gt;</v>
      </c>
      <c r="U1797" s="15" t="str">
        <f>_xlfn.TEXTBEFORE(_xlfn.TEXTAFTER(CantoralDB[[#This Row],[index.html]],"&gt;"),"&gt;")&amp;"&gt;"</f>
        <v>&lt;a href="canciones/hermana_glenda/viento.html"&gt;</v>
      </c>
    </row>
    <row r="1798" spans="1:21" hidden="1" x14ac:dyDescent="0.3">
      <c r="A1798" s="1">
        <f>ROW(CantoralDB[[#This Row],[Título]])-1</f>
        <v>1797</v>
      </c>
      <c r="B1798" s="1" t="s">
        <v>3608</v>
      </c>
      <c r="C1798" s="1"/>
      <c r="F1798" s="1">
        <v>272</v>
      </c>
      <c r="I1798" s="1"/>
      <c r="L1798" s="15" t="s">
        <v>3347</v>
      </c>
      <c r="M1798" s="15"/>
      <c r="N1798" s="15"/>
      <c r="O1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vine_a_alabar_a_dios.html</v>
      </c>
      <c r="R1798" s="1"/>
      <c r="S1798" s="1"/>
      <c r="T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1798" s="15" t="str">
        <f>_xlfn.TEXTBEFORE(_xlfn.TEXTAFTER(CantoralDB[[#This Row],[index.html]],"&gt;"),"&gt;")&amp;"&gt;"</f>
        <v>&lt;a href="canciones/luis_alfredo_diaz/vine_a_alabar_a_dios.html"&gt;</v>
      </c>
    </row>
    <row r="1799" spans="1:21" hidden="1" x14ac:dyDescent="0.3">
      <c r="A1799" s="1">
        <f>ROW(CantoralDB[[#This Row],[Título]])-1</f>
        <v>1798</v>
      </c>
      <c r="B1799" s="1" t="s">
        <v>1750</v>
      </c>
      <c r="C1799" s="1"/>
      <c r="I1799" s="1" t="s">
        <v>612</v>
      </c>
      <c r="L1799" s="15" t="s">
        <v>484</v>
      </c>
      <c r="M1799" s="15" t="s">
        <v>1542</v>
      </c>
      <c r="N1799" s="15">
        <v>12</v>
      </c>
      <c r="O1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vino_nuevo.html</v>
      </c>
      <c r="R1799" s="1"/>
      <c r="S1799" s="1"/>
      <c r="T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href="canciones/kairoi/vino_nuevo.html"&gt;Vino nuevo&lt;/a&gt;&lt;/li&gt;</v>
      </c>
      <c r="U1799" s="15" t="str">
        <f>_xlfn.TEXTBEFORE(_xlfn.TEXTAFTER(CantoralDB[[#This Row],[index.html]],"&gt;"),"&gt;")&amp;"&gt;"</f>
        <v>&lt;a href="canciones/kairoi/vino_nuevo.html"&gt;</v>
      </c>
    </row>
    <row r="1800" spans="1:21" hidden="1" x14ac:dyDescent="0.3">
      <c r="A1800" s="1">
        <f>ROW(CantoralDB[[#This Row],[Título]])-1</f>
        <v>1799</v>
      </c>
      <c r="B1800" s="1" t="s">
        <v>3456</v>
      </c>
      <c r="C1800" s="1"/>
      <c r="F1800" s="1">
        <v>119</v>
      </c>
      <c r="I1800" s="1"/>
      <c r="L1800" s="15" t="s">
        <v>3354</v>
      </c>
      <c r="M1800" s="15"/>
      <c r="N1800" s="15"/>
      <c r="O1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vino_un_hombre_a_nuestro_mundo.html</v>
      </c>
      <c r="R1800" s="1"/>
      <c r="S1800" s="1"/>
      <c r="T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1800" s="15" t="str">
        <f>_xlfn.TEXTBEFORE(_xlfn.TEXTAFTER(CantoralDB[[#This Row],[index.html]],"&gt;"),"&gt;")&amp;"&gt;"</f>
        <v>&lt;a href="canciones/lazaro_iparraguirre/vino_un_hombre_a_nuestro_mundo.html"&gt;</v>
      </c>
    </row>
    <row r="1801" spans="1:21" hidden="1" x14ac:dyDescent="0.3">
      <c r="A1801" s="1">
        <f>ROW(CantoralDB[[#This Row],[Título]])-1</f>
        <v>1800</v>
      </c>
      <c r="B1801" s="1" t="s">
        <v>3584</v>
      </c>
      <c r="C1801" s="1"/>
      <c r="F1801" s="1">
        <v>247</v>
      </c>
      <c r="I1801" s="1"/>
      <c r="L1801" s="15" t="s">
        <v>3441</v>
      </c>
      <c r="M1801" s="15"/>
      <c r="N1801" s="15"/>
      <c r="O1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vive_jesus.html</v>
      </c>
      <c r="R1801" s="1"/>
      <c r="S1801" s="1"/>
      <c r="T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801" s="15" t="str">
        <f>_xlfn.TEXTBEFORE(_xlfn.TEXTAFTER(CantoralDB[[#This Row],[index.html]],"&gt;"),"&gt;")&amp;"&gt;"</f>
        <v>&lt;a href="canciones/nuevas/vive_jesus.html"&gt;</v>
      </c>
    </row>
    <row r="1802" spans="1:21" hidden="1" x14ac:dyDescent="0.3">
      <c r="A1802" s="1">
        <f>ROW(CantoralDB[[#This Row],[Título]])-1</f>
        <v>1801</v>
      </c>
      <c r="B1802" s="1" t="s">
        <v>164</v>
      </c>
      <c r="C1802" s="1" t="s">
        <v>199</v>
      </c>
      <c r="D1802" s="1" t="s">
        <v>1520</v>
      </c>
      <c r="E1802" s="1">
        <v>472</v>
      </c>
      <c r="G1802" s="1" t="s">
        <v>209</v>
      </c>
      <c r="H1802" s="1" t="s">
        <v>1034</v>
      </c>
      <c r="I1802" s="1" t="s">
        <v>612</v>
      </c>
      <c r="L1802" s="15" t="s">
        <v>799</v>
      </c>
      <c r="M1802" s="15"/>
      <c r="N1802" s="15"/>
      <c r="O1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vive_tu_amor_en_mi.html</v>
      </c>
      <c r="R1802" s="1"/>
      <c r="S1802" s="1"/>
      <c r="T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802" s="15" t="str">
        <f>_xlfn.TEXTBEFORE(_xlfn.TEXTAFTER(CantoralDB[[#This Row],[index.html]],"&gt;"),"&gt;")&amp;"&gt;"</f>
        <v>&lt;a href="canciones/nsb/vive_tu_amor_en_mi.html"&gt;</v>
      </c>
    </row>
    <row r="1803" spans="1:21" hidden="1" x14ac:dyDescent="0.3">
      <c r="A1803" s="1">
        <f>ROW(CantoralDB[[#This Row],[Título]])-1</f>
        <v>1802</v>
      </c>
      <c r="B1803" s="1" t="s">
        <v>1884</v>
      </c>
      <c r="C1803" s="1"/>
      <c r="I1803" s="1"/>
      <c r="L1803" s="15" t="s">
        <v>501</v>
      </c>
      <c r="M1803" s="15" t="s">
        <v>1553</v>
      </c>
      <c r="N1803" s="15">
        <v>14</v>
      </c>
      <c r="O1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vivid_en_comunion.html</v>
      </c>
      <c r="R1803" s="1"/>
      <c r="S1803" s="1"/>
      <c r="T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1803" s="15" t="str">
        <f>_xlfn.TEXTBEFORE(_xlfn.TEXTAFTER(CantoralDB[[#This Row],[index.html]],"&gt;"),"&gt;")&amp;"&gt;"</f>
        <v>&lt;a href="canciones/ain_karem/vivid_en_comunion.html"&gt;</v>
      </c>
    </row>
    <row r="1804" spans="1:21" hidden="1" x14ac:dyDescent="0.3">
      <c r="A1804" s="1">
        <f>ROW(CantoralDB[[#This Row],[Título]])-1</f>
        <v>1803</v>
      </c>
      <c r="B1804" s="1" t="s">
        <v>555</v>
      </c>
      <c r="C1804" s="1" t="s">
        <v>476</v>
      </c>
      <c r="D1804" s="1" t="s">
        <v>1110</v>
      </c>
      <c r="E1804" s="1">
        <v>171</v>
      </c>
      <c r="H1804" s="1" t="s">
        <v>1037</v>
      </c>
      <c r="I1804" s="1" t="s">
        <v>612</v>
      </c>
      <c r="L1804" s="15" t="s">
        <v>545</v>
      </c>
      <c r="M1804" s="15"/>
      <c r="N1804" s="15"/>
      <c r="O1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vivid_la_navidad.html</v>
      </c>
      <c r="R1804" s="1"/>
      <c r="S1804" s="1"/>
      <c r="T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804" s="15" t="str">
        <f>_xlfn.TEXTBEFORE(_xlfn.TEXTAFTER(CantoralDB[[#This Row],[index.html]],"&gt;"),"&gt;")&amp;"&gt;"</f>
        <v>&lt;a href="canciones/nsb/vivid_la_navidad.html"&gt;</v>
      </c>
    </row>
    <row r="1805" spans="1:21" hidden="1" x14ac:dyDescent="0.3">
      <c r="A1805" s="1">
        <f>ROW(CantoralDB[[#This Row],[Título]])-1</f>
        <v>1804</v>
      </c>
      <c r="B1805" s="1" t="s">
        <v>1938</v>
      </c>
      <c r="C1805" s="1"/>
      <c r="I1805" s="1" t="s">
        <v>612</v>
      </c>
      <c r="L1805" s="15" t="s">
        <v>1804</v>
      </c>
      <c r="M1805" s="15" t="s">
        <v>1952</v>
      </c>
      <c r="N1805" s="15">
        <v>16</v>
      </c>
      <c r="O1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vivir.html</v>
      </c>
      <c r="R1805" s="1"/>
      <c r="S1805" s="1"/>
      <c r="T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href="canciones/ruah/vivir.html"&gt;Vivir&lt;/a&gt;&lt;/li&gt;</v>
      </c>
      <c r="U1805" s="15" t="str">
        <f>_xlfn.TEXTBEFORE(_xlfn.TEXTAFTER(CantoralDB[[#This Row],[index.html]],"&gt;"),"&gt;")&amp;"&gt;"</f>
        <v>&lt;a href="canciones/ruah/vivir.html"&gt;</v>
      </c>
    </row>
    <row r="1806" spans="1:21" hidden="1" x14ac:dyDescent="0.3">
      <c r="A1806" s="1">
        <f>ROW(CantoralDB[[#This Row],[Título]])-1</f>
        <v>1805</v>
      </c>
      <c r="B1806" s="1" t="s">
        <v>3325</v>
      </c>
      <c r="C1806" s="1"/>
      <c r="I1806" s="1" t="s">
        <v>612</v>
      </c>
      <c r="L1806" s="15" t="s">
        <v>499</v>
      </c>
      <c r="M1806" s="15" t="s">
        <v>3316</v>
      </c>
      <c r="N1806" s="15">
        <v>9</v>
      </c>
      <c r="O1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vivir_en_el_señor.html</v>
      </c>
      <c r="R1806" s="1"/>
      <c r="S1806" s="1"/>
      <c r="T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806" s="15" t="str">
        <f>_xlfn.TEXTBEFORE(_xlfn.TEXTAFTER(CantoralDB[[#This Row],[index.html]],"&gt;"),"&gt;")&amp;"&gt;"</f>
        <v>&lt;a href="canciones/brotes_de_olivo/vivir_en_el_señor.html"&gt;</v>
      </c>
    </row>
    <row r="1807" spans="1:21" hidden="1" x14ac:dyDescent="0.3">
      <c r="A1807" s="1">
        <f>ROW(CantoralDB[[#This Row],[Título]])-1</f>
        <v>1806</v>
      </c>
      <c r="B1807" s="1" t="s">
        <v>496</v>
      </c>
      <c r="C1807" s="1" t="s">
        <v>191</v>
      </c>
      <c r="D1807" s="1" t="s">
        <v>766</v>
      </c>
      <c r="G1807" s="1" t="s">
        <v>220</v>
      </c>
      <c r="H1807" s="1" t="s">
        <v>1041</v>
      </c>
      <c r="I1807" s="1" t="s">
        <v>612</v>
      </c>
      <c r="L1807" s="15" t="s">
        <v>482</v>
      </c>
      <c r="M1807" s="15" t="s">
        <v>1900</v>
      </c>
      <c r="N1807" s="15">
        <v>5</v>
      </c>
      <c r="O1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viviremos_firmes_en_la_fe.html</v>
      </c>
      <c r="R1807" s="1"/>
      <c r="S1807" s="1"/>
      <c r="T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807" s="15" t="str">
        <f>_xlfn.TEXTBEFORE(_xlfn.TEXTAFTER(CantoralDB[[#This Row],[index.html]],"&gt;"),"&gt;")&amp;"&gt;"</f>
        <v>&lt;a href="canciones/toño_casado/viviremos_firmes_en_la_fe.html"&gt;</v>
      </c>
    </row>
    <row r="1808" spans="1:21" hidden="1" x14ac:dyDescent="0.3">
      <c r="A1808" s="1">
        <f>ROW(CantoralDB[[#This Row],[Título]])-1</f>
        <v>1807</v>
      </c>
      <c r="B1808" s="1" t="s">
        <v>468</v>
      </c>
      <c r="C1808" s="1" t="s">
        <v>1026</v>
      </c>
      <c r="D1808" s="1" t="s">
        <v>1164</v>
      </c>
      <c r="H1808" s="1" t="s">
        <v>1046</v>
      </c>
      <c r="I1808" s="1" t="s">
        <v>612</v>
      </c>
      <c r="L1808" s="15" t="s">
        <v>2201</v>
      </c>
      <c r="M1808" s="15"/>
      <c r="N1808" s="15"/>
      <c r="O1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1808" s="1"/>
      <c r="S1808" s="1"/>
      <c r="T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808" s="15" t="str">
        <f>_xlfn.TEXTBEFORE(_xlfn.TEXTAFTER(CantoralDB[[#This Row],[index.html]],"&gt;"),"&gt;")&amp;"&gt;"</f>
        <v>&lt;a href="canciones/taize/voici_dieu_qui_vient_à_mon_secours.html"&gt;</v>
      </c>
    </row>
    <row r="1809" spans="1:21" hidden="1" x14ac:dyDescent="0.3">
      <c r="A1809" s="1">
        <f>ROW(CantoralDB[[#This Row],[Título]])-1</f>
        <v>1808</v>
      </c>
      <c r="B1809" s="1" t="s">
        <v>165</v>
      </c>
      <c r="C1809" s="1" t="s">
        <v>997</v>
      </c>
      <c r="D1809" s="1" t="s">
        <v>1022</v>
      </c>
      <c r="E1809" s="1">
        <v>473</v>
      </c>
      <c r="G1809" s="1" t="s">
        <v>209</v>
      </c>
      <c r="H1809" s="1" t="s">
        <v>1041</v>
      </c>
      <c r="I1809" s="1" t="s">
        <v>612</v>
      </c>
      <c r="L1809" s="15" t="s">
        <v>799</v>
      </c>
      <c r="M1809" s="15"/>
      <c r="N1809" s="15"/>
      <c r="O1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volar.html</v>
      </c>
      <c r="R1809" s="1"/>
      <c r="S1809" s="1"/>
      <c r="T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809" s="15" t="str">
        <f>_xlfn.TEXTBEFORE(_xlfn.TEXTAFTER(CantoralDB[[#This Row],[index.html]],"&gt;"),"&gt;")&amp;"&gt;"</f>
        <v>&lt;a href="canciones/nsb/volar.html"&gt;</v>
      </c>
    </row>
    <row r="1810" spans="1:21" hidden="1" x14ac:dyDescent="0.3">
      <c r="A1810" s="1">
        <f>ROW(CantoralDB[[#This Row],[Título]])-1</f>
        <v>1809</v>
      </c>
      <c r="B1810" s="1" t="s">
        <v>1871</v>
      </c>
      <c r="C1810" s="1"/>
      <c r="I1810" s="1" t="s">
        <v>612</v>
      </c>
      <c r="L1810" s="15" t="s">
        <v>501</v>
      </c>
      <c r="M1810" s="15" t="s">
        <v>1554</v>
      </c>
      <c r="N1810" s="15">
        <v>20</v>
      </c>
      <c r="O1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volemos.html</v>
      </c>
      <c r="R1810" s="1"/>
      <c r="S1810" s="1"/>
      <c r="T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href="canciones/ain_karem/volemos.html"&gt;Volemos&lt;/a&gt;&lt;/li&gt;</v>
      </c>
      <c r="U1810" s="15" t="str">
        <f>_xlfn.TEXTBEFORE(_xlfn.TEXTAFTER(CantoralDB[[#This Row],[index.html]],"&gt;"),"&gt;")&amp;"&gt;"</f>
        <v>&lt;a href="canciones/ain_karem/volemos.html"&gt;</v>
      </c>
    </row>
    <row r="1811" spans="1:21" hidden="1" x14ac:dyDescent="0.3">
      <c r="A1811" s="1">
        <f>ROW(CantoralDB[[#This Row],[Título]])-1</f>
        <v>1810</v>
      </c>
      <c r="B1811" s="1" t="s">
        <v>2130</v>
      </c>
      <c r="C1811" s="1"/>
      <c r="I1811" s="1"/>
      <c r="L1811" s="15" t="s">
        <v>481</v>
      </c>
      <c r="M1811" s="15" t="s">
        <v>1978</v>
      </c>
      <c r="N1811" s="15">
        <v>5</v>
      </c>
      <c r="O1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vuelve_hacia_nosotros_tu_mirada.html</v>
      </c>
      <c r="R1811" s="1"/>
      <c r="S1811" s="1"/>
      <c r="T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href="canciones/francisco_palazon/vuelve_hacia_nosotros_tu_mirada.html"&gt;Vuelve hacia nosotros tu mirada&lt;/a&gt;&lt;/li&gt;</v>
      </c>
      <c r="U1811" s="15" t="str">
        <f>_xlfn.TEXTBEFORE(_xlfn.TEXTAFTER(CantoralDB[[#This Row],[index.html]],"&gt;"),"&gt;")&amp;"&gt;"</f>
        <v>&lt;a href="canciones/francisco_palazon/vuelve_hacia_nosotros_tu_mirada.html"&gt;</v>
      </c>
    </row>
    <row r="1812" spans="1:21" hidden="1" x14ac:dyDescent="0.3">
      <c r="A1812" s="1">
        <f>ROW(CantoralDB[[#This Row],[Título]])-1</f>
        <v>1811</v>
      </c>
      <c r="B1812" s="1" t="s">
        <v>3424</v>
      </c>
      <c r="C1812" s="1"/>
      <c r="F1812" s="1">
        <v>85</v>
      </c>
      <c r="I1812" s="1"/>
      <c r="L1812" s="15" t="s">
        <v>3425</v>
      </c>
      <c r="M1812" s="15"/>
      <c r="N1812" s="15"/>
      <c r="O1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vuelve_los_ojos_al_señor.html</v>
      </c>
      <c r="R1812" s="1"/>
      <c r="S1812" s="1"/>
      <c r="T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1812" s="15" t="str">
        <f>_xlfn.TEXTBEFORE(_xlfn.TEXTAFTER(CantoralDB[[#This Row],[index.html]],"&gt;"),"&gt;")&amp;"&gt;"</f>
        <v>&lt;a href="canciones/nuevas/vuelve_los_ojos_al_señor.html"&gt;</v>
      </c>
    </row>
    <row r="1813" spans="1:21" hidden="1" x14ac:dyDescent="0.3">
      <c r="A1813" s="1">
        <f>ROW(CantoralDB[[#This Row],[Título]])-1</f>
        <v>1812</v>
      </c>
      <c r="B1813" s="1" t="s">
        <v>3596</v>
      </c>
      <c r="C1813" s="1"/>
      <c r="F1813" s="1">
        <v>262</v>
      </c>
      <c r="I1813" s="1"/>
      <c r="L1813" s="15" t="s">
        <v>3597</v>
      </c>
      <c r="M1813" s="15"/>
      <c r="N1813" s="15"/>
      <c r="O1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vuelvete_a_mi.html</v>
      </c>
      <c r="R1813" s="1"/>
      <c r="S1813" s="1"/>
      <c r="T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813" s="15" t="str">
        <f>_xlfn.TEXTBEFORE(_xlfn.TEXTAFTER(CantoralDB[[#This Row],[index.html]],"&gt;"),"&gt;")&amp;"&gt;"</f>
        <v>&lt;a href="canciones/nuevas/vuelvete_a_mi.html"&gt;</v>
      </c>
    </row>
    <row r="1814" spans="1:21" hidden="1" x14ac:dyDescent="0.3">
      <c r="A1814" s="1">
        <f>ROW(CantoralDB[[#This Row],[Título]])-1</f>
        <v>1813</v>
      </c>
      <c r="B1814" s="1" t="s">
        <v>471</v>
      </c>
      <c r="C1814" s="1" t="s">
        <v>1026</v>
      </c>
      <c r="D1814" s="1" t="s">
        <v>1117</v>
      </c>
      <c r="H1814" s="1" t="s">
        <v>1031</v>
      </c>
      <c r="I1814" s="1" t="s">
        <v>612</v>
      </c>
      <c r="L1814" s="15" t="s">
        <v>2201</v>
      </c>
      <c r="M1814" s="15"/>
      <c r="N1814" s="15"/>
      <c r="O1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1814" s="1"/>
      <c r="S1814" s="1"/>
      <c r="T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814" s="15" t="str">
        <f>_xlfn.TEXTBEFORE(_xlfn.TEXTAFTER(CantoralDB[[#This Row],[index.html]],"&gt;"),"&gt;")&amp;"&gt;"</f>
        <v>&lt;a href="canciones/taize/wysławiajcie_pana.html"&gt;</v>
      </c>
    </row>
    <row r="1815" spans="1:21" hidden="1" x14ac:dyDescent="0.3">
      <c r="A1815" s="1">
        <f>ROW(CantoralDB[[#This Row],[Título]])-1</f>
        <v>1814</v>
      </c>
      <c r="B1815" s="1" t="s">
        <v>1667</v>
      </c>
      <c r="C1815" s="1"/>
      <c r="I1815" s="1"/>
      <c r="L1815" s="15" t="s">
        <v>484</v>
      </c>
      <c r="M1815" s="15" t="s">
        <v>1531</v>
      </c>
      <c r="N1815" s="15">
        <v>12</v>
      </c>
      <c r="O1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xerinola.html</v>
      </c>
      <c r="R1815" s="1"/>
      <c r="S1815" s="1"/>
      <c r="T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href="canciones/kairoi/xerinola.html"&gt;Xerinola&lt;/a&gt;&lt;/li&gt;</v>
      </c>
      <c r="U1815" s="15" t="str">
        <f>_xlfn.TEXTBEFORE(_xlfn.TEXTAFTER(CantoralDB[[#This Row],[index.html]],"&gt;"),"&gt;")&amp;"&gt;"</f>
        <v>&lt;a href="canciones/kairoi/xerinola.html"&gt;</v>
      </c>
    </row>
    <row r="1816" spans="1:21" hidden="1" x14ac:dyDescent="0.3">
      <c r="A1816" s="1">
        <f>ROW(CantoralDB[[#This Row],[Título]])-1</f>
        <v>1815</v>
      </c>
      <c r="B1816" s="1" t="s">
        <v>2119</v>
      </c>
      <c r="C1816" s="1"/>
      <c r="I1816" s="1" t="s">
        <v>612</v>
      </c>
      <c r="L1816" s="15" t="s">
        <v>481</v>
      </c>
      <c r="M1816" s="15" t="s">
        <v>2105</v>
      </c>
      <c r="N1816" s="15">
        <v>4</v>
      </c>
      <c r="O1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y_ciegos_son_los_hombres.html</v>
      </c>
      <c r="R1816" s="1"/>
      <c r="S1816" s="1"/>
      <c r="T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1816" s="15" t="str">
        <f>_xlfn.TEXTBEFORE(_xlfn.TEXTAFTER(CantoralDB[[#This Row],[index.html]],"&gt;"),"&gt;")&amp;"&gt;"</f>
        <v>&lt;a href="canciones/francisco_palazon/y_ciegos_son_los_hombres.html"&gt;</v>
      </c>
    </row>
    <row r="1817" spans="1:21" hidden="1" x14ac:dyDescent="0.3">
      <c r="A1817" s="1">
        <f>ROW(CantoralDB[[#This Row],[Título]])-1</f>
        <v>1816</v>
      </c>
      <c r="B1817" s="1" t="s">
        <v>3813</v>
      </c>
      <c r="C1817" s="1"/>
      <c r="I1817" s="1"/>
      <c r="L1817" s="15" t="s">
        <v>499</v>
      </c>
      <c r="M1817" s="15" t="s">
        <v>3803</v>
      </c>
      <c r="N1817" s="15">
        <v>13</v>
      </c>
      <c r="O1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y_el_septimo_descanso.html</v>
      </c>
      <c r="R1817" s="1"/>
      <c r="S1817" s="1"/>
      <c r="T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817" s="15" t="str">
        <f>_xlfn.TEXTBEFORE(_xlfn.TEXTAFTER(CantoralDB[[#This Row],[index.html]],"&gt;"),"&gt;")&amp;"&gt;"</f>
        <v>&lt;a href="canciones/brotes_de_olivo/y_el_septimo_descanso.html"&gt;</v>
      </c>
    </row>
    <row r="1818" spans="1:21" hidden="1" x14ac:dyDescent="0.3">
      <c r="A1818" s="1">
        <f>ROW(CantoralDB[[#This Row],[Título]])-1</f>
        <v>1817</v>
      </c>
      <c r="B1818" s="1" t="s">
        <v>3737</v>
      </c>
      <c r="C1818" s="1"/>
      <c r="F1818" s="1">
        <v>393</v>
      </c>
      <c r="I1818" s="1"/>
      <c r="L1818" s="15" t="s">
        <v>799</v>
      </c>
      <c r="M1818" s="15"/>
      <c r="N1818" s="15"/>
      <c r="O1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y_es_que_tengo_un_fuego.html</v>
      </c>
      <c r="R1818" s="1"/>
      <c r="S1818" s="1"/>
      <c r="T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href="canciones/nuevas/y_es_que_tengo_un_fuego.html"&gt;Y es que tengo un fuego&lt;/a&gt;&lt;/li&gt;</v>
      </c>
      <c r="U1818" s="15" t="str">
        <f>_xlfn.TEXTBEFORE(_xlfn.TEXTAFTER(CantoralDB[[#This Row],[index.html]],"&gt;"),"&gt;")&amp;"&gt;"</f>
        <v>&lt;a href="canciones/nuevas/y_es_que_tengo_un_fuego.html"&gt;</v>
      </c>
    </row>
    <row r="1819" spans="1:21" hidden="1" x14ac:dyDescent="0.3">
      <c r="A1819" s="1">
        <f>ROW(CantoralDB[[#This Row],[Título]])-1</f>
        <v>1818</v>
      </c>
      <c r="B1819" s="1" t="s">
        <v>1733</v>
      </c>
      <c r="C1819" s="1"/>
      <c r="I1819" s="1"/>
      <c r="L1819" s="15" t="s">
        <v>484</v>
      </c>
      <c r="M1819" s="15" t="s">
        <v>1541</v>
      </c>
      <c r="N1819" s="15">
        <v>1</v>
      </c>
      <c r="O1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y_fuiste_hogar.html</v>
      </c>
      <c r="R1819" s="1"/>
      <c r="S1819" s="1"/>
      <c r="T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1819" s="15" t="str">
        <f>_xlfn.TEXTBEFORE(_xlfn.TEXTAFTER(CantoralDB[[#This Row],[index.html]],"&gt;"),"&gt;")&amp;"&gt;"</f>
        <v>&lt;a href="canciones/kairoi/y_fuiste_hogar.html"&gt;</v>
      </c>
    </row>
    <row r="1820" spans="1:21" hidden="1" x14ac:dyDescent="0.3">
      <c r="A1820" s="1">
        <f>ROW(CantoralDB[[#This Row],[Título]])-1</f>
        <v>1819</v>
      </c>
      <c r="B1820" s="1" t="s">
        <v>1540</v>
      </c>
      <c r="C1820" s="1"/>
      <c r="I1820" s="1" t="s">
        <v>612</v>
      </c>
      <c r="L1820" s="15" t="s">
        <v>484</v>
      </c>
      <c r="M1820" s="15" t="s">
        <v>1540</v>
      </c>
      <c r="N1820" s="15">
        <v>2</v>
      </c>
      <c r="O1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y_se_vive_la_vida.html</v>
      </c>
      <c r="R1820" s="1"/>
      <c r="S1820" s="1"/>
      <c r="T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1820" s="15" t="str">
        <f>_xlfn.TEXTBEFORE(_xlfn.TEXTAFTER(CantoralDB[[#This Row],[index.html]],"&gt;"),"&gt;")&amp;"&gt;"</f>
        <v>&lt;a href="canciones/kairoi/y_se_vive_la_vida.html"&gt;</v>
      </c>
    </row>
    <row r="1821" spans="1:21" hidden="1" x14ac:dyDescent="0.3">
      <c r="A1821" s="1">
        <f>ROW(CantoralDB[[#This Row],[Título]])-1</f>
        <v>1820</v>
      </c>
      <c r="B1821" s="1" t="s">
        <v>1962</v>
      </c>
      <c r="C1821" s="1"/>
      <c r="I1821" s="1" t="s">
        <v>612</v>
      </c>
      <c r="L1821" s="15" t="s">
        <v>484</v>
      </c>
      <c r="M1821" s="15" t="s">
        <v>1535</v>
      </c>
      <c r="N1821" s="15">
        <v>6</v>
      </c>
      <c r="O1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ya_no_te_queda_tiempo.html</v>
      </c>
      <c r="R1821" s="1"/>
      <c r="S1821" s="1"/>
      <c r="T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1821" s="15" t="str">
        <f>_xlfn.TEXTBEFORE(_xlfn.TEXTAFTER(CantoralDB[[#This Row],[index.html]],"&gt;"),"&gt;")&amp;"&gt;"</f>
        <v>&lt;a href="canciones/kairoi/ya_no_te_queda_tiempo.html"&gt;</v>
      </c>
    </row>
    <row r="1822" spans="1:21" hidden="1" x14ac:dyDescent="0.3">
      <c r="A1822" s="1">
        <f>ROW(CantoralDB[[#This Row],[Título]])-1</f>
        <v>1821</v>
      </c>
      <c r="B1822" s="1" t="s">
        <v>190</v>
      </c>
      <c r="C1822" s="1" t="s">
        <v>476</v>
      </c>
      <c r="D1822" s="1" t="s">
        <v>1111</v>
      </c>
      <c r="G1822" s="1" t="s">
        <v>209</v>
      </c>
      <c r="H1822" s="1" t="s">
        <v>1035</v>
      </c>
      <c r="I1822" s="1" t="s">
        <v>612</v>
      </c>
      <c r="L1822" s="15" t="s">
        <v>2200</v>
      </c>
      <c r="M1822" s="15"/>
      <c r="N1822" s="15"/>
      <c r="O1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ya_vienen_los_reyes_magos.html</v>
      </c>
      <c r="R1822" s="1"/>
      <c r="S1822" s="1"/>
      <c r="T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822" s="15" t="str">
        <f>_xlfn.TEXTBEFORE(_xlfn.TEXTAFTER(CantoralDB[[#This Row],[index.html]],"&gt;"),"&gt;")&amp;"&gt;"</f>
        <v>&lt;a href="canciones/villancicos/ya_vienen_los_reyes_magos.html"&gt;</v>
      </c>
    </row>
    <row r="1823" spans="1:21" hidden="1" x14ac:dyDescent="0.3">
      <c r="A1823" s="1">
        <f>ROW(CantoralDB[[#This Row],[Título]])-1</f>
        <v>1822</v>
      </c>
      <c r="B1823" s="1" t="s">
        <v>257</v>
      </c>
      <c r="C1823" s="1" t="s">
        <v>201</v>
      </c>
      <c r="D1823" s="1" t="s">
        <v>685</v>
      </c>
      <c r="G1823" s="1" t="s">
        <v>258</v>
      </c>
      <c r="H1823" s="1" t="s">
        <v>1034</v>
      </c>
      <c r="I1823" s="1" t="s">
        <v>612</v>
      </c>
      <c r="L1823" s="15" t="s">
        <v>258</v>
      </c>
      <c r="M1823" s="15"/>
      <c r="N1823" s="15"/>
      <c r="O1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yendo_contigo.html</v>
      </c>
      <c r="R1823" s="1"/>
      <c r="S1823" s="1"/>
      <c r="T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823" s="15" t="str">
        <f>_xlfn.TEXTBEFORE(_xlfn.TEXTAFTER(CantoralDB[[#This Row],[index.html]],"&gt;"),"&gt;")&amp;"&gt;"</f>
        <v>&lt;a href="canciones/nsb/yendo_contigo.html"&gt;</v>
      </c>
    </row>
    <row r="1824" spans="1:21" hidden="1" x14ac:dyDescent="0.3">
      <c r="A1824" s="1">
        <f>ROW(CantoralDB[[#This Row],[Título]])-1</f>
        <v>1823</v>
      </c>
      <c r="B1824" s="1" t="s">
        <v>3350</v>
      </c>
      <c r="C1824" s="1"/>
      <c r="F1824" s="1">
        <v>16</v>
      </c>
      <c r="I1824" s="1"/>
      <c r="L1824" s="15" t="s">
        <v>3351</v>
      </c>
      <c r="M1824" s="15"/>
      <c r="N1824" s="15"/>
      <c r="O1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yeshua.html</v>
      </c>
      <c r="R1824" s="1"/>
      <c r="S1824" s="1"/>
      <c r="T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Salinas"&gt;&lt;a href="canciones/nuevas/yeshua.html"&gt;Yeshua&lt;/a&gt;&lt;/li&gt;</v>
      </c>
      <c r="U1824" s="15" t="str">
        <f>_xlfn.TEXTBEFORE(_xlfn.TEXTAFTER(CantoralDB[[#This Row],[index.html]],"&gt;"),"&gt;")&amp;"&gt;"</f>
        <v>&lt;a href="canciones/nuevas/yeshua.html"&gt;</v>
      </c>
    </row>
    <row r="1825" spans="1:21" hidden="1" x14ac:dyDescent="0.3">
      <c r="A1825" s="1">
        <f>ROW(CantoralDB[[#This Row],[Título]])-1</f>
        <v>1824</v>
      </c>
      <c r="B1825" s="1" t="s">
        <v>3621</v>
      </c>
      <c r="C1825" s="1"/>
      <c r="F1825" s="1">
        <v>288</v>
      </c>
      <c r="I1825" s="1"/>
      <c r="L1825" s="15" t="s">
        <v>3451</v>
      </c>
      <c r="M1825" s="15"/>
      <c r="N1825" s="15"/>
      <c r="O1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yo_abrire_una_puerta.html</v>
      </c>
      <c r="R1825" s="1"/>
      <c r="S1825" s="1"/>
      <c r="T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825" s="15" t="str">
        <f>_xlfn.TEXTBEFORE(_xlfn.TEXTAFTER(CantoralDB[[#This Row],[index.html]],"&gt;"),"&gt;")&amp;"&gt;"</f>
        <v>&lt;a href="canciones/rosa_cruz/yo_abrire_una_puerta.html"&gt;</v>
      </c>
    </row>
    <row r="1826" spans="1:21" hidden="1" x14ac:dyDescent="0.3">
      <c r="A1826" s="1">
        <f>ROW(CantoralDB[[#This Row],[Título]])-1</f>
        <v>1825</v>
      </c>
      <c r="B1826" s="1" t="s">
        <v>166</v>
      </c>
      <c r="C1826" s="1" t="s">
        <v>200</v>
      </c>
      <c r="D1826" s="1" t="s">
        <v>1100</v>
      </c>
      <c r="E1826" s="1">
        <v>474</v>
      </c>
      <c r="F1826" s="1">
        <v>60</v>
      </c>
      <c r="G1826" s="1" t="s">
        <v>209</v>
      </c>
      <c r="H1826" s="1" t="s">
        <v>1034</v>
      </c>
      <c r="I1826" s="1" t="s">
        <v>612</v>
      </c>
      <c r="L1826" s="15" t="s">
        <v>484</v>
      </c>
      <c r="M1826" s="15" t="s">
        <v>1525</v>
      </c>
      <c r="N1826" s="15">
        <v>2</v>
      </c>
      <c r="O1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yo_cantare_(magnificat).html</v>
      </c>
      <c r="R1826" s="1" t="s">
        <v>872</v>
      </c>
      <c r="S1826" s="1"/>
      <c r="T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1826" s="15" t="str">
        <f>_xlfn.TEXTBEFORE(_xlfn.TEXTAFTER(CantoralDB[[#This Row],[index.html]],"&gt;"),"&gt;")&amp;"&gt;"</f>
        <v>&lt;a href="canciones/kairoi/yo_cantare_(magnificat).html"&gt;</v>
      </c>
    </row>
    <row r="1827" spans="1:21" hidden="1" x14ac:dyDescent="0.3">
      <c r="A1827" s="1">
        <f>ROW(CantoralDB[[#This Row],[Título]])-1</f>
        <v>1826</v>
      </c>
      <c r="B1827" s="1" t="s">
        <v>3687</v>
      </c>
      <c r="C1827" s="1"/>
      <c r="F1827" s="1">
        <v>351</v>
      </c>
      <c r="I1827" s="1"/>
      <c r="L1827" s="15" t="s">
        <v>799</v>
      </c>
      <c r="M1827" s="15"/>
      <c r="N1827" s="15"/>
      <c r="O1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yo_cantare_tus_alabanzas.html</v>
      </c>
      <c r="R1827" s="1"/>
      <c r="S1827" s="1"/>
      <c r="T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827" s="15" t="str">
        <f>_xlfn.TEXTBEFORE(_xlfn.TEXTAFTER(CantoralDB[[#This Row],[index.html]],"&gt;"),"&gt;")&amp;"&gt;"</f>
        <v>&lt;a href="canciones/nuevas/yo_cantare_tus_alabanzas.html"&gt;</v>
      </c>
    </row>
    <row r="1828" spans="1:21" hidden="1" x14ac:dyDescent="0.3">
      <c r="A1828" s="1">
        <f>ROW(CantoralDB[[#This Row],[Título]])-1</f>
        <v>1827</v>
      </c>
      <c r="B1828" s="1" t="s">
        <v>3526</v>
      </c>
      <c r="C1828" s="1"/>
      <c r="F1828" s="1">
        <v>180</v>
      </c>
      <c r="I1828" s="1"/>
      <c r="L1828" s="15" t="s">
        <v>3527</v>
      </c>
      <c r="M1828" s="15"/>
      <c r="N1828" s="15"/>
      <c r="O1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yo_canto_a_mi_señor.html</v>
      </c>
      <c r="R1828" s="1"/>
      <c r="S1828" s="1"/>
      <c r="T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1828" s="15" t="str">
        <f>_xlfn.TEXTBEFORE(_xlfn.TEXTAFTER(CantoralDB[[#This Row],[index.html]],"&gt;"),"&gt;")&amp;"&gt;"</f>
        <v>&lt;a href="canciones/nuevas/yo_canto_a_mi_señor.html"&gt;</v>
      </c>
    </row>
    <row r="1829" spans="1:21" hidden="1" x14ac:dyDescent="0.3">
      <c r="A1829" s="1">
        <f>ROW(CantoralDB[[#This Row],[Título]])-1</f>
        <v>1828</v>
      </c>
      <c r="B1829" s="1" t="s">
        <v>1284</v>
      </c>
      <c r="C1829" s="1"/>
      <c r="E1829" s="1">
        <v>297</v>
      </c>
      <c r="I1829" s="1"/>
      <c r="L1829" s="15" t="s">
        <v>491</v>
      </c>
      <c r="M1829" s="15"/>
      <c r="N1829" s="15"/>
      <c r="O1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yo_canto_al_señor_porque_es_grande.html</v>
      </c>
      <c r="R1829" s="1"/>
      <c r="S1829" s="1"/>
      <c r="T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data-nold="297"&gt;&lt;a href="canciones/juan_antonio_espinosa/yo_canto_al_señor_porque_es_grande.html"&gt;Yo canto al Señor porque es grande&lt;/a&gt;&lt;/li&gt;</v>
      </c>
      <c r="U1829" s="15" t="str">
        <f>_xlfn.TEXTBEFORE(_xlfn.TEXTAFTER(CantoralDB[[#This Row],[index.html]],"&gt;"),"&gt;")&amp;"&gt;"</f>
        <v>&lt;a href="canciones/juan_antonio_espinosa/yo_canto_al_señor_porque_es_grande.html"&gt;</v>
      </c>
    </row>
    <row r="1830" spans="1:21" hidden="1" x14ac:dyDescent="0.3">
      <c r="A1830" s="1">
        <f>ROW(CantoralDB[[#This Row],[Título]])-1</f>
        <v>1829</v>
      </c>
      <c r="B1830" s="1" t="s">
        <v>167</v>
      </c>
      <c r="C1830" s="1" t="s">
        <v>201</v>
      </c>
      <c r="D1830" s="1" t="s">
        <v>686</v>
      </c>
      <c r="E1830" s="1">
        <v>475</v>
      </c>
      <c r="F1830" s="1">
        <v>287</v>
      </c>
      <c r="G1830" s="1" t="s">
        <v>209</v>
      </c>
      <c r="H1830" s="1" t="s">
        <v>533</v>
      </c>
      <c r="I1830" s="1" t="s">
        <v>612</v>
      </c>
      <c r="L1830" s="15" t="s">
        <v>592</v>
      </c>
      <c r="M1830" s="15"/>
      <c r="N1830" s="15"/>
      <c r="O1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yo_celebrare.html</v>
      </c>
      <c r="R1830" s="1"/>
      <c r="S1830" s="1"/>
      <c r="T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830" s="15" t="str">
        <f>_xlfn.TEXTBEFORE(_xlfn.TEXTAFTER(CantoralDB[[#This Row],[index.html]],"&gt;"),"&gt;")&amp;"&gt;"</f>
        <v>&lt;a href="canciones/nsb/yo_celebrare.html"&gt;</v>
      </c>
    </row>
    <row r="1831" spans="1:21" hidden="1" x14ac:dyDescent="0.3">
      <c r="A1831" s="1">
        <f>ROW(CantoralDB[[#This Row],[Título]])-1</f>
        <v>1830</v>
      </c>
      <c r="B1831" s="1" t="s">
        <v>1391</v>
      </c>
      <c r="C1831" s="1"/>
      <c r="E1831" s="1">
        <v>292</v>
      </c>
      <c r="I1831" s="1"/>
      <c r="L1831" s="15" t="s">
        <v>483</v>
      </c>
      <c r="M1831" s="15"/>
      <c r="N1831" s="15"/>
      <c r="O1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yo_confio_en_ti_señor.html</v>
      </c>
      <c r="R1831" s="1"/>
      <c r="S1831" s="1"/>
      <c r="T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1831" s="15" t="str">
        <f>_xlfn.TEXTBEFORE(_xlfn.TEXTAFTER(CantoralDB[[#This Row],[index.html]],"&gt;"),"&gt;")&amp;"&gt;"</f>
        <v>&lt;a href="canciones/cesareo_gabarain/yo_confio_en_ti_señor.html"&gt;</v>
      </c>
    </row>
    <row r="1832" spans="1:21" hidden="1" x14ac:dyDescent="0.3">
      <c r="A1832" s="1">
        <f>ROW(CantoralDB[[#This Row],[Título]])-1</f>
        <v>1831</v>
      </c>
      <c r="B1832" s="1" t="s">
        <v>3230</v>
      </c>
      <c r="C1832" s="1"/>
      <c r="F1832" s="1">
        <v>198</v>
      </c>
      <c r="I1832" s="1"/>
      <c r="L1832" s="15" t="s">
        <v>3160</v>
      </c>
      <c r="M1832" s="15" t="s">
        <v>3191</v>
      </c>
      <c r="N1832" s="15">
        <v>18</v>
      </c>
      <c r="O1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yo_creo_en_tu_resurreccion.html</v>
      </c>
      <c r="R1832" s="1"/>
      <c r="S1832" s="1"/>
      <c r="T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1832" s="15" t="str">
        <f>_xlfn.TEXTBEFORE(_xlfn.TEXTAFTER(CantoralDB[[#This Row],[index.html]],"&gt;"),"&gt;")&amp;"&gt;"</f>
        <v>&lt;a href="canciones/hermana_glenda/yo_creo_en_tu_resurreccion.html"&gt;</v>
      </c>
    </row>
    <row r="1833" spans="1:21" hidden="1" x14ac:dyDescent="0.3">
      <c r="A1833" s="1">
        <f>ROW(CantoralDB[[#This Row],[Título]])-1</f>
        <v>1832</v>
      </c>
      <c r="B1833" s="1" t="s">
        <v>3282</v>
      </c>
      <c r="C1833" s="1"/>
      <c r="I1833" s="1"/>
      <c r="L1833" s="15" t="s">
        <v>3160</v>
      </c>
      <c r="M1833" s="15" t="s">
        <v>891</v>
      </c>
      <c r="N1833" s="15">
        <v>11</v>
      </c>
      <c r="O1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yo_esperaba.html</v>
      </c>
      <c r="R1833" s="1" t="s">
        <v>3289</v>
      </c>
      <c r="S1833" s="1"/>
      <c r="T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href="canciones/hermana_glenda/yo_esperaba.html"&gt;Yo esperaba&lt;/a&gt;&lt;/li&gt;</v>
      </c>
      <c r="U1833" s="15" t="str">
        <f>_xlfn.TEXTBEFORE(_xlfn.TEXTAFTER(CantoralDB[[#This Row],[index.html]],"&gt;"),"&gt;")&amp;"&gt;"</f>
        <v>&lt;a href="canciones/hermana_glenda/yo_esperaba.html"&gt;</v>
      </c>
    </row>
    <row r="1834" spans="1:21" hidden="1" x14ac:dyDescent="0.3">
      <c r="A1834" s="1">
        <f>ROW(CantoralDB[[#This Row],[Título]])-1</f>
        <v>1833</v>
      </c>
      <c r="B1834" s="1" t="s">
        <v>1393</v>
      </c>
      <c r="C1834" s="1"/>
      <c r="E1834" s="1">
        <v>296</v>
      </c>
      <c r="I1834" s="1"/>
      <c r="L1834" s="15" t="s">
        <v>479</v>
      </c>
      <c r="M1834" s="15"/>
      <c r="N1834" s="15"/>
      <c r="O1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yo_estare_con_vosotros.html</v>
      </c>
      <c r="R1834" s="1"/>
      <c r="S1834" s="1"/>
      <c r="T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1834" s="15" t="str">
        <f>_xlfn.TEXTBEFORE(_xlfn.TEXTAFTER(CantoralDB[[#This Row],[index.html]],"&gt;"),"&gt;")&amp;"&gt;"</f>
        <v>&lt;a href="canciones/carmelo_erdozain/yo_estare_con_vosotros.html"&gt;</v>
      </c>
    </row>
    <row r="1835" spans="1:21" hidden="1" x14ac:dyDescent="0.3">
      <c r="A1835" s="1">
        <f>ROW(CantoralDB[[#This Row],[Título]])-1</f>
        <v>1834</v>
      </c>
      <c r="B1835" s="1" t="s">
        <v>3267</v>
      </c>
      <c r="C1835" s="1"/>
      <c r="I1835" s="1"/>
      <c r="L1835" s="15" t="s">
        <v>3160</v>
      </c>
      <c r="M1835" s="15" t="s">
        <v>415</v>
      </c>
      <c r="N1835" s="15">
        <v>6</v>
      </c>
      <c r="O1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yo_he_sentido_señor.html</v>
      </c>
      <c r="R1835" s="1"/>
      <c r="S1835" s="1"/>
      <c r="T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href="canciones/hermana_glenda/yo_he_sentido_señor.html"&gt;Yo he sentido, Señor&lt;/a&gt;&lt;/li&gt;</v>
      </c>
      <c r="U1835" s="15" t="str">
        <f>_xlfn.TEXTBEFORE(_xlfn.TEXTAFTER(CantoralDB[[#This Row],[index.html]],"&gt;"),"&gt;")&amp;"&gt;"</f>
        <v>&lt;a href="canciones/hermana_glenda/yo_he_sentido_señor.html"&gt;</v>
      </c>
    </row>
    <row r="1836" spans="1:21" hidden="1" x14ac:dyDescent="0.3">
      <c r="A1836" s="1">
        <f>ROW(CantoralDB[[#This Row],[Título]])-1</f>
        <v>1835</v>
      </c>
      <c r="B1836" s="1" t="s">
        <v>1680</v>
      </c>
      <c r="C1836" s="1"/>
      <c r="I1836" s="1"/>
      <c r="L1836" s="15" t="s">
        <v>484</v>
      </c>
      <c r="M1836" s="15" t="s">
        <v>1533</v>
      </c>
      <c r="N1836" s="15">
        <v>12</v>
      </c>
      <c r="O1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yo_no_he_podido_ser_bueno.html</v>
      </c>
      <c r="R1836" s="1"/>
      <c r="S1836" s="1"/>
      <c r="T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1836" s="15" t="str">
        <f>_xlfn.TEXTBEFORE(_xlfn.TEXTAFTER(CantoralDB[[#This Row],[index.html]],"&gt;"),"&gt;")&amp;"&gt;"</f>
        <v>&lt;a href="canciones/kairoi/yo_no_he_podido_ser_bueno.html"&gt;</v>
      </c>
    </row>
    <row r="1837" spans="1:21" hidden="1" x14ac:dyDescent="0.3">
      <c r="A1837" s="1">
        <f>ROW(CantoralDB[[#This Row],[Título]])-1</f>
        <v>1836</v>
      </c>
      <c r="B1837" s="1" t="s">
        <v>3488</v>
      </c>
      <c r="C1837" s="1"/>
      <c r="F1837" s="1">
        <v>145</v>
      </c>
      <c r="I1837" s="1"/>
      <c r="L1837" s="15" t="s">
        <v>3347</v>
      </c>
      <c r="M1837" s="15"/>
      <c r="N1837" s="15"/>
      <c r="O1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yo_no_soy_nada.html</v>
      </c>
      <c r="R1837" s="1"/>
      <c r="S1837" s="1"/>
      <c r="T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1837" s="15" t="str">
        <f>_xlfn.TEXTBEFORE(_xlfn.TEXTAFTER(CantoralDB[[#This Row],[index.html]],"&gt;"),"&gt;")&amp;"&gt;"</f>
        <v>&lt;a href="canciones/luis_alfredo_diaz/yo_no_soy_nada.html"&gt;</v>
      </c>
    </row>
    <row r="1838" spans="1:21" hidden="1" x14ac:dyDescent="0.3">
      <c r="A1838" s="1">
        <f>ROW(CantoralDB[[#This Row],[Título]])-1</f>
        <v>1837</v>
      </c>
      <c r="B1838" s="1" t="s">
        <v>3430</v>
      </c>
      <c r="C1838" s="1"/>
      <c r="F1838" s="1">
        <v>90</v>
      </c>
      <c r="I1838" s="1"/>
      <c r="L1838" s="15" t="s">
        <v>3429</v>
      </c>
      <c r="M1838" s="15"/>
      <c r="N1838" s="15"/>
      <c r="O1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yo_os_dare_la_fuerza.html</v>
      </c>
      <c r="R1838" s="1"/>
      <c r="S1838" s="1"/>
      <c r="T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838" s="15" t="str">
        <f>_xlfn.TEXTBEFORE(_xlfn.TEXTAFTER(CantoralDB[[#This Row],[index.html]],"&gt;"),"&gt;")&amp;"&gt;"</f>
        <v>&lt;a href="canciones/nuevas/yo_os_dare_la_fuerza.html"&gt;</v>
      </c>
    </row>
    <row r="1839" spans="1:21" hidden="1" x14ac:dyDescent="0.3">
      <c r="A1839" s="1">
        <f>ROW(CantoralDB[[#This Row],[Título]])-1</f>
        <v>1838</v>
      </c>
      <c r="B1839" s="1" t="s">
        <v>1399</v>
      </c>
      <c r="C1839" s="1"/>
      <c r="E1839" s="1">
        <v>315</v>
      </c>
      <c r="I1839" s="1"/>
      <c r="L1839" s="15" t="s">
        <v>799</v>
      </c>
      <c r="M1839" s="15"/>
      <c r="N1839" s="15"/>
      <c r="O1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yo_pensaba_que_el_hombre_era_grande.html</v>
      </c>
      <c r="R1839" s="1"/>
      <c r="S1839" s="1"/>
      <c r="T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data-nold="315"&gt;&lt;a href="canciones/nsb/yo_pensaba_que_el_hombre_era_grande.html"&gt;Yo pensaba que el hombre era grande&lt;/a&gt;&lt;/li&gt;</v>
      </c>
      <c r="U1839" s="15" t="str">
        <f>_xlfn.TEXTBEFORE(_xlfn.TEXTAFTER(CantoralDB[[#This Row],[index.html]],"&gt;"),"&gt;")&amp;"&gt;"</f>
        <v>&lt;a href="canciones/nsb/yo_pensaba_que_el_hombre_era_grande.html"&gt;</v>
      </c>
    </row>
    <row r="1840" spans="1:21" hidden="1" x14ac:dyDescent="0.3">
      <c r="A1840" s="1">
        <f>ROW(CantoralDB[[#This Row],[Título]])-1</f>
        <v>1839</v>
      </c>
      <c r="B1840" s="1" t="s">
        <v>3495</v>
      </c>
      <c r="C1840" s="1"/>
      <c r="F1840" s="1">
        <v>151</v>
      </c>
      <c r="I1840" s="1"/>
      <c r="L1840" s="15" t="s">
        <v>3496</v>
      </c>
      <c r="M1840" s="15"/>
      <c r="N1840" s="15"/>
      <c r="O1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yo_quiero_ser_como_tu.html</v>
      </c>
      <c r="R1840" s="1"/>
      <c r="S1840" s="1"/>
      <c r="T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1840" s="15" t="str">
        <f>_xlfn.TEXTBEFORE(_xlfn.TEXTAFTER(CantoralDB[[#This Row],[index.html]],"&gt;"),"&gt;")&amp;"&gt;"</f>
        <v>&lt;a href="canciones/nuevas/yo_quiero_ser_como_tu.html"&gt;</v>
      </c>
    </row>
    <row r="1841" spans="1:21" hidden="1" x14ac:dyDescent="0.3">
      <c r="A1841" s="1">
        <f>ROW(CantoralDB[[#This Row],[Título]])-1</f>
        <v>1840</v>
      </c>
      <c r="B1841" s="1" t="s">
        <v>1822</v>
      </c>
      <c r="C1841" s="1"/>
      <c r="I1841" s="1" t="s">
        <v>612</v>
      </c>
      <c r="L1841" s="15" t="s">
        <v>501</v>
      </c>
      <c r="M1841" s="15" t="s">
        <v>1550</v>
      </c>
      <c r="N1841" s="15">
        <v>1</v>
      </c>
      <c r="O1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yo_soy.html</v>
      </c>
      <c r="R1841" s="1"/>
      <c r="S1841" s="1"/>
      <c r="T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href="canciones/ain_karem/yo_soy.html"&gt;Yo soy&lt;/a&gt;&lt;/li&gt;</v>
      </c>
      <c r="U1841" s="15" t="str">
        <f>_xlfn.TEXTBEFORE(_xlfn.TEXTAFTER(CantoralDB[[#This Row],[index.html]],"&gt;"),"&gt;")&amp;"&gt;"</f>
        <v>&lt;a href="canciones/ain_karem/yo_soy.html"&gt;</v>
      </c>
    </row>
    <row r="1842" spans="1:21" hidden="1" x14ac:dyDescent="0.3">
      <c r="A1842" s="1">
        <f>ROW(CantoralDB[[#This Row],[Título]])-1</f>
        <v>1841</v>
      </c>
      <c r="B1842" s="1" t="s">
        <v>168</v>
      </c>
      <c r="C1842" s="1" t="s">
        <v>997</v>
      </c>
      <c r="D1842" s="1" t="s">
        <v>1023</v>
      </c>
      <c r="E1842" s="1">
        <v>477</v>
      </c>
      <c r="F1842" s="1">
        <v>57</v>
      </c>
      <c r="G1842" s="1" t="s">
        <v>209</v>
      </c>
      <c r="H1842" s="1" t="s">
        <v>1039</v>
      </c>
      <c r="I1842" s="1" t="s">
        <v>612</v>
      </c>
      <c r="L1842" s="15" t="s">
        <v>585</v>
      </c>
      <c r="M1842" s="15"/>
      <c r="N1842" s="15"/>
      <c r="O1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yo_soy_el_pan_de_vida.html</v>
      </c>
      <c r="R1842" s="1" t="s">
        <v>873</v>
      </c>
      <c r="S1842" s="1"/>
      <c r="T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842" s="15" t="str">
        <f>_xlfn.TEXTBEFORE(_xlfn.TEXTAFTER(CantoralDB[[#This Row],[index.html]],"&gt;"),"&gt;")&amp;"&gt;"</f>
        <v>&lt;a href="canciones/nsb/yo_soy_el_pan_de_vida.html"&gt;</v>
      </c>
    </row>
    <row r="1843" spans="1:21" hidden="1" x14ac:dyDescent="0.3">
      <c r="A1843" s="1">
        <f>ROW(CantoralDB[[#This Row],[Título]])-1</f>
        <v>1842</v>
      </c>
      <c r="B1843" s="1" t="s">
        <v>3327</v>
      </c>
      <c r="C1843" s="1"/>
      <c r="I1843" s="1" t="s">
        <v>612</v>
      </c>
      <c r="L1843" s="15" t="s">
        <v>499</v>
      </c>
      <c r="M1843" s="15" t="s">
        <v>3316</v>
      </c>
      <c r="N1843" s="15">
        <v>11</v>
      </c>
      <c r="O1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yo_soy_el_que_sirve.html</v>
      </c>
      <c r="R1843" s="1"/>
      <c r="S1843" s="1"/>
      <c r="T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843" s="15" t="str">
        <f>_xlfn.TEXTBEFORE(_xlfn.TEXTAFTER(CantoralDB[[#This Row],[index.html]],"&gt;"),"&gt;")&amp;"&gt;"</f>
        <v>&lt;a href="canciones/brotes_de_olivo/yo_soy_el_que_sirve.html"&gt;</v>
      </c>
    </row>
    <row r="1844" spans="1:21" hidden="1" x14ac:dyDescent="0.3">
      <c r="A1844" s="1">
        <f>ROW(CantoralDB[[#This Row],[Título]])-1</f>
        <v>1843</v>
      </c>
      <c r="B1844" s="1" t="s">
        <v>1832</v>
      </c>
      <c r="C1844" s="1"/>
      <c r="I1844" s="1" t="s">
        <v>612</v>
      </c>
      <c r="L1844" s="15" t="s">
        <v>501</v>
      </c>
      <c r="M1844" s="15" t="s">
        <v>1551</v>
      </c>
      <c r="N1844" s="15">
        <v>1</v>
      </c>
      <c r="O1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yo_soy_el_que_vive.html</v>
      </c>
      <c r="R1844" s="1"/>
      <c r="S1844" s="1"/>
      <c r="T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844" s="15" t="str">
        <f>_xlfn.TEXTBEFORE(_xlfn.TEXTAFTER(CantoralDB[[#This Row],[index.html]],"&gt;"),"&gt;")&amp;"&gt;"</f>
        <v>&lt;a href="canciones/ain_karem/yo_soy_el_que_vive.html"&gt;</v>
      </c>
    </row>
    <row r="1845" spans="1:21" hidden="1" x14ac:dyDescent="0.3">
      <c r="A1845" s="1">
        <f>ROW(CantoralDB[[#This Row],[Título]])-1</f>
        <v>1844</v>
      </c>
      <c r="B1845" s="1" t="s">
        <v>169</v>
      </c>
      <c r="C1845" s="1" t="s">
        <v>191</v>
      </c>
      <c r="D1845" s="1" t="s">
        <v>768</v>
      </c>
      <c r="E1845" s="1">
        <v>294</v>
      </c>
      <c r="G1845" s="1" t="s">
        <v>209</v>
      </c>
      <c r="H1845" s="1" t="s">
        <v>1039</v>
      </c>
      <c r="I1845" s="1" t="s">
        <v>612</v>
      </c>
      <c r="L1845" s="15" t="s">
        <v>488</v>
      </c>
      <c r="M1845" s="15"/>
      <c r="N1845" s="15"/>
      <c r="O1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yo_soy_la_luz_del_mundo.html</v>
      </c>
      <c r="R1845" s="1" t="s">
        <v>874</v>
      </c>
      <c r="S1845" s="1"/>
      <c r="T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1845" s="15" t="str">
        <f>_xlfn.TEXTBEFORE(_xlfn.TEXTAFTER(CantoralDB[[#This Row],[index.html]],"&gt;"),"&gt;")&amp;"&gt;"</f>
        <v>&lt;a href="canciones/al-haraca/yo_soy_la_luz_del_mundo.html"&gt;</v>
      </c>
    </row>
    <row r="1846" spans="1:21" hidden="1" x14ac:dyDescent="0.3">
      <c r="A1846" s="1">
        <f>ROW(CantoralDB[[#This Row],[Título]])-1</f>
        <v>1845</v>
      </c>
      <c r="B1846" s="1" t="s">
        <v>170</v>
      </c>
      <c r="C1846" s="1" t="s">
        <v>195</v>
      </c>
      <c r="D1846" s="1" t="s">
        <v>779</v>
      </c>
      <c r="E1846" s="1">
        <v>476</v>
      </c>
      <c r="G1846" s="1" t="s">
        <v>209</v>
      </c>
      <c r="H1846" s="1" t="s">
        <v>1053</v>
      </c>
      <c r="I1846" s="1" t="s">
        <v>612</v>
      </c>
      <c r="L1846" s="15" t="s">
        <v>493</v>
      </c>
      <c r="M1846" s="15"/>
      <c r="N1846" s="15"/>
      <c r="O1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yo_soy_la_vida_y_la_verdad.html</v>
      </c>
      <c r="R1846" s="1" t="s">
        <v>875</v>
      </c>
      <c r="S1846" s="1"/>
      <c r="T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846" s="15" t="str">
        <f>_xlfn.TEXTBEFORE(_xlfn.TEXTAFTER(CantoralDB[[#This Row],[index.html]],"&gt;"),"&gt;")&amp;"&gt;"</f>
        <v>&lt;a href="canciones/nsb/yo_soy_la_vida_y_la_verdad.html"&gt;</v>
      </c>
    </row>
    <row r="1847" spans="1:21" hidden="1" x14ac:dyDescent="0.3">
      <c r="A1847" s="1">
        <f>ROW(CantoralDB[[#This Row],[Título]])-1</f>
        <v>1846</v>
      </c>
      <c r="B1847" s="1" t="s">
        <v>3356</v>
      </c>
      <c r="C1847" s="1"/>
      <c r="F1847" s="1">
        <v>20</v>
      </c>
      <c r="I1847" s="1"/>
      <c r="L1847" s="15" t="s">
        <v>799</v>
      </c>
      <c r="M1847" s="15"/>
      <c r="N1847" s="15"/>
      <c r="O1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yo_soy_testigo.html</v>
      </c>
      <c r="R1847" s="1"/>
      <c r="S1847" s="1"/>
      <c r="T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href="canciones/nuevas/yo_soy_testigo.html"&gt;Yo soy testigo&lt;/a&gt;&lt;/li&gt;</v>
      </c>
      <c r="U1847" s="15" t="str">
        <f>_xlfn.TEXTBEFORE(_xlfn.TEXTAFTER(CantoralDB[[#This Row],[index.html]],"&gt;"),"&gt;")&amp;"&gt;"</f>
        <v>&lt;a href="canciones/nuevas/yo_soy_testigo.html"&gt;</v>
      </c>
    </row>
    <row r="1848" spans="1:21" hidden="1" x14ac:dyDescent="0.3">
      <c r="A1848" s="1">
        <f>ROW(CantoralDB[[#This Row],[Título]])-1</f>
        <v>1847</v>
      </c>
      <c r="B1848" s="1" t="s">
        <v>3746</v>
      </c>
      <c r="C1848" s="1"/>
      <c r="F1848" s="1">
        <v>402</v>
      </c>
      <c r="I1848" s="1"/>
      <c r="L1848" s="15" t="s">
        <v>799</v>
      </c>
      <c r="M1848" s="15"/>
      <c r="N1848" s="15"/>
      <c r="O1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yo_te_adoro_señor.html</v>
      </c>
      <c r="R1848" s="1"/>
      <c r="S1848" s="1"/>
      <c r="T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href="canciones/nuevas/yo_te_adoro_señor.html"&gt;Yo te adoro, Señor&lt;/a&gt;&lt;/li&gt;</v>
      </c>
      <c r="U1848" s="15" t="str">
        <f>_xlfn.TEXTBEFORE(_xlfn.TEXTAFTER(CantoralDB[[#This Row],[index.html]],"&gt;"),"&gt;")&amp;"&gt;"</f>
        <v>&lt;a href="canciones/nuevas/yo_te_adoro_señor.html"&gt;</v>
      </c>
    </row>
    <row r="1849" spans="1:21" hidden="1" x14ac:dyDescent="0.3">
      <c r="A1849" s="1">
        <f>ROW(CantoralDB[[#This Row],[Título]])-1</f>
        <v>1848</v>
      </c>
      <c r="B1849" s="1" t="s">
        <v>3418</v>
      </c>
      <c r="C1849" s="1"/>
      <c r="F1849" s="1">
        <v>80</v>
      </c>
      <c r="I1849" s="1"/>
      <c r="L1849" s="15" t="s">
        <v>3354</v>
      </c>
      <c r="M1849" s="15"/>
      <c r="N1849" s="15"/>
      <c r="O1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yo_te_ensalzo.html</v>
      </c>
      <c r="R1849" s="1"/>
      <c r="S1849" s="1"/>
      <c r="T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1849" s="15" t="str">
        <f>_xlfn.TEXTBEFORE(_xlfn.TEXTAFTER(CantoralDB[[#This Row],[index.html]],"&gt;"),"&gt;")&amp;"&gt;"</f>
        <v>&lt;a href="canciones/lazaro_iparraguirre/yo_te_ensalzo.html"&gt;</v>
      </c>
    </row>
    <row r="1850" spans="1:21" hidden="1" x14ac:dyDescent="0.3">
      <c r="A1850" s="1">
        <f>ROW(CantoralDB[[#This Row],[Título]])-1</f>
        <v>1849</v>
      </c>
      <c r="B1850" s="1" t="s">
        <v>1285</v>
      </c>
      <c r="C1850" s="1"/>
      <c r="E1850" s="1">
        <v>210</v>
      </c>
      <c r="I1850" s="1"/>
      <c r="L1850" s="15" t="s">
        <v>799</v>
      </c>
      <c r="M1850" s="15"/>
      <c r="N1850" s="15"/>
      <c r="O1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yo_te_nombro_libertad.html</v>
      </c>
      <c r="R1850" s="1"/>
      <c r="S1850" s="1"/>
      <c r="T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data-nold="210"&gt;&lt;a href="canciones/nsb/yo_te_nombro_libertad.html"&gt;Yo te nombro, libertad&lt;/a&gt;&lt;/li&gt;</v>
      </c>
      <c r="U1850" s="15" t="str">
        <f>_xlfn.TEXTBEFORE(_xlfn.TEXTAFTER(CantoralDB[[#This Row],[index.html]],"&gt;"),"&gt;")&amp;"&gt;"</f>
        <v>&lt;a href="canciones/nsb/yo_te_nombro_libertad.html"&gt;</v>
      </c>
    </row>
    <row r="1851" spans="1:21" hidden="1" x14ac:dyDescent="0.3">
      <c r="A1851" s="1">
        <f>ROW(CantoralDB[[#This Row],[Título]])-1</f>
        <v>1850</v>
      </c>
      <c r="B1851" s="1" t="s">
        <v>1398</v>
      </c>
      <c r="C1851" s="1"/>
      <c r="E1851" s="1">
        <v>311</v>
      </c>
      <c r="I1851" s="1"/>
      <c r="L1851" s="15" t="s">
        <v>799</v>
      </c>
      <c r="M1851" s="15"/>
      <c r="N1851" s="15"/>
      <c r="O1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yo_tengo_un_amigo_que_me_ama.html</v>
      </c>
      <c r="R1851" s="1"/>
      <c r="S1851" s="1"/>
      <c r="T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data-nold="311"&gt;&lt;a href="canciones/nsb/yo_tengo_un_amigo_que_me_ama.html"&gt;Yo tengo un amigo que me ama&lt;/a&gt;&lt;/li&gt;</v>
      </c>
      <c r="U1851" s="15" t="str">
        <f>_xlfn.TEXTBEFORE(_xlfn.TEXTAFTER(CantoralDB[[#This Row],[index.html]],"&gt;"),"&gt;")&amp;"&gt;"</f>
        <v>&lt;a href="canciones/nsb/yo_tengo_un_amigo_que_me_ama.html"&gt;</v>
      </c>
    </row>
    <row r="1852" spans="1:21" hidden="1" x14ac:dyDescent="0.3">
      <c r="A1852" s="1">
        <f>ROW(CantoralDB[[#This Row],[Título]])-1</f>
        <v>1851</v>
      </c>
      <c r="B1852" s="1" t="s">
        <v>3551</v>
      </c>
      <c r="C1852" s="1"/>
      <c r="F1852" s="1">
        <v>207</v>
      </c>
      <c r="I1852" s="1"/>
      <c r="L1852" s="15" t="s">
        <v>799</v>
      </c>
      <c r="M1852" s="15"/>
      <c r="N1852" s="15"/>
      <c r="O1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yo_tengo_un_gozo_en_el_alma.html</v>
      </c>
      <c r="R1852" s="1"/>
      <c r="S1852" s="1"/>
      <c r="T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852" s="15" t="str">
        <f>_xlfn.TEXTBEFORE(_xlfn.TEXTAFTER(CantoralDB[[#This Row],[index.html]],"&gt;"),"&gt;")&amp;"&gt;"</f>
        <v>&lt;a href="canciones/nuevas/yo_tengo_un_gozo_en_el_alma.html"&gt;</v>
      </c>
    </row>
    <row r="1853" spans="1:21" hidden="1" x14ac:dyDescent="0.3">
      <c r="A1853" s="1">
        <f>ROW(CantoralDB[[#This Row],[Título]])-1</f>
        <v>1852</v>
      </c>
      <c r="B1853" s="1" t="s">
        <v>1392</v>
      </c>
      <c r="C1853" s="1"/>
      <c r="E1853" s="1">
        <v>295</v>
      </c>
      <c r="I1853" s="1"/>
      <c r="L1853" s="15" t="s">
        <v>510</v>
      </c>
      <c r="M1853" s="15"/>
      <c r="N1853" s="15"/>
      <c r="O1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yo_volvere_a_cantar.html</v>
      </c>
      <c r="R1853" s="1"/>
      <c r="S1853" s="1"/>
      <c r="T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853" s="15" t="str">
        <f>_xlfn.TEXTBEFORE(_xlfn.TEXTAFTER(CantoralDB[[#This Row],[index.html]],"&gt;"),"&gt;")&amp;"&gt;"</f>
        <v>&lt;a href="canciones/ricardo_cantalapiedra/yo_volvere_a_cantar.html"&gt;</v>
      </c>
    </row>
    <row r="1854" spans="1:21" x14ac:dyDescent="0.3">
      <c r="A1854" s="1">
        <f>ROW(CantoralDB[[#This Row],[Título]])-1</f>
        <v>1853</v>
      </c>
      <c r="B1854" s="1" t="s">
        <v>914</v>
      </c>
      <c r="C1854" s="1" t="s">
        <v>1025</v>
      </c>
      <c r="D1854" s="1" t="s">
        <v>1169</v>
      </c>
      <c r="H1854" s="1" t="s">
        <v>1031</v>
      </c>
      <c r="I1854" s="1" t="s">
        <v>612</v>
      </c>
      <c r="L1854" s="15" t="s">
        <v>1991</v>
      </c>
      <c r="M1854" s="15"/>
      <c r="N1854" s="15"/>
      <c r="O1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1854" s="1" t="s">
        <v>970</v>
      </c>
      <c r="S1854" s="1" t="s">
        <v>367</v>
      </c>
      <c r="T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854" s="15" t="str">
        <f>_xlfn.TEXTBEFORE(_xlfn.TEXTAFTER(CantoralDB[[#This Row],[index.html]],"&gt;"),"&gt;")&amp;"&gt;"</f>
        <v>&lt;a href="canciones/taize/i_am_sure_i_shall_see.html"&gt;</v>
      </c>
    </row>
    <row r="1855" spans="1:21" hidden="1" x14ac:dyDescent="0.3">
      <c r="A1855" s="1">
        <f>ROW(CantoralDB[[#This Row],[Título]])-1</f>
        <v>1854</v>
      </c>
      <c r="B1855" s="1" t="s">
        <v>3625</v>
      </c>
      <c r="C1855" s="1"/>
      <c r="F1855" s="1">
        <v>292</v>
      </c>
      <c r="I1855" s="1"/>
      <c r="L1855" s="15" t="s">
        <v>3451</v>
      </c>
      <c r="M1855" s="15"/>
      <c r="N1855" s="15"/>
      <c r="O1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zarza_ardiente.html</v>
      </c>
      <c r="R1855" s="1"/>
      <c r="S1855" s="1"/>
      <c r="T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855" s="15" t="str">
        <f>_xlfn.TEXTBEFORE(_xlfn.TEXTAFTER(CantoralDB[[#This Row],[index.html]],"&gt;"),"&gt;")&amp;"&gt;"</f>
        <v>&lt;a href="canciones/rosa_cruz/zarza_ardiente.html"&gt;</v>
      </c>
    </row>
    <row r="1856" spans="1:21" hidden="1" x14ac:dyDescent="0.3">
      <c r="A1856" s="1">
        <f>ROW(CantoralDB[[#This Row],[Título]])-1</f>
        <v>1855</v>
      </c>
      <c r="B1856" s="1" t="s">
        <v>472</v>
      </c>
      <c r="C1856" s="1" t="s">
        <v>1026</v>
      </c>
      <c r="D1856" s="1" t="s">
        <v>1112</v>
      </c>
      <c r="H1856" s="1" t="s">
        <v>1051</v>
      </c>
      <c r="I1856" s="1" t="s">
        <v>612</v>
      </c>
      <c r="L1856" s="15" t="s">
        <v>2201</v>
      </c>
      <c r="M1856" s="15"/>
      <c r="N1856" s="15"/>
      <c r="O1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856" s="1"/>
      <c r="S1856" s="1"/>
      <c r="T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856" s="15" t="str">
        <f>_xlfn.TEXTBEFORE(_xlfn.TEXTAFTER(CantoralDB[[#This Row],[index.html]],"&gt;"),"&gt;")&amp;"&gt;"</f>
        <v>&lt;a href="canciones/taize/zu_wem_sollen_wir_gehen.html"&gt;</v>
      </c>
    </row>
    <row r="1857" spans="1:21" hidden="1" x14ac:dyDescent="0.3">
      <c r="A1857" s="1">
        <f>ROW(CantoralDB[[#This Row],[Título]])-1</f>
        <v>1856</v>
      </c>
      <c r="C1857" s="1"/>
      <c r="I1857" s="1"/>
      <c r="L1857" s="15" t="s">
        <v>481</v>
      </c>
      <c r="M1857" s="15" t="s">
        <v>2125</v>
      </c>
      <c r="N1857" s="15"/>
      <c r="O18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.html</v>
      </c>
      <c r="R1857" s="1"/>
      <c r="S1857" s="1"/>
      <c r="T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href="canciones/francisco_palazon/.html"&gt;&lt;/a&gt;&lt;/li&gt;</v>
      </c>
      <c r="U1857" s="15" t="str">
        <f>_xlfn.TEXTBEFORE(_xlfn.TEXTAFTER(CantoralDB[[#This Row],[index.html]],"&gt;"),"&gt;")&amp;"&gt;"</f>
        <v>&lt;a href="canciones/francisco_palazon/.html"&gt;</v>
      </c>
    </row>
  </sheetData>
  <phoneticPr fontId="2" type="noConversion"/>
  <conditionalFormatting sqref="B1:B1048576">
    <cfRule type="duplicateValues" dxfId="36" priority="5"/>
  </conditionalFormatting>
  <conditionalFormatting sqref="D1:D1048576">
    <cfRule type="duplicateValues" dxfId="35" priority="8"/>
  </conditionalFormatting>
  <conditionalFormatting sqref="E1:E1048576">
    <cfRule type="duplicateValues" dxfId="34" priority="11"/>
  </conditionalFormatting>
  <conditionalFormatting sqref="F1:F1048576">
    <cfRule type="duplicateValues" dxfId="33" priority="614"/>
  </conditionalFormatting>
  <conditionalFormatting sqref="I774">
    <cfRule type="cellIs" dxfId="32" priority="1" operator="equal">
      <formula>"OK"</formula>
    </cfRule>
    <cfRule type="cellIs" dxfId="31" priority="2" operator="equal">
      <formula>"Letra"</formula>
    </cfRule>
    <cfRule type="cellIs" dxfId="30" priority="3" operator="equal">
      <formula>"Orden"</formula>
    </cfRule>
  </conditionalFormatting>
  <conditionalFormatting sqref="I1:K1048576">
    <cfRule type="cellIs" dxfId="29" priority="6" operator="equal">
      <formula>"OK"</formula>
    </cfRule>
  </conditionalFormatting>
  <conditionalFormatting sqref="T1:T1048576">
    <cfRule type="duplicateValues" dxfId="28" priority="4"/>
  </conditionalFormatting>
  <dataValidations count="1">
    <dataValidation type="list" allowBlank="1" showInputMessage="1" showErrorMessage="1" sqref="C2:C98 C100:C638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9BD95-E828-409D-9B2E-10A1BAD10920}">
  <dimension ref="A1:F863"/>
  <sheetViews>
    <sheetView workbookViewId="0"/>
  </sheetViews>
  <sheetFormatPr baseColWidth="10" defaultRowHeight="14.4" x14ac:dyDescent="0.3"/>
  <cols>
    <col min="2" max="2" width="57.5546875" bestFit="1" customWidth="1"/>
    <col min="5" max="5" width="72.5546875" bestFit="1" customWidth="1"/>
  </cols>
  <sheetData>
    <row r="1" spans="1:6" x14ac:dyDescent="0.3">
      <c r="A1" t="s">
        <v>2813</v>
      </c>
      <c r="B1" t="str">
        <f t="shared" ref="B1:B64" si="0">_xlfn.TEXTBEFORE(_xlfn.TEXTAFTER(A1,"&gt;"),"&gt;")&amp;"&gt;"</f>
        <v>&lt;a href="canciones/ain_karem/a_ti.html"&gt;</v>
      </c>
      <c r="C1">
        <f>IFERROR(_xlfn.XMATCH(B1,CantoralDB[check]),"NO")</f>
        <v>15</v>
      </c>
      <c r="E1" t="str" cm="1">
        <f t="array" ref="E1:F18">_xlfn._xlws.FILTER(B1:C863,C1:C863="NO")</f>
        <v>&lt;a href="canciones/cesareo_gabarain/tan_cerca_de_mi.html"&gt;</v>
      </c>
      <c r="F1" t="str">
        <v>NO</v>
      </c>
    </row>
    <row r="2" spans="1:6" x14ac:dyDescent="0.3">
      <c r="A2" t="s">
        <v>2814</v>
      </c>
      <c r="B2" t="str">
        <f t="shared" si="0"/>
        <v>&lt;a href="canciones/ain_karem/a_toda_la_tierra_alcanza_su_pregon.html"&gt;</v>
      </c>
      <c r="C2">
        <f>IFERROR(_xlfn.XMATCH(B2,CantoralDB[check]),"NO")</f>
        <v>23</v>
      </c>
      <c r="E2" t="str">
        <v>&lt;a href="canciones/francisco_palazon/al_atardecer_de_la_vida.html"&gt;</v>
      </c>
      <c r="F2" t="str">
        <v>NO</v>
      </c>
    </row>
    <row r="3" spans="1:6" x14ac:dyDescent="0.3">
      <c r="A3" t="s">
        <v>2815</v>
      </c>
      <c r="B3" t="str">
        <f t="shared" si="0"/>
        <v>&lt;a href="canciones/ain_karem/abre_mis_puertas.html"&gt;</v>
      </c>
      <c r="C3">
        <f>IFERROR(_xlfn.XMATCH(B3,CantoralDB[check]),"NO")</f>
        <v>31</v>
      </c>
      <c r="E3" t="str">
        <v>&lt;a href="canciones/nsb/abba_padre.html"&gt;</v>
      </c>
      <c r="F3" t="str">
        <v>NO</v>
      </c>
    </row>
    <row r="4" spans="1:6" x14ac:dyDescent="0.3">
      <c r="A4" t="s">
        <v>2816</v>
      </c>
      <c r="B4" t="str">
        <f t="shared" si="0"/>
        <v>&lt;a href="canciones/ain_karem/agua_viva.html"&gt;</v>
      </c>
      <c r="C4">
        <f>IFERROR(_xlfn.XMATCH(B4,CantoralDB[check]),"NO")</f>
        <v>59</v>
      </c>
      <c r="E4" t="str">
        <v>&lt;a href="canciones/nsb/abro_mi_ser.html"&gt;</v>
      </c>
      <c r="F4" t="str">
        <v>NO</v>
      </c>
    </row>
    <row r="5" spans="1:6" x14ac:dyDescent="0.3">
      <c r="A5" t="s">
        <v>2817</v>
      </c>
      <c r="B5" t="str">
        <f t="shared" si="0"/>
        <v>&lt;a href="canciones/ain_karem/aleluya.html"&gt;</v>
      </c>
      <c r="C5">
        <f>IFERROR(_xlfn.XMATCH(B5,CantoralDB[check]),"NO")</f>
        <v>99</v>
      </c>
      <c r="E5" t="str">
        <v>&lt;a href="canciones/nsb/adorare_tu_cuerpo_herido.html"&gt;</v>
      </c>
      <c r="F5" t="str">
        <v>NO</v>
      </c>
    </row>
    <row r="6" spans="1:6" x14ac:dyDescent="0.3">
      <c r="A6" t="s">
        <v>2819</v>
      </c>
      <c r="B6" t="str">
        <f t="shared" si="0"/>
        <v>&lt;a href="canciones/ain_karem/animo_soy_yo.html"&gt;</v>
      </c>
      <c r="C6">
        <f>IFERROR(_xlfn.XMATCH(B6,CantoralDB[check]),"NO")</f>
        <v>174</v>
      </c>
      <c r="E6" t="str">
        <v>&lt;a href="canciones/nsb/bendigamos_al_señor.html"&gt;</v>
      </c>
      <c r="F6" t="str">
        <v>NO</v>
      </c>
    </row>
    <row r="7" spans="1:6" x14ac:dyDescent="0.3">
      <c r="A7" t="s">
        <v>2820</v>
      </c>
      <c r="B7" t="str">
        <f t="shared" si="0"/>
        <v>&lt;a href="canciones/ain_karem/ardo_en_celo.html"&gt;</v>
      </c>
      <c r="C7">
        <f>IFERROR(_xlfn.XMATCH(B7,CantoralDB[check]),"NO")</f>
        <v>191</v>
      </c>
      <c r="E7" t="str">
        <v>&lt;a href="canciones/nsb/el_señor_es_mi_pastor_nada_me_falta_(completo).html"&gt;</v>
      </c>
      <c r="F7" t="str">
        <v>NO</v>
      </c>
    </row>
    <row r="8" spans="1:6" x14ac:dyDescent="0.3">
      <c r="A8" t="s">
        <v>2821</v>
      </c>
      <c r="B8" t="str">
        <f t="shared" si="0"/>
        <v>&lt;a href="canciones/ain_karem/atraviesas.html"&gt;</v>
      </c>
      <c r="C8">
        <f>IFERROR(_xlfn.XMATCH(B8,CantoralDB[check]),"NO")</f>
        <v>197</v>
      </c>
      <c r="E8" t="str">
        <v>&lt;a href="canciones/nsb/fuente_de_paz_y_fidelidad.html"&gt;</v>
      </c>
      <c r="F8" t="str">
        <v>NO</v>
      </c>
    </row>
    <row r="9" spans="1:6" x14ac:dyDescent="0.3">
      <c r="A9" t="s">
        <v>2822</v>
      </c>
      <c r="B9" t="str">
        <f t="shared" si="0"/>
        <v>&lt;a href="canciones/ain_karem/benedictus.html"&gt;</v>
      </c>
      <c r="C9">
        <f>IFERROR(_xlfn.XMATCH(B9,CantoralDB[check]),"NO")</f>
        <v>229</v>
      </c>
      <c r="E9" t="str">
        <v>&lt;a href="canciones/nsb/no_adoreis_a_nadie.html"&gt;</v>
      </c>
      <c r="F9" t="str">
        <v>NO</v>
      </c>
    </row>
    <row r="10" spans="1:6" x14ac:dyDescent="0.3">
      <c r="A10" t="s">
        <v>2823</v>
      </c>
      <c r="B10" t="str">
        <f t="shared" si="0"/>
        <v>&lt;a href="canciones/ain_karem/boga_mar_adentro.html"&gt;</v>
      </c>
      <c r="C10">
        <f>IFERROR(_xlfn.XMATCH(B10,CantoralDB[check]),"NO")</f>
        <v>241</v>
      </c>
      <c r="E10" t="str">
        <v>&lt;a href="canciones/nsb/que_te_puedo_dar.html"&gt;</v>
      </c>
      <c r="F10" t="str">
        <v>NO</v>
      </c>
    </row>
    <row r="11" spans="1:6" x14ac:dyDescent="0.3">
      <c r="A11" t="s">
        <v>2824</v>
      </c>
      <c r="B11" t="str">
        <f t="shared" si="0"/>
        <v>&lt;a href="canciones/ain_karem/busca_mi_rostro.html"&gt;</v>
      </c>
      <c r="C11">
        <f>IFERROR(_xlfn.XMATCH(B11,CantoralDB[check]),"NO")</f>
        <v>250</v>
      </c>
      <c r="E11" t="str">
        <v>&lt;a href="canciones/nsb/te_damos_gracias_señor.html"&gt;</v>
      </c>
      <c r="F11" t="str">
        <v>NO</v>
      </c>
    </row>
    <row r="12" spans="1:6" x14ac:dyDescent="0.3">
      <c r="A12" t="s">
        <v>2825</v>
      </c>
      <c r="B12" t="str">
        <f t="shared" si="0"/>
        <v>&lt;a href="canciones/ain_karem/cana.html"&gt;</v>
      </c>
      <c r="C12">
        <f>IFERROR(_xlfn.XMATCH(B12,CantoralDB[check]),"NO")</f>
        <v>263</v>
      </c>
      <c r="E12" t="str">
        <v>&lt;a href="canciones/nsb/una_tarde_en_la_playa.html"&gt;</v>
      </c>
      <c r="F12" t="str">
        <v>NO</v>
      </c>
    </row>
    <row r="13" spans="1:6" x14ac:dyDescent="0.3">
      <c r="A13" t="s">
        <v>2826</v>
      </c>
      <c r="B13" t="str">
        <f t="shared" si="0"/>
        <v>&lt;a href="canciones/ain_karem/cantad_al_señor.html"&gt;</v>
      </c>
      <c r="C13">
        <f>IFERROR(_xlfn.XMATCH(B13,CantoralDB[check]),"NO")</f>
        <v>269</v>
      </c>
      <c r="E13" t="str">
        <v>&lt;a href="canciones/nsb/ven_y_descansate.html"&gt;</v>
      </c>
      <c r="F13" t="str">
        <v>NO</v>
      </c>
    </row>
    <row r="14" spans="1:6" x14ac:dyDescent="0.3">
      <c r="A14" t="s">
        <v>2827</v>
      </c>
      <c r="B14" t="str">
        <f t="shared" si="0"/>
        <v>&lt;a href="canciones/ain_karem/canto_de_ana.html"&gt;</v>
      </c>
      <c r="C14">
        <f>IFERROR(_xlfn.XMATCH(B14,CantoralDB[check]),"NO")</f>
        <v>284</v>
      </c>
      <c r="E14" t="str">
        <v>&lt;a href="canciones/nuevas/al_que_está_sentado_en_el_trono_y_al_cordero.html"&gt;</v>
      </c>
      <c r="F14" t="str">
        <v>NO</v>
      </c>
    </row>
    <row r="15" spans="1:6" x14ac:dyDescent="0.3">
      <c r="A15" t="s">
        <v>2828</v>
      </c>
      <c r="B15" t="str">
        <f t="shared" si="0"/>
        <v>&lt;a href="canciones/ain_karem/como_la_cierva.html"&gt;</v>
      </c>
      <c r="C15">
        <f>IFERROR(_xlfn.XMATCH(B15,CantoralDB[check]),"NO")</f>
        <v>308</v>
      </c>
      <c r="E15" t="str">
        <v>&lt;a href="canciones/nuevas/aleluya_cohen.html"&gt;</v>
      </c>
      <c r="F15" t="str">
        <v>NO</v>
      </c>
    </row>
    <row r="16" spans="1:6" x14ac:dyDescent="0.3">
      <c r="A16" t="s">
        <v>2829</v>
      </c>
      <c r="B16" t="str">
        <f t="shared" si="0"/>
        <v>&lt;a href="canciones/ain_karem/como_podre_pagarte.html"&gt;</v>
      </c>
      <c r="C16">
        <f>IFERROR(_xlfn.XMATCH(B16,CantoralDB[check]),"NO")</f>
        <v>316</v>
      </c>
      <c r="E16" t="str">
        <v>&lt;a href="canciones/nuevas/algo_está_cayendo_aquí.html"&gt;</v>
      </c>
      <c r="F16" t="str">
        <v>NO</v>
      </c>
    </row>
    <row r="17" spans="1:6" x14ac:dyDescent="0.3">
      <c r="A17" t="s">
        <v>2830</v>
      </c>
      <c r="B17" t="str">
        <f t="shared" si="0"/>
        <v>&lt;a href="canciones/ain_karem/como_tu.html"&gt;</v>
      </c>
      <c r="C17">
        <f>IFERROR(_xlfn.XMATCH(B17,CantoralDB[check]),"NO")</f>
        <v>318</v>
      </c>
      <c r="E17" t="str">
        <v>&lt;a href="canciones/nuevas/entra_en_el_corazón_de_dios.html"&gt;</v>
      </c>
      <c r="F17" t="str">
        <v>NO</v>
      </c>
    </row>
    <row r="18" spans="1:6" x14ac:dyDescent="0.3">
      <c r="A18" t="s">
        <v>2831</v>
      </c>
      <c r="B18" t="str">
        <f t="shared" si="0"/>
        <v>&lt;a href="canciones/ain_karem/con_amor_eterno.html"&gt;</v>
      </c>
      <c r="C18">
        <f>IFERROR(_xlfn.XMATCH(B18,CantoralDB[check]),"NO")</f>
        <v>325</v>
      </c>
      <c r="E18" t="str">
        <v>&lt;a href="canciones/nuevas/sálvame.html"&gt;</v>
      </c>
      <c r="F18" t="str">
        <v>NO</v>
      </c>
    </row>
    <row r="19" spans="1:6" x14ac:dyDescent="0.3">
      <c r="A19" t="s">
        <v>2832</v>
      </c>
      <c r="B19" t="str">
        <f t="shared" si="0"/>
        <v>&lt;a href="canciones/ain_karem/confia.html"&gt;</v>
      </c>
      <c r="C19">
        <f>IFERROR(_xlfn.XMATCH(B19,CantoralDB[check]),"NO")</f>
        <v>336</v>
      </c>
    </row>
    <row r="20" spans="1:6" x14ac:dyDescent="0.3">
      <c r="A20" t="s">
        <v>2833</v>
      </c>
      <c r="B20" t="str">
        <f t="shared" si="0"/>
        <v>&lt;a href="canciones/ain_karem/confianza.html"&gt;</v>
      </c>
      <c r="C20">
        <f>IFERROR(_xlfn.XMATCH(B20,CantoralDB[check]),"NO")</f>
        <v>339</v>
      </c>
    </row>
    <row r="21" spans="1:6" x14ac:dyDescent="0.3">
      <c r="A21" t="s">
        <v>2834</v>
      </c>
      <c r="B21" t="str">
        <f t="shared" si="0"/>
        <v>&lt;a href="canciones/ain_karem/creatura_habitada.html"&gt;</v>
      </c>
      <c r="C21">
        <f>IFERROR(_xlfn.XMATCH(B21,CantoralDB[check]),"NO")</f>
        <v>365</v>
      </c>
    </row>
    <row r="22" spans="1:6" x14ac:dyDescent="0.3">
      <c r="A22" t="s">
        <v>2835</v>
      </c>
      <c r="B22" t="str">
        <f t="shared" si="0"/>
        <v>&lt;a href="canciones/ain_karem/dame_una_palabra.html"&gt;</v>
      </c>
      <c r="C22">
        <f>IFERROR(_xlfn.XMATCH(B22,CantoralDB[check]),"NO")</f>
        <v>417</v>
      </c>
    </row>
    <row r="23" spans="1:6" x14ac:dyDescent="0.3">
      <c r="A23" t="s">
        <v>2836</v>
      </c>
      <c r="B23" t="str">
        <f t="shared" si="0"/>
        <v>&lt;a href="canciones/ain_karem/danos_de_beber.html"&gt;</v>
      </c>
      <c r="C23">
        <f>IFERROR(_xlfn.XMATCH(B23,CantoralDB[check]),"NO")</f>
        <v>420</v>
      </c>
    </row>
    <row r="24" spans="1:6" x14ac:dyDescent="0.3">
      <c r="A24" t="s">
        <v>2837</v>
      </c>
      <c r="B24" t="str">
        <f t="shared" si="0"/>
        <v>&lt;a href="canciones/ain_karem/de_todo_corazon.html"&gt;</v>
      </c>
      <c r="C24">
        <f>IFERROR(_xlfn.XMATCH(B24,CantoralDB[check]),"NO")</f>
        <v>441</v>
      </c>
    </row>
    <row r="25" spans="1:6" x14ac:dyDescent="0.3">
      <c r="A25" t="s">
        <v>2838</v>
      </c>
      <c r="B25" t="str">
        <f t="shared" si="0"/>
        <v>&lt;a href="canciones/ain_karem/descalzate.html"&gt;</v>
      </c>
      <c r="C25">
        <f>IFERROR(_xlfn.XMATCH(B25,CantoralDB[check]),"NO")</f>
        <v>450</v>
      </c>
    </row>
    <row r="26" spans="1:6" x14ac:dyDescent="0.3">
      <c r="A26" t="s">
        <v>2839</v>
      </c>
      <c r="B26" t="str">
        <f t="shared" si="0"/>
        <v>&lt;a href="canciones/ain_karem/descansa_en_ti_su_mirada.html"&gt;</v>
      </c>
      <c r="C26">
        <f>IFERROR(_xlfn.XMATCH(B26,CantoralDB[check]),"NO")</f>
        <v>452</v>
      </c>
    </row>
    <row r="27" spans="1:6" x14ac:dyDescent="0.3">
      <c r="A27" t="s">
        <v>2840</v>
      </c>
      <c r="B27" t="str">
        <f t="shared" si="0"/>
        <v>&lt;a href="canciones/ain_karem/desde_abajo.html"&gt;</v>
      </c>
      <c r="C27">
        <f>IFERROR(_xlfn.XMATCH(B27,CantoralDB[check]),"NO")</f>
        <v>453</v>
      </c>
    </row>
    <row r="28" spans="1:6" x14ac:dyDescent="0.3">
      <c r="A28" t="s">
        <v>2841</v>
      </c>
      <c r="B28" t="str">
        <f t="shared" si="0"/>
        <v>&lt;a href="canciones/ain_karem/dios_de_la_historia_bendice.html"&gt;</v>
      </c>
      <c r="C28">
        <f>IFERROR(_xlfn.XMATCH(B28,CantoralDB[check]),"NO")</f>
        <v>477</v>
      </c>
    </row>
    <row r="29" spans="1:6" x14ac:dyDescent="0.3">
      <c r="A29" t="s">
        <v>2842</v>
      </c>
      <c r="B29" t="str">
        <f t="shared" si="0"/>
        <v>&lt;a href="canciones/ain_karem/dios_fiel.html"&gt;</v>
      </c>
      <c r="C29">
        <f>IFERROR(_xlfn.XMATCH(B29,CantoralDB[check]),"NO")</f>
        <v>485</v>
      </c>
    </row>
    <row r="30" spans="1:6" x14ac:dyDescent="0.3">
      <c r="A30" t="s">
        <v>2843</v>
      </c>
      <c r="B30" t="str">
        <f t="shared" si="0"/>
        <v>&lt;a href="canciones/ain_karem/discipulos.html"&gt;</v>
      </c>
      <c r="C30">
        <f>IFERROR(_xlfn.XMATCH(B30,CantoralDB[check]),"NO")</f>
        <v>502</v>
      </c>
    </row>
    <row r="31" spans="1:6" x14ac:dyDescent="0.3">
      <c r="A31" t="s">
        <v>2844</v>
      </c>
      <c r="B31" t="str">
        <f t="shared" si="0"/>
        <v>&lt;a href="canciones/ain_karem/el_amor.html"&gt;</v>
      </c>
      <c r="C31">
        <f>IFERROR(_xlfn.XMATCH(B31,CantoralDB[check]),"NO")</f>
        <v>524</v>
      </c>
    </row>
    <row r="32" spans="1:6" x14ac:dyDescent="0.3">
      <c r="A32" t="s">
        <v>2818</v>
      </c>
      <c r="B32" t="str">
        <f t="shared" si="0"/>
        <v>&lt;a href="canciones/ain_karem/el_amor_no_dice_basta.html"&gt;</v>
      </c>
      <c r="C32">
        <f>IFERROR(_xlfn.XMATCH(B32,CantoralDB[check]),"NO")</f>
        <v>528</v>
      </c>
    </row>
    <row r="33" spans="1:3" x14ac:dyDescent="0.3">
      <c r="A33" t="s">
        <v>2845</v>
      </c>
      <c r="B33" t="str">
        <f t="shared" si="0"/>
        <v>&lt;a href="canciones/ain_karem/el_reino_de_dios.html"&gt;</v>
      </c>
      <c r="C33">
        <f>IFERROR(_xlfn.XMATCH(B33,CantoralDB[check]),"NO")</f>
        <v>563</v>
      </c>
    </row>
    <row r="34" spans="1:3" x14ac:dyDescent="0.3">
      <c r="A34" t="s">
        <v>2846</v>
      </c>
      <c r="B34" t="str">
        <f t="shared" si="0"/>
        <v>&lt;a href="canciones/ain_karem/el_siervo.html"&gt;</v>
      </c>
      <c r="C34">
        <f>IFERROR(_xlfn.XMATCH(B34,CantoralDB[check]),"NO")</f>
        <v>594</v>
      </c>
    </row>
    <row r="35" spans="1:3" x14ac:dyDescent="0.3">
      <c r="A35" t="s">
        <v>2847</v>
      </c>
      <c r="B35" t="str">
        <f t="shared" si="0"/>
        <v>&lt;a href="canciones/ain_karem/en_ti.html"&gt;</v>
      </c>
      <c r="C35">
        <f>IFERROR(_xlfn.XMATCH(B35,CantoralDB[check]),"NO")</f>
        <v>629</v>
      </c>
    </row>
    <row r="36" spans="1:3" x14ac:dyDescent="0.3">
      <c r="A36" t="s">
        <v>2848</v>
      </c>
      <c r="B36" t="str">
        <f t="shared" si="0"/>
        <v>&lt;a href="canciones/ain_karem/es_mi_hermano.html"&gt;</v>
      </c>
      <c r="C36">
        <f>IFERROR(_xlfn.XMATCH(B36,CantoralDB[check]),"NO")</f>
        <v>659</v>
      </c>
    </row>
    <row r="37" spans="1:3" x14ac:dyDescent="0.3">
      <c r="A37" t="s">
        <v>2849</v>
      </c>
      <c r="B37" t="str">
        <f t="shared" si="0"/>
        <v>&lt;a href="canciones/ain_karem/escucha.html"&gt;</v>
      </c>
      <c r="C37">
        <f>IFERROR(_xlfn.XMATCH(B37,CantoralDB[check]),"NO")</f>
        <v>662</v>
      </c>
    </row>
    <row r="38" spans="1:3" x14ac:dyDescent="0.3">
      <c r="A38" t="s">
        <v>2850</v>
      </c>
      <c r="B38" t="str">
        <f t="shared" si="0"/>
        <v>&lt;a href="canciones/ain_karem/fuego.html"&gt;</v>
      </c>
      <c r="C38">
        <f>IFERROR(_xlfn.XMATCH(B38,CantoralDB[check]),"NO")</f>
        <v>719</v>
      </c>
    </row>
    <row r="39" spans="1:3" x14ac:dyDescent="0.3">
      <c r="A39" t="s">
        <v>2851</v>
      </c>
      <c r="B39" t="str">
        <f t="shared" si="0"/>
        <v>&lt;a href="canciones/ain_karem/fuertes_humildes_y_diligentes.html"&gt;</v>
      </c>
      <c r="C39">
        <f>IFERROR(_xlfn.XMATCH(B39,CantoralDB[check]),"NO")</f>
        <v>724</v>
      </c>
    </row>
    <row r="40" spans="1:3" x14ac:dyDescent="0.3">
      <c r="A40" t="s">
        <v>2852</v>
      </c>
      <c r="B40" t="str">
        <f t="shared" si="0"/>
        <v>&lt;a href="canciones/ain_karem/gloria_trinitario.html"&gt;</v>
      </c>
      <c r="C40">
        <f>IFERROR(_xlfn.XMATCH(B40,CantoralDB[check]),"NO")</f>
        <v>738</v>
      </c>
    </row>
    <row r="41" spans="1:3" x14ac:dyDescent="0.3">
      <c r="A41" t="s">
        <v>2853</v>
      </c>
      <c r="B41" t="str">
        <f t="shared" si="0"/>
        <v>&lt;a href="canciones/ain_karem/habitare.html"&gt;</v>
      </c>
      <c r="C41">
        <f>IFERROR(_xlfn.XMATCH(B41,CantoralDB[check]),"NO")</f>
        <v>761</v>
      </c>
    </row>
    <row r="42" spans="1:3" x14ac:dyDescent="0.3">
      <c r="A42" t="s">
        <v>2854</v>
      </c>
      <c r="B42" t="str">
        <f t="shared" si="0"/>
        <v>&lt;a href="canciones/ain_karem/hagase.html"&gt;</v>
      </c>
      <c r="C42">
        <f>IFERROR(_xlfn.XMATCH(B42,CantoralDB[check]),"NO")</f>
        <v>768</v>
      </c>
    </row>
    <row r="43" spans="1:3" x14ac:dyDescent="0.3">
      <c r="A43" t="s">
        <v>2855</v>
      </c>
      <c r="B43" t="str">
        <f t="shared" si="0"/>
        <v>&lt;a href="canciones/ain_karem/hambre_y_sed_de_ti.html"&gt;</v>
      </c>
      <c r="C43">
        <f>IFERROR(_xlfn.XMATCH(B43,CantoralDB[check]),"NO")</f>
        <v>772</v>
      </c>
    </row>
    <row r="44" spans="1:3" x14ac:dyDescent="0.3">
      <c r="A44" t="s">
        <v>2336</v>
      </c>
      <c r="B44" t="str">
        <f t="shared" si="0"/>
        <v>&lt;a href="canciones/ain_karem/he_venido_a_servir.html"&gt;</v>
      </c>
      <c r="C44">
        <f>IFERROR(_xlfn.XMATCH(B44,CantoralDB[check]),"NO")</f>
        <v>790</v>
      </c>
    </row>
    <row r="45" spans="1:3" x14ac:dyDescent="0.3">
      <c r="A45" t="s">
        <v>2856</v>
      </c>
      <c r="B45" t="str">
        <f t="shared" si="0"/>
        <v>&lt;a href="canciones/ain_karem/heme_aqui.html"&gt;</v>
      </c>
      <c r="C45">
        <f>IFERROR(_xlfn.XMATCH(B45,CantoralDB[check]),"NO")</f>
        <v>792</v>
      </c>
    </row>
    <row r="46" spans="1:3" x14ac:dyDescent="0.3">
      <c r="A46" t="s">
        <v>2857</v>
      </c>
      <c r="B46" t="str">
        <f t="shared" si="0"/>
        <v>&lt;a href="canciones/ain_karem/invitanos.html"&gt;</v>
      </c>
      <c r="C46">
        <f>IFERROR(_xlfn.XMATCH(B46,CantoralDB[check]),"NO")</f>
        <v>842</v>
      </c>
    </row>
    <row r="47" spans="1:3" x14ac:dyDescent="0.3">
      <c r="A47" t="s">
        <v>2858</v>
      </c>
      <c r="B47" t="str">
        <f t="shared" si="0"/>
        <v>&lt;a href="canciones/ain_karem/jesus.html"&gt;</v>
      </c>
      <c r="C47">
        <f>IFERROR(_xlfn.XMATCH(B47,CantoralDB[check]),"NO")</f>
        <v>844</v>
      </c>
    </row>
    <row r="48" spans="1:3" x14ac:dyDescent="0.3">
      <c r="A48" t="s">
        <v>2859</v>
      </c>
      <c r="B48" t="str">
        <f t="shared" si="0"/>
        <v>&lt;a href="canciones/ain_karem/la_moneda_perdida.html"&gt;</v>
      </c>
      <c r="C48">
        <f>IFERROR(_xlfn.XMATCH(B48,CantoralDB[check]),"NO")</f>
        <v>905</v>
      </c>
    </row>
    <row r="49" spans="1:3" x14ac:dyDescent="0.3">
      <c r="A49" t="s">
        <v>2860</v>
      </c>
      <c r="B49" t="str">
        <f t="shared" si="0"/>
        <v>&lt;a href="canciones/ain_karem/la_mujer_cananea.html"&gt;</v>
      </c>
      <c r="C49">
        <f>IFERROR(_xlfn.XMATCH(B49,CantoralDB[check]),"NO")</f>
        <v>906</v>
      </c>
    </row>
    <row r="50" spans="1:3" x14ac:dyDescent="0.3">
      <c r="A50" t="s">
        <v>2861</v>
      </c>
      <c r="B50" t="str">
        <f t="shared" si="0"/>
        <v>&lt;a href="canciones/ain_karem/la_mujer_del_perfume.html"&gt;</v>
      </c>
      <c r="C50">
        <f>IFERROR(_xlfn.XMATCH(B50,CantoralDB[check]),"NO")</f>
        <v>907</v>
      </c>
    </row>
    <row r="51" spans="1:3" x14ac:dyDescent="0.3">
      <c r="A51" t="s">
        <v>2862</v>
      </c>
      <c r="B51" t="str">
        <f t="shared" si="0"/>
        <v>&lt;a href="canciones/ain_karem/la_piedra_angular.html"&gt;</v>
      </c>
      <c r="C51">
        <f>IFERROR(_xlfn.XMATCH(B51,CantoralDB[check]),"NO")</f>
        <v>917</v>
      </c>
    </row>
    <row r="52" spans="1:3" x14ac:dyDescent="0.3">
      <c r="A52" t="s">
        <v>2362</v>
      </c>
      <c r="B52" t="str">
        <f t="shared" si="0"/>
        <v>&lt;a href="canciones/ain_karem/lampara_es_tu_palabra.html"&gt;</v>
      </c>
      <c r="C52">
        <f>IFERROR(_xlfn.XMATCH(B52,CantoralDB[check]),"NO")</f>
        <v>926</v>
      </c>
    </row>
    <row r="53" spans="1:3" x14ac:dyDescent="0.3">
      <c r="A53" t="s">
        <v>2864</v>
      </c>
      <c r="B53" t="str">
        <f t="shared" si="0"/>
        <v>&lt;a href="canciones/ain_karem/llama_de_amor_viva.html"&gt;</v>
      </c>
      <c r="C53">
        <f>IFERROR(_xlfn.XMATCH(B53,CantoralDB[check]),"NO")</f>
        <v>945</v>
      </c>
    </row>
    <row r="54" spans="1:3" x14ac:dyDescent="0.3">
      <c r="A54" t="s">
        <v>2865</v>
      </c>
      <c r="B54" t="str">
        <f t="shared" si="0"/>
        <v>&lt;a href="canciones/ain_karem/llueve_tu.html"&gt;</v>
      </c>
      <c r="C54">
        <f>IFERROR(_xlfn.XMATCH(B54,CantoralDB[check]),"NO")</f>
        <v>953</v>
      </c>
    </row>
    <row r="55" spans="1:3" x14ac:dyDescent="0.3">
      <c r="A55" t="s">
        <v>2866</v>
      </c>
      <c r="B55" t="str">
        <f t="shared" si="0"/>
        <v>&lt;a href="canciones/ain_karem/los_incontables.html"&gt;</v>
      </c>
      <c r="C55">
        <f>IFERROR(_xlfn.XMATCH(B55,CantoralDB[check]),"NO")</f>
        <v>959</v>
      </c>
    </row>
    <row r="56" spans="1:3" x14ac:dyDescent="0.3">
      <c r="A56" t="s">
        <v>2867</v>
      </c>
      <c r="B56" t="str">
        <f t="shared" si="0"/>
        <v>&lt;a href="canciones/ain_karem/magnificat.html"&gt;</v>
      </c>
      <c r="C56">
        <f>IFERROR(_xlfn.XMATCH(B56,CantoralDB[check]),"NO")</f>
        <v>975</v>
      </c>
    </row>
    <row r="57" spans="1:3" x14ac:dyDescent="0.3">
      <c r="A57" t="s">
        <v>2868</v>
      </c>
      <c r="B57" t="str">
        <f t="shared" si="0"/>
        <v>&lt;a href="canciones/ain_karem/miradle.html"&gt;</v>
      </c>
      <c r="C57">
        <f>IFERROR(_xlfn.XMATCH(B57,CantoralDB[check]),"NO")</f>
        <v>1052</v>
      </c>
    </row>
    <row r="58" spans="1:3" x14ac:dyDescent="0.3">
      <c r="A58" t="s">
        <v>2869</v>
      </c>
      <c r="B58" t="str">
        <f t="shared" si="0"/>
        <v>&lt;a href="canciones/ain_karem/no_guardes_tu_vida.html"&gt;</v>
      </c>
      <c r="C58">
        <f>IFERROR(_xlfn.XMATCH(B58,CantoralDB[check]),"NO")</f>
        <v>1093</v>
      </c>
    </row>
    <row r="59" spans="1:3" x14ac:dyDescent="0.3">
      <c r="A59" t="s">
        <v>2870</v>
      </c>
      <c r="B59" t="str">
        <f t="shared" si="0"/>
        <v>&lt;a href="canciones/ain_karem/no_temas.html"&gt;</v>
      </c>
      <c r="C59">
        <f>IFERROR(_xlfn.XMATCH(B59,CantoralDB[check]),"NO")</f>
        <v>1123</v>
      </c>
    </row>
    <row r="60" spans="1:3" x14ac:dyDescent="0.3">
      <c r="A60" t="s">
        <v>2871</v>
      </c>
      <c r="B60" t="str">
        <f t="shared" si="0"/>
        <v>&lt;a href="canciones/ain_karem/no_tengas_miedo.html"&gt;</v>
      </c>
      <c r="C60">
        <f>IFERROR(_xlfn.XMATCH(B60,CantoralDB[check]),"NO")</f>
        <v>1125</v>
      </c>
    </row>
    <row r="61" spans="1:3" x14ac:dyDescent="0.3">
      <c r="A61" t="s">
        <v>2872</v>
      </c>
      <c r="B61" t="str">
        <f t="shared" si="0"/>
        <v>&lt;a href="canciones/ain_karem/os_envio.html"&gt;</v>
      </c>
      <c r="C61">
        <f>IFERROR(_xlfn.XMATCH(B61,CantoralDB[check]),"NO")</f>
        <v>1184</v>
      </c>
    </row>
    <row r="62" spans="1:3" x14ac:dyDescent="0.3">
      <c r="A62" t="s">
        <v>2873</v>
      </c>
      <c r="B62" t="str">
        <f t="shared" si="0"/>
        <v>&lt;a href="canciones/ain_karem/palabra.html"&gt;</v>
      </c>
      <c r="C62">
        <f>IFERROR(_xlfn.XMATCH(B62,CantoralDB[check]),"NO")</f>
        <v>1212</v>
      </c>
    </row>
    <row r="63" spans="1:3" x14ac:dyDescent="0.3">
      <c r="A63" t="s">
        <v>2874</v>
      </c>
      <c r="B63" t="str">
        <f t="shared" si="0"/>
        <v>&lt;a href="canciones/ain_karem/palabra_encarnada.html"&gt;</v>
      </c>
      <c r="C63">
        <f>IFERROR(_xlfn.XMATCH(B63,CantoralDB[check]),"NO")</f>
        <v>1213</v>
      </c>
    </row>
    <row r="64" spans="1:3" x14ac:dyDescent="0.3">
      <c r="A64" t="s">
        <v>2875</v>
      </c>
      <c r="B64" t="str">
        <f t="shared" si="0"/>
        <v>&lt;a href="canciones/ain_karem/palabras_de_vida.html"&gt;</v>
      </c>
      <c r="C64">
        <f>IFERROR(_xlfn.XMATCH(B64,CantoralDB[check]),"NO")</f>
        <v>1214</v>
      </c>
    </row>
    <row r="65" spans="1:3" x14ac:dyDescent="0.3">
      <c r="A65" t="s">
        <v>2876</v>
      </c>
      <c r="B65" t="str">
        <f t="shared" ref="B65:B128" si="1">_xlfn.TEXTBEFORE(_xlfn.TEXTAFTER(A65,"&gt;"),"&gt;")&amp;"&gt;"</f>
        <v>&lt;a href="canciones/ain_karem/para_estar_contigo.html"&gt;</v>
      </c>
      <c r="C65">
        <f>IFERROR(_xlfn.XMATCH(B65,CantoralDB[check]),"NO")</f>
        <v>1218</v>
      </c>
    </row>
    <row r="66" spans="1:3" x14ac:dyDescent="0.3">
      <c r="A66" t="s">
        <v>2877</v>
      </c>
      <c r="B66" t="str">
        <f t="shared" si="1"/>
        <v>&lt;a href="canciones/ain_karem/poneos_en_pie.html"&gt;</v>
      </c>
      <c r="C66">
        <f>IFERROR(_xlfn.XMATCH(B66,CantoralDB[check]),"NO")</f>
        <v>1270</v>
      </c>
    </row>
    <row r="67" spans="1:3" x14ac:dyDescent="0.3">
      <c r="A67" t="s">
        <v>2878</v>
      </c>
      <c r="B67" t="str">
        <f t="shared" si="1"/>
        <v>&lt;a href="canciones/ain_karem/por_amor_a_tu_pueblo.html"&gt;</v>
      </c>
      <c r="C67">
        <f>IFERROR(_xlfn.XMATCH(B67,CantoralDB[check]),"NO")</f>
        <v>1272</v>
      </c>
    </row>
    <row r="68" spans="1:3" x14ac:dyDescent="0.3">
      <c r="A68" t="s">
        <v>2879</v>
      </c>
      <c r="B68" t="str">
        <f t="shared" si="1"/>
        <v>&lt;a href="canciones/ain_karem/pueblo_suyo.html"&gt;</v>
      </c>
      <c r="C68">
        <f>IFERROR(_xlfn.XMATCH(B68,CantoralDB[check]),"NO")</f>
        <v>1302</v>
      </c>
    </row>
    <row r="69" spans="1:3" x14ac:dyDescent="0.3">
      <c r="A69" t="s">
        <v>2880</v>
      </c>
      <c r="B69" t="str">
        <f t="shared" si="1"/>
        <v>&lt;a href="canciones/ain_karem/que_se_alegren_tus_entrañas.html"&gt;</v>
      </c>
      <c r="C69">
        <f>IFERROR(_xlfn.XMATCH(B69,CantoralDB[check]),"NO")</f>
        <v>1319</v>
      </c>
    </row>
    <row r="70" spans="1:3" x14ac:dyDescent="0.3">
      <c r="A70" t="s">
        <v>2881</v>
      </c>
      <c r="B70" t="str">
        <f t="shared" si="1"/>
        <v>&lt;a href="canciones/ain_karem/quedas_libre.html"&gt;</v>
      </c>
      <c r="C70">
        <f>IFERROR(_xlfn.XMATCH(B70,CantoralDB[check]),"NO")</f>
        <v>1331</v>
      </c>
    </row>
    <row r="71" spans="1:3" x14ac:dyDescent="0.3">
      <c r="A71" t="s">
        <v>2882</v>
      </c>
      <c r="B71" t="str">
        <f t="shared" si="1"/>
        <v>&lt;a href="canciones/ain_karem/realidad.html"&gt;</v>
      </c>
      <c r="C71">
        <f>IFERROR(_xlfn.XMATCH(B71,CantoralDB[check]),"NO")</f>
        <v>1364</v>
      </c>
    </row>
    <row r="72" spans="1:3" x14ac:dyDescent="0.3">
      <c r="A72" t="s">
        <v>2883</v>
      </c>
      <c r="B72" t="str">
        <f t="shared" si="1"/>
        <v>&lt;a href="canciones/ain_karem/recibid_mi_espiritu.html"&gt;</v>
      </c>
      <c r="C72">
        <f>IFERROR(_xlfn.XMATCH(B72,CantoralDB[check]),"NO")</f>
        <v>1366</v>
      </c>
    </row>
    <row r="73" spans="1:3" x14ac:dyDescent="0.3">
      <c r="A73" t="s">
        <v>2884</v>
      </c>
      <c r="B73" t="str">
        <f t="shared" si="1"/>
        <v>&lt;a href="canciones/ain_karem/samaritano.html"&gt;</v>
      </c>
      <c r="C73">
        <f>IFERROR(_xlfn.XMATCH(B73,CantoralDB[check]),"NO")</f>
        <v>1393</v>
      </c>
    </row>
    <row r="74" spans="1:3" x14ac:dyDescent="0.3">
      <c r="A74" t="s">
        <v>2885</v>
      </c>
      <c r="B74" t="str">
        <f t="shared" si="1"/>
        <v>&lt;a href="canciones/ain_karem/santo.html"&gt;</v>
      </c>
      <c r="C74">
        <f>IFERROR(_xlfn.XMATCH(B74,CantoralDB[check]),"NO")</f>
        <v>1398</v>
      </c>
    </row>
    <row r="75" spans="1:3" x14ac:dyDescent="0.3">
      <c r="A75" t="s">
        <v>2886</v>
      </c>
      <c r="B75" t="str">
        <f t="shared" si="1"/>
        <v>&lt;a href="canciones/ain_karem/se_mi_luz.html"&gt;</v>
      </c>
      <c r="C75">
        <f>IFERROR(_xlfn.XMATCH(B75,CantoralDB[check]),"NO")</f>
        <v>1429</v>
      </c>
    </row>
    <row r="76" spans="1:3" x14ac:dyDescent="0.3">
      <c r="A76" t="s">
        <v>2887</v>
      </c>
      <c r="B76" t="str">
        <f t="shared" si="1"/>
        <v>&lt;a href="canciones/ain_karem/secuencia_pascual.html"&gt;</v>
      </c>
      <c r="C76">
        <f>IFERROR(_xlfn.XMATCH(B76,CantoralDB[check]),"NO")</f>
        <v>1437</v>
      </c>
    </row>
    <row r="77" spans="1:3" x14ac:dyDescent="0.3">
      <c r="A77" t="s">
        <v>2888</v>
      </c>
      <c r="B77" t="str">
        <f t="shared" si="1"/>
        <v>&lt;a href="canciones/ain_karem/sed_felices.html"&gt;</v>
      </c>
      <c r="C77">
        <f>IFERROR(_xlfn.XMATCH(B77,CantoralDB[check]),"NO")</f>
        <v>1438</v>
      </c>
    </row>
    <row r="78" spans="1:3" x14ac:dyDescent="0.3">
      <c r="A78" t="s">
        <v>2889</v>
      </c>
      <c r="B78" t="str">
        <f t="shared" si="1"/>
        <v>&lt;a href="canciones/ain_karem/seguirte.html"&gt;</v>
      </c>
      <c r="C78">
        <f>IFERROR(_xlfn.XMATCH(B78,CantoralDB[check]),"NO")</f>
        <v>1443</v>
      </c>
    </row>
    <row r="79" spans="1:3" x14ac:dyDescent="0.3">
      <c r="A79" t="s">
        <v>2890</v>
      </c>
      <c r="B79" t="str">
        <f t="shared" si="1"/>
        <v>&lt;a href="canciones/ain_karem/señor_de_la_sabiduria.html"&gt;</v>
      </c>
      <c r="C79">
        <f>IFERROR(_xlfn.XMATCH(B79,CantoralDB[check]),"NO")</f>
        <v>1447</v>
      </c>
    </row>
    <row r="80" spans="1:3" x14ac:dyDescent="0.3">
      <c r="A80" t="s">
        <v>2891</v>
      </c>
      <c r="B80" t="str">
        <f t="shared" si="1"/>
        <v>&lt;a href="canciones/ain_karem/señor_mio_y_dios_mio.html"&gt;</v>
      </c>
      <c r="C80">
        <f>IFERROR(_xlfn.XMATCH(B80,CantoralDB[check]),"NO")</f>
        <v>1449</v>
      </c>
    </row>
    <row r="81" spans="1:3" x14ac:dyDescent="0.3">
      <c r="A81" t="s">
        <v>2892</v>
      </c>
      <c r="B81" t="str">
        <f t="shared" si="1"/>
        <v>&lt;a href="canciones/ain_karem/solo_en_dios.html"&gt;</v>
      </c>
      <c r="C81">
        <f>IFERROR(_xlfn.XMATCH(B81,CantoralDB[check]),"NO")</f>
        <v>1515</v>
      </c>
    </row>
    <row r="82" spans="1:3" x14ac:dyDescent="0.3">
      <c r="A82" t="s">
        <v>2893</v>
      </c>
      <c r="B82" t="str">
        <f t="shared" si="1"/>
        <v>&lt;a href="canciones/ain_karem/solo_tu.html"&gt;</v>
      </c>
      <c r="C82">
        <f>IFERROR(_xlfn.XMATCH(B82,CantoralDB[check]),"NO")</f>
        <v>1517</v>
      </c>
    </row>
    <row r="83" spans="1:3" x14ac:dyDescent="0.3">
      <c r="A83" t="s">
        <v>2894</v>
      </c>
      <c r="B83" t="str">
        <f t="shared" si="1"/>
        <v>&lt;a href="canciones/ain_karem/somos_del_señor.html"&gt;</v>
      </c>
      <c r="C83">
        <f>IFERROR(_xlfn.XMATCH(B83,CantoralDB[check]),"NO")</f>
        <v>1520</v>
      </c>
    </row>
    <row r="84" spans="1:3" x14ac:dyDescent="0.3">
      <c r="A84" t="s">
        <v>2895</v>
      </c>
      <c r="B84" t="str">
        <f t="shared" si="1"/>
        <v>&lt;a href="canciones/ain_karem/te_basta_mi_gracia.html"&gt;</v>
      </c>
      <c r="C84">
        <f>IFERROR(_xlfn.XMATCH(B84,CantoralDB[check]),"NO")</f>
        <v>1551</v>
      </c>
    </row>
    <row r="85" spans="1:3" x14ac:dyDescent="0.3">
      <c r="A85" t="s">
        <v>2896</v>
      </c>
      <c r="B85" t="str">
        <f t="shared" si="1"/>
        <v>&lt;a href="canciones/ain_karem/ten_piedad.html"&gt;</v>
      </c>
      <c r="C85">
        <f>IFERROR(_xlfn.XMATCH(B85,CantoralDB[check]),"NO")</f>
        <v>1571</v>
      </c>
    </row>
    <row r="86" spans="1:3" x14ac:dyDescent="0.3">
      <c r="A86" t="s">
        <v>2897</v>
      </c>
      <c r="B86" t="str">
        <f t="shared" si="1"/>
        <v>&lt;a href="canciones/ain_karem/tu_eres_mi_bien.html"&gt;</v>
      </c>
      <c r="C86">
        <f>IFERROR(_xlfn.XMATCH(B86,CantoralDB[check]),"NO")</f>
        <v>1631</v>
      </c>
    </row>
    <row r="87" spans="1:3" x14ac:dyDescent="0.3">
      <c r="A87" t="s">
        <v>2898</v>
      </c>
      <c r="B87" t="str">
        <f t="shared" si="1"/>
        <v>&lt;a href="canciones/ain_karem/tu_lo_sabes.html"&gt;</v>
      </c>
      <c r="C87">
        <f>IFERROR(_xlfn.XMATCH(B87,CantoralDB[check]),"NO")</f>
        <v>1640</v>
      </c>
    </row>
    <row r="88" spans="1:3" x14ac:dyDescent="0.3">
      <c r="A88" t="s">
        <v>2899</v>
      </c>
      <c r="B88" t="str">
        <f t="shared" si="1"/>
        <v>&lt;a href="canciones/ain_karem/ven_espiritu.html"&gt;</v>
      </c>
      <c r="C88">
        <f>IFERROR(_xlfn.XMATCH(B88,CantoralDB[check]),"NO")</f>
        <v>1749</v>
      </c>
    </row>
    <row r="89" spans="1:3" x14ac:dyDescent="0.3">
      <c r="A89" t="s">
        <v>2900</v>
      </c>
      <c r="B89" t="str">
        <f t="shared" si="1"/>
        <v>&lt;a href="canciones/ain_karem/ven_espiritu_de_dios.html"&gt;</v>
      </c>
      <c r="C89">
        <f>IFERROR(_xlfn.XMATCH(B89,CantoralDB[check]),"NO")</f>
        <v>1753</v>
      </c>
    </row>
    <row r="90" spans="1:3" x14ac:dyDescent="0.3">
      <c r="A90" t="s">
        <v>2901</v>
      </c>
      <c r="B90" t="str">
        <f t="shared" si="1"/>
        <v>&lt;a href="canciones/ain_karem/ven_señor.html"&gt;</v>
      </c>
      <c r="C90">
        <f>IFERROR(_xlfn.XMATCH(B90,CantoralDB[check]),"NO")</f>
        <v>1767</v>
      </c>
    </row>
    <row r="91" spans="1:3" x14ac:dyDescent="0.3">
      <c r="A91" t="s">
        <v>2902</v>
      </c>
      <c r="B91" t="str">
        <f t="shared" si="1"/>
        <v>&lt;a href="canciones/ain_karem/vengan_a_mi.html"&gt;</v>
      </c>
      <c r="C91">
        <f>IFERROR(_xlfn.XMATCH(B91,CantoralDB[check]),"NO")</f>
        <v>1777</v>
      </c>
    </row>
    <row r="92" spans="1:3" x14ac:dyDescent="0.3">
      <c r="A92" t="s">
        <v>2903</v>
      </c>
      <c r="B92" t="str">
        <f t="shared" si="1"/>
        <v>&lt;a href="canciones/ain_karem/venid_conmigo.html"&gt;</v>
      </c>
      <c r="C92">
        <f>IFERROR(_xlfn.XMATCH(B92,CantoralDB[check]),"NO")</f>
        <v>1782</v>
      </c>
    </row>
    <row r="93" spans="1:3" x14ac:dyDescent="0.3">
      <c r="A93" t="s">
        <v>2863</v>
      </c>
      <c r="B93" t="str">
        <f t="shared" si="1"/>
        <v>&lt;a href="canciones/ain_karem/vid_verdadera.html"&gt;</v>
      </c>
      <c r="C93">
        <f>IFERROR(_xlfn.XMATCH(B93,CantoralDB[check]),"NO")</f>
        <v>1792</v>
      </c>
    </row>
    <row r="94" spans="1:3" x14ac:dyDescent="0.3">
      <c r="A94" t="s">
        <v>2904</v>
      </c>
      <c r="B94" t="str">
        <f t="shared" si="1"/>
        <v>&lt;a href="canciones/ain_karem/volemos.html"&gt;</v>
      </c>
      <c r="C94">
        <f>IFERROR(_xlfn.XMATCH(B94,CantoralDB[check]),"NO")</f>
        <v>1809</v>
      </c>
    </row>
    <row r="95" spans="1:3" x14ac:dyDescent="0.3">
      <c r="A95" t="s">
        <v>2905</v>
      </c>
      <c r="B95" t="str">
        <f t="shared" si="1"/>
        <v>&lt;a href="canciones/ain_karem/yo_soy.html"&gt;</v>
      </c>
      <c r="C95">
        <f>IFERROR(_xlfn.XMATCH(B95,CantoralDB[check]),"NO")</f>
        <v>1840</v>
      </c>
    </row>
    <row r="96" spans="1:3" x14ac:dyDescent="0.3">
      <c r="A96" t="s">
        <v>2906</v>
      </c>
      <c r="B96" t="str">
        <f t="shared" si="1"/>
        <v>&lt;a href="canciones/ain_karem/yo_soy_el_que_vive.html"&gt;</v>
      </c>
      <c r="C96">
        <f>IFERROR(_xlfn.XMATCH(B96,CantoralDB[check]),"NO")</f>
        <v>1843</v>
      </c>
    </row>
    <row r="97" spans="1:3" x14ac:dyDescent="0.3">
      <c r="A97" t="s">
        <v>2411</v>
      </c>
      <c r="B97" t="str">
        <f t="shared" si="1"/>
        <v>&lt;a href="canciones/al-haraca/por_la_paz_no_callare.html"&gt;</v>
      </c>
      <c r="C97">
        <f>IFERROR(_xlfn.XMATCH(B97,CantoralDB[check]),"NO")</f>
        <v>1274</v>
      </c>
    </row>
    <row r="98" spans="1:3" x14ac:dyDescent="0.3">
      <c r="A98" t="s">
        <v>2514</v>
      </c>
      <c r="B98" t="str">
        <f t="shared" si="1"/>
        <v>&lt;a href="canciones/al-haraca/yo_soy_la_luz_del_mundo.html"&gt;</v>
      </c>
      <c r="C98">
        <f>IFERROR(_xlfn.XMATCH(B98,CantoralDB[check]),"NO")</f>
        <v>1844</v>
      </c>
    </row>
    <row r="99" spans="1:3" x14ac:dyDescent="0.3">
      <c r="A99" t="s">
        <v>2365</v>
      </c>
      <c r="B99" t="str">
        <f t="shared" si="1"/>
        <v>&lt;a href="canciones/antonio_alcalde/lo_que_hemos_visto_y_oido.html"&gt;</v>
      </c>
      <c r="C99">
        <f>IFERROR(_xlfn.XMATCH(B99,CantoralDB[check]),"NO")</f>
        <v>958</v>
      </c>
    </row>
    <row r="100" spans="1:3" x14ac:dyDescent="0.3">
      <c r="A100" t="s">
        <v>2392</v>
      </c>
      <c r="B100" t="str">
        <f t="shared" si="1"/>
        <v>&lt;a href="canciones/antonio_alcalde/nos_has_llamado_al_desierto.html"&gt;</v>
      </c>
      <c r="C100">
        <f>IFERROR(_xlfn.XMATCH(B100,CantoralDB[check]),"NO")</f>
        <v>1142</v>
      </c>
    </row>
    <row r="101" spans="1:3" x14ac:dyDescent="0.3">
      <c r="A101" t="s">
        <v>2408</v>
      </c>
      <c r="B101" t="str">
        <f t="shared" si="1"/>
        <v>&lt;a href="canciones/antonio_alcalde/peregrinos_de_la_paz_y_la_alegria.html"&gt;</v>
      </c>
      <c r="C101">
        <f>IFERROR(_xlfn.XMATCH(B101,CantoralDB[check]),"NO")</f>
        <v>1258</v>
      </c>
    </row>
    <row r="102" spans="1:3" x14ac:dyDescent="0.3">
      <c r="A102" t="s">
        <v>2421</v>
      </c>
      <c r="B102" t="str">
        <f t="shared" si="1"/>
        <v>&lt;a href="canciones/antonio_alcalde/que_tendra_lo_pequeño.html"&gt;</v>
      </c>
      <c r="C102">
        <f>IFERROR(_xlfn.XMATCH(B102,CantoralDB[check]),"NO")</f>
        <v>1324</v>
      </c>
    </row>
    <row r="103" spans="1:3" x14ac:dyDescent="0.3">
      <c r="A103" t="s">
        <v>2501</v>
      </c>
      <c r="B103" t="str">
        <f t="shared" si="1"/>
        <v>&lt;a href="canciones/antonio_alcalde/ven_señor_a_nuestra_vida.html"&gt;</v>
      </c>
      <c r="C103">
        <f>IFERROR(_xlfn.XMATCH(B103,CantoralDB[check]),"NO")</f>
        <v>1772</v>
      </c>
    </row>
    <row r="104" spans="1:3" x14ac:dyDescent="0.3">
      <c r="A104" t="s">
        <v>2224</v>
      </c>
      <c r="B104" t="str">
        <f t="shared" si="1"/>
        <v>&lt;a href="canciones/brotes_de_olivo/agua_lavame.html"&gt;</v>
      </c>
      <c r="C104">
        <f>IFERROR(_xlfn.XMATCH(B104,CantoralDB[check]),"NO")</f>
        <v>60</v>
      </c>
    </row>
    <row r="105" spans="1:3" x14ac:dyDescent="0.3">
      <c r="A105" t="s">
        <v>2231</v>
      </c>
      <c r="B105" t="str">
        <f t="shared" si="1"/>
        <v>&lt;a href="canciones/brotes_de_olivo/aleluya_cantara.html"&gt;</v>
      </c>
      <c r="C105">
        <f>IFERROR(_xlfn.XMATCH(B105,CantoralDB[check]),"NO")</f>
        <v>113</v>
      </c>
    </row>
    <row r="106" spans="1:3" x14ac:dyDescent="0.3">
      <c r="A106" t="s">
        <v>2294</v>
      </c>
      <c r="B106" t="str">
        <f t="shared" si="1"/>
        <v>&lt;a href="canciones/brotes_de_olivo/el_calor_de_tu_palabra.html"&gt;</v>
      </c>
      <c r="C106">
        <f>IFERROR(_xlfn.XMATCH(B106,CantoralDB[check]),"NO")</f>
        <v>538</v>
      </c>
    </row>
    <row r="107" spans="1:3" x14ac:dyDescent="0.3">
      <c r="A107" t="s">
        <v>2311</v>
      </c>
      <c r="B107" t="str">
        <f t="shared" si="1"/>
        <v>&lt;a href="canciones/brotes_de_olivo/en_mi_debilidad.html"&gt;</v>
      </c>
      <c r="C107">
        <f>IFERROR(_xlfn.XMATCH(B107,CantoralDB[check]),"NO")</f>
        <v>620</v>
      </c>
    </row>
    <row r="108" spans="1:3" x14ac:dyDescent="0.3">
      <c r="A108" t="s">
        <v>2314</v>
      </c>
      <c r="B108" t="str">
        <f t="shared" si="1"/>
        <v>&lt;a href="canciones/brotes_de_olivo/enviame.html"&gt;</v>
      </c>
      <c r="C108">
        <f>IFERROR(_xlfn.XMATCH(B108,CantoralDB[check]),"NO")</f>
        <v>647</v>
      </c>
    </row>
    <row r="109" spans="1:3" x14ac:dyDescent="0.3">
      <c r="A109" t="s">
        <v>2344</v>
      </c>
      <c r="B109" t="str">
        <f t="shared" si="1"/>
        <v>&lt;a href="canciones/brotes_de_olivo/hoy_señor_te_dare.html"&gt;</v>
      </c>
      <c r="C109">
        <f>IFERROR(_xlfn.XMATCH(B109,CantoralDB[check]),"NO")</f>
        <v>828</v>
      </c>
    </row>
    <row r="110" spans="1:3" x14ac:dyDescent="0.3">
      <c r="A110" t="s">
        <v>2375</v>
      </c>
      <c r="B110" t="str">
        <f t="shared" si="1"/>
        <v>&lt;a href="canciones/brotes_de_olivo/me_levantare.html"&gt;</v>
      </c>
      <c r="C110">
        <f>IFERROR(_xlfn.XMATCH(B110,CantoralDB[check]),"NO")</f>
        <v>1020</v>
      </c>
    </row>
    <row r="111" spans="1:3" x14ac:dyDescent="0.3">
      <c r="A111" t="s">
        <v>2382</v>
      </c>
      <c r="B111" t="str">
        <f t="shared" si="1"/>
        <v>&lt;a href="canciones/brotes_de_olivo/nada_has_pensado.html"&gt;</v>
      </c>
      <c r="C111">
        <f>IFERROR(_xlfn.XMATCH(B111,CantoralDB[check]),"NO")</f>
        <v>1075</v>
      </c>
    </row>
    <row r="112" spans="1:3" x14ac:dyDescent="0.3">
      <c r="A112" t="s">
        <v>2383</v>
      </c>
      <c r="B112" t="str">
        <f t="shared" si="1"/>
        <v>&lt;a href="canciones/brotes_de_olivo/nada_nos_separara.html"&gt;</v>
      </c>
      <c r="C112">
        <f>IFERROR(_xlfn.XMATCH(B112,CantoralDB[check]),"NO")</f>
        <v>1076</v>
      </c>
    </row>
    <row r="113" spans="1:3" x14ac:dyDescent="0.3">
      <c r="A113" t="s">
        <v>2419</v>
      </c>
      <c r="B113" t="str">
        <f t="shared" si="1"/>
        <v>&lt;a href="canciones/brotes_de_olivo/que_sea_mi_vida_la_sal.html"&gt;</v>
      </c>
      <c r="C113">
        <f>IFERROR(_xlfn.XMATCH(B113,CantoralDB[check]),"NO")</f>
        <v>1320</v>
      </c>
    </row>
    <row r="114" spans="1:3" x14ac:dyDescent="0.3">
      <c r="A114" t="s">
        <v>2499</v>
      </c>
      <c r="B114" t="str">
        <f t="shared" si="1"/>
        <v>&lt;a href="canciones/brotes_de_olivo/ven_no_apartes_de_mi_los_ojos.html"&gt;</v>
      </c>
      <c r="C114">
        <f>IFERROR(_xlfn.XMATCH(B114,CantoralDB[check]),"NO")</f>
        <v>1764</v>
      </c>
    </row>
    <row r="115" spans="1:3" x14ac:dyDescent="0.3">
      <c r="A115" t="s">
        <v>2219</v>
      </c>
      <c r="B115" t="str">
        <f t="shared" si="1"/>
        <v>&lt;a href="canciones/carmelo_erdozain/abre_tu_tienda_al_señor.html"&gt;</v>
      </c>
      <c r="C115">
        <f>IFERROR(_xlfn.XMATCH(B115,CantoralDB[check]),"NO")</f>
        <v>32</v>
      </c>
    </row>
    <row r="116" spans="1:3" x14ac:dyDescent="0.3">
      <c r="A116" t="s">
        <v>2236</v>
      </c>
      <c r="B116" t="str">
        <f t="shared" si="1"/>
        <v>&lt;a href="canciones/carmelo_erdozain/aleluya_es_la_fiesta_del_señor.html"&gt;</v>
      </c>
      <c r="C116">
        <f>IFERROR(_xlfn.XMATCH(B116,CantoralDB[check]),"NO")</f>
        <v>126</v>
      </c>
    </row>
    <row r="117" spans="1:3" x14ac:dyDescent="0.3">
      <c r="A117" t="s">
        <v>2245</v>
      </c>
      <c r="B117" t="str">
        <f t="shared" si="1"/>
        <v>&lt;a href="canciones/carmelo_erdozain/ante_ti_señor.html"&gt;</v>
      </c>
      <c r="C117">
        <f>IFERROR(_xlfn.XMATCH(B117,CantoralDB[check]),"NO")</f>
        <v>177</v>
      </c>
    </row>
    <row r="118" spans="1:3" x14ac:dyDescent="0.3">
      <c r="A118" t="s">
        <v>2262</v>
      </c>
      <c r="B118" t="str">
        <f t="shared" si="1"/>
        <v>&lt;a href="canciones/carmelo_erdozain/cerca_esta_el_señor.html"&gt;</v>
      </c>
      <c r="C118">
        <f>IFERROR(_xlfn.XMATCH(B118,CantoralDB[check]),"NO")</f>
        <v>290</v>
      </c>
    </row>
    <row r="119" spans="1:3" x14ac:dyDescent="0.3">
      <c r="A119" t="s">
        <v>2266</v>
      </c>
      <c r="B119" t="str">
        <f t="shared" si="1"/>
        <v>&lt;a href="canciones/carmelo_erdozain/compartir_junto_al_señor.html"&gt;</v>
      </c>
      <c r="C119">
        <f>IFERROR(_xlfn.XMATCH(B119,CantoralDB[check]),"NO")</f>
        <v>322</v>
      </c>
    </row>
    <row r="120" spans="1:3" x14ac:dyDescent="0.3">
      <c r="A120" t="s">
        <v>2267</v>
      </c>
      <c r="B120" t="str">
        <f t="shared" si="1"/>
        <v>&lt;a href="canciones/carmelo_erdozain/con_nosotros_esta_el_señor.html"&gt;</v>
      </c>
      <c r="C120">
        <f>IFERROR(_xlfn.XMATCH(B120,CantoralDB[check]),"NO")</f>
        <v>329</v>
      </c>
    </row>
    <row r="121" spans="1:3" x14ac:dyDescent="0.3">
      <c r="A121" t="s">
        <v>2277</v>
      </c>
      <c r="B121" t="str">
        <f t="shared" si="1"/>
        <v>&lt;a href="canciones/carmelo_erdozain/cristo_nos_da_la_libertad.html"&gt;</v>
      </c>
      <c r="C121">
        <f>IFERROR(_xlfn.XMATCH(B121,CantoralDB[check]),"NO")</f>
        <v>384</v>
      </c>
    </row>
    <row r="122" spans="1:3" x14ac:dyDescent="0.3">
      <c r="A122" t="s">
        <v>2278</v>
      </c>
      <c r="B122" t="str">
        <f t="shared" si="1"/>
        <v>&lt;a href="canciones/carmelo_erdozain/cristo_por_nosotros.html"&gt;</v>
      </c>
      <c r="C122">
        <f>IFERROR(_xlfn.XMATCH(B122,CantoralDB[check]),"NO")</f>
        <v>385</v>
      </c>
    </row>
    <row r="123" spans="1:3" x14ac:dyDescent="0.3">
      <c r="A123" t="s">
        <v>2288</v>
      </c>
      <c r="B123" t="str">
        <f t="shared" si="1"/>
        <v>&lt;a href="canciones/carmelo_erdozain/dios_nos_convoca.html"&gt;</v>
      </c>
      <c r="C123">
        <f>IFERROR(_xlfn.XMATCH(B123,CantoralDB[check]),"NO")</f>
        <v>487</v>
      </c>
    </row>
    <row r="124" spans="1:3" x14ac:dyDescent="0.3">
      <c r="A124" t="s">
        <v>2319</v>
      </c>
      <c r="B124" t="str">
        <f t="shared" si="1"/>
        <v>&lt;a href="canciones/carmelo_erdozain/escucha_tu_la_palabra_de_dios.html"&gt;</v>
      </c>
      <c r="C124">
        <f>IFERROR(_xlfn.XMATCH(B124,CantoralDB[check]),"NO")</f>
        <v>668</v>
      </c>
    </row>
    <row r="125" spans="1:3" x14ac:dyDescent="0.3">
      <c r="A125" t="s">
        <v>2675</v>
      </c>
      <c r="B125" t="str">
        <f t="shared" si="1"/>
        <v>&lt;a href="canciones/carmelo_erdozain/este_pan_y_vino.html"&gt;</v>
      </c>
      <c r="C125">
        <f>IFERROR(_xlfn.XMATCH(B125,CantoralDB[check]),"NO")</f>
        <v>692</v>
      </c>
    </row>
    <row r="126" spans="1:3" x14ac:dyDescent="0.3">
      <c r="A126" t="s">
        <v>2339</v>
      </c>
      <c r="B126" t="str">
        <f t="shared" si="1"/>
        <v>&lt;a href="canciones/carmelo_erdozain/hosanna_hosanna_hosanna.html"&gt;</v>
      </c>
      <c r="C126">
        <f>IFERROR(_xlfn.XMATCH(B126,CantoralDB[check]),"NO")</f>
        <v>812</v>
      </c>
    </row>
    <row r="127" spans="1:3" x14ac:dyDescent="0.3">
      <c r="A127" t="s">
        <v>2342</v>
      </c>
      <c r="B127" t="str">
        <f t="shared" si="1"/>
        <v>&lt;a href="canciones/carmelo_erdozain/hoy_vuelvo_de_lejos.html"&gt;</v>
      </c>
      <c r="C127">
        <f>IFERROR(_xlfn.XMATCH(B127,CantoralDB[check]),"NO")</f>
        <v>824</v>
      </c>
    </row>
    <row r="128" spans="1:3" x14ac:dyDescent="0.3">
      <c r="A128" t="s">
        <v>3036</v>
      </c>
      <c r="B128" t="str">
        <f t="shared" si="1"/>
        <v>&lt;a href="canciones/carmelo_erdozain/oh_mi_dios_crea_en_mi.html"&gt;</v>
      </c>
      <c r="C128">
        <f>IFERROR(_xlfn.XMATCH(B128,CantoralDB[check]),"NO")</f>
        <v>1167</v>
      </c>
    </row>
    <row r="129" spans="1:3" x14ac:dyDescent="0.3">
      <c r="A129" t="s">
        <v>2395</v>
      </c>
      <c r="B129" t="str">
        <f t="shared" ref="B129:B192" si="2">_xlfn.TEXTBEFORE(_xlfn.TEXTAFTER(A129,"&gt;"),"&gt;")&amp;"&gt;"</f>
        <v>&lt;a href="canciones/carmelo_erdozain/oi_tu_voz.html"&gt;</v>
      </c>
      <c r="C129">
        <f>IFERROR(_xlfn.XMATCH(B129,CantoralDB[check]),"NO")</f>
        <v>1175</v>
      </c>
    </row>
    <row r="130" spans="1:3" x14ac:dyDescent="0.3">
      <c r="A130" t="s">
        <v>3073</v>
      </c>
      <c r="B130" t="str">
        <f t="shared" si="2"/>
        <v>&lt;a href="canciones/carmelo_erdozain/padre_nuestro_(erdozain).html"&gt;</v>
      </c>
      <c r="C130">
        <f>IFERROR(_xlfn.XMATCH(B130,CantoralDB[check]),"NO")</f>
        <v>1193</v>
      </c>
    </row>
    <row r="131" spans="1:3" x14ac:dyDescent="0.3">
      <c r="A131" t="s">
        <v>2417</v>
      </c>
      <c r="B131" t="str">
        <f t="shared" si="2"/>
        <v>&lt;a href="canciones/carmelo_erdozain/purificame_señor.html"&gt;</v>
      </c>
      <c r="C131">
        <f>IFERROR(_xlfn.XMATCH(B131,CantoralDB[check]),"NO")</f>
        <v>1303</v>
      </c>
    </row>
    <row r="132" spans="1:3" x14ac:dyDescent="0.3">
      <c r="A132" t="s">
        <v>3069</v>
      </c>
      <c r="B132" t="str">
        <f t="shared" si="2"/>
        <v>&lt;a href="canciones/juan_antonio_espinosa/un_pueblo_que_camina_por_el_mundo.html"&gt;</v>
      </c>
      <c r="C132">
        <f>IFERROR(_xlfn.XMATCH(B132,CantoralDB[check]),"NO")</f>
        <v>1696</v>
      </c>
    </row>
    <row r="133" spans="1:3" x14ac:dyDescent="0.3">
      <c r="A133" t="s">
        <v>2489</v>
      </c>
      <c r="B133" t="str">
        <f t="shared" si="2"/>
        <v>&lt;a href="canciones/carmelo_erdozain/vamos_a_preparar.html"&gt;</v>
      </c>
      <c r="C133">
        <f>IFERROR(_xlfn.XMATCH(B133,CantoralDB[check]),"NO")</f>
        <v>1722</v>
      </c>
    </row>
    <row r="134" spans="1:3" x14ac:dyDescent="0.3">
      <c r="A134" t="s">
        <v>2500</v>
      </c>
      <c r="B134" t="str">
        <f t="shared" si="2"/>
        <v>&lt;a href="canciones/carmelo_erdozain/ven_salvador.html"&gt;</v>
      </c>
      <c r="C134">
        <f>IFERROR(_xlfn.XMATCH(B134,CantoralDB[check]),"NO")</f>
        <v>1765</v>
      </c>
    </row>
    <row r="135" spans="1:3" x14ac:dyDescent="0.3">
      <c r="A135" t="s">
        <v>2234</v>
      </c>
      <c r="B135" t="str">
        <f t="shared" si="2"/>
        <v>&lt;a href="canciones/cesareo_gabarain/aleluya_creo_en_ti_señor.html"&gt;</v>
      </c>
      <c r="C135">
        <f>IFERROR(_xlfn.XMATCH(B135,CantoralDB[check]),"NO")</f>
        <v>120</v>
      </c>
    </row>
    <row r="136" spans="1:3" x14ac:dyDescent="0.3">
      <c r="A136" t="s">
        <v>2255</v>
      </c>
      <c r="B136" t="str">
        <f t="shared" si="2"/>
        <v>&lt;a href="canciones/cesareo_gabarain/caminando_voy.html"&gt;</v>
      </c>
      <c r="C136">
        <f>IFERROR(_xlfn.XMATCH(B136,CantoralDB[check]),"NO")</f>
        <v>254</v>
      </c>
    </row>
    <row r="137" spans="1:3" x14ac:dyDescent="0.3">
      <c r="A137" t="s">
        <v>2285</v>
      </c>
      <c r="B137" t="str">
        <f t="shared" si="2"/>
        <v>&lt;a href="canciones/cesareo_gabarain/dios_es_amor.html"&gt;</v>
      </c>
      <c r="C137">
        <f>IFERROR(_xlfn.XMATCH(B137,CantoralDB[check]),"NO")</f>
        <v>481</v>
      </c>
    </row>
    <row r="138" spans="1:3" x14ac:dyDescent="0.3">
      <c r="A138" t="s">
        <v>2297</v>
      </c>
      <c r="B138" t="str">
        <f t="shared" si="2"/>
        <v>&lt;a href="canciones/cesareo_gabarain/el_niño_dios_ha_nacido_en_belen.html"&gt;</v>
      </c>
      <c r="C138">
        <f>IFERROR(_xlfn.XMATCH(B138,CantoralDB[check]),"NO")</f>
        <v>555</v>
      </c>
    </row>
    <row r="139" spans="1:3" x14ac:dyDescent="0.3">
      <c r="A139" t="s">
        <v>2316</v>
      </c>
      <c r="B139" t="str">
        <f t="shared" si="2"/>
        <v>&lt;a href="canciones/cesareo_gabarain/eres_mi_riqueza.html"&gt;</v>
      </c>
      <c r="C139">
        <f>IFERROR(_xlfn.XMATCH(B139,CantoralDB[check]),"NO")</f>
        <v>652</v>
      </c>
    </row>
    <row r="140" spans="1:3" x14ac:dyDescent="0.3">
      <c r="A140" t="s">
        <v>2346</v>
      </c>
      <c r="B140" t="str">
        <f t="shared" si="2"/>
        <v>&lt;a href="canciones/cesareo_gabarain/iglesia_soy.html"&gt;</v>
      </c>
      <c r="C140">
        <f>IFERROR(_xlfn.XMATCH(B140,CantoralDB[check]),"NO")</f>
        <v>832</v>
      </c>
    </row>
    <row r="141" spans="1:3" x14ac:dyDescent="0.3">
      <c r="A141" t="s">
        <v>2356</v>
      </c>
      <c r="B141" t="str">
        <f t="shared" si="2"/>
        <v>&lt;a href="canciones/cesareo_gabarain/juntos_como_hermanos.html"&gt;</v>
      </c>
      <c r="C141">
        <f>IFERROR(_xlfn.XMATCH(B141,CantoralDB[check]),"NO")</f>
        <v>882</v>
      </c>
    </row>
    <row r="142" spans="1:3" x14ac:dyDescent="0.3">
      <c r="A142" t="s">
        <v>2396</v>
      </c>
      <c r="B142" t="str">
        <f t="shared" si="2"/>
        <v>&lt;a href="canciones/cesareo_gabarain/ojala_escuchemos_hoy_su_voz.html"&gt;</v>
      </c>
      <c r="C142">
        <f>IFERROR(_xlfn.XMATCH(B142,CantoralDB[check]),"NO")</f>
        <v>1177</v>
      </c>
    </row>
    <row r="143" spans="1:3" x14ac:dyDescent="0.3">
      <c r="A143" t="s">
        <v>2407</v>
      </c>
      <c r="B143" t="str">
        <f t="shared" si="2"/>
        <v>&lt;a href="canciones/cesareo_gabarain/peregrino_(exodo_y_liberacion).html"&gt;</v>
      </c>
      <c r="C143">
        <f>IFERROR(_xlfn.XMATCH(B143,CantoralDB[check]),"NO")</f>
        <v>1257</v>
      </c>
    </row>
    <row r="144" spans="1:3" x14ac:dyDescent="0.3">
      <c r="A144" t="s">
        <v>2409</v>
      </c>
      <c r="B144" t="str">
        <f t="shared" si="2"/>
        <v>&lt;a href="canciones/cesareo_gabarain/pescador_de_hombres.html"&gt;</v>
      </c>
      <c r="C144">
        <f>IFERROR(_xlfn.XMATCH(B144,CantoralDB[check]),"NO")</f>
        <v>1260</v>
      </c>
    </row>
    <row r="145" spans="1:3" x14ac:dyDescent="0.3">
      <c r="A145" t="s">
        <v>2460</v>
      </c>
      <c r="B145" t="str">
        <f t="shared" si="2"/>
        <v>&lt;a href="canciones/cesareo_gabarain/sois_la_semilla.html"&gt;</v>
      </c>
      <c r="C145">
        <f>IFERROR(_xlfn.XMATCH(B145,CantoralDB[check]),"NO")</f>
        <v>1513</v>
      </c>
    </row>
    <row r="146" spans="1:3" x14ac:dyDescent="0.3">
      <c r="A146" t="s">
        <v>2461</v>
      </c>
      <c r="B146" t="str">
        <f t="shared" si="2"/>
        <v>&lt;a href="canciones/cesareo_gabarain/tan_cerca_de_mi.html"&gt;</v>
      </c>
      <c r="C146" t="str">
        <f>IFERROR(_xlfn.XMATCH(B146,CantoralDB[check]),"NO")</f>
        <v>NO</v>
      </c>
    </row>
    <row r="147" spans="1:3" x14ac:dyDescent="0.3">
      <c r="A147" t="s">
        <v>2470</v>
      </c>
      <c r="B147" t="str">
        <f t="shared" si="2"/>
        <v>&lt;a href="canciones/cesareo_gabarain/todos_unidos.html"&gt;</v>
      </c>
      <c r="C147">
        <f>IFERROR(_xlfn.XMATCH(B147,CantoralDB[check]),"NO")</f>
        <v>1604</v>
      </c>
    </row>
    <row r="148" spans="1:3" x14ac:dyDescent="0.3">
      <c r="A148" t="s">
        <v>2475</v>
      </c>
      <c r="B148" t="str">
        <f t="shared" si="2"/>
        <v>&lt;a href="canciones/cesareo_gabarain/tu_nos_dijiste_que_la_muerte.html"&gt;</v>
      </c>
      <c r="C148">
        <f>IFERROR(_xlfn.XMATCH(B148,CantoralDB[check]),"NO")</f>
        <v>1651</v>
      </c>
    </row>
    <row r="149" spans="1:3" x14ac:dyDescent="0.3">
      <c r="A149" t="s">
        <v>2479</v>
      </c>
      <c r="B149" t="str">
        <f t="shared" si="2"/>
        <v>&lt;a href="canciones/cesareo_gabarain/un_niño_se_te_acerco.html"&gt;</v>
      </c>
      <c r="C149">
        <f>IFERROR(_xlfn.XMATCH(B149,CantoralDB[check]),"NO")</f>
        <v>1691</v>
      </c>
    </row>
    <row r="150" spans="1:3" x14ac:dyDescent="0.3">
      <c r="A150" t="s">
        <v>2483</v>
      </c>
      <c r="B150" t="str">
        <f t="shared" si="2"/>
        <v>&lt;a href="canciones/cesareo_gabarain/una_espiga_dorada.html"&gt;</v>
      </c>
      <c r="C150">
        <f>IFERROR(_xlfn.XMATCH(B150,CantoralDB[check]),"NO")</f>
        <v>1703</v>
      </c>
    </row>
    <row r="151" spans="1:3" x14ac:dyDescent="0.3">
      <c r="A151" t="s">
        <v>2484</v>
      </c>
      <c r="B151" t="str">
        <f t="shared" si="2"/>
        <v>&lt;a href="canciones/cesareo_gabarain/una_nueva_vida.html"&gt;</v>
      </c>
      <c r="C151">
        <f>IFERROR(_xlfn.XMATCH(B151,CantoralDB[check]),"NO")</f>
        <v>1705</v>
      </c>
    </row>
    <row r="152" spans="1:3" x14ac:dyDescent="0.3">
      <c r="A152" t="s">
        <v>2505</v>
      </c>
      <c r="B152" t="str">
        <f t="shared" si="2"/>
        <v>&lt;a href="canciones/cesareo_gabarain/vienen_con_alegria.html"&gt;</v>
      </c>
      <c r="C152">
        <f>IFERROR(_xlfn.XMATCH(B152,CantoralDB[check]),"NO")</f>
        <v>1794</v>
      </c>
    </row>
    <row r="153" spans="1:3" x14ac:dyDescent="0.3">
      <c r="A153" t="s">
        <v>2221</v>
      </c>
      <c r="B153" t="str">
        <f t="shared" si="2"/>
        <v>&lt;a href="canciones/francisco_palazon/acerquemonos_todos_al_altar.html"&gt;</v>
      </c>
      <c r="C153">
        <f>IFERROR(_xlfn.XMATCH(B153,CantoralDB[check]),"NO")</f>
        <v>37</v>
      </c>
    </row>
    <row r="154" spans="1:3" x14ac:dyDescent="0.3">
      <c r="A154" t="s">
        <v>2225</v>
      </c>
      <c r="B154" t="str">
        <f t="shared" si="2"/>
        <v>&lt;a href="canciones/francisco_palazon/al_atardecer_de_la_vida.html"&gt;</v>
      </c>
      <c r="C154" t="str">
        <f>IFERROR(_xlfn.XMATCH(B154,CantoralDB[check]),"NO")</f>
        <v>NO</v>
      </c>
    </row>
    <row r="155" spans="1:3" x14ac:dyDescent="0.3">
      <c r="A155" t="s">
        <v>2240</v>
      </c>
      <c r="B155" t="str">
        <f t="shared" si="2"/>
        <v>&lt;a href="canciones/francisco_palazon/alrededor_de_tu_mesa.html"&gt;</v>
      </c>
      <c r="C155">
        <f>IFERROR(_xlfn.XMATCH(B155,CantoralDB[check]),"NO")</f>
        <v>156</v>
      </c>
    </row>
    <row r="156" spans="1:3" x14ac:dyDescent="0.3">
      <c r="A156" t="s">
        <v>2259</v>
      </c>
      <c r="B156" t="str">
        <f t="shared" si="2"/>
        <v>&lt;a href="canciones/francisco_palazon/cantare_eternamente.html"&gt;</v>
      </c>
      <c r="C156">
        <f>IFERROR(_xlfn.XMATCH(B156,CantoralDB[check]),"NO")</f>
        <v>272</v>
      </c>
    </row>
    <row r="157" spans="1:3" x14ac:dyDescent="0.3">
      <c r="A157" t="s">
        <v>2293</v>
      </c>
      <c r="B157" t="str">
        <f t="shared" si="2"/>
        <v>&lt;a href="canciones/francisco_palazon/el_caliz_que_bendecimos.html"&gt;</v>
      </c>
      <c r="C157">
        <f>IFERROR(_xlfn.XMATCH(B157,CantoralDB[check]),"NO")</f>
        <v>537</v>
      </c>
    </row>
    <row r="158" spans="1:3" x14ac:dyDescent="0.3">
      <c r="A158" t="s">
        <v>2301</v>
      </c>
      <c r="B158" t="str">
        <f t="shared" si="2"/>
        <v>&lt;a href="canciones/francisco_palazon/el_señor_es_mi_pastor.html"&gt;</v>
      </c>
      <c r="C158">
        <f>IFERROR(_xlfn.XMATCH(B158,CantoralDB[check]),"NO")</f>
        <v>578</v>
      </c>
    </row>
    <row r="159" spans="1:3" x14ac:dyDescent="0.3">
      <c r="A159" t="s">
        <v>2326</v>
      </c>
      <c r="B159" t="str">
        <f t="shared" si="2"/>
        <v>&lt;a href="canciones/francisco_palazon/gloria_a_dios_en_el_cielo.html"&gt;</v>
      </c>
      <c r="C159">
        <f>IFERROR(_xlfn.XMATCH(B159,CantoralDB[check]),"NO")</f>
        <v>733</v>
      </c>
    </row>
    <row r="160" spans="1:3" x14ac:dyDescent="0.3">
      <c r="A160" t="s">
        <v>2337</v>
      </c>
      <c r="B160" t="str">
        <f t="shared" si="2"/>
        <v>&lt;a href="canciones/francisco_palazon/himno_a_nuestra_señora_de_la_almudena.html"&gt;</v>
      </c>
      <c r="C160">
        <f>IFERROR(_xlfn.XMATCH(B160,CantoralDB[check]),"NO")</f>
        <v>807</v>
      </c>
    </row>
    <row r="161" spans="1:3" x14ac:dyDescent="0.3">
      <c r="A161" t="s">
        <v>2366</v>
      </c>
      <c r="B161" t="str">
        <f t="shared" si="2"/>
        <v>&lt;a href="canciones/francisco_palazon/madre_de_los_creyentes.html"&gt;</v>
      </c>
      <c r="C161">
        <f>IFERROR(_xlfn.XMATCH(B161,CantoralDB[check]),"NO")</f>
        <v>969</v>
      </c>
    </row>
    <row r="162" spans="1:3" x14ac:dyDescent="0.3">
      <c r="A162" t="s">
        <v>2380</v>
      </c>
      <c r="B162" t="str">
        <f t="shared" si="2"/>
        <v>&lt;a href="canciones/francisco_palazon/mujer_fuerte.html"&gt;</v>
      </c>
      <c r="C162">
        <f>IFERROR(_xlfn.XMATCH(B162,CantoralDB[check]),"NO")</f>
        <v>1063</v>
      </c>
    </row>
    <row r="163" spans="1:3" x14ac:dyDescent="0.3">
      <c r="A163" t="s">
        <v>2430</v>
      </c>
      <c r="B163" t="str">
        <f t="shared" si="2"/>
        <v>&lt;a href="canciones/francisco_palazon/reina_del_cielo.html"&gt;</v>
      </c>
      <c r="C163">
        <f>IFERROR(_xlfn.XMATCH(B163,CantoralDB[check]),"NO")</f>
        <v>1368</v>
      </c>
    </row>
    <row r="164" spans="1:3" x14ac:dyDescent="0.3">
      <c r="A164" t="s">
        <v>2432</v>
      </c>
      <c r="B164" t="str">
        <f t="shared" si="2"/>
        <v>&lt;a href="canciones/francisco_palazon/reunidos_en_el_nombre_del_señor.html"&gt;</v>
      </c>
      <c r="C164">
        <f>IFERROR(_xlfn.XMATCH(B164,CantoralDB[check]),"NO")</f>
        <v>1374</v>
      </c>
    </row>
    <row r="165" spans="1:3" x14ac:dyDescent="0.3">
      <c r="A165" t="s">
        <v>3066</v>
      </c>
      <c r="B165" t="str">
        <f t="shared" si="2"/>
        <v>&lt;a href="canciones/francisco_palazon/santo_(palazon).html"&gt;</v>
      </c>
      <c r="C165">
        <f>IFERROR(_xlfn.XMATCH(B165,CantoralDB[check]),"NO")</f>
        <v>1409</v>
      </c>
    </row>
    <row r="166" spans="1:3" x14ac:dyDescent="0.3">
      <c r="A166" t="s">
        <v>2455</v>
      </c>
      <c r="B166" t="str">
        <f t="shared" si="2"/>
        <v>&lt;a href="canciones/francisco_palazon/si_me_falta_el_amor.html"&gt;</v>
      </c>
      <c r="C166">
        <f>IFERROR(_xlfn.XMATCH(B166,CantoralDB[check]),"NO")</f>
        <v>1482</v>
      </c>
    </row>
    <row r="167" spans="1:3" x14ac:dyDescent="0.3">
      <c r="A167" t="s">
        <v>2492</v>
      </c>
      <c r="B167" t="str">
        <f t="shared" si="2"/>
        <v>&lt;a href="canciones/francisco_palazon/vaso_nuevo.html"&gt;</v>
      </c>
      <c r="C167">
        <f>IFERROR(_xlfn.XMATCH(B167,CantoralDB[check]),"NO")</f>
        <v>1730</v>
      </c>
    </row>
    <row r="168" spans="1:3" x14ac:dyDescent="0.3">
      <c r="A168" t="s">
        <v>2956</v>
      </c>
      <c r="B168" t="str">
        <f t="shared" si="2"/>
        <v>&lt;a href="canciones/hakuna/al_estar_en_la_presencia.html"&gt;</v>
      </c>
      <c r="C168">
        <f>IFERROR(_xlfn.XMATCH(B168,CantoralDB[check]),"NO")</f>
        <v>68</v>
      </c>
    </row>
    <row r="169" spans="1:3" x14ac:dyDescent="0.3">
      <c r="A169" t="s">
        <v>2957</v>
      </c>
      <c r="B169" t="str">
        <f t="shared" si="2"/>
        <v>&lt;a href="canciones/hakuna/baila_y_dejate_de_historias.html"&gt;</v>
      </c>
      <c r="C169">
        <f>IFERROR(_xlfn.XMATCH(B169,CantoralDB[check]),"NO")</f>
        <v>206</v>
      </c>
    </row>
    <row r="170" spans="1:3" x14ac:dyDescent="0.3">
      <c r="A170" t="s">
        <v>2958</v>
      </c>
      <c r="B170" t="str">
        <f t="shared" si="2"/>
        <v>&lt;a href="canciones/hakuna/bendita_sea_tu_pureza.html"&gt;</v>
      </c>
      <c r="C170">
        <f>IFERROR(_xlfn.XMATCH(B170,CantoralDB[check]),"NO")</f>
        <v>221</v>
      </c>
    </row>
    <row r="171" spans="1:3" x14ac:dyDescent="0.3">
      <c r="A171" t="s">
        <v>2959</v>
      </c>
      <c r="B171" t="str">
        <f t="shared" si="2"/>
        <v>&lt;a href="canciones/hakuna/bendito.html"&gt;</v>
      </c>
      <c r="C171">
        <f>IFERROR(_xlfn.XMATCH(B171,CantoralDB[check]),"NO")</f>
        <v>223</v>
      </c>
    </row>
    <row r="172" spans="1:3" x14ac:dyDescent="0.3">
      <c r="A172" t="s">
        <v>2960</v>
      </c>
      <c r="B172" t="str">
        <f t="shared" si="2"/>
        <v>&lt;a href="canciones/hakuna/bien_amado_señor.html"&gt;</v>
      </c>
      <c r="C172">
        <f>IFERROR(_xlfn.XMATCH(B172,CantoralDB[check]),"NO")</f>
        <v>232</v>
      </c>
    </row>
    <row r="173" spans="1:3" x14ac:dyDescent="0.3">
      <c r="A173" t="s">
        <v>2961</v>
      </c>
      <c r="B173" t="str">
        <f t="shared" si="2"/>
        <v>&lt;a href="canciones/hakuna/capricho.html"&gt;</v>
      </c>
      <c r="C173">
        <f>IFERROR(_xlfn.XMATCH(B173,CantoralDB[check]),"NO")</f>
        <v>286</v>
      </c>
    </row>
    <row r="174" spans="1:3" x14ac:dyDescent="0.3">
      <c r="A174" t="s">
        <v>2962</v>
      </c>
      <c r="B174" t="str">
        <f t="shared" si="2"/>
        <v>&lt;a href="canciones/hakuna/colombia.html"&gt;</v>
      </c>
      <c r="C174">
        <f>IFERROR(_xlfn.XMATCH(B174,CantoralDB[check]),"NO")</f>
        <v>299</v>
      </c>
    </row>
    <row r="175" spans="1:3" x14ac:dyDescent="0.3">
      <c r="A175" t="s">
        <v>2963</v>
      </c>
      <c r="B175" t="str">
        <f t="shared" si="2"/>
        <v>&lt;a href="canciones/hakuna/comunion_espiritual.html"&gt;</v>
      </c>
      <c r="C175">
        <f>IFERROR(_xlfn.XMATCH(B175,CantoralDB[check]),"NO")</f>
        <v>324</v>
      </c>
    </row>
    <row r="176" spans="1:3" x14ac:dyDescent="0.3">
      <c r="A176" t="s">
        <v>2964</v>
      </c>
      <c r="B176" t="str">
        <f t="shared" si="2"/>
        <v>&lt;a href="canciones/hakuna/concienciame.html"&gt;</v>
      </c>
      <c r="C176">
        <f>IFERROR(_xlfn.XMATCH(B176,CantoralDB[check]),"NO")</f>
        <v>335</v>
      </c>
    </row>
    <row r="177" spans="1:3" x14ac:dyDescent="0.3">
      <c r="A177" t="s">
        <v>2965</v>
      </c>
      <c r="B177" t="str">
        <f t="shared" si="2"/>
        <v>&lt;a href="canciones/hakuna/cuarto_lugar.html"&gt;</v>
      </c>
      <c r="C177">
        <f>IFERROR(_xlfn.XMATCH(B177,CantoralDB[check]),"NO")</f>
        <v>407</v>
      </c>
    </row>
    <row r="178" spans="1:3" x14ac:dyDescent="0.3">
      <c r="A178" t="s">
        <v>2966</v>
      </c>
      <c r="B178" t="str">
        <f t="shared" si="2"/>
        <v>&lt;a href="canciones/hakuna/cuatro_vientos.html"&gt;</v>
      </c>
      <c r="C178">
        <f>IFERROR(_xlfn.XMATCH(B178,CantoralDB[check]),"NO")</f>
        <v>408</v>
      </c>
    </row>
    <row r="179" spans="1:3" x14ac:dyDescent="0.3">
      <c r="A179" t="s">
        <v>2967</v>
      </c>
      <c r="B179" t="str">
        <f t="shared" si="2"/>
        <v>&lt;a href="canciones/hakuna/del_cielo.html"&gt;</v>
      </c>
      <c r="C179">
        <f>IFERROR(_xlfn.XMATCH(B179,CantoralDB[check]),"NO")</f>
        <v>446</v>
      </c>
    </row>
    <row r="180" spans="1:3" x14ac:dyDescent="0.3">
      <c r="A180" t="s">
        <v>2968</v>
      </c>
      <c r="B180" t="str">
        <f t="shared" si="2"/>
        <v>&lt;a href="canciones/hakuna/descalzos.html"&gt;</v>
      </c>
      <c r="C180">
        <f>IFERROR(_xlfn.XMATCH(B180,CantoralDB[check]),"NO")</f>
        <v>451</v>
      </c>
    </row>
    <row r="181" spans="1:3" x14ac:dyDescent="0.3">
      <c r="A181" t="s">
        <v>2969</v>
      </c>
      <c r="B181" t="str">
        <f t="shared" si="2"/>
        <v>&lt;a href="canciones/hakuna/deseo.html"&gt;</v>
      </c>
      <c r="C181">
        <f>IFERROR(_xlfn.XMATCH(B181,CantoralDB[check]),"NO")</f>
        <v>457</v>
      </c>
    </row>
    <row r="182" spans="1:3" x14ac:dyDescent="0.3">
      <c r="A182" t="s">
        <v>2970</v>
      </c>
      <c r="B182" t="str">
        <f t="shared" si="2"/>
        <v>&lt;a href="canciones/hakuna/dime_padre.html"&gt;</v>
      </c>
      <c r="C182">
        <f>IFERROR(_xlfn.XMATCH(B182,CantoralDB[check]),"NO")</f>
        <v>475</v>
      </c>
    </row>
    <row r="183" spans="1:3" x14ac:dyDescent="0.3">
      <c r="A183" t="s">
        <v>2971</v>
      </c>
      <c r="B183" t="str">
        <f t="shared" si="2"/>
        <v>&lt;a href="canciones/hakuna/el_abrazo.html"&gt;</v>
      </c>
      <c r="C183">
        <f>IFERROR(_xlfn.XMATCH(B183,CantoralDB[check]),"NO")</f>
        <v>518</v>
      </c>
    </row>
    <row r="184" spans="1:3" x14ac:dyDescent="0.3">
      <c r="A184" t="s">
        <v>2972</v>
      </c>
      <c r="B184" t="str">
        <f t="shared" si="2"/>
        <v>&lt;a href="canciones/hakuna/el_cielo_aguarda.html"&gt;</v>
      </c>
      <c r="C184">
        <f>IFERROR(_xlfn.XMATCH(B184,CantoralDB[check]),"NO")</f>
        <v>540</v>
      </c>
    </row>
    <row r="185" spans="1:3" x14ac:dyDescent="0.3">
      <c r="A185" t="s">
        <v>2973</v>
      </c>
      <c r="B185" t="str">
        <f t="shared" si="2"/>
        <v>&lt;a href="canciones/hakuna/en_lo_hondo.html"&gt;</v>
      </c>
      <c r="C185">
        <f>IFERROR(_xlfn.XMATCH(B185,CantoralDB[check]),"NO")</f>
        <v>617</v>
      </c>
    </row>
    <row r="186" spans="1:3" x14ac:dyDescent="0.3">
      <c r="A186" t="s">
        <v>2313</v>
      </c>
      <c r="B186" t="str">
        <f t="shared" si="2"/>
        <v>&lt;a href="canciones/hakuna/enciendeme.html"&gt;</v>
      </c>
      <c r="C186">
        <f>IFERROR(_xlfn.XMATCH(B186,CantoralDB[check]),"NO")</f>
        <v>636</v>
      </c>
    </row>
    <row r="187" spans="1:3" x14ac:dyDescent="0.3">
      <c r="A187" t="s">
        <v>2974</v>
      </c>
      <c r="B187" t="str">
        <f t="shared" si="2"/>
        <v>&lt;a href="canciones/hakuna/entre_anestesias.html"&gt;</v>
      </c>
      <c r="C187">
        <f>IFERROR(_xlfn.XMATCH(B187,CantoralDB[check]),"NO")</f>
        <v>644</v>
      </c>
    </row>
    <row r="188" spans="1:3" x14ac:dyDescent="0.3">
      <c r="A188" t="s">
        <v>2975</v>
      </c>
      <c r="B188" t="str">
        <f t="shared" si="2"/>
        <v>&lt;a href="canciones/hakuna/exulte_mi_alma.html"&gt;</v>
      </c>
      <c r="C188">
        <f>IFERROR(_xlfn.XMATCH(B188,CantoralDB[check]),"NO")</f>
        <v>705</v>
      </c>
    </row>
    <row r="189" spans="1:3" x14ac:dyDescent="0.3">
      <c r="A189" t="s">
        <v>2976</v>
      </c>
      <c r="B189" t="str">
        <f t="shared" si="2"/>
        <v>&lt;a href="canciones/hakuna/forofos.html"&gt;</v>
      </c>
      <c r="C189">
        <f>IFERROR(_xlfn.XMATCH(B189,CantoralDB[check]),"NO")</f>
        <v>715</v>
      </c>
    </row>
    <row r="190" spans="1:3" x14ac:dyDescent="0.3">
      <c r="A190" t="s">
        <v>2977</v>
      </c>
      <c r="B190" t="str">
        <f t="shared" si="2"/>
        <v>&lt;a href="canciones/hakuna/hoy_en_belen.html"&gt;</v>
      </c>
      <c r="C190">
        <f>IFERROR(_xlfn.XMATCH(B190,CantoralDB[check]),"NO")</f>
        <v>818</v>
      </c>
    </row>
    <row r="191" spans="1:3" x14ac:dyDescent="0.3">
      <c r="A191" t="s">
        <v>2978</v>
      </c>
      <c r="B191" t="str">
        <f t="shared" si="2"/>
        <v>&lt;a href="canciones/hakuna/hoy_te_dejo.html"&gt;</v>
      </c>
      <c r="C191">
        <f>IFERROR(_xlfn.XMATCH(B191,CantoralDB[check]),"NO")</f>
        <v>823</v>
      </c>
    </row>
    <row r="192" spans="1:3" x14ac:dyDescent="0.3">
      <c r="A192" t="s">
        <v>2345</v>
      </c>
      <c r="B192" t="str">
        <f t="shared" si="2"/>
        <v>&lt;a href="canciones/hakuna/huracan.html"&gt;</v>
      </c>
      <c r="C192">
        <f>IFERROR(_xlfn.XMATCH(B192,CantoralDB[check]),"NO")</f>
        <v>829</v>
      </c>
    </row>
    <row r="193" spans="1:3" x14ac:dyDescent="0.3">
      <c r="A193" t="s">
        <v>2979</v>
      </c>
      <c r="B193" t="str">
        <f t="shared" ref="B193:B256" si="3">_xlfn.TEXTBEFORE(_xlfn.TEXTAFTER(A193,"&gt;"),"&gt;")&amp;"&gt;"</f>
        <v>&lt;a href="canciones/hakuna/imprescindible.html"&gt;</v>
      </c>
      <c r="C193">
        <f>IFERROR(_xlfn.XMATCH(B193,CantoralDB[check]),"NO")</f>
        <v>836</v>
      </c>
    </row>
    <row r="194" spans="1:3" x14ac:dyDescent="0.3">
      <c r="A194" t="s">
        <v>2980</v>
      </c>
      <c r="B194" t="str">
        <f t="shared" si="3"/>
        <v>&lt;a href="canciones/hakuna/la_piel_por_ti.html"&gt;</v>
      </c>
      <c r="C194">
        <f>IFERROR(_xlfn.XMATCH(B194,CantoralDB[check]),"NO")</f>
        <v>918</v>
      </c>
    </row>
    <row r="195" spans="1:3" x14ac:dyDescent="0.3">
      <c r="A195" t="s">
        <v>2981</v>
      </c>
      <c r="B195" t="str">
        <f t="shared" si="3"/>
        <v>&lt;a href="canciones/hakuna/libertad.html"&gt;</v>
      </c>
      <c r="C195">
        <f>IFERROR(_xlfn.XMATCH(B195,CantoralDB[check]),"NO")</f>
        <v>944</v>
      </c>
    </row>
    <row r="196" spans="1:3" x14ac:dyDescent="0.3">
      <c r="A196" t="s">
        <v>2982</v>
      </c>
      <c r="B196" t="str">
        <f t="shared" si="3"/>
        <v>&lt;a href="canciones/hakuna/lo_imposible.html"&gt;</v>
      </c>
      <c r="C196">
        <f>IFERROR(_xlfn.XMATCH(B196,CantoralDB[check]),"NO")</f>
        <v>955</v>
      </c>
    </row>
    <row r="197" spans="1:3" x14ac:dyDescent="0.3">
      <c r="A197" t="s">
        <v>2983</v>
      </c>
      <c r="B197" t="str">
        <f t="shared" si="3"/>
        <v>&lt;a href="canciones/hakuna/me_sobrepasa.html"&gt;</v>
      </c>
      <c r="C197">
        <f>IFERROR(_xlfn.XMATCH(B197,CantoralDB[check]),"NO")</f>
        <v>1024</v>
      </c>
    </row>
    <row r="198" spans="1:3" x14ac:dyDescent="0.3">
      <c r="A198" t="s">
        <v>2984</v>
      </c>
      <c r="B198" t="str">
        <f t="shared" si="3"/>
        <v>&lt;a href="canciones/hakuna/mi_pobre_loco.html"&gt;</v>
      </c>
      <c r="C198">
        <f>IFERROR(_xlfn.XMATCH(B198,CantoralDB[check]),"NO")</f>
        <v>1041</v>
      </c>
    </row>
    <row r="199" spans="1:3" x14ac:dyDescent="0.3">
      <c r="A199" t="s">
        <v>2985</v>
      </c>
      <c r="B199" t="str">
        <f t="shared" si="3"/>
        <v>&lt;a href="canciones/hakuna/mirada.html"&gt;</v>
      </c>
      <c r="C199">
        <f>IFERROR(_xlfn.XMATCH(B199,CantoralDB[check]),"NO")</f>
        <v>1051</v>
      </c>
    </row>
    <row r="200" spans="1:3" x14ac:dyDescent="0.3">
      <c r="A200" t="s">
        <v>2986</v>
      </c>
      <c r="B200" t="str">
        <f t="shared" si="3"/>
        <v>&lt;a href="canciones/hakuna/nacidos_de_lo_alto.html"&gt;</v>
      </c>
      <c r="C200">
        <f>IFERROR(_xlfn.XMATCH(B200,CantoralDB[check]),"NO")</f>
        <v>1070</v>
      </c>
    </row>
    <row r="201" spans="1:3" x14ac:dyDescent="0.3">
      <c r="A201" t="s">
        <v>2987</v>
      </c>
      <c r="B201" t="str">
        <f t="shared" si="3"/>
        <v>&lt;a href="canciones/hakuna/noche.html"&gt;</v>
      </c>
      <c r="C201">
        <f>IFERROR(_xlfn.XMATCH(B201,CantoralDB[check]),"NO")</f>
        <v>1132</v>
      </c>
    </row>
    <row r="202" spans="1:3" x14ac:dyDescent="0.3">
      <c r="A202" t="s">
        <v>2988</v>
      </c>
      <c r="B202" t="str">
        <f t="shared" si="3"/>
        <v>&lt;a href="canciones/hakuna/nombre_sobre_todo_nombre.html"&gt;</v>
      </c>
      <c r="C202">
        <f>IFERROR(_xlfn.XMATCH(B202,CantoralDB[check]),"NO")</f>
        <v>1139</v>
      </c>
    </row>
    <row r="203" spans="1:3" x14ac:dyDescent="0.3">
      <c r="A203" t="s">
        <v>2989</v>
      </c>
      <c r="B203" t="str">
        <f t="shared" si="3"/>
        <v>&lt;a href="canciones/hakuna/ocupate_tu_de_todo.html"&gt;</v>
      </c>
      <c r="C203">
        <f>IFERROR(_xlfn.XMATCH(B203,CantoralDB[check]),"NO")</f>
        <v>1155</v>
      </c>
    </row>
    <row r="204" spans="1:3" x14ac:dyDescent="0.3">
      <c r="A204" t="s">
        <v>2990</v>
      </c>
      <c r="B204" t="str">
        <f t="shared" si="3"/>
        <v>&lt;a href="canciones/hakuna/ojala.html"&gt;</v>
      </c>
      <c r="C204">
        <f>IFERROR(_xlfn.XMATCH(B204,CantoralDB[check]),"NO")</f>
        <v>1176</v>
      </c>
    </row>
    <row r="205" spans="1:3" x14ac:dyDescent="0.3">
      <c r="A205" t="s">
        <v>2991</v>
      </c>
      <c r="B205" t="str">
        <f t="shared" si="3"/>
        <v>&lt;a href="canciones/hakuna/olor_a_tostadas.html"&gt;</v>
      </c>
      <c r="C205">
        <f>IFERROR(_xlfn.XMATCH(B205,CantoralDB[check]),"NO")</f>
        <v>1178</v>
      </c>
    </row>
    <row r="206" spans="1:3" x14ac:dyDescent="0.3">
      <c r="A206" t="s">
        <v>3007</v>
      </c>
      <c r="B206" t="str">
        <f t="shared" si="3"/>
        <v>&lt;a href="canciones/hakuna/pasion_de_dios.html"&gt;</v>
      </c>
      <c r="C206">
        <f>IFERROR(_xlfn.XMATCH(B206,CantoralDB[check]),"NO")</f>
        <v>1227</v>
      </c>
    </row>
    <row r="207" spans="1:3" x14ac:dyDescent="0.3">
      <c r="A207" t="s">
        <v>2992</v>
      </c>
      <c r="B207" t="str">
        <f t="shared" si="3"/>
        <v>&lt;a href="canciones/hakuna/pasion_i_no_se_que_viste_en_mi.html"&gt;</v>
      </c>
      <c r="C207">
        <f>IFERROR(_xlfn.XMATCH(B207,CantoralDB[check]),"NO")</f>
        <v>1228</v>
      </c>
    </row>
    <row r="208" spans="1:3" x14ac:dyDescent="0.3">
      <c r="A208" t="s">
        <v>2993</v>
      </c>
      <c r="B208" t="str">
        <f t="shared" si="3"/>
        <v>&lt;a href="canciones/hakuna/pasion_ii_mi_peso_en_tus_hombros.html"&gt;</v>
      </c>
      <c r="C208">
        <f>IFERROR(_xlfn.XMATCH(B208,CantoralDB[check]),"NO")</f>
        <v>1229</v>
      </c>
    </row>
    <row r="209" spans="1:3" x14ac:dyDescent="0.3">
      <c r="A209" t="s">
        <v>2994</v>
      </c>
      <c r="B209" t="str">
        <f t="shared" si="3"/>
        <v>&lt;a href="canciones/hakuna/pasion_iii_paraisos_sin_tu_rostro.html"&gt;</v>
      </c>
      <c r="C209">
        <f>IFERROR(_xlfn.XMATCH(B209,CantoralDB[check]),"NO")</f>
        <v>1230</v>
      </c>
    </row>
    <row r="210" spans="1:3" x14ac:dyDescent="0.3">
      <c r="A210" t="s">
        <v>2995</v>
      </c>
      <c r="B210" t="str">
        <f t="shared" si="3"/>
        <v>&lt;a href="canciones/hakuna/pasion_iv_un_dios_debil.html"&gt;</v>
      </c>
      <c r="C210">
        <f>IFERROR(_xlfn.XMATCH(B210,CantoralDB[check]),"NO")</f>
        <v>1231</v>
      </c>
    </row>
    <row r="211" spans="1:3" x14ac:dyDescent="0.3">
      <c r="A211" t="s">
        <v>3000</v>
      </c>
      <c r="B211" t="str">
        <f t="shared" si="3"/>
        <v>&lt;a href="canciones/hakuna/pasion_ix_por_que.html"&gt;</v>
      </c>
      <c r="C211">
        <f>IFERROR(_xlfn.XMATCH(B211,CantoralDB[check]),"NO")</f>
        <v>1232</v>
      </c>
    </row>
    <row r="212" spans="1:3" x14ac:dyDescent="0.3">
      <c r="A212" t="s">
        <v>2996</v>
      </c>
      <c r="B212" t="str">
        <f t="shared" si="3"/>
        <v>&lt;a href="canciones/hakuna/pasion_v_cirineo.html"&gt;</v>
      </c>
      <c r="C212">
        <f>IFERROR(_xlfn.XMATCH(B212,CantoralDB[check]),"NO")</f>
        <v>1233</v>
      </c>
    </row>
    <row r="213" spans="1:3" x14ac:dyDescent="0.3">
      <c r="A213" t="s">
        <v>2997</v>
      </c>
      <c r="B213" t="str">
        <f t="shared" si="3"/>
        <v>&lt;a href="canciones/hakuna/pasion_vi_veronica.html"&gt;</v>
      </c>
      <c r="C213">
        <f>IFERROR(_xlfn.XMATCH(B213,CantoralDB[check]),"NO")</f>
        <v>1234</v>
      </c>
    </row>
    <row r="214" spans="1:3" x14ac:dyDescent="0.3">
      <c r="A214" t="s">
        <v>2998</v>
      </c>
      <c r="B214" t="str">
        <f t="shared" si="3"/>
        <v>&lt;a href="canciones/hakuna/pasion_vii_y_te_caes.html"&gt;</v>
      </c>
      <c r="C214">
        <f>IFERROR(_xlfn.XMATCH(B214,CantoralDB[check]),"NO")</f>
        <v>1235</v>
      </c>
    </row>
    <row r="215" spans="1:3" x14ac:dyDescent="0.3">
      <c r="A215" t="s">
        <v>2999</v>
      </c>
      <c r="B215" t="str">
        <f t="shared" si="3"/>
        <v>&lt;a href="canciones/hakuna/pasion_viii_jerusalen.html"&gt;</v>
      </c>
      <c r="C215">
        <f>IFERROR(_xlfn.XMATCH(B215,CantoralDB[check]),"NO")</f>
        <v>1236</v>
      </c>
    </row>
    <row r="216" spans="1:3" x14ac:dyDescent="0.3">
      <c r="A216" t="s">
        <v>3001</v>
      </c>
      <c r="B216" t="str">
        <f t="shared" si="3"/>
        <v>&lt;a href="canciones/hakuna/pasion_x_despojado.html"&gt;</v>
      </c>
      <c r="C216">
        <f>IFERROR(_xlfn.XMATCH(B216,CantoralDB[check]),"NO")</f>
        <v>1237</v>
      </c>
    </row>
    <row r="217" spans="1:3" x14ac:dyDescent="0.3">
      <c r="A217" t="s">
        <v>3002</v>
      </c>
      <c r="B217" t="str">
        <f t="shared" si="3"/>
        <v>&lt;a href="canciones/hakuna/pasion_xi_la_medida_del_amor.html"&gt;</v>
      </c>
      <c r="C217">
        <f>IFERROR(_xlfn.XMATCH(B217,CantoralDB[check]),"NO")</f>
        <v>1238</v>
      </c>
    </row>
    <row r="218" spans="1:3" x14ac:dyDescent="0.3">
      <c r="A218" t="s">
        <v>3003</v>
      </c>
      <c r="B218" t="str">
        <f t="shared" si="3"/>
        <v>&lt;a href="canciones/hakuna/pasion_xiii_madre.html"&gt;</v>
      </c>
      <c r="C218">
        <f>IFERROR(_xlfn.XMATCH(B218,CantoralDB[check]),"NO")</f>
        <v>1240</v>
      </c>
    </row>
    <row r="219" spans="1:3" x14ac:dyDescent="0.3">
      <c r="A219" t="s">
        <v>3004</v>
      </c>
      <c r="B219" t="str">
        <f t="shared" si="3"/>
        <v>&lt;a href="canciones/hakuna/pasion_xiv_donde_estas_tu.html"&gt;</v>
      </c>
      <c r="C219">
        <f>IFERROR(_xlfn.XMATCH(B219,CantoralDB[check]),"NO")</f>
        <v>1241</v>
      </c>
    </row>
    <row r="220" spans="1:3" x14ac:dyDescent="0.3">
      <c r="A220" t="s">
        <v>3005</v>
      </c>
      <c r="B220" t="str">
        <f t="shared" si="3"/>
        <v>&lt;a href="canciones/hakuna/pasion_xv_soy_libre.html"&gt;</v>
      </c>
      <c r="C220">
        <f>IFERROR(_xlfn.XMATCH(B220,CantoralDB[check]),"NO")</f>
        <v>1242</v>
      </c>
    </row>
    <row r="221" spans="1:3" x14ac:dyDescent="0.3">
      <c r="A221" t="s">
        <v>3006</v>
      </c>
      <c r="B221" t="str">
        <f t="shared" si="3"/>
        <v>&lt;a href="canciones/hakuna/pasion_xvi_por_mi_por_ti.html"&gt;</v>
      </c>
      <c r="C221">
        <f>IFERROR(_xlfn.XMATCH(B221,CantoralDB[check]),"NO")</f>
        <v>1243</v>
      </c>
    </row>
    <row r="222" spans="1:3" x14ac:dyDescent="0.3">
      <c r="A222" t="s">
        <v>3008</v>
      </c>
      <c r="B222" t="str">
        <f t="shared" si="3"/>
        <v>&lt;a href="canciones/hakuna/pluma_de_escribano.html"&gt;</v>
      </c>
      <c r="C222">
        <f>IFERROR(_xlfn.XMATCH(B222,CantoralDB[check]),"NO")</f>
        <v>1267</v>
      </c>
    </row>
    <row r="223" spans="1:3" x14ac:dyDescent="0.3">
      <c r="A223" t="s">
        <v>3009</v>
      </c>
      <c r="B223" t="str">
        <f t="shared" si="3"/>
        <v>&lt;a href="canciones/hakuna/por_que_lloras.html"&gt;</v>
      </c>
      <c r="C223">
        <f>IFERROR(_xlfn.XMATCH(B223,CantoralDB[check]),"NO")</f>
        <v>1276</v>
      </c>
    </row>
    <row r="224" spans="1:3" x14ac:dyDescent="0.3">
      <c r="A224" t="s">
        <v>3010</v>
      </c>
      <c r="B224" t="str">
        <f t="shared" si="3"/>
        <v>&lt;a href="canciones/hakuna/pringados.html"&gt;</v>
      </c>
      <c r="C224">
        <f>IFERROR(_xlfn.XMATCH(B224,CantoralDB[check]),"NO")</f>
        <v>1292</v>
      </c>
    </row>
    <row r="225" spans="1:3" x14ac:dyDescent="0.3">
      <c r="A225" t="s">
        <v>3011</v>
      </c>
      <c r="B225" t="str">
        <f t="shared" si="3"/>
        <v>&lt;a href="canciones/hakuna/que_bien_se_esta_cuando_se_esta_bien.html"&gt;</v>
      </c>
      <c r="C225">
        <f>IFERROR(_xlfn.XMATCH(B225,CantoralDB[check]),"NO")</f>
        <v>1306</v>
      </c>
    </row>
    <row r="226" spans="1:3" x14ac:dyDescent="0.3">
      <c r="A226" t="s">
        <v>3012</v>
      </c>
      <c r="B226" t="str">
        <f t="shared" si="3"/>
        <v>&lt;a href="canciones/hakuna/que_no_se_pierda_ninguno.html"&gt;</v>
      </c>
      <c r="C226">
        <f>IFERROR(_xlfn.XMATCH(B226,CantoralDB[check]),"NO")</f>
        <v>1317</v>
      </c>
    </row>
    <row r="227" spans="1:3" x14ac:dyDescent="0.3">
      <c r="A227" t="s">
        <v>3013</v>
      </c>
      <c r="B227" t="str">
        <f t="shared" si="3"/>
        <v>&lt;a href="canciones/hakuna/quiero_cenar_contigo.html"&gt;</v>
      </c>
      <c r="C227">
        <f>IFERROR(_xlfn.XMATCH(B227,CantoralDB[check]),"NO")</f>
        <v>1356</v>
      </c>
    </row>
    <row r="228" spans="1:3" x14ac:dyDescent="0.3">
      <c r="A228" t="s">
        <v>3014</v>
      </c>
      <c r="B228" t="str">
        <f t="shared" si="3"/>
        <v>&lt;a href="canciones/hakuna/revolucion.html"&gt;</v>
      </c>
      <c r="C228">
        <f>IFERROR(_xlfn.XMATCH(B228,CantoralDB[check]),"NO")</f>
        <v>1375</v>
      </c>
    </row>
    <row r="229" spans="1:3" x14ac:dyDescent="0.3">
      <c r="A229" t="s">
        <v>3015</v>
      </c>
      <c r="B229" t="str">
        <f t="shared" si="3"/>
        <v>&lt;a href="canciones/hakuna/sencillamente.html"&gt;</v>
      </c>
      <c r="C229">
        <f>IFERROR(_xlfn.XMATCH(B229,CantoralDB[check]),"NO")</f>
        <v>1444</v>
      </c>
    </row>
    <row r="230" spans="1:3" x14ac:dyDescent="0.3">
      <c r="A230" t="s">
        <v>3016</v>
      </c>
      <c r="B230" t="str">
        <f t="shared" si="3"/>
        <v>&lt;a href="canciones/hakuna/siempre_imagine.html"&gt;</v>
      </c>
      <c r="C230">
        <f>IFERROR(_xlfn.XMATCH(B230,CantoralDB[check]),"NO")</f>
        <v>1499</v>
      </c>
    </row>
    <row r="231" spans="1:3" x14ac:dyDescent="0.3">
      <c r="A231" t="s">
        <v>3017</v>
      </c>
      <c r="B231" t="str">
        <f t="shared" si="3"/>
        <v>&lt;a href="canciones/hakuna/tan_cerca.html"&gt;</v>
      </c>
      <c r="C231">
        <f>IFERROR(_xlfn.XMATCH(B231,CantoralDB[check]),"NO")</f>
        <v>1542</v>
      </c>
    </row>
    <row r="232" spans="1:3" x14ac:dyDescent="0.3">
      <c r="A232" t="s">
        <v>3018</v>
      </c>
      <c r="B232" t="str">
        <f t="shared" si="3"/>
        <v>&lt;a href="canciones/hakuna/todo.html"&gt;</v>
      </c>
      <c r="C232">
        <f>IFERROR(_xlfn.XMATCH(B232,CantoralDB[check]),"NO")</f>
        <v>1597</v>
      </c>
    </row>
    <row r="233" spans="1:3" x14ac:dyDescent="0.3">
      <c r="A233" t="s">
        <v>3019</v>
      </c>
      <c r="B233" t="str">
        <f t="shared" si="3"/>
        <v>&lt;a href="canciones/hakuna/todos_por_todos.html"&gt;</v>
      </c>
      <c r="C233">
        <f>IFERROR(_xlfn.XMATCH(B233,CantoralDB[check]),"NO")</f>
        <v>1603</v>
      </c>
    </row>
    <row r="234" spans="1:3" x14ac:dyDescent="0.3">
      <c r="A234" t="s">
        <v>2471</v>
      </c>
      <c r="B234" t="str">
        <f t="shared" si="3"/>
        <v>&lt;a href="canciones/hakuna/tomad_comed.html"&gt;</v>
      </c>
      <c r="C234">
        <f>IFERROR(_xlfn.XMATCH(B234,CantoralDB[check]),"NO")</f>
        <v>1608</v>
      </c>
    </row>
    <row r="235" spans="1:3" x14ac:dyDescent="0.3">
      <c r="A235" t="s">
        <v>3020</v>
      </c>
      <c r="B235" t="str">
        <f t="shared" si="3"/>
        <v>&lt;a href="canciones/hakuna/tonto.html"&gt;</v>
      </c>
      <c r="C235">
        <f>IFERROR(_xlfn.XMATCH(B235,CantoralDB[check]),"NO")</f>
        <v>1611</v>
      </c>
    </row>
    <row r="236" spans="1:3" x14ac:dyDescent="0.3">
      <c r="A236" t="s">
        <v>3021</v>
      </c>
      <c r="B236" t="str">
        <f t="shared" si="3"/>
        <v>&lt;a href="canciones/hakuna/tu_misericordia.html"&gt;</v>
      </c>
      <c r="C236">
        <f>IFERROR(_xlfn.XMATCH(B236,CantoralDB[check]),"NO")</f>
        <v>1650</v>
      </c>
    </row>
    <row r="237" spans="1:3" x14ac:dyDescent="0.3">
      <c r="A237" t="s">
        <v>3022</v>
      </c>
      <c r="B237" t="str">
        <f t="shared" si="3"/>
        <v>&lt;a href="canciones/hakuna/tu_rostro.html"&gt;</v>
      </c>
      <c r="C237">
        <f>IFERROR(_xlfn.XMATCH(B237,CantoralDB[check]),"NO")</f>
        <v>1660</v>
      </c>
    </row>
    <row r="238" spans="1:3" x14ac:dyDescent="0.3">
      <c r="A238" t="s">
        <v>3023</v>
      </c>
      <c r="B238" t="str">
        <f t="shared" si="3"/>
        <v>&lt;a href="canciones/hakuna/un_paso_mas.html"&gt;</v>
      </c>
      <c r="C238">
        <f>IFERROR(_xlfn.XMATCH(B238,CantoralDB[check]),"NO")</f>
        <v>1695</v>
      </c>
    </row>
    <row r="239" spans="1:3" x14ac:dyDescent="0.3">
      <c r="A239" t="s">
        <v>3024</v>
      </c>
      <c r="B239" t="str">
        <f t="shared" si="3"/>
        <v>&lt;a href="canciones/hakuna/un_segundo.html"&gt;</v>
      </c>
      <c r="C239">
        <f>IFERROR(_xlfn.XMATCH(B239,CantoralDB[check]),"NO")</f>
        <v>1697</v>
      </c>
    </row>
    <row r="240" spans="1:3" x14ac:dyDescent="0.3">
      <c r="A240" t="s">
        <v>2226</v>
      </c>
      <c r="B240" t="str">
        <f t="shared" si="3"/>
        <v>&lt;a href="canciones/joaquin_madurga/al_ver_jesus.html"&gt;</v>
      </c>
      <c r="C240">
        <f>IFERROR(_xlfn.XMATCH(B240,CantoralDB[check]),"NO")</f>
        <v>76</v>
      </c>
    </row>
    <row r="241" spans="1:3" x14ac:dyDescent="0.3">
      <c r="A241" t="s">
        <v>2237</v>
      </c>
      <c r="B241" t="str">
        <f t="shared" si="3"/>
        <v>&lt;a href="canciones/joaquin_madurga/aleluya_ha_nacido_el_salvador.html"&gt;</v>
      </c>
      <c r="C241">
        <f>IFERROR(_xlfn.XMATCH(B241,CantoralDB[check]),"NO")</f>
        <v>127</v>
      </c>
    </row>
    <row r="242" spans="1:3" x14ac:dyDescent="0.3">
      <c r="A242" t="s">
        <v>2244</v>
      </c>
      <c r="B242" t="str">
        <f t="shared" si="3"/>
        <v>&lt;a href="canciones/joaquin_madurga/andando_por_el_camino.html"&gt;</v>
      </c>
      <c r="C242">
        <f>IFERROR(_xlfn.XMATCH(B242,CantoralDB[check]),"NO")</f>
        <v>168</v>
      </c>
    </row>
    <row r="243" spans="1:3" x14ac:dyDescent="0.3">
      <c r="A243" t="s">
        <v>2264</v>
      </c>
      <c r="B243" t="str">
        <f t="shared" si="3"/>
        <v>&lt;a href="canciones/joaquin_madurga/comiendo_del_mismo_pan.html"&gt;</v>
      </c>
      <c r="C243">
        <f>IFERROR(_xlfn.XMATCH(B243,CantoralDB[check]),"NO")</f>
        <v>302</v>
      </c>
    </row>
    <row r="244" spans="1:3" x14ac:dyDescent="0.3">
      <c r="A244" t="s">
        <v>2290</v>
      </c>
      <c r="B244" t="str">
        <f t="shared" si="3"/>
        <v>&lt;a href="canciones/joaquin_madurga/donde_hay_caridad_y_amor.html"&gt;</v>
      </c>
      <c r="C244">
        <f>IFERROR(_xlfn.XMATCH(B244,CantoralDB[check]),"NO")</f>
        <v>510</v>
      </c>
    </row>
    <row r="245" spans="1:3" x14ac:dyDescent="0.3">
      <c r="A245" t="s">
        <v>2305</v>
      </c>
      <c r="B245" t="str">
        <f t="shared" si="3"/>
        <v>&lt;a href="canciones/joaquin_madurga/el_señor_resucito.html"&gt;</v>
      </c>
      <c r="C245">
        <f>IFERROR(_xlfn.XMATCH(B245,CantoralDB[check]),"NO")</f>
        <v>591</v>
      </c>
    </row>
    <row r="246" spans="1:3" x14ac:dyDescent="0.3">
      <c r="A246" t="s">
        <v>2320</v>
      </c>
      <c r="B246" t="str">
        <f t="shared" si="3"/>
        <v>&lt;a href="canciones/joaquin_madurga/esta_es_tu_fiesta.html"&gt;</v>
      </c>
      <c r="C246">
        <f>IFERROR(_xlfn.XMATCH(B246,CantoralDB[check]),"NO")</f>
        <v>683</v>
      </c>
    </row>
    <row r="247" spans="1:3" x14ac:dyDescent="0.3">
      <c r="A247" t="s">
        <v>2488</v>
      </c>
      <c r="B247" t="str">
        <f t="shared" si="3"/>
        <v>&lt;a href="canciones/joaquin_madurga/unidos_en_la_fiesta.html"&gt;</v>
      </c>
      <c r="C247">
        <f>IFERROR(_xlfn.XMATCH(B247,CantoralDB[check]),"NO")</f>
        <v>1713</v>
      </c>
    </row>
    <row r="248" spans="1:3" x14ac:dyDescent="0.3">
      <c r="A248" t="s">
        <v>2214</v>
      </c>
      <c r="B248" t="str">
        <f t="shared" si="3"/>
        <v>&lt;a href="canciones/juan_antonio_espinosa/a_dios_den_gracias_los_pueblos.html"&gt;</v>
      </c>
      <c r="C248">
        <f>IFERROR(_xlfn.XMATCH(B248,CantoralDB[check]),"NO")</f>
        <v>3</v>
      </c>
    </row>
    <row r="249" spans="1:3" x14ac:dyDescent="0.3">
      <c r="A249" t="s">
        <v>2227</v>
      </c>
      <c r="B249" t="str">
        <f t="shared" si="3"/>
        <v>&lt;a href="canciones/juan_antonio_espinosa/alegre_la_mañana.html"&gt;</v>
      </c>
      <c r="C249">
        <f>IFERROR(_xlfn.XMATCH(B249,CantoralDB[check]),"NO")</f>
        <v>93</v>
      </c>
    </row>
    <row r="250" spans="1:3" x14ac:dyDescent="0.3">
      <c r="A250" t="s">
        <v>2254</v>
      </c>
      <c r="B250" t="str">
        <f t="shared" si="3"/>
        <v>&lt;a href="canciones/juan_antonio_espinosa/caminamos_hacia_el_sol.html"&gt;</v>
      </c>
      <c r="C250">
        <f>IFERROR(_xlfn.XMATCH(B250,CantoralDB[check]),"NO")</f>
        <v>253</v>
      </c>
    </row>
    <row r="251" spans="1:3" x14ac:dyDescent="0.3">
      <c r="A251" t="s">
        <v>2281</v>
      </c>
      <c r="B251" t="str">
        <f t="shared" si="3"/>
        <v>&lt;a href="canciones/juan_antonio_espinosa/danos_un_corazon.html"&gt;</v>
      </c>
      <c r="C251">
        <f>IFERROR(_xlfn.XMATCH(B251,CantoralDB[check]),"NO")</f>
        <v>427</v>
      </c>
    </row>
    <row r="252" spans="1:3" x14ac:dyDescent="0.3">
      <c r="A252" t="s">
        <v>2289</v>
      </c>
      <c r="B252" t="str">
        <f t="shared" si="3"/>
        <v>&lt;a href="canciones/juan_antonio_espinosa/dolorosa.html"&gt;</v>
      </c>
      <c r="C252">
        <f>IFERROR(_xlfn.XMATCH(B252,CantoralDB[check]),"NO")</f>
        <v>503</v>
      </c>
    </row>
    <row r="253" spans="1:3" x14ac:dyDescent="0.3">
      <c r="A253" t="s">
        <v>2310</v>
      </c>
      <c r="B253" t="str">
        <f t="shared" si="3"/>
        <v>&lt;a href="canciones/juan_antonio_espinosa/en_la_comida_que_cristo_nos_da.html"&gt;</v>
      </c>
      <c r="C253">
        <f>IFERROR(_xlfn.XMATCH(B253,CantoralDB[check]),"NO")</f>
        <v>610</v>
      </c>
    </row>
    <row r="254" spans="1:3" x14ac:dyDescent="0.3">
      <c r="A254" t="s">
        <v>2317</v>
      </c>
      <c r="B254" t="str">
        <f t="shared" si="3"/>
        <v>&lt;a href="canciones/juan_antonio_espinosa/errante_voy.html"&gt;</v>
      </c>
      <c r="C254">
        <f>IFERROR(_xlfn.XMATCH(B254,CantoralDB[check]),"NO")</f>
        <v>654</v>
      </c>
    </row>
    <row r="255" spans="1:3" x14ac:dyDescent="0.3">
      <c r="A255" t="s">
        <v>2343</v>
      </c>
      <c r="B255" t="str">
        <f t="shared" si="3"/>
        <v>&lt;a href="canciones/juan_antonio_espinosa/hoy_señor_te_damos_gracias.html"&gt;</v>
      </c>
      <c r="C255">
        <f>IFERROR(_xlfn.XMATCH(B255,CantoralDB[check]),"NO")</f>
        <v>827</v>
      </c>
    </row>
    <row r="256" spans="1:3" x14ac:dyDescent="0.3">
      <c r="A256" t="s">
        <v>2367</v>
      </c>
      <c r="B256" t="str">
        <f t="shared" si="3"/>
        <v>&lt;a href="canciones/juan_antonio_espinosa/madre_de_todos_los_hombres.html"&gt;</v>
      </c>
      <c r="C256">
        <f>IFERROR(_xlfn.XMATCH(B256,CantoralDB[check]),"NO")</f>
        <v>971</v>
      </c>
    </row>
    <row r="257" spans="1:3" x14ac:dyDescent="0.3">
      <c r="A257" t="s">
        <v>2388</v>
      </c>
      <c r="B257" t="str">
        <f t="shared" ref="B257:B320" si="4">_xlfn.TEXTBEFORE(_xlfn.TEXTAFTER(A257,"&gt;"),"&gt;")&amp;"&gt;"</f>
        <v>&lt;a href="canciones/juan_antonio_espinosa/no_podemos_caminar_(hambre_de_dios).html"&gt;</v>
      </c>
      <c r="C257">
        <f>IFERROR(_xlfn.XMATCH(B257,CantoralDB[check]),"NO")</f>
        <v>1108</v>
      </c>
    </row>
    <row r="258" spans="1:3" x14ac:dyDescent="0.3">
      <c r="A258" t="s">
        <v>2406</v>
      </c>
      <c r="B258" t="str">
        <f t="shared" si="4"/>
        <v>&lt;a href="canciones/juan_antonio_espinosa/perdon_señor_perdon.html"&gt;</v>
      </c>
      <c r="C258">
        <f>IFERROR(_xlfn.XMATCH(B258,CantoralDB[check]),"NO")</f>
        <v>1254</v>
      </c>
    </row>
    <row r="259" spans="1:3" x14ac:dyDescent="0.3">
      <c r="A259" t="s">
        <v>2413</v>
      </c>
      <c r="B259" t="str">
        <f t="shared" si="4"/>
        <v>&lt;a href="canciones/juan_antonio_espinosa/por_ti_mi_dios.html"&gt;</v>
      </c>
      <c r="C259">
        <f>IFERROR(_xlfn.XMATCH(B259,CantoralDB[check]),"NO")</f>
        <v>1278</v>
      </c>
    </row>
    <row r="260" spans="1:3" x14ac:dyDescent="0.3">
      <c r="A260" t="s">
        <v>2423</v>
      </c>
      <c r="B260" t="str">
        <f t="shared" si="4"/>
        <v>&lt;a href="canciones/juan_antonio_espinosa/que_ves_en_la_noche.html"&gt;</v>
      </c>
      <c r="C260">
        <f>IFERROR(_xlfn.XMATCH(B260,CantoralDB[check]),"NO")</f>
        <v>1329</v>
      </c>
    </row>
    <row r="261" spans="1:3" x14ac:dyDescent="0.3">
      <c r="A261" t="s">
        <v>2424</v>
      </c>
      <c r="B261" t="str">
        <f t="shared" si="4"/>
        <v>&lt;a href="canciones/juan_antonio_espinosa/quedate_con_nosotros.html"&gt;</v>
      </c>
      <c r="C261">
        <f>IFERROR(_xlfn.XMATCH(B261,CantoralDB[check]),"NO")</f>
        <v>1333</v>
      </c>
    </row>
    <row r="262" spans="1:3" x14ac:dyDescent="0.3">
      <c r="A262" t="s">
        <v>2435</v>
      </c>
      <c r="B262" t="str">
        <f t="shared" si="4"/>
        <v>&lt;a href="canciones/juan_antonio_espinosa/santa_maria_del_camino.html"&gt;</v>
      </c>
      <c r="C262">
        <f>IFERROR(_xlfn.XMATCH(B262,CantoralDB[check]),"NO")</f>
        <v>1397</v>
      </c>
    </row>
    <row r="263" spans="1:3" x14ac:dyDescent="0.3">
      <c r="A263" t="s">
        <v>2452</v>
      </c>
      <c r="B263" t="str">
        <f t="shared" si="4"/>
        <v>&lt;a href="canciones/juan_antonio_espinosa/señor_tu_que_brillas.html"&gt;</v>
      </c>
      <c r="C263">
        <f>IFERROR(_xlfn.XMATCH(B263,CantoralDB[check]),"NO")</f>
        <v>1466</v>
      </c>
    </row>
    <row r="264" spans="1:3" x14ac:dyDescent="0.3">
      <c r="A264" t="s">
        <v>2465</v>
      </c>
      <c r="B264" t="str">
        <f t="shared" si="4"/>
        <v>&lt;a href="canciones/juan_antonio_espinosa/te_damos_gracias_señor.html"&gt;</v>
      </c>
      <c r="C264">
        <f>IFERROR(_xlfn.XMATCH(B264,CantoralDB[check]),"NO")</f>
        <v>1556</v>
      </c>
    </row>
    <row r="265" spans="1:3" x14ac:dyDescent="0.3">
      <c r="A265" t="s">
        <v>3049</v>
      </c>
      <c r="B265" t="str">
        <f t="shared" si="4"/>
        <v>&lt;a href="canciones/nsb/tomado_de_la_mano.html"&gt;</v>
      </c>
      <c r="C265">
        <f>IFERROR(_xlfn.XMATCH(B265,CantoralDB[check]),"NO")</f>
        <v>1609</v>
      </c>
    </row>
    <row r="266" spans="1:3" x14ac:dyDescent="0.3">
      <c r="A266" t="s">
        <v>2474</v>
      </c>
      <c r="B266" t="str">
        <f t="shared" si="4"/>
        <v>&lt;a href="canciones/juan_antonio_espinosa/tu_eres_el_dios_que_nos_salva.html"&gt;</v>
      </c>
      <c r="C266">
        <f>IFERROR(_xlfn.XMATCH(B266,CantoralDB[check]),"NO")</f>
        <v>1628</v>
      </c>
    </row>
    <row r="267" spans="1:3" x14ac:dyDescent="0.3">
      <c r="A267" t="s">
        <v>2476</v>
      </c>
      <c r="B267" t="str">
        <f t="shared" si="4"/>
        <v>&lt;a href="canciones/juan_antonio_espinosa/tu_palabra_me_da_vida.html"&gt;</v>
      </c>
      <c r="C267">
        <f>IFERROR(_xlfn.XMATCH(B267,CantoralDB[check]),"NO")</f>
        <v>1653</v>
      </c>
    </row>
    <row r="268" spans="1:3" x14ac:dyDescent="0.3">
      <c r="A268" t="s">
        <v>2482</v>
      </c>
      <c r="B268" t="str">
        <f t="shared" si="4"/>
        <v>&lt;a href="canciones/juan_antonio_espinosa/una_ciudad_para_todos.html"&gt;</v>
      </c>
      <c r="C268">
        <f>IFERROR(_xlfn.XMATCH(B268,CantoralDB[check]),"NO")</f>
        <v>1701</v>
      </c>
    </row>
    <row r="269" spans="1:3" x14ac:dyDescent="0.3">
      <c r="A269" t="s">
        <v>2487</v>
      </c>
      <c r="B269" t="str">
        <f t="shared" si="4"/>
        <v>&lt;a href="canciones/juan_antonio_espinosa/unidos_a_todos_los_pueblos.html"&gt;</v>
      </c>
      <c r="C269">
        <f>IFERROR(_xlfn.XMATCH(B269,CantoralDB[check]),"NO")</f>
        <v>1712</v>
      </c>
    </row>
    <row r="270" spans="1:3" x14ac:dyDescent="0.3">
      <c r="A270" t="s">
        <v>2490</v>
      </c>
      <c r="B270" t="str">
        <f t="shared" si="4"/>
        <v>&lt;a href="canciones/juan_antonio_espinosa/vamos_cantando_al_señor.html"&gt;</v>
      </c>
      <c r="C270">
        <f>IFERROR(_xlfn.XMATCH(B270,CantoralDB[check]),"NO")</f>
        <v>1724</v>
      </c>
    </row>
    <row r="271" spans="1:3" x14ac:dyDescent="0.3">
      <c r="A271" t="s">
        <v>3050</v>
      </c>
      <c r="B271" t="str">
        <f t="shared" si="4"/>
        <v>&lt;a href="canciones/juan_antonio_espinosa/yo_canto_al_señor_porque_es_grande.html"&gt;</v>
      </c>
      <c r="C271">
        <f>IFERROR(_xlfn.XMATCH(B271,CantoralDB[check]),"NO")</f>
        <v>1828</v>
      </c>
    </row>
    <row r="272" spans="1:3" x14ac:dyDescent="0.3">
      <c r="A272" t="s">
        <v>2215</v>
      </c>
      <c r="B272" t="str">
        <f t="shared" si="4"/>
        <v>&lt;a href="canciones/juanjo_elezkano/a_la_fiesta_del_señor.html"&gt;</v>
      </c>
      <c r="C272">
        <f>IFERROR(_xlfn.XMATCH(B272,CantoralDB[check]),"NO")</f>
        <v>7</v>
      </c>
    </row>
    <row r="273" spans="1:3" x14ac:dyDescent="0.3">
      <c r="A273" t="s">
        <v>2263</v>
      </c>
      <c r="B273" t="str">
        <f t="shared" si="4"/>
        <v>&lt;a href="canciones/juanjo_elezkano/comeremos_de_la_mesa.html"&gt;</v>
      </c>
      <c r="C273">
        <f>IFERROR(_xlfn.XMATCH(B273,CantoralDB[check]),"NO")</f>
        <v>301</v>
      </c>
    </row>
    <row r="274" spans="1:3" x14ac:dyDescent="0.3">
      <c r="A274" t="s">
        <v>2385</v>
      </c>
      <c r="B274" t="str">
        <f t="shared" si="4"/>
        <v>&lt;a href="canciones/juanjo_elezkano/necesitamos_comer_tu_pan.html"&gt;</v>
      </c>
      <c r="C274">
        <f>IFERROR(_xlfn.XMATCH(B274,CantoralDB[check]),"NO")</f>
        <v>1087</v>
      </c>
    </row>
    <row r="275" spans="1:3" x14ac:dyDescent="0.3">
      <c r="A275" t="s">
        <v>2503</v>
      </c>
      <c r="B275" t="str">
        <f t="shared" si="4"/>
        <v>&lt;a href="canciones/juanjo_elezkano/venimos_a_escuchar_tu_voz.html"&gt;</v>
      </c>
      <c r="C275">
        <f>IFERROR(_xlfn.XMATCH(B275,CantoralDB[check]),"NO")</f>
        <v>1786</v>
      </c>
    </row>
    <row r="276" spans="1:3" x14ac:dyDescent="0.3">
      <c r="A276" t="s">
        <v>2696</v>
      </c>
      <c r="B276" t="str">
        <f t="shared" si="4"/>
        <v>&lt;a href="canciones/kairoi/a_las_tres_de_la_tarde.html"&gt;</v>
      </c>
      <c r="C276">
        <f>IFERROR(_xlfn.XMATCH(B276,CantoralDB[check]),"NO")</f>
        <v>9</v>
      </c>
    </row>
    <row r="277" spans="1:3" x14ac:dyDescent="0.3">
      <c r="A277" t="s">
        <v>2697</v>
      </c>
      <c r="B277" t="str">
        <f t="shared" si="4"/>
        <v>&lt;a href="canciones/kairoi/a_tu_lado_señor.html"&gt;</v>
      </c>
      <c r="C277">
        <f>IFERROR(_xlfn.XMATCH(B277,CantoralDB[check]),"NO")</f>
        <v>24</v>
      </c>
    </row>
    <row r="278" spans="1:3" x14ac:dyDescent="0.3">
      <c r="A278" t="s">
        <v>2698</v>
      </c>
      <c r="B278" t="str">
        <f t="shared" si="4"/>
        <v>&lt;a href="canciones/kairoi/acogeme_dios.html"&gt;</v>
      </c>
      <c r="C278">
        <f>IFERROR(_xlfn.XMATCH(B278,CantoralDB[check]),"NO")</f>
        <v>42</v>
      </c>
    </row>
    <row r="279" spans="1:3" x14ac:dyDescent="0.3">
      <c r="A279" t="s">
        <v>2699</v>
      </c>
      <c r="B279" t="str">
        <f t="shared" si="4"/>
        <v>&lt;a href="canciones/kairoi/acuerdate_maria.html"&gt;</v>
      </c>
      <c r="C279">
        <f>IFERROR(_xlfn.XMATCH(B279,CantoralDB[check]),"NO")</f>
        <v>45</v>
      </c>
    </row>
    <row r="280" spans="1:3" x14ac:dyDescent="0.3">
      <c r="A280" t="s">
        <v>2700</v>
      </c>
      <c r="B280" t="str">
        <f t="shared" si="4"/>
        <v>&lt;a href="canciones/kairoi/aleluya.html"&gt;</v>
      </c>
      <c r="C280">
        <f>IFERROR(_xlfn.XMATCH(B280,CantoralDB[check]),"NO")</f>
        <v>101</v>
      </c>
    </row>
    <row r="281" spans="1:3" x14ac:dyDescent="0.3">
      <c r="A281" t="s">
        <v>2229</v>
      </c>
      <c r="B281" t="str">
        <f t="shared" si="4"/>
        <v>&lt;a href="canciones/kairoi/aleluya_(junto_a_ti_jesus).html"&gt;</v>
      </c>
      <c r="C281">
        <f>IFERROR(_xlfn.XMATCH(B281,CantoralDB[check]),"NO")</f>
        <v>103</v>
      </c>
    </row>
    <row r="282" spans="1:3" x14ac:dyDescent="0.3">
      <c r="A282" t="s">
        <v>2701</v>
      </c>
      <c r="B282" t="str">
        <f t="shared" si="4"/>
        <v>&lt;a href="canciones/kairoi/alli_estas_tu.html"&gt;</v>
      </c>
      <c r="C282">
        <f>IFERROR(_xlfn.XMATCH(B282,CantoralDB[check]),"NO")</f>
        <v>151</v>
      </c>
    </row>
    <row r="283" spans="1:3" x14ac:dyDescent="0.3">
      <c r="A283" t="s">
        <v>2243</v>
      </c>
      <c r="B283" t="str">
        <f t="shared" si="4"/>
        <v>&lt;a href="canciones/kairoi/amaos_(como_el_padre_me_amo).html"&gt;</v>
      </c>
      <c r="C283">
        <f>IFERROR(_xlfn.XMATCH(B283,CantoralDB[check]),"NO")</f>
        <v>160</v>
      </c>
    </row>
    <row r="284" spans="1:3" x14ac:dyDescent="0.3">
      <c r="A284" t="s">
        <v>2702</v>
      </c>
      <c r="B284" t="str">
        <f t="shared" si="4"/>
        <v>&lt;a href="canciones/kairoi/angelus.html"&gt;</v>
      </c>
      <c r="C284">
        <f>IFERROR(_xlfn.XMATCH(B284,CantoralDB[check]),"NO")</f>
        <v>171</v>
      </c>
    </row>
    <row r="285" spans="1:3" x14ac:dyDescent="0.3">
      <c r="A285" t="s">
        <v>2703</v>
      </c>
      <c r="B285" t="str">
        <f t="shared" si="4"/>
        <v>&lt;a href="canciones/kairoi/arcilla_entre_sus_manos.html"&gt;</v>
      </c>
      <c r="C285">
        <f>IFERROR(_xlfn.XMATCH(B285,CantoralDB[check]),"NO")</f>
        <v>189</v>
      </c>
    </row>
    <row r="286" spans="1:3" x14ac:dyDescent="0.3">
      <c r="A286" t="s">
        <v>2704</v>
      </c>
      <c r="B286" t="str">
        <f t="shared" si="4"/>
        <v>&lt;a href="canciones/kairoi/ave_maria.html"&gt;</v>
      </c>
      <c r="C286">
        <f>IFERROR(_xlfn.XMATCH(B286,CantoralDB[check]),"NO")</f>
        <v>199</v>
      </c>
    </row>
    <row r="287" spans="1:3" x14ac:dyDescent="0.3">
      <c r="A287" t="s">
        <v>2252</v>
      </c>
      <c r="B287" t="str">
        <f t="shared" si="4"/>
        <v>&lt;a href="canciones/kairoi/bienaventuranzas_(kairoi).html"&gt;</v>
      </c>
      <c r="C287">
        <f>IFERROR(_xlfn.XMATCH(B287,CantoralDB[check]),"NO")</f>
        <v>235</v>
      </c>
    </row>
    <row r="288" spans="1:3" x14ac:dyDescent="0.3">
      <c r="A288" t="s">
        <v>2705</v>
      </c>
      <c r="B288" t="str">
        <f t="shared" si="4"/>
        <v>&lt;a href="canciones/kairoi/buena_madre.html"&gt;</v>
      </c>
      <c r="C288">
        <f>IFERROR(_xlfn.XMATCH(B288,CantoralDB[check]),"NO")</f>
        <v>248</v>
      </c>
    </row>
    <row r="289" spans="1:3" x14ac:dyDescent="0.3">
      <c r="A289" t="s">
        <v>2706</v>
      </c>
      <c r="B289" t="str">
        <f t="shared" si="4"/>
        <v>&lt;a href="canciones/kairoi/caminad.html"&gt;</v>
      </c>
      <c r="C289">
        <f>IFERROR(_xlfn.XMATCH(B289,CantoralDB[check]),"NO")</f>
        <v>252</v>
      </c>
    </row>
    <row r="290" spans="1:3" x14ac:dyDescent="0.3">
      <c r="A290" t="s">
        <v>2707</v>
      </c>
      <c r="B290" t="str">
        <f t="shared" si="4"/>
        <v>&lt;a href="canciones/kairoi/canta_jerusalen.html"&gt;</v>
      </c>
      <c r="C290">
        <f>IFERROR(_xlfn.XMATCH(B290,CantoralDB[check]),"NO")</f>
        <v>267</v>
      </c>
    </row>
    <row r="291" spans="1:3" x14ac:dyDescent="0.3">
      <c r="A291" t="s">
        <v>2708</v>
      </c>
      <c r="B291" t="str">
        <f t="shared" si="4"/>
        <v>&lt;a href="canciones/kairoi/cantico_de_las_criaturas.html"&gt;</v>
      </c>
      <c r="C291">
        <f>IFERROR(_xlfn.XMATCH(B291,CantoralDB[check]),"NO")</f>
        <v>281</v>
      </c>
    </row>
    <row r="292" spans="1:3" x14ac:dyDescent="0.3">
      <c r="A292" t="s">
        <v>2709</v>
      </c>
      <c r="B292" t="str">
        <f t="shared" si="4"/>
        <v>&lt;a href="canciones/kairoi/canto_de_maria.html"&gt;</v>
      </c>
      <c r="C292">
        <f>IFERROR(_xlfn.XMATCH(B292,CantoralDB[check]),"NO")</f>
        <v>285</v>
      </c>
    </row>
    <row r="293" spans="1:3" x14ac:dyDescent="0.3">
      <c r="A293" t="s">
        <v>2710</v>
      </c>
      <c r="B293" t="str">
        <f t="shared" si="4"/>
        <v>&lt;a href="canciones/kairoi/como_maria.html"&gt;</v>
      </c>
      <c r="C293">
        <f>IFERROR(_xlfn.XMATCH(B293,CantoralDB[check]),"NO")</f>
        <v>313</v>
      </c>
    </row>
    <row r="294" spans="1:3" x14ac:dyDescent="0.3">
      <c r="A294" t="s">
        <v>2711</v>
      </c>
      <c r="B294" t="str">
        <f t="shared" si="4"/>
        <v>&lt;a href="canciones/kairoi/con_sencillo_corazon.html"&gt;</v>
      </c>
      <c r="C294">
        <f>IFERROR(_xlfn.XMATCH(B294,CantoralDB[check]),"NO")</f>
        <v>331</v>
      </c>
    </row>
    <row r="295" spans="1:3" x14ac:dyDescent="0.3">
      <c r="A295" t="s">
        <v>2712</v>
      </c>
      <c r="B295" t="str">
        <f t="shared" si="4"/>
        <v>&lt;a href="canciones/kairoi/confianza_en_dios.html"&gt;</v>
      </c>
      <c r="C295">
        <f>IFERROR(_xlfn.XMATCH(B295,CantoralDB[check]),"NO")</f>
        <v>340</v>
      </c>
    </row>
    <row r="296" spans="1:3" x14ac:dyDescent="0.3">
      <c r="A296" t="s">
        <v>2713</v>
      </c>
      <c r="B296" t="str">
        <f t="shared" si="4"/>
        <v>&lt;a href="canciones/kairoi/construyenos_la_casa.html"&gt;</v>
      </c>
      <c r="C296">
        <f>IFERROR(_xlfn.XMATCH(B296,CantoralDB[check]),"NO")</f>
        <v>344</v>
      </c>
    </row>
    <row r="297" spans="1:3" x14ac:dyDescent="0.3">
      <c r="A297" t="s">
        <v>2714</v>
      </c>
      <c r="B297" t="str">
        <f t="shared" si="4"/>
        <v>&lt;a href="canciones/kairoi/conviviendo_en_armonia.html"&gt;</v>
      </c>
      <c r="C297">
        <f>IFERROR(_xlfn.XMATCH(B297,CantoralDB[check]),"NO")</f>
        <v>350</v>
      </c>
    </row>
    <row r="298" spans="1:3" x14ac:dyDescent="0.3">
      <c r="A298" t="s">
        <v>2715</v>
      </c>
      <c r="B298" t="str">
        <f t="shared" si="4"/>
        <v>&lt;a href="canciones/kairoi/corto_la_roca.html"&gt;</v>
      </c>
      <c r="C298">
        <f>IFERROR(_xlfn.XMATCH(B298,CantoralDB[check]),"NO")</f>
        <v>364</v>
      </c>
    </row>
    <row r="299" spans="1:3" x14ac:dyDescent="0.3">
      <c r="A299" t="s">
        <v>2716</v>
      </c>
      <c r="B299" t="str">
        <f t="shared" si="4"/>
        <v>&lt;a href="canciones/kairoi/credo.html"&gt;</v>
      </c>
      <c r="C299">
        <f>IFERROR(_xlfn.XMATCH(B299,CantoralDB[check]),"NO")</f>
        <v>366</v>
      </c>
    </row>
    <row r="300" spans="1:3" x14ac:dyDescent="0.3">
      <c r="A300" t="s">
        <v>2717</v>
      </c>
      <c r="B300" t="str">
        <f t="shared" si="4"/>
        <v>&lt;a href="canciones/kairoi/creo_en_ti.html"&gt;</v>
      </c>
      <c r="C300">
        <f>IFERROR(_xlfn.XMATCH(B300,CantoralDB[check]),"NO")</f>
        <v>370</v>
      </c>
    </row>
    <row r="301" spans="1:3" x14ac:dyDescent="0.3">
      <c r="A301" t="s">
        <v>2718</v>
      </c>
      <c r="B301" t="str">
        <f t="shared" si="4"/>
        <v>&lt;a href="canciones/kairoi/cristo.html"&gt;</v>
      </c>
      <c r="C301">
        <f>IFERROR(_xlfn.XMATCH(B301,CantoralDB[check]),"NO")</f>
        <v>375</v>
      </c>
    </row>
    <row r="302" spans="1:3" x14ac:dyDescent="0.3">
      <c r="A302" t="s">
        <v>2719</v>
      </c>
      <c r="B302" t="str">
        <f t="shared" si="4"/>
        <v>&lt;a href="canciones/kairoi/cristo_señor.html"&gt;</v>
      </c>
      <c r="C302">
        <f>IFERROR(_xlfn.XMATCH(B302,CantoralDB[check]),"NO")</f>
        <v>393</v>
      </c>
    </row>
    <row r="303" spans="1:3" x14ac:dyDescent="0.3">
      <c r="A303" t="s">
        <v>2720</v>
      </c>
      <c r="B303" t="str">
        <f t="shared" si="4"/>
        <v>&lt;a href="canciones/kairoi/danos_tu_espiritu.html"&gt;</v>
      </c>
      <c r="C303">
        <f>IFERROR(_xlfn.XMATCH(B303,CantoralDB[check]),"NO")</f>
        <v>426</v>
      </c>
    </row>
    <row r="304" spans="1:3" x14ac:dyDescent="0.3">
      <c r="A304" t="s">
        <v>2721</v>
      </c>
      <c r="B304" t="str">
        <f t="shared" si="4"/>
        <v>&lt;a href="canciones/kairoi/de_lo_debil_saca_fuerzas_dios.html"&gt;</v>
      </c>
      <c r="C304">
        <f>IFERROR(_xlfn.XMATCH(B304,CantoralDB[check]),"NO")</f>
        <v>435</v>
      </c>
    </row>
    <row r="305" spans="1:3" x14ac:dyDescent="0.3">
      <c r="A305" t="s">
        <v>2722</v>
      </c>
      <c r="B305" t="str">
        <f t="shared" si="4"/>
        <v>&lt;a href="canciones/kairoi/deja_que_en_tu_vida_cante_el.html"&gt;</v>
      </c>
      <c r="C305">
        <f>IFERROR(_xlfn.XMATCH(B305,CantoralDB[check]),"NO")</f>
        <v>445</v>
      </c>
    </row>
    <row r="306" spans="1:3" x14ac:dyDescent="0.3">
      <c r="A306" t="s">
        <v>2723</v>
      </c>
      <c r="B306" t="str">
        <f t="shared" si="4"/>
        <v>&lt;a href="canciones/kairoi/dios_de_la_vida.html"&gt;</v>
      </c>
      <c r="C306">
        <f>IFERROR(_xlfn.XMATCH(B306,CantoralDB[check]),"NO")</f>
        <v>478</v>
      </c>
    </row>
    <row r="307" spans="1:3" x14ac:dyDescent="0.3">
      <c r="A307" t="s">
        <v>2724</v>
      </c>
      <c r="B307" t="str">
        <f t="shared" si="4"/>
        <v>&lt;a href="canciones/kairoi/dios_en_la_ciudad.html"&gt;</v>
      </c>
      <c r="C307">
        <f>IFERROR(_xlfn.XMATCH(B307,CantoralDB[check]),"NO")</f>
        <v>480</v>
      </c>
    </row>
    <row r="308" spans="1:3" x14ac:dyDescent="0.3">
      <c r="A308" t="s">
        <v>2725</v>
      </c>
      <c r="B308" t="str">
        <f t="shared" si="4"/>
        <v>&lt;a href="canciones/kairoi/el_agua_del_señor.html"&gt;</v>
      </c>
      <c r="C308">
        <f>IFERROR(_xlfn.XMATCH(B308,CantoralDB[check]),"NO")</f>
        <v>519</v>
      </c>
    </row>
    <row r="309" spans="1:3" x14ac:dyDescent="0.3">
      <c r="A309" t="s">
        <v>2292</v>
      </c>
      <c r="B309" t="str">
        <f t="shared" si="4"/>
        <v>&lt;a href="canciones/kairoi/el_amor_es_nuestro_canto.html"&gt;</v>
      </c>
      <c r="C309">
        <f>IFERROR(_xlfn.XMATCH(B309,CantoralDB[check]),"NO")</f>
        <v>527</v>
      </c>
    </row>
    <row r="310" spans="1:3" x14ac:dyDescent="0.3">
      <c r="A310" t="s">
        <v>2726</v>
      </c>
      <c r="B310" t="str">
        <f t="shared" si="4"/>
        <v>&lt;a href="canciones/kairoi/el_don_de_la_fraternidad.html"&gt;</v>
      </c>
      <c r="C310">
        <f>IFERROR(_xlfn.XMATCH(B310,CantoralDB[check]),"NO")</f>
        <v>545</v>
      </c>
    </row>
    <row r="311" spans="1:3" x14ac:dyDescent="0.3">
      <c r="A311" t="s">
        <v>2727</v>
      </c>
      <c r="B311" t="str">
        <f t="shared" si="4"/>
        <v>&lt;a href="canciones/kairoi/el_señor_es_la_esperanza.html"&gt;</v>
      </c>
      <c r="C311">
        <f>IFERROR(_xlfn.XMATCH(B311,CantoralDB[check]),"NO")</f>
        <v>572</v>
      </c>
    </row>
    <row r="312" spans="1:3" x14ac:dyDescent="0.3">
      <c r="A312" t="s">
        <v>2728</v>
      </c>
      <c r="B312" t="str">
        <f t="shared" si="4"/>
        <v>&lt;a href="canciones/kairoi/el_señor_esta_aqui.html"&gt;</v>
      </c>
      <c r="C312">
        <f>IFERROR(_xlfn.XMATCH(B312,CantoralDB[check]),"NO")</f>
        <v>583</v>
      </c>
    </row>
    <row r="313" spans="1:3" x14ac:dyDescent="0.3">
      <c r="A313" t="s">
        <v>2303</v>
      </c>
      <c r="B313" t="str">
        <f t="shared" si="4"/>
        <v>&lt;a href="canciones/kairoi/el_señor_nos_ha_reunido.html"&gt;</v>
      </c>
      <c r="C313">
        <f>IFERROR(_xlfn.XMATCH(B313,CantoralDB[check]),"NO")</f>
        <v>588</v>
      </c>
    </row>
    <row r="314" spans="1:3" x14ac:dyDescent="0.3">
      <c r="A314" t="s">
        <v>2304</v>
      </c>
      <c r="B314" t="str">
        <f t="shared" si="4"/>
        <v>&lt;a href="canciones/kairoi/el_señor_os_dara_su_espiritu_santo.html"&gt;</v>
      </c>
      <c r="C314">
        <f>IFERROR(_xlfn.XMATCH(B314,CantoralDB[check]),"NO")</f>
        <v>589</v>
      </c>
    </row>
    <row r="315" spans="1:3" x14ac:dyDescent="0.3">
      <c r="A315" t="s">
        <v>2729</v>
      </c>
      <c r="B315" t="str">
        <f t="shared" si="4"/>
        <v>&lt;a href="canciones/kairoi/en_comunidad.html"&gt;</v>
      </c>
      <c r="C315">
        <f>IFERROR(_xlfn.XMATCH(B315,CantoralDB[check]),"NO")</f>
        <v>603</v>
      </c>
    </row>
    <row r="316" spans="1:3" x14ac:dyDescent="0.3">
      <c r="A316" t="s">
        <v>2730</v>
      </c>
      <c r="B316" t="str">
        <f t="shared" si="4"/>
        <v>&lt;a href="canciones/kairoi/en_la_cruz_nos_das_la_vida.html"&gt;</v>
      </c>
      <c r="C316">
        <f>IFERROR(_xlfn.XMATCH(B316,CantoralDB[check]),"NO")</f>
        <v>611</v>
      </c>
    </row>
    <row r="317" spans="1:3" x14ac:dyDescent="0.3">
      <c r="A317" t="s">
        <v>2731</v>
      </c>
      <c r="B317" t="str">
        <f t="shared" si="4"/>
        <v>&lt;a href="canciones/kairoi/en_la_esperanza_madre.html"&gt;</v>
      </c>
      <c r="C317">
        <f>IFERROR(_xlfn.XMATCH(B317,CantoralDB[check]),"NO")</f>
        <v>612</v>
      </c>
    </row>
    <row r="318" spans="1:3" x14ac:dyDescent="0.3">
      <c r="A318" t="s">
        <v>2732</v>
      </c>
      <c r="B318" t="str">
        <f t="shared" si="4"/>
        <v>&lt;a href="canciones/kairoi/en_ti_solo_descanso.html"&gt;</v>
      </c>
      <c r="C318">
        <f>IFERROR(_xlfn.XMATCH(B318,CantoralDB[check]),"NO")</f>
        <v>631</v>
      </c>
    </row>
    <row r="319" spans="1:3" x14ac:dyDescent="0.3">
      <c r="A319" t="s">
        <v>2733</v>
      </c>
      <c r="B319" t="str">
        <f t="shared" si="4"/>
        <v>&lt;a href="canciones/kairoi/en_torno_al_pan.html"&gt;</v>
      </c>
      <c r="C319">
        <f>IFERROR(_xlfn.XMATCH(B319,CantoralDB[check]),"NO")</f>
        <v>632</v>
      </c>
    </row>
    <row r="320" spans="1:3" x14ac:dyDescent="0.3">
      <c r="A320" t="s">
        <v>2734</v>
      </c>
      <c r="B320" t="str">
        <f t="shared" si="4"/>
        <v>&lt;a href="canciones/kairoi/en_tu_cruz_sigues_hoy.html"&gt;</v>
      </c>
      <c r="C320">
        <f>IFERROR(_xlfn.XMATCH(B320,CantoralDB[check]),"NO")</f>
        <v>633</v>
      </c>
    </row>
    <row r="321" spans="1:3" x14ac:dyDescent="0.3">
      <c r="A321" t="s">
        <v>2735</v>
      </c>
      <c r="B321" t="str">
        <f t="shared" ref="B321:B384" si="5">_xlfn.TEXTBEFORE(_xlfn.TEXTAFTER(A321,"&gt;"),"&gt;")&amp;"&gt;"</f>
        <v>&lt;a href="canciones/kairoi/enseñanos_a_orar.html"&gt;</v>
      </c>
      <c r="C321">
        <f>IFERROR(_xlfn.XMATCH(B321,CantoralDB[check]),"NO")</f>
        <v>640</v>
      </c>
    </row>
    <row r="322" spans="1:3" x14ac:dyDescent="0.3">
      <c r="A322" t="s">
        <v>2315</v>
      </c>
      <c r="B322" t="str">
        <f t="shared" si="5"/>
        <v>&lt;a href="canciones/kairoi/eres_el_fuego_el_amor.html"&gt;</v>
      </c>
      <c r="C322">
        <f>IFERROR(_xlfn.XMATCH(B322,CantoralDB[check]),"NO")</f>
        <v>649</v>
      </c>
    </row>
    <row r="323" spans="1:3" x14ac:dyDescent="0.3">
      <c r="A323" t="s">
        <v>2736</v>
      </c>
      <c r="B323" t="str">
        <f t="shared" si="5"/>
        <v>&lt;a href="canciones/kairoi/escucha_maria.html"&gt;</v>
      </c>
      <c r="C323">
        <f>IFERROR(_xlfn.XMATCH(B323,CantoralDB[check]),"NO")</f>
        <v>663</v>
      </c>
    </row>
    <row r="324" spans="1:3" x14ac:dyDescent="0.3">
      <c r="A324" t="s">
        <v>2737</v>
      </c>
      <c r="B324" t="str">
        <f t="shared" si="5"/>
        <v>&lt;a href="canciones/kairoi/esperad_al_señor.html"&gt;</v>
      </c>
      <c r="C324">
        <f>IFERROR(_xlfn.XMATCH(B324,CantoralDB[check]),"NO")</f>
        <v>673</v>
      </c>
    </row>
    <row r="325" spans="1:3" x14ac:dyDescent="0.3">
      <c r="A325" t="s">
        <v>2738</v>
      </c>
      <c r="B325" t="str">
        <f t="shared" si="5"/>
        <v>&lt;a href="canciones/kairoi/esperando_con_maria.html"&gt;</v>
      </c>
      <c r="C325">
        <f>IFERROR(_xlfn.XMATCH(B325,CantoralDB[check]),"NO")</f>
        <v>674</v>
      </c>
    </row>
    <row r="326" spans="1:3" x14ac:dyDescent="0.3">
      <c r="A326" t="s">
        <v>2739</v>
      </c>
      <c r="B326" t="str">
        <f t="shared" si="5"/>
        <v>&lt;a href="canciones/kairoi/estoy_creyendo_en_ti_(credo).html"&gt;</v>
      </c>
      <c r="C326">
        <f>IFERROR(_xlfn.XMATCH(B326,CantoralDB[check]),"NO")</f>
        <v>699</v>
      </c>
    </row>
    <row r="327" spans="1:3" x14ac:dyDescent="0.3">
      <c r="A327" t="s">
        <v>2740</v>
      </c>
      <c r="B327" t="str">
        <f t="shared" si="5"/>
        <v>&lt;a href="canciones/kairoi/fraternidad.html"&gt;</v>
      </c>
      <c r="C327">
        <f>IFERROR(_xlfn.XMATCH(B327,CantoralDB[check]),"NO")</f>
        <v>717</v>
      </c>
    </row>
    <row r="328" spans="1:3" x14ac:dyDescent="0.3">
      <c r="A328" t="s">
        <v>2742</v>
      </c>
      <c r="B328" t="str">
        <f t="shared" si="5"/>
        <v>&lt;a href="canciones/kairoi/gloria.html"&gt;</v>
      </c>
      <c r="C328">
        <f>IFERROR(_xlfn.XMATCH(B328,CantoralDB[check]),"NO")</f>
        <v>726</v>
      </c>
    </row>
    <row r="329" spans="1:3" x14ac:dyDescent="0.3">
      <c r="A329" t="s">
        <v>2741</v>
      </c>
      <c r="B329" t="str">
        <f t="shared" si="5"/>
        <v>&lt;a href="canciones/kairoi/gloria_(por_maria).html"&gt;</v>
      </c>
      <c r="C329">
        <f>IFERROR(_xlfn.XMATCH(B329,CantoralDB[check]),"NO")</f>
        <v>730</v>
      </c>
    </row>
    <row r="330" spans="1:3" x14ac:dyDescent="0.3">
      <c r="A330" t="s">
        <v>2325</v>
      </c>
      <c r="B330" t="str">
        <f t="shared" si="5"/>
        <v>&lt;a href="canciones/kairoi/gloria_a_dios_(no_se_como_alabarte).html"&gt;</v>
      </c>
      <c r="C330">
        <f>IFERROR(_xlfn.XMATCH(B330,CantoralDB[check]),"NO")</f>
        <v>732</v>
      </c>
    </row>
    <row r="331" spans="1:3" x14ac:dyDescent="0.3">
      <c r="A331" t="s">
        <v>2743</v>
      </c>
      <c r="B331" t="str">
        <f t="shared" si="5"/>
        <v>&lt;a href="canciones/kairoi/gracias_madre.html"&gt;</v>
      </c>
      <c r="C331">
        <f>IFERROR(_xlfn.XMATCH(B331,CantoralDB[check]),"NO")</f>
        <v>747</v>
      </c>
    </row>
    <row r="332" spans="1:3" x14ac:dyDescent="0.3">
      <c r="A332" t="s">
        <v>2744</v>
      </c>
      <c r="B332" t="str">
        <f t="shared" si="5"/>
        <v>&lt;a href="canciones/kairoi/gracias_por_tu_don.html"&gt;</v>
      </c>
      <c r="C332">
        <f>IFERROR(_xlfn.XMATCH(B332,CantoralDB[check]),"NO")</f>
        <v>749</v>
      </c>
    </row>
    <row r="333" spans="1:3" x14ac:dyDescent="0.3">
      <c r="A333" t="s">
        <v>2745</v>
      </c>
      <c r="B333" t="str">
        <f t="shared" si="5"/>
        <v>&lt;a href="canciones/kairoi/grito_libertad.html"&gt;</v>
      </c>
      <c r="C333">
        <f>IFERROR(_xlfn.XMATCH(B333,CantoralDB[check]),"NO")</f>
        <v>757</v>
      </c>
    </row>
    <row r="334" spans="1:3" x14ac:dyDescent="0.3">
      <c r="A334" t="s">
        <v>2333</v>
      </c>
      <c r="B334" t="str">
        <f t="shared" si="5"/>
        <v>&lt;a href="canciones/kairoi/hablame.html"&gt;</v>
      </c>
      <c r="C334">
        <f>IFERROR(_xlfn.XMATCH(B334,CantoralDB[check]),"NO")</f>
        <v>762</v>
      </c>
    </row>
    <row r="335" spans="1:3" x14ac:dyDescent="0.3">
      <c r="A335" t="s">
        <v>2746</v>
      </c>
      <c r="B335" t="str">
        <f t="shared" si="5"/>
        <v>&lt;a href="canciones/kairoi/haced_lo_que_el_os_diga.html"&gt;</v>
      </c>
      <c r="C335">
        <f>IFERROR(_xlfn.XMATCH(B335,CantoralDB[check]),"NO")</f>
        <v>764</v>
      </c>
    </row>
    <row r="336" spans="1:3" x14ac:dyDescent="0.3">
      <c r="A336" t="s">
        <v>2748</v>
      </c>
      <c r="B336" t="str">
        <f t="shared" si="5"/>
        <v>&lt;a href="canciones/kairoi/hermano_adios.html"&gt;</v>
      </c>
      <c r="C336">
        <f>IFERROR(_xlfn.XMATCH(B336,CantoralDB[check]),"NO")</f>
        <v>797</v>
      </c>
    </row>
    <row r="337" spans="1:3" x14ac:dyDescent="0.3">
      <c r="A337" t="s">
        <v>2747</v>
      </c>
      <c r="B337" t="str">
        <f t="shared" si="5"/>
        <v>&lt;a href="canciones/kairoi/hermano_entre_los_hombres.html"&gt;</v>
      </c>
      <c r="C337">
        <f>IFERROR(_xlfn.XMATCH(B337,CantoralDB[check]),"NO")</f>
        <v>796</v>
      </c>
    </row>
    <row r="338" spans="1:3" x14ac:dyDescent="0.3">
      <c r="A338" t="s">
        <v>2749</v>
      </c>
      <c r="B338" t="str">
        <f t="shared" si="5"/>
        <v>&lt;a href="canciones/kairoi/himno_a_dios.html"&gt;</v>
      </c>
      <c r="C338">
        <f>IFERROR(_xlfn.XMATCH(B338,CantoralDB[check]),"NO")</f>
        <v>806</v>
      </c>
    </row>
    <row r="339" spans="1:3" x14ac:dyDescent="0.3">
      <c r="A339" t="s">
        <v>2752</v>
      </c>
      <c r="B339" t="str">
        <f t="shared" si="5"/>
        <v>&lt;a href="canciones/kairoi/jesus_cambianos.html"&gt;</v>
      </c>
      <c r="C339">
        <f>IFERROR(_xlfn.XMATCH(B339,CantoralDB[check]),"NO")</f>
        <v>860</v>
      </c>
    </row>
    <row r="340" spans="1:3" x14ac:dyDescent="0.3">
      <c r="A340" t="s">
        <v>2348</v>
      </c>
      <c r="B340" t="str">
        <f t="shared" si="5"/>
        <v>&lt;a href="canciones/kairoi/jesus_es_señor.html"&gt;</v>
      </c>
      <c r="C340">
        <f>IFERROR(_xlfn.XMATCH(B340,CantoralDB[check]),"NO")</f>
        <v>849</v>
      </c>
    </row>
    <row r="341" spans="1:3" x14ac:dyDescent="0.3">
      <c r="A341" t="s">
        <v>2750</v>
      </c>
      <c r="B341" t="str">
        <f t="shared" si="5"/>
        <v>&lt;a href="canciones/kairoi/jesus_es_verdad.html"&gt;</v>
      </c>
      <c r="C341">
        <f>IFERROR(_xlfn.XMATCH(B341,CantoralDB[check]),"NO")</f>
        <v>850</v>
      </c>
    </row>
    <row r="342" spans="1:3" x14ac:dyDescent="0.3">
      <c r="A342" t="s">
        <v>2349</v>
      </c>
      <c r="B342" t="str">
        <f t="shared" si="5"/>
        <v>&lt;a href="canciones/kairoi/jesus_esta_entre_nosotros.html"&gt;</v>
      </c>
      <c r="C342">
        <f>IFERROR(_xlfn.XMATCH(B342,CantoralDB[check]),"NO")</f>
        <v>852</v>
      </c>
    </row>
    <row r="343" spans="1:3" x14ac:dyDescent="0.3">
      <c r="A343" t="s">
        <v>2751</v>
      </c>
      <c r="B343" t="str">
        <f t="shared" si="5"/>
        <v>&lt;a href="canciones/kairoi/jesus_te_ama.html"&gt;</v>
      </c>
      <c r="C343">
        <f>IFERROR(_xlfn.XMATCH(B343,CantoralDB[check]),"NO")</f>
        <v>855</v>
      </c>
    </row>
    <row r="344" spans="1:3" x14ac:dyDescent="0.3">
      <c r="A344" t="s">
        <v>2358</v>
      </c>
      <c r="B344" t="str">
        <f t="shared" si="5"/>
        <v>&lt;a href="canciones/kairoi/la_bondad_y_el_amor_del_señor.html"&gt;</v>
      </c>
      <c r="C344">
        <f>IFERROR(_xlfn.XMATCH(B344,CantoralDB[check]),"NO")</f>
        <v>896</v>
      </c>
    </row>
    <row r="345" spans="1:3" x14ac:dyDescent="0.3">
      <c r="A345" t="s">
        <v>2753</v>
      </c>
      <c r="B345" t="str">
        <f t="shared" si="5"/>
        <v>&lt;a href="canciones/kairoi/la_libertad_del_espiritu.html"&gt;</v>
      </c>
      <c r="C345">
        <f>IFERROR(_xlfn.XMATCH(B345,CantoralDB[check]),"NO")</f>
        <v>900</v>
      </c>
    </row>
    <row r="346" spans="1:3" x14ac:dyDescent="0.3">
      <c r="A346" t="s">
        <v>2754</v>
      </c>
      <c r="B346" t="str">
        <f t="shared" si="5"/>
        <v>&lt;a href="canciones/kairoi/llama_de_vida.html"&gt;</v>
      </c>
      <c r="C346">
        <f>IFERROR(_xlfn.XMATCH(B346,CantoralDB[check]),"NO")</f>
        <v>947</v>
      </c>
    </row>
    <row r="347" spans="1:3" x14ac:dyDescent="0.3">
      <c r="A347" t="s">
        <v>2755</v>
      </c>
      <c r="B347" t="str">
        <f t="shared" si="5"/>
        <v>&lt;a href="canciones/kairoi/lo_entregaron_todo.html"&gt;</v>
      </c>
      <c r="C347">
        <f>IFERROR(_xlfn.XMATCH(B347,CantoralDB[check]),"NO")</f>
        <v>954</v>
      </c>
    </row>
    <row r="348" spans="1:3" x14ac:dyDescent="0.3">
      <c r="A348" t="s">
        <v>2756</v>
      </c>
      <c r="B348" t="str">
        <f t="shared" si="5"/>
        <v>&lt;a href="canciones/kairoi/madre_de_los_hijos_pobres.html"&gt;</v>
      </c>
      <c r="C348">
        <f>IFERROR(_xlfn.XMATCH(B348,CantoralDB[check]),"NO")</f>
        <v>970</v>
      </c>
    </row>
    <row r="349" spans="1:3" x14ac:dyDescent="0.3">
      <c r="A349" t="s">
        <v>2757</v>
      </c>
      <c r="B349" t="str">
        <f t="shared" si="5"/>
        <v>&lt;a href="canciones/kairoi/magnificat.html"&gt;</v>
      </c>
      <c r="C349">
        <f>IFERROR(_xlfn.XMATCH(B349,CantoralDB[check]),"NO")</f>
        <v>979</v>
      </c>
    </row>
    <row r="350" spans="1:3" x14ac:dyDescent="0.3">
      <c r="A350" t="s">
        <v>2758</v>
      </c>
      <c r="B350" t="str">
        <f t="shared" si="5"/>
        <v>&lt;a href="canciones/kairoi/mantas_de_carton.html"&gt;</v>
      </c>
      <c r="C350">
        <f>IFERROR(_xlfn.XMATCH(B350,CantoralDB[check]),"NO")</f>
        <v>986</v>
      </c>
    </row>
    <row r="351" spans="1:3" x14ac:dyDescent="0.3">
      <c r="A351" t="s">
        <v>2370</v>
      </c>
      <c r="B351" t="str">
        <f t="shared" si="5"/>
        <v>&lt;a href="canciones/kairoi/maria_la_madre_buena.html"&gt;</v>
      </c>
      <c r="C351">
        <f>IFERROR(_xlfn.XMATCH(B351,CantoralDB[check]),"NO")</f>
        <v>1000</v>
      </c>
    </row>
    <row r="352" spans="1:3" x14ac:dyDescent="0.3">
      <c r="A352" t="s">
        <v>2759</v>
      </c>
      <c r="B352" t="str">
        <f t="shared" si="5"/>
        <v>&lt;a href="canciones/kairoi/maria_madre_del_dolor.html"&gt;</v>
      </c>
      <c r="C352">
        <f>IFERROR(_xlfn.XMATCH(B352,CantoralDB[check]),"NO")</f>
        <v>1001</v>
      </c>
    </row>
    <row r="353" spans="1:3" x14ac:dyDescent="0.3">
      <c r="A353" t="s">
        <v>2374</v>
      </c>
      <c r="B353" t="str">
        <f t="shared" si="5"/>
        <v>&lt;a href="canciones/kairoi/maria_musica_de_dios.html"&gt;</v>
      </c>
      <c r="C353">
        <f>IFERROR(_xlfn.XMATCH(B353,CantoralDB[check]),"NO")</f>
        <v>1006</v>
      </c>
    </row>
    <row r="354" spans="1:3" x14ac:dyDescent="0.3">
      <c r="A354" t="s">
        <v>2760</v>
      </c>
      <c r="B354" t="str">
        <f t="shared" si="5"/>
        <v>&lt;a href="canciones/kairoi/me_estas_llamando.html"&gt;</v>
      </c>
      <c r="C354">
        <f>IFERROR(_xlfn.XMATCH(B354,CantoralDB[check]),"NO")</f>
        <v>1016</v>
      </c>
    </row>
    <row r="355" spans="1:3" x14ac:dyDescent="0.3">
      <c r="A355" t="s">
        <v>2761</v>
      </c>
      <c r="B355" t="str">
        <f t="shared" si="5"/>
        <v>&lt;a href="canciones/kairoi/me_has_seducido_señor.html"&gt;</v>
      </c>
      <c r="C355">
        <f>IFERROR(_xlfn.XMATCH(B355,CantoralDB[check]),"NO")</f>
        <v>1018</v>
      </c>
    </row>
    <row r="356" spans="1:3" x14ac:dyDescent="0.3">
      <c r="A356" t="s">
        <v>2378</v>
      </c>
      <c r="B356" t="str">
        <f t="shared" si="5"/>
        <v>&lt;a href="canciones/kairoi/mirad_jesus_resucita_hoy.html"&gt;</v>
      </c>
      <c r="C356">
        <f>IFERROR(_xlfn.XMATCH(B356,CantoralDB[check]),"NO")</f>
        <v>1049</v>
      </c>
    </row>
    <row r="357" spans="1:3" x14ac:dyDescent="0.3">
      <c r="A357" t="s">
        <v>2762</v>
      </c>
      <c r="B357" t="str">
        <f t="shared" si="5"/>
        <v>&lt;a href="canciones/kairoi/nacidos_de_la_cruz.html"&gt;</v>
      </c>
      <c r="C357">
        <f>IFERROR(_xlfn.XMATCH(B357,CantoralDB[check]),"NO")</f>
        <v>1068</v>
      </c>
    </row>
    <row r="358" spans="1:3" x14ac:dyDescent="0.3">
      <c r="A358" t="s">
        <v>2763</v>
      </c>
      <c r="B358" t="str">
        <f t="shared" si="5"/>
        <v>&lt;a href="canciones/kairoi/nacidos_de_mujer.html"&gt;</v>
      </c>
      <c r="C358">
        <f>IFERROR(_xlfn.XMATCH(B358,CantoralDB[check]),"NO")</f>
        <v>1071</v>
      </c>
    </row>
    <row r="359" spans="1:3" x14ac:dyDescent="0.3">
      <c r="A359" t="s">
        <v>2764</v>
      </c>
      <c r="B359" t="str">
        <f t="shared" si="5"/>
        <v>&lt;a href="canciones/kairoi/niño.html"&gt;</v>
      </c>
      <c r="C359">
        <f>IFERROR(_xlfn.XMATCH(B359,CantoralDB[check]),"NO")</f>
        <v>1088</v>
      </c>
    </row>
    <row r="360" spans="1:3" x14ac:dyDescent="0.3">
      <c r="A360" t="s">
        <v>2765</v>
      </c>
      <c r="B360" t="str">
        <f t="shared" si="5"/>
        <v>&lt;a href="canciones/kairoi/no_durmais.html"&gt;</v>
      </c>
      <c r="C360">
        <f>IFERROR(_xlfn.XMATCH(B360,CantoralDB[check]),"NO")</f>
        <v>1091</v>
      </c>
    </row>
    <row r="361" spans="1:3" x14ac:dyDescent="0.3">
      <c r="A361" t="s">
        <v>2766</v>
      </c>
      <c r="B361" t="str">
        <f t="shared" si="5"/>
        <v>&lt;a href="canciones/kairoi/no_es_facil.html"&gt;</v>
      </c>
      <c r="C361">
        <f>IFERROR(_xlfn.XMATCH(B361,CantoralDB[check]),"NO")</f>
        <v>1092</v>
      </c>
    </row>
    <row r="362" spans="1:3" x14ac:dyDescent="0.3">
      <c r="A362" t="s">
        <v>2389</v>
      </c>
      <c r="B362" t="str">
        <f t="shared" si="5"/>
        <v>&lt;a href="canciones/kairoi/no_quiero_alejarme_de_ti.html"&gt;</v>
      </c>
      <c r="C362">
        <f>IFERROR(_xlfn.XMATCH(B362,CantoralDB[check]),"NO")</f>
        <v>1115</v>
      </c>
    </row>
    <row r="363" spans="1:3" x14ac:dyDescent="0.3">
      <c r="A363" t="s">
        <v>2767</v>
      </c>
      <c r="B363" t="str">
        <f t="shared" si="5"/>
        <v>&lt;a href="canciones/kairoi/no_temais.html"&gt;</v>
      </c>
      <c r="C363">
        <f>IFERROR(_xlfn.XMATCH(B363,CantoralDB[check]),"NO")</f>
        <v>1121</v>
      </c>
    </row>
    <row r="364" spans="1:3" x14ac:dyDescent="0.3">
      <c r="A364" t="s">
        <v>2768</v>
      </c>
      <c r="B364" t="str">
        <f t="shared" si="5"/>
        <v>&lt;a href="canciones/kairoi/nos_marca_el_caminar.html"&gt;</v>
      </c>
      <c r="C364">
        <f>IFERROR(_xlfn.XMATCH(B364,CantoralDB[check]),"NO")</f>
        <v>1143</v>
      </c>
    </row>
    <row r="365" spans="1:3" x14ac:dyDescent="0.3">
      <c r="A365" t="s">
        <v>2769</v>
      </c>
      <c r="B365" t="str">
        <f t="shared" si="5"/>
        <v>&lt;a href="canciones/kairoi/nuestra_buena_madre.html"&gt;</v>
      </c>
      <c r="C365">
        <f>IFERROR(_xlfn.XMATCH(B365,CantoralDB[check]),"NO")</f>
        <v>1147</v>
      </c>
    </row>
    <row r="366" spans="1:3" x14ac:dyDescent="0.3">
      <c r="A366" t="s">
        <v>2397</v>
      </c>
      <c r="B366" t="str">
        <f t="shared" si="5"/>
        <v>&lt;a href="canciones/kairoi/oracion_del_pobre.html"&gt;</v>
      </c>
      <c r="C366">
        <f>IFERROR(_xlfn.XMATCH(B366,CantoralDB[check]),"NO")</f>
        <v>1181</v>
      </c>
    </row>
    <row r="367" spans="1:3" x14ac:dyDescent="0.3">
      <c r="A367" t="s">
        <v>2770</v>
      </c>
      <c r="B367" t="str">
        <f t="shared" si="5"/>
        <v>&lt;a href="canciones/kairoi/padre_de_las_misericordias.html"&gt;</v>
      </c>
      <c r="C367">
        <f>IFERROR(_xlfn.XMATCH(B367,CantoralDB[check]),"NO")</f>
        <v>1188</v>
      </c>
    </row>
    <row r="368" spans="1:3" x14ac:dyDescent="0.3">
      <c r="A368" t="s">
        <v>2771</v>
      </c>
      <c r="B368" t="str">
        <f t="shared" si="5"/>
        <v>&lt;a href="canciones/kairoi/padre_me_pongo_en_tus_manos.html"&gt;</v>
      </c>
      <c r="C368">
        <f>IFERROR(_xlfn.XMATCH(B368,CantoralDB[check]),"NO")</f>
        <v>1205</v>
      </c>
    </row>
    <row r="369" spans="1:3" x14ac:dyDescent="0.3">
      <c r="A369" t="s">
        <v>3072</v>
      </c>
      <c r="B369" t="str">
        <f t="shared" si="5"/>
        <v>&lt;a href="canciones/kairoi/padre_nuestro_i.html"&gt;</v>
      </c>
      <c r="C369">
        <f>IFERROR(_xlfn.XMATCH(B369,CantoralDB[check]),"NO")</f>
        <v>1197</v>
      </c>
    </row>
    <row r="370" spans="1:3" x14ac:dyDescent="0.3">
      <c r="A370" t="s">
        <v>2403</v>
      </c>
      <c r="B370" t="str">
        <f t="shared" si="5"/>
        <v>&lt;a href="canciones/kairoi/padre_vuelvo_a_ti.html"&gt;</v>
      </c>
      <c r="C370">
        <f>IFERROR(_xlfn.XMATCH(B370,CantoralDB[check]),"NO")</f>
        <v>1209</v>
      </c>
    </row>
    <row r="371" spans="1:3" x14ac:dyDescent="0.3">
      <c r="A371" t="s">
        <v>3071</v>
      </c>
      <c r="B371" t="str">
        <f t="shared" si="5"/>
        <v>&lt;a href="canciones/kairoi/padre_nuestro_ii.html"&gt;</v>
      </c>
      <c r="C371">
        <f>IFERROR(_xlfn.XMATCH(B371,CantoralDB[check]),"NO")</f>
        <v>1198</v>
      </c>
    </row>
    <row r="372" spans="1:3" x14ac:dyDescent="0.3">
      <c r="A372" t="s">
        <v>2772</v>
      </c>
      <c r="B372" t="str">
        <f t="shared" si="5"/>
        <v>&lt;a href="canciones/kairoi/pequeño_corazon.html"&gt;</v>
      </c>
      <c r="C372">
        <f>IFERROR(_xlfn.XMATCH(B372,CantoralDB[check]),"NO")</f>
        <v>1251</v>
      </c>
    </row>
    <row r="373" spans="1:3" x14ac:dyDescent="0.3">
      <c r="A373" t="s">
        <v>2773</v>
      </c>
      <c r="B373" t="str">
        <f t="shared" si="5"/>
        <v>&lt;a href="canciones/kairoi/pregon_pascual_(aleluya).html"&gt;</v>
      </c>
      <c r="C373">
        <f>IFERROR(_xlfn.XMATCH(B373,CantoralDB[check]),"NO")</f>
        <v>1287</v>
      </c>
    </row>
    <row r="374" spans="1:3" x14ac:dyDescent="0.3">
      <c r="A374" t="s">
        <v>2414</v>
      </c>
      <c r="B374" t="str">
        <f t="shared" si="5"/>
        <v>&lt;a href="canciones/kairoi/pregon_pascual_(gloria).html"&gt;</v>
      </c>
      <c r="C374">
        <f>IFERROR(_xlfn.XMATCH(B374,CantoralDB[check]),"NO")</f>
        <v>1288</v>
      </c>
    </row>
    <row r="375" spans="1:3" x14ac:dyDescent="0.3">
      <c r="A375" t="s">
        <v>2774</v>
      </c>
      <c r="B375" t="str">
        <f t="shared" si="5"/>
        <v>&lt;a href="canciones/kairoi/quedate_aqui_señor.html"&gt;</v>
      </c>
      <c r="C375">
        <f>IFERROR(_xlfn.XMATCH(B375,CantoralDB[check]),"NO")</f>
        <v>1332</v>
      </c>
    </row>
    <row r="376" spans="1:3" x14ac:dyDescent="0.3">
      <c r="A376" t="s">
        <v>2775</v>
      </c>
      <c r="B376" t="str">
        <f t="shared" si="5"/>
        <v>&lt;a href="canciones/kairoi/quejate_si_puedes.html"&gt;</v>
      </c>
      <c r="C376">
        <f>IFERROR(_xlfn.XMATCH(B376,CantoralDB[check]),"NO")</f>
        <v>1334</v>
      </c>
    </row>
    <row r="377" spans="1:3" x14ac:dyDescent="0.3">
      <c r="A377" t="s">
        <v>2776</v>
      </c>
      <c r="B377" t="str">
        <f t="shared" si="5"/>
        <v>&lt;a href="canciones/kairoi/rezar_no_es_otra_cosa.html"&gt;</v>
      </c>
      <c r="C377">
        <f>IFERROR(_xlfn.XMATCH(B377,CantoralDB[check]),"NO")</f>
        <v>1378</v>
      </c>
    </row>
    <row r="378" spans="1:3" x14ac:dyDescent="0.3">
      <c r="A378" t="s">
        <v>2777</v>
      </c>
      <c r="B378" t="str">
        <f t="shared" si="5"/>
        <v>&lt;a href="canciones/kairoi/seguir_amando.html"&gt;</v>
      </c>
      <c r="C378">
        <f>IFERROR(_xlfn.XMATCH(B378,CantoralDB[check]),"NO")</f>
        <v>1442</v>
      </c>
    </row>
    <row r="379" spans="1:3" x14ac:dyDescent="0.3">
      <c r="A379" t="s">
        <v>2778</v>
      </c>
      <c r="B379" t="str">
        <f t="shared" si="5"/>
        <v>&lt;a href="canciones/kairoi/señor_dios_me_tienes_ante_ti.html"&gt;</v>
      </c>
      <c r="C379">
        <f>IFERROR(_xlfn.XMATCH(B379,CantoralDB[check]),"NO")</f>
        <v>1448</v>
      </c>
    </row>
    <row r="380" spans="1:3" x14ac:dyDescent="0.3">
      <c r="A380" t="s">
        <v>2779</v>
      </c>
      <c r="B380" t="str">
        <f t="shared" si="5"/>
        <v>&lt;a href="canciones/kairoi/señor_yo_no_soy_digno.html"&gt;</v>
      </c>
      <c r="C380">
        <f>IFERROR(_xlfn.XMATCH(B380,CantoralDB[check]),"NO")</f>
        <v>1467</v>
      </c>
    </row>
    <row r="381" spans="1:3" x14ac:dyDescent="0.3">
      <c r="A381" t="s">
        <v>2780</v>
      </c>
      <c r="B381" t="str">
        <f t="shared" si="5"/>
        <v>&lt;a href="canciones/kairoi/si_jesus.html"&gt;</v>
      </c>
      <c r="C381">
        <f>IFERROR(_xlfn.XMATCH(B381,CantoralDB[check]),"NO")</f>
        <v>1495</v>
      </c>
    </row>
    <row r="382" spans="1:3" x14ac:dyDescent="0.3">
      <c r="A382" t="s">
        <v>2781</v>
      </c>
      <c r="B382" t="str">
        <f t="shared" si="5"/>
        <v>&lt;a href="canciones/kairoi/siento_tu_llamada.html"&gt;</v>
      </c>
      <c r="C382">
        <f>IFERROR(_xlfn.XMATCH(B382,CantoralDB[check]),"NO")</f>
        <v>1507</v>
      </c>
    </row>
    <row r="383" spans="1:3" x14ac:dyDescent="0.3">
      <c r="A383" t="s">
        <v>2782</v>
      </c>
      <c r="B383" t="str">
        <f t="shared" si="5"/>
        <v>&lt;a href="canciones/kairoi/somos_cancion.html"&gt;</v>
      </c>
      <c r="C383">
        <f>IFERROR(_xlfn.XMATCH(B383,CantoralDB[check]),"NO")</f>
        <v>1519</v>
      </c>
    </row>
    <row r="384" spans="1:3" x14ac:dyDescent="0.3">
      <c r="A384" t="s">
        <v>2783</v>
      </c>
      <c r="B384" t="str">
        <f t="shared" si="5"/>
        <v>&lt;a href="canciones/kairoi/somos_testigos.html"&gt;</v>
      </c>
      <c r="C384">
        <f>IFERROR(_xlfn.XMATCH(B384,CantoralDB[check]),"NO")</f>
        <v>1523</v>
      </c>
    </row>
    <row r="385" spans="1:3" x14ac:dyDescent="0.3">
      <c r="A385" t="s">
        <v>2784</v>
      </c>
      <c r="B385" t="str">
        <f t="shared" ref="B385:B448" si="6">_xlfn.TEXTBEFORE(_xlfn.TEXTAFTER(A385,"&gt;"),"&gt;")&amp;"&gt;"</f>
        <v>&lt;a href="canciones/kairoi/somos_una_familia.html"&gt;</v>
      </c>
      <c r="C385">
        <f>IFERROR(_xlfn.XMATCH(B385,CantoralDB[check]),"NO")</f>
        <v>1526</v>
      </c>
    </row>
    <row r="386" spans="1:3" x14ac:dyDescent="0.3">
      <c r="A386" t="s">
        <v>2785</v>
      </c>
      <c r="B386" t="str">
        <f t="shared" si="6"/>
        <v>&lt;a href="canciones/kairoi/soñar_un_mundo_mas_feliz.html"&gt;</v>
      </c>
      <c r="C386">
        <f>IFERROR(_xlfn.XMATCH(B386,CantoralDB[check]),"NO")</f>
        <v>1528</v>
      </c>
    </row>
    <row r="387" spans="1:3" x14ac:dyDescent="0.3">
      <c r="A387" t="s">
        <v>2786</v>
      </c>
      <c r="B387" t="str">
        <f t="shared" si="6"/>
        <v>&lt;a href="canciones/kairoi/soy_mujer.html"&gt;</v>
      </c>
      <c r="C387">
        <f>IFERROR(_xlfn.XMATCH(B387,CantoralDB[check]),"NO")</f>
        <v>1531</v>
      </c>
    </row>
    <row r="388" spans="1:3" x14ac:dyDescent="0.3">
      <c r="A388" t="s">
        <v>2787</v>
      </c>
      <c r="B388" t="str">
        <f t="shared" si="6"/>
        <v>&lt;a href="canciones/kairoi/sueña.html"&gt;</v>
      </c>
      <c r="C388">
        <f>IFERROR(_xlfn.XMATCH(B388,CantoralDB[check]),"NO")</f>
        <v>1537</v>
      </c>
    </row>
    <row r="389" spans="1:3" x14ac:dyDescent="0.3">
      <c r="A389" t="s">
        <v>2788</v>
      </c>
      <c r="B389" t="str">
        <f t="shared" si="6"/>
        <v>&lt;a href="canciones/kairoi/te_agradezco.html"&gt;</v>
      </c>
      <c r="C389">
        <f>IFERROR(_xlfn.XMATCH(B389,CantoralDB[check]),"NO")</f>
        <v>1546</v>
      </c>
    </row>
    <row r="390" spans="1:3" x14ac:dyDescent="0.3">
      <c r="A390" t="s">
        <v>2789</v>
      </c>
      <c r="B390" t="str">
        <f t="shared" si="6"/>
        <v>&lt;a href="canciones/kairoi/te_alabo_señor.html"&gt;</v>
      </c>
      <c r="C390">
        <f>IFERROR(_xlfn.XMATCH(B390,CantoralDB[check]),"NO")</f>
        <v>1548</v>
      </c>
    </row>
    <row r="391" spans="1:3" x14ac:dyDescent="0.3">
      <c r="A391" t="s">
        <v>2790</v>
      </c>
      <c r="B391" t="str">
        <f t="shared" si="6"/>
        <v>&lt;a href="canciones/kairoi/te_reclamaran_la_vida.html"&gt;</v>
      </c>
      <c r="C391">
        <f>IFERROR(_xlfn.XMATCH(B391,CantoralDB[check]),"NO")</f>
        <v>1566</v>
      </c>
    </row>
    <row r="392" spans="1:3" x14ac:dyDescent="0.3">
      <c r="A392" t="s">
        <v>2791</v>
      </c>
      <c r="B392" t="str">
        <f t="shared" si="6"/>
        <v>&lt;a href="canciones/kairoi/te_seguire.html"&gt;</v>
      </c>
      <c r="C392">
        <f>IFERROR(_xlfn.XMATCH(B392,CantoralDB[check]),"NO")</f>
        <v>1567</v>
      </c>
    </row>
    <row r="393" spans="1:3" x14ac:dyDescent="0.3">
      <c r="A393" t="s">
        <v>2792</v>
      </c>
      <c r="B393" t="str">
        <f t="shared" si="6"/>
        <v>&lt;a href="canciones/kairoi/ten_piedad_de_mi.html"&gt;</v>
      </c>
      <c r="C393">
        <f>IFERROR(_xlfn.XMATCH(B393,CantoralDB[check]),"NO")</f>
        <v>1574</v>
      </c>
    </row>
    <row r="394" spans="1:3" x14ac:dyDescent="0.3">
      <c r="A394" t="s">
        <v>2793</v>
      </c>
      <c r="B394" t="str">
        <f t="shared" si="6"/>
        <v>&lt;a href="canciones/kairoi/tocare_para_ti.html"&gt;</v>
      </c>
      <c r="C394">
        <f>IFERROR(_xlfn.XMATCH(B394,CantoralDB[check]),"NO")</f>
        <v>1593</v>
      </c>
    </row>
    <row r="395" spans="1:3" x14ac:dyDescent="0.3">
      <c r="A395" t="s">
        <v>2469</v>
      </c>
      <c r="B395" t="str">
        <f t="shared" si="6"/>
        <v>&lt;a href="canciones/kairoi/todo_mi_ser_(alabo_tu_bondad).html"&gt;</v>
      </c>
      <c r="C395">
        <f>IFERROR(_xlfn.XMATCH(B395,CantoralDB[check]),"NO")</f>
        <v>1600</v>
      </c>
    </row>
    <row r="396" spans="1:3" x14ac:dyDescent="0.3">
      <c r="A396" t="s">
        <v>2794</v>
      </c>
      <c r="B396" t="str">
        <f t="shared" si="6"/>
        <v>&lt;a href="canciones/kairoi/tu_camino_y_tu_verdad.html"&gt;</v>
      </c>
      <c r="C396">
        <f>IFERROR(_xlfn.XMATCH(B396,CantoralDB[check]),"NO")</f>
        <v>1621</v>
      </c>
    </row>
    <row r="397" spans="1:3" x14ac:dyDescent="0.3">
      <c r="A397" t="s">
        <v>2795</v>
      </c>
      <c r="B397" t="str">
        <f t="shared" si="6"/>
        <v>&lt;a href="canciones/kairoi/tu_eres_del_señor.html"&gt;</v>
      </c>
      <c r="C397">
        <f>IFERROR(_xlfn.XMATCH(B397,CantoralDB[check]),"NO")</f>
        <v>1625</v>
      </c>
    </row>
    <row r="398" spans="1:3" x14ac:dyDescent="0.3">
      <c r="A398" t="s">
        <v>2796</v>
      </c>
      <c r="B398" t="str">
        <f t="shared" si="6"/>
        <v>&lt;a href="canciones/kairoi/tu_eres_maria.html"&gt;</v>
      </c>
      <c r="C398">
        <f>IFERROR(_xlfn.XMATCH(B398,CantoralDB[check]),"NO")</f>
        <v>1630</v>
      </c>
    </row>
    <row r="399" spans="1:3" x14ac:dyDescent="0.3">
      <c r="A399" t="s">
        <v>2797</v>
      </c>
      <c r="B399" t="str">
        <f t="shared" si="6"/>
        <v>&lt;a href="canciones/kairoi/tu_estas_cerca.html"&gt;</v>
      </c>
      <c r="C399">
        <f>IFERROR(_xlfn.XMATCH(B399,CantoralDB[check]),"NO")</f>
        <v>1635</v>
      </c>
    </row>
    <row r="400" spans="1:3" x14ac:dyDescent="0.3">
      <c r="A400" t="s">
        <v>2801</v>
      </c>
      <c r="B400" t="str">
        <f t="shared" si="6"/>
        <v>&lt;a href="canciones/kairoi/tu_jesus.html"&gt;</v>
      </c>
      <c r="C400">
        <f>IFERROR(_xlfn.XMATCH(B400,CantoralDB[check]),"NO")</f>
        <v>1671</v>
      </c>
    </row>
    <row r="401" spans="1:3" x14ac:dyDescent="0.3">
      <c r="A401" t="s">
        <v>2798</v>
      </c>
      <c r="B401" t="str">
        <f t="shared" si="6"/>
        <v>&lt;a href="canciones/kairoi/tu_llamada.html"&gt;</v>
      </c>
      <c r="C401">
        <f>IFERROR(_xlfn.XMATCH(B401,CantoralDB[check]),"NO")</f>
        <v>1639</v>
      </c>
    </row>
    <row r="402" spans="1:3" x14ac:dyDescent="0.3">
      <c r="A402" t="s">
        <v>2799</v>
      </c>
      <c r="B402" t="str">
        <f t="shared" si="6"/>
        <v>&lt;a href="canciones/kairoi/tu_me_sondeas.html"&gt;</v>
      </c>
      <c r="C402">
        <f>IFERROR(_xlfn.XMATCH(B402,CantoralDB[check]),"NO")</f>
        <v>1646</v>
      </c>
    </row>
    <row r="403" spans="1:3" x14ac:dyDescent="0.3">
      <c r="A403" t="s">
        <v>2802</v>
      </c>
      <c r="B403" t="str">
        <f t="shared" si="6"/>
        <v>&lt;a href="canciones/kairoi/tu_señor.html"&gt;</v>
      </c>
      <c r="C403">
        <f>IFERROR(_xlfn.XMATCH(B403,CantoralDB[check]),"NO")</f>
        <v>1673</v>
      </c>
    </row>
    <row r="404" spans="1:3" x14ac:dyDescent="0.3">
      <c r="A404" t="s">
        <v>2800</v>
      </c>
      <c r="B404" t="str">
        <f t="shared" si="6"/>
        <v>&lt;a href="canciones/kairoi/tu_seras_mi_hermano.html"&gt;</v>
      </c>
      <c r="C404">
        <f>IFERROR(_xlfn.XMATCH(B404,CantoralDB[check]),"NO")</f>
        <v>1665</v>
      </c>
    </row>
    <row r="405" spans="1:3" x14ac:dyDescent="0.3">
      <c r="A405" t="s">
        <v>2803</v>
      </c>
      <c r="B405" t="str">
        <f t="shared" si="6"/>
        <v>&lt;a href="canciones/kairoi/un_solo_corazon.html"&gt;</v>
      </c>
      <c r="C405">
        <f>IFERROR(_xlfn.XMATCH(B405,CantoralDB[check]),"NO")</f>
        <v>1699</v>
      </c>
    </row>
    <row r="406" spans="1:3" x14ac:dyDescent="0.3">
      <c r="A406" t="s">
        <v>2804</v>
      </c>
      <c r="B406" t="str">
        <f t="shared" si="6"/>
        <v>&lt;a href="canciones/kairoi/una_vida.html"&gt;</v>
      </c>
      <c r="C406">
        <f>IFERROR(_xlfn.XMATCH(B406,CantoralDB[check]),"NO")</f>
        <v>1707</v>
      </c>
    </row>
    <row r="407" spans="1:3" x14ac:dyDescent="0.3">
      <c r="A407" t="s">
        <v>2805</v>
      </c>
      <c r="B407" t="str">
        <f t="shared" si="6"/>
        <v>&lt;a href="canciones/kairoi/una_vida_que_busca_libertad.html"&gt;</v>
      </c>
      <c r="C407">
        <f>IFERROR(_xlfn.XMATCH(B407,CantoralDB[check]),"NO")</f>
        <v>1708</v>
      </c>
    </row>
    <row r="408" spans="1:3" x14ac:dyDescent="0.3">
      <c r="A408" t="s">
        <v>2806</v>
      </c>
      <c r="B408" t="str">
        <f t="shared" si="6"/>
        <v>&lt;a href="canciones/kairoi/vale_mas_hablar_con_dios.html"&gt;</v>
      </c>
      <c r="C408">
        <f>IFERROR(_xlfn.XMATCH(B408,CantoralDB[check]),"NO")</f>
        <v>1717</v>
      </c>
    </row>
    <row r="409" spans="1:3" x14ac:dyDescent="0.3">
      <c r="A409" t="s">
        <v>2807</v>
      </c>
      <c r="B409" t="str">
        <f t="shared" si="6"/>
        <v>&lt;a href="canciones/kairoi/vamos_hacia_ti_(gloria_a_dios).html"&gt;</v>
      </c>
      <c r="C409">
        <f>IFERROR(_xlfn.XMATCH(B409,CantoralDB[check]),"NO")</f>
        <v>1727</v>
      </c>
    </row>
    <row r="410" spans="1:3" x14ac:dyDescent="0.3">
      <c r="A410" t="s">
        <v>2496</v>
      </c>
      <c r="B410" t="str">
        <f t="shared" si="6"/>
        <v>&lt;a href="canciones/kairoi/ven_espiritu_de_dios_(kairoi).html"&gt;</v>
      </c>
      <c r="C410">
        <f>IFERROR(_xlfn.XMATCH(B410,CantoralDB[check]),"NO")</f>
        <v>1757</v>
      </c>
    </row>
    <row r="411" spans="1:3" x14ac:dyDescent="0.3">
      <c r="A411" t="s">
        <v>2808</v>
      </c>
      <c r="B411" t="str">
        <f t="shared" si="6"/>
        <v>&lt;a href="canciones/kairoi/ven_señor_jesus.html"&gt;</v>
      </c>
      <c r="C411">
        <f>IFERROR(_xlfn.XMATCH(B411,CantoralDB[check]),"NO")</f>
        <v>1771</v>
      </c>
    </row>
    <row r="412" spans="1:3" x14ac:dyDescent="0.3">
      <c r="A412" t="s">
        <v>2809</v>
      </c>
      <c r="B412" t="str">
        <f t="shared" si="6"/>
        <v>&lt;a href="canciones/kairoi/venga_tu_reino.html"&gt;</v>
      </c>
      <c r="C412">
        <f>IFERROR(_xlfn.XMATCH(B412,CantoralDB[check]),"NO")</f>
        <v>1776</v>
      </c>
    </row>
    <row r="413" spans="1:3" x14ac:dyDescent="0.3">
      <c r="A413" t="s">
        <v>2810</v>
      </c>
      <c r="B413" t="str">
        <f t="shared" si="6"/>
        <v>&lt;a href="canciones/kairoi/vino_nuevo.html"&gt;</v>
      </c>
      <c r="C413">
        <f>IFERROR(_xlfn.XMATCH(B413,CantoralDB[check]),"NO")</f>
        <v>1798</v>
      </c>
    </row>
    <row r="414" spans="1:3" x14ac:dyDescent="0.3">
      <c r="A414" t="s">
        <v>2811</v>
      </c>
      <c r="B414" t="str">
        <f t="shared" si="6"/>
        <v>&lt;a href="canciones/kairoi/y_se_vive_la_vida.html"&gt;</v>
      </c>
      <c r="C414">
        <f>IFERROR(_xlfn.XMATCH(B414,CantoralDB[check]),"NO")</f>
        <v>1819</v>
      </c>
    </row>
    <row r="415" spans="1:3" x14ac:dyDescent="0.3">
      <c r="A415" t="s">
        <v>2812</v>
      </c>
      <c r="B415" t="str">
        <f t="shared" si="6"/>
        <v>&lt;a href="canciones/kairoi/ya_no_te_queda_tiempo.html"&gt;</v>
      </c>
      <c r="C415">
        <f>IFERROR(_xlfn.XMATCH(B415,CantoralDB[check]),"NO")</f>
        <v>1820</v>
      </c>
    </row>
    <row r="416" spans="1:3" x14ac:dyDescent="0.3">
      <c r="A416" t="s">
        <v>2511</v>
      </c>
      <c r="B416" t="str">
        <f t="shared" si="6"/>
        <v>&lt;a href="canciones/kairoi/yo_cantare_(magnificat).html"&gt;</v>
      </c>
      <c r="C416">
        <f>IFERROR(_xlfn.XMATCH(B416,CantoralDB[check]),"NO")</f>
        <v>1825</v>
      </c>
    </row>
    <row r="417" spans="1:3" x14ac:dyDescent="0.3">
      <c r="A417" t="s">
        <v>2213</v>
      </c>
      <c r="B417" t="str">
        <f t="shared" si="6"/>
        <v>&lt;a href="canciones/miguel_manzano/a_belen_se_va_y_se_viene.html"&gt;</v>
      </c>
      <c r="C417">
        <f>IFERROR(_xlfn.XMATCH(B417,CantoralDB[check]),"NO")</f>
        <v>1</v>
      </c>
    </row>
    <row r="418" spans="1:3" x14ac:dyDescent="0.3">
      <c r="A418" t="s">
        <v>2235</v>
      </c>
      <c r="B418" t="str">
        <f t="shared" si="6"/>
        <v>&lt;a href="canciones/miguel_manzano/aleluya_el_señor_es_nuestro_rey.html"&gt;</v>
      </c>
      <c r="C418">
        <f>IFERROR(_xlfn.XMATCH(B418,CantoralDB[check]),"NO")</f>
        <v>124</v>
      </c>
    </row>
    <row r="419" spans="1:3" x14ac:dyDescent="0.3">
      <c r="A419" t="s">
        <v>2268</v>
      </c>
      <c r="B419" t="str">
        <f t="shared" si="6"/>
        <v>&lt;a href="canciones/miguel_manzano/con_vosotros_esta.html"&gt;</v>
      </c>
      <c r="C419">
        <f>IFERROR(_xlfn.XMATCH(B419,CantoralDB[check]),"NO")</f>
        <v>333</v>
      </c>
    </row>
    <row r="420" spans="1:3" x14ac:dyDescent="0.3">
      <c r="A420" t="s">
        <v>3054</v>
      </c>
      <c r="B420" t="str">
        <f t="shared" si="6"/>
        <v>&lt;a href="canciones/miguel_manzano/cordero_de_dios_(manzano).html"&gt;</v>
      </c>
      <c r="C420">
        <f>IFERROR(_xlfn.XMATCH(B420,CantoralDB[check]),"NO")</f>
        <v>358</v>
      </c>
    </row>
    <row r="421" spans="1:3" x14ac:dyDescent="0.3">
      <c r="A421" t="s">
        <v>2279</v>
      </c>
      <c r="B421" t="str">
        <f t="shared" si="6"/>
        <v>&lt;a href="canciones/miguel_manzano/cuando_el_pobre_nada_tiene.html"&gt;</v>
      </c>
      <c r="C421">
        <f>IFERROR(_xlfn.XMATCH(B421,CantoralDB[check]),"NO")</f>
        <v>401</v>
      </c>
    </row>
    <row r="422" spans="1:3" x14ac:dyDescent="0.3">
      <c r="A422" t="s">
        <v>2283</v>
      </c>
      <c r="B422" t="str">
        <f t="shared" si="6"/>
        <v>&lt;a href="canciones/miguel_manzano/desde_lo_hondo.html"&gt;</v>
      </c>
      <c r="C422">
        <f>IFERROR(_xlfn.XMATCH(B422,CantoralDB[check]),"NO")</f>
        <v>455</v>
      </c>
    </row>
    <row r="423" spans="1:3" x14ac:dyDescent="0.3">
      <c r="A423" t="s">
        <v>2321</v>
      </c>
      <c r="B423" t="str">
        <f t="shared" si="6"/>
        <v>&lt;a href="canciones/miguel_manzano/este_es_el_dia_en_que_actuo_el_señor.html"&gt;</v>
      </c>
      <c r="C423">
        <f>IFERROR(_xlfn.XMATCH(B423,CantoralDB[check]),"NO")</f>
        <v>690</v>
      </c>
    </row>
    <row r="424" spans="1:3" x14ac:dyDescent="0.3">
      <c r="A424" t="s">
        <v>2377</v>
      </c>
      <c r="B424" t="str">
        <f t="shared" si="6"/>
        <v>&lt;a href="canciones/miguel_manzano/mirad_al_suelo.html"&gt;</v>
      </c>
      <c r="C424">
        <f>IFERROR(_xlfn.XMATCH(B424,CantoralDB[check]),"NO")</f>
        <v>1047</v>
      </c>
    </row>
    <row r="425" spans="1:3" x14ac:dyDescent="0.3">
      <c r="A425" t="s">
        <v>2418</v>
      </c>
      <c r="B425" t="str">
        <f t="shared" si="6"/>
        <v>&lt;a href="canciones/miguel_manzano/que_alegria_cuando_me_dijeron.html"&gt;</v>
      </c>
      <c r="C425">
        <f>IFERROR(_xlfn.XMATCH(B425,CantoralDB[check]),"NO")</f>
        <v>1305</v>
      </c>
    </row>
    <row r="426" spans="1:3" x14ac:dyDescent="0.3">
      <c r="A426" t="s">
        <v>2477</v>
      </c>
      <c r="B426" t="str">
        <f t="shared" si="6"/>
        <v>&lt;a href="canciones/miguel_manzano/tu_reino_es_vida.html"&gt;</v>
      </c>
      <c r="C426">
        <f>IFERROR(_xlfn.XMATCH(B426,CantoralDB[check]),"NO")</f>
        <v>1658</v>
      </c>
    </row>
    <row r="427" spans="1:3" x14ac:dyDescent="0.3">
      <c r="A427" t="s">
        <v>2217</v>
      </c>
      <c r="B427" t="str">
        <f t="shared" si="6"/>
        <v>&lt;a href="canciones/nsb/a_ti_que_eres_el_signo.html"&gt;</v>
      </c>
      <c r="C427">
        <f>IFERROR(_xlfn.XMATCH(B427,CantoralDB[check]),"NO")</f>
        <v>19</v>
      </c>
    </row>
    <row r="428" spans="1:3" x14ac:dyDescent="0.3">
      <c r="A428" t="s">
        <v>2218</v>
      </c>
      <c r="B428" t="str">
        <f t="shared" si="6"/>
        <v>&lt;a href="canciones/nsb/abba_padre.html"&gt;</v>
      </c>
      <c r="C428" t="str">
        <f>IFERROR(_xlfn.XMATCH(B428,CantoralDB[check]),"NO")</f>
        <v>NO</v>
      </c>
    </row>
    <row r="429" spans="1:3" x14ac:dyDescent="0.3">
      <c r="A429" t="s">
        <v>3075</v>
      </c>
      <c r="B429" t="str">
        <f t="shared" si="6"/>
        <v>&lt;a href="canciones/perpetuo_socorro/abrid_de_par_en_par.html"&gt;</v>
      </c>
      <c r="C429">
        <f>IFERROR(_xlfn.XMATCH(B429,CantoralDB[check]),"NO")</f>
        <v>33</v>
      </c>
    </row>
    <row r="430" spans="1:3" x14ac:dyDescent="0.3">
      <c r="A430" t="s">
        <v>2220</v>
      </c>
      <c r="B430" t="str">
        <f t="shared" si="6"/>
        <v>&lt;a href="canciones/nsb/abro_mi_ser.html"&gt;</v>
      </c>
      <c r="C430" t="str">
        <f>IFERROR(_xlfn.XMATCH(B430,CantoralDB[check]),"NO")</f>
        <v>NO</v>
      </c>
    </row>
    <row r="431" spans="1:3" x14ac:dyDescent="0.3">
      <c r="A431" t="s">
        <v>2222</v>
      </c>
      <c r="B431" t="str">
        <f t="shared" si="6"/>
        <v>&lt;a href="canciones/nsb/adorando.html"&gt;</v>
      </c>
      <c r="C431">
        <f>IFERROR(_xlfn.XMATCH(B431,CantoralDB[check]),"NO")</f>
        <v>56</v>
      </c>
    </row>
    <row r="432" spans="1:3" x14ac:dyDescent="0.3">
      <c r="A432" t="s">
        <v>2223</v>
      </c>
      <c r="B432" t="str">
        <f t="shared" si="6"/>
        <v>&lt;a href="canciones/nsb/adorare_tu_cuerpo_herido.html"&gt;</v>
      </c>
      <c r="C432" t="str">
        <f>IFERROR(_xlfn.XMATCH(B432,CantoralDB[check]),"NO")</f>
        <v>NO</v>
      </c>
    </row>
    <row r="433" spans="1:3" x14ac:dyDescent="0.3">
      <c r="A433" t="s">
        <v>2228</v>
      </c>
      <c r="B433" t="str">
        <f t="shared" si="6"/>
        <v>&lt;a href="canciones/nsb/alegremonos_hermanos.html"&gt;</v>
      </c>
      <c r="C433">
        <f>IFERROR(_xlfn.XMATCH(B433,CantoralDB[check]),"NO")</f>
        <v>94</v>
      </c>
    </row>
    <row r="434" spans="1:3" x14ac:dyDescent="0.3">
      <c r="A434" t="s">
        <v>2230</v>
      </c>
      <c r="B434" t="str">
        <f t="shared" si="6"/>
        <v>&lt;a href="canciones/nsb/aleluya_(santiago).html"&gt;</v>
      </c>
      <c r="C434">
        <f>IFERROR(_xlfn.XMATCH(B434,CantoralDB[check]),"NO")</f>
        <v>105</v>
      </c>
    </row>
    <row r="435" spans="1:3" x14ac:dyDescent="0.3">
      <c r="A435" t="s">
        <v>2232</v>
      </c>
      <c r="B435" t="str">
        <f t="shared" si="6"/>
        <v>&lt;a href="canciones/nsb/aleluya_de_adviento.html"&gt;</v>
      </c>
      <c r="C435">
        <f>IFERROR(_xlfn.XMATCH(B435,CantoralDB[check]),"NO")</f>
        <v>114</v>
      </c>
    </row>
    <row r="436" spans="1:3" x14ac:dyDescent="0.3">
      <c r="A436" t="s">
        <v>2233</v>
      </c>
      <c r="B436" t="str">
        <f t="shared" si="6"/>
        <v>&lt;a href="canciones/nsb/aleluya_por_esa_gente.html"&gt;</v>
      </c>
      <c r="C436">
        <f>IFERROR(_xlfn.XMATCH(B436,CantoralDB[check]),"NO")</f>
        <v>117</v>
      </c>
    </row>
    <row r="437" spans="1:3" x14ac:dyDescent="0.3">
      <c r="A437" t="s">
        <v>2238</v>
      </c>
      <c r="B437" t="str">
        <f t="shared" si="6"/>
        <v>&lt;a href="canciones/nsb/alimento_de_amor_(el_loco).html"&gt;</v>
      </c>
      <c r="C437">
        <f>IFERROR(_xlfn.XMATCH(B437,CantoralDB[check]),"NO")</f>
        <v>142</v>
      </c>
    </row>
    <row r="438" spans="1:3" x14ac:dyDescent="0.3">
      <c r="A438" t="s">
        <v>2239</v>
      </c>
      <c r="B438" t="str">
        <f t="shared" si="6"/>
        <v>&lt;a href="canciones/nsb/alma_misionera.html"&gt;</v>
      </c>
      <c r="C438">
        <f>IFERROR(_xlfn.XMATCH(B438,CantoralDB[check]),"NO")</f>
        <v>155</v>
      </c>
    </row>
    <row r="439" spans="1:3" x14ac:dyDescent="0.3">
      <c r="A439" t="s">
        <v>2241</v>
      </c>
      <c r="B439" t="str">
        <f t="shared" si="6"/>
        <v>&lt;a href="canciones/nsb/alza_tu_mano_(comunidad).html"&gt;</v>
      </c>
      <c r="C439">
        <f>IFERROR(_xlfn.XMATCH(B439,CantoralDB[check]),"NO")</f>
        <v>158</v>
      </c>
    </row>
    <row r="440" spans="1:3" x14ac:dyDescent="0.3">
      <c r="A440" t="s">
        <v>2242</v>
      </c>
      <c r="B440" t="str">
        <f t="shared" si="6"/>
        <v>&lt;a href="canciones/nsb/amando_hasta_el_extremo.html"&gt;</v>
      </c>
      <c r="C440">
        <f>IFERROR(_xlfn.XMATCH(B440,CantoralDB[check]),"NO")</f>
        <v>159</v>
      </c>
    </row>
    <row r="441" spans="1:3" x14ac:dyDescent="0.3">
      <c r="A441" t="s">
        <v>3055</v>
      </c>
      <c r="B441" t="str">
        <f t="shared" si="6"/>
        <v>&lt;a href="canciones/emilio_vicente_mateu/amar_es_darse.html"&gt;</v>
      </c>
      <c r="C441">
        <f>IFERROR(_xlfn.XMATCH(B441,CantoralDB[check]),"NO")</f>
        <v>163</v>
      </c>
    </row>
    <row r="442" spans="1:3" x14ac:dyDescent="0.3">
      <c r="A442" t="s">
        <v>2246</v>
      </c>
      <c r="B442" t="str">
        <f t="shared" si="6"/>
        <v>&lt;a href="canciones/nsb/anunciaremos_tu_reino_señor.html"&gt;</v>
      </c>
      <c r="C442">
        <f>IFERROR(_xlfn.XMATCH(B442,CantoralDB[check]),"NO")</f>
        <v>182</v>
      </c>
    </row>
    <row r="443" spans="1:3" x14ac:dyDescent="0.3">
      <c r="A443" t="s">
        <v>2247</v>
      </c>
      <c r="B443" t="str">
        <f t="shared" si="6"/>
        <v>&lt;a href="canciones/nsb/aqui_tienes_el_pan.html"&gt;</v>
      </c>
      <c r="C443">
        <f>IFERROR(_xlfn.XMATCH(B443,CantoralDB[check]),"NO")</f>
        <v>187</v>
      </c>
    </row>
    <row r="444" spans="1:3" x14ac:dyDescent="0.3">
      <c r="A444" t="s">
        <v>2249</v>
      </c>
      <c r="B444" t="str">
        <f t="shared" si="6"/>
        <v>&lt;a href="canciones/nsb/ayudame_a_caminar.html"&gt;</v>
      </c>
      <c r="C444">
        <f>IFERROR(_xlfn.XMATCH(B444,CantoralDB[check]),"NO")</f>
        <v>205</v>
      </c>
    </row>
    <row r="445" spans="1:3" x14ac:dyDescent="0.3">
      <c r="A445" t="s">
        <v>2250</v>
      </c>
      <c r="B445" t="str">
        <f t="shared" si="6"/>
        <v>&lt;a href="canciones/nsb/bendigamos_al_señor.html"&gt;</v>
      </c>
      <c r="C445" t="str">
        <f>IFERROR(_xlfn.XMATCH(B445,CantoralDB[check]),"NO")</f>
        <v>NO</v>
      </c>
    </row>
    <row r="446" spans="1:3" x14ac:dyDescent="0.3">
      <c r="A446" t="s">
        <v>3056</v>
      </c>
      <c r="B446" t="str">
        <f t="shared" si="6"/>
        <v>&lt;a href="canciones/emilio_vicente_mateu/bienaventurados_seremos_señor.html"&gt;</v>
      </c>
      <c r="C446">
        <f>IFERROR(_xlfn.XMATCH(B446,CantoralDB[check]),"NO")</f>
        <v>233</v>
      </c>
    </row>
    <row r="447" spans="1:3" x14ac:dyDescent="0.3">
      <c r="A447" t="s">
        <v>2256</v>
      </c>
      <c r="B447" t="str">
        <f t="shared" si="6"/>
        <v>&lt;a href="canciones/nsb/caminare_hoy_en_tu_presencia.html"&gt;</v>
      </c>
      <c r="C447">
        <f>IFERROR(_xlfn.XMATCH(B447,CantoralDB[check]),"NO")</f>
        <v>259</v>
      </c>
    </row>
    <row r="448" spans="1:3" x14ac:dyDescent="0.3">
      <c r="A448" t="s">
        <v>2257</v>
      </c>
      <c r="B448" t="str">
        <f t="shared" si="6"/>
        <v>&lt;a href="canciones/nsb/canta_aleluya.html"&gt;</v>
      </c>
      <c r="C448">
        <f>IFERROR(_xlfn.XMATCH(B448,CantoralDB[check]),"NO")</f>
        <v>266</v>
      </c>
    </row>
    <row r="449" spans="1:3" x14ac:dyDescent="0.3">
      <c r="A449" t="s">
        <v>2260</v>
      </c>
      <c r="B449" t="str">
        <f t="shared" ref="B449:B512" si="7">_xlfn.TEXTBEFORE(_xlfn.TEXTAFTER(A449,"&gt;"),"&gt;")&amp;"&gt;"</f>
        <v>&lt;a href="canciones/nsb/cantemos_al_amor_de_los_amores.html"&gt;</v>
      </c>
      <c r="C449">
        <f>IFERROR(_xlfn.XMATCH(B449,CantoralDB[check]),"NO")</f>
        <v>276</v>
      </c>
    </row>
    <row r="450" spans="1:3" x14ac:dyDescent="0.3">
      <c r="A450" t="s">
        <v>3057</v>
      </c>
      <c r="B450" t="str">
        <f t="shared" si="7"/>
        <v>&lt;a href="canciones/emilio_vicente_mateu/cantemos_todos_la_navidad.html"&gt;</v>
      </c>
      <c r="C450">
        <f>IFERROR(_xlfn.XMATCH(B450,CantoralDB[check]),"NO")</f>
        <v>279</v>
      </c>
    </row>
    <row r="451" spans="1:3" x14ac:dyDescent="0.3">
      <c r="A451" t="s">
        <v>2261</v>
      </c>
      <c r="B451" t="str">
        <f t="shared" si="7"/>
        <v>&lt;a href="canciones/nsb/cerca_de_ti_señor.html"&gt;</v>
      </c>
      <c r="C451">
        <f>IFERROR(_xlfn.XMATCH(B451,CantoralDB[check]),"NO")</f>
        <v>289</v>
      </c>
    </row>
    <row r="452" spans="1:3" x14ac:dyDescent="0.3">
      <c r="A452" t="s">
        <v>3068</v>
      </c>
      <c r="B452" t="str">
        <f t="shared" si="7"/>
        <v>&lt;a href="canciones/fernando_viejo/como_era_pedro.html"&gt;</v>
      </c>
      <c r="C452">
        <f>IFERROR(_xlfn.XMATCH(B452,CantoralDB[check]),"NO")</f>
        <v>305</v>
      </c>
    </row>
    <row r="453" spans="1:3" x14ac:dyDescent="0.3">
      <c r="A453" t="s">
        <v>2265</v>
      </c>
      <c r="B453" t="str">
        <f t="shared" si="7"/>
        <v>&lt;a href="canciones/nsb/como_sal_como_luz.html"&gt;</v>
      </c>
      <c r="C453">
        <f>IFERROR(_xlfn.XMATCH(B453,CantoralDB[check]),"NO")</f>
        <v>317</v>
      </c>
    </row>
    <row r="454" spans="1:3" x14ac:dyDescent="0.3">
      <c r="A454" t="s">
        <v>2269</v>
      </c>
      <c r="B454" t="str">
        <f t="shared" si="7"/>
        <v>&lt;a href="canciones/nsb/confieso.html"&gt;</v>
      </c>
      <c r="C454">
        <f>IFERROR(_xlfn.XMATCH(B454,CantoralDB[check]),"NO")</f>
        <v>342</v>
      </c>
    </row>
    <row r="455" spans="1:3" x14ac:dyDescent="0.3">
      <c r="A455" t="s">
        <v>2270</v>
      </c>
      <c r="B455" t="str">
        <f t="shared" si="7"/>
        <v>&lt;a href="canciones/nsb/corazon_inquieto.html"&gt;</v>
      </c>
      <c r="C455">
        <f>IFERROR(_xlfn.XMATCH(B455,CantoralDB[check]),"NO")</f>
        <v>351</v>
      </c>
    </row>
    <row r="456" spans="1:3" x14ac:dyDescent="0.3">
      <c r="A456" t="s">
        <v>2271</v>
      </c>
      <c r="B456" t="str">
        <f t="shared" si="7"/>
        <v>&lt;a href="canciones/nsb/cordero_de_dios_(algete).html"&gt;</v>
      </c>
      <c r="C456">
        <f>IFERROR(_xlfn.XMATCH(B456,CantoralDB[check]),"NO")</f>
        <v>355</v>
      </c>
    </row>
    <row r="457" spans="1:3" x14ac:dyDescent="0.3">
      <c r="A457" t="s">
        <v>2272</v>
      </c>
      <c r="B457" t="str">
        <f t="shared" si="7"/>
        <v>&lt;a href="canciones/nsb/cordero_de_dios_(aragües).html"&gt;</v>
      </c>
      <c r="C457">
        <f>IFERROR(_xlfn.XMATCH(B457,CantoralDB[check]),"NO")</f>
        <v>356</v>
      </c>
    </row>
    <row r="458" spans="1:3" x14ac:dyDescent="0.3">
      <c r="A458" t="s">
        <v>2273</v>
      </c>
      <c r="B458" t="str">
        <f t="shared" si="7"/>
        <v>&lt;a href="canciones/nsb/cordero_de_dios_(boliviano).html"&gt;</v>
      </c>
      <c r="C458">
        <f>IFERROR(_xlfn.XMATCH(B458,CantoralDB[check]),"NO")</f>
        <v>357</v>
      </c>
    </row>
    <row r="459" spans="1:3" x14ac:dyDescent="0.3">
      <c r="A459" t="s">
        <v>2274</v>
      </c>
      <c r="B459" t="str">
        <f t="shared" si="7"/>
        <v>&lt;a href="canciones/nsb/cordero_de_dios_(maristas).html"&gt;</v>
      </c>
      <c r="C459">
        <f>IFERROR(_xlfn.XMATCH(B459,CantoralDB[check]),"NO")</f>
        <v>359</v>
      </c>
    </row>
    <row r="460" spans="1:3" x14ac:dyDescent="0.3">
      <c r="A460" t="s">
        <v>2275</v>
      </c>
      <c r="B460" t="str">
        <f t="shared" si="7"/>
        <v>&lt;a href="canciones/nsb/cordero_de_dios_(mies).html"&gt;</v>
      </c>
      <c r="C460">
        <f>IFERROR(_xlfn.XMATCH(B460,CantoralDB[check]),"NO")</f>
        <v>360</v>
      </c>
    </row>
    <row r="461" spans="1:3" x14ac:dyDescent="0.3">
      <c r="A461" t="s">
        <v>2282</v>
      </c>
      <c r="B461" t="str">
        <f t="shared" si="7"/>
        <v>&lt;a href="canciones/nsb/de_jerusalen_bajaba_a_jerico.html"&gt;</v>
      </c>
      <c r="C461">
        <f>IFERROR(_xlfn.XMATCH(B461,CantoralDB[check]),"NO")</f>
        <v>431</v>
      </c>
    </row>
    <row r="462" spans="1:3" x14ac:dyDescent="0.3">
      <c r="A462" t="s">
        <v>2284</v>
      </c>
      <c r="B462" t="str">
        <f t="shared" si="7"/>
        <v>&lt;a href="canciones/nsb/dime_como_ser_pan.html"&gt;</v>
      </c>
      <c r="C462">
        <f>IFERROR(_xlfn.XMATCH(B462,CantoralDB[check]),"NO")</f>
        <v>473</v>
      </c>
    </row>
    <row r="463" spans="1:3" x14ac:dyDescent="0.3">
      <c r="A463" t="s">
        <v>2286</v>
      </c>
      <c r="B463" t="str">
        <f t="shared" si="7"/>
        <v>&lt;a href="canciones/nsb/dios_es_fiel.html"&gt;</v>
      </c>
      <c r="C463">
        <f>IFERROR(_xlfn.XMATCH(B463,CantoralDB[check]),"NO")</f>
        <v>482</v>
      </c>
    </row>
    <row r="464" spans="1:3" x14ac:dyDescent="0.3">
      <c r="A464" t="s">
        <v>2287</v>
      </c>
      <c r="B464" t="str">
        <f t="shared" si="7"/>
        <v>&lt;a href="canciones/nsb/dios_esta_aqui.html"&gt;</v>
      </c>
      <c r="C464">
        <f>IFERROR(_xlfn.XMATCH(B464,CantoralDB[check]),"NO")</f>
        <v>484</v>
      </c>
    </row>
    <row r="465" spans="1:3" x14ac:dyDescent="0.3">
      <c r="A465" t="s">
        <v>2291</v>
      </c>
      <c r="B465" t="str">
        <f t="shared" si="7"/>
        <v>&lt;a href="canciones/nsb/dulce_muchacha_humilde_de_palestina.html"&gt;</v>
      </c>
      <c r="C465">
        <f>IFERROR(_xlfn.XMATCH(B465,CantoralDB[check]),"NO")</f>
        <v>516</v>
      </c>
    </row>
    <row r="466" spans="1:3" x14ac:dyDescent="0.3">
      <c r="A466" t="s">
        <v>2295</v>
      </c>
      <c r="B466" t="str">
        <f t="shared" si="7"/>
        <v>&lt;a href="canciones/nsb/el_camino_no_lo_haremos_solos.html"&gt;</v>
      </c>
      <c r="C466">
        <f>IFERROR(_xlfn.XMATCH(B466,CantoralDB[check]),"NO")</f>
        <v>539</v>
      </c>
    </row>
    <row r="467" spans="1:3" x14ac:dyDescent="0.3">
      <c r="A467" t="s">
        <v>2298</v>
      </c>
      <c r="B467" t="str">
        <f t="shared" si="7"/>
        <v>&lt;a href="canciones/nsb/el_que_muere_por_mi.html"&gt;</v>
      </c>
      <c r="C467">
        <f>IFERROR(_xlfn.XMATCH(B467,CantoralDB[check]),"NO")</f>
        <v>562</v>
      </c>
    </row>
    <row r="468" spans="1:3" x14ac:dyDescent="0.3">
      <c r="A468" t="s">
        <v>2299</v>
      </c>
      <c r="B468" t="str">
        <f t="shared" si="7"/>
        <v>&lt;a href="canciones/nsb/el_señor_dios_nos_amo.html"&gt;</v>
      </c>
      <c r="C468">
        <f>IFERROR(_xlfn.XMATCH(B468,CantoralDB[check]),"NO")</f>
        <v>569</v>
      </c>
    </row>
    <row r="469" spans="1:3" x14ac:dyDescent="0.3">
      <c r="A469" t="s">
        <v>2300</v>
      </c>
      <c r="B469" t="str">
        <f t="shared" si="7"/>
        <v>&lt;a href="canciones/nsb/el_señor_es_mi_luz.html"&gt;</v>
      </c>
      <c r="C469">
        <f>IFERROR(_xlfn.XMATCH(B469,CantoralDB[check]),"NO")</f>
        <v>576</v>
      </c>
    </row>
    <row r="470" spans="1:3" x14ac:dyDescent="0.3">
      <c r="A470" t="s">
        <v>2302</v>
      </c>
      <c r="B470" t="str">
        <f t="shared" si="7"/>
        <v>&lt;a href="canciones/nsb/el_señor_es_mi_pastor_nada_me_falta_(completo).html"&gt;</v>
      </c>
      <c r="C470" t="str">
        <f>IFERROR(_xlfn.XMATCH(B470,CantoralDB[check]),"NO")</f>
        <v>NO</v>
      </c>
    </row>
    <row r="471" spans="1:3" x14ac:dyDescent="0.3">
      <c r="A471" t="s">
        <v>3058</v>
      </c>
      <c r="B471" t="str">
        <f t="shared" si="7"/>
        <v>&lt;a href="canciones/emilio_vicente_mateu/el_señor_nos_ha_nacido_en_belen.html"&gt;</v>
      </c>
      <c r="C471">
        <f>IFERROR(_xlfn.XMATCH(B471,CantoralDB[check]),"NO")</f>
        <v>587</v>
      </c>
    </row>
    <row r="472" spans="1:3" x14ac:dyDescent="0.3">
      <c r="A472" t="s">
        <v>2306</v>
      </c>
      <c r="B472" t="str">
        <f t="shared" si="7"/>
        <v>&lt;a href="canciones/nsb/el_tren_del_evangelio.html"&gt;</v>
      </c>
      <c r="C472">
        <f>IFERROR(_xlfn.XMATCH(B472,CantoralDB[check]),"NO")</f>
        <v>599</v>
      </c>
    </row>
    <row r="473" spans="1:3" x14ac:dyDescent="0.3">
      <c r="A473" t="s">
        <v>2307</v>
      </c>
      <c r="B473" t="str">
        <f t="shared" si="7"/>
        <v>&lt;a href="canciones/nsb/el_vendra_y_te_salvara.html"&gt;</v>
      </c>
      <c r="C473">
        <f>IFERROR(_xlfn.XMATCH(B473,CantoralDB[check]),"NO")</f>
        <v>601</v>
      </c>
    </row>
    <row r="474" spans="1:3" x14ac:dyDescent="0.3">
      <c r="A474" t="s">
        <v>2308</v>
      </c>
      <c r="B474" t="str">
        <f t="shared" si="7"/>
        <v>&lt;a href="canciones/nsb/en_el_mar_he_oido_hoy.html"&gt;</v>
      </c>
      <c r="C474">
        <f>IFERROR(_xlfn.XMATCH(B474,CantoralDB[check]),"NO")</f>
        <v>606</v>
      </c>
    </row>
    <row r="475" spans="1:3" x14ac:dyDescent="0.3">
      <c r="A475" t="s">
        <v>2309</v>
      </c>
      <c r="B475" t="str">
        <f t="shared" si="7"/>
        <v>&lt;a href="canciones/nsb/en_el_señor_estamos_congregados.html"&gt;</v>
      </c>
      <c r="C475">
        <f>IFERROR(_xlfn.XMATCH(B475,CantoralDB[check]),"NO")</f>
        <v>607</v>
      </c>
    </row>
    <row r="476" spans="1:3" x14ac:dyDescent="0.3">
      <c r="A476" t="s">
        <v>2312</v>
      </c>
      <c r="B476" t="str">
        <f t="shared" si="7"/>
        <v>&lt;a href="canciones/nsb/en_mi_getsemani.html"&gt;</v>
      </c>
      <c r="C476">
        <f>IFERROR(_xlfn.XMATCH(B476,CantoralDB[check]),"NO")</f>
        <v>621</v>
      </c>
    </row>
    <row r="477" spans="1:3" x14ac:dyDescent="0.3">
      <c r="A477" t="s">
        <v>2318</v>
      </c>
      <c r="B477" t="str">
        <f t="shared" si="7"/>
        <v>&lt;a href="canciones/nsb/es_de_locos.html"&gt;</v>
      </c>
      <c r="C477">
        <f>IFERROR(_xlfn.XMATCH(B477,CantoralDB[check]),"NO")</f>
        <v>656</v>
      </c>
    </row>
    <row r="478" spans="1:3" x14ac:dyDescent="0.3">
      <c r="A478" t="s">
        <v>2322</v>
      </c>
      <c r="B478" t="str">
        <f t="shared" si="7"/>
        <v>&lt;a href="canciones/nsb/esto_que_te_doy.html"&gt;</v>
      </c>
      <c r="C478">
        <f>IFERROR(_xlfn.XMATCH(B478,CantoralDB[check]),"NO")</f>
        <v>694</v>
      </c>
    </row>
    <row r="479" spans="1:3" x14ac:dyDescent="0.3">
      <c r="A479" t="s">
        <v>2323</v>
      </c>
      <c r="B479" t="str">
        <f t="shared" si="7"/>
        <v>&lt;a href="canciones/nsb/fe_no_es_aguardar.html"&gt;</v>
      </c>
      <c r="C479">
        <f>IFERROR(_xlfn.XMATCH(B479,CantoralDB[check]),"NO")</f>
        <v>711</v>
      </c>
    </row>
    <row r="480" spans="1:3" x14ac:dyDescent="0.3">
      <c r="A480" t="s">
        <v>2324</v>
      </c>
      <c r="B480" t="str">
        <f t="shared" si="7"/>
        <v>&lt;a href="canciones/nsb/fuente_de_paz_y_fidelidad.html"&gt;</v>
      </c>
      <c r="C480" t="str">
        <f>IFERROR(_xlfn.XMATCH(B480,CantoralDB[check]),"NO")</f>
        <v>NO</v>
      </c>
    </row>
    <row r="481" spans="1:3" x14ac:dyDescent="0.3">
      <c r="A481" t="s">
        <v>2327</v>
      </c>
      <c r="B481" t="str">
        <f t="shared" si="7"/>
        <v>&lt;a href="canciones/nsb/gloria_a_dios_gloria_al_padre.html"&gt;</v>
      </c>
      <c r="C481">
        <f>IFERROR(_xlfn.XMATCH(B481,CantoralDB[check]),"NO")</f>
        <v>734</v>
      </c>
    </row>
    <row r="482" spans="1:3" x14ac:dyDescent="0.3">
      <c r="A482" t="s">
        <v>2330</v>
      </c>
      <c r="B482" t="str">
        <f t="shared" si="7"/>
        <v>&lt;a href="canciones/nsb/gloria_gloria_aleluya.html"&gt;</v>
      </c>
      <c r="C482">
        <f>IFERROR(_xlfn.XMATCH(B482,CantoralDB[check]),"NO")</f>
        <v>742</v>
      </c>
    </row>
    <row r="483" spans="1:3" x14ac:dyDescent="0.3">
      <c r="A483" t="s">
        <v>2328</v>
      </c>
      <c r="B483" t="str">
        <f t="shared" si="7"/>
        <v>&lt;a href="canciones/nsb/gloria_y_alabanza.html"&gt;</v>
      </c>
      <c r="C483">
        <f>IFERROR(_xlfn.XMATCH(B483,CantoralDB[check]),"NO")</f>
        <v>739</v>
      </c>
    </row>
    <row r="484" spans="1:3" x14ac:dyDescent="0.3">
      <c r="A484" t="s">
        <v>2331</v>
      </c>
      <c r="B484" t="str">
        <f t="shared" si="7"/>
        <v>&lt;a href="canciones/nsb/gracias_señor.html"&gt;</v>
      </c>
      <c r="C484">
        <f>IFERROR(_xlfn.XMATCH(B484,CantoralDB[check]),"NO")</f>
        <v>751</v>
      </c>
    </row>
    <row r="485" spans="1:3" x14ac:dyDescent="0.3">
      <c r="A485" t="s">
        <v>2332</v>
      </c>
      <c r="B485" t="str">
        <f t="shared" si="7"/>
        <v>&lt;a href="canciones/nsb/gritad_que_dios_es_grande.html"&gt;</v>
      </c>
      <c r="C485">
        <f>IFERROR(_xlfn.XMATCH(B485,CantoralDB[check]),"NO")</f>
        <v>756</v>
      </c>
    </row>
    <row r="486" spans="1:3" x14ac:dyDescent="0.3">
      <c r="A486" t="s">
        <v>2334</v>
      </c>
      <c r="B486" t="str">
        <f t="shared" si="7"/>
        <v>&lt;a href="canciones/nsb/hagase.html"&gt;</v>
      </c>
      <c r="C486">
        <f>IFERROR(_xlfn.XMATCH(B486,CantoralDB[check]),"NO")</f>
        <v>769</v>
      </c>
    </row>
    <row r="487" spans="1:3" x14ac:dyDescent="0.3">
      <c r="A487" t="s">
        <v>2335</v>
      </c>
      <c r="B487" t="str">
        <f t="shared" si="7"/>
        <v>&lt;a href="canciones/nsb/hay_un_corazon_que_late.html"&gt;</v>
      </c>
      <c r="C487">
        <f>IFERROR(_xlfn.XMATCH(B487,CantoralDB[check]),"NO")</f>
        <v>779</v>
      </c>
    </row>
    <row r="488" spans="1:3" x14ac:dyDescent="0.3">
      <c r="A488" t="s">
        <v>2338</v>
      </c>
      <c r="B488" t="str">
        <f t="shared" si="7"/>
        <v>&lt;a href="canciones/nsb/himno_a_san_jose.html"&gt;</v>
      </c>
      <c r="C488">
        <f>IFERROR(_xlfn.XMATCH(B488,CantoralDB[check]),"NO")</f>
        <v>808</v>
      </c>
    </row>
    <row r="489" spans="1:3" x14ac:dyDescent="0.3">
      <c r="A489" t="s">
        <v>2340</v>
      </c>
      <c r="B489" t="str">
        <f t="shared" si="7"/>
        <v>&lt;a href="canciones/nsb/hoy_el_señor_resucito.html"&gt;</v>
      </c>
      <c r="C489">
        <f>IFERROR(_xlfn.XMATCH(B489,CantoralDB[check]),"NO")</f>
        <v>816</v>
      </c>
    </row>
    <row r="490" spans="1:3" x14ac:dyDescent="0.3">
      <c r="A490" t="s">
        <v>2341</v>
      </c>
      <c r="B490" t="str">
        <f t="shared" si="7"/>
        <v>&lt;a href="canciones/nsb/hoy_empieza_una_nueva_era.html"&gt;</v>
      </c>
      <c r="C490">
        <f>IFERROR(_xlfn.XMATCH(B490,CantoralDB[check]),"NO")</f>
        <v>817</v>
      </c>
    </row>
    <row r="491" spans="1:3" x14ac:dyDescent="0.3">
      <c r="A491" t="s">
        <v>3076</v>
      </c>
      <c r="B491" t="str">
        <f t="shared" si="7"/>
        <v>&lt;a href="canciones/villancicos/hoy_en_la_tierra.html"&gt;</v>
      </c>
      <c r="C491">
        <f>IFERROR(_xlfn.XMATCH(B491,CantoralDB[check]),"NO")</f>
        <v>820</v>
      </c>
    </row>
    <row r="492" spans="1:3" x14ac:dyDescent="0.3">
      <c r="A492" t="s">
        <v>2347</v>
      </c>
      <c r="B492" t="str">
        <f t="shared" si="7"/>
        <v>&lt;a href="canciones/nsb/iluminame_señor.html"&gt;</v>
      </c>
      <c r="C492">
        <f>IFERROR(_xlfn.XMATCH(B492,CantoralDB[check]),"NO")</f>
        <v>834</v>
      </c>
    </row>
    <row r="493" spans="1:3" x14ac:dyDescent="0.3">
      <c r="A493" t="s">
        <v>2350</v>
      </c>
      <c r="B493" t="str">
        <f t="shared" si="7"/>
        <v>&lt;a href="canciones/nsb/jesus_amigo.html"&gt;</v>
      </c>
      <c r="C493">
        <f>IFERROR(_xlfn.XMATCH(B493,CantoralDB[check]),"NO")</f>
        <v>859</v>
      </c>
    </row>
    <row r="494" spans="1:3" x14ac:dyDescent="0.3">
      <c r="A494" t="s">
        <v>2351</v>
      </c>
      <c r="B494" t="str">
        <f t="shared" si="7"/>
        <v>&lt;a href="canciones/nsb/jesus_nuestra_pascua.html"&gt;</v>
      </c>
      <c r="C494">
        <f>IFERROR(_xlfn.XMATCH(B494,CantoralDB[check]),"NO")</f>
        <v>865</v>
      </c>
    </row>
    <row r="495" spans="1:3" x14ac:dyDescent="0.3">
      <c r="A495" t="s">
        <v>2353</v>
      </c>
      <c r="B495" t="str">
        <f t="shared" si="7"/>
        <v>&lt;a href="canciones/nsb/junto_a_ti_maria.html"&gt;</v>
      </c>
      <c r="C495">
        <f>IFERROR(_xlfn.XMATCH(B495,CantoralDB[check]),"NO")</f>
        <v>877</v>
      </c>
    </row>
    <row r="496" spans="1:3" x14ac:dyDescent="0.3">
      <c r="A496" t="s">
        <v>2355</v>
      </c>
      <c r="B496" t="str">
        <f t="shared" si="7"/>
        <v>&lt;a href="canciones/nsb/juntos_cantemos_hoy.html"&gt;</v>
      </c>
      <c r="C496">
        <f>IFERROR(_xlfn.XMATCH(B496,CantoralDB[check]),"NO")</f>
        <v>881</v>
      </c>
    </row>
    <row r="497" spans="1:3" x14ac:dyDescent="0.3">
      <c r="A497" t="s">
        <v>2357</v>
      </c>
      <c r="B497" t="str">
        <f t="shared" si="7"/>
        <v>&lt;a href="canciones/nsb/juntos_nos_acercamos.html"&gt;</v>
      </c>
      <c r="C497">
        <f>IFERROR(_xlfn.XMATCH(B497,CantoralDB[check]),"NO")</f>
        <v>883</v>
      </c>
    </row>
    <row r="498" spans="1:3" x14ac:dyDescent="0.3">
      <c r="A498" t="s">
        <v>2359</v>
      </c>
      <c r="B498" t="str">
        <f t="shared" si="7"/>
        <v>&lt;a href="canciones/nsb/la_cena_del_señor.html"&gt;</v>
      </c>
      <c r="C498">
        <f>IFERROR(_xlfn.XMATCH(B498,CantoralDB[check]),"NO")</f>
        <v>898</v>
      </c>
    </row>
    <row r="499" spans="1:3" x14ac:dyDescent="0.3">
      <c r="A499" t="s">
        <v>2360</v>
      </c>
      <c r="B499" t="str">
        <f t="shared" si="7"/>
        <v>&lt;a href="canciones/nsb/la_paz_te_doy.html"&gt;</v>
      </c>
      <c r="C499">
        <f>IFERROR(_xlfn.XMATCH(B499,CantoralDB[check]),"NO")</f>
        <v>916</v>
      </c>
    </row>
    <row r="500" spans="1:3" x14ac:dyDescent="0.3">
      <c r="A500" t="s">
        <v>2361</v>
      </c>
      <c r="B500" t="str">
        <f t="shared" si="7"/>
        <v>&lt;a href="canciones/nsb/la_virgen_sueña_caminos.html"&gt;</v>
      </c>
      <c r="C500">
        <f>IFERROR(_xlfn.XMATCH(B500,CantoralDB[check]),"NO")</f>
        <v>925</v>
      </c>
    </row>
    <row r="501" spans="1:3" x14ac:dyDescent="0.3">
      <c r="A501" t="s">
        <v>2363</v>
      </c>
      <c r="B501" t="str">
        <f t="shared" si="7"/>
        <v>&lt;a href="canciones/nsb/letanias.html"&gt;</v>
      </c>
      <c r="C501">
        <f>IFERROR(_xlfn.XMATCH(B501,CantoralDB[check]),"NO")</f>
        <v>936</v>
      </c>
    </row>
    <row r="502" spans="1:3" x14ac:dyDescent="0.3">
      <c r="A502" t="s">
        <v>2364</v>
      </c>
      <c r="B502" t="str">
        <f t="shared" si="7"/>
        <v>&lt;a href="canciones/nsb/llevad_la_buena_noticia.html"&gt;</v>
      </c>
      <c r="C502">
        <f>IFERROR(_xlfn.XMATCH(B502,CantoralDB[check]),"NO")</f>
        <v>952</v>
      </c>
    </row>
    <row r="503" spans="1:3" x14ac:dyDescent="0.3">
      <c r="A503" t="s">
        <v>2368</v>
      </c>
      <c r="B503" t="str">
        <f t="shared" si="7"/>
        <v>&lt;a href="canciones/nsb/maria_de_nazaret.html"&gt;</v>
      </c>
      <c r="C503">
        <f>IFERROR(_xlfn.XMATCH(B503,CantoralDB[check]),"NO")</f>
        <v>996</v>
      </c>
    </row>
    <row r="504" spans="1:3" x14ac:dyDescent="0.3">
      <c r="A504" t="s">
        <v>2369</v>
      </c>
      <c r="B504" t="str">
        <f t="shared" si="7"/>
        <v>&lt;a href="canciones/nsb/maria_guardabas_todo.html"&gt;</v>
      </c>
      <c r="C504">
        <f>IFERROR(_xlfn.XMATCH(B504,CantoralDB[check]),"NO")</f>
        <v>999</v>
      </c>
    </row>
    <row r="505" spans="1:3" x14ac:dyDescent="0.3">
      <c r="A505" t="s">
        <v>2371</v>
      </c>
      <c r="B505" t="str">
        <f t="shared" si="7"/>
        <v>&lt;a href="canciones/nsb/maria_madre_nuestra.html"&gt;</v>
      </c>
      <c r="C505">
        <f>IFERROR(_xlfn.XMATCH(B505,CantoralDB[check]),"NO")</f>
        <v>1002</v>
      </c>
    </row>
    <row r="506" spans="1:3" x14ac:dyDescent="0.3">
      <c r="A506" t="s">
        <v>2373</v>
      </c>
      <c r="B506" t="str">
        <f t="shared" si="7"/>
        <v>&lt;a href="canciones/nsb/maria_mirame.html"&gt;</v>
      </c>
      <c r="C506">
        <f>IFERROR(_xlfn.XMATCH(B506,CantoralDB[check]),"NO")</f>
        <v>1005</v>
      </c>
    </row>
    <row r="507" spans="1:3" x14ac:dyDescent="0.3">
      <c r="A507" t="s">
        <v>2376</v>
      </c>
      <c r="B507" t="str">
        <f t="shared" si="7"/>
        <v>&lt;a href="canciones/nsb/mi_dios_esta_vivo.html"&gt;</v>
      </c>
      <c r="C507">
        <f>IFERROR(_xlfn.XMATCH(B507,CantoralDB[check]),"NO")</f>
        <v>1035</v>
      </c>
    </row>
    <row r="508" spans="1:3" x14ac:dyDescent="0.3">
      <c r="A508" t="s">
        <v>2379</v>
      </c>
      <c r="B508" t="str">
        <f t="shared" si="7"/>
        <v>&lt;a href="canciones/nsb/mueveme_mi_dios.html"&gt;</v>
      </c>
      <c r="C508">
        <f>IFERROR(_xlfn.XMATCH(B508,CantoralDB[check]),"NO")</f>
        <v>1062</v>
      </c>
    </row>
    <row r="509" spans="1:3" x14ac:dyDescent="0.3">
      <c r="A509" t="s">
        <v>2384</v>
      </c>
      <c r="B509" t="str">
        <f t="shared" si="7"/>
        <v>&lt;a href="canciones/nsb/nadie_te_ama_como_yo.html"&gt;</v>
      </c>
      <c r="C509">
        <f>IFERROR(_xlfn.XMATCH(B509,CantoralDB[check]),"NO")</f>
        <v>1082</v>
      </c>
    </row>
    <row r="510" spans="1:3" x14ac:dyDescent="0.3">
      <c r="A510" t="s">
        <v>2386</v>
      </c>
      <c r="B510" t="str">
        <f t="shared" si="7"/>
        <v>&lt;a href="canciones/nsb/no_adoreis_a_nadie.html"&gt;</v>
      </c>
      <c r="C510" t="str">
        <f>IFERROR(_xlfn.XMATCH(B510,CantoralDB[check]),"NO")</f>
        <v>NO</v>
      </c>
    </row>
    <row r="511" spans="1:3" x14ac:dyDescent="0.3">
      <c r="A511" t="s">
        <v>2387</v>
      </c>
      <c r="B511" t="str">
        <f t="shared" si="7"/>
        <v>&lt;a href="canciones/nsb/no_me_mueve.html"&gt;</v>
      </c>
      <c r="C511">
        <f>IFERROR(_xlfn.XMATCH(B511,CantoralDB[check]),"NO")</f>
        <v>1104</v>
      </c>
    </row>
    <row r="512" spans="1:3" x14ac:dyDescent="0.3">
      <c r="A512" t="s">
        <v>2390</v>
      </c>
      <c r="B512" t="str">
        <f t="shared" si="7"/>
        <v>&lt;a href="canciones/nsb/no_se_canso_de_hacer_el_bien.html"&gt;</v>
      </c>
      <c r="C512">
        <f>IFERROR(_xlfn.XMATCH(B512,CantoralDB[check]),"NO")</f>
        <v>1117</v>
      </c>
    </row>
    <row r="513" spans="1:3" x14ac:dyDescent="0.3">
      <c r="A513" t="s">
        <v>2391</v>
      </c>
      <c r="B513" t="str">
        <f t="shared" ref="B513:B576" si="8">_xlfn.TEXTBEFORE(_xlfn.TEXTAFTER(A513,"&gt;"),"&gt;")&amp;"&gt;"</f>
        <v>&lt;a href="canciones/nsb/no_temas.html"&gt;</v>
      </c>
      <c r="C513">
        <f>IFERROR(_xlfn.XMATCH(B513,CantoralDB[check]),"NO")</f>
        <v>1124</v>
      </c>
    </row>
    <row r="514" spans="1:3" x14ac:dyDescent="0.3">
      <c r="A514" t="s">
        <v>2393</v>
      </c>
      <c r="B514" t="str">
        <f t="shared" si="8"/>
        <v>&lt;a href="canciones/nsb/oh_dios_tu_eres_mi_dios_(sed_de_dios).html"&gt;</v>
      </c>
      <c r="C514">
        <f>IFERROR(_xlfn.XMATCH(B514,CantoralDB[check]),"NO")</f>
        <v>1163</v>
      </c>
    </row>
    <row r="515" spans="1:3" x14ac:dyDescent="0.3">
      <c r="A515" t="s">
        <v>2394</v>
      </c>
      <c r="B515" t="str">
        <f t="shared" si="8"/>
        <v>&lt;a href="canciones/nsb/oh_señor_mueve_mi_espiritu.html"&gt;</v>
      </c>
      <c r="C515">
        <f>IFERROR(_xlfn.XMATCH(B515,CantoralDB[check]),"NO")</f>
        <v>1173</v>
      </c>
    </row>
    <row r="516" spans="1:3" x14ac:dyDescent="0.3">
      <c r="A516" t="s">
        <v>3065</v>
      </c>
      <c r="B516" t="str">
        <f t="shared" si="8"/>
        <v>&lt;a href="canciones/ricardo_cantalapiedra/os_doy_un_mandato_nuevo.html"&gt;</v>
      </c>
      <c r="C516">
        <f>IFERROR(_xlfn.XMATCH(B516,CantoralDB[check]),"NO")</f>
        <v>1183</v>
      </c>
    </row>
    <row r="517" spans="1:3" x14ac:dyDescent="0.3">
      <c r="A517" t="s">
        <v>2398</v>
      </c>
      <c r="B517" t="str">
        <f t="shared" si="8"/>
        <v>&lt;a href="canciones/nsb/padre_nuestro_(mexicano).html"&gt;</v>
      </c>
      <c r="C517">
        <f>IFERROR(_xlfn.XMATCH(B517,CantoralDB[check]),"NO")</f>
        <v>1194</v>
      </c>
    </row>
    <row r="518" spans="1:3" x14ac:dyDescent="0.3">
      <c r="A518" t="s">
        <v>2401</v>
      </c>
      <c r="B518" t="str">
        <f t="shared" si="8"/>
        <v>&lt;a href="canciones/nsb/padre_nuestro_tu_que_estas.html"&gt;</v>
      </c>
      <c r="C518">
        <f>IFERROR(_xlfn.XMATCH(B518,CantoralDB[check]),"NO")</f>
        <v>1203</v>
      </c>
    </row>
    <row r="519" spans="1:3" x14ac:dyDescent="0.3">
      <c r="A519" t="s">
        <v>2399</v>
      </c>
      <c r="B519" t="str">
        <f t="shared" si="8"/>
        <v>&lt;a href="canciones/nsb/padre_nuestro_zaragozano.html"&gt;</v>
      </c>
      <c r="C519">
        <f>IFERROR(_xlfn.XMATCH(B519,CantoralDB[check]),"NO")</f>
        <v>1200</v>
      </c>
    </row>
    <row r="520" spans="1:3" x14ac:dyDescent="0.3">
      <c r="A520" t="s">
        <v>2404</v>
      </c>
      <c r="B520" t="str">
        <f t="shared" si="8"/>
        <v>&lt;a href="canciones/nsb/para_el_que_sabe.html"&gt;</v>
      </c>
      <c r="C520">
        <f>IFERROR(_xlfn.XMATCH(B520,CantoralDB[check]),"NO")</f>
        <v>1217</v>
      </c>
    </row>
    <row r="521" spans="1:3" x14ac:dyDescent="0.3">
      <c r="A521" t="s">
        <v>3070</v>
      </c>
      <c r="B521" t="str">
        <f t="shared" si="8"/>
        <v>&lt;a href="canciones/kairoi/paz_en_la_tierra.html"&gt;</v>
      </c>
      <c r="C521">
        <f>IFERROR(_xlfn.XMATCH(B521,CantoralDB[check]),"NO")</f>
        <v>1247</v>
      </c>
    </row>
    <row r="522" spans="1:3" x14ac:dyDescent="0.3">
      <c r="A522" t="s">
        <v>2405</v>
      </c>
      <c r="B522" t="str">
        <f t="shared" si="8"/>
        <v>&lt;a href="canciones/nsb/paz_señor_en_el_cielo_y_la_tierra.html"&gt;</v>
      </c>
      <c r="C522">
        <f>IFERROR(_xlfn.XMATCH(B522,CantoralDB[check]),"NO")</f>
        <v>1248</v>
      </c>
    </row>
    <row r="523" spans="1:3" x14ac:dyDescent="0.3">
      <c r="A523" t="s">
        <v>2410</v>
      </c>
      <c r="B523" t="str">
        <f t="shared" si="8"/>
        <v>&lt;a href="canciones/nsb/pon_tu_mano.html"&gt;</v>
      </c>
      <c r="C523">
        <f>IFERROR(_xlfn.XMATCH(B523,CantoralDB[check]),"NO")</f>
        <v>1269</v>
      </c>
    </row>
    <row r="524" spans="1:3" x14ac:dyDescent="0.3">
      <c r="A524" t="s">
        <v>2412</v>
      </c>
      <c r="B524" t="str">
        <f t="shared" si="8"/>
        <v>&lt;a href="canciones/nsb/por_los_hombres.html"&gt;</v>
      </c>
      <c r="C524">
        <f>IFERROR(_xlfn.XMATCH(B524,CantoralDB[check]),"NO")</f>
        <v>1275</v>
      </c>
    </row>
    <row r="525" spans="1:3" x14ac:dyDescent="0.3">
      <c r="A525" t="s">
        <v>2415</v>
      </c>
      <c r="B525" t="str">
        <f t="shared" si="8"/>
        <v>&lt;a href="canciones/nsb/preparad_el_camino_al_señor.html"&gt;</v>
      </c>
      <c r="C525">
        <f>IFERROR(_xlfn.XMATCH(B525,CantoralDB[check]),"NO")</f>
        <v>1290</v>
      </c>
    </row>
    <row r="526" spans="1:3" x14ac:dyDescent="0.3">
      <c r="A526" t="s">
        <v>2416</v>
      </c>
      <c r="B526" t="str">
        <f t="shared" si="8"/>
        <v>&lt;a href="canciones/nsb/principio_y_fundamento.html"&gt;</v>
      </c>
      <c r="C526">
        <f>IFERROR(_xlfn.XMATCH(B526,CantoralDB[check]),"NO")</f>
        <v>1291</v>
      </c>
    </row>
    <row r="527" spans="1:3" x14ac:dyDescent="0.3">
      <c r="A527" t="s">
        <v>3063</v>
      </c>
      <c r="B527" t="str">
        <f t="shared" si="8"/>
        <v>&lt;a href="canciones/ricardo_cantalapiedra/protegeme_dios_mio.html"&gt;</v>
      </c>
      <c r="C527">
        <f>IFERROR(_xlfn.XMATCH(B527,CantoralDB[check]),"NO")</f>
        <v>1296</v>
      </c>
    </row>
    <row r="528" spans="1:3" x14ac:dyDescent="0.3">
      <c r="A528" t="s">
        <v>3064</v>
      </c>
      <c r="B528" t="str">
        <f t="shared" si="8"/>
        <v>&lt;a href="canciones/ricardo_cantalapiedra/pueblo_mio.html"&gt;</v>
      </c>
      <c r="C528">
        <f>IFERROR(_xlfn.XMATCH(B528,CantoralDB[check]),"NO")</f>
        <v>1300</v>
      </c>
    </row>
    <row r="529" spans="1:3" x14ac:dyDescent="0.3">
      <c r="A529" t="s">
        <v>2420</v>
      </c>
      <c r="B529" t="str">
        <f t="shared" si="8"/>
        <v>&lt;a href="canciones/nsb/que_te_puedo_dar.html"&gt;</v>
      </c>
      <c r="C529" t="str">
        <f>IFERROR(_xlfn.XMATCH(B529,CantoralDB[check]),"NO")</f>
        <v>NO</v>
      </c>
    </row>
    <row r="530" spans="1:3" x14ac:dyDescent="0.3">
      <c r="A530" t="s">
        <v>2425</v>
      </c>
      <c r="B530" t="str">
        <f t="shared" si="8"/>
        <v>&lt;a href="canciones/nsb/quien_nos_separara.html"&gt;</v>
      </c>
      <c r="C530">
        <f>IFERROR(_xlfn.XMATCH(B530,CantoralDB[check]),"NO")</f>
        <v>1345</v>
      </c>
    </row>
    <row r="531" spans="1:3" x14ac:dyDescent="0.3">
      <c r="A531" t="s">
        <v>2426</v>
      </c>
      <c r="B531" t="str">
        <f t="shared" si="8"/>
        <v>&lt;a href="canciones/nsb/quiero_alabarte.html"&gt;</v>
      </c>
      <c r="C531">
        <f>IFERROR(_xlfn.XMATCH(B531,CantoralDB[check]),"NO")</f>
        <v>1353</v>
      </c>
    </row>
    <row r="532" spans="1:3" x14ac:dyDescent="0.3">
      <c r="A532" t="s">
        <v>2427</v>
      </c>
      <c r="B532" t="str">
        <f t="shared" si="8"/>
        <v>&lt;a href="canciones/nsb/quiero_caminar.html"&gt;</v>
      </c>
      <c r="C532">
        <f>IFERROR(_xlfn.XMATCH(B532,CantoralDB[check]),"NO")</f>
        <v>1354</v>
      </c>
    </row>
    <row r="533" spans="1:3" x14ac:dyDescent="0.3">
      <c r="A533" t="s">
        <v>2428</v>
      </c>
      <c r="B533" t="str">
        <f t="shared" si="8"/>
        <v>&lt;a href="canciones/nsb/quiero_caminar_contigo_maria.html"&gt;</v>
      </c>
      <c r="C533">
        <f>IFERROR(_xlfn.XMATCH(B533,CantoralDB[check]),"NO")</f>
        <v>1355</v>
      </c>
    </row>
    <row r="534" spans="1:3" x14ac:dyDescent="0.3">
      <c r="A534" t="s">
        <v>2429</v>
      </c>
      <c r="B534" t="str">
        <f t="shared" si="8"/>
        <v>&lt;a href="canciones/nsb/quiero_ser_pan.html"&gt;</v>
      </c>
      <c r="C534">
        <f>IFERROR(_xlfn.XMATCH(B534,CantoralDB[check]),"NO")</f>
        <v>1361</v>
      </c>
    </row>
    <row r="535" spans="1:3" x14ac:dyDescent="0.3">
      <c r="A535" t="s">
        <v>2431</v>
      </c>
      <c r="B535" t="str">
        <f t="shared" si="8"/>
        <v>&lt;a href="canciones/nsb/resucito_aleluya.html"&gt;</v>
      </c>
      <c r="C535">
        <f>IFERROR(_xlfn.XMATCH(B535,CantoralDB[check]),"NO")</f>
        <v>1373</v>
      </c>
    </row>
    <row r="536" spans="1:3" x14ac:dyDescent="0.3">
      <c r="A536" t="s">
        <v>2433</v>
      </c>
      <c r="B536" t="str">
        <f t="shared" si="8"/>
        <v>&lt;a href="canciones/nsb/salve_madre.html"&gt;</v>
      </c>
      <c r="C536">
        <f>IFERROR(_xlfn.XMATCH(B536,CantoralDB[check]),"NO")</f>
        <v>1390</v>
      </c>
    </row>
    <row r="537" spans="1:3" x14ac:dyDescent="0.3">
      <c r="A537" t="s">
        <v>2434</v>
      </c>
      <c r="B537" t="str">
        <f t="shared" si="8"/>
        <v>&lt;a href="canciones/nsb/salve_regina.html"&gt;</v>
      </c>
      <c r="C537">
        <f>IFERROR(_xlfn.XMATCH(B537,CantoralDB[check]),"NO")</f>
        <v>1391</v>
      </c>
    </row>
    <row r="538" spans="1:3" x14ac:dyDescent="0.3">
      <c r="A538" t="s">
        <v>2436</v>
      </c>
      <c r="B538" t="str">
        <f t="shared" si="8"/>
        <v>&lt;a href="canciones/nsb/santo_(cielo_y_tierra_pasaran).html"&gt;</v>
      </c>
      <c r="C538">
        <f>IFERROR(_xlfn.XMATCH(B538,CantoralDB[check]),"NO")</f>
        <v>1401</v>
      </c>
    </row>
    <row r="539" spans="1:3" x14ac:dyDescent="0.3">
      <c r="A539" t="s">
        <v>2438</v>
      </c>
      <c r="B539" t="str">
        <f t="shared" si="8"/>
        <v>&lt;a href="canciones/nsb/santo_(händel).html"&gt;</v>
      </c>
      <c r="C539">
        <f>IFERROR(_xlfn.XMATCH(B539,CantoralDB[check]),"NO")</f>
        <v>1404</v>
      </c>
    </row>
    <row r="540" spans="1:3" x14ac:dyDescent="0.3">
      <c r="A540" t="s">
        <v>2440</v>
      </c>
      <c r="B540" t="str">
        <f t="shared" si="8"/>
        <v>&lt;a href="canciones/nsb/santo_(mocedades).html"&gt;</v>
      </c>
      <c r="C540">
        <f>IFERROR(_xlfn.XMATCH(B540,CantoralDB[check]),"NO")</f>
        <v>1407</v>
      </c>
    </row>
    <row r="541" spans="1:3" x14ac:dyDescent="0.3">
      <c r="A541" t="s">
        <v>2441</v>
      </c>
      <c r="B541" t="str">
        <f t="shared" si="8"/>
        <v>&lt;a href="canciones/nsb/santo_(olguin).html"&gt;</v>
      </c>
      <c r="C541">
        <f>IFERROR(_xlfn.XMATCH(B541,CantoralDB[check]),"NO")</f>
        <v>1408</v>
      </c>
    </row>
    <row r="542" spans="1:3" x14ac:dyDescent="0.3">
      <c r="A542" t="s">
        <v>2442</v>
      </c>
      <c r="B542" t="str">
        <f t="shared" si="8"/>
        <v>&lt;a href="canciones/nsb/santo_(santo_domingo_de_silos).html"&gt;</v>
      </c>
      <c r="C542">
        <f>IFERROR(_xlfn.XMATCH(B542,CantoralDB[check]),"NO")</f>
        <v>1412</v>
      </c>
    </row>
    <row r="543" spans="1:3" x14ac:dyDescent="0.3">
      <c r="A543" t="s">
        <v>2443</v>
      </c>
      <c r="B543" t="str">
        <f t="shared" si="8"/>
        <v>&lt;a href="canciones/nsb/santo_(the_beatles).html"&gt;</v>
      </c>
      <c r="C543">
        <f>IFERROR(_xlfn.XMATCH(B543,CantoralDB[check]),"NO")</f>
        <v>1413</v>
      </c>
    </row>
    <row r="544" spans="1:3" x14ac:dyDescent="0.3">
      <c r="A544" t="s">
        <v>2444</v>
      </c>
      <c r="B544" t="str">
        <f t="shared" si="8"/>
        <v>&lt;a href="canciones/nsb/santo_eres_señor_dios_nuestro.html"&gt;</v>
      </c>
      <c r="C544">
        <f>IFERROR(_xlfn.XMATCH(B544,CantoralDB[check]),"NO")</f>
        <v>1414</v>
      </c>
    </row>
    <row r="545" spans="1:3" x14ac:dyDescent="0.3">
      <c r="A545" t="s">
        <v>2445</v>
      </c>
      <c r="B545" t="str">
        <f t="shared" si="8"/>
        <v>&lt;a href="canciones/nsb/santo_es_el_señor.html"&gt;</v>
      </c>
      <c r="C545">
        <f>IFERROR(_xlfn.XMATCH(B545,CantoralDB[check]),"NO")</f>
        <v>1416</v>
      </c>
    </row>
    <row r="546" spans="1:3" x14ac:dyDescent="0.3">
      <c r="A546" t="s">
        <v>2446</v>
      </c>
      <c r="B546" t="str">
        <f t="shared" si="8"/>
        <v>&lt;a href="canciones/nsb/santo_salvadoreño.html"&gt;</v>
      </c>
      <c r="C546">
        <f>IFERROR(_xlfn.XMATCH(B546,CantoralDB[check]),"NO")</f>
        <v>1417</v>
      </c>
    </row>
    <row r="547" spans="1:3" x14ac:dyDescent="0.3">
      <c r="A547" t="s">
        <v>2447</v>
      </c>
      <c r="B547" t="str">
        <f t="shared" si="8"/>
        <v>&lt;a href="canciones/nsb/santo_zaireño.html"&gt;</v>
      </c>
      <c r="C547">
        <f>IFERROR(_xlfn.XMATCH(B547,CantoralDB[check]),"NO")</f>
        <v>1419</v>
      </c>
    </row>
    <row r="548" spans="1:3" x14ac:dyDescent="0.3">
      <c r="A548" t="s">
        <v>3077</v>
      </c>
      <c r="B548" t="str">
        <f t="shared" si="8"/>
        <v>&lt;a href="canciones/carmelo_erdozain/se_acerca_el_reino_de_dios.html"&gt;</v>
      </c>
      <c r="C548">
        <f>IFERROR(_xlfn.XMATCH(B548,CantoralDB[check]),"NO")</f>
        <v>1424</v>
      </c>
    </row>
    <row r="549" spans="1:3" x14ac:dyDescent="0.3">
      <c r="A549" t="s">
        <v>2448</v>
      </c>
      <c r="B549" t="str">
        <f t="shared" si="8"/>
        <v>&lt;a href="canciones/nsb/se_acerca_tu_navidad.html"&gt;</v>
      </c>
      <c r="C549">
        <f>IFERROR(_xlfn.XMATCH(B549,CantoralDB[check]),"NO")</f>
        <v>1425</v>
      </c>
    </row>
    <row r="550" spans="1:3" x14ac:dyDescent="0.3">
      <c r="A550" t="s">
        <v>2449</v>
      </c>
      <c r="B550" t="str">
        <f t="shared" si="8"/>
        <v>&lt;a href="canciones/nsb/secuencia_de_pascua.html"&gt;</v>
      </c>
      <c r="C550">
        <f>IFERROR(_xlfn.XMATCH(B550,CantoralDB[check]),"NO")</f>
        <v>1436</v>
      </c>
    </row>
    <row r="551" spans="1:3" x14ac:dyDescent="0.3">
      <c r="A551" t="s">
        <v>2450</v>
      </c>
      <c r="B551" t="str">
        <f t="shared" si="8"/>
        <v>&lt;a href="canciones/nsb/señor_ten_piedad.html"&gt;</v>
      </c>
      <c r="C551">
        <f>IFERROR(_xlfn.XMATCH(B551,CantoralDB[check]),"NO")</f>
        <v>1457</v>
      </c>
    </row>
    <row r="552" spans="1:3" x14ac:dyDescent="0.3">
      <c r="A552" t="s">
        <v>2451</v>
      </c>
      <c r="B552" t="str">
        <f t="shared" si="8"/>
        <v>&lt;a href="canciones/nsb/señor_ten_piedad_de_nosotros.html"&gt;</v>
      </c>
      <c r="C552">
        <f>IFERROR(_xlfn.XMATCH(B552,CantoralDB[check]),"NO")</f>
        <v>1462</v>
      </c>
    </row>
    <row r="553" spans="1:3" x14ac:dyDescent="0.3">
      <c r="A553" t="s">
        <v>2453</v>
      </c>
      <c r="B553" t="str">
        <f t="shared" si="8"/>
        <v>&lt;a href="canciones/nsb/shalom_haberim.html"&gt;</v>
      </c>
      <c r="C553">
        <f>IFERROR(_xlfn.XMATCH(B553,CantoralDB[check]),"NO")</f>
        <v>1468</v>
      </c>
    </row>
    <row r="554" spans="1:3" x14ac:dyDescent="0.3">
      <c r="A554" t="s">
        <v>2454</v>
      </c>
      <c r="B554" t="str">
        <f t="shared" si="8"/>
        <v>&lt;a href="canciones/nsb/si_dios_a_su_mesa_nos_quiere_sentar.html"&gt;</v>
      </c>
      <c r="C554">
        <f>IFERROR(_xlfn.XMATCH(B554,CantoralDB[check]),"NO")</f>
        <v>1476</v>
      </c>
    </row>
    <row r="555" spans="1:3" x14ac:dyDescent="0.3">
      <c r="A555" t="s">
        <v>2456</v>
      </c>
      <c r="B555" t="str">
        <f t="shared" si="8"/>
        <v>&lt;a href="canciones/nsb/siempre_en_ti.html"&gt;</v>
      </c>
      <c r="C555">
        <f>IFERROR(_xlfn.XMATCH(B555,CantoralDB[check]),"NO")</f>
        <v>1496</v>
      </c>
    </row>
    <row r="556" spans="1:3" x14ac:dyDescent="0.3">
      <c r="A556" t="s">
        <v>2458</v>
      </c>
      <c r="B556" t="str">
        <f t="shared" si="8"/>
        <v>&lt;a href="canciones/nsb/sigue_habiendo.html"&gt;</v>
      </c>
      <c r="C556">
        <f>IFERROR(_xlfn.XMATCH(B556,CantoralDB[check]),"NO")</f>
        <v>1508</v>
      </c>
    </row>
    <row r="557" spans="1:3" x14ac:dyDescent="0.3">
      <c r="A557" t="s">
        <v>2459</v>
      </c>
      <c r="B557" t="str">
        <f t="shared" si="8"/>
        <v>&lt;a href="canciones/nsb/sois_la_sal.html"&gt;</v>
      </c>
      <c r="C557">
        <f>IFERROR(_xlfn.XMATCH(B557,CantoralDB[check]),"NO")</f>
        <v>1512</v>
      </c>
    </row>
    <row r="558" spans="1:3" x14ac:dyDescent="0.3">
      <c r="A558" t="s">
        <v>3059</v>
      </c>
      <c r="B558" t="str">
        <f t="shared" si="8"/>
        <v>&lt;a href="canciones/emilio_vicente_mateu/somos_un_pueblo_que_camina.html"&gt;</v>
      </c>
      <c r="C558">
        <f>IFERROR(_xlfn.XMATCH(B558,CantoralDB[check]),"NO")</f>
        <v>1524</v>
      </c>
    </row>
    <row r="559" spans="1:3" x14ac:dyDescent="0.3">
      <c r="A559" t="s">
        <v>2462</v>
      </c>
      <c r="B559" t="str">
        <f t="shared" si="8"/>
        <v>&lt;a href="canciones/nsb/tanto_amo_dios_al_mundo.html"&gt;</v>
      </c>
      <c r="C559">
        <f>IFERROR(_xlfn.XMATCH(B559,CantoralDB[check]),"NO")</f>
        <v>1544</v>
      </c>
    </row>
    <row r="560" spans="1:3" x14ac:dyDescent="0.3">
      <c r="A560" t="s">
        <v>2463</v>
      </c>
      <c r="B560" t="str">
        <f t="shared" si="8"/>
        <v>&lt;a href="canciones/nsb/te_amo_señor.html"&gt;</v>
      </c>
      <c r="C560">
        <f>IFERROR(_xlfn.XMATCH(B560,CantoralDB[check]),"NO")</f>
        <v>1550</v>
      </c>
    </row>
    <row r="561" spans="1:3" x14ac:dyDescent="0.3">
      <c r="A561" t="s">
        <v>2464</v>
      </c>
      <c r="B561" t="str">
        <f t="shared" si="8"/>
        <v>&lt;a href="canciones/nsb/te_damos_gracias_señor.html"&gt;</v>
      </c>
      <c r="C561" t="str">
        <f>IFERROR(_xlfn.XMATCH(B561,CantoralDB[check]),"NO")</f>
        <v>NO</v>
      </c>
    </row>
    <row r="562" spans="1:3" x14ac:dyDescent="0.3">
      <c r="A562" t="s">
        <v>3062</v>
      </c>
      <c r="B562" t="str">
        <f t="shared" si="8"/>
        <v>&lt;a href="canciones/ricardo_cantalapiedra/te_ensalzare_señor.html"&gt;</v>
      </c>
      <c r="C562">
        <f>IFERROR(_xlfn.XMATCH(B562,CantoralDB[check]),"NO")</f>
        <v>1561</v>
      </c>
    </row>
    <row r="563" spans="1:3" x14ac:dyDescent="0.3">
      <c r="A563" t="s">
        <v>2467</v>
      </c>
      <c r="B563" t="str">
        <f t="shared" si="8"/>
        <v>&lt;a href="canciones/nsb/ten_piedad_de_mi_señor.html"&gt;</v>
      </c>
      <c r="C563">
        <f>IFERROR(_xlfn.XMATCH(B563,CantoralDB[check]),"NO")</f>
        <v>1575</v>
      </c>
    </row>
    <row r="564" spans="1:3" x14ac:dyDescent="0.3">
      <c r="A564" t="s">
        <v>2468</v>
      </c>
      <c r="B564" t="str">
        <f t="shared" si="8"/>
        <v>&lt;a href="canciones/nsb/tengo_que_gritar.html"&gt;</v>
      </c>
      <c r="C564">
        <f>IFERROR(_xlfn.XMATCH(B564,CantoralDB[check]),"NO")</f>
        <v>1581</v>
      </c>
    </row>
    <row r="565" spans="1:3" x14ac:dyDescent="0.3">
      <c r="A565" t="s">
        <v>3060</v>
      </c>
      <c r="B565" t="str">
        <f t="shared" si="8"/>
        <v>&lt;a href="canciones/emilio_vicente_mateu/tiempo_de_espera.html"&gt;</v>
      </c>
      <c r="C565">
        <f>IFERROR(_xlfn.XMATCH(B565,CantoralDB[check]),"NO")</f>
        <v>1588</v>
      </c>
    </row>
    <row r="566" spans="1:3" x14ac:dyDescent="0.3">
      <c r="A566" t="s">
        <v>2472</v>
      </c>
      <c r="B566" t="str">
        <f t="shared" si="8"/>
        <v>&lt;a href="canciones/nsb/traemos_a_tu_altar.html"&gt;</v>
      </c>
      <c r="C566">
        <f>IFERROR(_xlfn.XMATCH(B566,CantoralDB[check]),"NO")</f>
        <v>1612</v>
      </c>
    </row>
    <row r="567" spans="1:3" x14ac:dyDescent="0.3">
      <c r="A567" t="s">
        <v>2473</v>
      </c>
      <c r="B567" t="str">
        <f t="shared" si="8"/>
        <v>&lt;a href="canciones/nsb/tu_eres_capaz.html"&gt;</v>
      </c>
      <c r="C567">
        <f>IFERROR(_xlfn.XMATCH(B567,CantoralDB[check]),"NO")</f>
        <v>1624</v>
      </c>
    </row>
    <row r="568" spans="1:3" x14ac:dyDescent="0.3">
      <c r="A568" t="s">
        <v>2478</v>
      </c>
      <c r="B568" t="str">
        <f t="shared" si="8"/>
        <v>&lt;a href="canciones/nsb/un_dia_abri_los_ojos.html"&gt;</v>
      </c>
      <c r="C568">
        <f>IFERROR(_xlfn.XMATCH(B568,CantoralDB[check]),"NO")</f>
        <v>1685</v>
      </c>
    </row>
    <row r="569" spans="1:3" x14ac:dyDescent="0.3">
      <c r="A569" t="s">
        <v>2480</v>
      </c>
      <c r="B569" t="str">
        <f t="shared" si="8"/>
        <v>&lt;a href="canciones/nsb/un_nuevo_sitio_disponed.html"&gt;</v>
      </c>
      <c r="C569">
        <f>IFERROR(_xlfn.XMATCH(B569,CantoralDB[check]),"NO")</f>
        <v>1694</v>
      </c>
    </row>
    <row r="570" spans="1:3" x14ac:dyDescent="0.3">
      <c r="A570" t="s">
        <v>2481</v>
      </c>
      <c r="B570" t="str">
        <f t="shared" si="8"/>
        <v>&lt;a href="canciones/nsb/un_solo_señor.html"&gt;</v>
      </c>
      <c r="C570">
        <f>IFERROR(_xlfn.XMATCH(B570,CantoralDB[check]),"NO")</f>
        <v>1700</v>
      </c>
    </row>
    <row r="571" spans="1:3" x14ac:dyDescent="0.3">
      <c r="A571" t="s">
        <v>2485</v>
      </c>
      <c r="B571" t="str">
        <f t="shared" si="8"/>
        <v>&lt;a href="canciones/nsb/una_tarde_en_la_playa.html"&gt;</v>
      </c>
      <c r="C571" t="str">
        <f>IFERROR(_xlfn.XMATCH(B571,CantoralDB[check]),"NO")</f>
        <v>NO</v>
      </c>
    </row>
    <row r="572" spans="1:3" x14ac:dyDescent="0.3">
      <c r="A572" t="s">
        <v>2486</v>
      </c>
      <c r="B572" t="str">
        <f t="shared" si="8"/>
        <v>&lt;a href="canciones/nsb/una_voz_clama_en_el_desierto.html"&gt;</v>
      </c>
      <c r="C572">
        <f>IFERROR(_xlfn.XMATCH(B572,CantoralDB[check]),"NO")</f>
        <v>1709</v>
      </c>
    </row>
    <row r="573" spans="1:3" x14ac:dyDescent="0.3">
      <c r="A573" t="s">
        <v>2491</v>
      </c>
      <c r="B573" t="str">
        <f t="shared" si="8"/>
        <v>&lt;a href="canciones/nsb/vamos_todos_al_banquete.html"&gt;</v>
      </c>
      <c r="C573">
        <f>IFERROR(_xlfn.XMATCH(B573,CantoralDB[check]),"NO")</f>
        <v>1728</v>
      </c>
    </row>
    <row r="574" spans="1:3" x14ac:dyDescent="0.3">
      <c r="A574" t="s">
        <v>2493</v>
      </c>
      <c r="B574" t="str">
        <f t="shared" si="8"/>
        <v>&lt;a href="canciones/nsb/ven_a_celebrar.html"&gt;</v>
      </c>
      <c r="C574">
        <f>IFERROR(_xlfn.XMATCH(B574,CantoralDB[check]),"NO")</f>
        <v>1733</v>
      </c>
    </row>
    <row r="575" spans="1:3" x14ac:dyDescent="0.3">
      <c r="A575" t="s">
        <v>2497</v>
      </c>
      <c r="B575" t="str">
        <f t="shared" si="8"/>
        <v>&lt;a href="canciones/nsb/ven_espiritu_de_dios_(esprit_createur).html"&gt;</v>
      </c>
      <c r="C575">
        <f>IFERROR(_xlfn.XMATCH(B575,CantoralDB[check]),"NO")</f>
        <v>1756</v>
      </c>
    </row>
    <row r="576" spans="1:3" x14ac:dyDescent="0.3">
      <c r="A576" t="s">
        <v>2498</v>
      </c>
      <c r="B576" t="str">
        <f t="shared" si="8"/>
        <v>&lt;a href="canciones/nsb/ven_espiritu_divino_(secuencia_de_pentecostes).html"&gt;</v>
      </c>
      <c r="C576">
        <f>IFERROR(_xlfn.XMATCH(B576,CantoralDB[check]),"NO")</f>
        <v>1759</v>
      </c>
    </row>
    <row r="577" spans="1:3" x14ac:dyDescent="0.3">
      <c r="A577" t="s">
        <v>2502</v>
      </c>
      <c r="B577" t="str">
        <f t="shared" ref="B577:B640" si="9">_xlfn.TEXTBEFORE(_xlfn.TEXTAFTER(A577,"&gt;"),"&gt;")&amp;"&gt;"</f>
        <v>&lt;a href="canciones/nsb/ven_si_te_has_caido_levantate.html"&gt;</v>
      </c>
      <c r="C577">
        <f>IFERROR(_xlfn.XMATCH(B577,CantoralDB[check]),"NO")</f>
        <v>1773</v>
      </c>
    </row>
    <row r="578" spans="1:3" x14ac:dyDescent="0.3">
      <c r="A578" t="s">
        <v>2495</v>
      </c>
      <c r="B578" t="str">
        <f t="shared" si="9"/>
        <v>&lt;a href="canciones/nsb/ven_y_descansate.html"&gt;</v>
      </c>
      <c r="C578" t="str">
        <f>IFERROR(_xlfn.XMATCH(B578,CantoralDB[check]),"NO")</f>
        <v>NO</v>
      </c>
    </row>
    <row r="579" spans="1:3" x14ac:dyDescent="0.3">
      <c r="A579" t="s">
        <v>2504</v>
      </c>
      <c r="B579" t="str">
        <f t="shared" si="9"/>
        <v>&lt;a href="canciones/nsb/victoria_tu_reinaras.html"&gt;</v>
      </c>
      <c r="C579">
        <f>IFERROR(_xlfn.XMATCH(B579,CantoralDB[check]),"NO")</f>
        <v>1791</v>
      </c>
    </row>
    <row r="580" spans="1:3" x14ac:dyDescent="0.3">
      <c r="A580" t="s">
        <v>2506</v>
      </c>
      <c r="B580" t="str">
        <f t="shared" si="9"/>
        <v>&lt;a href="canciones/nsb/vive_tu_amor_en_mi.html"&gt;</v>
      </c>
      <c r="C580">
        <f>IFERROR(_xlfn.XMATCH(B580,CantoralDB[check]),"NO")</f>
        <v>1801</v>
      </c>
    </row>
    <row r="581" spans="1:3" x14ac:dyDescent="0.3">
      <c r="A581" t="s">
        <v>2507</v>
      </c>
      <c r="B581" t="str">
        <f t="shared" si="9"/>
        <v>&lt;a href="canciones/nsb/vivid_la_navidad.html"&gt;</v>
      </c>
      <c r="C581">
        <f>IFERROR(_xlfn.XMATCH(B581,CantoralDB[check]),"NO")</f>
        <v>1803</v>
      </c>
    </row>
    <row r="582" spans="1:3" x14ac:dyDescent="0.3">
      <c r="A582" t="s">
        <v>2509</v>
      </c>
      <c r="B582" t="str">
        <f t="shared" si="9"/>
        <v>&lt;a href="canciones/nsb/volar.html"&gt;</v>
      </c>
      <c r="C582">
        <f>IFERROR(_xlfn.XMATCH(B582,CantoralDB[check]),"NO")</f>
        <v>1808</v>
      </c>
    </row>
    <row r="583" spans="1:3" x14ac:dyDescent="0.3">
      <c r="A583" t="s">
        <v>2510</v>
      </c>
      <c r="B583" t="str">
        <f t="shared" si="9"/>
        <v>&lt;a href="canciones/nsb/yendo_contigo.html"&gt;</v>
      </c>
      <c r="C583">
        <f>IFERROR(_xlfn.XMATCH(B583,CantoralDB[check]),"NO")</f>
        <v>1822</v>
      </c>
    </row>
    <row r="584" spans="1:3" x14ac:dyDescent="0.3">
      <c r="A584" t="s">
        <v>2512</v>
      </c>
      <c r="B584" t="str">
        <f t="shared" si="9"/>
        <v>&lt;a href="canciones/nsb/yo_celebrare.html"&gt;</v>
      </c>
      <c r="C584">
        <f>IFERROR(_xlfn.XMATCH(B584,CantoralDB[check]),"NO")</f>
        <v>1829</v>
      </c>
    </row>
    <row r="585" spans="1:3" x14ac:dyDescent="0.3">
      <c r="A585" t="s">
        <v>2513</v>
      </c>
      <c r="B585" t="str">
        <f t="shared" si="9"/>
        <v>&lt;a href="canciones/nsb/yo_soy_el_pan_de_vida.html"&gt;</v>
      </c>
      <c r="C585">
        <f>IFERROR(_xlfn.XMATCH(B585,CantoralDB[check]),"NO")</f>
        <v>1841</v>
      </c>
    </row>
    <row r="586" spans="1:3" x14ac:dyDescent="0.3">
      <c r="A586" t="s">
        <v>2515</v>
      </c>
      <c r="B586" t="str">
        <f t="shared" si="9"/>
        <v>&lt;a href="canciones/nsb/yo_soy_la_vida_y_la_verdad.html"&gt;</v>
      </c>
      <c r="C586">
        <f>IFERROR(_xlfn.XMATCH(B586,CantoralDB[check]),"NO")</f>
        <v>1845</v>
      </c>
    </row>
    <row r="587" spans="1:3" x14ac:dyDescent="0.3">
      <c r="A587" t="s">
        <v>3031</v>
      </c>
      <c r="B587" t="str">
        <f t="shared" si="9"/>
        <v>&lt;a href="canciones/nuevas/acaso_no_estoy_yo_aqui_que_soy_tu_madre.html"&gt;</v>
      </c>
      <c r="C587">
        <f>IFERROR(_xlfn.XMATCH(B587,CantoralDB[check]),"NO")</f>
        <v>36</v>
      </c>
    </row>
    <row r="588" spans="1:3" x14ac:dyDescent="0.3">
      <c r="A588" t="s">
        <v>2663</v>
      </c>
      <c r="B588" t="str">
        <f t="shared" si="9"/>
        <v>&lt;a href="canciones/nuevas/al_que_está_sentado_en_el_trono_y_al_cordero.html"&gt;</v>
      </c>
      <c r="C588" t="str">
        <f>IFERROR(_xlfn.XMATCH(B588,CantoralDB[check]),"NO")</f>
        <v>NO</v>
      </c>
    </row>
    <row r="589" spans="1:3" x14ac:dyDescent="0.3">
      <c r="A589" t="s">
        <v>2664</v>
      </c>
      <c r="B589" t="str">
        <f t="shared" si="9"/>
        <v>&lt;a href="canciones/nuevas/aleluya_cohen.html"&gt;</v>
      </c>
      <c r="C589" t="str">
        <f>IFERROR(_xlfn.XMATCH(B589,CantoralDB[check]),"NO")</f>
        <v>NO</v>
      </c>
    </row>
    <row r="590" spans="1:3" x14ac:dyDescent="0.3">
      <c r="A590" t="s">
        <v>2665</v>
      </c>
      <c r="B590" t="str">
        <f t="shared" si="9"/>
        <v>&lt;a href="canciones/nuevas/aleluya_yo_creo_en_tu_amor.html"&gt;</v>
      </c>
      <c r="C590">
        <f>IFERROR(_xlfn.XMATCH(B590,CantoralDB[check]),"NO")</f>
        <v>130</v>
      </c>
    </row>
    <row r="591" spans="1:3" x14ac:dyDescent="0.3">
      <c r="A591" t="s">
        <v>2666</v>
      </c>
      <c r="B591" t="str">
        <f t="shared" si="9"/>
        <v>&lt;a href="canciones/nuevas/algo_está_cayendo_aquí.html"&gt;</v>
      </c>
      <c r="C591" t="str">
        <f>IFERROR(_xlfn.XMATCH(B591,CantoralDB[check]),"NO")</f>
        <v>NO</v>
      </c>
    </row>
    <row r="592" spans="1:3" x14ac:dyDescent="0.3">
      <c r="A592" t="s">
        <v>2667</v>
      </c>
      <c r="B592" t="str">
        <f t="shared" si="9"/>
        <v>&lt;a href="canciones/nuevas/alma_de_cristo.html"&gt;</v>
      </c>
      <c r="C592">
        <f>IFERROR(_xlfn.XMATCH(B592,CantoralDB[check]),"NO")</f>
        <v>153</v>
      </c>
    </row>
    <row r="593" spans="1:3" x14ac:dyDescent="0.3">
      <c r="A593" t="s">
        <v>2668</v>
      </c>
      <c r="B593" t="str">
        <f t="shared" si="9"/>
        <v>&lt;a href="canciones/nuevas/contigo_me_la_juego.html"&gt;</v>
      </c>
      <c r="C593">
        <f>IFERROR(_xlfn.XMATCH(B593,CantoralDB[check]),"NO")</f>
        <v>347</v>
      </c>
    </row>
    <row r="594" spans="1:3" x14ac:dyDescent="0.3">
      <c r="A594" t="s">
        <v>2669</v>
      </c>
      <c r="B594" t="str">
        <f t="shared" si="9"/>
        <v>&lt;a href="canciones/nuevas/dijiste_si.html"&gt;</v>
      </c>
      <c r="C594">
        <f>IFERROR(_xlfn.XMATCH(B594,CantoralDB[check]),"NO")</f>
        <v>472</v>
      </c>
    </row>
    <row r="595" spans="1:3" x14ac:dyDescent="0.3">
      <c r="A595" t="s">
        <v>2670</v>
      </c>
      <c r="B595" t="str">
        <f t="shared" si="9"/>
        <v>&lt;a href="canciones/nuevas/en_los_brazos_de_una_virgen.html"&gt;</v>
      </c>
      <c r="C595">
        <f>IFERROR(_xlfn.XMATCH(B595,CantoralDB[check]),"NO")</f>
        <v>618</v>
      </c>
    </row>
    <row r="596" spans="1:3" x14ac:dyDescent="0.3">
      <c r="A596" t="s">
        <v>2671</v>
      </c>
      <c r="B596" t="str">
        <f t="shared" si="9"/>
        <v>&lt;a href="canciones/nuevas/enamorame_de_ti.html"&gt;</v>
      </c>
      <c r="C596">
        <f>IFERROR(_xlfn.XMATCH(B596,CantoralDB[check]),"NO")</f>
        <v>634</v>
      </c>
    </row>
    <row r="597" spans="1:3" x14ac:dyDescent="0.3">
      <c r="A597" t="s">
        <v>2672</v>
      </c>
      <c r="B597" t="str">
        <f t="shared" si="9"/>
        <v>&lt;a href="canciones/nuevas/entra_en_el_corazón_de_dios.html"&gt;</v>
      </c>
      <c r="C597" t="str">
        <f>IFERROR(_xlfn.XMATCH(B597,CantoralDB[check]),"NO")</f>
        <v>NO</v>
      </c>
    </row>
    <row r="598" spans="1:3" x14ac:dyDescent="0.3">
      <c r="A598" t="s">
        <v>2673</v>
      </c>
      <c r="B598" t="str">
        <f t="shared" si="9"/>
        <v>&lt;a href="canciones/nuevas/es_maria_la_blanca_paloma.html"&gt;</v>
      </c>
      <c r="C598">
        <f>IFERROR(_xlfn.XMATCH(B598,CantoralDB[check]),"NO")</f>
        <v>658</v>
      </c>
    </row>
    <row r="599" spans="1:3" x14ac:dyDescent="0.3">
      <c r="A599" t="s">
        <v>2674</v>
      </c>
      <c r="B599" t="str">
        <f t="shared" si="9"/>
        <v>&lt;a href="canciones/nuevas/estas_aqui_jesus.html"&gt;</v>
      </c>
      <c r="C599">
        <f>IFERROR(_xlfn.XMATCH(B599,CantoralDB[check]),"NO")</f>
        <v>686</v>
      </c>
    </row>
    <row r="600" spans="1:3" x14ac:dyDescent="0.3">
      <c r="A600" t="s">
        <v>2676</v>
      </c>
      <c r="B600" t="str">
        <f t="shared" si="9"/>
        <v>&lt;a href="canciones/nuevas/evenu_shalom_alejem.html"&gt;</v>
      </c>
      <c r="C600">
        <f>IFERROR(_xlfn.XMATCH(B600,CantoralDB[check]),"NO")</f>
        <v>702</v>
      </c>
    </row>
    <row r="601" spans="1:3" x14ac:dyDescent="0.3">
      <c r="A601" t="s">
        <v>2677</v>
      </c>
      <c r="B601" t="str">
        <f t="shared" si="9"/>
        <v>&lt;a href="canciones/nuevas/haz_de_tu_casa_un_nazaret.html"&gt;</v>
      </c>
      <c r="C601">
        <f>IFERROR(_xlfn.XMATCH(B601,CantoralDB[check]),"NO")</f>
        <v>783</v>
      </c>
    </row>
    <row r="602" spans="1:3" x14ac:dyDescent="0.3">
      <c r="A602" t="s">
        <v>2678</v>
      </c>
      <c r="B602" t="str">
        <f t="shared" si="9"/>
        <v>&lt;a href="canciones/nuevas/mas_de_ti_menos_de_mi.html"&gt;</v>
      </c>
      <c r="C602">
        <f>IFERROR(_xlfn.XMATCH(B602,CantoralDB[check]),"NO")</f>
        <v>1009</v>
      </c>
    </row>
    <row r="603" spans="1:3" x14ac:dyDescent="0.3">
      <c r="A603" t="s">
        <v>2679</v>
      </c>
      <c r="B603" t="str">
        <f t="shared" si="9"/>
        <v>&lt;a href="canciones/nuevas/sálvame.html"&gt;</v>
      </c>
      <c r="C603" t="str">
        <f>IFERROR(_xlfn.XMATCH(B603,CantoralDB[check]),"NO")</f>
        <v>NO</v>
      </c>
    </row>
    <row r="604" spans="1:3" x14ac:dyDescent="0.3">
      <c r="A604" t="s">
        <v>2680</v>
      </c>
      <c r="B604" t="str">
        <f t="shared" si="9"/>
        <v>&lt;a href="canciones/nuevas/shalom_te_doy_la_paz.html"&gt;</v>
      </c>
      <c r="C604">
        <f>IFERROR(_xlfn.XMATCH(B604,CantoralDB[check]),"NO")</f>
        <v>1469</v>
      </c>
    </row>
    <row r="605" spans="1:3" x14ac:dyDescent="0.3">
      <c r="A605" t="s">
        <v>2681</v>
      </c>
      <c r="B605" t="str">
        <f t="shared" si="9"/>
        <v>&lt;a href="canciones/nuevas/te_doy_mi_corazon.html"&gt;</v>
      </c>
      <c r="C605">
        <f>IFERROR(_xlfn.XMATCH(B605,CantoralDB[check]),"NO")</f>
        <v>1559</v>
      </c>
    </row>
    <row r="606" spans="1:3" x14ac:dyDescent="0.3">
      <c r="A606" t="s">
        <v>2682</v>
      </c>
      <c r="B606" t="str">
        <f t="shared" si="9"/>
        <v>&lt;a href="canciones/nuevas/todo_es_tuyo.html"&gt;</v>
      </c>
      <c r="C606">
        <f>IFERROR(_xlfn.XMATCH(B606,CantoralDB[check]),"NO")</f>
        <v>1598</v>
      </c>
    </row>
    <row r="607" spans="1:3" x14ac:dyDescent="0.3">
      <c r="A607" t="s">
        <v>2683</v>
      </c>
      <c r="B607" t="str">
        <f t="shared" si="9"/>
        <v>&lt;a href="canciones/nuevas/vamos_amigos.html"&gt;</v>
      </c>
      <c r="C607">
        <f>IFERROR(_xlfn.XMATCH(B607,CantoralDB[check]),"NO")</f>
        <v>1729</v>
      </c>
    </row>
    <row r="608" spans="1:3" x14ac:dyDescent="0.3">
      <c r="A608" t="s">
        <v>2216</v>
      </c>
      <c r="B608" t="str">
        <f t="shared" si="9"/>
        <v>&lt;a href="canciones/pedro_nuñez/a_ti_acudo.html"&gt;</v>
      </c>
      <c r="C608">
        <f>IFERROR(_xlfn.XMATCH(B608,CantoralDB[check]),"NO")</f>
        <v>16</v>
      </c>
    </row>
    <row r="609" spans="1:3" x14ac:dyDescent="0.3">
      <c r="A609" t="s">
        <v>2258</v>
      </c>
      <c r="B609" t="str">
        <f t="shared" si="9"/>
        <v>&lt;a href="canciones/pedro_nuñez/cantad_a_dios.html"&gt;</v>
      </c>
      <c r="C609">
        <f>IFERROR(_xlfn.XMATCH(B609,CantoralDB[check]),"NO")</f>
        <v>268</v>
      </c>
    </row>
    <row r="610" spans="1:3" x14ac:dyDescent="0.3">
      <c r="A610" t="s">
        <v>3053</v>
      </c>
      <c r="B610" t="str">
        <f t="shared" si="9"/>
        <v>&lt;a href="canciones/pedro_nuñez/maria_fuiste_siempre_pobre_de_yahve.html"&gt;</v>
      </c>
      <c r="C610">
        <f>IFERROR(_xlfn.XMATCH(B610,CantoralDB[check]),"NO")</f>
        <v>998</v>
      </c>
    </row>
    <row r="611" spans="1:3" x14ac:dyDescent="0.3">
      <c r="A611" t="s">
        <v>2381</v>
      </c>
      <c r="B611" t="str">
        <f t="shared" si="9"/>
        <v>&lt;a href="canciones/pedro_nuñez/nacera_una_nueva_hermandad.html"&gt;</v>
      </c>
      <c r="C611">
        <f>IFERROR(_xlfn.XMATCH(B611,CantoralDB[check]),"NO")</f>
        <v>1067</v>
      </c>
    </row>
    <row r="612" spans="1:3" x14ac:dyDescent="0.3">
      <c r="A612" t="s">
        <v>2402</v>
      </c>
      <c r="B612" t="str">
        <f t="shared" si="9"/>
        <v>&lt;a href="canciones/perpetuo_socorro/padre_unenos.html"&gt;</v>
      </c>
      <c r="C612">
        <f>IFERROR(_xlfn.XMATCH(B612,CantoralDB[check]),"NO")</f>
        <v>1208</v>
      </c>
    </row>
    <row r="613" spans="1:3" x14ac:dyDescent="0.3">
      <c r="A613" t="s">
        <v>2907</v>
      </c>
      <c r="B613" t="str">
        <f t="shared" si="9"/>
        <v>&lt;a href="canciones/ruah/a_fuego.html"&gt;</v>
      </c>
      <c r="C613">
        <f>IFERROR(_xlfn.XMATCH(B613,CantoralDB[check]),"NO")</f>
        <v>6</v>
      </c>
    </row>
    <row r="614" spans="1:3" x14ac:dyDescent="0.3">
      <c r="A614" t="s">
        <v>2908</v>
      </c>
      <c r="B614" t="str">
        <f t="shared" si="9"/>
        <v>&lt;a href="canciones/ruah/a_la_puerta.html"&gt;</v>
      </c>
      <c r="C614">
        <f>IFERROR(_xlfn.XMATCH(B614,CantoralDB[check]),"NO")</f>
        <v>8</v>
      </c>
    </row>
    <row r="615" spans="1:3" x14ac:dyDescent="0.3">
      <c r="A615" t="s">
        <v>2909</v>
      </c>
      <c r="B615" t="str">
        <f t="shared" si="9"/>
        <v>&lt;a href="canciones/ruah/a_tu_medida.html"&gt;</v>
      </c>
      <c r="C615">
        <f>IFERROR(_xlfn.XMATCH(B615,CantoralDB[check]),"NO")</f>
        <v>25</v>
      </c>
    </row>
    <row r="616" spans="1:3" x14ac:dyDescent="0.3">
      <c r="A616" t="s">
        <v>2910</v>
      </c>
      <c r="B616" t="str">
        <f t="shared" si="9"/>
        <v>&lt;a href="canciones/ruah/adentrate.html"&gt;</v>
      </c>
      <c r="C616">
        <f>IFERROR(_xlfn.XMATCH(B616,CantoralDB[check]),"NO")</f>
        <v>49</v>
      </c>
    </row>
    <row r="617" spans="1:3" x14ac:dyDescent="0.3">
      <c r="A617" t="s">
        <v>2912</v>
      </c>
      <c r="B617" t="str">
        <f t="shared" si="9"/>
        <v>&lt;a href="canciones/ruah/alabarte.html"&gt;</v>
      </c>
      <c r="C617">
        <f>IFERROR(_xlfn.XMATCH(B617,CantoralDB[check]),"NO")</f>
        <v>86</v>
      </c>
    </row>
    <row r="618" spans="1:3" x14ac:dyDescent="0.3">
      <c r="A618" t="s">
        <v>2913</v>
      </c>
      <c r="B618" t="str">
        <f t="shared" si="9"/>
        <v>&lt;a href="canciones/ruah/alegraos.html"&gt;</v>
      </c>
      <c r="C618">
        <f>IFERROR(_xlfn.XMATCH(B618,CantoralDB[check]),"NO")</f>
        <v>87</v>
      </c>
    </row>
    <row r="619" spans="1:3" x14ac:dyDescent="0.3">
      <c r="A619" t="s">
        <v>2914</v>
      </c>
      <c r="B619" t="str">
        <f t="shared" si="9"/>
        <v>&lt;a href="canciones/ruah/alianza.html"&gt;</v>
      </c>
      <c r="C619">
        <f>IFERROR(_xlfn.XMATCH(B619,CantoralDB[check]),"NO")</f>
        <v>140</v>
      </c>
    </row>
    <row r="620" spans="1:3" x14ac:dyDescent="0.3">
      <c r="A620" t="s">
        <v>2915</v>
      </c>
      <c r="B620" t="str">
        <f t="shared" si="9"/>
        <v>&lt;a href="canciones/ruah/aprendiendo.html"&gt;</v>
      </c>
      <c r="C620">
        <f>IFERROR(_xlfn.XMATCH(B620,CantoralDB[check]),"NO")</f>
        <v>184</v>
      </c>
    </row>
    <row r="621" spans="1:3" x14ac:dyDescent="0.3">
      <c r="A621" t="s">
        <v>2916</v>
      </c>
      <c r="B621" t="str">
        <f t="shared" si="9"/>
        <v>&lt;a href="canciones/ruah/aqui_y_ahora.html"&gt;</v>
      </c>
      <c r="C621">
        <f>IFERROR(_xlfn.XMATCH(B621,CantoralDB[check]),"NO")</f>
        <v>188</v>
      </c>
    </row>
    <row r="622" spans="1:3" x14ac:dyDescent="0.3">
      <c r="A622" t="s">
        <v>2917</v>
      </c>
      <c r="B622" t="str">
        <f t="shared" si="9"/>
        <v>&lt;a href="canciones/ruah/bailare.html"&gt;</v>
      </c>
      <c r="C622">
        <f>IFERROR(_xlfn.XMATCH(B622,CantoralDB[check]),"NO")</f>
        <v>207</v>
      </c>
    </row>
    <row r="623" spans="1:3" x14ac:dyDescent="0.3">
      <c r="A623" t="s">
        <v>2918</v>
      </c>
      <c r="B623" t="str">
        <f t="shared" si="9"/>
        <v>&lt;a href="canciones/ruah/bosque.html"&gt;</v>
      </c>
      <c r="C623">
        <f>IFERROR(_xlfn.XMATCH(B623,CantoralDB[check]),"NO")</f>
        <v>244</v>
      </c>
    </row>
    <row r="624" spans="1:3" x14ac:dyDescent="0.3">
      <c r="A624" t="s">
        <v>2919</v>
      </c>
      <c r="B624" t="str">
        <f t="shared" si="9"/>
        <v>&lt;a href="canciones/ruah/brasas.html"&gt;</v>
      </c>
      <c r="C624">
        <f>IFERROR(_xlfn.XMATCH(B624,CantoralDB[check]),"NO")</f>
        <v>245</v>
      </c>
    </row>
    <row r="625" spans="1:3" x14ac:dyDescent="0.3">
      <c r="A625" t="s">
        <v>2920</v>
      </c>
      <c r="B625" t="str">
        <f t="shared" si="9"/>
        <v>&lt;a href="canciones/ruah/cada_mañana.html"&gt;</v>
      </c>
      <c r="C625">
        <f>IFERROR(_xlfn.XMATCH(B625,CantoralDB[check]),"NO")</f>
        <v>251</v>
      </c>
    </row>
    <row r="626" spans="1:3" x14ac:dyDescent="0.3">
      <c r="A626" t="s">
        <v>2921</v>
      </c>
      <c r="B626" t="str">
        <f t="shared" si="9"/>
        <v>&lt;a href="canciones/ruah/como_niños.html"&gt;</v>
      </c>
      <c r="C626">
        <f>IFERROR(_xlfn.XMATCH(B626,CantoralDB[check]),"NO")</f>
        <v>314</v>
      </c>
    </row>
    <row r="627" spans="1:3" x14ac:dyDescent="0.3">
      <c r="A627" t="s">
        <v>2922</v>
      </c>
      <c r="B627" t="str">
        <f t="shared" si="9"/>
        <v>&lt;a href="canciones/ruah/de_repente.html"&gt;</v>
      </c>
      <c r="C627">
        <f>IFERROR(_xlfn.XMATCH(B627,CantoralDB[check]),"NO")</f>
        <v>439</v>
      </c>
    </row>
    <row r="628" spans="1:3" x14ac:dyDescent="0.3">
      <c r="A628" t="s">
        <v>2923</v>
      </c>
      <c r="B628" t="str">
        <f t="shared" si="9"/>
        <v>&lt;a href="canciones/ruah/despierto.html"&gt;</v>
      </c>
      <c r="C628">
        <f>IFERROR(_xlfn.XMATCH(B628,CantoralDB[check]),"NO")</f>
        <v>463</v>
      </c>
    </row>
    <row r="629" spans="1:3" x14ac:dyDescent="0.3">
      <c r="A629" t="s">
        <v>2911</v>
      </c>
      <c r="B629" t="str">
        <f t="shared" si="9"/>
        <v>&lt;a href="canciones/ruah/dios_de_la_historia.html"&gt;</v>
      </c>
      <c r="C629">
        <f>IFERROR(_xlfn.XMATCH(B629,CantoralDB[check]),"NO")</f>
        <v>476</v>
      </c>
    </row>
    <row r="630" spans="1:3" x14ac:dyDescent="0.3">
      <c r="A630" t="s">
        <v>2924</v>
      </c>
      <c r="B630" t="str">
        <f t="shared" si="9"/>
        <v>&lt;a href="canciones/ruah/donde.html"&gt;</v>
      </c>
      <c r="C630">
        <f>IFERROR(_xlfn.XMATCH(B630,CantoralDB[check]),"NO")</f>
        <v>507</v>
      </c>
    </row>
    <row r="631" spans="1:3" x14ac:dyDescent="0.3">
      <c r="A631" t="s">
        <v>2925</v>
      </c>
      <c r="B631" t="str">
        <f t="shared" si="9"/>
        <v>&lt;a href="canciones/ruah/en_parabolas.html"&gt;</v>
      </c>
      <c r="C631">
        <f>IFERROR(_xlfn.XMATCH(B631,CantoralDB[check]),"NO")</f>
        <v>624</v>
      </c>
    </row>
    <row r="632" spans="1:3" x14ac:dyDescent="0.3">
      <c r="A632" t="s">
        <v>2926</v>
      </c>
      <c r="B632" t="str">
        <f t="shared" si="9"/>
        <v>&lt;a href="canciones/ruah/en_quien_si_no.html"&gt;</v>
      </c>
      <c r="C632">
        <f>IFERROR(_xlfn.XMATCH(B632,CantoralDB[check]),"NO")</f>
        <v>628</v>
      </c>
    </row>
    <row r="633" spans="1:3" x14ac:dyDescent="0.3">
      <c r="A633" t="s">
        <v>2927</v>
      </c>
      <c r="B633" t="str">
        <f t="shared" si="9"/>
        <v>&lt;a href="canciones/ruah/envianos_sin_miedo.html"&gt;</v>
      </c>
      <c r="C633">
        <f>IFERROR(_xlfn.XMATCH(B633,CantoralDB[check]),"NO")</f>
        <v>648</v>
      </c>
    </row>
    <row r="634" spans="1:3" x14ac:dyDescent="0.3">
      <c r="A634" t="s">
        <v>2928</v>
      </c>
      <c r="B634" t="str">
        <f t="shared" si="9"/>
        <v>&lt;a href="canciones/ruah/escuchame.html"&gt;</v>
      </c>
      <c r="C634">
        <f>IFERROR(_xlfn.XMATCH(B634,CantoralDB[check]),"NO")</f>
        <v>670</v>
      </c>
    </row>
    <row r="635" spans="1:3" x14ac:dyDescent="0.3">
      <c r="A635" t="s">
        <v>2929</v>
      </c>
      <c r="B635" t="str">
        <f t="shared" si="9"/>
        <v>&lt;a href="canciones/ruah/fija_en_ti.html"&gt;</v>
      </c>
      <c r="C635">
        <f>IFERROR(_xlfn.XMATCH(B635,CantoralDB[check]),"NO")</f>
        <v>714</v>
      </c>
    </row>
    <row r="636" spans="1:3" x14ac:dyDescent="0.3">
      <c r="A636" t="s">
        <v>2930</v>
      </c>
      <c r="B636" t="str">
        <f t="shared" si="9"/>
        <v>&lt;a href="canciones/ruah/frontera.html"&gt;</v>
      </c>
      <c r="C636">
        <f>IFERROR(_xlfn.XMATCH(B636,CantoralDB[check]),"NO")</f>
        <v>718</v>
      </c>
    </row>
    <row r="637" spans="1:3" x14ac:dyDescent="0.3">
      <c r="A637" t="s">
        <v>2931</v>
      </c>
      <c r="B637" t="str">
        <f t="shared" si="9"/>
        <v>&lt;a href="canciones/ruah/gracias.html"&gt;</v>
      </c>
      <c r="C637">
        <f>IFERROR(_xlfn.XMATCH(B637,CantoralDB[check]),"NO")</f>
        <v>746</v>
      </c>
    </row>
    <row r="638" spans="1:3" x14ac:dyDescent="0.3">
      <c r="A638" t="s">
        <v>2932</v>
      </c>
      <c r="B638" t="str">
        <f t="shared" si="9"/>
        <v>&lt;a href="canciones/ruah/grietas.html"&gt;</v>
      </c>
      <c r="C638">
        <f>IFERROR(_xlfn.XMATCH(B638,CantoralDB[check]),"NO")</f>
        <v>755</v>
      </c>
    </row>
    <row r="639" spans="1:3" x14ac:dyDescent="0.3">
      <c r="A639" t="s">
        <v>2933</v>
      </c>
      <c r="B639" t="str">
        <f t="shared" si="9"/>
        <v>&lt;a href="canciones/ruah/mayor_que_todo.html"&gt;</v>
      </c>
      <c r="C639">
        <f>IFERROR(_xlfn.XMATCH(B639,CantoralDB[check]),"NO")</f>
        <v>1012</v>
      </c>
    </row>
    <row r="640" spans="1:3" x14ac:dyDescent="0.3">
      <c r="A640" t="s">
        <v>2934</v>
      </c>
      <c r="B640" t="str">
        <f t="shared" si="9"/>
        <v>&lt;a href="canciones/ruah/mirame.html"&gt;</v>
      </c>
      <c r="C640">
        <f>IFERROR(_xlfn.XMATCH(B640,CantoralDB[check]),"NO")</f>
        <v>1053</v>
      </c>
    </row>
    <row r="641" spans="1:3" x14ac:dyDescent="0.3">
      <c r="A641" t="s">
        <v>2935</v>
      </c>
      <c r="B641" t="str">
        <f t="shared" ref="B641:B704" si="10">_xlfn.TEXTBEFORE(_xlfn.TEXTAFTER(A641,"&gt;"),"&gt;")&amp;"&gt;"</f>
        <v>&lt;a href="canciones/ruah/no_lo_notais.html"&gt;</v>
      </c>
      <c r="C641">
        <f>IFERROR(_xlfn.XMATCH(B641,CantoralDB[check]),"NO")</f>
        <v>1100</v>
      </c>
    </row>
    <row r="642" spans="1:3" x14ac:dyDescent="0.3">
      <c r="A642" t="s">
        <v>2936</v>
      </c>
      <c r="B642" t="str">
        <f t="shared" si="10"/>
        <v>&lt;a href="canciones/ruah/no_os_preocupeis.html"&gt;</v>
      </c>
      <c r="C642">
        <f>IFERROR(_xlfn.XMATCH(B642,CantoralDB[check]),"NO")</f>
        <v>1106</v>
      </c>
    </row>
    <row r="643" spans="1:3" x14ac:dyDescent="0.3">
      <c r="A643" t="s">
        <v>2937</v>
      </c>
      <c r="B643" t="str">
        <f t="shared" si="10"/>
        <v>&lt;a href="canciones/ruah/no_volvera_vacia.html"&gt;</v>
      </c>
      <c r="C643">
        <f>IFERROR(_xlfn.XMATCH(B643,CantoralDB[check]),"NO")</f>
        <v>1130</v>
      </c>
    </row>
    <row r="644" spans="1:3" x14ac:dyDescent="0.3">
      <c r="A644" t="s">
        <v>2938</v>
      </c>
      <c r="B644" t="str">
        <f t="shared" si="10"/>
        <v>&lt;a href="canciones/ruah/nuestro_lugar.html"&gt;</v>
      </c>
      <c r="C644">
        <f>IFERROR(_xlfn.XMATCH(B644,CantoralDB[check]),"NO")</f>
        <v>1150</v>
      </c>
    </row>
    <row r="645" spans="1:3" x14ac:dyDescent="0.3">
      <c r="A645" t="s">
        <v>2939</v>
      </c>
      <c r="B645" t="str">
        <f t="shared" si="10"/>
        <v>&lt;a href="canciones/ruah/oyeme.html"&gt;</v>
      </c>
      <c r="C645">
        <f>IFERROR(_xlfn.XMATCH(B645,CantoralDB[check]),"NO")</f>
        <v>1185</v>
      </c>
    </row>
    <row r="646" spans="1:3" x14ac:dyDescent="0.3">
      <c r="A646" t="s">
        <v>2940</v>
      </c>
      <c r="B646" t="str">
        <f t="shared" si="10"/>
        <v>&lt;a href="canciones/ruah/para_estar_contigo.html"&gt;</v>
      </c>
      <c r="C646">
        <f>IFERROR(_xlfn.XMATCH(B646,CantoralDB[check]),"NO")</f>
        <v>1219</v>
      </c>
    </row>
    <row r="647" spans="1:3" x14ac:dyDescent="0.3">
      <c r="A647" t="s">
        <v>2941</v>
      </c>
      <c r="B647" t="str">
        <f t="shared" si="10"/>
        <v>&lt;a href="canciones/ruah/pedid_y_se_os_dara.html"&gt;</v>
      </c>
      <c r="C647">
        <f>IFERROR(_xlfn.XMATCH(B647,CantoralDB[check]),"NO")</f>
        <v>1249</v>
      </c>
    </row>
    <row r="648" spans="1:3" x14ac:dyDescent="0.3">
      <c r="A648" t="s">
        <v>2942</v>
      </c>
      <c r="B648" t="str">
        <f t="shared" si="10"/>
        <v>&lt;a href="canciones/ruah/por_ti_jerusalen.html"&gt;</v>
      </c>
      <c r="C648">
        <f>IFERROR(_xlfn.XMATCH(B648,CantoralDB[check]),"NO")</f>
        <v>1277</v>
      </c>
    </row>
    <row r="649" spans="1:3" x14ac:dyDescent="0.3">
      <c r="A649" t="s">
        <v>2943</v>
      </c>
      <c r="B649" t="str">
        <f t="shared" si="10"/>
        <v>&lt;a href="canciones/ruah/quien_amo_primero.html"&gt;</v>
      </c>
      <c r="C649">
        <f>IFERROR(_xlfn.XMATCH(B649,CantoralDB[check]),"NO")</f>
        <v>1337</v>
      </c>
    </row>
    <row r="650" spans="1:3" x14ac:dyDescent="0.3">
      <c r="A650" t="s">
        <v>2944</v>
      </c>
      <c r="B650" t="str">
        <f t="shared" si="10"/>
        <v>&lt;a href="canciones/ruah/quiero_confiar.html"&gt;</v>
      </c>
      <c r="C650">
        <f>IFERROR(_xlfn.XMATCH(B650,CantoralDB[check]),"NO")</f>
        <v>1357</v>
      </c>
    </row>
    <row r="651" spans="1:3" x14ac:dyDescent="0.3">
      <c r="A651" t="s">
        <v>2945</v>
      </c>
      <c r="B651" t="str">
        <f t="shared" si="10"/>
        <v>&lt;a href="canciones/ruah/sabes_bien.html"&gt;</v>
      </c>
      <c r="C651">
        <f>IFERROR(_xlfn.XMATCH(B651,CantoralDB[check]),"NO")</f>
        <v>1383</v>
      </c>
    </row>
    <row r="652" spans="1:3" x14ac:dyDescent="0.3">
      <c r="A652" t="s">
        <v>2946</v>
      </c>
      <c r="B652" t="str">
        <f t="shared" si="10"/>
        <v>&lt;a href="canciones/ruah/seas.html"&gt;</v>
      </c>
      <c r="C652">
        <f>IFERROR(_xlfn.XMATCH(B652,CantoralDB[check]),"NO")</f>
        <v>1435</v>
      </c>
    </row>
    <row r="653" spans="1:3" x14ac:dyDescent="0.3">
      <c r="A653" t="s">
        <v>2947</v>
      </c>
      <c r="B653" t="str">
        <f t="shared" si="10"/>
        <v>&lt;a href="canciones/ruah/si_tu_quieres.html"&gt;</v>
      </c>
      <c r="C653">
        <f>IFERROR(_xlfn.XMATCH(B653,CantoralDB[check]),"NO")</f>
        <v>1488</v>
      </c>
    </row>
    <row r="654" spans="1:3" x14ac:dyDescent="0.3">
      <c r="A654" t="s">
        <v>2948</v>
      </c>
      <c r="B654" t="str">
        <f t="shared" si="10"/>
        <v>&lt;a href="canciones/ruah/silencio.html"&gt;</v>
      </c>
      <c r="C654">
        <f>IFERROR(_xlfn.XMATCH(B654,CantoralDB[check]),"NO")</f>
        <v>1509</v>
      </c>
    </row>
    <row r="655" spans="1:3" x14ac:dyDescent="0.3">
      <c r="A655" t="s">
        <v>2949</v>
      </c>
      <c r="B655" t="str">
        <f t="shared" si="10"/>
        <v>&lt;a href="canciones/ruah/soy_de_ti.html"&gt;</v>
      </c>
      <c r="C655">
        <f>IFERROR(_xlfn.XMATCH(B655,CantoralDB[check]),"NO")</f>
        <v>1529</v>
      </c>
    </row>
    <row r="656" spans="1:3" x14ac:dyDescent="0.3">
      <c r="A656" t="s">
        <v>2950</v>
      </c>
      <c r="B656" t="str">
        <f t="shared" si="10"/>
        <v>&lt;a href="canciones/ruah/suelta_el_timon.html"&gt;</v>
      </c>
      <c r="C656">
        <f>IFERROR(_xlfn.XMATCH(B656,CantoralDB[check]),"NO")</f>
        <v>1536</v>
      </c>
    </row>
    <row r="657" spans="1:3" x14ac:dyDescent="0.3">
      <c r="A657" t="s">
        <v>2951</v>
      </c>
      <c r="B657" t="str">
        <f t="shared" si="10"/>
        <v>&lt;a href="canciones/ruah/ten_compasion.html"&gt;</v>
      </c>
      <c r="C657">
        <f>IFERROR(_xlfn.XMATCH(B657,CantoralDB[check]),"NO")</f>
        <v>1570</v>
      </c>
    </row>
    <row r="658" spans="1:3" x14ac:dyDescent="0.3">
      <c r="A658" t="s">
        <v>2952</v>
      </c>
      <c r="B658" t="str">
        <f t="shared" si="10"/>
        <v>&lt;a href="canciones/ruah/tu_me_sondeas.html"&gt;</v>
      </c>
      <c r="C658">
        <f>IFERROR(_xlfn.XMATCH(B658,CantoralDB[check]),"NO")</f>
        <v>1647</v>
      </c>
    </row>
    <row r="659" spans="1:3" x14ac:dyDescent="0.3">
      <c r="A659" t="s">
        <v>2953</v>
      </c>
      <c r="B659" t="str">
        <f t="shared" si="10"/>
        <v>&lt;a href="canciones/ruah/tu_y_no_yo.html"&gt;</v>
      </c>
      <c r="C659">
        <f>IFERROR(_xlfn.XMATCH(B659,CantoralDB[check]),"NO")</f>
        <v>1668</v>
      </c>
    </row>
    <row r="660" spans="1:3" x14ac:dyDescent="0.3">
      <c r="A660" t="s">
        <v>2954</v>
      </c>
      <c r="B660" t="str">
        <f t="shared" si="10"/>
        <v>&lt;a href="canciones/ruah/tuya_y_nueva.html"&gt;</v>
      </c>
      <c r="C660">
        <f>IFERROR(_xlfn.XMATCH(B660,CantoralDB[check]),"NO")</f>
        <v>1678</v>
      </c>
    </row>
    <row r="661" spans="1:3" x14ac:dyDescent="0.3">
      <c r="A661" t="s">
        <v>2955</v>
      </c>
      <c r="B661" t="str">
        <f t="shared" si="10"/>
        <v>&lt;a href="canciones/ruah/vivir.html"&gt;</v>
      </c>
      <c r="C661">
        <f>IFERROR(_xlfn.XMATCH(B661,CantoralDB[check]),"NO")</f>
        <v>1804</v>
      </c>
    </row>
    <row r="662" spans="1:3" x14ac:dyDescent="0.3">
      <c r="A662" t="s">
        <v>2587</v>
      </c>
      <c r="B662" t="str">
        <f t="shared" si="10"/>
        <v>&lt;a href="canciones/taize/aber_du_weisst_den_weg_für_mich.html"&gt;</v>
      </c>
      <c r="C662">
        <f>IFERROR(_xlfn.XMATCH(B662,CantoralDB[check]),"NO")</f>
        <v>29</v>
      </c>
    </row>
    <row r="663" spans="1:3" x14ac:dyDescent="0.3">
      <c r="A663" t="s">
        <v>2562</v>
      </c>
      <c r="B663" t="str">
        <f t="shared" si="10"/>
        <v>&lt;a href="canciones/taize/aber_du_weisst_den_weg_für_mich.html"&gt;</v>
      </c>
      <c r="C663">
        <f>IFERROR(_xlfn.XMATCH(B663,CantoralDB[check]),"NO")</f>
        <v>29</v>
      </c>
    </row>
    <row r="664" spans="1:3" x14ac:dyDescent="0.3">
      <c r="A664" t="s">
        <v>2588</v>
      </c>
      <c r="B664" t="str">
        <f t="shared" si="10"/>
        <v>&lt;a href="canciones/taize/ad_te_jesu_christe.html"&gt;</v>
      </c>
      <c r="C664">
        <f>IFERROR(_xlfn.XMATCH(B664,CantoralDB[check]),"NO")</f>
        <v>47</v>
      </c>
    </row>
    <row r="665" spans="1:3" x14ac:dyDescent="0.3">
      <c r="A665" t="s">
        <v>2559</v>
      </c>
      <c r="B665" t="str">
        <f t="shared" si="10"/>
        <v>&lt;a href="canciones/taize/ad_te_jesu_christe.html"&gt;</v>
      </c>
      <c r="C665">
        <f>IFERROR(_xlfn.XMATCH(B665,CantoralDB[check]),"NO")</f>
        <v>47</v>
      </c>
    </row>
    <row r="666" spans="1:3" x14ac:dyDescent="0.3">
      <c r="A666" t="s">
        <v>2589</v>
      </c>
      <c r="B666" t="str">
        <f t="shared" si="10"/>
        <v>&lt;a href="canciones/taize/adoramus_te_o_christe.html"&gt;</v>
      </c>
      <c r="C666">
        <f>IFERROR(_xlfn.XMATCH(B666,CantoralDB[check]),"NO")</f>
        <v>55</v>
      </c>
    </row>
    <row r="667" spans="1:3" x14ac:dyDescent="0.3">
      <c r="A667" t="s">
        <v>2574</v>
      </c>
      <c r="B667" t="str">
        <f t="shared" si="10"/>
        <v>&lt;a href="canciones/taize/adoramus_te_o_christe.html"&gt;</v>
      </c>
      <c r="C667">
        <f>IFERROR(_xlfn.XMATCH(B667,CantoralDB[check]),"NO")</f>
        <v>55</v>
      </c>
    </row>
    <row r="668" spans="1:3" x14ac:dyDescent="0.3">
      <c r="A668" t="s">
        <v>3067</v>
      </c>
      <c r="B668" t="str">
        <f t="shared" si="10"/>
        <v>&lt;a href="canciones/cesareo_gabarain/alelu-aleluya.html"&gt;</v>
      </c>
      <c r="C668">
        <f>IFERROR(_xlfn.XMATCH(B668,CantoralDB[check]),"NO")</f>
        <v>98</v>
      </c>
    </row>
    <row r="669" spans="1:3" x14ac:dyDescent="0.3">
      <c r="A669" t="s">
        <v>2521</v>
      </c>
      <c r="B669" t="str">
        <f t="shared" si="10"/>
        <v>&lt;a href="canciones/taize/alleluia_11.html"&gt;</v>
      </c>
      <c r="C669">
        <f>IFERROR(_xlfn.XMATCH(B669,CantoralDB[check]),"NO")</f>
        <v>106</v>
      </c>
    </row>
    <row r="670" spans="1:3" x14ac:dyDescent="0.3">
      <c r="A670" t="s">
        <v>2590</v>
      </c>
      <c r="B670" t="str">
        <f t="shared" si="10"/>
        <v>&lt;a href="canciones/taize/alleluia_11.html"&gt;</v>
      </c>
      <c r="C670">
        <f>IFERROR(_xlfn.XMATCH(B670,CantoralDB[check]),"NO")</f>
        <v>106</v>
      </c>
    </row>
    <row r="671" spans="1:3" x14ac:dyDescent="0.3">
      <c r="A671" t="s">
        <v>2522</v>
      </c>
      <c r="B671" t="str">
        <f t="shared" si="10"/>
        <v>&lt;a href="canciones/taize/alleluia_17.html"&gt;</v>
      </c>
      <c r="C671">
        <f>IFERROR(_xlfn.XMATCH(B671,CantoralDB[check]),"NO")</f>
        <v>107</v>
      </c>
    </row>
    <row r="672" spans="1:3" x14ac:dyDescent="0.3">
      <c r="A672" t="s">
        <v>2591</v>
      </c>
      <c r="B672" t="str">
        <f t="shared" si="10"/>
        <v>&lt;a href="canciones/taize/alleluia_17.html"&gt;</v>
      </c>
      <c r="C672">
        <f>IFERROR(_xlfn.XMATCH(B672,CantoralDB[check]),"NO")</f>
        <v>107</v>
      </c>
    </row>
    <row r="673" spans="1:3" x14ac:dyDescent="0.3">
      <c r="A673" t="s">
        <v>2523</v>
      </c>
      <c r="B673" t="str">
        <f t="shared" si="10"/>
        <v>&lt;a href="canciones/taize/alleluia_22.html"&gt;</v>
      </c>
      <c r="C673">
        <f>IFERROR(_xlfn.XMATCH(B673,CantoralDB[check]),"NO")</f>
        <v>108</v>
      </c>
    </row>
    <row r="674" spans="1:3" x14ac:dyDescent="0.3">
      <c r="A674" t="s">
        <v>2592</v>
      </c>
      <c r="B674" t="str">
        <f t="shared" si="10"/>
        <v>&lt;a href="canciones/taize/alleluia_22.html"&gt;</v>
      </c>
      <c r="C674">
        <f>IFERROR(_xlfn.XMATCH(B674,CantoralDB[check]),"NO")</f>
        <v>108</v>
      </c>
    </row>
    <row r="675" spans="1:3" x14ac:dyDescent="0.3">
      <c r="A675" t="s">
        <v>2524</v>
      </c>
      <c r="B675" t="str">
        <f t="shared" si="10"/>
        <v>&lt;a href="canciones/taize/alleluia_7.html"&gt;</v>
      </c>
      <c r="C675">
        <f>IFERROR(_xlfn.XMATCH(B675,CantoralDB[check]),"NO")</f>
        <v>109</v>
      </c>
    </row>
    <row r="676" spans="1:3" x14ac:dyDescent="0.3">
      <c r="A676" t="s">
        <v>2593</v>
      </c>
      <c r="B676" t="str">
        <f t="shared" si="10"/>
        <v>&lt;a href="canciones/taize/alleluia_7.html"&gt;</v>
      </c>
      <c r="C676">
        <f>IFERROR(_xlfn.XMATCH(B676,CantoralDB[check]),"NO")</f>
        <v>109</v>
      </c>
    </row>
    <row r="677" spans="1:3" x14ac:dyDescent="0.3">
      <c r="A677" t="s">
        <v>2525</v>
      </c>
      <c r="B677" t="str">
        <f t="shared" si="10"/>
        <v>&lt;a href="canciones/taize/alleluia_94.html"&gt;</v>
      </c>
      <c r="C677">
        <f>IFERROR(_xlfn.XMATCH(B677,CantoralDB[check]),"NO")</f>
        <v>110</v>
      </c>
    </row>
    <row r="678" spans="1:3" x14ac:dyDescent="0.3">
      <c r="A678" t="s">
        <v>2594</v>
      </c>
      <c r="B678" t="str">
        <f t="shared" si="10"/>
        <v>&lt;a href="canciones/taize/alleluia_94.html"&gt;</v>
      </c>
      <c r="C678">
        <f>IFERROR(_xlfn.XMATCH(B678,CantoralDB[check]),"NO")</f>
        <v>110</v>
      </c>
    </row>
    <row r="679" spans="1:3" x14ac:dyDescent="0.3">
      <c r="A679" t="s">
        <v>2526</v>
      </c>
      <c r="B679" t="str">
        <f t="shared" si="10"/>
        <v>&lt;a href="canciones/taize/alleluia_96.html"&gt;</v>
      </c>
      <c r="C679">
        <f>IFERROR(_xlfn.XMATCH(B679,CantoralDB[check]),"NO")</f>
        <v>111</v>
      </c>
    </row>
    <row r="680" spans="1:3" x14ac:dyDescent="0.3">
      <c r="A680" t="s">
        <v>2595</v>
      </c>
      <c r="B680" t="str">
        <f t="shared" si="10"/>
        <v>&lt;a href="canciones/taize/alleluia_96.html"&gt;</v>
      </c>
      <c r="C680">
        <f>IFERROR(_xlfn.XMATCH(B680,CantoralDB[check]),"NO")</f>
        <v>111</v>
      </c>
    </row>
    <row r="681" spans="1:3" x14ac:dyDescent="0.3">
      <c r="A681" t="s">
        <v>2527</v>
      </c>
      <c r="B681" t="str">
        <f t="shared" si="10"/>
        <v>&lt;a href="canciones/taize/alleluia_97.html"&gt;</v>
      </c>
      <c r="C681">
        <f>IFERROR(_xlfn.XMATCH(B681,CantoralDB[check]),"NO")</f>
        <v>112</v>
      </c>
    </row>
    <row r="682" spans="1:3" x14ac:dyDescent="0.3">
      <c r="A682" t="s">
        <v>2596</v>
      </c>
      <c r="B682" t="str">
        <f t="shared" si="10"/>
        <v>&lt;a href="canciones/taize/alleluia_97.html"&gt;</v>
      </c>
      <c r="C682">
        <f>IFERROR(_xlfn.XMATCH(B682,CantoralDB[check]),"NO")</f>
        <v>112</v>
      </c>
    </row>
    <row r="683" spans="1:3" x14ac:dyDescent="0.3">
      <c r="A683" t="s">
        <v>2597</v>
      </c>
      <c r="B683" t="str">
        <f t="shared" si="10"/>
        <v>&lt;a href="canciones/taize/beati_voi_poveri.html"&gt;</v>
      </c>
      <c r="C683">
        <f>IFERROR(_xlfn.XMATCH(B683,CantoralDB[check]),"NO")</f>
        <v>208</v>
      </c>
    </row>
    <row r="684" spans="1:3" x14ac:dyDescent="0.3">
      <c r="A684" t="s">
        <v>2542</v>
      </c>
      <c r="B684" t="str">
        <f t="shared" si="10"/>
        <v>&lt;a href="canciones/taize/beati_voi_poveri.html"&gt;</v>
      </c>
      <c r="C684">
        <f>IFERROR(_xlfn.XMATCH(B684,CantoralDB[check]),"NO")</f>
        <v>208</v>
      </c>
    </row>
    <row r="685" spans="1:3" x14ac:dyDescent="0.3">
      <c r="A685" t="s">
        <v>2598</v>
      </c>
      <c r="B685" t="str">
        <f t="shared" si="10"/>
        <v>&lt;a href="canciones/taize/behüte_mich_gott.html"&gt;</v>
      </c>
      <c r="C685">
        <f>IFERROR(_xlfn.XMATCH(B685,CantoralDB[check]),"NO")</f>
        <v>209</v>
      </c>
    </row>
    <row r="686" spans="1:3" x14ac:dyDescent="0.3">
      <c r="A686" t="s">
        <v>2568</v>
      </c>
      <c r="B686" t="str">
        <f t="shared" si="10"/>
        <v>&lt;a href="canciones/taize/behüte_mich_gott.html"&gt;</v>
      </c>
      <c r="C686">
        <f>IFERROR(_xlfn.XMATCH(B686,CantoralDB[check]),"NO")</f>
        <v>209</v>
      </c>
    </row>
    <row r="687" spans="1:3" x14ac:dyDescent="0.3">
      <c r="A687" t="s">
        <v>2529</v>
      </c>
      <c r="B687" t="str">
        <f t="shared" si="10"/>
        <v>&lt;a href="canciones/taize/benedictus_qui_venit_(canon).html"&gt;</v>
      </c>
      <c r="C687">
        <f>IFERROR(_xlfn.XMATCH(B687,CantoralDB[check]),"NO")</f>
        <v>224</v>
      </c>
    </row>
    <row r="688" spans="1:3" x14ac:dyDescent="0.3">
      <c r="A688" t="s">
        <v>2599</v>
      </c>
      <c r="B688" t="str">
        <f t="shared" si="10"/>
        <v>&lt;a href="canciones/taize/benedictus_qui_venit_(canon).html"&gt;</v>
      </c>
      <c r="C688">
        <f>IFERROR(_xlfn.XMATCH(B688,CantoralDB[check]),"NO")</f>
        <v>224</v>
      </c>
    </row>
    <row r="689" spans="1:3" x14ac:dyDescent="0.3">
      <c r="A689" t="s">
        <v>2528</v>
      </c>
      <c r="B689" t="str">
        <f t="shared" si="10"/>
        <v>&lt;a href="canciones/taize/benissez_le_seigneur.html"&gt;</v>
      </c>
      <c r="C689">
        <f>IFERROR(_xlfn.XMATCH(B689,CantoralDB[check]),"NO")</f>
        <v>214</v>
      </c>
    </row>
    <row r="690" spans="1:3" x14ac:dyDescent="0.3">
      <c r="A690" t="s">
        <v>2600</v>
      </c>
      <c r="B690" t="str">
        <f t="shared" si="10"/>
        <v>&lt;a href="canciones/taize/benissez_le_seigneur.html"&gt;</v>
      </c>
      <c r="C690">
        <f>IFERROR(_xlfn.XMATCH(B690,CantoralDB[check]),"NO")</f>
        <v>214</v>
      </c>
    </row>
    <row r="691" spans="1:3" x14ac:dyDescent="0.3">
      <c r="A691" t="s">
        <v>2601</v>
      </c>
      <c r="B691" t="str">
        <f t="shared" si="10"/>
        <v>&lt;a href="canciones/taize/bleibet_hier.html"&gt;</v>
      </c>
      <c r="C691">
        <f>IFERROR(_xlfn.XMATCH(B691,CantoralDB[check]),"NO")</f>
        <v>238</v>
      </c>
    </row>
    <row r="692" spans="1:3" x14ac:dyDescent="0.3">
      <c r="A692" t="s">
        <v>2566</v>
      </c>
      <c r="B692" t="str">
        <f t="shared" si="10"/>
        <v>&lt;a href="canciones/taize/bleibet_hier.html"&gt;</v>
      </c>
      <c r="C692">
        <f>IFERROR(_xlfn.XMATCH(B692,CantoralDB[check]),"NO")</f>
        <v>238</v>
      </c>
    </row>
    <row r="693" spans="1:3" x14ac:dyDescent="0.3">
      <c r="A693" t="s">
        <v>2602</v>
      </c>
      <c r="B693" t="str">
        <f t="shared" si="10"/>
        <v>&lt;a href="canciones/taize/bless_the_lord.html"&gt;</v>
      </c>
      <c r="C693">
        <f>IFERROR(_xlfn.XMATCH(B693,CantoralDB[check]),"NO")</f>
        <v>239</v>
      </c>
    </row>
    <row r="694" spans="1:3" x14ac:dyDescent="0.3">
      <c r="A694" t="s">
        <v>2579</v>
      </c>
      <c r="B694" t="str">
        <f t="shared" si="10"/>
        <v>&lt;a href="canciones/taize/bless_the_lord.html"&gt;</v>
      </c>
      <c r="C694">
        <f>IFERROR(_xlfn.XMATCH(B694,CantoralDB[check]),"NO")</f>
        <v>239</v>
      </c>
    </row>
    <row r="695" spans="1:3" x14ac:dyDescent="0.3">
      <c r="A695" t="s">
        <v>2603</v>
      </c>
      <c r="B695" t="str">
        <f t="shared" si="10"/>
        <v>&lt;a href="canciones/taize/bog_jest_miłością.html"&gt;</v>
      </c>
      <c r="C695">
        <f>IFERROR(_xlfn.XMATCH(B695,CantoralDB[check]),"NO")</f>
        <v>240</v>
      </c>
    </row>
    <row r="696" spans="1:3" x14ac:dyDescent="0.3">
      <c r="A696" t="s">
        <v>2544</v>
      </c>
      <c r="B696" t="str">
        <f t="shared" si="10"/>
        <v>&lt;a href="canciones/taize/bog_jest_miłością.html"&gt;</v>
      </c>
      <c r="C696">
        <f>IFERROR(_xlfn.XMATCH(B696,CantoralDB[check]),"NO")</f>
        <v>240</v>
      </c>
    </row>
    <row r="697" spans="1:3" x14ac:dyDescent="0.3">
      <c r="A697" t="s">
        <v>2604</v>
      </c>
      <c r="B697" t="str">
        <f t="shared" si="10"/>
        <v>&lt;a href="canciones/taize/bogoroditse_dievo_1.html"&gt;</v>
      </c>
      <c r="C697">
        <f>IFERROR(_xlfn.XMATCH(B697,CantoralDB[check]),"NO")</f>
        <v>242</v>
      </c>
    </row>
    <row r="698" spans="1:3" x14ac:dyDescent="0.3">
      <c r="A698" t="s">
        <v>2545</v>
      </c>
      <c r="B698" t="str">
        <f t="shared" si="10"/>
        <v>&lt;a href="canciones/taize/bogoroditse_dievo_1.html"&gt;</v>
      </c>
      <c r="C698">
        <f>IFERROR(_xlfn.XMATCH(B698,CantoralDB[check]),"NO")</f>
        <v>242</v>
      </c>
    </row>
    <row r="699" spans="1:3" x14ac:dyDescent="0.3">
      <c r="A699" t="s">
        <v>2605</v>
      </c>
      <c r="B699" t="str">
        <f t="shared" si="10"/>
        <v>&lt;a href="canciones/taize/bonum_est_confidere.html"&gt;</v>
      </c>
      <c r="C699">
        <f>IFERROR(_xlfn.XMATCH(B699,CantoralDB[check]),"NO")</f>
        <v>243</v>
      </c>
    </row>
    <row r="700" spans="1:3" x14ac:dyDescent="0.3">
      <c r="A700" t="s">
        <v>2570</v>
      </c>
      <c r="B700" t="str">
        <f t="shared" si="10"/>
        <v>&lt;a href="canciones/taize/bonum_est_confidere.html"&gt;</v>
      </c>
      <c r="C700">
        <f>IFERROR(_xlfn.XMATCH(B700,CantoralDB[check]),"NO")</f>
        <v>243</v>
      </c>
    </row>
    <row r="701" spans="1:3" x14ac:dyDescent="0.3">
      <c r="A701" t="s">
        <v>2530</v>
      </c>
      <c r="B701" t="str">
        <f t="shared" si="10"/>
        <v>&lt;a href="canciones/taize/cantarei_ao_senhor.html"&gt;</v>
      </c>
      <c r="C701">
        <f>IFERROR(_xlfn.XMATCH(B701,CantoralDB[check]),"NO")</f>
        <v>271</v>
      </c>
    </row>
    <row r="702" spans="1:3" x14ac:dyDescent="0.3">
      <c r="A702" t="s">
        <v>2606</v>
      </c>
      <c r="B702" t="str">
        <f t="shared" si="10"/>
        <v>&lt;a href="canciones/taize/cantarei_ao_senhor.html"&gt;</v>
      </c>
      <c r="C702">
        <f>IFERROR(_xlfn.XMATCH(B702,CantoralDB[check]),"NO")</f>
        <v>271</v>
      </c>
    </row>
    <row r="703" spans="1:3" x14ac:dyDescent="0.3">
      <c r="A703" t="s">
        <v>2607</v>
      </c>
      <c r="B703" t="str">
        <f t="shared" si="10"/>
        <v>&lt;a href="canciones/taize/cantate_domino_canticum_novum.html"&gt;</v>
      </c>
      <c r="C703">
        <f>IFERROR(_xlfn.XMATCH(B703,CantoralDB[check]),"NO")</f>
        <v>275</v>
      </c>
    </row>
    <row r="704" spans="1:3" x14ac:dyDescent="0.3">
      <c r="A704" t="s">
        <v>2583</v>
      </c>
      <c r="B704" t="str">
        <f t="shared" si="10"/>
        <v>&lt;a href="canciones/taize/cantate_domino_canticum_novum.html"&gt;</v>
      </c>
      <c r="C704">
        <f>IFERROR(_xlfn.XMATCH(B704,CantoralDB[check]),"NO")</f>
        <v>275</v>
      </c>
    </row>
    <row r="705" spans="1:3" x14ac:dyDescent="0.3">
      <c r="A705" t="s">
        <v>3041</v>
      </c>
      <c r="B705" t="str">
        <f t="shared" ref="B705:B768" si="11">_xlfn.TEXTBEFORE(_xlfn.TEXTAFTER(A705,"&gt;"),"&gt;")&amp;"&gt;"</f>
        <v>&lt;a href="canciones/taize/christe_lux_mundi.html"&gt;</v>
      </c>
      <c r="C705">
        <f>IFERROR(_xlfn.XMATCH(B705,CantoralDB[check]),"NO")</f>
        <v>293</v>
      </c>
    </row>
    <row r="706" spans="1:3" x14ac:dyDescent="0.3">
      <c r="A706" t="s">
        <v>3042</v>
      </c>
      <c r="B706" t="str">
        <f t="shared" si="11"/>
        <v>&lt;a href="canciones/taize/christe_lux_mundi.html"&gt;</v>
      </c>
      <c r="C706">
        <f>IFERROR(_xlfn.XMATCH(B706,CantoralDB[check]),"NO")</f>
        <v>293</v>
      </c>
    </row>
    <row r="707" spans="1:3" x14ac:dyDescent="0.3">
      <c r="A707" t="s">
        <v>2608</v>
      </c>
      <c r="B707" t="str">
        <f t="shared" si="11"/>
        <v>&lt;a href="canciones/taize/christe_salvator.html"&gt;</v>
      </c>
      <c r="C707">
        <f>IFERROR(_xlfn.XMATCH(B707,CantoralDB[check]),"NO")</f>
        <v>292</v>
      </c>
    </row>
    <row r="708" spans="1:3" x14ac:dyDescent="0.3">
      <c r="A708" t="s">
        <v>2543</v>
      </c>
      <c r="B708" t="str">
        <f t="shared" si="11"/>
        <v>&lt;a href="canciones/taize/christe_salvator.html"&gt;</v>
      </c>
      <c r="C708">
        <f>IFERROR(_xlfn.XMATCH(B708,CantoralDB[check]),"NO")</f>
        <v>292</v>
      </c>
    </row>
    <row r="709" spans="1:3" x14ac:dyDescent="0.3">
      <c r="A709" t="s">
        <v>2609</v>
      </c>
      <c r="B709" t="str">
        <f t="shared" si="11"/>
        <v>&lt;a href="canciones/taize/confitemini_domino.html"&gt;</v>
      </c>
      <c r="C709">
        <f>IFERROR(_xlfn.XMATCH(B709,CantoralDB[check]),"NO")</f>
        <v>343</v>
      </c>
    </row>
    <row r="710" spans="1:3" x14ac:dyDescent="0.3">
      <c r="A710" t="s">
        <v>2560</v>
      </c>
      <c r="B710" t="str">
        <f t="shared" si="11"/>
        <v>&lt;a href="canciones/taize/confitemini_domino.html"&gt;</v>
      </c>
      <c r="C710">
        <f>IFERROR(_xlfn.XMATCH(B710,CantoralDB[check]),"NO")</f>
        <v>343</v>
      </c>
    </row>
    <row r="711" spans="1:3" x14ac:dyDescent="0.3">
      <c r="A711" t="s">
        <v>2276</v>
      </c>
      <c r="B711" t="str">
        <f t="shared" si="11"/>
        <v>&lt;a href="canciones/taize/cristo_ha_resucitado.html"&gt;</v>
      </c>
      <c r="C711">
        <f>IFERROR(_xlfn.XMATCH(B711,CantoralDB[check]),"NO")</f>
        <v>381</v>
      </c>
    </row>
    <row r="712" spans="1:3" x14ac:dyDescent="0.3">
      <c r="A712" t="s">
        <v>2610</v>
      </c>
      <c r="B712" t="str">
        <f t="shared" si="11"/>
        <v>&lt;a href="canciones/taize/crucem_tuam.html"&gt;</v>
      </c>
      <c r="C712">
        <f>IFERROR(_xlfn.XMATCH(B712,CantoralDB[check]),"NO")</f>
        <v>394</v>
      </c>
    </row>
    <row r="713" spans="1:3" x14ac:dyDescent="0.3">
      <c r="A713" t="s">
        <v>2582</v>
      </c>
      <c r="B713" t="str">
        <f t="shared" si="11"/>
        <v>&lt;a href="canciones/taize/crucem_tuam.html"&gt;</v>
      </c>
      <c r="C713">
        <f>IFERROR(_xlfn.XMATCH(B713,CantoralDB[check]),"NO")</f>
        <v>394</v>
      </c>
    </row>
    <row r="714" spans="1:3" x14ac:dyDescent="0.3">
      <c r="A714" t="s">
        <v>2612</v>
      </c>
      <c r="B714" t="str">
        <f t="shared" si="11"/>
        <v>&lt;a href="canciones/taize/da_pacem..._in_diebus.html"&gt;</v>
      </c>
      <c r="C714">
        <f>IFERROR(_xlfn.XMATCH(B714,CantoralDB[check]),"NO")</f>
        <v>412</v>
      </c>
    </row>
    <row r="715" spans="1:3" x14ac:dyDescent="0.3">
      <c r="A715" t="s">
        <v>2538</v>
      </c>
      <c r="B715" t="str">
        <f t="shared" si="11"/>
        <v>&lt;a href="canciones/taize/da_pacem..._in_diebus.html"&gt;</v>
      </c>
      <c r="C715">
        <f>IFERROR(_xlfn.XMATCH(B715,CantoralDB[check]),"NO")</f>
        <v>412</v>
      </c>
    </row>
    <row r="716" spans="1:3" x14ac:dyDescent="0.3">
      <c r="A716" t="s">
        <v>2611</v>
      </c>
      <c r="B716" t="str">
        <f t="shared" si="11"/>
        <v>&lt;a href="canciones/taize/da_pacem_cordium_(canon).html"&gt;</v>
      </c>
      <c r="C716">
        <f>IFERROR(_xlfn.XMATCH(B716,CantoralDB[check]),"NO")</f>
        <v>411</v>
      </c>
    </row>
    <row r="717" spans="1:3" x14ac:dyDescent="0.3">
      <c r="A717" t="s">
        <v>2539</v>
      </c>
      <c r="B717" t="str">
        <f t="shared" si="11"/>
        <v>&lt;a href="canciones/taize/da_pacem_cordium_(canon).html"&gt;</v>
      </c>
      <c r="C717">
        <f>IFERROR(_xlfn.XMATCH(B717,CantoralDB[check]),"NO")</f>
        <v>411</v>
      </c>
    </row>
    <row r="718" spans="1:3" x14ac:dyDescent="0.3">
      <c r="A718" t="s">
        <v>2613</v>
      </c>
      <c r="B718" t="str">
        <f t="shared" si="11"/>
        <v>&lt;a href="canciones/taize/dans_nos_obscurites.html"&gt;</v>
      </c>
      <c r="C718">
        <f>IFERROR(_xlfn.XMATCH(B718,CantoralDB[check]),"NO")</f>
        <v>429</v>
      </c>
    </row>
    <row r="719" spans="1:3" x14ac:dyDescent="0.3">
      <c r="A719" t="s">
        <v>2552</v>
      </c>
      <c r="B719" t="str">
        <f t="shared" si="11"/>
        <v>&lt;a href="canciones/taize/dans_nos_obscurites.html"&gt;</v>
      </c>
      <c r="C719">
        <f>IFERROR(_xlfn.XMATCH(B719,CantoralDB[check]),"NO")</f>
        <v>429</v>
      </c>
    </row>
    <row r="720" spans="1:3" x14ac:dyDescent="0.3">
      <c r="A720" t="s">
        <v>2614</v>
      </c>
      <c r="B720" t="str">
        <f t="shared" si="11"/>
        <v>&lt;a href="canciones/taize/de_noche.html"&gt;</v>
      </c>
      <c r="C720">
        <f>IFERROR(_xlfn.XMATCH(B720,CantoralDB[check]),"NO")</f>
        <v>436</v>
      </c>
    </row>
    <row r="721" spans="1:3" x14ac:dyDescent="0.3">
      <c r="A721" t="s">
        <v>2615</v>
      </c>
      <c r="B721" t="str">
        <f t="shared" si="11"/>
        <v>&lt;a href="canciones/taize/despierta_tu_que_duermes.html"&gt;</v>
      </c>
      <c r="C721">
        <f>IFERROR(_xlfn.XMATCH(B721,CantoralDB[check]),"NO")</f>
        <v>461</v>
      </c>
    </row>
    <row r="722" spans="1:3" x14ac:dyDescent="0.3">
      <c r="A722" t="s">
        <v>3043</v>
      </c>
      <c r="B722" t="str">
        <f t="shared" si="11"/>
        <v>&lt;a href="canciones/taize/deus_deus_meus_(canon).html"&gt;</v>
      </c>
      <c r="C722">
        <f>IFERROR(_xlfn.XMATCH(B722,CantoralDB[check]),"NO")</f>
        <v>465</v>
      </c>
    </row>
    <row r="723" spans="1:3" x14ac:dyDescent="0.3">
      <c r="A723" t="s">
        <v>3044</v>
      </c>
      <c r="B723" t="str">
        <f t="shared" si="11"/>
        <v>&lt;a href="canciones/taize/deus_deus_meus_(canon).html"&gt;</v>
      </c>
      <c r="C723">
        <f>IFERROR(_xlfn.XMATCH(B723,CantoralDB[check]),"NO")</f>
        <v>465</v>
      </c>
    </row>
    <row r="724" spans="1:3" x14ac:dyDescent="0.3">
      <c r="A724" t="s">
        <v>2616</v>
      </c>
      <c r="B724" t="str">
        <f t="shared" si="11"/>
        <v>&lt;a href="canciones/taize/dieu_ne_peut_que_donner.html"&gt;</v>
      </c>
      <c r="C724">
        <f>IFERROR(_xlfn.XMATCH(B724,CantoralDB[check]),"NO")</f>
        <v>469</v>
      </c>
    </row>
    <row r="725" spans="1:3" x14ac:dyDescent="0.3">
      <c r="A725" t="s">
        <v>2546</v>
      </c>
      <c r="B725" t="str">
        <f t="shared" si="11"/>
        <v>&lt;a href="canciones/taize/dieu_ne_peut_que_donner.html"&gt;</v>
      </c>
      <c r="C725">
        <f>IFERROR(_xlfn.XMATCH(B725,CantoralDB[check]),"NO")</f>
        <v>469</v>
      </c>
    </row>
    <row r="726" spans="1:3" x14ac:dyDescent="0.3">
      <c r="A726" t="s">
        <v>2532</v>
      </c>
      <c r="B726" t="str">
        <f t="shared" si="11"/>
        <v>&lt;a href="canciones/taize/dominus_spiritus_est.html"&gt;</v>
      </c>
      <c r="C726">
        <f>IFERROR(_xlfn.XMATCH(B726,CantoralDB[check]),"NO")</f>
        <v>377</v>
      </c>
    </row>
    <row r="727" spans="1:3" x14ac:dyDescent="0.3">
      <c r="A727" t="s">
        <v>2617</v>
      </c>
      <c r="B727" t="str">
        <f t="shared" si="11"/>
        <v>&lt;a href="canciones/taize/dominus_spiritus_est.html"&gt;</v>
      </c>
      <c r="C727">
        <f>IFERROR(_xlfn.XMATCH(B727,CantoralDB[check]),"NO")</f>
        <v>377</v>
      </c>
    </row>
    <row r="728" spans="1:3" x14ac:dyDescent="0.3">
      <c r="A728" t="s">
        <v>2537</v>
      </c>
      <c r="B728" t="str">
        <f t="shared" si="11"/>
        <v>&lt;a href="canciones/taize/dona_la_pace.html"&gt;</v>
      </c>
      <c r="C728">
        <f>IFERROR(_xlfn.XMATCH(B728,CantoralDB[check]),"NO")</f>
        <v>422</v>
      </c>
    </row>
    <row r="729" spans="1:3" x14ac:dyDescent="0.3">
      <c r="A729" t="s">
        <v>2618</v>
      </c>
      <c r="B729" t="str">
        <f t="shared" si="11"/>
        <v>&lt;a href="canciones/taize/dona_la_pace.html"&gt;</v>
      </c>
      <c r="C729">
        <f>IFERROR(_xlfn.XMATCH(B729,CantoralDB[check]),"NO")</f>
        <v>422</v>
      </c>
    </row>
    <row r="730" spans="1:3" x14ac:dyDescent="0.3">
      <c r="A730" t="s">
        <v>2536</v>
      </c>
      <c r="B730" t="str">
        <f t="shared" si="11"/>
        <v>&lt;a href="canciones/taize/dona_nobis_pacem.html"&gt;</v>
      </c>
      <c r="C730">
        <f>IFERROR(_xlfn.XMATCH(B730,CantoralDB[check]),"NO")</f>
        <v>421</v>
      </c>
    </row>
    <row r="731" spans="1:3" x14ac:dyDescent="0.3">
      <c r="A731" t="s">
        <v>2619</v>
      </c>
      <c r="B731" t="str">
        <f t="shared" si="11"/>
        <v>&lt;a href="canciones/taize/dona_nobis_pacem.html"&gt;</v>
      </c>
      <c r="C731">
        <f>IFERROR(_xlfn.XMATCH(B731,CantoralDB[check]),"NO")</f>
        <v>421</v>
      </c>
    </row>
    <row r="732" spans="1:3" x14ac:dyDescent="0.3">
      <c r="A732" t="s">
        <v>2531</v>
      </c>
      <c r="B732" t="str">
        <f t="shared" si="11"/>
        <v>&lt;a href="canciones/taize/eat_this_bread.html"&gt;</v>
      </c>
      <c r="C732">
        <f>IFERROR(_xlfn.XMATCH(B732,CantoralDB[check]),"NO")</f>
        <v>300</v>
      </c>
    </row>
    <row r="733" spans="1:3" x14ac:dyDescent="0.3">
      <c r="A733" t="s">
        <v>2620</v>
      </c>
      <c r="B733" t="str">
        <f t="shared" si="11"/>
        <v>&lt;a href="canciones/taize/eat_this_bread.html"&gt;</v>
      </c>
      <c r="C733">
        <f>IFERROR(_xlfn.XMATCH(B733,CantoralDB[check]),"NO")</f>
        <v>300</v>
      </c>
    </row>
    <row r="734" spans="1:3" x14ac:dyDescent="0.3">
      <c r="A734" t="s">
        <v>2630</v>
      </c>
      <c r="B734" t="str">
        <f t="shared" si="11"/>
        <v>&lt;a href="canciones/taize/eat_this_bread.html"&gt;</v>
      </c>
      <c r="C734">
        <f>IFERROR(_xlfn.XMATCH(B734,CantoralDB[check]),"NO")</f>
        <v>300</v>
      </c>
    </row>
    <row r="735" spans="1:3" x14ac:dyDescent="0.3">
      <c r="A735" t="s">
        <v>2621</v>
      </c>
      <c r="B735" t="str">
        <f t="shared" si="11"/>
        <v>&lt;a href="canciones/taize/el_alma_que_anda_en_amor.html"&gt;</v>
      </c>
      <c r="C735">
        <f>IFERROR(_xlfn.XMATCH(B735,CantoralDB[check]),"NO")</f>
        <v>522</v>
      </c>
    </row>
    <row r="736" spans="1:3" x14ac:dyDescent="0.3">
      <c r="A736" t="s">
        <v>2622</v>
      </c>
      <c r="B736" t="str">
        <f t="shared" si="11"/>
        <v>&lt;a href="canciones/taize/el_senyor.html"&gt;</v>
      </c>
      <c r="C736">
        <f>IFERROR(_xlfn.XMATCH(B736,CantoralDB[check]),"NO")</f>
        <v>567</v>
      </c>
    </row>
    <row r="737" spans="1:3" x14ac:dyDescent="0.3">
      <c r="A737" t="s">
        <v>2549</v>
      </c>
      <c r="B737" t="str">
        <f t="shared" si="11"/>
        <v>&lt;a href="canciones/taize/el_senyor.html"&gt;</v>
      </c>
      <c r="C737">
        <f>IFERROR(_xlfn.XMATCH(B737,CantoralDB[check]),"NO")</f>
        <v>567</v>
      </c>
    </row>
    <row r="738" spans="1:3" x14ac:dyDescent="0.3">
      <c r="A738" t="s">
        <v>2623</v>
      </c>
      <c r="B738" t="str">
        <f t="shared" si="11"/>
        <v>&lt;a href="canciones/taize/esprit_consolateur.html"&gt;</v>
      </c>
      <c r="C738">
        <f>IFERROR(_xlfn.XMATCH(B738,CantoralDB[check]),"NO")</f>
        <v>680</v>
      </c>
    </row>
    <row r="739" spans="1:3" x14ac:dyDescent="0.3">
      <c r="A739" t="s">
        <v>2564</v>
      </c>
      <c r="B739" t="str">
        <f t="shared" si="11"/>
        <v>&lt;a href="canciones/taize/esprit_consolateur.html"&gt;</v>
      </c>
      <c r="C739">
        <f>IFERROR(_xlfn.XMATCH(B739,CantoralDB[check]),"NO")</f>
        <v>680</v>
      </c>
    </row>
    <row r="740" spans="1:3" x14ac:dyDescent="0.3">
      <c r="A740" t="s">
        <v>3045</v>
      </c>
      <c r="B740" t="str">
        <f t="shared" si="11"/>
        <v>&lt;a href="canciones/taize/herre_visa_mig_vägen.html"&gt;</v>
      </c>
      <c r="C740">
        <f>IFERROR(_xlfn.XMATCH(B740,CantoralDB[check]),"NO")</f>
        <v>495</v>
      </c>
    </row>
    <row r="741" spans="1:3" x14ac:dyDescent="0.3">
      <c r="A741" t="s">
        <v>3046</v>
      </c>
      <c r="B741" t="str">
        <f t="shared" si="11"/>
        <v>&lt;a href="canciones/taize/herre_visa_mig_vägen.html"&gt;</v>
      </c>
      <c r="C741">
        <f>IFERROR(_xlfn.XMATCH(B741,CantoralDB[check]),"NO")</f>
        <v>495</v>
      </c>
    </row>
    <row r="742" spans="1:3" x14ac:dyDescent="0.3">
      <c r="A742" t="s">
        <v>2555</v>
      </c>
      <c r="B742" t="str">
        <f t="shared" si="11"/>
        <v>&lt;a href="canciones/taize/heureux_qui_s’abandonne_à_toi.html"&gt;</v>
      </c>
      <c r="C742">
        <f>IFERROR(_xlfn.XMATCH(B742,CantoralDB[check]),"NO")</f>
        <v>713</v>
      </c>
    </row>
    <row r="743" spans="1:3" x14ac:dyDescent="0.3">
      <c r="A743" t="s">
        <v>2624</v>
      </c>
      <c r="B743" t="str">
        <f t="shared" si="11"/>
        <v>&lt;a href="canciones/taize/heureux_qui_s’abandonne_à_toi.html"&gt;</v>
      </c>
      <c r="C743">
        <f>IFERROR(_xlfn.XMATCH(B743,CantoralDB[check]),"NO")</f>
        <v>713</v>
      </c>
    </row>
    <row r="744" spans="1:3" x14ac:dyDescent="0.3">
      <c r="A744" t="s">
        <v>2625</v>
      </c>
      <c r="B744" t="str">
        <f t="shared" si="11"/>
        <v>&lt;a href="canciones/taize/i_am_sure_i_shall_see.html"&gt;</v>
      </c>
      <c r="C744">
        <f>IFERROR(_xlfn.XMATCH(B744,CantoralDB[check]),"NO")</f>
        <v>830</v>
      </c>
    </row>
    <row r="745" spans="1:3" x14ac:dyDescent="0.3">
      <c r="A745" t="s">
        <v>2586</v>
      </c>
      <c r="B745" t="str">
        <f t="shared" si="11"/>
        <v>&lt;a href="canciones/taize/i_am_sure_i_shall_see.html"&gt;</v>
      </c>
      <c r="C745">
        <f>IFERROR(_xlfn.XMATCH(B745,CantoralDB[check]),"NO")</f>
        <v>830</v>
      </c>
    </row>
    <row r="746" spans="1:3" x14ac:dyDescent="0.3">
      <c r="A746" t="s">
        <v>2626</v>
      </c>
      <c r="B746" t="str">
        <f t="shared" si="11"/>
        <v>&lt;a href="canciones/taize/iedere_nacht_verlang_ik.html"&gt;</v>
      </c>
      <c r="C746">
        <f>IFERROR(_xlfn.XMATCH(B746,CantoralDB[check]),"NO")</f>
        <v>831</v>
      </c>
    </row>
    <row r="747" spans="1:3" x14ac:dyDescent="0.3">
      <c r="A747" t="s">
        <v>2563</v>
      </c>
      <c r="B747" t="str">
        <f t="shared" si="11"/>
        <v>&lt;a href="canciones/taize/iedere_nacht_verlang_ik.html"&gt;</v>
      </c>
      <c r="C747">
        <f>IFERROR(_xlfn.XMATCH(B747,CantoralDB[check]),"NO")</f>
        <v>831</v>
      </c>
    </row>
    <row r="748" spans="1:3" x14ac:dyDescent="0.3">
      <c r="A748" t="s">
        <v>2550</v>
      </c>
      <c r="B748" t="str">
        <f t="shared" si="11"/>
        <v>&lt;a href="canciones/taize/il_signore_ti_ristora.html"&gt;</v>
      </c>
      <c r="C748">
        <f>IFERROR(_xlfn.XMATCH(B748,CantoralDB[check]),"NO")</f>
        <v>582</v>
      </c>
    </row>
    <row r="749" spans="1:3" x14ac:dyDescent="0.3">
      <c r="A749" t="s">
        <v>2627</v>
      </c>
      <c r="B749" t="str">
        <f t="shared" si="11"/>
        <v>&lt;a href="canciones/taize/il_signore_ti_ristora.html"&gt;</v>
      </c>
      <c r="C749">
        <f>IFERROR(_xlfn.XMATCH(B749,CantoralDB[check]),"NO")</f>
        <v>582</v>
      </c>
    </row>
    <row r="750" spans="1:3" x14ac:dyDescent="0.3">
      <c r="A750" t="s">
        <v>2628</v>
      </c>
      <c r="B750" t="str">
        <f t="shared" si="11"/>
        <v>&lt;a href="canciones/taize/in_manus_tuas.html"&gt;</v>
      </c>
      <c r="C750">
        <f>IFERROR(_xlfn.XMATCH(B750,CantoralDB[check]),"NO")</f>
        <v>837</v>
      </c>
    </row>
    <row r="751" spans="1:3" x14ac:dyDescent="0.3">
      <c r="A751" t="s">
        <v>2565</v>
      </c>
      <c r="B751" t="str">
        <f t="shared" si="11"/>
        <v>&lt;a href="canciones/taize/in_manus_tuas.html"&gt;</v>
      </c>
      <c r="C751">
        <f>IFERROR(_xlfn.XMATCH(B751,CantoralDB[check]),"NO")</f>
        <v>837</v>
      </c>
    </row>
    <row r="752" spans="1:3" x14ac:dyDescent="0.3">
      <c r="A752" t="s">
        <v>2520</v>
      </c>
      <c r="B752" t="str">
        <f t="shared" si="11"/>
        <v>&lt;a href="canciones/taize/in_resurrectione_tua.html"&gt;</v>
      </c>
      <c r="C752">
        <f>IFERROR(_xlfn.XMATCH(B752,CantoralDB[check]),"NO")</f>
        <v>95</v>
      </c>
    </row>
    <row r="753" spans="1:3" x14ac:dyDescent="0.3">
      <c r="A753" t="s">
        <v>2629</v>
      </c>
      <c r="B753" t="str">
        <f t="shared" si="11"/>
        <v>&lt;a href="canciones/taize/in_resurrectione_tua.html"&gt;</v>
      </c>
      <c r="C753">
        <f>IFERROR(_xlfn.XMATCH(B753,CantoralDB[check]),"NO")</f>
        <v>95</v>
      </c>
    </row>
    <row r="754" spans="1:3" x14ac:dyDescent="0.3">
      <c r="A754" t="s">
        <v>3037</v>
      </c>
      <c r="B754" t="str">
        <f t="shared" si="11"/>
        <v>&lt;a href="canciones/taize/jesus_ma_joie.html"&gt;</v>
      </c>
      <c r="C754">
        <f>IFERROR(_xlfn.XMATCH(B754,CantoralDB[check]),"NO")</f>
        <v>862</v>
      </c>
    </row>
    <row r="755" spans="1:3" x14ac:dyDescent="0.3">
      <c r="A755" t="s">
        <v>3038</v>
      </c>
      <c r="B755" t="str">
        <f t="shared" si="11"/>
        <v>&lt;a href="canciones/taize/jesus_ma_joie.html"&gt;</v>
      </c>
      <c r="C755">
        <f>IFERROR(_xlfn.XMATCH(B755,CantoralDB[check]),"NO")</f>
        <v>862</v>
      </c>
    </row>
    <row r="756" spans="1:3" x14ac:dyDescent="0.3">
      <c r="A756" t="s">
        <v>3039</v>
      </c>
      <c r="B756" t="str">
        <f t="shared" si="11"/>
        <v>&lt;a href="canciones/taize/jesus_remember_me.html"&gt;</v>
      </c>
      <c r="C756">
        <f>IFERROR(_xlfn.XMATCH(B756,CantoralDB[check]),"NO")</f>
        <v>858</v>
      </c>
    </row>
    <row r="757" spans="1:3" x14ac:dyDescent="0.3">
      <c r="A757" t="s">
        <v>3040</v>
      </c>
      <c r="B757" t="str">
        <f t="shared" si="11"/>
        <v>&lt;a href="canciones/taize/jesus_remember_me.html"&gt;</v>
      </c>
      <c r="C757">
        <f>IFERROR(_xlfn.XMATCH(B757,CantoralDB[check]),"NO")</f>
        <v>858</v>
      </c>
    </row>
    <row r="758" spans="1:3" x14ac:dyDescent="0.3">
      <c r="A758" t="s">
        <v>2535</v>
      </c>
      <c r="B758" t="str">
        <f t="shared" si="11"/>
        <v>&lt;a href="canciones/taize/jesus_le_christ.html"&gt;</v>
      </c>
      <c r="C758">
        <f>IFERROR(_xlfn.XMATCH(B758,CantoralDB[check]),"NO")</f>
        <v>383</v>
      </c>
    </row>
    <row r="759" spans="1:3" x14ac:dyDescent="0.3">
      <c r="A759" t="s">
        <v>2631</v>
      </c>
      <c r="B759" t="str">
        <f t="shared" si="11"/>
        <v>&lt;a href="canciones/taize/jesus_le_christ.html"&gt;</v>
      </c>
      <c r="C759">
        <f>IFERROR(_xlfn.XMATCH(B759,CantoralDB[check]),"NO")</f>
        <v>383</v>
      </c>
    </row>
    <row r="760" spans="1:3" x14ac:dyDescent="0.3">
      <c r="A760" t="s">
        <v>2519</v>
      </c>
      <c r="B760" t="str">
        <f t="shared" si="11"/>
        <v>&lt;a href="canciones/taize/jubelt_und_freut_euch.html"&gt;</v>
      </c>
      <c r="C760">
        <f>IFERROR(_xlfn.XMATCH(B760,CantoralDB[check]),"NO")</f>
        <v>90</v>
      </c>
    </row>
    <row r="761" spans="1:3" x14ac:dyDescent="0.3">
      <c r="A761" t="s">
        <v>2632</v>
      </c>
      <c r="B761" t="str">
        <f t="shared" si="11"/>
        <v>&lt;a href="canciones/taize/jubelt_und_freut_euch.html"&gt;</v>
      </c>
      <c r="C761">
        <f>IFERROR(_xlfn.XMATCH(B761,CantoralDB[check]),"NO")</f>
        <v>90</v>
      </c>
    </row>
    <row r="762" spans="1:3" x14ac:dyDescent="0.3">
      <c r="A762" t="s">
        <v>2633</v>
      </c>
      <c r="B762" t="str">
        <f t="shared" si="11"/>
        <v>&lt;a href="canciones/taize/jubilate_coeli_(canon).html"&gt;</v>
      </c>
      <c r="C762">
        <f>IFERROR(_xlfn.XMATCH(B762,CantoralDB[check]),"NO")</f>
        <v>872</v>
      </c>
    </row>
    <row r="763" spans="1:3" x14ac:dyDescent="0.3">
      <c r="A763" t="s">
        <v>2556</v>
      </c>
      <c r="B763" t="str">
        <f t="shared" si="11"/>
        <v>&lt;a href="canciones/taize/jubilate_coeli_(canon).html"&gt;</v>
      </c>
      <c r="C763">
        <f>IFERROR(_xlfn.XMATCH(B763,CantoralDB[check]),"NO")</f>
        <v>872</v>
      </c>
    </row>
    <row r="764" spans="1:3" x14ac:dyDescent="0.3">
      <c r="A764" t="s">
        <v>2517</v>
      </c>
      <c r="B764" t="str">
        <f t="shared" si="11"/>
        <v>&lt;a href="canciones/taize/jubilate_deo.html"&gt;</v>
      </c>
      <c r="C764">
        <f>IFERROR(_xlfn.XMATCH(B764,CantoralDB[check]),"NO")</f>
        <v>74</v>
      </c>
    </row>
    <row r="765" spans="1:3" x14ac:dyDescent="0.3">
      <c r="A765" t="s">
        <v>2634</v>
      </c>
      <c r="B765" t="str">
        <f t="shared" si="11"/>
        <v>&lt;a href="canciones/taize/jubilate_deo.html"&gt;</v>
      </c>
      <c r="C765">
        <f>IFERROR(_xlfn.XMATCH(B765,CantoralDB[check]),"NO")</f>
        <v>74</v>
      </c>
    </row>
    <row r="766" spans="1:3" x14ac:dyDescent="0.3">
      <c r="A766" t="s">
        <v>2635</v>
      </c>
      <c r="B766" t="str">
        <f t="shared" si="11"/>
        <v>&lt;a href="canciones/taize/kyrie_1.html"&gt;</v>
      </c>
      <c r="C766">
        <f>IFERROR(_xlfn.XMATCH(B766,CantoralDB[check]),"NO")</f>
        <v>889</v>
      </c>
    </row>
    <row r="767" spans="1:3" x14ac:dyDescent="0.3">
      <c r="A767" t="s">
        <v>2575</v>
      </c>
      <c r="B767" t="str">
        <f t="shared" si="11"/>
        <v>&lt;a href="canciones/taize/kyrie_1.html"&gt;</v>
      </c>
      <c r="C767">
        <f>IFERROR(_xlfn.XMATCH(B767,CantoralDB[check]),"NO")</f>
        <v>889</v>
      </c>
    </row>
    <row r="768" spans="1:3" x14ac:dyDescent="0.3">
      <c r="A768" t="s">
        <v>2636</v>
      </c>
      <c r="B768" t="str">
        <f t="shared" si="11"/>
        <v>&lt;a href="canciones/taize/kyrie_20.html"&gt;</v>
      </c>
      <c r="C768">
        <f>IFERROR(_xlfn.XMATCH(B768,CantoralDB[check]),"NO")</f>
        <v>890</v>
      </c>
    </row>
    <row r="769" spans="1:3" x14ac:dyDescent="0.3">
      <c r="A769" t="s">
        <v>2576</v>
      </c>
      <c r="B769" t="str">
        <f t="shared" ref="B769:B832" si="12">_xlfn.TEXTBEFORE(_xlfn.TEXTAFTER(A769,"&gt;"),"&gt;")&amp;"&gt;"</f>
        <v>&lt;a href="canciones/taize/kyrie_20.html"&gt;</v>
      </c>
      <c r="C769">
        <f>IFERROR(_xlfn.XMATCH(B769,CantoralDB[check]),"NO")</f>
        <v>890</v>
      </c>
    </row>
    <row r="770" spans="1:3" x14ac:dyDescent="0.3">
      <c r="A770" t="s">
        <v>2637</v>
      </c>
      <c r="B770" t="str">
        <f t="shared" si="12"/>
        <v>&lt;a href="canciones/taize/kyrie_6.html"&gt;</v>
      </c>
      <c r="C770">
        <f>IFERROR(_xlfn.XMATCH(B770,CantoralDB[check]),"NO")</f>
        <v>891</v>
      </c>
    </row>
    <row r="771" spans="1:3" x14ac:dyDescent="0.3">
      <c r="A771" t="s">
        <v>2577</v>
      </c>
      <c r="B771" t="str">
        <f t="shared" si="12"/>
        <v>&lt;a href="canciones/taize/kyrie_6.html"&gt;</v>
      </c>
      <c r="C771">
        <f>IFERROR(_xlfn.XMATCH(B771,CantoralDB[check]),"NO")</f>
        <v>891</v>
      </c>
    </row>
    <row r="772" spans="1:3" x14ac:dyDescent="0.3">
      <c r="A772" t="s">
        <v>2638</v>
      </c>
      <c r="B772" t="str">
        <f t="shared" si="12"/>
        <v>&lt;a href="canciones/taize/kyrie_8.html"&gt;</v>
      </c>
      <c r="C772">
        <f>IFERROR(_xlfn.XMATCH(B772,CantoralDB[check]),"NO")</f>
        <v>892</v>
      </c>
    </row>
    <row r="773" spans="1:3" x14ac:dyDescent="0.3">
      <c r="A773" t="s">
        <v>2578</v>
      </c>
      <c r="B773" t="str">
        <f t="shared" si="12"/>
        <v>&lt;a href="canciones/taize/kyrie_8.html"&gt;</v>
      </c>
      <c r="C773">
        <f>IFERROR(_xlfn.XMATCH(B773,CantoralDB[check]),"NO")</f>
        <v>892</v>
      </c>
    </row>
    <row r="774" spans="1:3" x14ac:dyDescent="0.3">
      <c r="A774" t="s">
        <v>2639</v>
      </c>
      <c r="B774" t="str">
        <f t="shared" si="12"/>
        <v>&lt;a href="canciones/taize/l’ajuda_em_vindrà.html"&gt;</v>
      </c>
      <c r="C774">
        <f>IFERROR(_xlfn.XMATCH(B774,CantoralDB[check]),"NO")</f>
        <v>894</v>
      </c>
    </row>
    <row r="775" spans="1:3" x14ac:dyDescent="0.3">
      <c r="A775" t="s">
        <v>2557</v>
      </c>
      <c r="B775" t="str">
        <f t="shared" si="12"/>
        <v>&lt;a href="canciones/taize/l’ajuda_em_vindrà.html"&gt;</v>
      </c>
      <c r="C775">
        <f>IFERROR(_xlfn.XMATCH(B775,CantoralDB[check]),"NO")</f>
        <v>894</v>
      </c>
    </row>
    <row r="776" spans="1:3" x14ac:dyDescent="0.3">
      <c r="A776" t="s">
        <v>2640</v>
      </c>
      <c r="B776" t="str">
        <f t="shared" si="12"/>
        <v>&lt;a href="canciones/taize/laudate_dominum.html"&gt;</v>
      </c>
      <c r="C776">
        <f>IFERROR(_xlfn.XMATCH(B776,CantoralDB[check]),"NO")</f>
        <v>932</v>
      </c>
    </row>
    <row r="777" spans="1:3" x14ac:dyDescent="0.3">
      <c r="A777" t="s">
        <v>2569</v>
      </c>
      <c r="B777" t="str">
        <f t="shared" si="12"/>
        <v>&lt;a href="canciones/taize/laudate_dominum.html"&gt;</v>
      </c>
      <c r="C777">
        <f>IFERROR(_xlfn.XMATCH(B777,CantoralDB[check]),"NO")</f>
        <v>932</v>
      </c>
    </row>
    <row r="778" spans="1:3" x14ac:dyDescent="0.3">
      <c r="A778" t="s">
        <v>2641</v>
      </c>
      <c r="B778" t="str">
        <f t="shared" si="12"/>
        <v>&lt;a href="canciones/taize/laudate_omnes_gentes.html"&gt;</v>
      </c>
      <c r="C778">
        <f>IFERROR(_xlfn.XMATCH(B778,CantoralDB[check]),"NO")</f>
        <v>933</v>
      </c>
    </row>
    <row r="779" spans="1:3" x14ac:dyDescent="0.3">
      <c r="A779" t="s">
        <v>2571</v>
      </c>
      <c r="B779" t="str">
        <f t="shared" si="12"/>
        <v>&lt;a href="canciones/taize/laudate_omnes_gentes.html"&gt;</v>
      </c>
      <c r="C779">
        <f>IFERROR(_xlfn.XMATCH(B779,CantoralDB[check]),"NO")</f>
        <v>933</v>
      </c>
    </row>
    <row r="780" spans="1:3" x14ac:dyDescent="0.3">
      <c r="A780" t="s">
        <v>2642</v>
      </c>
      <c r="B780" t="str">
        <f t="shared" si="12"/>
        <v>&lt;a href="canciones/taize/let_all_who_are_thirsty_come.html"&gt;</v>
      </c>
      <c r="C780">
        <f>IFERROR(_xlfn.XMATCH(B780,CantoralDB[check]),"NO")</f>
        <v>935</v>
      </c>
    </row>
    <row r="781" spans="1:3" x14ac:dyDescent="0.3">
      <c r="A781" t="s">
        <v>2572</v>
      </c>
      <c r="B781" t="str">
        <f t="shared" si="12"/>
        <v>&lt;a href="canciones/taize/let_all_who_are_thirsty_come.html"&gt;</v>
      </c>
      <c r="C781">
        <f>IFERROR(_xlfn.XMATCH(B781,CantoralDB[check]),"NO")</f>
        <v>935</v>
      </c>
    </row>
    <row r="782" spans="1:3" x14ac:dyDescent="0.3">
      <c r="A782" t="s">
        <v>2561</v>
      </c>
      <c r="B782" t="str">
        <f t="shared" si="12"/>
        <v>&lt;a href="canciones/taize/magnificat_(canon).html"&gt;</v>
      </c>
      <c r="C782">
        <f>IFERROR(_xlfn.XMATCH(B782,CantoralDB[check]),"NO")</f>
        <v>980</v>
      </c>
    </row>
    <row r="783" spans="1:3" x14ac:dyDescent="0.3">
      <c r="A783" t="s">
        <v>2561</v>
      </c>
      <c r="B783" t="str">
        <f t="shared" si="12"/>
        <v>&lt;a href="canciones/taize/magnificat_(canon).html"&gt;</v>
      </c>
      <c r="C783">
        <f>IFERROR(_xlfn.XMATCH(B783,CantoralDB[check]),"NO")</f>
        <v>980</v>
      </c>
    </row>
    <row r="784" spans="1:3" x14ac:dyDescent="0.3">
      <c r="A784" t="s">
        <v>2643</v>
      </c>
      <c r="B784" t="str">
        <f t="shared" si="12"/>
        <v>&lt;a href="canciones/taize/misericordias_domini.html"&gt;</v>
      </c>
      <c r="C784">
        <f>IFERROR(_xlfn.XMATCH(B784,CantoralDB[check]),"NO")</f>
        <v>904</v>
      </c>
    </row>
    <row r="785" spans="1:3" x14ac:dyDescent="0.3">
      <c r="A785" t="s">
        <v>2558</v>
      </c>
      <c r="B785" t="str">
        <f t="shared" si="12"/>
        <v>&lt;a href="canciones/taize/misericordias_domini.html"&gt;</v>
      </c>
      <c r="C785">
        <f>IFERROR(_xlfn.XMATCH(B785,CantoralDB[check]),"NO")</f>
        <v>904</v>
      </c>
    </row>
    <row r="786" spans="1:3" x14ac:dyDescent="0.3">
      <c r="A786" t="s">
        <v>2644</v>
      </c>
      <c r="B786" t="str">
        <f t="shared" si="12"/>
        <v>&lt;a href="canciones/taize/nada_te_turbe.html"&gt;</v>
      </c>
      <c r="C786">
        <f>IFERROR(_xlfn.XMATCH(B786,CantoralDB[check]),"NO")</f>
        <v>1079</v>
      </c>
    </row>
    <row r="787" spans="1:3" x14ac:dyDescent="0.3">
      <c r="A787" t="s">
        <v>2540</v>
      </c>
      <c r="B787" t="str">
        <f t="shared" si="12"/>
        <v>&lt;a href="canciones/taize/nunc_dimittis.html"&gt;</v>
      </c>
      <c r="C787">
        <f>IFERROR(_xlfn.XMATCH(B787,CantoralDB[check]),"NO")</f>
        <v>444</v>
      </c>
    </row>
    <row r="788" spans="1:3" x14ac:dyDescent="0.3">
      <c r="A788" t="s">
        <v>2645</v>
      </c>
      <c r="B788" t="str">
        <f t="shared" si="12"/>
        <v>&lt;a href="canciones/taize/nunc_dimittis.html"&gt;</v>
      </c>
      <c r="C788">
        <f>IFERROR(_xlfn.XMATCH(B788,CantoralDB[check]),"NO")</f>
        <v>444</v>
      </c>
    </row>
    <row r="789" spans="1:3" x14ac:dyDescent="0.3">
      <c r="A789" t="s">
        <v>3047</v>
      </c>
      <c r="B789" t="str">
        <f t="shared" si="12"/>
        <v>&lt;a href="canciones/taize/para_mim_ser_feliz.html"&gt;</v>
      </c>
      <c r="C789">
        <f>IFERROR(_xlfn.XMATCH(B789,CantoralDB[check]),"NO")</f>
        <v>1220</v>
      </c>
    </row>
    <row r="790" spans="1:3" x14ac:dyDescent="0.3">
      <c r="A790" t="s">
        <v>3048</v>
      </c>
      <c r="B790" t="str">
        <f t="shared" si="12"/>
        <v>&lt;a href="canciones/taize/para_mim_ser_feliz.html"&gt;</v>
      </c>
      <c r="C790">
        <f>IFERROR(_xlfn.XMATCH(B790,CantoralDB[check]),"NO")</f>
        <v>1220</v>
      </c>
    </row>
    <row r="791" spans="1:3" x14ac:dyDescent="0.3">
      <c r="A791" t="s">
        <v>2646</v>
      </c>
      <c r="B791" t="str">
        <f t="shared" si="12"/>
        <v>&lt;a href="canciones/taize/per_crucem.html"&gt;</v>
      </c>
      <c r="C791">
        <f>IFERROR(_xlfn.XMATCH(B791,CantoralDB[check]),"NO")</f>
        <v>1253</v>
      </c>
    </row>
    <row r="792" spans="1:3" x14ac:dyDescent="0.3">
      <c r="A792" t="s">
        <v>2567</v>
      </c>
      <c r="B792" t="str">
        <f t="shared" si="12"/>
        <v>&lt;a href="canciones/taize/per_crucem.html"&gt;</v>
      </c>
      <c r="C792">
        <f>IFERROR(_xlfn.XMATCH(B792,CantoralDB[check]),"NO")</f>
        <v>1253</v>
      </c>
    </row>
    <row r="793" spans="1:3" x14ac:dyDescent="0.3">
      <c r="A793" t="s">
        <v>2647</v>
      </c>
      <c r="B793" t="str">
        <f t="shared" si="12"/>
        <v>&lt;a href="canciones/taize/psallite_deo.html"&gt;</v>
      </c>
      <c r="C793">
        <f>IFERROR(_xlfn.XMATCH(B793,CantoralDB[check]),"NO")</f>
        <v>688</v>
      </c>
    </row>
    <row r="794" spans="1:3" x14ac:dyDescent="0.3">
      <c r="A794" t="s">
        <v>2554</v>
      </c>
      <c r="B794" t="str">
        <f t="shared" si="12"/>
        <v>&lt;a href="canciones/taize/psallite_deo.html"&gt;</v>
      </c>
      <c r="C794">
        <f>IFERROR(_xlfn.XMATCH(B794,CantoralDB[check]),"NO")</f>
        <v>688</v>
      </c>
    </row>
    <row r="795" spans="1:3" x14ac:dyDescent="0.3">
      <c r="A795" t="s">
        <v>2648</v>
      </c>
      <c r="B795" t="str">
        <f t="shared" si="12"/>
        <v>&lt;a href="canciones/taize/sanasi_on_lamppu.html"&gt;</v>
      </c>
      <c r="C795">
        <f>IFERROR(_xlfn.XMATCH(B795,CantoralDB[check]),"NO")</f>
        <v>1395</v>
      </c>
    </row>
    <row r="796" spans="1:3" x14ac:dyDescent="0.3">
      <c r="A796" t="s">
        <v>2581</v>
      </c>
      <c r="B796" t="str">
        <f t="shared" si="12"/>
        <v>&lt;a href="canciones/taize/sanasi_on_lamppu.html"&gt;</v>
      </c>
      <c r="C796">
        <f>IFERROR(_xlfn.XMATCH(B796,CantoralDB[check]),"NO")</f>
        <v>1395</v>
      </c>
    </row>
    <row r="797" spans="1:3" x14ac:dyDescent="0.3">
      <c r="A797" t="s">
        <v>2649</v>
      </c>
      <c r="B797" t="str">
        <f t="shared" si="12"/>
        <v>&lt;a href="canciones/taize/señor_que_florezca_tu_justicia.html"&gt;</v>
      </c>
      <c r="C797">
        <f>IFERROR(_xlfn.XMATCH(B797,CantoralDB[check]),"NO")</f>
        <v>1456</v>
      </c>
    </row>
    <row r="798" spans="1:3" x14ac:dyDescent="0.3">
      <c r="A798" t="s">
        <v>2553</v>
      </c>
      <c r="B798" t="str">
        <f t="shared" si="12"/>
        <v>&lt;a href="canciones/taize/spiritus_jesu_christi.html"&gt;</v>
      </c>
      <c r="C798">
        <f>IFERROR(_xlfn.XMATCH(B798,CantoralDB[check]),"NO")</f>
        <v>677</v>
      </c>
    </row>
    <row r="799" spans="1:3" x14ac:dyDescent="0.3">
      <c r="A799" t="s">
        <v>2650</v>
      </c>
      <c r="B799" t="str">
        <f t="shared" si="12"/>
        <v>&lt;a href="canciones/taize/spiritus_jesu_christi.html"&gt;</v>
      </c>
      <c r="C799">
        <f>IFERROR(_xlfn.XMATCH(B799,CantoralDB[check]),"NO")</f>
        <v>677</v>
      </c>
    </row>
    <row r="800" spans="1:3" x14ac:dyDescent="0.3">
      <c r="A800" t="s">
        <v>2573</v>
      </c>
      <c r="B800" t="str">
        <f t="shared" si="12"/>
        <v>&lt;a href="canciones/taize/staňte_se_soli.html"&gt;</v>
      </c>
      <c r="C800">
        <f>IFERROR(_xlfn.XMATCH(B800,CantoralDB[check]),"NO")</f>
        <v>1432</v>
      </c>
    </row>
    <row r="801" spans="1:3" x14ac:dyDescent="0.3">
      <c r="A801" t="s">
        <v>2651</v>
      </c>
      <c r="B801" t="str">
        <f t="shared" si="12"/>
        <v>&lt;a href="canciones/taize/staňte_se_soli.html"&gt;</v>
      </c>
      <c r="C801">
        <f>IFERROR(_xlfn.XMATCH(B801,CantoralDB[check]),"NO")</f>
        <v>1432</v>
      </c>
    </row>
    <row r="802" spans="1:3" x14ac:dyDescent="0.3">
      <c r="A802" t="s">
        <v>2533</v>
      </c>
      <c r="B802" t="str">
        <f t="shared" si="12"/>
        <v>&lt;a href="canciones/taize/surrexit_christus.html"&gt;</v>
      </c>
      <c r="C802">
        <f>IFERROR(_xlfn.XMATCH(B802,CantoralDB[check]),"NO")</f>
        <v>379</v>
      </c>
    </row>
    <row r="803" spans="1:3" x14ac:dyDescent="0.3">
      <c r="A803" t="s">
        <v>2652</v>
      </c>
      <c r="B803" t="str">
        <f t="shared" si="12"/>
        <v>&lt;a href="canciones/taize/surrexit_christus.html"&gt;</v>
      </c>
      <c r="C803">
        <f>IFERROR(_xlfn.XMATCH(B803,CantoralDB[check]),"NO")</f>
        <v>379</v>
      </c>
    </row>
    <row r="804" spans="1:3" x14ac:dyDescent="0.3">
      <c r="A804" t="s">
        <v>2534</v>
      </c>
      <c r="B804" t="str">
        <f t="shared" si="12"/>
        <v>&lt;a href="canciones/taize/surrexit_dominus_vere_(canon).html"&gt;</v>
      </c>
      <c r="C804">
        <f>IFERROR(_xlfn.XMATCH(B804,CantoralDB[check]),"NO")</f>
        <v>382</v>
      </c>
    </row>
    <row r="805" spans="1:3" x14ac:dyDescent="0.3">
      <c r="A805" t="s">
        <v>2653</v>
      </c>
      <c r="B805" t="str">
        <f t="shared" si="12"/>
        <v>&lt;a href="canciones/taize/surrexit_dominus_vere_(canon).html"&gt;</v>
      </c>
      <c r="C805">
        <f>IFERROR(_xlfn.XMATCH(B805,CantoralDB[check]),"NO")</f>
        <v>382</v>
      </c>
    </row>
    <row r="806" spans="1:3" x14ac:dyDescent="0.3">
      <c r="A806" t="s">
        <v>2548</v>
      </c>
      <c r="B806" t="str">
        <f t="shared" si="12"/>
        <v>&lt;a href="canciones/taize/the_kingdom_of_god.html"&gt;</v>
      </c>
      <c r="C806">
        <f>IFERROR(_xlfn.XMATCH(B806,CantoralDB[check]),"NO")</f>
        <v>564</v>
      </c>
    </row>
    <row r="807" spans="1:3" x14ac:dyDescent="0.3">
      <c r="A807" t="s">
        <v>2654</v>
      </c>
      <c r="B807" t="str">
        <f t="shared" si="12"/>
        <v>&lt;a href="canciones/taize/the_kingdom_of_god.html"&gt;</v>
      </c>
      <c r="C807">
        <f>IFERROR(_xlfn.XMATCH(B807,CantoralDB[check]),"NO")</f>
        <v>564</v>
      </c>
    </row>
    <row r="808" spans="1:3" x14ac:dyDescent="0.3">
      <c r="A808" t="s">
        <v>3035</v>
      </c>
      <c r="B808" t="str">
        <f t="shared" si="12"/>
        <v>&lt;a href="canciones/taize/tu_palabra_señor.html"&gt;</v>
      </c>
      <c r="C808">
        <f>IFERROR(_xlfn.XMATCH(B808,CantoralDB[check]),"NO")</f>
        <v>1655</v>
      </c>
    </row>
    <row r="809" spans="1:3" x14ac:dyDescent="0.3">
      <c r="A809" t="s">
        <v>2580</v>
      </c>
      <c r="B809" t="str">
        <f t="shared" si="12"/>
        <v>&lt;a href="canciones/taize/tu_sei_sorgente_viva.html"&gt;</v>
      </c>
      <c r="C809">
        <f>IFERROR(_xlfn.XMATCH(B809,CantoralDB[check]),"NO")</f>
        <v>1629</v>
      </c>
    </row>
    <row r="810" spans="1:3" x14ac:dyDescent="0.3">
      <c r="A810" t="s">
        <v>2655</v>
      </c>
      <c r="B810" t="str">
        <f t="shared" si="12"/>
        <v>&lt;a href="canciones/taize/tu_sei_sorgente_viva.html"&gt;</v>
      </c>
      <c r="C810">
        <f>IFERROR(_xlfn.XMATCH(B810,CantoralDB[check]),"NO")</f>
        <v>1629</v>
      </c>
    </row>
    <row r="811" spans="1:3" x14ac:dyDescent="0.3">
      <c r="A811" t="s">
        <v>2585</v>
      </c>
      <c r="B811" t="str">
        <f t="shared" si="12"/>
        <v>&lt;a href="canciones/taize/tui_amoris.html"&gt;</v>
      </c>
      <c r="C811">
        <f>IFERROR(_xlfn.XMATCH(B811,CantoralDB[check]),"NO")</f>
        <v>1674</v>
      </c>
    </row>
    <row r="812" spans="1:3" x14ac:dyDescent="0.3">
      <c r="A812" t="s">
        <v>2656</v>
      </c>
      <c r="B812" t="str">
        <f t="shared" si="12"/>
        <v>&lt;a href="canciones/taize/tui_amoris.html"&gt;</v>
      </c>
      <c r="C812">
        <f>IFERROR(_xlfn.XMATCH(B812,CantoralDB[check]),"NO")</f>
        <v>1674</v>
      </c>
    </row>
    <row r="813" spans="1:3" x14ac:dyDescent="0.3">
      <c r="A813" t="s">
        <v>2547</v>
      </c>
      <c r="B813" t="str">
        <f t="shared" si="12"/>
        <v>&lt;a href="canciones/taize/ubi_caritas.html"&gt;</v>
      </c>
      <c r="C813">
        <f>IFERROR(_xlfn.XMATCH(B813,CantoralDB[check]),"NO")</f>
        <v>508</v>
      </c>
    </row>
    <row r="814" spans="1:3" x14ac:dyDescent="0.3">
      <c r="A814" t="s">
        <v>2657</v>
      </c>
      <c r="B814" t="str">
        <f t="shared" si="12"/>
        <v>&lt;a href="canciones/taize/ubi_caritas.html"&gt;</v>
      </c>
      <c r="C814">
        <f>IFERROR(_xlfn.XMATCH(B814,CantoralDB[check]),"NO")</f>
        <v>508</v>
      </c>
    </row>
    <row r="815" spans="1:3" x14ac:dyDescent="0.3">
      <c r="A815" t="s">
        <v>2541</v>
      </c>
      <c r="B815" t="str">
        <f t="shared" si="12"/>
        <v>&lt;a href="canciones/taize/v_tebi_je_izvir_življenja.html"&gt;</v>
      </c>
      <c r="C815">
        <f>IFERROR(_xlfn.XMATCH(B815,CantoralDB[check]),"NO")</f>
        <v>448</v>
      </c>
    </row>
    <row r="816" spans="1:3" x14ac:dyDescent="0.3">
      <c r="A816" t="s">
        <v>2658</v>
      </c>
      <c r="B816" t="str">
        <f t="shared" si="12"/>
        <v>&lt;a href="canciones/taize/v_tebi_je_izvir_življenja.html"&gt;</v>
      </c>
      <c r="C816">
        <f>IFERROR(_xlfn.XMATCH(B816,CantoralDB[check]),"NO")</f>
        <v>448</v>
      </c>
    </row>
    <row r="817" spans="1:3" x14ac:dyDescent="0.3">
      <c r="A817" t="s">
        <v>2584</v>
      </c>
      <c r="B817" t="str">
        <f t="shared" si="12"/>
        <v>&lt;a href="canciones/taize/vieni_spirito_creatore_(canon).html"&gt;</v>
      </c>
      <c r="C817">
        <f>IFERROR(_xlfn.XMATCH(B817,CantoralDB[check]),"NO")</f>
        <v>1751</v>
      </c>
    </row>
    <row r="818" spans="1:3" x14ac:dyDescent="0.3">
      <c r="A818" t="s">
        <v>2659</v>
      </c>
      <c r="B818" t="str">
        <f t="shared" si="12"/>
        <v>&lt;a href="canciones/taize/vieni_spirito_creatore_(canon).html"&gt;</v>
      </c>
      <c r="C818">
        <f>IFERROR(_xlfn.XMATCH(B818,CantoralDB[check]),"NO")</f>
        <v>1751</v>
      </c>
    </row>
    <row r="819" spans="1:3" x14ac:dyDescent="0.3">
      <c r="A819" t="s">
        <v>2551</v>
      </c>
      <c r="B819" t="str">
        <f t="shared" si="12"/>
        <v>&lt;a href="canciones/taize/voici_dieu_qui_vient_à_mon_secours.html"&gt;</v>
      </c>
      <c r="C819">
        <f>IFERROR(_xlfn.XMATCH(B819,CantoralDB[check]),"NO")</f>
        <v>593</v>
      </c>
    </row>
    <row r="820" spans="1:3" x14ac:dyDescent="0.3">
      <c r="A820" t="s">
        <v>2660</v>
      </c>
      <c r="B820" t="str">
        <f t="shared" si="12"/>
        <v>&lt;a href="canciones/taize/voici_dieu_qui_vient_à_mon_secours.html"&gt;</v>
      </c>
      <c r="C820">
        <f>IFERROR(_xlfn.XMATCH(B820,CantoralDB[check]),"NO")</f>
        <v>593</v>
      </c>
    </row>
    <row r="821" spans="1:3" x14ac:dyDescent="0.3">
      <c r="A821" t="s">
        <v>2518</v>
      </c>
      <c r="B821" t="str">
        <f t="shared" si="12"/>
        <v>&lt;a href="canciones/taize/wysławiajcie_pana.html"&gt;</v>
      </c>
      <c r="C821">
        <f>IFERROR(_xlfn.XMATCH(B821,CantoralDB[check]),"NO")</f>
        <v>83</v>
      </c>
    </row>
    <row r="822" spans="1:3" x14ac:dyDescent="0.3">
      <c r="A822" t="s">
        <v>2661</v>
      </c>
      <c r="B822" t="str">
        <f t="shared" si="12"/>
        <v>&lt;a href="canciones/taize/wysławiajcie_pana.html"&gt;</v>
      </c>
      <c r="C822">
        <f>IFERROR(_xlfn.XMATCH(B822,CantoralDB[check]),"NO")</f>
        <v>83</v>
      </c>
    </row>
    <row r="823" spans="1:3" x14ac:dyDescent="0.3">
      <c r="A823" t="s">
        <v>2516</v>
      </c>
      <c r="B823" t="str">
        <f t="shared" si="12"/>
        <v>&lt;a href="canciones/taize/zu_wem_sollen_wir_gehen.html"&gt;</v>
      </c>
      <c r="C823">
        <f>IFERROR(_xlfn.XMATCH(B823,CantoralDB[check]),"NO")</f>
        <v>11</v>
      </c>
    </row>
    <row r="824" spans="1:3" x14ac:dyDescent="0.3">
      <c r="A824" t="s">
        <v>2662</v>
      </c>
      <c r="B824" t="str">
        <f t="shared" si="12"/>
        <v>&lt;a href="canciones/taize/zu_wem_sollen_wir_gehen.html"&gt;</v>
      </c>
      <c r="C824">
        <f>IFERROR(_xlfn.XMATCH(B824,CantoralDB[check]),"NO")</f>
        <v>11</v>
      </c>
    </row>
    <row r="825" spans="1:3" x14ac:dyDescent="0.3">
      <c r="A825" t="s">
        <v>3025</v>
      </c>
      <c r="B825" t="str">
        <f t="shared" si="12"/>
        <v>&lt;a href="canciones/toño_casado/aleluya_i.html"&gt;</v>
      </c>
      <c r="C825">
        <f>IFERROR(_xlfn.XMATCH(B825,CantoralDB[check]),"NO")</f>
        <v>115</v>
      </c>
    </row>
    <row r="826" spans="1:3" x14ac:dyDescent="0.3">
      <c r="A826" t="s">
        <v>3026</v>
      </c>
      <c r="B826" t="str">
        <f t="shared" si="12"/>
        <v>&lt;a href="canciones/toño_casado/aleluya_ii.html"&gt;</v>
      </c>
      <c r="C826">
        <f>IFERROR(_xlfn.XMATCH(B826,CantoralDB[check]),"NO")</f>
        <v>116</v>
      </c>
    </row>
    <row r="827" spans="1:3" x14ac:dyDescent="0.3">
      <c r="A827" t="s">
        <v>2248</v>
      </c>
      <c r="B827" t="str">
        <f t="shared" si="12"/>
        <v>&lt;a href="canciones/toño_casado/ave_maria.html"&gt;</v>
      </c>
      <c r="C827">
        <f>IFERROR(_xlfn.XMATCH(B827,CantoralDB[check]),"NO")</f>
        <v>201</v>
      </c>
    </row>
    <row r="828" spans="1:3" x14ac:dyDescent="0.3">
      <c r="A828" t="s">
        <v>2251</v>
      </c>
      <c r="B828" t="str">
        <f t="shared" si="12"/>
        <v>&lt;a href="canciones/toño_casado/bienaventuranzas_(33_el_musical).html"&gt;</v>
      </c>
      <c r="C828">
        <f>IFERROR(_xlfn.XMATCH(B828,CantoralDB[check]),"NO")</f>
        <v>234</v>
      </c>
    </row>
    <row r="829" spans="1:3" x14ac:dyDescent="0.3">
      <c r="A829" t="s">
        <v>2253</v>
      </c>
      <c r="B829" t="str">
        <f t="shared" si="12"/>
        <v>&lt;a href="canciones/toño_casado/bienvenidos.html"&gt;</v>
      </c>
      <c r="C829">
        <f>IFERROR(_xlfn.XMATCH(B829,CantoralDB[check]),"NO")</f>
        <v>237</v>
      </c>
    </row>
    <row r="830" spans="1:3" x14ac:dyDescent="0.3">
      <c r="A830" t="s">
        <v>2280</v>
      </c>
      <c r="B830" t="str">
        <f t="shared" si="12"/>
        <v>&lt;a href="canciones/toño_casado/da_la_paz_al_mundo.html"&gt;</v>
      </c>
      <c r="C830">
        <f>IFERROR(_xlfn.XMATCH(B830,CantoralDB[check]),"NO")</f>
        <v>410</v>
      </c>
    </row>
    <row r="831" spans="1:3" x14ac:dyDescent="0.3">
      <c r="A831" t="s">
        <v>2296</v>
      </c>
      <c r="B831" t="str">
        <f t="shared" si="12"/>
        <v>&lt;a href="canciones/toño_casado/el_espiritu_de_dios_(33_el_musical).html"&gt;</v>
      </c>
      <c r="C831">
        <f>IFERROR(_xlfn.XMATCH(B831,CantoralDB[check]),"NO")</f>
        <v>546</v>
      </c>
    </row>
    <row r="832" spans="1:3" x14ac:dyDescent="0.3">
      <c r="A832" t="s">
        <v>2329</v>
      </c>
      <c r="B832" t="str">
        <f t="shared" si="12"/>
        <v>&lt;a href="canciones/toño_casado/gloria_gloria_a_dios.html"&gt;</v>
      </c>
      <c r="C832">
        <f>IFERROR(_xlfn.XMATCH(B832,CantoralDB[check]),"NO")</f>
        <v>741</v>
      </c>
    </row>
    <row r="833" spans="1:3" x14ac:dyDescent="0.3">
      <c r="A833" t="s">
        <v>2352</v>
      </c>
      <c r="B833" t="str">
        <f t="shared" ref="B833:B863" si="13">_xlfn.TEXTBEFORE(_xlfn.TEXTAFTER(A833,"&gt;"),"&gt;")&amp;"&gt;"</f>
        <v>&lt;a href="canciones/toño_casado/jesus_ven_tu.html"&gt;</v>
      </c>
      <c r="C833">
        <f>IFERROR(_xlfn.XMATCH(B833,CantoralDB[check]),"NO")</f>
        <v>869</v>
      </c>
    </row>
    <row r="834" spans="1:3" x14ac:dyDescent="0.3">
      <c r="A834" t="s">
        <v>2354</v>
      </c>
      <c r="B834" t="str">
        <f t="shared" si="13"/>
        <v>&lt;a href="canciones/toño_casado/junto_al_vino_y_al_pan.html"&gt;</v>
      </c>
      <c r="C834">
        <f>IFERROR(_xlfn.XMATCH(B834,CantoralDB[check]),"NO")</f>
        <v>878</v>
      </c>
    </row>
    <row r="835" spans="1:3" x14ac:dyDescent="0.3">
      <c r="A835" t="s">
        <v>2372</v>
      </c>
      <c r="B835" t="str">
        <f t="shared" si="13"/>
        <v>&lt;a href="canciones/toño_casado/maria_maria.html"&gt;</v>
      </c>
      <c r="C835">
        <f>IFERROR(_xlfn.XMATCH(B835,CantoralDB[check]),"NO")</f>
        <v>1004</v>
      </c>
    </row>
    <row r="836" spans="1:3" x14ac:dyDescent="0.3">
      <c r="A836" t="s">
        <v>2400</v>
      </c>
      <c r="B836" t="str">
        <f t="shared" si="13"/>
        <v>&lt;a href="canciones/toño_casado/padre_nuestro_padre_nuestro.html"&gt;</v>
      </c>
      <c r="C836">
        <f>IFERROR(_xlfn.XMATCH(B836,CantoralDB[check]),"NO")</f>
        <v>1201</v>
      </c>
    </row>
    <row r="837" spans="1:3" x14ac:dyDescent="0.3">
      <c r="A837" t="s">
        <v>2422</v>
      </c>
      <c r="B837" t="str">
        <f t="shared" si="13"/>
        <v>&lt;a href="canciones/toño_casado/que_tu_palabra_nos_cambie_el_corazon.html"&gt;</v>
      </c>
      <c r="C837">
        <f>IFERROR(_xlfn.XMATCH(B837,CantoralDB[check]),"NO")</f>
        <v>1327</v>
      </c>
    </row>
    <row r="838" spans="1:3" x14ac:dyDescent="0.3">
      <c r="A838" t="s">
        <v>2437</v>
      </c>
      <c r="B838" t="str">
        <f t="shared" si="13"/>
        <v>&lt;a href="canciones/toño_casado/santo_(estan_llenos_de_tu_amor).html"&gt;</v>
      </c>
      <c r="C838">
        <f>IFERROR(_xlfn.XMATCH(B838,CantoralDB[check]),"NO")</f>
        <v>1402</v>
      </c>
    </row>
    <row r="839" spans="1:3" x14ac:dyDescent="0.3">
      <c r="A839" t="s">
        <v>2439</v>
      </c>
      <c r="B839" t="str">
        <f t="shared" si="13"/>
        <v>&lt;a href="canciones/toño_casado/santo_(hosanna_en_el_cielo_al_señor).html"&gt;</v>
      </c>
      <c r="C839">
        <f>IFERROR(_xlfn.XMATCH(B839,CantoralDB[check]),"NO")</f>
        <v>1405</v>
      </c>
    </row>
    <row r="840" spans="1:3" x14ac:dyDescent="0.3">
      <c r="A840" t="s">
        <v>3027</v>
      </c>
      <c r="B840" t="str">
        <f t="shared" si="13"/>
        <v>&lt;a href="canciones/toño_casado/señor_ten_piedad_i.html"&gt;</v>
      </c>
      <c r="C840">
        <f>IFERROR(_xlfn.XMATCH(B840,CantoralDB[check]),"NO")</f>
        <v>1463</v>
      </c>
    </row>
    <row r="841" spans="1:3" x14ac:dyDescent="0.3">
      <c r="A841" t="s">
        <v>3028</v>
      </c>
      <c r="B841" t="str">
        <f t="shared" si="13"/>
        <v>&lt;a href="canciones/toño_casado/señor_ten_piedad_ii.html"&gt;</v>
      </c>
      <c r="C841">
        <f>IFERROR(_xlfn.XMATCH(B841,CantoralDB[check]),"NO")</f>
        <v>1464</v>
      </c>
    </row>
    <row r="842" spans="1:3" x14ac:dyDescent="0.3">
      <c r="A842" t="s">
        <v>2457</v>
      </c>
      <c r="B842" t="str">
        <f t="shared" si="13"/>
        <v>&lt;a href="canciones/toño_casado/siempre_estuviste_aqui_(almudena).html"&gt;</v>
      </c>
      <c r="C842">
        <f>IFERROR(_xlfn.XMATCH(B842,CantoralDB[check]),"NO")</f>
        <v>1498</v>
      </c>
    </row>
    <row r="843" spans="1:3" x14ac:dyDescent="0.3">
      <c r="A843" t="s">
        <v>2466</v>
      </c>
      <c r="B843" t="str">
        <f t="shared" si="13"/>
        <v>&lt;a href="canciones/toño_casado/te_ofrecemos.html"&gt;</v>
      </c>
      <c r="C843">
        <f>IFERROR(_xlfn.XMATCH(B843,CantoralDB[check]),"NO")</f>
        <v>1563</v>
      </c>
    </row>
    <row r="844" spans="1:3" x14ac:dyDescent="0.3">
      <c r="A844" t="s">
        <v>2494</v>
      </c>
      <c r="B844" t="str">
        <f t="shared" si="13"/>
        <v>&lt;a href="canciones/toño_casado/ven_a_la_fiesta.html"&gt;</v>
      </c>
      <c r="C844">
        <f>IFERROR(_xlfn.XMATCH(B844,CantoralDB[check]),"NO")</f>
        <v>1735</v>
      </c>
    </row>
    <row r="845" spans="1:3" x14ac:dyDescent="0.3">
      <c r="A845" t="s">
        <v>2508</v>
      </c>
      <c r="B845" t="str">
        <f t="shared" si="13"/>
        <v>&lt;a href="canciones/toño_casado/viviremos_firmes_en_la_fe.html"&gt;</v>
      </c>
      <c r="C845">
        <f>IFERROR(_xlfn.XMATCH(B845,CantoralDB[check]),"NO")</f>
        <v>1806</v>
      </c>
    </row>
    <row r="846" spans="1:3" x14ac:dyDescent="0.3">
      <c r="A846" t="s">
        <v>3032</v>
      </c>
      <c r="B846" t="str">
        <f t="shared" si="13"/>
        <v>&lt;a href="canciones/nsb/a_donde_me_quereis_llevar.html"&gt;</v>
      </c>
      <c r="C846">
        <f>IFERROR(_xlfn.XMATCH(B846,CantoralDB[check]),"NO")</f>
        <v>4</v>
      </c>
    </row>
    <row r="847" spans="1:3" x14ac:dyDescent="0.3">
      <c r="A847" t="s">
        <v>3033</v>
      </c>
      <c r="B847" t="str">
        <f t="shared" si="13"/>
        <v>&lt;a href="canciones/nsb/algo_nuevo.html"&gt;</v>
      </c>
      <c r="C847">
        <f>IFERROR(_xlfn.XMATCH(B847,CantoralDB[check]),"NO")</f>
        <v>135</v>
      </c>
    </row>
    <row r="848" spans="1:3" x14ac:dyDescent="0.3">
      <c r="A848" t="s">
        <v>3034</v>
      </c>
      <c r="B848" t="str">
        <f t="shared" si="13"/>
        <v>&lt;a href="canciones/nsb/santo_santo_santo.html"&gt;</v>
      </c>
      <c r="C848">
        <f>IFERROR(_xlfn.XMATCH(B848,CantoralDB[check]),"NO")</f>
        <v>1422</v>
      </c>
    </row>
    <row r="849" spans="1:3" x14ac:dyDescent="0.3">
      <c r="A849" t="s">
        <v>2694</v>
      </c>
      <c r="B849" t="str">
        <f t="shared" si="13"/>
        <v>&lt;a href="canciones/villancicos/adeste_fideles.html"&gt;</v>
      </c>
      <c r="C849">
        <f>IFERROR(_xlfn.XMATCH(B849,CantoralDB[check]),"NO")</f>
        <v>50</v>
      </c>
    </row>
    <row r="850" spans="1:3" x14ac:dyDescent="0.3">
      <c r="A850" t="s">
        <v>2684</v>
      </c>
      <c r="B850" t="str">
        <f t="shared" si="13"/>
        <v>&lt;a href="canciones/villancicos/alegria_alegria_alegria.html"&gt;</v>
      </c>
      <c r="C850">
        <f>IFERROR(_xlfn.XMATCH(B850,CantoralDB[check]),"NO")</f>
        <v>97</v>
      </c>
    </row>
    <row r="851" spans="1:3" x14ac:dyDescent="0.3">
      <c r="A851" t="s">
        <v>2685</v>
      </c>
      <c r="B851" t="str">
        <f t="shared" si="13"/>
        <v>&lt;a href="canciones/villancicos/ay_del_chiquirritin.html"&gt;</v>
      </c>
      <c r="C851">
        <f>IFERROR(_xlfn.XMATCH(B851,CantoralDB[check]),"NO")</f>
        <v>204</v>
      </c>
    </row>
    <row r="852" spans="1:3" x14ac:dyDescent="0.3">
      <c r="A852" t="s">
        <v>2686</v>
      </c>
      <c r="B852" t="str">
        <f t="shared" si="13"/>
        <v>&lt;a href="canciones/villancicos/campana_sobre_campana.html"&gt;</v>
      </c>
      <c r="C852">
        <f>IFERROR(_xlfn.XMATCH(B852,CantoralDB[check]),"NO")</f>
        <v>262</v>
      </c>
    </row>
    <row r="853" spans="1:3" x14ac:dyDescent="0.3">
      <c r="A853" t="s">
        <v>2687</v>
      </c>
      <c r="B853" t="str">
        <f t="shared" si="13"/>
        <v>&lt;a href="canciones/villancicos/dime_niño.html"&gt;</v>
      </c>
      <c r="C853">
        <f>IFERROR(_xlfn.XMATCH(B853,CantoralDB[check]),"NO")</f>
        <v>474</v>
      </c>
    </row>
    <row r="854" spans="1:3" x14ac:dyDescent="0.3">
      <c r="A854" t="s">
        <v>2688</v>
      </c>
      <c r="B854" t="str">
        <f t="shared" si="13"/>
        <v>&lt;a href="canciones/villancicos/el_tamborilero.html"&gt;</v>
      </c>
      <c r="C854">
        <f>IFERROR(_xlfn.XMATCH(B854,CantoralDB[check]),"NO")</f>
        <v>597</v>
      </c>
    </row>
    <row r="855" spans="1:3" x14ac:dyDescent="0.3">
      <c r="A855" t="s">
        <v>2689</v>
      </c>
      <c r="B855" t="str">
        <f t="shared" si="13"/>
        <v>&lt;a href="canciones/villancicos/la_mula.html"&gt;</v>
      </c>
      <c r="C855">
        <f>IFERROR(_xlfn.XMATCH(B855,CantoralDB[check]),"NO")</f>
        <v>910</v>
      </c>
    </row>
    <row r="856" spans="1:3" x14ac:dyDescent="0.3">
      <c r="A856" t="s">
        <v>3061</v>
      </c>
      <c r="B856" t="str">
        <f t="shared" si="13"/>
        <v>&lt;a href="canciones/emilio_vicente_mateu/los_magos_vienen_de_oriente.html"&gt;</v>
      </c>
      <c r="C856">
        <f>IFERROR(_xlfn.XMATCH(B856,CantoralDB[check]),"NO")</f>
        <v>960</v>
      </c>
    </row>
    <row r="857" spans="1:3" x14ac:dyDescent="0.3">
      <c r="A857" t="s">
        <v>2690</v>
      </c>
      <c r="B857" t="str">
        <f t="shared" si="13"/>
        <v>&lt;a href="canciones/villancicos/nace_el_niño_en_un_portal.html"&gt;</v>
      </c>
      <c r="C857">
        <f>IFERROR(_xlfn.XMATCH(B857,CantoralDB[check]),"NO")</f>
        <v>1066</v>
      </c>
    </row>
    <row r="858" spans="1:3" x14ac:dyDescent="0.3">
      <c r="A858" t="s">
        <v>3051</v>
      </c>
      <c r="B858" t="str">
        <f t="shared" si="13"/>
        <v>&lt;a href="canciones/nsb/navidad_es_navidad.html"&gt;</v>
      </c>
      <c r="C858">
        <f>IFERROR(_xlfn.XMATCH(B858,CantoralDB[check]),"NO")</f>
        <v>1085</v>
      </c>
    </row>
    <row r="859" spans="1:3" x14ac:dyDescent="0.3">
      <c r="A859" t="s">
        <v>3052</v>
      </c>
      <c r="B859" t="str">
        <f t="shared" si="13"/>
        <v>&lt;a href="canciones/nsb/navidad_navidad.html"&gt;</v>
      </c>
      <c r="C859">
        <f>IFERROR(_xlfn.XMATCH(B859,CantoralDB[check]),"NO")</f>
        <v>1086</v>
      </c>
    </row>
    <row r="860" spans="1:3" x14ac:dyDescent="0.3">
      <c r="A860" t="s">
        <v>2691</v>
      </c>
      <c r="B860" t="str">
        <f t="shared" si="13"/>
        <v>&lt;a href="canciones/villancicos/noche_de_paz.html"&gt;</v>
      </c>
      <c r="C860">
        <f>IFERROR(_xlfn.XMATCH(B860,CantoralDB[check]),"NO")</f>
        <v>1134</v>
      </c>
    </row>
    <row r="861" spans="1:3" x14ac:dyDescent="0.3">
      <c r="A861" t="s">
        <v>2692</v>
      </c>
      <c r="B861" t="str">
        <f t="shared" si="13"/>
        <v>&lt;a href="canciones/villancicos/nunca_suenan_las_campanas.html"&gt;</v>
      </c>
      <c r="C861">
        <f>IFERROR(_xlfn.XMATCH(B861,CantoralDB[check]),"NO")</f>
        <v>1153</v>
      </c>
    </row>
    <row r="862" spans="1:3" x14ac:dyDescent="0.3">
      <c r="A862" t="s">
        <v>2693</v>
      </c>
      <c r="B862" t="str">
        <f t="shared" si="13"/>
        <v>&lt;a href="canciones/villancicos/pastores_venid.html"&gt;</v>
      </c>
      <c r="C862">
        <f>IFERROR(_xlfn.XMATCH(B862,CantoralDB[check]),"NO")</f>
        <v>1245</v>
      </c>
    </row>
    <row r="863" spans="1:3" x14ac:dyDescent="0.3">
      <c r="A863" t="s">
        <v>2695</v>
      </c>
      <c r="B863" t="str">
        <f t="shared" si="13"/>
        <v>&lt;a href="canciones/villancicos/ya_vienen_los_reyes_magos.html"&gt;</v>
      </c>
      <c r="C863">
        <f>IFERROR(_xlfn.XMATCH(B863,CantoralDB[check]),"NO")</f>
        <v>1821</v>
      </c>
    </row>
  </sheetData>
  <sortState xmlns:xlrd2="http://schemas.microsoft.com/office/spreadsheetml/2017/richdata2" ref="A1:C863">
    <sortCondition ref="B1:B863"/>
  </sortState>
  <conditionalFormatting sqref="E1:E1048576">
    <cfRule type="containsText" dxfId="27" priority="1" operator="containsText" text=",">
      <formula>NOT(ISERROR(SEARCH(",",E1)))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30B9-AC7E-4DD0-AC98-382091456C82}">
  <dimension ref="A1:S266"/>
  <sheetViews>
    <sheetView workbookViewId="0"/>
  </sheetViews>
  <sheetFormatPr baseColWidth="10" defaultRowHeight="14.4" x14ac:dyDescent="0.3"/>
  <sheetData>
    <row r="1" spans="1:19" x14ac:dyDescent="0.3">
      <c r="A1" t="str" cm="1">
        <f t="array" ref="A1:A266">_xlfn.UNIQUE(CantoralDB[Autor])</f>
        <v>Miguel Manzano</v>
      </c>
      <c r="B1" cm="1">
        <f t="array" ref="B1:B266">COUNTIF(CantoralDB[Autor],_xlfn.ANCHORARRAY(A1))</f>
        <v>18</v>
      </c>
      <c r="C1" s="19"/>
      <c r="D1" t="str" cm="1">
        <f t="array" ref="D1:E35">_xlfn._xlws.SORT(_xlfn._xlws.FILTER(A:B,B:B&gt;=O1))</f>
        <v>-</v>
      </c>
      <c r="E1">
        <v>188</v>
      </c>
      <c r="F1" t="str" cm="1">
        <f t="array" ref="F1:F35">LOWER(SUBSTITUTE(SUBSTITUTE(SUBSTITUTE(SUBSTITUTE(SUBSTITUTE(SUBSTITUTE(SUBSTITUTE(SUBSTITUTE(SUBSTITUTE(SUBSTITUTE(SUBSTITUTE(_xlfn.CHOOSECOLS(_xlfn.ANCHORARRAY(D1),1),"á","a"),"é","e"),"í","i"),"ó","o"),"ú","u")," ","_"),"¿",""),"?",""),"¡",""),"!",""),",",""))</f>
        <v>-</v>
      </c>
      <c r="H1" t="str" cm="1">
        <f t="array" ref="H1:H25">_xlfn._xlws.SORT(_xlfn.UNIQUE(CantoralDB[Sección]))</f>
        <v>-</v>
      </c>
      <c r="I1" cm="1">
        <f t="array" ref="I1:I25">COUNTIF(CantoralDB[Sección],_xlfn.ANCHORARRAY(H1))</f>
        <v>6</v>
      </c>
      <c r="K1" t="str" cm="1">
        <f t="array" ref="K1:K35">_xlfn._xlws.SORT(_xlfn.UNIQUE(CantoralDB[Carpeta]))</f>
        <v>-</v>
      </c>
      <c r="L1" cm="1">
        <f t="array" ref="L1:L35">COUNTIF(CantoralDB[Carpeta],_xlfn.ANCHORARRAY(K1))</f>
        <v>6</v>
      </c>
      <c r="N1" t="s">
        <v>2204</v>
      </c>
      <c r="O1" s="20">
        <v>5</v>
      </c>
      <c r="R1" t="str" cm="1">
        <f t="array" ref="R1:R25">_xlfn._xlws.SORT(_xlfn.UNIQUE(CantoralDB[Sección]))</f>
        <v>-</v>
      </c>
      <c r="S1" cm="1">
        <f t="array" ref="S1:S25">COUNTIF(CantoralDB[Sección],_xlfn.ANCHORARRAY(AnálisisAutores!R1))</f>
        <v>6</v>
      </c>
    </row>
    <row r="2" spans="1:19" x14ac:dyDescent="0.3">
      <c r="A2" t="str">
        <v>Ruah</v>
      </c>
      <c r="B2">
        <v>53</v>
      </c>
      <c r="D2" t="str">
        <v>Ain Karem</v>
      </c>
      <c r="E2">
        <v>120</v>
      </c>
      <c r="F2" t="str">
        <v>ain_karem</v>
      </c>
      <c r="H2" t="str">
        <v>ain_karem</v>
      </c>
      <c r="I2">
        <v>118</v>
      </c>
      <c r="K2" t="str">
        <v>ain_karem</v>
      </c>
      <c r="L2">
        <v>120</v>
      </c>
      <c r="N2" t="s">
        <v>2193</v>
      </c>
      <c r="O2">
        <f>COUNTA(_xlfn.ANCHORARRAY(A1))</f>
        <v>266</v>
      </c>
      <c r="R2" t="str">
        <v>ain_karem</v>
      </c>
      <c r="S2">
        <v>118</v>
      </c>
    </row>
    <row r="3" spans="1:19" x14ac:dyDescent="0.3">
      <c r="A3" t="str">
        <v>Juan Antonio Espinosa</v>
      </c>
      <c r="B3">
        <v>32</v>
      </c>
      <c r="D3" t="str">
        <v>Alejandro Ruiz</v>
      </c>
      <c r="E3">
        <v>15</v>
      </c>
      <c r="F3" t="str">
        <v>alejandro_ruiz</v>
      </c>
      <c r="H3" t="str">
        <v>alejandro_ruiz</v>
      </c>
      <c r="I3">
        <v>14</v>
      </c>
      <c r="K3" t="str">
        <v>alejandro_ruiz</v>
      </c>
      <c r="L3">
        <v>15</v>
      </c>
      <c r="N3" t="s">
        <v>2194</v>
      </c>
      <c r="O3">
        <f>COUNTA(_xlfn.CHOOSECOLS(_xlfn.ANCHORARRAY(D1),1))</f>
        <v>35</v>
      </c>
      <c r="R3" t="str">
        <v>alejandro_ruiz</v>
      </c>
      <c r="S3">
        <v>14</v>
      </c>
    </row>
    <row r="4" spans="1:19" x14ac:dyDescent="0.3">
      <c r="A4" t="str">
        <v>TSNC</v>
      </c>
      <c r="B4">
        <v>3</v>
      </c>
      <c r="D4" t="str">
        <v>Al-Haraca</v>
      </c>
      <c r="E4">
        <v>7</v>
      </c>
      <c r="F4" t="str">
        <v>al-haraca</v>
      </c>
      <c r="H4" t="str">
        <v>al-haraca</v>
      </c>
      <c r="I4">
        <v>1</v>
      </c>
      <c r="K4" t="str">
        <v>al-haraca</v>
      </c>
      <c r="L4">
        <v>7</v>
      </c>
      <c r="R4" t="str">
        <v>al-haraca</v>
      </c>
      <c r="S4">
        <v>1</v>
      </c>
    </row>
    <row r="5" spans="1:19" x14ac:dyDescent="0.3">
      <c r="A5" t="str">
        <v>Marco Barrientos</v>
      </c>
      <c r="B5">
        <v>2</v>
      </c>
      <c r="D5" t="str">
        <v>Antonio Alcalde</v>
      </c>
      <c r="E5">
        <v>10</v>
      </c>
      <c r="F5" t="str">
        <v>antonio_alcalde</v>
      </c>
      <c r="H5" t="str">
        <v>brotes_de_olivo</v>
      </c>
      <c r="I5">
        <v>31</v>
      </c>
      <c r="K5" t="str">
        <v>antonio_alcalde</v>
      </c>
      <c r="L5">
        <v>10</v>
      </c>
      <c r="R5" t="str">
        <v>brotes_de_olivo</v>
      </c>
      <c r="S5">
        <v>31</v>
      </c>
    </row>
    <row r="6" spans="1:19" x14ac:dyDescent="0.3">
      <c r="A6" t="str">
        <v>Juanjo Elezkano</v>
      </c>
      <c r="B6">
        <v>10</v>
      </c>
      <c r="D6" t="str">
        <v>Brotes de Olivo</v>
      </c>
      <c r="E6">
        <v>42</v>
      </c>
      <c r="F6" t="str">
        <v>brotes_de_olivo</v>
      </c>
      <c r="H6" t="str">
        <v>carmelo_erdozain</v>
      </c>
      <c r="I6">
        <v>1</v>
      </c>
      <c r="K6" t="str">
        <v>brotes_de_olivo</v>
      </c>
      <c r="L6">
        <v>42</v>
      </c>
      <c r="R6" t="str">
        <v>carmelo_erdozain</v>
      </c>
      <c r="S6">
        <v>1</v>
      </c>
    </row>
    <row r="7" spans="1:19" x14ac:dyDescent="0.3">
      <c r="A7" t="str">
        <v>Kairoi</v>
      </c>
      <c r="B7">
        <v>274</v>
      </c>
      <c r="D7" t="str">
        <v>Carmelo Erdozáin</v>
      </c>
      <c r="E7">
        <v>37</v>
      </c>
      <c r="F7" t="str">
        <v>carmelo_erdozain</v>
      </c>
      <c r="H7" t="str">
        <v>cesareo_gabarain</v>
      </c>
      <c r="I7">
        <v>1</v>
      </c>
      <c r="K7" t="str">
        <v>carmelo_erdozain</v>
      </c>
      <c r="L7">
        <v>37</v>
      </c>
      <c r="R7" t="str">
        <v>cesareo_gabarain</v>
      </c>
      <c r="S7">
        <v>1</v>
      </c>
    </row>
    <row r="8" spans="1:19" x14ac:dyDescent="0.3">
      <c r="A8" t="str">
        <v>-</v>
      </c>
      <c r="B8">
        <v>188</v>
      </c>
      <c r="D8" t="str">
        <v>Cesáreo Gabarain</v>
      </c>
      <c r="E8">
        <v>27</v>
      </c>
      <c r="F8" t="str">
        <v>cesareo_gabarain</v>
      </c>
      <c r="H8" t="str">
        <v>francisco_palazon</v>
      </c>
      <c r="I8">
        <v>98</v>
      </c>
      <c r="K8" t="str">
        <v>cesareo_gabarain</v>
      </c>
      <c r="L8">
        <v>27</v>
      </c>
      <c r="R8" t="str">
        <v>francisco_palazon</v>
      </c>
      <c r="S8">
        <v>98</v>
      </c>
    </row>
    <row r="9" spans="1:19" x14ac:dyDescent="0.3">
      <c r="A9" t="str">
        <v>Taizé en español</v>
      </c>
      <c r="B9">
        <v>77</v>
      </c>
      <c r="D9" t="str">
        <v>Emilio Vicente Mateu</v>
      </c>
      <c r="E9">
        <v>11</v>
      </c>
      <c r="F9" t="str">
        <v>emilio_vicente_mateu</v>
      </c>
      <c r="H9" t="str">
        <v>hakuna</v>
      </c>
      <c r="I9">
        <v>85</v>
      </c>
      <c r="K9" t="str">
        <v>emilio_vicente_mateu</v>
      </c>
      <c r="L9">
        <v>11</v>
      </c>
      <c r="R9" t="str">
        <v>hakuna</v>
      </c>
      <c r="S9">
        <v>85</v>
      </c>
    </row>
    <row r="10" spans="1:19" x14ac:dyDescent="0.3">
      <c r="A10" t="str">
        <v>Francisco Palazón</v>
      </c>
      <c r="B10">
        <v>130</v>
      </c>
      <c r="D10" t="str">
        <v>Fernando Viejo</v>
      </c>
      <c r="E10">
        <v>6</v>
      </c>
      <c r="F10" t="str">
        <v>fernando_viejo</v>
      </c>
      <c r="H10" t="str">
        <v>hermana_glenda</v>
      </c>
      <c r="I10">
        <v>138</v>
      </c>
      <c r="K10" t="str">
        <v>fernando_viejo</v>
      </c>
      <c r="L10">
        <v>6</v>
      </c>
      <c r="R10" t="str">
        <v>hermana_glenda</v>
      </c>
      <c r="S10">
        <v>138</v>
      </c>
    </row>
    <row r="11" spans="1:19" x14ac:dyDescent="0.3">
      <c r="A11" t="str">
        <v>Cesáreo Gabarain</v>
      </c>
      <c r="B11">
        <v>27</v>
      </c>
      <c r="D11" t="str">
        <v>Francisco Palazón</v>
      </c>
      <c r="E11">
        <v>130</v>
      </c>
      <c r="F11" t="str">
        <v>francisco_palazon</v>
      </c>
      <c r="H11" t="str">
        <v>josep_asuncion</v>
      </c>
      <c r="I11">
        <v>9</v>
      </c>
      <c r="K11" t="str">
        <v>francisco_palazon</v>
      </c>
      <c r="L11">
        <v>130</v>
      </c>
      <c r="R11" t="str">
        <v>josep_asuncion</v>
      </c>
      <c r="S11">
        <v>9</v>
      </c>
    </row>
    <row r="12" spans="1:19" x14ac:dyDescent="0.3">
      <c r="A12" t="str">
        <v>Ain Karem</v>
      </c>
      <c r="B12">
        <v>120</v>
      </c>
      <c r="D12" t="str">
        <v>Gregorio Fernández</v>
      </c>
      <c r="E12">
        <v>5</v>
      </c>
      <c r="F12" t="str">
        <v>gregorio_fernandez</v>
      </c>
      <c r="H12" t="str">
        <v>kairoi</v>
      </c>
      <c r="I12">
        <v>244</v>
      </c>
      <c r="K12" t="str">
        <v>gregorio_fernandez</v>
      </c>
      <c r="L12">
        <v>5</v>
      </c>
      <c r="R12" t="str">
        <v>kairoi</v>
      </c>
      <c r="S12">
        <v>244</v>
      </c>
    </row>
    <row r="13" spans="1:19" x14ac:dyDescent="0.3">
      <c r="A13" t="str">
        <v>Pedro Núñez</v>
      </c>
      <c r="B13">
        <v>5</v>
      </c>
      <c r="D13" t="str">
        <v>Hakuna</v>
      </c>
      <c r="E13">
        <v>88</v>
      </c>
      <c r="F13" t="str">
        <v>hakuna</v>
      </c>
      <c r="H13" t="str">
        <v>lazaro_iparraguirre</v>
      </c>
      <c r="I13">
        <v>14</v>
      </c>
      <c r="K13" t="str">
        <v>hakuna</v>
      </c>
      <c r="L13">
        <v>88</v>
      </c>
      <c r="R13" t="str">
        <v>lazaro_iparraguirre</v>
      </c>
      <c r="S13">
        <v>14</v>
      </c>
    </row>
    <row r="14" spans="1:19" x14ac:dyDescent="0.3">
      <c r="A14" t="str">
        <v>Ramón Capilla</v>
      </c>
      <c r="B14">
        <v>4</v>
      </c>
      <c r="D14" t="str">
        <v>Hermana Glenda</v>
      </c>
      <c r="E14">
        <v>140</v>
      </c>
      <c r="F14" t="str">
        <v>hermana_glenda</v>
      </c>
      <c r="H14" t="str">
        <v>luis_alfredo_diaz</v>
      </c>
      <c r="I14">
        <v>13</v>
      </c>
      <c r="K14" t="str">
        <v>hermana_glenda</v>
      </c>
      <c r="L14">
        <v>138</v>
      </c>
      <c r="R14" t="str">
        <v>luis_alfredo_diaz</v>
      </c>
      <c r="S14">
        <v>13</v>
      </c>
    </row>
    <row r="15" spans="1:19" x14ac:dyDescent="0.3">
      <c r="A15" t="str">
        <v>Hakuna</v>
      </c>
      <c r="B15">
        <v>88</v>
      </c>
      <c r="D15" t="str">
        <v>Joaquín Madurga</v>
      </c>
      <c r="E15">
        <v>9</v>
      </c>
      <c r="F15" t="str">
        <v>joaquin_madurga</v>
      </c>
      <c r="H15" t="str">
        <v>marcos_witt</v>
      </c>
      <c r="I15">
        <v>8</v>
      </c>
      <c r="K15" t="str">
        <v>joaquin_madurga</v>
      </c>
      <c r="L15">
        <v>9</v>
      </c>
      <c r="R15" t="str">
        <v>marcos_witt</v>
      </c>
      <c r="S15">
        <v>8</v>
      </c>
    </row>
    <row r="16" spans="1:19" x14ac:dyDescent="0.3">
      <c r="A16" t="str">
        <v>Hermana Glenda</v>
      </c>
      <c r="B16">
        <v>140</v>
      </c>
      <c r="D16" t="str">
        <v>Josep Asunción</v>
      </c>
      <c r="E16">
        <v>11</v>
      </c>
      <c r="F16" t="str">
        <v>josep_asuncion</v>
      </c>
      <c r="H16" t="str">
        <v>marta_gil-delgado</v>
      </c>
      <c r="I16">
        <v>10</v>
      </c>
      <c r="K16" t="str">
        <v>josep_asuncion</v>
      </c>
      <c r="L16">
        <v>11</v>
      </c>
      <c r="R16" t="str">
        <v>marta_gil-delgado</v>
      </c>
      <c r="S16">
        <v>10</v>
      </c>
    </row>
    <row r="17" spans="1:19" x14ac:dyDescent="0.3">
      <c r="A17" t="str">
        <v>Alejandro Ruiz</v>
      </c>
      <c r="B17">
        <v>15</v>
      </c>
      <c r="D17" t="str">
        <v>Juan Antonio Espinosa</v>
      </c>
      <c r="E17">
        <v>32</v>
      </c>
      <c r="F17" t="str">
        <v>juan_antonio_espinosa</v>
      </c>
      <c r="H17" t="str">
        <v>nsb</v>
      </c>
      <c r="I17">
        <v>498</v>
      </c>
      <c r="K17" t="str">
        <v>juan_antonio_espinosa</v>
      </c>
      <c r="L17">
        <v>32</v>
      </c>
      <c r="R17" t="str">
        <v>nsb</v>
      </c>
      <c r="S17">
        <v>498</v>
      </c>
    </row>
    <row r="18" spans="1:19" x14ac:dyDescent="0.3">
      <c r="A18" t="str">
        <v>Salvatore Martínez</v>
      </c>
      <c r="B18">
        <v>2</v>
      </c>
      <c r="D18" t="str">
        <v>Juanjo Elezkano</v>
      </c>
      <c r="E18">
        <v>10</v>
      </c>
      <c r="F18" t="str">
        <v>juanjo_elezkano</v>
      </c>
      <c r="H18" t="str">
        <v>nuevas</v>
      </c>
      <c r="I18">
        <v>306</v>
      </c>
      <c r="K18" t="str">
        <v>juanjo_elezkano</v>
      </c>
      <c r="L18">
        <v>10</v>
      </c>
      <c r="R18" t="str">
        <v>nuevas</v>
      </c>
      <c r="S18">
        <v>306</v>
      </c>
    </row>
    <row r="19" spans="1:19" x14ac:dyDescent="0.3">
      <c r="A19" t="str">
        <v>Taizé original</v>
      </c>
      <c r="B19">
        <v>84</v>
      </c>
      <c r="D19" t="str">
        <v>Kairoi</v>
      </c>
      <c r="E19">
        <v>274</v>
      </c>
      <c r="F19" t="str">
        <v>kairoi</v>
      </c>
      <c r="H19" t="str">
        <v>pelayo_sanchez</v>
      </c>
      <c r="I19">
        <v>6</v>
      </c>
      <c r="K19" t="str">
        <v>kairoi</v>
      </c>
      <c r="L19">
        <v>270</v>
      </c>
      <c r="R19" t="str">
        <v>pelayo_sanchez</v>
      </c>
      <c r="S19">
        <v>6</v>
      </c>
    </row>
    <row r="20" spans="1:19" x14ac:dyDescent="0.3">
      <c r="A20" t="str">
        <v>Carmelo Erdozáin</v>
      </c>
      <c r="B20">
        <v>37</v>
      </c>
      <c r="D20" t="str">
        <v>Lázaro Iparraguirre</v>
      </c>
      <c r="E20">
        <v>14</v>
      </c>
      <c r="F20" t="str">
        <v>lazaro_iparraguirre</v>
      </c>
      <c r="H20" t="str">
        <v>rosa_cruz</v>
      </c>
      <c r="I20">
        <v>12</v>
      </c>
      <c r="K20" t="str">
        <v>lazaro_iparraguirre</v>
      </c>
      <c r="L20">
        <v>14</v>
      </c>
      <c r="R20" t="str">
        <v>rosa_cruz</v>
      </c>
      <c r="S20">
        <v>12</v>
      </c>
    </row>
    <row r="21" spans="1:19" x14ac:dyDescent="0.3">
      <c r="A21" t="str">
        <v>Perpetuo Socorro</v>
      </c>
      <c r="B21">
        <v>7</v>
      </c>
      <c r="D21" t="str">
        <v>Luis Alfredo Díaz</v>
      </c>
      <c r="E21">
        <v>20</v>
      </c>
      <c r="F21" t="str">
        <v>luis_alfredo_diaz</v>
      </c>
      <c r="H21" t="str">
        <v>ruah</v>
      </c>
      <c r="I21">
        <v>53</v>
      </c>
      <c r="K21" t="str">
        <v>luis_alfredo_diaz</v>
      </c>
      <c r="L21">
        <v>20</v>
      </c>
      <c r="R21" t="str">
        <v>ruah</v>
      </c>
      <c r="S21">
        <v>53</v>
      </c>
    </row>
    <row r="22" spans="1:19" x14ac:dyDescent="0.3">
      <c r="A22" t="str">
        <v>Pelayo Sánchez</v>
      </c>
      <c r="B22">
        <v>10</v>
      </c>
      <c r="D22" t="str">
        <v>Marcos Witt</v>
      </c>
      <c r="E22">
        <v>8</v>
      </c>
      <c r="F22" t="str">
        <v>marcos_witt</v>
      </c>
      <c r="H22" t="str">
        <v>taize_en_español</v>
      </c>
      <c r="I22">
        <v>77</v>
      </c>
      <c r="K22" t="str">
        <v>marcos_witt</v>
      </c>
      <c r="L22">
        <v>8</v>
      </c>
      <c r="R22" t="str">
        <v>taize_en_español</v>
      </c>
      <c r="S22">
        <v>77</v>
      </c>
    </row>
    <row r="23" spans="1:19" x14ac:dyDescent="0.3">
      <c r="A23" t="str">
        <v>Athenas</v>
      </c>
      <c r="B23">
        <v>3</v>
      </c>
      <c r="D23" t="str">
        <v>Marta Gil-Delgado</v>
      </c>
      <c r="E23">
        <v>10</v>
      </c>
      <c r="F23" t="str">
        <v>marta_gil-delgado</v>
      </c>
      <c r="H23" t="str">
        <v>taize_original</v>
      </c>
      <c r="I23">
        <v>84</v>
      </c>
      <c r="K23" t="str">
        <v>marta_gil-delgado</v>
      </c>
      <c r="L23">
        <v>10</v>
      </c>
      <c r="R23" t="str">
        <v>taize_original</v>
      </c>
      <c r="S23">
        <v>84</v>
      </c>
    </row>
    <row r="24" spans="1:19" x14ac:dyDescent="0.3">
      <c r="A24" t="str">
        <v>Lori Black Mathis</v>
      </c>
      <c r="B24">
        <v>1</v>
      </c>
      <c r="D24" t="str">
        <v>Miguel Manzano</v>
      </c>
      <c r="E24">
        <v>18</v>
      </c>
      <c r="F24" t="str">
        <v>miguel_manzano</v>
      </c>
      <c r="H24" t="str">
        <v>toño_casado</v>
      </c>
      <c r="I24">
        <v>11</v>
      </c>
      <c r="K24" t="str">
        <v>miguel_manzano</v>
      </c>
      <c r="L24">
        <v>18</v>
      </c>
      <c r="R24" t="str">
        <v>toño_casado</v>
      </c>
      <c r="S24">
        <v>11</v>
      </c>
    </row>
    <row r="25" spans="1:19" x14ac:dyDescent="0.3">
      <c r="A25" t="str">
        <v>Albert Coppo</v>
      </c>
      <c r="B25">
        <v>1</v>
      </c>
      <c r="D25" t="str">
        <v>Pedro Núñez</v>
      </c>
      <c r="E25">
        <v>5</v>
      </c>
      <c r="F25" t="str">
        <v>pedro_nuñez</v>
      </c>
      <c r="H25" t="str">
        <v>villancicos</v>
      </c>
      <c r="I25">
        <v>18</v>
      </c>
      <c r="K25" t="str">
        <v>nsb</v>
      </c>
      <c r="L25">
        <v>198</v>
      </c>
      <c r="R25" t="str">
        <v>villancicos</v>
      </c>
      <c r="S25">
        <v>18</v>
      </c>
    </row>
    <row r="26" spans="1:19" x14ac:dyDescent="0.3">
      <c r="A26" t="str">
        <v>Lucien Deiss</v>
      </c>
      <c r="B26">
        <v>4</v>
      </c>
      <c r="D26" t="str">
        <v>Pelayo Sánchez</v>
      </c>
      <c r="E26">
        <v>10</v>
      </c>
      <c r="F26" t="str">
        <v>pelayo_sanchez</v>
      </c>
      <c r="K26" t="str">
        <v>nuevas</v>
      </c>
      <c r="L26">
        <v>306</v>
      </c>
    </row>
    <row r="27" spans="1:19" x14ac:dyDescent="0.3">
      <c r="A27" t="str">
        <v>Villancicos</v>
      </c>
      <c r="B27">
        <v>18</v>
      </c>
      <c r="D27" t="str">
        <v>Perpetuo Socorro</v>
      </c>
      <c r="E27">
        <v>7</v>
      </c>
      <c r="F27" t="str">
        <v>perpetuo_socorro</v>
      </c>
      <c r="K27" t="str">
        <v>pedro_nuñez</v>
      </c>
      <c r="L27">
        <v>5</v>
      </c>
    </row>
    <row r="28" spans="1:19" x14ac:dyDescent="0.3">
      <c r="A28" t="str">
        <v>Parroquia San Juan de Ávila</v>
      </c>
      <c r="B28">
        <v>1</v>
      </c>
      <c r="D28" t="str">
        <v>Popular</v>
      </c>
      <c r="E28">
        <v>13</v>
      </c>
      <c r="F28" t="str">
        <v>popular</v>
      </c>
      <c r="K28" t="str">
        <v>pelayo_sanchez</v>
      </c>
      <c r="L28">
        <v>10</v>
      </c>
    </row>
    <row r="29" spans="1:19" x14ac:dyDescent="0.3">
      <c r="A29" t="str">
        <v>Josep Asunción</v>
      </c>
      <c r="B29">
        <v>11</v>
      </c>
      <c r="D29" t="str">
        <v>Ricardo Cantalapiedra</v>
      </c>
      <c r="E29">
        <v>12</v>
      </c>
      <c r="F29" t="str">
        <v>ricardo_cantalapiedra</v>
      </c>
      <c r="K29" t="str">
        <v>perpetuo_socorro</v>
      </c>
      <c r="L29">
        <v>7</v>
      </c>
    </row>
    <row r="30" spans="1:19" x14ac:dyDescent="0.3">
      <c r="A30" t="str">
        <v>Michael W. Smith</v>
      </c>
      <c r="B30">
        <v>1</v>
      </c>
      <c r="D30" t="str">
        <v>Rosa Cruz</v>
      </c>
      <c r="E30">
        <v>12</v>
      </c>
      <c r="F30" t="str">
        <v>rosa_cruz</v>
      </c>
      <c r="K30" t="str">
        <v>ricardo_cantalapiedra</v>
      </c>
      <c r="L30">
        <v>12</v>
      </c>
    </row>
    <row r="31" spans="1:19" x14ac:dyDescent="0.3">
      <c r="A31" t="str">
        <v>Brotes de Olivo</v>
      </c>
      <c r="B31">
        <v>42</v>
      </c>
      <c r="D31" t="str">
        <v>Ruah</v>
      </c>
      <c r="E31">
        <v>53</v>
      </c>
      <c r="F31" t="str">
        <v>ruah</v>
      </c>
      <c r="K31" t="str">
        <v>rosa_cruz</v>
      </c>
      <c r="L31">
        <v>12</v>
      </c>
    </row>
    <row r="32" spans="1:19" x14ac:dyDescent="0.3">
      <c r="A32" t="str">
        <v>Bruce y Jude Borneman</v>
      </c>
      <c r="B32">
        <v>1</v>
      </c>
      <c r="D32" t="str">
        <v>Taizé en español</v>
      </c>
      <c r="E32">
        <v>77</v>
      </c>
      <c r="F32" t="str">
        <v>taize_en_español</v>
      </c>
      <c r="K32" t="str">
        <v>ruah</v>
      </c>
      <c r="L32">
        <v>53</v>
      </c>
    </row>
    <row r="33" spans="1:12" x14ac:dyDescent="0.3">
      <c r="A33" t="str">
        <v>Luis Enrique Ascoy</v>
      </c>
      <c r="B33">
        <v>1</v>
      </c>
      <c r="D33" t="str">
        <v>Taizé original</v>
      </c>
      <c r="E33">
        <v>84</v>
      </c>
      <c r="F33" t="str">
        <v>taize_original</v>
      </c>
      <c r="K33" t="str">
        <v>taize</v>
      </c>
      <c r="L33">
        <v>163</v>
      </c>
    </row>
    <row r="34" spans="1:12" x14ac:dyDescent="0.3">
      <c r="A34" t="str">
        <v>Luis Alfredo Díaz</v>
      </c>
      <c r="B34">
        <v>20</v>
      </c>
      <c r="D34" t="str">
        <v>Toño Casado</v>
      </c>
      <c r="E34">
        <v>28</v>
      </c>
      <c r="F34" t="str">
        <v>toño_casado</v>
      </c>
      <c r="K34" t="str">
        <v>toño_casado</v>
      </c>
      <c r="L34">
        <v>28</v>
      </c>
    </row>
    <row r="35" spans="1:12" x14ac:dyDescent="0.3">
      <c r="A35" t="str">
        <v>Rosa Cruz</v>
      </c>
      <c r="B35">
        <v>12</v>
      </c>
      <c r="D35" t="str">
        <v>Villancicos</v>
      </c>
      <c r="E35">
        <v>18</v>
      </c>
      <c r="F35" t="str">
        <v>villancicos</v>
      </c>
      <c r="K35" t="str">
        <v>villancicos</v>
      </c>
      <c r="L35">
        <v>18</v>
      </c>
    </row>
    <row r="36" spans="1:12" x14ac:dyDescent="0.3">
      <c r="A36" t="str">
        <v>Debbye Graafsma</v>
      </c>
      <c r="B36">
        <v>2</v>
      </c>
    </row>
    <row r="37" spans="1:12" x14ac:dyDescent="0.3">
      <c r="A37" t="str">
        <v>Joaquín Madurga</v>
      </c>
      <c r="B37">
        <v>9</v>
      </c>
    </row>
    <row r="38" spans="1:12" x14ac:dyDescent="0.3">
      <c r="A38" t="str">
        <v>Julián Huete</v>
      </c>
      <c r="B38">
        <v>2</v>
      </c>
    </row>
    <row r="39" spans="1:12" x14ac:dyDescent="0.3">
      <c r="A39" t="str">
        <v>Juan Jauregui</v>
      </c>
      <c r="B39">
        <v>4</v>
      </c>
    </row>
    <row r="40" spans="1:12" x14ac:dyDescent="0.3">
      <c r="A40" t="str">
        <v>Juan Manuel Martín</v>
      </c>
      <c r="B40">
        <v>1</v>
      </c>
    </row>
    <row r="41" spans="1:12" x14ac:dyDescent="0.3">
      <c r="A41" t="str">
        <v>Maranatha</v>
      </c>
      <c r="B41">
        <v>3</v>
      </c>
    </row>
    <row r="42" spans="1:12" x14ac:dyDescent="0.3">
      <c r="A42" t="str">
        <v>José Pedro Martins</v>
      </c>
      <c r="B42">
        <v>4</v>
      </c>
    </row>
    <row r="43" spans="1:12" x14ac:dyDescent="0.3">
      <c r="A43" t="str">
        <v>Juan Pablo Culebras</v>
      </c>
      <c r="B43">
        <v>1</v>
      </c>
    </row>
    <row r="44" spans="1:12" x14ac:dyDescent="0.3">
      <c r="A44" t="str">
        <v>Leonard Cohen</v>
      </c>
      <c r="B44">
        <v>1</v>
      </c>
    </row>
    <row r="45" spans="1:12" x14ac:dyDescent="0.3">
      <c r="A45" t="str">
        <v>Nico Montero</v>
      </c>
      <c r="B45">
        <v>2</v>
      </c>
    </row>
    <row r="46" spans="1:12" x14ac:dyDescent="0.3">
      <c r="A46" t="str">
        <v>Toño Casado</v>
      </c>
      <c r="B46">
        <v>28</v>
      </c>
    </row>
    <row r="47" spans="1:12" x14ac:dyDescent="0.3">
      <c r="A47" t="str">
        <v>Jaime Espino</v>
      </c>
      <c r="B47">
        <v>1</v>
      </c>
    </row>
    <row r="48" spans="1:12" x14ac:dyDescent="0.3">
      <c r="A48" t="str">
        <v>Marisa y Noemí</v>
      </c>
      <c r="B48">
        <v>2</v>
      </c>
    </row>
    <row r="49" spans="1:2" x14ac:dyDescent="0.3">
      <c r="A49" t="str">
        <v>Ron Kenoly</v>
      </c>
      <c r="B49">
        <v>1</v>
      </c>
    </row>
    <row r="50" spans="1:2" x14ac:dyDescent="0.3">
      <c r="A50" t="str">
        <v>Donald Fishel</v>
      </c>
      <c r="B50">
        <v>1</v>
      </c>
    </row>
    <row r="51" spans="1:2" x14ac:dyDescent="0.3">
      <c r="A51" t="str">
        <v>Frank Hernández</v>
      </c>
      <c r="B51">
        <v>1</v>
      </c>
    </row>
    <row r="52" spans="1:2" x14ac:dyDescent="0.3">
      <c r="A52" t="str">
        <v>Lázaro Iparraguirre</v>
      </c>
      <c r="B52">
        <v>14</v>
      </c>
    </row>
    <row r="53" spans="1:2" x14ac:dyDescent="0.3">
      <c r="A53" t="str">
        <v>RCCE</v>
      </c>
      <c r="B53">
        <v>2</v>
      </c>
    </row>
    <row r="54" spans="1:2" x14ac:dyDescent="0.3">
      <c r="A54" t="str">
        <v>José Luis Reyes</v>
      </c>
      <c r="B54">
        <v>1</v>
      </c>
    </row>
    <row r="55" spans="1:2" x14ac:dyDescent="0.3">
      <c r="A55" t="str">
        <v>Elena Andrés</v>
      </c>
      <c r="B55">
        <v>2</v>
      </c>
    </row>
    <row r="56" spans="1:2" x14ac:dyDescent="0.3">
      <c r="A56" t="str">
        <v>Lucas Casaert</v>
      </c>
      <c r="B56">
        <v>4</v>
      </c>
    </row>
    <row r="57" spans="1:2" x14ac:dyDescent="0.3">
      <c r="A57" t="str">
        <v>Grupo Gente Nueva</v>
      </c>
      <c r="B57">
        <v>1</v>
      </c>
    </row>
    <row r="58" spans="1:2" x14ac:dyDescent="0.3">
      <c r="A58" t="str">
        <v>Enrique García Vélez</v>
      </c>
      <c r="B58">
        <v>1</v>
      </c>
    </row>
    <row r="59" spans="1:2" x14ac:dyDescent="0.3">
      <c r="A59" t="str">
        <v>Pablo Cebrián</v>
      </c>
      <c r="B59">
        <v>1</v>
      </c>
    </row>
    <row r="60" spans="1:2" x14ac:dyDescent="0.3">
      <c r="A60" t="str">
        <v>Comunidad San Pedro</v>
      </c>
      <c r="B60">
        <v>2</v>
      </c>
    </row>
    <row r="61" spans="1:2" x14ac:dyDescent="0.3">
      <c r="A61" t="str">
        <v>Maite López</v>
      </c>
      <c r="B61">
        <v>1</v>
      </c>
    </row>
    <row r="62" spans="1:2" x14ac:dyDescent="0.3">
      <c r="A62" t="str">
        <v>Emilio Vicente Mateu</v>
      </c>
      <c r="B62">
        <v>11</v>
      </c>
    </row>
    <row r="63" spans="1:2" x14ac:dyDescent="0.3">
      <c r="A63" t="str">
        <v>IS Pastoral</v>
      </c>
      <c r="B63">
        <v>2</v>
      </c>
    </row>
    <row r="64" spans="1:2" x14ac:dyDescent="0.3">
      <c r="A64" t="str">
        <v>Padre Ernesto</v>
      </c>
      <c r="B64">
        <v>1</v>
      </c>
    </row>
    <row r="65" spans="1:2" x14ac:dyDescent="0.3">
      <c r="A65" t="str">
        <v>Cantos S Cateq</v>
      </c>
      <c r="B65">
        <v>2</v>
      </c>
    </row>
    <row r="66" spans="1:2" x14ac:dyDescent="0.3">
      <c r="A66" t="str">
        <v>Marisa Liste</v>
      </c>
      <c r="B66">
        <v>1</v>
      </c>
    </row>
    <row r="67" spans="1:2" x14ac:dyDescent="0.3">
      <c r="A67" t="str">
        <v>José Vives</v>
      </c>
      <c r="B67">
        <v>1</v>
      </c>
    </row>
    <row r="68" spans="1:2" x14ac:dyDescent="0.3">
      <c r="A68" t="str">
        <v>Bob Probert</v>
      </c>
      <c r="B68">
        <v>1</v>
      </c>
    </row>
    <row r="69" spans="1:2" x14ac:dyDescent="0.3">
      <c r="A69" t="str">
        <v>Bob Fitts</v>
      </c>
      <c r="B69">
        <v>1</v>
      </c>
    </row>
    <row r="70" spans="1:2" x14ac:dyDescent="0.3">
      <c r="A70" t="str">
        <v>Graham Kendrick</v>
      </c>
      <c r="B70">
        <v>2</v>
      </c>
    </row>
    <row r="71" spans="1:2" x14ac:dyDescent="0.3">
      <c r="A71" t="str">
        <v>Ixcís</v>
      </c>
      <c r="B71">
        <v>4</v>
      </c>
    </row>
    <row r="72" spans="1:2" x14ac:dyDescent="0.3">
      <c r="A72" t="str">
        <v>Jesús Adrián Romero</v>
      </c>
      <c r="B72">
        <v>3</v>
      </c>
    </row>
    <row r="73" spans="1:2" x14ac:dyDescent="0.3">
      <c r="A73" t="str">
        <v>Linda Stassen</v>
      </c>
      <c r="B73">
        <v>1</v>
      </c>
    </row>
    <row r="74" spans="1:2" x14ac:dyDescent="0.3">
      <c r="A74" t="str">
        <v>Gregorio Fernández</v>
      </c>
      <c r="B74">
        <v>5</v>
      </c>
    </row>
    <row r="75" spans="1:2" x14ac:dyDescent="0.3">
      <c r="A75" t="str">
        <v>Ignacio Busca de Sagastizábal</v>
      </c>
      <c r="B75">
        <v>1</v>
      </c>
    </row>
    <row r="76" spans="1:2" x14ac:dyDescent="0.3">
      <c r="A76" t="str">
        <v>Charo Moreno</v>
      </c>
      <c r="B76">
        <v>1</v>
      </c>
    </row>
    <row r="77" spans="1:2" x14ac:dyDescent="0.3">
      <c r="A77" t="str">
        <v>Gary Oliver</v>
      </c>
      <c r="B77">
        <v>1</v>
      </c>
    </row>
    <row r="78" spans="1:2" x14ac:dyDescent="0.3">
      <c r="A78" t="str">
        <v>Sarah Flower Adams</v>
      </c>
      <c r="B78">
        <v>1</v>
      </c>
    </row>
    <row r="79" spans="1:2" x14ac:dyDescent="0.3">
      <c r="A79" t="str">
        <v>Antonio Alcalde</v>
      </c>
      <c r="B79">
        <v>10</v>
      </c>
    </row>
    <row r="80" spans="1:2" x14ac:dyDescent="0.3">
      <c r="A80" t="str">
        <v>Marcela Jobe</v>
      </c>
      <c r="B80">
        <v>1</v>
      </c>
    </row>
    <row r="81" spans="1:2" x14ac:dyDescent="0.3">
      <c r="A81" t="str">
        <v>Michael O'Shields</v>
      </c>
      <c r="B81">
        <v>1</v>
      </c>
    </row>
    <row r="82" spans="1:2" x14ac:dyDescent="0.3">
      <c r="A82" t="str">
        <v>Fernando Viejo</v>
      </c>
      <c r="B82">
        <v>6</v>
      </c>
    </row>
    <row r="83" spans="1:2" x14ac:dyDescent="0.3">
      <c r="A83" t="str">
        <v>Al-Haraca</v>
      </c>
      <c r="B83">
        <v>7</v>
      </c>
    </row>
    <row r="84" spans="1:2" x14ac:dyDescent="0.3">
      <c r="A84" t="str">
        <v>Ricardo Cantalapiedra</v>
      </c>
      <c r="B84">
        <v>12</v>
      </c>
    </row>
    <row r="85" spans="1:2" x14ac:dyDescent="0.3">
      <c r="A85" t="str">
        <v>Marga Trufero</v>
      </c>
      <c r="B85">
        <v>1</v>
      </c>
    </row>
    <row r="86" spans="1:2" x14ac:dyDescent="0.3">
      <c r="A86" t="str">
        <v>Esther Watanabe</v>
      </c>
      <c r="B86">
        <v>1</v>
      </c>
    </row>
    <row r="87" spans="1:2" x14ac:dyDescent="0.3">
      <c r="A87" t="str">
        <v>Alberto Arija</v>
      </c>
      <c r="B87">
        <v>1</v>
      </c>
    </row>
    <row r="88" spans="1:2" x14ac:dyDescent="0.3">
      <c r="A88" t="str">
        <v>Álvaro Fraile</v>
      </c>
      <c r="B88">
        <v>1</v>
      </c>
    </row>
    <row r="89" spans="1:2" x14ac:dyDescent="0.3">
      <c r="A89" t="str">
        <v>Elena Ráfales</v>
      </c>
      <c r="B89">
        <v>1</v>
      </c>
    </row>
    <row r="90" spans="1:2" x14ac:dyDescent="0.3">
      <c r="A90" t="str">
        <v>Manuel Rosa</v>
      </c>
      <c r="B90">
        <v>2</v>
      </c>
    </row>
    <row r="91" spans="1:2" x14ac:dyDescent="0.3">
      <c r="A91" t="str">
        <v>Tomás Aragüés</v>
      </c>
      <c r="B91">
        <v>1</v>
      </c>
    </row>
    <row r="92" spans="1:2" x14ac:dyDescent="0.3">
      <c r="A92" t="str">
        <v>Alejandro Mejía</v>
      </c>
      <c r="B92">
        <v>1</v>
      </c>
    </row>
    <row r="93" spans="1:2" x14ac:dyDescent="0.3">
      <c r="A93" t="str">
        <v>Misioneros de la Esperanza</v>
      </c>
      <c r="B93">
        <v>1</v>
      </c>
    </row>
    <row r="94" spans="1:2" x14ac:dyDescent="0.3">
      <c r="A94" t="str">
        <v>Marta Gil-Delgado</v>
      </c>
      <c r="B94">
        <v>10</v>
      </c>
    </row>
    <row r="95" spans="1:2" x14ac:dyDescent="0.3">
      <c r="A95" t="str">
        <v>Noemí Liste</v>
      </c>
      <c r="B95">
        <v>1</v>
      </c>
    </row>
    <row r="96" spans="1:2" x14ac:dyDescent="0.3">
      <c r="A96" t="str">
        <v>Misa nicaragüense</v>
      </c>
      <c r="B96">
        <v>3</v>
      </c>
    </row>
    <row r="97" spans="1:2" x14ac:dyDescent="0.3">
      <c r="A97" t="str">
        <v>Mercedes Glez</v>
      </c>
      <c r="B97">
        <v>3</v>
      </c>
    </row>
    <row r="98" spans="1:2" x14ac:dyDescent="0.3">
      <c r="A98" t="str">
        <v>Taizé</v>
      </c>
      <c r="B98">
        <v>3</v>
      </c>
    </row>
    <row r="99" spans="1:2" x14ac:dyDescent="0.3">
      <c r="A99" t="str">
        <v>Martín Mancilla</v>
      </c>
      <c r="B99">
        <v>1</v>
      </c>
    </row>
    <row r="100" spans="1:2" x14ac:dyDescent="0.3">
      <c r="A100" t="str">
        <v>Marcos Witt</v>
      </c>
      <c r="B100">
        <v>8</v>
      </c>
    </row>
    <row r="101" spans="1:2" x14ac:dyDescent="0.3">
      <c r="A101" t="str">
        <v>JEC</v>
      </c>
      <c r="B101">
        <v>1</v>
      </c>
    </row>
    <row r="102" spans="1:2" x14ac:dyDescent="0.3">
      <c r="A102" t="str">
        <v>Popular</v>
      </c>
      <c r="B102">
        <v>13</v>
      </c>
    </row>
    <row r="103" spans="1:2" x14ac:dyDescent="0.3">
      <c r="A103" t="str">
        <v>María Parkinson</v>
      </c>
      <c r="B103">
        <v>1</v>
      </c>
    </row>
    <row r="104" spans="1:2" x14ac:dyDescent="0.3">
      <c r="A104" t="str">
        <v>Juan Alfonso Greis</v>
      </c>
      <c r="B104">
        <v>1</v>
      </c>
    </row>
    <row r="105" spans="1:2" x14ac:dyDescent="0.3">
      <c r="A105" t="str">
        <v>Pauline Michael Mills</v>
      </c>
      <c r="B105">
        <v>1</v>
      </c>
    </row>
    <row r="106" spans="1:2" x14ac:dyDescent="0.3">
      <c r="A106" t="str">
        <v>Alfredo García</v>
      </c>
      <c r="B106">
        <v>1</v>
      </c>
    </row>
    <row r="107" spans="1:2" x14ac:dyDescent="0.3">
      <c r="A107" t="str">
        <v>La Anunciación y Luispo</v>
      </c>
      <c r="B107">
        <v>1</v>
      </c>
    </row>
    <row r="108" spans="1:2" x14ac:dyDescent="0.3">
      <c r="A108" t="str">
        <v>Salomé Arricibita</v>
      </c>
      <c r="B108">
        <v>2</v>
      </c>
    </row>
    <row r="109" spans="1:2" x14ac:dyDescent="0.3">
      <c r="A109" t="str">
        <v>Taule</v>
      </c>
      <c r="B109">
        <v>2</v>
      </c>
    </row>
    <row r="110" spans="1:2" x14ac:dyDescent="0.3">
      <c r="A110" t="str">
        <v>Javier Gacías</v>
      </c>
      <c r="B110">
        <v>1</v>
      </c>
    </row>
    <row r="111" spans="1:2" x14ac:dyDescent="0.3">
      <c r="A111" t="str">
        <v>Emilio Vicente</v>
      </c>
      <c r="B111">
        <v>1</v>
      </c>
    </row>
    <row r="112" spans="1:2" x14ac:dyDescent="0.3">
      <c r="A112" t="str">
        <v>Steve McEwan</v>
      </c>
      <c r="B112">
        <v>1</v>
      </c>
    </row>
    <row r="113" spans="1:2" x14ac:dyDescent="0.3">
      <c r="A113" t="str">
        <v>Cesar Nebot</v>
      </c>
      <c r="B113">
        <v>1</v>
      </c>
    </row>
    <row r="114" spans="1:2" x14ac:dyDescent="0.3">
      <c r="A114" t="str">
        <v>Gen Rosso</v>
      </c>
      <c r="B114">
        <v>2</v>
      </c>
    </row>
    <row r="115" spans="1:2" x14ac:dyDescent="0.3">
      <c r="A115" t="str">
        <v>Mari Puy Montaner</v>
      </c>
      <c r="B115">
        <v>1</v>
      </c>
    </row>
    <row r="116" spans="1:2" x14ac:dyDescent="0.3">
      <c r="A116" t="str">
        <v>Vincent</v>
      </c>
      <c r="B116">
        <v>1</v>
      </c>
    </row>
    <row r="117" spans="1:2" x14ac:dyDescent="0.3">
      <c r="A117" t="str">
        <v>Edith McNeill</v>
      </c>
      <c r="B117">
        <v>1</v>
      </c>
    </row>
    <row r="118" spans="1:2" x14ac:dyDescent="0.3">
      <c r="A118" t="str">
        <v>Francisco Alvarado (Schönstatt)</v>
      </c>
      <c r="B118">
        <v>1</v>
      </c>
    </row>
    <row r="119" spans="1:2" x14ac:dyDescent="0.3">
      <c r="A119" t="str">
        <v>José María Monedero</v>
      </c>
      <c r="B119">
        <v>2</v>
      </c>
    </row>
    <row r="120" spans="1:2" x14ac:dyDescent="0.3">
      <c r="A120" t="str">
        <v>Marvin Frey</v>
      </c>
      <c r="B120">
        <v>1</v>
      </c>
    </row>
    <row r="121" spans="1:2" x14ac:dyDescent="0.3">
      <c r="A121" t="str">
        <v>Bob Fitts y Gary Sadler</v>
      </c>
      <c r="B121">
        <v>1</v>
      </c>
    </row>
    <row r="122" spans="1:2" x14ac:dyDescent="0.3">
      <c r="A122" t="str">
        <v>Ribcah Anafah</v>
      </c>
      <c r="B122">
        <v>1</v>
      </c>
    </row>
    <row r="123" spans="1:2" x14ac:dyDescent="0.3">
      <c r="A123" t="str">
        <v>Ron Colie</v>
      </c>
      <c r="B123">
        <v>1</v>
      </c>
    </row>
    <row r="124" spans="1:2" x14ac:dyDescent="0.3">
      <c r="A124" t="str">
        <v>Eduardo Meana</v>
      </c>
      <c r="B124">
        <v>2</v>
      </c>
    </row>
    <row r="125" spans="1:2" x14ac:dyDescent="0.3">
      <c r="A125" t="str">
        <v>David Graham</v>
      </c>
      <c r="B125">
        <v>1</v>
      </c>
    </row>
    <row r="126" spans="1:2" x14ac:dyDescent="0.3">
      <c r="A126" t="str">
        <v>Mark Altragge</v>
      </c>
      <c r="B126">
        <v>1</v>
      </c>
    </row>
    <row r="127" spans="1:2" x14ac:dyDescent="0.3">
      <c r="A127" t="str">
        <v>Eugene Greco</v>
      </c>
      <c r="B127">
        <v>1</v>
      </c>
    </row>
    <row r="128" spans="1:2" x14ac:dyDescent="0.3">
      <c r="A128" t="str">
        <v>Lili Zaidín</v>
      </c>
      <c r="B128">
        <v>1</v>
      </c>
    </row>
    <row r="129" spans="1:2" x14ac:dyDescent="0.3">
      <c r="A129" t="str">
        <v>Lynn Baird</v>
      </c>
      <c r="B129">
        <v>1</v>
      </c>
    </row>
    <row r="130" spans="1:2" x14ac:dyDescent="0.3">
      <c r="A130" t="str">
        <v>Marie Barnett</v>
      </c>
      <c r="B130">
        <v>1</v>
      </c>
    </row>
    <row r="131" spans="1:2" x14ac:dyDescent="0.3">
      <c r="A131" t="str">
        <v>Ricardo Solans</v>
      </c>
      <c r="B131">
        <v>2</v>
      </c>
    </row>
    <row r="132" spans="1:2" x14ac:dyDescent="0.3">
      <c r="A132" t="str">
        <v>Alberto y Emilia</v>
      </c>
      <c r="B132">
        <v>1</v>
      </c>
    </row>
    <row r="133" spans="1:2" x14ac:dyDescent="0.3">
      <c r="A133" t="str">
        <v>G Gancho</v>
      </c>
      <c r="B133">
        <v>1</v>
      </c>
    </row>
    <row r="134" spans="1:2" x14ac:dyDescent="0.3">
      <c r="A134" t="str">
        <v>José Manuel Culebras</v>
      </c>
      <c r="B134">
        <v>3</v>
      </c>
    </row>
    <row r="135" spans="1:2" x14ac:dyDescent="0.3">
      <c r="A135" t="str">
        <v>Bill Sprouse</v>
      </c>
      <c r="B135">
        <v>1</v>
      </c>
    </row>
    <row r="136" spans="1:2" x14ac:dyDescent="0.3">
      <c r="A136" t="str">
        <v>Daniel Iverson</v>
      </c>
      <c r="B136">
        <v>1</v>
      </c>
    </row>
    <row r="137" spans="1:2" x14ac:dyDescent="0.3">
      <c r="A137" t="str">
        <v>Janet Lunt</v>
      </c>
      <c r="B137">
        <v>1</v>
      </c>
    </row>
    <row r="138" spans="1:2" x14ac:dyDescent="0.3">
      <c r="A138" t="str">
        <v>Eduardo Ortiz</v>
      </c>
      <c r="B138">
        <v>1</v>
      </c>
    </row>
    <row r="139" spans="1:2" x14ac:dyDescent="0.3">
      <c r="A139" t="str">
        <v>Lucía Asturias</v>
      </c>
      <c r="B139">
        <v>1</v>
      </c>
    </row>
    <row r="140" spans="1:2" x14ac:dyDescent="0.3">
      <c r="A140" t="str">
        <v>Miguel Casina</v>
      </c>
      <c r="B140">
        <v>2</v>
      </c>
    </row>
    <row r="141" spans="1:2" x14ac:dyDescent="0.3">
      <c r="A141" t="str">
        <v>Llach</v>
      </c>
      <c r="B141">
        <v>1</v>
      </c>
    </row>
    <row r="142" spans="1:2" x14ac:dyDescent="0.3">
      <c r="A142" t="str">
        <v>Eric Nuzum</v>
      </c>
      <c r="B142">
        <v>1</v>
      </c>
    </row>
    <row r="143" spans="1:2" x14ac:dyDescent="0.3">
      <c r="A143" t="str">
        <v>Luis Alberto González</v>
      </c>
      <c r="B143">
        <v>1</v>
      </c>
    </row>
    <row r="144" spans="1:2" x14ac:dyDescent="0.3">
      <c r="A144" t="str">
        <v>Coral Católica Juvenil</v>
      </c>
      <c r="B144">
        <v>1</v>
      </c>
    </row>
    <row r="145" spans="1:2" x14ac:dyDescent="0.3">
      <c r="A145" t="str">
        <v>Martín Valverde</v>
      </c>
      <c r="B145">
        <v>3</v>
      </c>
    </row>
    <row r="146" spans="1:2" x14ac:dyDescent="0.3">
      <c r="A146" t="str">
        <v>Barriales</v>
      </c>
      <c r="B146">
        <v>3</v>
      </c>
    </row>
    <row r="147" spans="1:2" x14ac:dyDescent="0.3">
      <c r="A147" t="str">
        <v>Brent Chambers</v>
      </c>
      <c r="B147">
        <v>1</v>
      </c>
    </row>
    <row r="148" spans="1:2" x14ac:dyDescent="0.3">
      <c r="A148" t="str">
        <v>Ricardo de la Fuente</v>
      </c>
      <c r="B148">
        <v>1</v>
      </c>
    </row>
    <row r="149" spans="1:2" x14ac:dyDescent="0.3">
      <c r="A149" t="str">
        <v>P Buen Pastor</v>
      </c>
      <c r="B149">
        <v>2</v>
      </c>
    </row>
    <row r="150" spans="1:2" x14ac:dyDescent="0.3">
      <c r="A150" t="str">
        <v>Labordeta</v>
      </c>
      <c r="B150">
        <v>1</v>
      </c>
    </row>
    <row r="151" spans="1:2" x14ac:dyDescent="0.3">
      <c r="A151" t="str">
        <v>Migueli</v>
      </c>
      <c r="B151">
        <v>4</v>
      </c>
    </row>
    <row r="152" spans="1:2" x14ac:dyDescent="0.3">
      <c r="A152" t="str">
        <v>Lewis Jones</v>
      </c>
      <c r="B152">
        <v>1</v>
      </c>
    </row>
    <row r="153" spans="1:2" x14ac:dyDescent="0.3">
      <c r="A153" t="str">
        <v>Paloma Falconi</v>
      </c>
      <c r="B153">
        <v>1</v>
      </c>
    </row>
    <row r="154" spans="1:2" x14ac:dyDescent="0.3">
      <c r="A154" t="str">
        <v>Sagrada Familia</v>
      </c>
      <c r="B154">
        <v>1</v>
      </c>
    </row>
    <row r="155" spans="1:2" x14ac:dyDescent="0.3">
      <c r="A155" t="str">
        <v>Paul S. Morton</v>
      </c>
      <c r="B155">
        <v>1</v>
      </c>
    </row>
    <row r="156" spans="1:2" x14ac:dyDescent="0.3">
      <c r="A156" t="str">
        <v>Sebastián Temple</v>
      </c>
      <c r="B156">
        <v>1</v>
      </c>
    </row>
    <row r="157" spans="1:2" x14ac:dyDescent="0.3">
      <c r="A157" t="str">
        <v>Paul Smith</v>
      </c>
      <c r="B157">
        <v>1</v>
      </c>
    </row>
    <row r="158" spans="1:2" x14ac:dyDescent="0.3">
      <c r="A158" t="str">
        <v>Leona von Brethorst</v>
      </c>
      <c r="B158">
        <v>1</v>
      </c>
    </row>
    <row r="159" spans="1:2" x14ac:dyDescent="0.3">
      <c r="A159" t="str">
        <v>José Antonio Poblete</v>
      </c>
      <c r="B159">
        <v>1</v>
      </c>
    </row>
    <row r="160" spans="1:2" x14ac:dyDescent="0.3">
      <c r="A160" t="str">
        <v>Carl Tuttle</v>
      </c>
      <c r="B160">
        <v>1</v>
      </c>
    </row>
    <row r="161" spans="1:2" x14ac:dyDescent="0.3">
      <c r="A161" t="str">
        <v>Carolina Martínez</v>
      </c>
      <c r="B161">
        <v>1</v>
      </c>
    </row>
    <row r="162" spans="1:2" x14ac:dyDescent="0.3">
      <c r="A162" t="str">
        <v>Alfonso Luna</v>
      </c>
      <c r="B162">
        <v>1</v>
      </c>
    </row>
    <row r="163" spans="1:2" x14ac:dyDescent="0.3">
      <c r="A163" t="str">
        <v>Carismáticas</v>
      </c>
      <c r="B163">
        <v>2</v>
      </c>
    </row>
    <row r="164" spans="1:2" x14ac:dyDescent="0.3">
      <c r="A164" t="str">
        <v>Blest</v>
      </c>
      <c r="B164">
        <v>1</v>
      </c>
    </row>
    <row r="165" spans="1:2" x14ac:dyDescent="0.3">
      <c r="A165" t="str">
        <v>Renato Vizuet</v>
      </c>
      <c r="B165">
        <v>1</v>
      </c>
    </row>
    <row r="166" spans="1:2" x14ac:dyDescent="0.3">
      <c r="A166" t="str">
        <v>Andrés Parra</v>
      </c>
      <c r="B166">
        <v>1</v>
      </c>
    </row>
    <row r="167" spans="1:2" x14ac:dyDescent="0.3">
      <c r="A167" t="str">
        <v>Benedetto Conte</v>
      </c>
      <c r="B167">
        <v>1</v>
      </c>
    </row>
    <row r="168" spans="1:2" x14ac:dyDescent="0.3">
      <c r="A168" t="str">
        <v>Marcela de María</v>
      </c>
      <c r="B168">
        <v>1</v>
      </c>
    </row>
    <row r="169" spans="1:2" x14ac:dyDescent="0.3">
      <c r="A169" t="str">
        <v>John Newton</v>
      </c>
      <c r="B169">
        <v>1</v>
      </c>
    </row>
    <row r="170" spans="1:2" x14ac:dyDescent="0.3">
      <c r="A170" t="str">
        <v>Marta Calvo</v>
      </c>
      <c r="B170">
        <v>1</v>
      </c>
    </row>
    <row r="171" spans="1:2" x14ac:dyDescent="0.3">
      <c r="A171" t="str">
        <v>Arce</v>
      </c>
      <c r="B171">
        <v>1</v>
      </c>
    </row>
    <row r="172" spans="1:2" x14ac:dyDescent="0.3">
      <c r="A172" t="str">
        <v>José Miguel Cubeles</v>
      </c>
      <c r="B172">
        <v>1</v>
      </c>
    </row>
    <row r="173" spans="1:2" x14ac:dyDescent="0.3">
      <c r="A173" t="str">
        <v>Pablo Coloma</v>
      </c>
      <c r="B173">
        <v>1</v>
      </c>
    </row>
    <row r="174" spans="1:2" x14ac:dyDescent="0.3">
      <c r="A174" t="str">
        <v>John Wimber</v>
      </c>
      <c r="B174">
        <v>1</v>
      </c>
    </row>
    <row r="175" spans="1:2" x14ac:dyDescent="0.3">
      <c r="A175" t="str">
        <v>Jesucristo Superstar</v>
      </c>
      <c r="B175">
        <v>1</v>
      </c>
    </row>
    <row r="176" spans="1:2" x14ac:dyDescent="0.3">
      <c r="A176" t="str">
        <v>Marcelino García</v>
      </c>
      <c r="B176">
        <v>1</v>
      </c>
    </row>
    <row r="177" spans="1:2" x14ac:dyDescent="0.3">
      <c r="A177" t="str">
        <v>J F Martínez</v>
      </c>
      <c r="B177">
        <v>1</v>
      </c>
    </row>
    <row r="178" spans="1:2" x14ac:dyDescent="0.3">
      <c r="A178" t="str">
        <v>Joanne Boyce</v>
      </c>
      <c r="B178">
        <v>1</v>
      </c>
    </row>
    <row r="179" spans="1:2" x14ac:dyDescent="0.3">
      <c r="A179" t="str">
        <v>Jack Hayford</v>
      </c>
      <c r="B179">
        <v>1</v>
      </c>
    </row>
    <row r="180" spans="1:2" x14ac:dyDescent="0.3">
      <c r="A180" t="str">
        <v>Fermín García</v>
      </c>
      <c r="B180">
        <v>1</v>
      </c>
    </row>
    <row r="181" spans="1:2" x14ac:dyDescent="0.3">
      <c r="A181" t="str">
        <v>Inmaculada Estévez</v>
      </c>
      <c r="B181">
        <v>1</v>
      </c>
    </row>
    <row r="182" spans="1:2" x14ac:dyDescent="0.3">
      <c r="A182" t="str">
        <v>Grupo Betsaida</v>
      </c>
      <c r="B182">
        <v>1</v>
      </c>
    </row>
    <row r="183" spans="1:2" x14ac:dyDescent="0.3">
      <c r="A183" t="str">
        <v>Steve Merkel</v>
      </c>
      <c r="B183">
        <v>1</v>
      </c>
    </row>
    <row r="184" spans="1:2" x14ac:dyDescent="0.3">
      <c r="A184" t="str">
        <v>Lourdes Fonteriz</v>
      </c>
      <c r="B184">
        <v>1</v>
      </c>
    </row>
    <row r="185" spans="1:2" x14ac:dyDescent="0.3">
      <c r="A185" t="str">
        <v>Fausto Pflucker</v>
      </c>
      <c r="B185">
        <v>1</v>
      </c>
    </row>
    <row r="186" spans="1:2" x14ac:dyDescent="0.3">
      <c r="A186" t="str">
        <v>Darlene Zschech</v>
      </c>
      <c r="B186">
        <v>1</v>
      </c>
    </row>
    <row r="187" spans="1:2" x14ac:dyDescent="0.3">
      <c r="A187" t="str">
        <v>Keith Routledge</v>
      </c>
      <c r="B187">
        <v>1</v>
      </c>
    </row>
    <row r="188" spans="1:2" x14ac:dyDescent="0.3">
      <c r="A188" t="str">
        <v>Annemarie Bambino</v>
      </c>
      <c r="B188">
        <v>1</v>
      </c>
    </row>
    <row r="189" spans="1:2" x14ac:dyDescent="0.3">
      <c r="A189" t="str">
        <v>José Luis Villalaín</v>
      </c>
      <c r="B189">
        <v>1</v>
      </c>
    </row>
    <row r="190" spans="1:2" x14ac:dyDescent="0.3">
      <c r="A190" t="str">
        <v>Fray Nacho</v>
      </c>
      <c r="B190">
        <v>1</v>
      </c>
    </row>
    <row r="191" spans="1:2" x14ac:dyDescent="0.3">
      <c r="A191" t="str">
        <v>Javier Rodríguez</v>
      </c>
      <c r="B191">
        <v>1</v>
      </c>
    </row>
    <row r="192" spans="1:2" x14ac:dyDescent="0.3">
      <c r="A192" t="str">
        <v>Elizalde</v>
      </c>
      <c r="B192">
        <v>1</v>
      </c>
    </row>
    <row r="193" spans="1:2" x14ac:dyDescent="0.3">
      <c r="A193" t="str">
        <v>José Luis Perales</v>
      </c>
      <c r="B193">
        <v>2</v>
      </c>
    </row>
    <row r="194" spans="1:2" x14ac:dyDescent="0.3">
      <c r="A194" t="str">
        <v>Héctor Hermosillo</v>
      </c>
      <c r="B194">
        <v>1</v>
      </c>
    </row>
    <row r="195" spans="1:2" x14ac:dyDescent="0.3">
      <c r="A195" t="str">
        <v>Jaime Olguín</v>
      </c>
      <c r="B195">
        <v>2</v>
      </c>
    </row>
    <row r="196" spans="1:2" x14ac:dyDescent="0.3">
      <c r="A196" t="str">
        <v>Milagros Rosa</v>
      </c>
      <c r="B196">
        <v>1</v>
      </c>
    </row>
    <row r="197" spans="1:2" x14ac:dyDescent="0.3">
      <c r="A197" t="str">
        <v>Valmaseda</v>
      </c>
      <c r="B197">
        <v>3</v>
      </c>
    </row>
    <row r="198" spans="1:2" x14ac:dyDescent="0.3">
      <c r="A198" t="str">
        <v>Leonard Smith</v>
      </c>
      <c r="B198">
        <v>1</v>
      </c>
    </row>
    <row r="199" spans="1:2" x14ac:dyDescent="0.3">
      <c r="A199" t="str">
        <v>Akepsimas</v>
      </c>
      <c r="B199">
        <v>2</v>
      </c>
    </row>
    <row r="200" spans="1:2" x14ac:dyDescent="0.3">
      <c r="A200" t="str">
        <v>Juan Jáuregi</v>
      </c>
      <c r="B200">
        <v>1</v>
      </c>
    </row>
    <row r="201" spans="1:2" x14ac:dyDescent="0.3">
      <c r="A201" t="str">
        <v>Pedro Antonio Garza</v>
      </c>
      <c r="B201">
        <v>1</v>
      </c>
    </row>
    <row r="202" spans="1:2" x14ac:dyDescent="0.3">
      <c r="A202" t="str">
        <v>Oficial</v>
      </c>
      <c r="B202">
        <v>1</v>
      </c>
    </row>
    <row r="203" spans="1:2" x14ac:dyDescent="0.3">
      <c r="A203" t="str">
        <v>Terrye Coelho</v>
      </c>
      <c r="B203">
        <v>1</v>
      </c>
    </row>
    <row r="204" spans="1:2" x14ac:dyDescent="0.3">
      <c r="A204" t="str">
        <v>Chiquito Villalba</v>
      </c>
      <c r="B204">
        <v>1</v>
      </c>
    </row>
    <row r="205" spans="1:2" x14ac:dyDescent="0.3">
      <c r="A205" t="str">
        <v>Gocam</v>
      </c>
      <c r="B205">
        <v>2</v>
      </c>
    </row>
    <row r="206" spans="1:2" x14ac:dyDescent="0.3">
      <c r="A206" t="str">
        <v>Rafael de la Hoz</v>
      </c>
      <c r="B206">
        <v>2</v>
      </c>
    </row>
    <row r="207" spans="1:2" x14ac:dyDescent="0.3">
      <c r="A207" t="str">
        <v>Stephen Schwartz</v>
      </c>
      <c r="B207">
        <v>1</v>
      </c>
    </row>
    <row r="208" spans="1:2" x14ac:dyDescent="0.3">
      <c r="A208" t="str">
        <v>José María Olaizola</v>
      </c>
      <c r="B208">
        <v>1</v>
      </c>
    </row>
    <row r="209" spans="1:2" x14ac:dyDescent="0.3">
      <c r="A209" t="str">
        <v>Doug Horley</v>
      </c>
      <c r="B209">
        <v>1</v>
      </c>
    </row>
    <row r="210" spans="1:2" x14ac:dyDescent="0.3">
      <c r="A210" t="str">
        <v>Marcos Frisina</v>
      </c>
      <c r="B210">
        <v>1</v>
      </c>
    </row>
    <row r="211" spans="1:2" x14ac:dyDescent="0.3">
      <c r="A211" t="str">
        <v>Henry Smith</v>
      </c>
      <c r="B211">
        <v>1</v>
      </c>
    </row>
    <row r="212" spans="1:2" x14ac:dyDescent="0.3">
      <c r="A212" t="str">
        <v>Sor Trini - Hijas de la Caridad</v>
      </c>
      <c r="B212">
        <v>1</v>
      </c>
    </row>
    <row r="213" spans="1:2" x14ac:dyDescent="0.3">
      <c r="A213" t="str">
        <v>Francisco de Asís</v>
      </c>
      <c r="B213">
        <v>1</v>
      </c>
    </row>
    <row r="214" spans="1:2" x14ac:dyDescent="0.3">
      <c r="A214" t="str">
        <v>Gregoriano</v>
      </c>
      <c r="B214">
        <v>1</v>
      </c>
    </row>
    <row r="215" spans="1:2" x14ac:dyDescent="0.3">
      <c r="A215" t="str">
        <v>Kiko Argüello</v>
      </c>
      <c r="B215">
        <v>1</v>
      </c>
    </row>
    <row r="216" spans="1:2" x14ac:dyDescent="0.3">
      <c r="A216" t="str">
        <v>Chema</v>
      </c>
      <c r="B216">
        <v>2</v>
      </c>
    </row>
    <row r="217" spans="1:2" x14ac:dyDescent="0.3">
      <c r="A217" t="str">
        <v>Gen Verde</v>
      </c>
      <c r="B217">
        <v>1</v>
      </c>
    </row>
    <row r="218" spans="1:2" x14ac:dyDescent="0.3">
      <c r="A218" t="str">
        <v>Jesús Cardeñoso</v>
      </c>
      <c r="B218">
        <v>1</v>
      </c>
    </row>
    <row r="219" spans="1:2" x14ac:dyDescent="0.3">
      <c r="A219" t="str">
        <v>Georg Friedrich Händel</v>
      </c>
      <c r="B219">
        <v>1</v>
      </c>
    </row>
    <row r="220" spans="1:2" x14ac:dyDescent="0.3">
      <c r="A220" t="str">
        <v>Mocedades</v>
      </c>
      <c r="B220">
        <v>1</v>
      </c>
    </row>
    <row r="221" spans="1:2" x14ac:dyDescent="0.3">
      <c r="A221" t="str">
        <v>The Beatles</v>
      </c>
      <c r="B221">
        <v>1</v>
      </c>
    </row>
    <row r="222" spans="1:2" x14ac:dyDescent="0.3">
      <c r="A222" t="str">
        <v>Misa salvadoreña</v>
      </c>
      <c r="B222">
        <v>2</v>
      </c>
    </row>
    <row r="223" spans="1:2" x14ac:dyDescent="0.3">
      <c r="A223" t="str">
        <v>Juanjo F</v>
      </c>
      <c r="B223">
        <v>1</v>
      </c>
    </row>
    <row r="224" spans="1:2" x14ac:dyDescent="0.3">
      <c r="A224" t="str">
        <v>Tim Smith</v>
      </c>
      <c r="B224">
        <v>1</v>
      </c>
    </row>
    <row r="225" spans="1:2" x14ac:dyDescent="0.3">
      <c r="A225" t="str">
        <v>Juan Carlos Ayala</v>
      </c>
      <c r="B225">
        <v>1</v>
      </c>
    </row>
    <row r="226" spans="1:2" x14ac:dyDescent="0.3">
      <c r="A226" t="str">
        <v>A. B. Celada Alonso</v>
      </c>
      <c r="B226">
        <v>1</v>
      </c>
    </row>
    <row r="227" spans="1:2" x14ac:dyDescent="0.3">
      <c r="A227" t="str">
        <v>Don Moen</v>
      </c>
      <c r="B227">
        <v>1</v>
      </c>
    </row>
    <row r="228" spans="1:2" x14ac:dyDescent="0.3">
      <c r="A228" t="str">
        <v>Coro Niño Jesús (Cádiz)</v>
      </c>
      <c r="B228">
        <v>1</v>
      </c>
    </row>
    <row r="229" spans="1:2" x14ac:dyDescent="0.3">
      <c r="A229" t="str">
        <v>Bernardetto Conte</v>
      </c>
      <c r="B229">
        <v>1</v>
      </c>
    </row>
    <row r="230" spans="1:2" x14ac:dyDescent="0.3">
      <c r="A230" t="str">
        <v>Bruno Conte y Carlos Ferrante</v>
      </c>
      <c r="B230">
        <v>1</v>
      </c>
    </row>
    <row r="231" spans="1:2" x14ac:dyDescent="0.3">
      <c r="A231" t="str">
        <v>Marisa Cecilia</v>
      </c>
      <c r="B231">
        <v>1</v>
      </c>
    </row>
    <row r="232" spans="1:2" x14ac:dyDescent="0.3">
      <c r="A232" t="str">
        <v>Luis Guitarra</v>
      </c>
      <c r="B232">
        <v>1</v>
      </c>
    </row>
    <row r="233" spans="1:2" x14ac:dyDescent="0.3">
      <c r="A233" t="str">
        <v>Alicia Mendoza</v>
      </c>
      <c r="B233">
        <v>1</v>
      </c>
    </row>
    <row r="234" spans="1:2" x14ac:dyDescent="0.3">
      <c r="A234" t="str">
        <v>Laurie Klein</v>
      </c>
      <c r="B234">
        <v>1</v>
      </c>
    </row>
    <row r="235" spans="1:2" x14ac:dyDescent="0.3">
      <c r="A235" t="str">
        <v>Marco López</v>
      </c>
      <c r="B235">
        <v>1</v>
      </c>
    </row>
    <row r="236" spans="1:2" x14ac:dyDescent="0.3">
      <c r="A236" t="str">
        <v>Reuben Morgan</v>
      </c>
      <c r="B236">
        <v>1</v>
      </c>
    </row>
    <row r="237" spans="1:2" x14ac:dyDescent="0.3">
      <c r="A237" t="str">
        <v>Getsemaní</v>
      </c>
      <c r="B237">
        <v>1</v>
      </c>
    </row>
    <row r="238" spans="1:2" x14ac:dyDescent="0.3">
      <c r="A238" t="str">
        <v>César Nebot</v>
      </c>
      <c r="B238">
        <v>2</v>
      </c>
    </row>
    <row r="239" spans="1:2" x14ac:dyDescent="0.3">
      <c r="A239" t="str">
        <v>Rafael Espinosa</v>
      </c>
      <c r="B239">
        <v>1</v>
      </c>
    </row>
    <row r="240" spans="1:2" x14ac:dyDescent="0.3">
      <c r="A240" t="str">
        <v>Gina Fernández</v>
      </c>
      <c r="B240">
        <v>1</v>
      </c>
    </row>
    <row r="241" spans="1:2" x14ac:dyDescent="0.3">
      <c r="A241" t="str">
        <v>Don Harris</v>
      </c>
      <c r="B241">
        <v>1</v>
      </c>
    </row>
    <row r="242" spans="1:2" x14ac:dyDescent="0.3">
      <c r="A242" t="str">
        <v>Twila Paris</v>
      </c>
      <c r="B242">
        <v>1</v>
      </c>
    </row>
    <row r="243" spans="1:2" x14ac:dyDescent="0.3">
      <c r="A243" t="str">
        <v>Coro Parroquial San Miguel</v>
      </c>
      <c r="B243">
        <v>1</v>
      </c>
    </row>
    <row r="244" spans="1:2" x14ac:dyDescent="0.3">
      <c r="A244" t="str">
        <v>Oscar Palomares</v>
      </c>
      <c r="B244">
        <v>1</v>
      </c>
    </row>
    <row r="245" spans="1:2" x14ac:dyDescent="0.3">
      <c r="A245" t="str">
        <v>Lola Tomillo</v>
      </c>
      <c r="B245">
        <v>1</v>
      </c>
    </row>
    <row r="246" spans="1:2" x14ac:dyDescent="0.3">
      <c r="A246" t="str">
        <v>Alborada</v>
      </c>
      <c r="B246">
        <v>2</v>
      </c>
    </row>
    <row r="247" spans="1:2" x14ac:dyDescent="0.3">
      <c r="A247" t="str">
        <v>Dubé</v>
      </c>
      <c r="B247">
        <v>1</v>
      </c>
    </row>
    <row r="248" spans="1:2" x14ac:dyDescent="0.3">
      <c r="A248" t="str">
        <v>Charlotte Exon</v>
      </c>
      <c r="B248">
        <v>1</v>
      </c>
    </row>
    <row r="249" spans="1:2" x14ac:dyDescent="0.3">
      <c r="A249" t="str">
        <v>Andy Carter</v>
      </c>
      <c r="B249">
        <v>1</v>
      </c>
    </row>
    <row r="250" spans="1:2" x14ac:dyDescent="0.3">
      <c r="A250" t="str">
        <v>Randal Calderón</v>
      </c>
      <c r="B250">
        <v>1</v>
      </c>
    </row>
    <row r="251" spans="1:2" x14ac:dyDescent="0.3">
      <c r="A251" t="str">
        <v>Brian Doerksen</v>
      </c>
      <c r="B251">
        <v>1</v>
      </c>
    </row>
    <row r="252" spans="1:2" x14ac:dyDescent="0.3">
      <c r="A252" t="str">
        <v>Andree Gouzes</v>
      </c>
      <c r="B252">
        <v>1</v>
      </c>
    </row>
    <row r="253" spans="1:2" x14ac:dyDescent="0.3">
      <c r="A253" t="str">
        <v>Grupo Nueva Vida</v>
      </c>
      <c r="B253">
        <v>1</v>
      </c>
    </row>
    <row r="254" spans="1:2" x14ac:dyDescent="0.3">
      <c r="A254" t="str">
        <v>Grupo Loyola Valladolid</v>
      </c>
      <c r="B254">
        <v>1</v>
      </c>
    </row>
    <row r="255" spans="1:2" x14ac:dyDescent="0.3">
      <c r="A255" t="str">
        <v>Andrew Cauchi</v>
      </c>
      <c r="B255">
        <v>1</v>
      </c>
    </row>
    <row r="256" spans="1:2" x14ac:dyDescent="0.3">
      <c r="A256" t="str">
        <v>Tim Hughes</v>
      </c>
      <c r="B256">
        <v>1</v>
      </c>
    </row>
    <row r="257" spans="1:2" x14ac:dyDescent="0.3">
      <c r="A257" t="str">
        <v>Julien</v>
      </c>
      <c r="B257">
        <v>1</v>
      </c>
    </row>
    <row r="258" spans="1:2" x14ac:dyDescent="0.3">
      <c r="A258" t="str">
        <v>Merla Watson</v>
      </c>
      <c r="B258">
        <v>1</v>
      </c>
    </row>
    <row r="259" spans="1:2" x14ac:dyDescent="0.3">
      <c r="A259" t="str">
        <v>Chantal Guerret</v>
      </c>
      <c r="B259">
        <v>1</v>
      </c>
    </row>
    <row r="260" spans="1:2" x14ac:dyDescent="0.3">
      <c r="A260" t="str">
        <v>Pedro Luis Asturias</v>
      </c>
      <c r="B260">
        <v>1</v>
      </c>
    </row>
    <row r="261" spans="1:2" x14ac:dyDescent="0.3">
      <c r="A261" t="str">
        <v>Juan Salinas</v>
      </c>
      <c r="B261">
        <v>1</v>
      </c>
    </row>
    <row r="262" spans="1:2" x14ac:dyDescent="0.3">
      <c r="A262" t="str">
        <v>Claude Fraysse</v>
      </c>
      <c r="B262">
        <v>1</v>
      </c>
    </row>
    <row r="263" spans="1:2" x14ac:dyDescent="0.3">
      <c r="A263" t="str">
        <v>Linda Duval</v>
      </c>
      <c r="B263">
        <v>1</v>
      </c>
    </row>
    <row r="264" spans="1:2" x14ac:dyDescent="0.3">
      <c r="A264" t="str">
        <v>Sagrario Ruiz</v>
      </c>
      <c r="B264">
        <v>1</v>
      </c>
    </row>
    <row r="265" spans="1:2" x14ac:dyDescent="0.3">
      <c r="A265" t="str">
        <v>Clint Brown</v>
      </c>
      <c r="B265">
        <v>1</v>
      </c>
    </row>
    <row r="266" spans="1:2" x14ac:dyDescent="0.3">
      <c r="A266" t="str">
        <v>Suzanne Toolan</v>
      </c>
      <c r="B26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K32"/>
  <sheetViews>
    <sheetView workbookViewId="0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1" x14ac:dyDescent="0.3">
      <c r="A1" t="s">
        <v>0</v>
      </c>
      <c r="B1" t="s">
        <v>478</v>
      </c>
      <c r="C1" t="s">
        <v>2208</v>
      </c>
      <c r="D1" t="s">
        <v>1980</v>
      </c>
      <c r="E1" t="s">
        <v>2195</v>
      </c>
      <c r="F1" t="s">
        <v>2184</v>
      </c>
      <c r="K1" t="s">
        <v>547</v>
      </c>
    </row>
    <row r="2" spans="1:11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2199</v>
      </c>
      <c r="E2" t="s">
        <v>799</v>
      </c>
      <c r="F2" t="str">
        <f>"&lt;a href=""#"&amp;Autores[[#This Row],[id]]&amp;""" class=""btn-indice""&gt;"&amp;Autores[[#This Row],[Autor]]&amp;"&lt;/a&gt;"</f>
        <v>&lt;a href="#nsb" class="btn-indice"&gt;NSB&lt;/a&gt;</v>
      </c>
      <c r="K2" t="s">
        <v>624</v>
      </c>
    </row>
    <row r="3" spans="1:11" x14ac:dyDescent="0.3">
      <c r="A3">
        <v>2</v>
      </c>
      <c r="B3" t="s">
        <v>2201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2198</v>
      </c>
      <c r="E3" t="s">
        <v>799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K3" t="s">
        <v>578</v>
      </c>
    </row>
    <row r="4" spans="1:11" x14ac:dyDescent="0.3">
      <c r="A4">
        <v>3</v>
      </c>
      <c r="B4" t="s">
        <v>1991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1981</v>
      </c>
      <c r="E4" t="s">
        <v>799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K4" t="s">
        <v>1557</v>
      </c>
    </row>
    <row r="5" spans="1:11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  <c r="F5" t="str">
        <f>"&lt;a href=""#"&amp;Autores[[#This Row],[id]]&amp;""" class=""btn-indice""&gt;"&amp;Autores[[#This Row],[Autor]]&amp;"&lt;/a&gt;"</f>
        <v>&lt;a href="#" class="btn-indice"&gt;Taizé&lt;/a&gt;</v>
      </c>
    </row>
    <row r="6" spans="1:11" x14ac:dyDescent="0.3">
      <c r="A6">
        <v>4</v>
      </c>
      <c r="B6" t="s">
        <v>1555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2196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K6" t="s">
        <v>1558</v>
      </c>
    </row>
    <row r="7" spans="1:11" x14ac:dyDescent="0.3">
      <c r="A7">
        <v>5</v>
      </c>
      <c r="B7" t="s">
        <v>2200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2202</v>
      </c>
      <c r="E7" t="s">
        <v>2196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K7" t="s">
        <v>1559</v>
      </c>
    </row>
    <row r="8" spans="1:11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2196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K8" t="s">
        <v>1560</v>
      </c>
    </row>
    <row r="9" spans="1:11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2196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K9" t="s">
        <v>1573</v>
      </c>
    </row>
    <row r="10" spans="1:11" x14ac:dyDescent="0.3">
      <c r="A10">
        <v>8</v>
      </c>
      <c r="B10" t="s">
        <v>1804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2196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K10" t="s">
        <v>1574</v>
      </c>
    </row>
    <row r="11" spans="1:11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2196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K11" t="s">
        <v>1561</v>
      </c>
    </row>
    <row r="12" spans="1:11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2197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K12" t="s">
        <v>1562</v>
      </c>
    </row>
    <row r="13" spans="1:11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2196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K13" t="s">
        <v>258</v>
      </c>
    </row>
    <row r="14" spans="1:11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2197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K14" t="s">
        <v>493</v>
      </c>
    </row>
    <row r="15" spans="1:11" x14ac:dyDescent="0.3">
      <c r="A15">
        <v>13</v>
      </c>
      <c r="B15" t="s">
        <v>1556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2197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K15" t="s">
        <v>499</v>
      </c>
    </row>
    <row r="16" spans="1:11" x14ac:dyDescent="0.3">
      <c r="A16">
        <v>14</v>
      </c>
      <c r="B16" t="s">
        <v>547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2197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K16" t="s">
        <v>522</v>
      </c>
    </row>
    <row r="17" spans="1:11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2197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K17" t="s">
        <v>1577</v>
      </c>
    </row>
    <row r="18" spans="1:11" x14ac:dyDescent="0.3">
      <c r="A18">
        <v>16</v>
      </c>
      <c r="B18" t="s">
        <v>522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2196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K18" t="s">
        <v>1563</v>
      </c>
    </row>
    <row r="19" spans="1:11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2197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K19" t="s">
        <v>511</v>
      </c>
    </row>
    <row r="20" spans="1:11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2197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K20" t="s">
        <v>499</v>
      </c>
    </row>
    <row r="21" spans="1:11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2197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K21" t="s">
        <v>1960</v>
      </c>
    </row>
    <row r="22" spans="1:11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2197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K22" t="s">
        <v>1575</v>
      </c>
    </row>
    <row r="23" spans="1:11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2196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K23" t="s">
        <v>1576</v>
      </c>
    </row>
    <row r="24" spans="1:11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2197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K24" t="s">
        <v>1564</v>
      </c>
    </row>
    <row r="25" spans="1:11" x14ac:dyDescent="0.3">
      <c r="A25">
        <v>23</v>
      </c>
      <c r="B25" t="s">
        <v>510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2197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K25" t="s">
        <v>1565</v>
      </c>
    </row>
    <row r="26" spans="1:11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2196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K26" t="s">
        <v>1566</v>
      </c>
    </row>
    <row r="27" spans="1:11" x14ac:dyDescent="0.3">
      <c r="K27" t="s">
        <v>1567</v>
      </c>
    </row>
    <row r="28" spans="1:11" x14ac:dyDescent="0.3">
      <c r="K28" t="s">
        <v>1568</v>
      </c>
    </row>
    <row r="29" spans="1:11" x14ac:dyDescent="0.3">
      <c r="K29" t="s">
        <v>1569</v>
      </c>
    </row>
    <row r="30" spans="1:11" x14ac:dyDescent="0.3">
      <c r="K30" t="s">
        <v>1570</v>
      </c>
    </row>
    <row r="31" spans="1:11" x14ac:dyDescent="0.3">
      <c r="K31" t="s">
        <v>1571</v>
      </c>
    </row>
    <row r="32" spans="1:11" x14ac:dyDescent="0.3">
      <c r="K32" t="s">
        <v>1572</v>
      </c>
    </row>
  </sheetData>
  <conditionalFormatting sqref="B1:B1048576">
    <cfRule type="duplicateValues" dxfId="26" priority="92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64DE3-7466-4E35-89DD-347F31FAB864}">
  <dimension ref="A1:Y125"/>
  <sheetViews>
    <sheetView workbookViewId="0">
      <selection activeCell="A3" sqref="A3"/>
    </sheetView>
  </sheetViews>
  <sheetFormatPr baseColWidth="10" defaultRowHeight="14.4" x14ac:dyDescent="0.3"/>
  <sheetData>
    <row r="1" spans="1:25" x14ac:dyDescent="0.3">
      <c r="A1" s="19"/>
      <c r="B1" s="20">
        <v>19</v>
      </c>
      <c r="C1" s="19">
        <v>19</v>
      </c>
      <c r="D1" s="19" t="s">
        <v>2184</v>
      </c>
    </row>
    <row r="2" spans="1:25" x14ac:dyDescent="0.3">
      <c r="A2" s="23" t="s">
        <v>3111</v>
      </c>
      <c r="B2" s="20">
        <v>1</v>
      </c>
      <c r="C2" s="19">
        <v>2</v>
      </c>
      <c r="D2" s="19" t="s">
        <v>3110</v>
      </c>
    </row>
    <row r="3" spans="1:25" s="19" customFormat="1" x14ac:dyDescent="0.3">
      <c r="A3" s="19" t="e" cm="1">
        <f t="array" ref="A3:N3">_xlfn.XLOOKUP(A5:N5,_xlfn.ANCHORARRAY(carpetas!A4),carpetas!A3:Z3)</f>
        <v>#VALUE!</v>
      </c>
      <c r="B3" s="19" t="e">
        <v>#VALUE!</v>
      </c>
      <c r="C3" s="19" t="e">
        <v>#VALUE!</v>
      </c>
      <c r="D3" s="19" t="e">
        <v>#VALUE!</v>
      </c>
      <c r="E3" s="19" t="e">
        <v>#VALUE!</v>
      </c>
      <c r="F3" s="19" t="e">
        <v>#VALUE!</v>
      </c>
      <c r="G3" s="19" t="e">
        <v>#VALUE!</v>
      </c>
      <c r="H3" s="19" t="e">
        <v>#VALUE!</v>
      </c>
      <c r="I3" s="19" t="e">
        <v>#VALUE!</v>
      </c>
      <c r="J3" s="19" t="e">
        <v>#VALUE!</v>
      </c>
      <c r="K3" s="19" t="e">
        <v>#VALUE!</v>
      </c>
      <c r="L3" s="19" t="e">
        <v>#VALUE!</v>
      </c>
      <c r="M3" s="19" t="e">
        <v>#VALUE!</v>
      </c>
      <c r="N3" s="19" t="e">
        <v>#VALUE!</v>
      </c>
    </row>
    <row r="4" spans="1:25" s="19" customFormat="1" x14ac:dyDescent="0.3">
      <c r="A4" s="19">
        <f>COUNTA(_xlfn.ANCHORARRAY(A8))</f>
        <v>1</v>
      </c>
      <c r="B4" s="19">
        <f>COUNTA(_xlfn.ANCHORARRAY(B8))</f>
        <v>96</v>
      </c>
      <c r="C4" s="19">
        <f t="shared" ref="C4:M4" si="0">COUNTA(_xlfn.ANCHORARRAY(C8))</f>
        <v>1</v>
      </c>
      <c r="D4" s="19">
        <f t="shared" si="0"/>
        <v>1</v>
      </c>
      <c r="E4" s="19">
        <f t="shared" si="0"/>
        <v>17</v>
      </c>
      <c r="F4" s="19">
        <f t="shared" si="0"/>
        <v>1</v>
      </c>
      <c r="G4" s="19">
        <f t="shared" si="0"/>
        <v>1</v>
      </c>
      <c r="H4" s="19">
        <f t="shared" si="0"/>
        <v>51</v>
      </c>
      <c r="I4" s="19">
        <f t="shared" si="0"/>
        <v>70</v>
      </c>
      <c r="J4" s="19">
        <f t="shared" si="0"/>
        <v>2</v>
      </c>
      <c r="K4" s="19">
        <f t="shared" si="0"/>
        <v>1</v>
      </c>
      <c r="L4" s="19">
        <f t="shared" si="0"/>
        <v>118</v>
      </c>
      <c r="M4" s="19">
        <f t="shared" si="0"/>
        <v>1</v>
      </c>
    </row>
    <row r="5" spans="1:25" s="19" customFormat="1" x14ac:dyDescent="0.3">
      <c r="A5" s="19" t="str" cm="1">
        <f t="array" ref="A5:Y5">TRANSPOSE(_xlfn._xlws.SORT(_xlfn.ANCHORARRAY(AnálisisAutores!H1)))</f>
        <v>-</v>
      </c>
      <c r="B5" s="19" t="str">
        <v>ain_karem</v>
      </c>
      <c r="C5" s="19" t="str">
        <v>alejandro_ruiz</v>
      </c>
      <c r="D5" s="19" t="str">
        <v>al-haraca</v>
      </c>
      <c r="E5" s="19" t="str">
        <v>brotes_de_olivo</v>
      </c>
      <c r="F5" s="19" t="str">
        <v>carmelo_erdozain</v>
      </c>
      <c r="G5" s="19" t="str">
        <v>cesareo_gabarain</v>
      </c>
      <c r="H5" s="19" t="str">
        <v>francisco_palazon</v>
      </c>
      <c r="I5" s="19" t="str">
        <v>hakuna</v>
      </c>
      <c r="J5" s="19" t="str">
        <v>hermana_glenda</v>
      </c>
      <c r="K5" s="19" t="str">
        <v>josep_asuncion</v>
      </c>
      <c r="L5" s="19" t="str">
        <v>kairoi</v>
      </c>
      <c r="M5" s="19" t="str">
        <v>lazaro_iparraguirre</v>
      </c>
      <c r="N5" s="19" t="str">
        <v>luis_alfredo_diaz</v>
      </c>
      <c r="O5" s="19" t="str">
        <v>marcos_witt</v>
      </c>
      <c r="P5" s="19" t="str">
        <v>marta_gil-delgado</v>
      </c>
      <c r="Q5" s="19" t="str">
        <v>nsb</v>
      </c>
      <c r="R5" s="19" t="str">
        <v>nuevas</v>
      </c>
      <c r="S5" s="19" t="str">
        <v>pelayo_sanchez</v>
      </c>
      <c r="T5" s="19" t="str">
        <v>rosa_cruz</v>
      </c>
      <c r="U5" s="19" t="str">
        <v>ruah</v>
      </c>
      <c r="V5" s="19" t="str">
        <v>taize_en_español</v>
      </c>
      <c r="W5" s="19" t="str">
        <v>taize_original</v>
      </c>
      <c r="X5" s="19" t="str">
        <v>toño_casado</v>
      </c>
      <c r="Y5" s="19" t="str">
        <v>villancicos</v>
      </c>
    </row>
    <row r="6" spans="1:25" s="19" customFormat="1" x14ac:dyDescent="0.3">
      <c r="A6" s="19" t="e" cm="1" vm="1">
        <f t="array" aca="1" ref="A6" ca="1">_xlfn.XLOOKUP(_xlfn.ANCHORARRAY(A5),Autores[Secciones],Autores[Autor])</f>
        <v>#VALUE!</v>
      </c>
      <c r="P6" s="19" t="s">
        <v>3307</v>
      </c>
    </row>
    <row r="7" spans="1:25" s="22" customFormat="1" x14ac:dyDescent="0.3">
      <c r="A7" s="22" t="e" cm="1" vm="2">
        <f t="array" aca="1" ref="A7" ca="1">"&lt;/ul&gt;
&lt;h2 id='"&amp;_xlfn.XLOOKUP(_xlfn.ANCHORARRAY(A6),Autores[Autor],Autores[id])&amp;"'&gt;"&amp;_xlfn.ANCHORARRAY(A6)&amp;"&lt;/h2&gt;
&lt;ul class='lista'&gt;"</f>
        <v>#VALUE!</v>
      </c>
      <c r="B7" s="21"/>
    </row>
    <row r="8" spans="1:25" x14ac:dyDescent="0.3">
      <c r="A8" t="e" cm="1" vm="3">
        <f t="array" ref="A8">_xlfn._xlws.SORT(_xlfn.CHOOSECOLS(_xlfn._xlws.FILTER(CantoralDB[],IF($B$2=1,CantoralDB[[html]:[html]]="OK",1)*(CantoralDB[[Sección]:[Sección]]=A$5)),$B$1))</f>
        <v>#VALUE!</v>
      </c>
      <c r="B8" cm="1">
        <f t="array" ref="B8:B103">_xlfn._xlws.SORT(_xlfn.CHOOSECOLS(_xlfn._xlws.FILTER(CantoralDB[],IF($B$2=1,CantoralDB[[html]:[html]]="OK",1)*(CantoralDB[[Sección]:[Sección]]=B$5)),$B$1))</f>
        <v>0</v>
      </c>
      <c r="C8" t="e" cm="1" vm="3">
        <f t="array" ref="C8">_xlfn._xlws.SORT(_xlfn.CHOOSECOLS(_xlfn._xlws.FILTER(CantoralDB[],IF($B$2=1,CantoralDB[[html]:[html]]="OK",1)*(CantoralDB[[Sección]:[Sección]]=C$5)),$B$1))</f>
        <v>#VALUE!</v>
      </c>
      <c r="D8" t="e" cm="1" vm="3">
        <f t="array" ref="D8">_xlfn._xlws.SORT(_xlfn.CHOOSECOLS(_xlfn._xlws.FILTER(CantoralDB[],IF($B$2=1,CantoralDB[[html]:[html]]="OK",1)*(CantoralDB[[Sección]:[Sección]]=D$5)),$B$1))</f>
        <v>#VALUE!</v>
      </c>
      <c r="E8" cm="1">
        <f t="array" ref="E8:E24">_xlfn._xlws.SORT(_xlfn.CHOOSECOLS(_xlfn._xlws.FILTER(CantoralDB[],IF($B$2=1,CantoralDB[[html]:[html]]="OK",1)*(CantoralDB[[Sección]:[Sección]]=E$5)),$B$1))</f>
        <v>0</v>
      </c>
      <c r="F8" cm="1">
        <f t="array" ref="F8">_xlfn._xlws.SORT(_xlfn.CHOOSECOLS(_xlfn._xlws.FILTER(CantoralDB[],IF($B$2=1,CantoralDB[[html]:[html]]="OK",1)*(CantoralDB[[Sección]:[Sección]]=F$5)),$B$1))</f>
        <v>0</v>
      </c>
      <c r="G8" t="e" cm="1" vm="3">
        <f t="array" ref="G8">_xlfn._xlws.SORT(_xlfn.CHOOSECOLS(_xlfn._xlws.FILTER(CantoralDB[],IF($B$2=1,CantoralDB[[html]:[html]]="OK",1)*(CantoralDB[[Sección]:[Sección]]=G$5)),$B$1))</f>
        <v>#VALUE!</v>
      </c>
      <c r="H8" cm="1">
        <f t="array" ref="H8:H58">_xlfn._xlws.SORT(_xlfn.CHOOSECOLS(_xlfn._xlws.FILTER(CantoralDB[],IF($B$2=1,CantoralDB[[html]:[html]]="OK",1)*(CantoralDB[[Sección]:[Sección]]=H$5)),$B$1))</f>
        <v>0</v>
      </c>
      <c r="I8" cm="1">
        <f t="array" ref="I8:I77">_xlfn._xlws.SORT(_xlfn.CHOOSECOLS(_xlfn._xlws.FILTER(CantoralDB[],IF($B$2=1,CantoralDB[[html]:[html]]="OK",1)*(CantoralDB[[Sección]:[Sección]]=I$5)),$B$1))</f>
        <v>0</v>
      </c>
      <c r="J8" cm="1">
        <f t="array" ref="J8:J9">_xlfn._xlws.SORT(_xlfn.CHOOSECOLS(_xlfn._xlws.FILTER(CantoralDB[],IF($B$2=1,CantoralDB[[html]:[html]]="OK",1)*(CantoralDB[[Sección]:[Sección]]=J$5)),$B$1))</f>
        <v>0</v>
      </c>
      <c r="K8" t="e" cm="1" vm="3">
        <f t="array" ref="K8">_xlfn._xlws.SORT(_xlfn.CHOOSECOLS(_xlfn._xlws.FILTER(CantoralDB[],IF($B$2=1,CantoralDB[[html]:[html]]="OK",1)*(CantoralDB[[Sección]:[Sección]]=K$5)),$B$1))</f>
        <v>#VALUE!</v>
      </c>
      <c r="L8" cm="1">
        <f t="array" ref="L8:L125">_xlfn._xlws.SORT(_xlfn.CHOOSECOLS(_xlfn._xlws.FILTER(CantoralDB[],IF($B$2=1,CantoralDB[[html]:[html]]="OK",1)*(CantoralDB[[Sección]:[Sección]]=L$5)),$B$1))</f>
        <v>0</v>
      </c>
      <c r="M8" cm="1">
        <f t="array" ref="M8">_xlfn._xlws.SORT(_xlfn.CHOOSECOLS(_xlfn._xlws.FILTER(CantoralDB[],IF($B$2=1,CantoralDB[[html]:[html]]="OK",1)*(CantoralDB[[Sección]:[Sección]]=M$5)),$B$1))</f>
        <v>0</v>
      </c>
    </row>
    <row r="9" spans="1:25" x14ac:dyDescent="0.3">
      <c r="B9">
        <v>0</v>
      </c>
      <c r="E9">
        <v>0</v>
      </c>
      <c r="H9">
        <v>0</v>
      </c>
      <c r="I9">
        <v>0</v>
      </c>
      <c r="J9">
        <v>0</v>
      </c>
      <c r="L9">
        <v>0</v>
      </c>
    </row>
    <row r="10" spans="1:25" x14ac:dyDescent="0.3">
      <c r="B10">
        <v>0</v>
      </c>
      <c r="E10">
        <v>0</v>
      </c>
      <c r="H10">
        <v>0</v>
      </c>
      <c r="I10">
        <v>0</v>
      </c>
      <c r="L10">
        <v>0</v>
      </c>
    </row>
    <row r="11" spans="1:25" x14ac:dyDescent="0.3">
      <c r="B11">
        <v>0</v>
      </c>
      <c r="E11">
        <v>0</v>
      </c>
      <c r="H11">
        <v>0</v>
      </c>
      <c r="I11">
        <v>0</v>
      </c>
      <c r="L11">
        <v>0</v>
      </c>
    </row>
    <row r="12" spans="1:25" x14ac:dyDescent="0.3">
      <c r="B12">
        <v>0</v>
      </c>
      <c r="E12">
        <v>0</v>
      </c>
      <c r="H12">
        <v>0</v>
      </c>
      <c r="I12">
        <v>0</v>
      </c>
      <c r="L12">
        <v>0</v>
      </c>
    </row>
    <row r="13" spans="1:25" x14ac:dyDescent="0.3">
      <c r="B13">
        <v>0</v>
      </c>
      <c r="E13">
        <v>0</v>
      </c>
      <c r="H13">
        <v>0</v>
      </c>
      <c r="I13">
        <v>0</v>
      </c>
      <c r="L13">
        <v>0</v>
      </c>
    </row>
    <row r="14" spans="1:25" x14ac:dyDescent="0.3">
      <c r="B14">
        <v>0</v>
      </c>
      <c r="E14">
        <v>0</v>
      </c>
      <c r="H14">
        <v>0</v>
      </c>
      <c r="I14">
        <v>0</v>
      </c>
      <c r="L14">
        <v>0</v>
      </c>
    </row>
    <row r="15" spans="1:25" x14ac:dyDescent="0.3">
      <c r="B15">
        <v>0</v>
      </c>
      <c r="E15">
        <v>0</v>
      </c>
      <c r="H15">
        <v>0</v>
      </c>
      <c r="I15">
        <v>0</v>
      </c>
      <c r="L15">
        <v>0</v>
      </c>
    </row>
    <row r="16" spans="1:25" x14ac:dyDescent="0.3">
      <c r="B16">
        <v>0</v>
      </c>
      <c r="E16">
        <v>0</v>
      </c>
      <c r="H16">
        <v>0</v>
      </c>
      <c r="I16">
        <v>0</v>
      </c>
      <c r="L16">
        <v>0</v>
      </c>
    </row>
    <row r="17" spans="2:12" x14ac:dyDescent="0.3">
      <c r="B17">
        <v>0</v>
      </c>
      <c r="E17">
        <v>0</v>
      </c>
      <c r="H17">
        <v>0</v>
      </c>
      <c r="I17">
        <v>0</v>
      </c>
      <c r="L17">
        <v>0</v>
      </c>
    </row>
    <row r="18" spans="2:12" x14ac:dyDescent="0.3">
      <c r="B18">
        <v>0</v>
      </c>
      <c r="E18">
        <v>0</v>
      </c>
      <c r="H18">
        <v>0</v>
      </c>
      <c r="I18">
        <v>0</v>
      </c>
      <c r="L18">
        <v>0</v>
      </c>
    </row>
    <row r="19" spans="2:12" x14ac:dyDescent="0.3">
      <c r="B19">
        <v>0</v>
      </c>
      <c r="E19">
        <v>0</v>
      </c>
      <c r="H19">
        <v>0</v>
      </c>
      <c r="I19">
        <v>0</v>
      </c>
      <c r="L19">
        <v>0</v>
      </c>
    </row>
    <row r="20" spans="2:12" x14ac:dyDescent="0.3">
      <c r="B20">
        <v>0</v>
      </c>
      <c r="E20">
        <v>0</v>
      </c>
      <c r="H20">
        <v>0</v>
      </c>
      <c r="I20">
        <v>0</v>
      </c>
      <c r="L20">
        <v>0</v>
      </c>
    </row>
    <row r="21" spans="2:12" x14ac:dyDescent="0.3">
      <c r="B21">
        <v>0</v>
      </c>
      <c r="E21">
        <v>0</v>
      </c>
      <c r="H21">
        <v>0</v>
      </c>
      <c r="I21">
        <v>0</v>
      </c>
      <c r="L21">
        <v>0</v>
      </c>
    </row>
    <row r="22" spans="2:12" x14ac:dyDescent="0.3">
      <c r="B22">
        <v>0</v>
      </c>
      <c r="E22">
        <v>0</v>
      </c>
      <c r="H22">
        <v>0</v>
      </c>
      <c r="I22">
        <v>0</v>
      </c>
      <c r="L22">
        <v>0</v>
      </c>
    </row>
    <row r="23" spans="2:12" x14ac:dyDescent="0.3">
      <c r="B23">
        <v>0</v>
      </c>
      <c r="E23">
        <v>0</v>
      </c>
      <c r="H23">
        <v>0</v>
      </c>
      <c r="I23">
        <v>0</v>
      </c>
      <c r="L23">
        <v>0</v>
      </c>
    </row>
    <row r="24" spans="2:12" x14ac:dyDescent="0.3">
      <c r="B24">
        <v>0</v>
      </c>
      <c r="E24">
        <v>0</v>
      </c>
      <c r="H24">
        <v>0</v>
      </c>
      <c r="I24">
        <v>0</v>
      </c>
      <c r="L24">
        <v>0</v>
      </c>
    </row>
    <row r="25" spans="2:12" x14ac:dyDescent="0.3">
      <c r="B25">
        <v>0</v>
      </c>
      <c r="H25">
        <v>0</v>
      </c>
      <c r="I25">
        <v>0</v>
      </c>
      <c r="L25">
        <v>0</v>
      </c>
    </row>
    <row r="26" spans="2:12" x14ac:dyDescent="0.3">
      <c r="B26">
        <v>0</v>
      </c>
      <c r="H26">
        <v>0</v>
      </c>
      <c r="I26">
        <v>0</v>
      </c>
      <c r="L26">
        <v>0</v>
      </c>
    </row>
    <row r="27" spans="2:12" x14ac:dyDescent="0.3">
      <c r="B27">
        <v>0</v>
      </c>
      <c r="H27">
        <v>0</v>
      </c>
      <c r="I27">
        <v>0</v>
      </c>
      <c r="L27">
        <v>0</v>
      </c>
    </row>
    <row r="28" spans="2:12" x14ac:dyDescent="0.3">
      <c r="B28">
        <v>0</v>
      </c>
      <c r="H28">
        <v>0</v>
      </c>
      <c r="I28">
        <v>0</v>
      </c>
      <c r="L28">
        <v>0</v>
      </c>
    </row>
    <row r="29" spans="2:12" x14ac:dyDescent="0.3">
      <c r="B29">
        <v>0</v>
      </c>
      <c r="H29">
        <v>0</v>
      </c>
      <c r="I29">
        <v>0</v>
      </c>
      <c r="L29">
        <v>0</v>
      </c>
    </row>
    <row r="30" spans="2:12" x14ac:dyDescent="0.3">
      <c r="B30">
        <v>0</v>
      </c>
      <c r="H30">
        <v>0</v>
      </c>
      <c r="I30">
        <v>0</v>
      </c>
      <c r="L30">
        <v>0</v>
      </c>
    </row>
    <row r="31" spans="2:12" x14ac:dyDescent="0.3">
      <c r="B31">
        <v>0</v>
      </c>
      <c r="H31">
        <v>0</v>
      </c>
      <c r="I31">
        <v>0</v>
      </c>
      <c r="L31">
        <v>0</v>
      </c>
    </row>
    <row r="32" spans="2:12" x14ac:dyDescent="0.3">
      <c r="B32">
        <v>0</v>
      </c>
      <c r="H32">
        <v>0</v>
      </c>
      <c r="I32">
        <v>0</v>
      </c>
      <c r="L32">
        <v>0</v>
      </c>
    </row>
    <row r="33" spans="2:12" x14ac:dyDescent="0.3">
      <c r="B33">
        <v>0</v>
      </c>
      <c r="H33">
        <v>0</v>
      </c>
      <c r="I33">
        <v>0</v>
      </c>
      <c r="L33">
        <v>0</v>
      </c>
    </row>
    <row r="34" spans="2:12" x14ac:dyDescent="0.3">
      <c r="B34">
        <v>0</v>
      </c>
      <c r="H34">
        <v>0</v>
      </c>
      <c r="I34">
        <v>0</v>
      </c>
      <c r="L34">
        <v>0</v>
      </c>
    </row>
    <row r="35" spans="2:12" x14ac:dyDescent="0.3">
      <c r="B35">
        <v>0</v>
      </c>
      <c r="H35">
        <v>0</v>
      </c>
      <c r="I35">
        <v>0</v>
      </c>
      <c r="L35">
        <v>0</v>
      </c>
    </row>
    <row r="36" spans="2:12" x14ac:dyDescent="0.3">
      <c r="B36">
        <v>0</v>
      </c>
      <c r="H36">
        <v>0</v>
      </c>
      <c r="I36">
        <v>0</v>
      </c>
      <c r="L36">
        <v>0</v>
      </c>
    </row>
    <row r="37" spans="2:12" x14ac:dyDescent="0.3">
      <c r="B37">
        <v>0</v>
      </c>
      <c r="H37">
        <v>0</v>
      </c>
      <c r="I37">
        <v>0</v>
      </c>
      <c r="L37">
        <v>0</v>
      </c>
    </row>
    <row r="38" spans="2:12" x14ac:dyDescent="0.3">
      <c r="B38">
        <v>0</v>
      </c>
      <c r="H38">
        <v>0</v>
      </c>
      <c r="I38">
        <v>0</v>
      </c>
      <c r="L38">
        <v>0</v>
      </c>
    </row>
    <row r="39" spans="2:12" x14ac:dyDescent="0.3">
      <c r="B39">
        <v>0</v>
      </c>
      <c r="H39">
        <v>0</v>
      </c>
      <c r="I39">
        <v>0</v>
      </c>
      <c r="L39">
        <v>0</v>
      </c>
    </row>
    <row r="40" spans="2:12" x14ac:dyDescent="0.3">
      <c r="B40">
        <v>0</v>
      </c>
      <c r="H40">
        <v>0</v>
      </c>
      <c r="I40">
        <v>0</v>
      </c>
      <c r="L40">
        <v>0</v>
      </c>
    </row>
    <row r="41" spans="2:12" x14ac:dyDescent="0.3">
      <c r="B41">
        <v>0</v>
      </c>
      <c r="H41">
        <v>0</v>
      </c>
      <c r="I41">
        <v>0</v>
      </c>
      <c r="L41">
        <v>0</v>
      </c>
    </row>
    <row r="42" spans="2:12" x14ac:dyDescent="0.3">
      <c r="B42">
        <v>0</v>
      </c>
      <c r="H42">
        <v>0</v>
      </c>
      <c r="I42">
        <v>0</v>
      </c>
      <c r="L42">
        <v>0</v>
      </c>
    </row>
    <row r="43" spans="2:12" x14ac:dyDescent="0.3">
      <c r="B43">
        <v>0</v>
      </c>
      <c r="H43">
        <v>0</v>
      </c>
      <c r="I43">
        <v>0</v>
      </c>
      <c r="L43">
        <v>0</v>
      </c>
    </row>
    <row r="44" spans="2:12" x14ac:dyDescent="0.3">
      <c r="B44">
        <v>0</v>
      </c>
      <c r="H44">
        <v>0</v>
      </c>
      <c r="I44">
        <v>0</v>
      </c>
      <c r="L44">
        <v>0</v>
      </c>
    </row>
    <row r="45" spans="2:12" x14ac:dyDescent="0.3">
      <c r="B45">
        <v>0</v>
      </c>
      <c r="H45">
        <v>0</v>
      </c>
      <c r="I45">
        <v>0</v>
      </c>
      <c r="L45">
        <v>0</v>
      </c>
    </row>
    <row r="46" spans="2:12" x14ac:dyDescent="0.3">
      <c r="B46">
        <v>0</v>
      </c>
      <c r="H46">
        <v>0</v>
      </c>
      <c r="I46">
        <v>0</v>
      </c>
      <c r="L46">
        <v>0</v>
      </c>
    </row>
    <row r="47" spans="2:12" x14ac:dyDescent="0.3">
      <c r="B47">
        <v>0</v>
      </c>
      <c r="H47">
        <v>0</v>
      </c>
      <c r="I47">
        <v>0</v>
      </c>
      <c r="L47">
        <v>0</v>
      </c>
    </row>
    <row r="48" spans="2:12" x14ac:dyDescent="0.3">
      <c r="B48">
        <v>0</v>
      </c>
      <c r="H48">
        <v>0</v>
      </c>
      <c r="I48">
        <v>0</v>
      </c>
      <c r="L48">
        <v>0</v>
      </c>
    </row>
    <row r="49" spans="2:12" x14ac:dyDescent="0.3">
      <c r="B49">
        <v>0</v>
      </c>
      <c r="H49">
        <v>0</v>
      </c>
      <c r="I49">
        <v>0</v>
      </c>
      <c r="L49">
        <v>0</v>
      </c>
    </row>
    <row r="50" spans="2:12" x14ac:dyDescent="0.3">
      <c r="B50">
        <v>0</v>
      </c>
      <c r="H50">
        <v>0</v>
      </c>
      <c r="I50">
        <v>0</v>
      </c>
      <c r="L50">
        <v>0</v>
      </c>
    </row>
    <row r="51" spans="2:12" x14ac:dyDescent="0.3">
      <c r="B51">
        <v>0</v>
      </c>
      <c r="H51">
        <v>0</v>
      </c>
      <c r="I51">
        <v>0</v>
      </c>
      <c r="L51">
        <v>0</v>
      </c>
    </row>
    <row r="52" spans="2:12" x14ac:dyDescent="0.3">
      <c r="B52">
        <v>0</v>
      </c>
      <c r="H52">
        <v>0</v>
      </c>
      <c r="I52">
        <v>0</v>
      </c>
      <c r="L52">
        <v>0</v>
      </c>
    </row>
    <row r="53" spans="2:12" x14ac:dyDescent="0.3">
      <c r="B53">
        <v>0</v>
      </c>
      <c r="H53">
        <v>0</v>
      </c>
      <c r="I53">
        <v>0</v>
      </c>
      <c r="L53">
        <v>0</v>
      </c>
    </row>
    <row r="54" spans="2:12" x14ac:dyDescent="0.3">
      <c r="B54">
        <v>0</v>
      </c>
      <c r="H54">
        <v>0</v>
      </c>
      <c r="I54">
        <v>0</v>
      </c>
      <c r="L54">
        <v>0</v>
      </c>
    </row>
    <row r="55" spans="2:12" x14ac:dyDescent="0.3">
      <c r="B55">
        <v>0</v>
      </c>
      <c r="H55">
        <v>0</v>
      </c>
      <c r="I55">
        <v>0</v>
      </c>
      <c r="L55">
        <v>0</v>
      </c>
    </row>
    <row r="56" spans="2:12" x14ac:dyDescent="0.3">
      <c r="B56">
        <v>0</v>
      </c>
      <c r="H56">
        <v>0</v>
      </c>
      <c r="I56">
        <v>0</v>
      </c>
      <c r="L56">
        <v>0</v>
      </c>
    </row>
    <row r="57" spans="2:12" x14ac:dyDescent="0.3">
      <c r="B57">
        <v>0</v>
      </c>
      <c r="H57">
        <v>0</v>
      </c>
      <c r="I57">
        <v>0</v>
      </c>
      <c r="L57">
        <v>0</v>
      </c>
    </row>
    <row r="58" spans="2:12" x14ac:dyDescent="0.3">
      <c r="B58">
        <v>0</v>
      </c>
      <c r="H58">
        <v>0</v>
      </c>
      <c r="I58">
        <v>0</v>
      </c>
      <c r="L58">
        <v>0</v>
      </c>
    </row>
    <row r="59" spans="2:12" x14ac:dyDescent="0.3">
      <c r="B59">
        <v>0</v>
      </c>
      <c r="I59">
        <v>0</v>
      </c>
      <c r="L59">
        <v>0</v>
      </c>
    </row>
    <row r="60" spans="2:12" x14ac:dyDescent="0.3">
      <c r="B60">
        <v>0</v>
      </c>
      <c r="I60">
        <v>0</v>
      </c>
      <c r="L60">
        <v>0</v>
      </c>
    </row>
    <row r="61" spans="2:12" x14ac:dyDescent="0.3">
      <c r="B61">
        <v>0</v>
      </c>
      <c r="I61">
        <v>0</v>
      </c>
      <c r="L61">
        <v>0</v>
      </c>
    </row>
    <row r="62" spans="2:12" x14ac:dyDescent="0.3">
      <c r="B62">
        <v>0</v>
      </c>
      <c r="I62">
        <v>0</v>
      </c>
      <c r="L62">
        <v>0</v>
      </c>
    </row>
    <row r="63" spans="2:12" x14ac:dyDescent="0.3">
      <c r="B63">
        <v>0</v>
      </c>
      <c r="I63">
        <v>0</v>
      </c>
      <c r="L63">
        <v>0</v>
      </c>
    </row>
    <row r="64" spans="2:12" x14ac:dyDescent="0.3">
      <c r="B64">
        <v>0</v>
      </c>
      <c r="I64">
        <v>0</v>
      </c>
      <c r="L64">
        <v>0</v>
      </c>
    </row>
    <row r="65" spans="2:12" x14ac:dyDescent="0.3">
      <c r="B65">
        <v>0</v>
      </c>
      <c r="I65">
        <v>0</v>
      </c>
      <c r="L65">
        <v>0</v>
      </c>
    </row>
    <row r="66" spans="2:12" x14ac:dyDescent="0.3">
      <c r="B66">
        <v>0</v>
      </c>
      <c r="I66">
        <v>0</v>
      </c>
      <c r="L66">
        <v>0</v>
      </c>
    </row>
    <row r="67" spans="2:12" x14ac:dyDescent="0.3">
      <c r="B67">
        <v>0</v>
      </c>
      <c r="I67">
        <v>0</v>
      </c>
      <c r="L67">
        <v>0</v>
      </c>
    </row>
    <row r="68" spans="2:12" x14ac:dyDescent="0.3">
      <c r="B68">
        <v>0</v>
      </c>
      <c r="I68">
        <v>0</v>
      </c>
      <c r="L68">
        <v>0</v>
      </c>
    </row>
    <row r="69" spans="2:12" x14ac:dyDescent="0.3">
      <c r="B69">
        <v>0</v>
      </c>
      <c r="I69">
        <v>0</v>
      </c>
      <c r="L69">
        <v>0</v>
      </c>
    </row>
    <row r="70" spans="2:12" x14ac:dyDescent="0.3">
      <c r="B70">
        <v>0</v>
      </c>
      <c r="I70">
        <v>0</v>
      </c>
      <c r="L70">
        <v>0</v>
      </c>
    </row>
    <row r="71" spans="2:12" x14ac:dyDescent="0.3">
      <c r="B71">
        <v>0</v>
      </c>
      <c r="I71">
        <v>0</v>
      </c>
      <c r="L71">
        <v>0</v>
      </c>
    </row>
    <row r="72" spans="2:12" x14ac:dyDescent="0.3">
      <c r="B72">
        <v>0</v>
      </c>
      <c r="I72">
        <v>0</v>
      </c>
      <c r="L72">
        <v>0</v>
      </c>
    </row>
    <row r="73" spans="2:12" x14ac:dyDescent="0.3">
      <c r="B73">
        <v>0</v>
      </c>
      <c r="I73">
        <v>0</v>
      </c>
      <c r="L73">
        <v>0</v>
      </c>
    </row>
    <row r="74" spans="2:12" x14ac:dyDescent="0.3">
      <c r="B74">
        <v>0</v>
      </c>
      <c r="I74">
        <v>0</v>
      </c>
      <c r="L74">
        <v>0</v>
      </c>
    </row>
    <row r="75" spans="2:12" x14ac:dyDescent="0.3">
      <c r="B75">
        <v>0</v>
      </c>
      <c r="I75">
        <v>0</v>
      </c>
      <c r="L75">
        <v>0</v>
      </c>
    </row>
    <row r="76" spans="2:12" x14ac:dyDescent="0.3">
      <c r="B76">
        <v>0</v>
      </c>
      <c r="I76">
        <v>0</v>
      </c>
      <c r="L76">
        <v>0</v>
      </c>
    </row>
    <row r="77" spans="2:12" x14ac:dyDescent="0.3">
      <c r="B77">
        <v>0</v>
      </c>
      <c r="I77">
        <v>0</v>
      </c>
      <c r="L77">
        <v>0</v>
      </c>
    </row>
    <row r="78" spans="2:12" x14ac:dyDescent="0.3">
      <c r="B78">
        <v>0</v>
      </c>
      <c r="L78">
        <v>0</v>
      </c>
    </row>
    <row r="79" spans="2:12" x14ac:dyDescent="0.3">
      <c r="B79">
        <v>0</v>
      </c>
      <c r="L79">
        <v>0</v>
      </c>
    </row>
    <row r="80" spans="2:12" x14ac:dyDescent="0.3">
      <c r="B80">
        <v>0</v>
      </c>
      <c r="L80">
        <v>0</v>
      </c>
    </row>
    <row r="81" spans="2:12" x14ac:dyDescent="0.3">
      <c r="B81">
        <v>0</v>
      </c>
      <c r="L81">
        <v>0</v>
      </c>
    </row>
    <row r="82" spans="2:12" x14ac:dyDescent="0.3">
      <c r="B82">
        <v>0</v>
      </c>
      <c r="L82">
        <v>0</v>
      </c>
    </row>
    <row r="83" spans="2:12" x14ac:dyDescent="0.3">
      <c r="B83">
        <v>0</v>
      </c>
      <c r="L83">
        <v>0</v>
      </c>
    </row>
    <row r="84" spans="2:12" x14ac:dyDescent="0.3">
      <c r="B84">
        <v>0</v>
      </c>
      <c r="L84">
        <v>0</v>
      </c>
    </row>
    <row r="85" spans="2:12" x14ac:dyDescent="0.3">
      <c r="B85">
        <v>0</v>
      </c>
      <c r="L85">
        <v>0</v>
      </c>
    </row>
    <row r="86" spans="2:12" x14ac:dyDescent="0.3">
      <c r="B86">
        <v>0</v>
      </c>
      <c r="L86">
        <v>0</v>
      </c>
    </row>
    <row r="87" spans="2:12" x14ac:dyDescent="0.3">
      <c r="B87">
        <v>0</v>
      </c>
      <c r="L87">
        <v>0</v>
      </c>
    </row>
    <row r="88" spans="2:12" x14ac:dyDescent="0.3">
      <c r="B88">
        <v>0</v>
      </c>
      <c r="L88">
        <v>0</v>
      </c>
    </row>
    <row r="89" spans="2:12" x14ac:dyDescent="0.3">
      <c r="B89">
        <v>0</v>
      </c>
      <c r="L89">
        <v>0</v>
      </c>
    </row>
    <row r="90" spans="2:12" x14ac:dyDescent="0.3">
      <c r="B90">
        <v>0</v>
      </c>
      <c r="L90">
        <v>0</v>
      </c>
    </row>
    <row r="91" spans="2:12" x14ac:dyDescent="0.3">
      <c r="B91">
        <v>0</v>
      </c>
      <c r="L91">
        <v>0</v>
      </c>
    </row>
    <row r="92" spans="2:12" x14ac:dyDescent="0.3">
      <c r="B92">
        <v>0</v>
      </c>
      <c r="L92">
        <v>0</v>
      </c>
    </row>
    <row r="93" spans="2:12" x14ac:dyDescent="0.3">
      <c r="B93">
        <v>0</v>
      </c>
      <c r="L93">
        <v>0</v>
      </c>
    </row>
    <row r="94" spans="2:12" x14ac:dyDescent="0.3">
      <c r="B94">
        <v>0</v>
      </c>
      <c r="L94">
        <v>0</v>
      </c>
    </row>
    <row r="95" spans="2:12" x14ac:dyDescent="0.3">
      <c r="B95">
        <v>0</v>
      </c>
      <c r="L95">
        <v>0</v>
      </c>
    </row>
    <row r="96" spans="2:12" x14ac:dyDescent="0.3">
      <c r="B96">
        <v>0</v>
      </c>
      <c r="L96">
        <v>0</v>
      </c>
    </row>
    <row r="97" spans="2:12" x14ac:dyDescent="0.3">
      <c r="B97">
        <v>0</v>
      </c>
      <c r="L97">
        <v>0</v>
      </c>
    </row>
    <row r="98" spans="2:12" x14ac:dyDescent="0.3">
      <c r="B98">
        <v>0</v>
      </c>
      <c r="L98">
        <v>0</v>
      </c>
    </row>
    <row r="99" spans="2:12" x14ac:dyDescent="0.3">
      <c r="B99">
        <v>0</v>
      </c>
      <c r="L99">
        <v>0</v>
      </c>
    </row>
    <row r="100" spans="2:12" x14ac:dyDescent="0.3">
      <c r="B100">
        <v>0</v>
      </c>
      <c r="L100">
        <v>0</v>
      </c>
    </row>
    <row r="101" spans="2:12" x14ac:dyDescent="0.3">
      <c r="B101">
        <v>0</v>
      </c>
      <c r="L101">
        <v>0</v>
      </c>
    </row>
    <row r="102" spans="2:12" x14ac:dyDescent="0.3">
      <c r="B102">
        <v>0</v>
      </c>
      <c r="L102">
        <v>0</v>
      </c>
    </row>
    <row r="103" spans="2:12" x14ac:dyDescent="0.3">
      <c r="B103">
        <v>0</v>
      </c>
      <c r="L103">
        <v>0</v>
      </c>
    </row>
    <row r="104" spans="2:12" x14ac:dyDescent="0.3">
      <c r="L104">
        <v>0</v>
      </c>
    </row>
    <row r="105" spans="2:12" x14ac:dyDescent="0.3">
      <c r="L105">
        <v>0</v>
      </c>
    </row>
    <row r="106" spans="2:12" x14ac:dyDescent="0.3">
      <c r="L106">
        <v>0</v>
      </c>
    </row>
    <row r="107" spans="2:12" x14ac:dyDescent="0.3">
      <c r="L107">
        <v>0</v>
      </c>
    </row>
    <row r="108" spans="2:12" x14ac:dyDescent="0.3">
      <c r="L108">
        <v>0</v>
      </c>
    </row>
    <row r="109" spans="2:12" x14ac:dyDescent="0.3">
      <c r="L109">
        <v>0</v>
      </c>
    </row>
    <row r="110" spans="2:12" x14ac:dyDescent="0.3">
      <c r="L110">
        <v>0</v>
      </c>
    </row>
    <row r="111" spans="2:12" x14ac:dyDescent="0.3">
      <c r="L111">
        <v>0</v>
      </c>
    </row>
    <row r="112" spans="2:12" x14ac:dyDescent="0.3">
      <c r="L112">
        <v>0</v>
      </c>
    </row>
    <row r="113" spans="12:12" x14ac:dyDescent="0.3">
      <c r="L113">
        <v>0</v>
      </c>
    </row>
    <row r="114" spans="12:12" x14ac:dyDescent="0.3">
      <c r="L114">
        <v>0</v>
      </c>
    </row>
    <row r="115" spans="12:12" x14ac:dyDescent="0.3">
      <c r="L115">
        <v>0</v>
      </c>
    </row>
    <row r="116" spans="12:12" x14ac:dyDescent="0.3">
      <c r="L116">
        <v>0</v>
      </c>
    </row>
    <row r="117" spans="12:12" x14ac:dyDescent="0.3">
      <c r="L117">
        <v>0</v>
      </c>
    </row>
    <row r="118" spans="12:12" x14ac:dyDescent="0.3">
      <c r="L118">
        <v>0</v>
      </c>
    </row>
    <row r="119" spans="12:12" x14ac:dyDescent="0.3">
      <c r="L119">
        <v>0</v>
      </c>
    </row>
    <row r="120" spans="12:12" x14ac:dyDescent="0.3">
      <c r="L120">
        <v>0</v>
      </c>
    </row>
    <row r="121" spans="12:12" x14ac:dyDescent="0.3">
      <c r="L121">
        <v>0</v>
      </c>
    </row>
    <row r="122" spans="12:12" x14ac:dyDescent="0.3">
      <c r="L122">
        <v>0</v>
      </c>
    </row>
    <row r="123" spans="12:12" x14ac:dyDescent="0.3">
      <c r="L123">
        <v>0</v>
      </c>
    </row>
    <row r="124" spans="12:12" x14ac:dyDescent="0.3">
      <c r="L124">
        <v>0</v>
      </c>
    </row>
    <row r="125" spans="12:12" x14ac:dyDescent="0.3">
      <c r="L125"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A8F23-47B9-429B-A196-52F8EA5B4F5C}">
  <dimension ref="A2:AI171"/>
  <sheetViews>
    <sheetView workbookViewId="0"/>
  </sheetViews>
  <sheetFormatPr baseColWidth="10" defaultRowHeight="14.4" x14ac:dyDescent="0.3"/>
  <sheetData>
    <row r="2" spans="1:35" x14ac:dyDescent="0.3">
      <c r="A2" s="23" t="s">
        <v>3111</v>
      </c>
      <c r="B2" s="20">
        <v>1</v>
      </c>
    </row>
    <row r="3" spans="1:35" s="19" customFormat="1" x14ac:dyDescent="0.3">
      <c r="A3" s="19">
        <f t="shared" ref="A3:Z3" si="0">COUNTA(_xlfn.ANCHORARRAY(A5))</f>
        <v>1</v>
      </c>
      <c r="B3" s="19">
        <f t="shared" si="0"/>
        <v>98</v>
      </c>
      <c r="C3" s="19">
        <f t="shared" si="0"/>
        <v>1</v>
      </c>
      <c r="D3" s="19">
        <f t="shared" si="0"/>
        <v>2</v>
      </c>
      <c r="E3" s="19">
        <f t="shared" si="0"/>
        <v>5</v>
      </c>
      <c r="F3" s="19">
        <f t="shared" si="0"/>
        <v>28</v>
      </c>
      <c r="G3" s="19">
        <f t="shared" si="0"/>
        <v>20</v>
      </c>
      <c r="H3" s="19">
        <f t="shared" si="0"/>
        <v>19</v>
      </c>
      <c r="I3" s="19">
        <f t="shared" si="0"/>
        <v>7</v>
      </c>
      <c r="J3" s="19">
        <f t="shared" si="0"/>
        <v>1</v>
      </c>
      <c r="K3" s="19">
        <f t="shared" si="0"/>
        <v>78</v>
      </c>
      <c r="L3" s="19">
        <f t="shared" si="0"/>
        <v>1</v>
      </c>
      <c r="M3" s="19">
        <f t="shared" si="0"/>
        <v>73</v>
      </c>
      <c r="N3" s="19">
        <f t="shared" si="0"/>
        <v>2</v>
      </c>
      <c r="O3" s="19">
        <f t="shared" si="0"/>
        <v>8</v>
      </c>
      <c r="P3" s="19">
        <f t="shared" si="0"/>
        <v>2</v>
      </c>
      <c r="Q3" s="19">
        <f t="shared" si="0"/>
        <v>23</v>
      </c>
      <c r="R3" s="20">
        <f t="shared" si="0"/>
        <v>4</v>
      </c>
      <c r="S3" s="19">
        <f t="shared" si="0"/>
        <v>144</v>
      </c>
      <c r="T3" s="19">
        <f t="shared" si="0"/>
        <v>1</v>
      </c>
      <c r="U3" s="19">
        <f t="shared" si="0"/>
        <v>4</v>
      </c>
      <c r="V3" s="19">
        <f t="shared" si="0"/>
        <v>1</v>
      </c>
      <c r="W3" s="19">
        <f t="shared" si="0"/>
        <v>1</v>
      </c>
      <c r="X3" s="19">
        <f t="shared" si="0"/>
        <v>11</v>
      </c>
      <c r="Y3" s="19">
        <f t="shared" si="0"/>
        <v>138</v>
      </c>
      <c r="Z3" s="19">
        <f t="shared" si="0"/>
        <v>24</v>
      </c>
    </row>
    <row r="4" spans="1:35" s="19" customFormat="1" x14ac:dyDescent="0.3">
      <c r="A4" s="19" t="str" cm="1">
        <f t="array" ref="A4:AI4">TRANSPOSE(_xlfn.ANCHORARRAY(AnálisisAutores!K1))</f>
        <v>-</v>
      </c>
      <c r="B4" s="19" t="str">
        <v>ain_karem</v>
      </c>
      <c r="C4" s="19" t="str">
        <v>alejandro_ruiz</v>
      </c>
      <c r="D4" s="19" t="str">
        <v>al-haraca</v>
      </c>
      <c r="E4" s="19" t="str">
        <v>antonio_alcalde</v>
      </c>
      <c r="F4" s="19" t="str">
        <v>brotes_de_olivo</v>
      </c>
      <c r="G4" s="19" t="str">
        <v>carmelo_erdozain</v>
      </c>
      <c r="H4" s="19" t="str">
        <v>cesareo_gabarain</v>
      </c>
      <c r="I4" s="19" t="str">
        <v>emilio_vicente_mateu</v>
      </c>
      <c r="J4" s="19" t="str">
        <v>fernando_viejo</v>
      </c>
      <c r="K4" s="19" t="str">
        <v>francisco_palazon</v>
      </c>
      <c r="L4" s="19" t="str">
        <v>gregorio_fernandez</v>
      </c>
      <c r="M4" s="19" t="str">
        <v>hakuna</v>
      </c>
      <c r="N4" s="19" t="str">
        <v>hermana_glenda</v>
      </c>
      <c r="O4" s="19" t="str">
        <v>joaquin_madurga</v>
      </c>
      <c r="P4" s="19" t="str">
        <v>josep_asuncion</v>
      </c>
      <c r="Q4" s="19" t="str">
        <v>juan_antonio_espinosa</v>
      </c>
      <c r="R4" s="20" t="str">
        <v>juanjo_elezkano</v>
      </c>
      <c r="S4" s="19" t="str">
        <v>kairoi</v>
      </c>
      <c r="T4" s="19" t="str">
        <v>lazaro_iparraguirre</v>
      </c>
      <c r="U4" s="19" t="str">
        <v>luis_alfredo_diaz</v>
      </c>
      <c r="V4" s="19" t="str">
        <v>marcos_witt</v>
      </c>
      <c r="W4" s="19" t="str">
        <v>marta_gil-delgado</v>
      </c>
      <c r="X4" s="19" t="str">
        <v>miguel_manzano</v>
      </c>
      <c r="Y4" s="19" t="str">
        <v>nsb</v>
      </c>
      <c r="Z4" s="19" t="str">
        <v>nuevas</v>
      </c>
      <c r="AA4" s="19" t="str">
        <v>pedro_nuñez</v>
      </c>
      <c r="AB4" s="19" t="str">
        <v>pelayo_sanchez</v>
      </c>
      <c r="AC4" s="19" t="str">
        <v>perpetuo_socorro</v>
      </c>
      <c r="AD4" s="19" t="str">
        <v>ricardo_cantalapiedra</v>
      </c>
      <c r="AE4" s="19" t="str">
        <v>rosa_cruz</v>
      </c>
      <c r="AF4" s="19" t="str">
        <v>ruah</v>
      </c>
      <c r="AG4" s="19" t="str">
        <v>taize</v>
      </c>
      <c r="AH4" s="19" t="str">
        <v>toño_casado</v>
      </c>
      <c r="AI4" s="19" t="str">
        <v>villancicos</v>
      </c>
    </row>
    <row r="5" spans="1:35" x14ac:dyDescent="0.3">
      <c r="A5" t="e" cm="1" vm="3">
        <f t="array" ref="A5">_xlfn.CHOOSECOLS(_xlfn._xlws.FILTER(CantoralDB[],IF($B$2=1,CantoralDB[[html]:[html]]="OK",1)*(CantoralDB[[Carpeta]:[Carpeta]]=A$4)),2)</f>
        <v>#VALUE!</v>
      </c>
      <c r="B5" t="str" cm="1">
        <f t="array" ref="B5:B102">_xlfn.CHOOSECOLS(_xlfn._xlws.FILTER(CantoralDB[],IF($B$2=1,CantoralDB[[html]:[html]]="OK",1)*(CantoralDB[[Carpeta]:[Carpeta]]=B$4)),2)</f>
        <v>A Ti</v>
      </c>
      <c r="C5" t="str" cm="1">
        <f t="array" ref="C5">_xlfn.CHOOSECOLS(_xlfn._xlws.FILTER(CantoralDB[],IF($B$2=1,CantoralDB[[html]:[html]]="OK",1)*(CantoralDB[[Carpeta]:[Carpeta]]=C$4)),2)</f>
        <v>Abbá, Padre</v>
      </c>
      <c r="D5" t="str" cm="1">
        <f t="array" ref="D5:D6">_xlfn.CHOOSECOLS(_xlfn._xlws.FILTER(CantoralDB[],IF($B$2=1,CantoralDB[[html]:[html]]="OK",1)*(CantoralDB[[Carpeta]:[Carpeta]]=D$4)),2)</f>
        <v>Por la paz no callaré</v>
      </c>
      <c r="E5" t="str" cm="1">
        <f t="array" ref="E5:E9">_xlfn.CHOOSECOLS(_xlfn._xlws.FILTER(CantoralDB[],IF($B$2=1,CantoralDB[[html]:[html]]="OK",1)*(CantoralDB[[Carpeta]:[Carpeta]]=E$4)),2)</f>
        <v>Lo que hemos visto y oído</v>
      </c>
      <c r="F5" t="str" cm="1">
        <f t="array" ref="F5:F32">_xlfn.CHOOSECOLS(_xlfn._xlws.FILTER(CantoralDB[],IF($B$2=1,CantoralDB[[html]:[html]]="OK",1)*(CantoralDB[[Carpeta]:[Carpeta]]=F$4)),2)</f>
        <v>Agua, lávame</v>
      </c>
      <c r="G5" t="str" cm="1">
        <f t="array" ref="G5:G24">_xlfn.CHOOSECOLS(_xlfn._xlws.FILTER(CantoralDB[],IF($B$2=1,CantoralDB[[html]:[html]]="OK",1)*(CantoralDB[[Carpeta]:[Carpeta]]=G$4)),2)</f>
        <v>Abre tu tienda al Señor</v>
      </c>
      <c r="H5" t="str" cm="1">
        <f t="array" ref="H5:H23">_xlfn.CHOOSECOLS(_xlfn._xlws.FILTER(CantoralDB[],IF($B$2=1,CantoralDB[[html]:[html]]="OK",1)*(CantoralDB[[Carpeta]:[Carpeta]]=H$4)),2)</f>
        <v>Al atardecer de la vida</v>
      </c>
      <c r="I5" t="str" cm="1">
        <f t="array" ref="I5:I11">_xlfn.CHOOSECOLS(_xlfn._xlws.FILTER(CantoralDB[],IF($B$2=1,CantoralDB[[html]:[html]]="OK",1)*(CantoralDB[[Carpeta]:[Carpeta]]=I$4)),2)</f>
        <v>Amar es darse</v>
      </c>
      <c r="J5" t="str" cm="1">
        <f t="array" ref="J5">_xlfn.CHOOSECOLS(_xlfn._xlws.FILTER(CantoralDB[],IF($B$2=1,CantoralDB[[html]:[html]]="OK",1)*(CantoralDB[[Carpeta]:[Carpeta]]=J$4)),2)</f>
        <v>Como era Pedro</v>
      </c>
      <c r="K5" t="str" cm="1">
        <f t="array" ref="K5:K82">_xlfn.CHOOSECOLS(_xlfn._xlws.FILTER(CantoralDB[],IF($B$2=1,CantoralDB[[html]:[html]]="OK",1)*(CantoralDB[[Carpeta]:[Carpeta]]=K$4)),2)</f>
        <v>A ti levanto mi alma</v>
      </c>
      <c r="L5" t="e" cm="1" vm="3">
        <f t="array" ref="L5">_xlfn.CHOOSECOLS(_xlfn._xlws.FILTER(CantoralDB[],IF($B$2=1,CantoralDB[[html]:[html]]="OK",1)*(CantoralDB[[Carpeta]:[Carpeta]]=L$4)),2)</f>
        <v>#VALUE!</v>
      </c>
      <c r="M5" t="str" cm="1">
        <f t="array" ref="M5:M77">_xlfn.CHOOSECOLS(_xlfn._xlws.FILTER(CantoralDB[],IF($B$2=1,CantoralDB[[html]:[html]]="OK",1)*(CantoralDB[[Carpeta]:[Carpeta]]=M$4)),2)</f>
        <v>Al estar en la presencia</v>
      </c>
      <c r="N5" t="str" cm="1">
        <f t="array" ref="N5:N6">_xlfn.CHOOSECOLS(_xlfn._xlws.FILTER(CantoralDB[],IF($B$2=1,CantoralDB[[html]:[html]]="OK",1)*(CantoralDB[[Carpeta]:[Carpeta]]=N$4)),2)</f>
        <v>Ahí tienes a tu madre</v>
      </c>
      <c r="O5" t="str" cm="1">
        <f t="array" ref="O5:O12">_xlfn.CHOOSECOLS(_xlfn._xlws.FILTER(CantoralDB[],IF($B$2=1,CantoralDB[[html]:[html]]="OK",1)*(CantoralDB[[Carpeta]:[Carpeta]]=O$4)),2)</f>
        <v>Al ver Jesús</v>
      </c>
      <c r="P5" t="str" cm="1">
        <f t="array" ref="P5:P6">_xlfn.CHOOSECOLS(_xlfn._xlws.FILTER(CantoralDB[],IF($B$2=1,CantoralDB[[html]:[html]]="OK",1)*(CantoralDB[[Carpeta]:[Carpeta]]=P$4)),2)</f>
        <v>Adoraré tu cuerpo herido</v>
      </c>
      <c r="Q5" t="str" cm="1">
        <f t="array" ref="Q5:Q27">_xlfn.CHOOSECOLS(_xlfn._xlws.FILTER(CantoralDB[],IF($B$2=1,CantoralDB[[html]:[html]]="OK",1)*(CantoralDB[[Carpeta]:[Carpeta]]=Q$4)),2)</f>
        <v>A Dios den gracias los pueblos</v>
      </c>
      <c r="R5" s="24" t="str" cm="1">
        <f t="array" ref="R5:R8">_xlfn.CHOOSECOLS(_xlfn._xlws.FILTER(CantoralDB[],IF($B$2=1,CantoralDB[[html]:[html]]="OK",1)*(CantoralDB[[Carpeta]:[Carpeta]]=R$4)),2)</f>
        <v>A la fiesta del Señor</v>
      </c>
      <c r="S5" t="str" cm="1">
        <f t="array" ref="S5:S148">_xlfn.CHOOSECOLS(_xlfn._xlws.FILTER(CantoralDB[],IF($B$2=1,CantoralDB[[html]:[html]]="OK",1)*(CantoralDB[[Carpeta]:[Carpeta]]=S$4)),2)</f>
        <v>A las tres de la tarde</v>
      </c>
      <c r="T5" t="str" cm="1">
        <f t="array" ref="T5">_xlfn.CHOOSECOLS(_xlfn._xlws.FILTER(CantoralDB[],IF($B$2=1,CantoralDB[[html]:[html]]="OK",1)*(CantoralDB[[Carpeta]:[Carpeta]]=T$4)),2)</f>
        <v>Caminaremos</v>
      </c>
      <c r="U5" t="str" cm="1">
        <f t="array" ref="U5:U8">_xlfn.CHOOSECOLS(_xlfn._xlws.FILTER(CantoralDB[],IF($B$2=1,CantoralDB[[html]:[html]]="OK",1)*(CantoralDB[[Carpeta]:[Carpeta]]=U$4)),2)</f>
        <v>No adoréis a nadie</v>
      </c>
      <c r="V5" t="e" cm="1" vm="3">
        <f t="array" ref="V5">_xlfn.CHOOSECOLS(_xlfn._xlws.FILTER(CantoralDB[],IF($B$2=1,CantoralDB[[html]:[html]]="OK",1)*(CantoralDB[[Carpeta]:[Carpeta]]=V$4)),2)</f>
        <v>#VALUE!</v>
      </c>
      <c r="W5" t="e" cm="1" vm="3">
        <f t="array" ref="W5">_xlfn.CHOOSECOLS(_xlfn._xlws.FILTER(CantoralDB[],IF($B$2=1,CantoralDB[[html]:[html]]="OK",1)*(CantoralDB[[Carpeta]:[Carpeta]]=W$4)),2)</f>
        <v>#VALUE!</v>
      </c>
      <c r="X5" t="str" cm="1">
        <f t="array" ref="X5:X15">_xlfn.CHOOSECOLS(_xlfn._xlws.FILTER(CantoralDB[],IF($B$2=1,CantoralDB[[html]:[html]]="OK",1)*(CantoralDB[[Carpeta]:[Carpeta]]=X$4)),2)</f>
        <v>A Belén se va y se viene</v>
      </c>
      <c r="Y5" t="str" cm="1">
        <f t="array" ref="Y5:Y142">_xlfn.CHOOSECOLS(_xlfn._xlws.FILTER(CantoralDB[],IF($B$2=1,CantoralDB[[html]:[html]]="OK",1)*(CantoralDB[[Carpeta]:[Carpeta]]=Y$4)),2)</f>
        <v>A dónde me queréis llevar</v>
      </c>
      <c r="Z5" t="str" cm="1">
        <f t="array" ref="Z5:Z28">_xlfn.CHOOSECOLS(_xlfn._xlws.FILTER(CantoralDB[],IF($B$2=1,CantoralDB[[html]:[html]]="OK",1)*(CantoralDB[[Carpeta]:[Carpeta]]=Z$4)),2)</f>
        <v>Acaso no estoy yo aquí que soy tu madre</v>
      </c>
    </row>
    <row r="6" spans="1:35" x14ac:dyDescent="0.3">
      <c r="B6" t="str">
        <v>A toda la tierra alcanza su pregón</v>
      </c>
      <c r="D6" t="str">
        <v>Yo soy la luz del mundo</v>
      </c>
      <c r="E6" t="str">
        <v>Nos has llamado al desierto</v>
      </c>
      <c r="F6" t="str">
        <v>Aleluya cantará</v>
      </c>
      <c r="G6" t="str">
        <v>Aleluya, es la fiesta del Señor</v>
      </c>
      <c r="H6" t="str">
        <v>Alelu-aleluya</v>
      </c>
      <c r="I6" t="str">
        <v>Bienaventurados seremos, Señor</v>
      </c>
      <c r="K6" t="str">
        <v>A ti suspiramos</v>
      </c>
      <c r="M6" t="str">
        <v>Baila y déjate de historias</v>
      </c>
      <c r="N6" t="str">
        <v>El Señor es mi pastor</v>
      </c>
      <c r="O6" t="str">
        <v>Aleluya, ha nacido el salvador</v>
      </c>
      <c r="P6" t="str">
        <v>Ven y descánsate</v>
      </c>
      <c r="Q6" t="str">
        <v>Alegre la mañana</v>
      </c>
      <c r="R6" s="24" t="str">
        <v>Comeremos de la mesa</v>
      </c>
      <c r="S6" t="str">
        <v>A tu lado, Señor</v>
      </c>
      <c r="U6" t="str">
        <v>Qué te puedo dar</v>
      </c>
      <c r="X6" t="str">
        <v>Aclama al Señor, tierra entera</v>
      </c>
      <c r="Y6" t="str">
        <v>A ti que eres el signo</v>
      </c>
      <c r="Z6" t="str">
        <v>Al que está sentado en el trono y al cordero</v>
      </c>
    </row>
    <row r="7" spans="1:35" x14ac:dyDescent="0.3">
      <c r="B7" t="str">
        <v>Abre mis puertas</v>
      </c>
      <c r="E7" t="str">
        <v>Peregrinos de la paz y la alegría</v>
      </c>
      <c r="F7" t="str">
        <v>Aleluya, el Señor resucitó</v>
      </c>
      <c r="G7" t="str">
        <v>Ante ti, Señor</v>
      </c>
      <c r="H7" t="str">
        <v>Aleluya, creo en Ti, Señor</v>
      </c>
      <c r="I7" t="str">
        <v>Cantemos todos la Navidad</v>
      </c>
      <c r="K7" t="str">
        <v>Acabamos de oír tu palabra</v>
      </c>
      <c r="M7" t="str">
        <v>Bendita sea tu pureza</v>
      </c>
      <c r="O7" t="str">
        <v>Andando por el camino</v>
      </c>
      <c r="Q7" t="str">
        <v>Caminamos hacia el sol</v>
      </c>
      <c r="R7" s="24" t="str">
        <v>Necesitamos comer tu Pan</v>
      </c>
      <c r="S7" t="str">
        <v>Acógeme, Dios</v>
      </c>
      <c r="U7" t="str">
        <v>Tan cerca de mí</v>
      </c>
      <c r="X7" t="str">
        <v>Aleluya, el Señor es nuestro Rey</v>
      </c>
      <c r="Y7" t="str">
        <v>Acompáñame, Señor, en la tribulación</v>
      </c>
      <c r="Z7" t="str">
        <v>Aleluya (Cohen)</v>
      </c>
    </row>
    <row r="8" spans="1:35" x14ac:dyDescent="0.3">
      <c r="B8" t="str">
        <v>Agua viva</v>
      </c>
      <c r="E8" t="str">
        <v>Qué tendrá lo pequeño</v>
      </c>
      <c r="F8" t="str">
        <v>Allanad los caminos</v>
      </c>
      <c r="G8" t="str">
        <v>Cerca está el Señor</v>
      </c>
      <c r="H8" t="str">
        <v>Caminando voy</v>
      </c>
      <c r="I8" t="str">
        <v>El Señor nos ha nacido en Belén</v>
      </c>
      <c r="K8" t="str">
        <v>Acerquémonos todos al altar</v>
      </c>
      <c r="M8" t="str">
        <v>Bendito</v>
      </c>
      <c r="O8" t="str">
        <v>Comiendo del mismo pan</v>
      </c>
      <c r="Q8" t="str">
        <v>Danos un corazón</v>
      </c>
      <c r="R8" s="24" t="str">
        <v>Venimos a escuchar tu voz</v>
      </c>
      <c r="S8" t="str">
        <v>Acuérdate, María</v>
      </c>
      <c r="U8" t="str">
        <v>Una tarde en la playa</v>
      </c>
      <c r="X8" t="str">
        <v>Con vosotros está</v>
      </c>
      <c r="Y8" t="str">
        <v>Acuérdate de Jesucristo</v>
      </c>
      <c r="Z8" t="str">
        <v>Aleluya, demos gracias</v>
      </c>
    </row>
    <row r="9" spans="1:35" x14ac:dyDescent="0.3">
      <c r="B9" t="str">
        <v>Ain Karem</v>
      </c>
      <c r="E9" t="str">
        <v>Ven, Señor, a nuestra vida</v>
      </c>
      <c r="F9" t="str">
        <v>Amaos unos a otros</v>
      </c>
      <c r="G9" t="str">
        <v>Compartir junto al Señor</v>
      </c>
      <c r="H9" t="str">
        <v>Dios es amor</v>
      </c>
      <c r="I9" t="str">
        <v>Los magos vienen de Oriente</v>
      </c>
      <c r="K9" t="str">
        <v>Aclamad, justos, al Señor</v>
      </c>
      <c r="M9" t="str">
        <v>Bien amado Señor</v>
      </c>
      <c r="O9" t="str">
        <v>Donde hay caridad y amor</v>
      </c>
      <c r="Q9" t="str">
        <v>Dolorosa</v>
      </c>
      <c r="R9" s="24"/>
      <c r="S9" t="str">
        <v>Aleluya</v>
      </c>
      <c r="X9" t="str">
        <v>Cordero de Dios (Manzano)</v>
      </c>
      <c r="Y9" t="str">
        <v>Adorando</v>
      </c>
      <c r="Z9" t="str">
        <v>Aleluya, yo creo en tu amor</v>
      </c>
    </row>
    <row r="10" spans="1:35" x14ac:dyDescent="0.3">
      <c r="B10" t="str">
        <v>Aleluya</v>
      </c>
      <c r="F10" t="str">
        <v>El agua viva</v>
      </c>
      <c r="G10" t="str">
        <v>Con nosotros está el Señor</v>
      </c>
      <c r="H10" t="str">
        <v>El niño Dios ha nacido en Belén</v>
      </c>
      <c r="I10" t="str">
        <v>Somos un pueblo que camina</v>
      </c>
      <c r="K10" t="str">
        <v>Alabad al Señor por su inmensa grandeza</v>
      </c>
      <c r="M10" t="str">
        <v>Capricho</v>
      </c>
      <c r="O10" t="str">
        <v>El Señor resucitó</v>
      </c>
      <c r="Q10" t="str">
        <v>En la comida que Cristo nos da</v>
      </c>
      <c r="R10" s="24"/>
      <c r="S10" t="str">
        <v>Aleluya (Junto a ti, Jesús)</v>
      </c>
      <c r="X10" t="str">
        <v>Cuando el pobre nada tiene</v>
      </c>
      <c r="Y10" t="str">
        <v>Alegrémonos, hermanos</v>
      </c>
      <c r="Z10" t="str">
        <v>Algo está cayendo aquí</v>
      </c>
    </row>
    <row r="11" spans="1:35" x14ac:dyDescent="0.3">
      <c r="B11" t="str">
        <v>Ánimo, soy yo</v>
      </c>
      <c r="F11" t="str">
        <v>El buen pastor</v>
      </c>
      <c r="G11" t="str">
        <v>Cristo nos da la libertad</v>
      </c>
      <c r="H11" t="str">
        <v>Eres mi riqueza</v>
      </c>
      <c r="I11" t="str">
        <v>Tiempo de espera</v>
      </c>
      <c r="K11" t="str">
        <v>Alabad, siervos de Dios</v>
      </c>
      <c r="M11" t="str">
        <v>Colombia</v>
      </c>
      <c r="O11" t="str">
        <v>Esta es tu fiesta</v>
      </c>
      <c r="Q11" t="str">
        <v>Errante voy</v>
      </c>
      <c r="R11" s="24"/>
      <c r="S11" t="str">
        <v>Allí estás tú</v>
      </c>
      <c r="X11" t="str">
        <v>Desde lo hondo</v>
      </c>
      <c r="Y11" t="str">
        <v>Aleluya (Santiago)</v>
      </c>
      <c r="Z11" t="str">
        <v>Alma de Cristo</v>
      </c>
    </row>
    <row r="12" spans="1:35" x14ac:dyDescent="0.3">
      <c r="B12" t="str">
        <v>Anunciarte</v>
      </c>
      <c r="F12" t="str">
        <v>El calor de tu palabra</v>
      </c>
      <c r="G12" t="str">
        <v>Cristo por nosotros</v>
      </c>
      <c r="H12" t="str">
        <v>Iglesia soy</v>
      </c>
      <c r="K12" t="str">
        <v>Alégrate y goza, Jerusalén</v>
      </c>
      <c r="M12" t="str">
        <v>Comunión espiritual</v>
      </c>
      <c r="O12" t="str">
        <v>Unidos en la fiesta</v>
      </c>
      <c r="Q12" t="str">
        <v>Hoy, Señor, te damos gracias</v>
      </c>
      <c r="R12" s="24"/>
      <c r="S12" t="str">
        <v>Amaos (Como el Padre me amó)</v>
      </c>
      <c r="X12" t="str">
        <v>Este es el día en que actuó el Señor</v>
      </c>
      <c r="Y12" t="str">
        <v>Aleluya de Adviento</v>
      </c>
      <c r="Z12" t="str">
        <v>Alza la mirada</v>
      </c>
    </row>
    <row r="13" spans="1:35" x14ac:dyDescent="0.3">
      <c r="B13" t="str">
        <v>Ardo en celo</v>
      </c>
      <c r="F13" t="str">
        <v>El pan de vida</v>
      </c>
      <c r="G13" t="str">
        <v>Dios nos convoca</v>
      </c>
      <c r="H13" t="str">
        <v>Juntos como hermanos</v>
      </c>
      <c r="K13" t="str">
        <v>Aleluya (misa coral)</v>
      </c>
      <c r="M13" t="str">
        <v>Conciénciame</v>
      </c>
      <c r="Q13" t="str">
        <v>Madre de todos los hombres</v>
      </c>
      <c r="R13" s="24"/>
      <c r="S13" t="str">
        <v>Angelus</v>
      </c>
      <c r="X13" t="str">
        <v>Mirad al suelo</v>
      </c>
      <c r="Y13" t="str">
        <v>Aleluya por esa gente</v>
      </c>
      <c r="Z13" t="str">
        <v>Contigo me la juego</v>
      </c>
    </row>
    <row r="14" spans="1:35" x14ac:dyDescent="0.3">
      <c r="B14" t="str">
        <v>Atraviesas</v>
      </c>
      <c r="F14" t="str">
        <v>El soplo de Dios</v>
      </c>
      <c r="G14" t="str">
        <v>Escucha, tú, la Palabra de Dios</v>
      </c>
      <c r="H14" t="str">
        <v>Ojalá escuchemos hoy su voz</v>
      </c>
      <c r="K14" t="str">
        <v>Aleluya, aleluya, aleluya</v>
      </c>
      <c r="M14" t="str">
        <v>Cuarto lugar</v>
      </c>
      <c r="Q14" t="str">
        <v>No podemos caminar (Hambre de Dios)</v>
      </c>
      <c r="R14" s="24"/>
      <c r="S14" t="str">
        <v>Arcilla entre sus manos</v>
      </c>
      <c r="X14" t="str">
        <v>Qué alegría cuando me dijeron</v>
      </c>
      <c r="Y14" t="str">
        <v>Algo nuevo</v>
      </c>
      <c r="Z14" t="str">
        <v>Dijiste sí</v>
      </c>
    </row>
    <row r="15" spans="1:35" x14ac:dyDescent="0.3">
      <c r="B15" t="str">
        <v>Benedictus</v>
      </c>
      <c r="F15" t="str">
        <v>En mi debilidad</v>
      </c>
      <c r="G15" t="str">
        <v>Este pan y vino</v>
      </c>
      <c r="H15" t="str">
        <v>Peregrino (Éxodo y liberación)</v>
      </c>
      <c r="K15" t="str">
        <v>Alrededor de tu mesa</v>
      </c>
      <c r="M15" t="str">
        <v>Cuatro vientos</v>
      </c>
      <c r="Q15" t="str">
        <v>Perdón, Señor, perdón</v>
      </c>
      <c r="R15" s="24"/>
      <c r="S15" t="str">
        <v>Ave María</v>
      </c>
      <c r="X15" t="str">
        <v>Tu Reino es vida</v>
      </c>
      <c r="Y15" t="str">
        <v>Alimento de amor (El loco)</v>
      </c>
      <c r="Z15" t="str">
        <v>En los brazos de una virgen</v>
      </c>
    </row>
    <row r="16" spans="1:35" x14ac:dyDescent="0.3">
      <c r="B16" t="str">
        <v>Boga mar adentro</v>
      </c>
      <c r="F16" t="str">
        <v>Envíame</v>
      </c>
      <c r="G16" t="str">
        <v>Hosanna, hosanna, hosanna</v>
      </c>
      <c r="H16" t="str">
        <v>Pescador de hombres</v>
      </c>
      <c r="K16" t="str">
        <v>Ángelus</v>
      </c>
      <c r="M16" t="str">
        <v>Del cielo</v>
      </c>
      <c r="Q16" t="str">
        <v>Por ti, mi Dios</v>
      </c>
      <c r="R16" s="24"/>
      <c r="S16" t="str">
        <v>Bienaventuranzas (Kairoi)</v>
      </c>
      <c r="Y16" t="str">
        <v>Alma misionera</v>
      </c>
      <c r="Z16" t="str">
        <v>Enamórame de ti</v>
      </c>
    </row>
    <row r="17" spans="2:26" x14ac:dyDescent="0.3">
      <c r="B17" t="str">
        <v>Busca mi rostro</v>
      </c>
      <c r="F17" t="str">
        <v>He oído tu voz</v>
      </c>
      <c r="G17" t="str">
        <v>Hoy vuelvo de lejos</v>
      </c>
      <c r="H17" t="str">
        <v>Sois la semilla</v>
      </c>
      <c r="K17" t="str">
        <v>Anunciamos tu muerte</v>
      </c>
      <c r="M17" t="str">
        <v>Descalzos</v>
      </c>
      <c r="Q17" t="str">
        <v>Qué ves en la noche</v>
      </c>
      <c r="R17" s="24"/>
      <c r="S17" t="str">
        <v>Buena Madre</v>
      </c>
      <c r="Y17" t="str">
        <v>Alza tu mano (Comunidad)</v>
      </c>
      <c r="Z17" t="str">
        <v>Entra en el corazón de Dios</v>
      </c>
    </row>
    <row r="18" spans="2:26" x14ac:dyDescent="0.3">
      <c r="B18" t="str">
        <v>Caná</v>
      </c>
      <c r="F18" t="str">
        <v>Hoy, Señor, te daré</v>
      </c>
      <c r="G18" t="str">
        <v>Oh, mi Dios, crea en mí</v>
      </c>
      <c r="H18" t="str">
        <v>Todos unidos</v>
      </c>
      <c r="K18" t="str">
        <v>Anunciando tu venida</v>
      </c>
      <c r="M18" t="str">
        <v>Deseo</v>
      </c>
      <c r="Q18" t="str">
        <v>Quédate con nosotros</v>
      </c>
      <c r="R18" s="24"/>
      <c r="S18" t="str">
        <v>Caminad</v>
      </c>
      <c r="Y18" t="str">
        <v>Amando hasta el extremo</v>
      </c>
      <c r="Z18" t="str">
        <v>Es María la blanca paloma</v>
      </c>
    </row>
    <row r="19" spans="2:26" x14ac:dyDescent="0.3">
      <c r="B19" t="str">
        <v>Cantad al Señor</v>
      </c>
      <c r="F19" t="str">
        <v>La vid y los sarmientos</v>
      </c>
      <c r="G19" t="str">
        <v>Oí tu voz</v>
      </c>
      <c r="H19" t="str">
        <v>Tú nos dijiste que la muerte</v>
      </c>
      <c r="K19" t="str">
        <v>Ave María</v>
      </c>
      <c r="M19" t="str">
        <v>Dime, Padre</v>
      </c>
      <c r="Q19" t="str">
        <v>Santa María del Camino</v>
      </c>
      <c r="R19" s="24"/>
      <c r="S19" t="str">
        <v>Canta Jerusalén</v>
      </c>
      <c r="Y19" t="str">
        <v>Anunciaremos tu Reino, Señor</v>
      </c>
      <c r="Z19" t="str">
        <v>Estás aquí, Jesús</v>
      </c>
    </row>
    <row r="20" spans="2:26" x14ac:dyDescent="0.3">
      <c r="B20" t="str">
        <v>Canto de Ana</v>
      </c>
      <c r="F20" t="str">
        <v>Las bodas de Caná</v>
      </c>
      <c r="G20" t="str">
        <v>Padre nuestro (Erdozáin)</v>
      </c>
      <c r="H20" t="str">
        <v>Un niño se te acercó</v>
      </c>
      <c r="K20" t="str">
        <v>Bendice, alma mía, al Señor</v>
      </c>
      <c r="M20" t="str">
        <v>El abrazo</v>
      </c>
      <c r="Q20" t="str">
        <v>Señor, tú que brillas</v>
      </c>
      <c r="R20" s="24"/>
      <c r="S20" t="str">
        <v>Cántico de las criaturas</v>
      </c>
      <c r="Y20" t="str">
        <v>Aquí tienes el Pan</v>
      </c>
      <c r="Z20" t="str">
        <v>Evenu shalom alejem</v>
      </c>
    </row>
    <row r="21" spans="2:26" x14ac:dyDescent="0.3">
      <c r="B21" t="str">
        <v>Como la cierva</v>
      </c>
      <c r="F21" t="str">
        <v>Me levantaré</v>
      </c>
      <c r="G21" t="str">
        <v>Purifícame, Señor</v>
      </c>
      <c r="H21" t="str">
        <v>Una espiga dorada</v>
      </c>
      <c r="K21" t="str">
        <v>Bendito seas, Señor</v>
      </c>
      <c r="M21" t="str">
        <v>El cielo aguarda</v>
      </c>
      <c r="Q21" t="str">
        <v>Te damos gracias, Señor</v>
      </c>
      <c r="R21" s="24"/>
      <c r="S21" t="str">
        <v>Canto de María</v>
      </c>
      <c r="Y21" t="str">
        <v>Ayúdame a caminar</v>
      </c>
      <c r="Z21" t="str">
        <v>Haz de tu casa un Nazaret</v>
      </c>
    </row>
    <row r="22" spans="2:26" x14ac:dyDescent="0.3">
      <c r="B22" t="str">
        <v>Cómo podré pagarte</v>
      </c>
      <c r="F22" t="str">
        <v>Nada has pensado</v>
      </c>
      <c r="G22" t="str">
        <v>Se acerca el reino de Dios</v>
      </c>
      <c r="H22" t="str">
        <v>Una nueva vida</v>
      </c>
      <c r="K22" t="str">
        <v>Buen pastor</v>
      </c>
      <c r="M22" t="str">
        <v>En lo hondo</v>
      </c>
      <c r="Q22" t="str">
        <v>Tú eres el Dios que nos salva</v>
      </c>
      <c r="R22" s="24"/>
      <c r="S22" t="str">
        <v>Como María</v>
      </c>
      <c r="Y22" t="str">
        <v>Caminaré hoy en tu presencia</v>
      </c>
      <c r="Z22" t="str">
        <v>Más de ti, menos de mí</v>
      </c>
    </row>
    <row r="23" spans="2:26" x14ac:dyDescent="0.3">
      <c r="B23" t="str">
        <v>Como Tú</v>
      </c>
      <c r="F23" t="str">
        <v>Nada nos separará</v>
      </c>
      <c r="G23" t="str">
        <v>Vamos a preparar</v>
      </c>
      <c r="H23" t="str">
        <v>Vienen con alegría</v>
      </c>
      <c r="K23" t="str">
        <v>Caminaré en presencia del Señor</v>
      </c>
      <c r="M23" t="str">
        <v>Enciéndeme</v>
      </c>
      <c r="Q23" t="str">
        <v>Tu Palabra me da vida</v>
      </c>
      <c r="R23" s="24"/>
      <c r="S23" t="str">
        <v>Con sencillo corazón</v>
      </c>
      <c r="Y23" t="str">
        <v>Canta aleluya</v>
      </c>
      <c r="Z23" t="str">
        <v>Pregón Pascual (neocatecumenal)</v>
      </c>
    </row>
    <row r="24" spans="2:26" x14ac:dyDescent="0.3">
      <c r="B24" t="str">
        <v>Con amor eterno</v>
      </c>
      <c r="F24" t="str">
        <v>Pan y vino de amor</v>
      </c>
      <c r="G24" t="str">
        <v>Ven, Salvador</v>
      </c>
      <c r="K24" t="str">
        <v>Cantaré eternamente</v>
      </c>
      <c r="M24" t="str">
        <v>Entre anestesias</v>
      </c>
      <c r="Q24" t="str">
        <v>Un pueblo que camina por el mundo</v>
      </c>
      <c r="R24" s="24"/>
      <c r="S24" t="str">
        <v>Confianza en Dios</v>
      </c>
      <c r="Y24" t="str">
        <v>Cantemos al amor de los amores</v>
      </c>
      <c r="Z24" t="str">
        <v>Sálvame</v>
      </c>
    </row>
    <row r="25" spans="2:26" x14ac:dyDescent="0.3">
      <c r="B25" t="str">
        <v>Confia</v>
      </c>
      <c r="F25" t="str">
        <v>Que sea mi vida la sal</v>
      </c>
      <c r="K25" t="str">
        <v>Cantaré eternamente (II)</v>
      </c>
      <c r="M25" t="str">
        <v>Exulte mi alma</v>
      </c>
      <c r="Q25" t="str">
        <v>Una ciudad para todos</v>
      </c>
      <c r="R25" s="24"/>
      <c r="S25" t="str">
        <v>Constrúyenos la casa</v>
      </c>
      <c r="Y25" t="str">
        <v>Cerca de Ti, Señor</v>
      </c>
      <c r="Z25" t="str">
        <v>Shalom, te doy la paz</v>
      </c>
    </row>
    <row r="26" spans="2:26" x14ac:dyDescent="0.3">
      <c r="B26" t="str">
        <v>Confianza</v>
      </c>
      <c r="F26" t="str">
        <v>Quién tirará la primera piedra</v>
      </c>
      <c r="K26" t="str">
        <v>Cántico de Daniel</v>
      </c>
      <c r="M26" t="str">
        <v>Forofos</v>
      </c>
      <c r="Q26" t="str">
        <v>Unidos a todos los pueblos</v>
      </c>
      <c r="R26" s="24"/>
      <c r="S26" t="str">
        <v>Conviviendo en armonía</v>
      </c>
      <c r="Y26" t="str">
        <v>Como sal, como luz</v>
      </c>
      <c r="Z26" t="str">
        <v>Te doy mi corazón</v>
      </c>
    </row>
    <row r="27" spans="2:26" x14ac:dyDescent="0.3">
      <c r="B27" t="str">
        <v>Creatura habitada</v>
      </c>
      <c r="F27" t="str">
        <v>Señor, mírame</v>
      </c>
      <c r="K27" t="str">
        <v>Contra ti solo pequé</v>
      </c>
      <c r="M27" t="str">
        <v>Hoy en Belén</v>
      </c>
      <c r="Q27" t="str">
        <v>Vamos cantando al Señor</v>
      </c>
      <c r="R27" s="24"/>
      <c r="S27" t="str">
        <v>Cortó la roca</v>
      </c>
      <c r="Y27" t="str">
        <v>Confieso</v>
      </c>
      <c r="Z27" t="str">
        <v>Todo es tuyo</v>
      </c>
    </row>
    <row r="28" spans="2:26" x14ac:dyDescent="0.3">
      <c r="B28" t="str">
        <v>Dame una palabra</v>
      </c>
      <c r="F28" t="str">
        <v>Siempre estaré con vosotros</v>
      </c>
      <c r="K28" t="str">
        <v>Cordero de Dios</v>
      </c>
      <c r="M28" t="str">
        <v>Hoy te dejo</v>
      </c>
      <c r="R28" s="24"/>
      <c r="S28" t="str">
        <v>Credo</v>
      </c>
      <c r="Y28" t="str">
        <v>Corazón inquieto</v>
      </c>
      <c r="Z28" t="str">
        <v>Vamos, amigos</v>
      </c>
    </row>
    <row r="29" spans="2:26" x14ac:dyDescent="0.3">
      <c r="B29" t="str">
        <v>Danos de beber</v>
      </c>
      <c r="F29" t="str">
        <v>Ten piedad</v>
      </c>
      <c r="K29" t="str">
        <v>Cordero de Dios (misa coral)</v>
      </c>
      <c r="M29" t="str">
        <v>Huracán</v>
      </c>
      <c r="R29" s="24"/>
      <c r="S29" t="str">
        <v>Creo en ti</v>
      </c>
      <c r="Y29" t="str">
        <v>Cordero de Dios (Algete)</v>
      </c>
    </row>
    <row r="30" spans="2:26" x14ac:dyDescent="0.3">
      <c r="B30" t="str">
        <v>De todo corazón</v>
      </c>
      <c r="F30" t="str">
        <v>Ven, no apartes de mí los ojos</v>
      </c>
      <c r="K30" t="str">
        <v>Dad gracias al Señor</v>
      </c>
      <c r="M30" t="str">
        <v>Imprescindible</v>
      </c>
      <c r="R30" s="24"/>
      <c r="S30" t="str">
        <v>Cristo</v>
      </c>
      <c r="Y30" t="str">
        <v>Cordero de Dios (Aragüés)</v>
      </c>
    </row>
    <row r="31" spans="2:26" x14ac:dyDescent="0.3">
      <c r="B31" t="str">
        <v>Descálzate</v>
      </c>
      <c r="F31" t="str">
        <v>Vivir en el Señor</v>
      </c>
      <c r="K31" t="str">
        <v>Dales, Señor, el descanso eterno</v>
      </c>
      <c r="M31" t="str">
        <v>La piel por Ti</v>
      </c>
      <c r="R31" s="24"/>
      <c r="S31" t="str">
        <v>Cristo, Señor</v>
      </c>
      <c r="Y31" t="str">
        <v>Cordero de Dios (boliviano)</v>
      </c>
    </row>
    <row r="32" spans="2:26" x14ac:dyDescent="0.3">
      <c r="B32" t="str">
        <v>Descansa en ti su mirada</v>
      </c>
      <c r="F32" t="str">
        <v>Yo soy el que sirve</v>
      </c>
      <c r="K32" t="str">
        <v>De cosas sencillas</v>
      </c>
      <c r="M32" t="str">
        <v>Libertad</v>
      </c>
      <c r="R32" s="24"/>
      <c r="S32" t="str">
        <v>Danos tu espíritu</v>
      </c>
      <c r="Y32" t="str">
        <v>Cordero de Dios (Maristas)</v>
      </c>
    </row>
    <row r="33" spans="2:25" x14ac:dyDescent="0.3">
      <c r="B33" t="str">
        <v>Desde abajo</v>
      </c>
      <c r="K33" t="str">
        <v>Después de la medianoche</v>
      </c>
      <c r="M33" t="str">
        <v>Lo imposible</v>
      </c>
      <c r="R33" s="24"/>
      <c r="S33" t="str">
        <v>De lo débil saca fuerzas Dios</v>
      </c>
      <c r="Y33" t="str">
        <v>Cordero de Dios (MiEs)</v>
      </c>
    </row>
    <row r="34" spans="2:25" x14ac:dyDescent="0.3">
      <c r="B34" t="str">
        <v>Dios de la historia, bendice</v>
      </c>
      <c r="K34" t="str">
        <v>Dichoso quien se acuerda del hermano</v>
      </c>
      <c r="M34" t="str">
        <v>Me sobrepasa</v>
      </c>
      <c r="R34" s="24"/>
      <c r="S34" t="str">
        <v>Deja que en tu vida cante Él</v>
      </c>
      <c r="Y34" t="str">
        <v>Dime cómo ser pan</v>
      </c>
    </row>
    <row r="35" spans="2:25" x14ac:dyDescent="0.3">
      <c r="B35" t="str">
        <v>Dios fiel</v>
      </c>
      <c r="K35" t="str">
        <v>Dos señores</v>
      </c>
      <c r="M35" t="str">
        <v>Mi pobre loco</v>
      </c>
      <c r="R35" s="24"/>
      <c r="S35" t="str">
        <v>Dios de la vida</v>
      </c>
      <c r="Y35" t="str">
        <v>Dios es fiel</v>
      </c>
    </row>
    <row r="36" spans="2:25" x14ac:dyDescent="0.3">
      <c r="B36" t="str">
        <v>Discípulos</v>
      </c>
      <c r="K36" t="str">
        <v>El alzar de mis manos</v>
      </c>
      <c r="M36" t="str">
        <v>Mirada</v>
      </c>
      <c r="R36" s="24"/>
      <c r="S36" t="str">
        <v>Dios en la ciudad</v>
      </c>
      <c r="Y36" t="str">
        <v>Dios está aquí</v>
      </c>
    </row>
    <row r="37" spans="2:25" x14ac:dyDescent="0.3">
      <c r="B37" t="str">
        <v>El amor</v>
      </c>
      <c r="K37" t="str">
        <v>El auxilio me viene del Señor</v>
      </c>
      <c r="M37" t="str">
        <v>Nacidos de lo alto</v>
      </c>
      <c r="R37" s="24"/>
      <c r="S37" t="str">
        <v>Diremos que sí</v>
      </c>
      <c r="Y37" t="str">
        <v>Dulce muchacha humilde de Palestina</v>
      </c>
    </row>
    <row r="38" spans="2:25" x14ac:dyDescent="0.3">
      <c r="B38" t="str">
        <v>El amor no dice basta</v>
      </c>
      <c r="K38" t="str">
        <v>El cáliz que bendecimos</v>
      </c>
      <c r="M38" t="str">
        <v>Noche</v>
      </c>
      <c r="R38" s="24"/>
      <c r="S38" t="str">
        <v>El agua del Señor</v>
      </c>
      <c r="Y38" t="str">
        <v>El camino no lo haremos solos</v>
      </c>
    </row>
    <row r="39" spans="2:25" x14ac:dyDescent="0.3">
      <c r="B39" t="str">
        <v>El Reino de Dios</v>
      </c>
      <c r="K39" t="str">
        <v>El cielo proclama la gloria de Dios</v>
      </c>
      <c r="M39" t="str">
        <v>Nombre sobre todo nombre</v>
      </c>
      <c r="R39" s="24"/>
      <c r="S39" t="str">
        <v>El amor es nuestro canto</v>
      </c>
      <c r="Y39" t="str">
        <v>El que muere por mí</v>
      </c>
    </row>
    <row r="40" spans="2:25" x14ac:dyDescent="0.3">
      <c r="B40" t="str">
        <v>El siervo</v>
      </c>
      <c r="K40" t="str">
        <v>El pobre Lázaro</v>
      </c>
      <c r="M40" t="str">
        <v>Ocúpate Tú de todo</v>
      </c>
      <c r="R40" s="24"/>
      <c r="S40" t="str">
        <v>El don de la fraternidad</v>
      </c>
      <c r="Y40" t="str">
        <v>El Señor Dios nos amó</v>
      </c>
    </row>
    <row r="41" spans="2:25" x14ac:dyDescent="0.3">
      <c r="B41" t="str">
        <v>En ti</v>
      </c>
      <c r="K41" t="str">
        <v>El Señor de los ejércitos</v>
      </c>
      <c r="M41" t="str">
        <v>Ojalá</v>
      </c>
      <c r="R41" s="24"/>
      <c r="S41" t="str">
        <v>El Señor es la esperanza</v>
      </c>
      <c r="Y41" t="str">
        <v>El Señor es mi luz</v>
      </c>
    </row>
    <row r="42" spans="2:25" x14ac:dyDescent="0.3">
      <c r="B42" t="str">
        <v>Es mi hermano</v>
      </c>
      <c r="K42" t="str">
        <v>El Señor es bueno</v>
      </c>
      <c r="M42" t="str">
        <v>Olor a tostadas</v>
      </c>
      <c r="R42" s="24"/>
      <c r="S42" t="str">
        <v>El Señor está aquí</v>
      </c>
      <c r="Y42" t="str">
        <v>El Señor es mi pastor (Nico Montero)</v>
      </c>
    </row>
    <row r="43" spans="2:25" x14ac:dyDescent="0.3">
      <c r="B43" t="str">
        <v>Escucha</v>
      </c>
      <c r="K43" t="str">
        <v>El Señor es mi pastor</v>
      </c>
      <c r="M43" t="str">
        <v>Pasión de Dios</v>
      </c>
      <c r="R43" s="24"/>
      <c r="S43" t="str">
        <v>El Señor nos ha reunido</v>
      </c>
      <c r="Y43" t="str">
        <v>Él vendrá y te salvará</v>
      </c>
    </row>
    <row r="44" spans="2:25" x14ac:dyDescent="0.3">
      <c r="B44" t="str">
        <v>Fuego</v>
      </c>
      <c r="K44" t="str">
        <v>El Señor ha estado grande con nosotros</v>
      </c>
      <c r="M44" t="str">
        <v>Pasión I No sé qué viste en mí</v>
      </c>
      <c r="R44" s="24"/>
      <c r="S44" t="str">
        <v>El Señor os dará su Espíritu Santo</v>
      </c>
      <c r="Y44" t="str">
        <v>En el mar he oído hoy</v>
      </c>
    </row>
    <row r="45" spans="2:25" x14ac:dyDescent="0.3">
      <c r="B45" t="str">
        <v>Fuertes, humildes y diligentes</v>
      </c>
      <c r="K45" t="str">
        <v>El Señor tenga piedad</v>
      </c>
      <c r="M45" t="str">
        <v>Pasión II Mi peso en tus hombros</v>
      </c>
      <c r="R45" s="24"/>
      <c r="S45" t="str">
        <v>En comunidad</v>
      </c>
      <c r="Y45" t="str">
        <v>En el Señor estamos congregados</v>
      </c>
    </row>
    <row r="46" spans="2:25" x14ac:dyDescent="0.3">
      <c r="B46" t="str">
        <v>Gloria Trinitario</v>
      </c>
      <c r="K46" t="str">
        <v>En la plaza de un pueblo</v>
      </c>
      <c r="M46" t="str">
        <v>Pasión III Paraísos sin tu rostro</v>
      </c>
      <c r="R46" s="24"/>
      <c r="S46" t="str">
        <v>En la cruz nos das la vida</v>
      </c>
      <c r="Y46" t="str">
        <v>En mi Getsemaní</v>
      </c>
    </row>
    <row r="47" spans="2:25" x14ac:dyDescent="0.3">
      <c r="B47" t="str">
        <v>Habitaré</v>
      </c>
      <c r="K47" t="str">
        <v>En la viña del Señor</v>
      </c>
      <c r="M47" t="str">
        <v>Pasión IV Un dios débil</v>
      </c>
      <c r="R47" s="24"/>
      <c r="S47" t="str">
        <v>En la esperanza, Madre</v>
      </c>
      <c r="Y47" t="str">
        <v>Es de locos</v>
      </c>
    </row>
    <row r="48" spans="2:25" x14ac:dyDescent="0.3">
      <c r="B48" t="str">
        <v>Hágase</v>
      </c>
      <c r="K48" t="str">
        <v>Es bueno dar gracias al Señor</v>
      </c>
      <c r="M48" t="str">
        <v>Pasión IX Por qué</v>
      </c>
      <c r="R48" s="24"/>
      <c r="S48" t="str">
        <v>En ti solo descanso</v>
      </c>
      <c r="Y48" t="str">
        <v>Esto que te doy</v>
      </c>
    </row>
    <row r="49" spans="2:25" x14ac:dyDescent="0.3">
      <c r="B49" t="str">
        <v>Hambre y sed de Ti</v>
      </c>
      <c r="K49" t="str">
        <v>Fariseo y publicano</v>
      </c>
      <c r="M49" t="str">
        <v>Pasión V Cirineo</v>
      </c>
      <c r="R49" s="24"/>
      <c r="S49" t="str">
        <v>En torno al pan</v>
      </c>
      <c r="Y49" t="str">
        <v>Gloria a Dios, gloria al Padre</v>
      </c>
    </row>
    <row r="50" spans="2:25" x14ac:dyDescent="0.3">
      <c r="B50" t="str">
        <v>He venido a servir</v>
      </c>
      <c r="K50" t="str">
        <v>Gloria (misa coral)</v>
      </c>
      <c r="M50" t="str">
        <v>Pasión VI Verónica</v>
      </c>
      <c r="R50" s="24"/>
      <c r="S50" t="str">
        <v>En tu cruz sigues hoy</v>
      </c>
      <c r="Y50" t="str">
        <v>Gloria y alabanza</v>
      </c>
    </row>
    <row r="51" spans="2:25" x14ac:dyDescent="0.3">
      <c r="B51" t="str">
        <v>Heme aquí</v>
      </c>
      <c r="K51" t="str">
        <v>Gloria a Dios en el cielo</v>
      </c>
      <c r="M51" t="str">
        <v>Pasión VII Y te caes</v>
      </c>
      <c r="R51" s="24"/>
      <c r="S51" t="str">
        <v>Enséñanos a orar</v>
      </c>
      <c r="Y51" t="str">
        <v>Gloria, gloria, aleluya</v>
      </c>
    </row>
    <row r="52" spans="2:25" x14ac:dyDescent="0.3">
      <c r="B52" t="str">
        <v>Invítanos</v>
      </c>
      <c r="K52" t="str">
        <v>Himno a Nuestra Señora de la Almudena</v>
      </c>
      <c r="M52" t="str">
        <v>Pasión VIII Jerusalén</v>
      </c>
      <c r="R52" s="24"/>
      <c r="S52" t="str">
        <v>Eres el fuego, el amor</v>
      </c>
      <c r="Y52" t="str">
        <v>Gracias, Señor</v>
      </c>
    </row>
    <row r="53" spans="2:25" x14ac:dyDescent="0.3">
      <c r="B53" t="str">
        <v>Jesús</v>
      </c>
      <c r="K53" t="str">
        <v>Invitación</v>
      </c>
      <c r="M53" t="str">
        <v>Pasión X Despojado</v>
      </c>
      <c r="R53" s="24"/>
      <c r="S53" t="str">
        <v>Escucha María</v>
      </c>
      <c r="Y53" t="str">
        <v>Gritad que Dios es grande</v>
      </c>
    </row>
    <row r="54" spans="2:25" x14ac:dyDescent="0.3">
      <c r="B54" t="str">
        <v>La moneda perdida</v>
      </c>
      <c r="K54" t="str">
        <v>Junto a los canales de Babilonia</v>
      </c>
      <c r="M54" t="str">
        <v>Pasión XI La medida del amor</v>
      </c>
      <c r="R54" s="24"/>
      <c r="S54" t="str">
        <v>Esperad al Señor</v>
      </c>
      <c r="Y54" t="str">
        <v>Hágase</v>
      </c>
    </row>
    <row r="55" spans="2:25" x14ac:dyDescent="0.3">
      <c r="B55" t="str">
        <v>La mujer cananea</v>
      </c>
      <c r="K55" t="str">
        <v>Llena está la tierra de tus criaturas</v>
      </c>
      <c r="M55" t="str">
        <v>Pasión XIII Madre</v>
      </c>
      <c r="R55" s="24"/>
      <c r="S55" t="str">
        <v>Esperando con María</v>
      </c>
      <c r="Y55" t="str">
        <v>Hay un corazón que late</v>
      </c>
    </row>
    <row r="56" spans="2:25" x14ac:dyDescent="0.3">
      <c r="B56" t="str">
        <v>La mujer del perfume</v>
      </c>
      <c r="K56" t="str">
        <v>Madre de los creyentes</v>
      </c>
      <c r="M56" t="str">
        <v>Pasión XIV Donde estás tú</v>
      </c>
      <c r="R56" s="24"/>
      <c r="S56" t="str">
        <v>Estoy creyendo en ti (credo)</v>
      </c>
      <c r="Y56" t="str">
        <v>Himno a San José</v>
      </c>
    </row>
    <row r="57" spans="2:25" x14ac:dyDescent="0.3">
      <c r="B57" t="str">
        <v>La piedra angular</v>
      </c>
      <c r="K57" t="str">
        <v>Madre del Redentor</v>
      </c>
      <c r="M57" t="str">
        <v>Pasión XV Soy libre</v>
      </c>
      <c r="R57" s="24"/>
      <c r="S57" t="str">
        <v>Fraternidad</v>
      </c>
      <c r="Y57" t="str">
        <v>Hoy el Señor resucitó</v>
      </c>
    </row>
    <row r="58" spans="2:25" x14ac:dyDescent="0.3">
      <c r="B58" t="str">
        <v>Lámpara es tu palabra</v>
      </c>
      <c r="K58" t="str">
        <v>Madre nuestra</v>
      </c>
      <c r="M58" t="str">
        <v>Pasión XVI Por mí, por ti</v>
      </c>
      <c r="R58" s="24"/>
      <c r="S58" t="str">
        <v>Fueron valientes</v>
      </c>
      <c r="Y58" t="str">
        <v>Hoy, Señor, me has vuelto a perdonar</v>
      </c>
    </row>
    <row r="59" spans="2:25" x14ac:dyDescent="0.3">
      <c r="B59" t="str">
        <v>Llama de amor viva</v>
      </c>
      <c r="K59" t="str">
        <v>Magnificat</v>
      </c>
      <c r="M59" t="str">
        <v>Pluma de escribano</v>
      </c>
      <c r="R59" s="24"/>
      <c r="S59" t="str">
        <v>Gloria</v>
      </c>
      <c r="Y59" t="str">
        <v>Ilumíname, Señor</v>
      </c>
    </row>
    <row r="60" spans="2:25" x14ac:dyDescent="0.3">
      <c r="B60" t="str">
        <v>Llueve Tú</v>
      </c>
      <c r="K60" t="str">
        <v>Morada de la luz</v>
      </c>
      <c r="M60" t="str">
        <v>Por qué lloras</v>
      </c>
      <c r="R60" s="24"/>
      <c r="S60" t="str">
        <v>Gloria (por María)</v>
      </c>
      <c r="Y60" t="str">
        <v>Jesús, amigo</v>
      </c>
    </row>
    <row r="61" spans="2:25" x14ac:dyDescent="0.3">
      <c r="B61" t="str">
        <v>Los incontables</v>
      </c>
      <c r="K61" t="str">
        <v>Mujer fuerte</v>
      </c>
      <c r="M61" t="str">
        <v>Pringados</v>
      </c>
      <c r="R61" s="24"/>
      <c r="S61" t="str">
        <v>Gloria a Dios (No sé cómo alabarte)</v>
      </c>
      <c r="Y61" t="str">
        <v>Jesús, nuestra Pascua</v>
      </c>
    </row>
    <row r="62" spans="2:25" x14ac:dyDescent="0.3">
      <c r="B62" t="str">
        <v>Magnificat</v>
      </c>
      <c r="K62" t="str">
        <v>Oh, Dios, Tú mereces un himno en Sión</v>
      </c>
      <c r="M62" t="str">
        <v>Qué bien se está cuando se está bien</v>
      </c>
      <c r="R62" s="24"/>
      <c r="S62" t="str">
        <v>Gracias Madre</v>
      </c>
      <c r="Y62" t="str">
        <v>Junto a ti, María</v>
      </c>
    </row>
    <row r="63" spans="2:25" x14ac:dyDescent="0.3">
      <c r="B63" t="str">
        <v>Miradle</v>
      </c>
      <c r="K63" t="str">
        <v>Padre nuestro</v>
      </c>
      <c r="M63" t="str">
        <v>Que no se pierda ninguno</v>
      </c>
      <c r="R63" s="24"/>
      <c r="S63" t="str">
        <v>Gracias por tu don</v>
      </c>
      <c r="Y63" t="str">
        <v>Juntos cantemos hoy</v>
      </c>
    </row>
    <row r="64" spans="2:25" x14ac:dyDescent="0.3">
      <c r="B64" t="str">
        <v>No guardes tu vida</v>
      </c>
      <c r="K64" t="str">
        <v>Padre nuestro (misa coral)</v>
      </c>
      <c r="M64" t="str">
        <v>Quiero cenar contigo</v>
      </c>
      <c r="R64" s="24"/>
      <c r="S64" t="str">
        <v>Grito libertad</v>
      </c>
      <c r="Y64" t="str">
        <v>Juntos nos acercamos</v>
      </c>
    </row>
    <row r="65" spans="2:25" x14ac:dyDescent="0.3">
      <c r="B65" t="str">
        <v>No temas</v>
      </c>
      <c r="K65" t="str">
        <v>Protégeme, Dios mío</v>
      </c>
      <c r="M65" t="str">
        <v>Revolución</v>
      </c>
      <c r="R65" s="24"/>
      <c r="S65" t="str">
        <v>Háblame</v>
      </c>
      <c r="Y65" t="str">
        <v>La cena del Señor</v>
      </c>
    </row>
    <row r="66" spans="2:25" x14ac:dyDescent="0.3">
      <c r="B66" t="str">
        <v>No tengas miedo</v>
      </c>
      <c r="K66" t="str">
        <v>Que en nuestros días reine la paz</v>
      </c>
      <c r="M66" t="str">
        <v>Sencillamente</v>
      </c>
      <c r="R66" s="24"/>
      <c r="S66" t="str">
        <v>Haced lo que Él os diga</v>
      </c>
      <c r="Y66" t="str">
        <v>La paz te doy</v>
      </c>
    </row>
    <row r="67" spans="2:25" x14ac:dyDescent="0.3">
      <c r="B67" t="str">
        <v>Os envío</v>
      </c>
      <c r="K67" t="str">
        <v>Quién puede entrar en tu templo</v>
      </c>
      <c r="M67" t="str">
        <v>Siempre imaginé</v>
      </c>
      <c r="R67" s="24"/>
      <c r="S67" t="str">
        <v>Hermano entre los hombres</v>
      </c>
      <c r="Y67" t="str">
        <v>La Virgen sueña caminos</v>
      </c>
    </row>
    <row r="68" spans="2:25" x14ac:dyDescent="0.3">
      <c r="B68" t="str">
        <v>Palabra</v>
      </c>
      <c r="K68" t="str">
        <v>Reina del Cielo</v>
      </c>
      <c r="M68" t="str">
        <v>Tan cerca</v>
      </c>
      <c r="R68" s="24"/>
      <c r="S68" t="str">
        <v>Hermano, adiós</v>
      </c>
      <c r="Y68" t="str">
        <v>Letanías</v>
      </c>
    </row>
    <row r="69" spans="2:25" x14ac:dyDescent="0.3">
      <c r="B69" t="str">
        <v>Palabra encarnada</v>
      </c>
      <c r="K69" t="str">
        <v>Reunidos en el nombre del Señor</v>
      </c>
      <c r="M69" t="str">
        <v>Todo</v>
      </c>
      <c r="R69" s="24"/>
      <c r="S69" t="str">
        <v>Himno a Dios</v>
      </c>
      <c r="Y69" t="str">
        <v>Llevad la buena noticia</v>
      </c>
    </row>
    <row r="70" spans="2:25" x14ac:dyDescent="0.3">
      <c r="B70" t="str">
        <v>Palabras de vida</v>
      </c>
      <c r="K70" t="str">
        <v>Santo (misa coral)</v>
      </c>
      <c r="M70" t="str">
        <v>Todos por todos</v>
      </c>
      <c r="R70" s="24"/>
      <c r="S70" t="str">
        <v>Jesús es Señor</v>
      </c>
      <c r="Y70" t="str">
        <v>María de Nazaret</v>
      </c>
    </row>
    <row r="71" spans="2:25" x14ac:dyDescent="0.3">
      <c r="B71" t="str">
        <v>Para estar contigo</v>
      </c>
      <c r="K71" t="str">
        <v>Santo (Palazón)</v>
      </c>
      <c r="M71" t="str">
        <v>Tomad, comed</v>
      </c>
      <c r="R71" s="24"/>
      <c r="S71" t="str">
        <v>Jesús es verdad</v>
      </c>
      <c r="Y71" t="str">
        <v>María, madre nuestra</v>
      </c>
    </row>
    <row r="72" spans="2:25" x14ac:dyDescent="0.3">
      <c r="B72" t="str">
        <v>Ponéos en pie</v>
      </c>
      <c r="K72" t="str">
        <v>Señor, Dios nuestro</v>
      </c>
      <c r="M72" t="str">
        <v>Tonto</v>
      </c>
      <c r="R72" s="24"/>
      <c r="S72" t="str">
        <v>Jesús está entre nosotros</v>
      </c>
      <c r="Y72" t="str">
        <v>María, mírame</v>
      </c>
    </row>
    <row r="73" spans="2:25" x14ac:dyDescent="0.3">
      <c r="B73" t="str">
        <v>Por amor a tu pueblo</v>
      </c>
      <c r="K73" t="str">
        <v>Señor, escucha mi oración</v>
      </c>
      <c r="M73" t="str">
        <v>Tu misericordia</v>
      </c>
      <c r="R73" s="24"/>
      <c r="S73" t="str">
        <v>Jesús te ama</v>
      </c>
      <c r="Y73" t="str">
        <v>Mi Dios está vivo</v>
      </c>
    </row>
    <row r="74" spans="2:25" x14ac:dyDescent="0.3">
      <c r="B74" t="str">
        <v>Pueblo Suyo</v>
      </c>
      <c r="K74" t="str">
        <v>Señor, ten piedad (Alrededor de tu mesa)</v>
      </c>
      <c r="M74" t="str">
        <v>Tu rostro</v>
      </c>
      <c r="R74" s="24"/>
      <c r="S74" t="str">
        <v>Jesús, cámbianos</v>
      </c>
      <c r="Y74" t="str">
        <v>Muéveme mi Dios</v>
      </c>
    </row>
    <row r="75" spans="2:25" x14ac:dyDescent="0.3">
      <c r="B75" t="str">
        <v>Que se alegren tus entrañas</v>
      </c>
      <c r="K75" t="str">
        <v>Señor, tú has sido nuestro refugio</v>
      </c>
      <c r="M75" t="str">
        <v>Un paso más</v>
      </c>
      <c r="R75" s="24"/>
      <c r="S75" t="str">
        <v>La bondad y el amor del Señor</v>
      </c>
      <c r="Y75" t="str">
        <v>Nadie te ama como Yo</v>
      </c>
    </row>
    <row r="76" spans="2:25" x14ac:dyDescent="0.3">
      <c r="B76" t="str">
        <v>Quedas libre</v>
      </c>
      <c r="K76" t="str">
        <v>Si me falta el amor</v>
      </c>
      <c r="M76" t="str">
        <v>Un segundo</v>
      </c>
      <c r="R76" s="24"/>
      <c r="S76" t="str">
        <v>La libertad del Espíritu</v>
      </c>
      <c r="Y76" t="str">
        <v>Navidad, es Navidad</v>
      </c>
    </row>
    <row r="77" spans="2:25" x14ac:dyDescent="0.3">
      <c r="B77" t="str">
        <v>Realidad</v>
      </c>
      <c r="K77" t="str">
        <v>Te doy gracias, Señor</v>
      </c>
      <c r="M77" t="str">
        <v>Vértigo</v>
      </c>
      <c r="R77" s="24"/>
      <c r="S77" t="str">
        <v>Llama de vida</v>
      </c>
      <c r="Y77" t="str">
        <v>Navidad, Navidad</v>
      </c>
    </row>
    <row r="78" spans="2:25" x14ac:dyDescent="0.3">
      <c r="B78" t="str">
        <v>Recibid mi Espíritu</v>
      </c>
      <c r="K78" t="str">
        <v>Ten piedad</v>
      </c>
      <c r="R78" s="24"/>
      <c r="S78" t="str">
        <v>Lo entregaron todo</v>
      </c>
      <c r="Y78" t="str">
        <v>No me mueve</v>
      </c>
    </row>
    <row r="79" spans="2:25" x14ac:dyDescent="0.3">
      <c r="B79" t="str">
        <v>Samaritano</v>
      </c>
      <c r="K79" t="str">
        <v>Tuyo es el reino</v>
      </c>
      <c r="R79" s="24"/>
      <c r="S79" t="str">
        <v>Madre de los hijos pobres</v>
      </c>
      <c r="Y79" t="str">
        <v>No se cansó de hacer el bien</v>
      </c>
    </row>
    <row r="80" spans="2:25" x14ac:dyDescent="0.3">
      <c r="B80" t="str">
        <v>Santo</v>
      </c>
      <c r="K80" t="str">
        <v>Unidos por la fe y el amor</v>
      </c>
      <c r="R80" s="24"/>
      <c r="S80" t="str">
        <v>Magnificat</v>
      </c>
      <c r="Y80" t="str">
        <v>No temas</v>
      </c>
    </row>
    <row r="81" spans="2:25" x14ac:dyDescent="0.3">
      <c r="B81" t="str">
        <v>Sé mi luz</v>
      </c>
      <c r="K81" t="str">
        <v>Vaso nuevo</v>
      </c>
      <c r="R81" s="24"/>
      <c r="S81" t="str">
        <v>Mantas de cartón</v>
      </c>
      <c r="Y81" t="str">
        <v>Oh, Dios, tú eres mi Dios (Sed de Dios)</v>
      </c>
    </row>
    <row r="82" spans="2:25" x14ac:dyDescent="0.3">
      <c r="B82" t="str">
        <v>Secuencia pascual</v>
      </c>
      <c r="K82" t="str">
        <v>Y ciegos son los hombres</v>
      </c>
      <c r="R82" s="24"/>
      <c r="S82" t="str">
        <v>María, la madre buena</v>
      </c>
      <c r="Y82" t="str">
        <v>Oh, Señor, mueve mi espíritu</v>
      </c>
    </row>
    <row r="83" spans="2:25" x14ac:dyDescent="0.3">
      <c r="B83" t="str">
        <v>Sed felices</v>
      </c>
      <c r="R83" s="24"/>
      <c r="S83" t="str">
        <v>María, madre del dolor</v>
      </c>
      <c r="Y83" t="str">
        <v>Padre nuestro (mexicano)</v>
      </c>
    </row>
    <row r="84" spans="2:25" x14ac:dyDescent="0.3">
      <c r="B84" t="str">
        <v>Seguirte</v>
      </c>
      <c r="R84" s="24"/>
      <c r="S84" t="str">
        <v>María, música de Dios</v>
      </c>
      <c r="Y84" t="str">
        <v>Padre nuestro zaragozano</v>
      </c>
    </row>
    <row r="85" spans="2:25" x14ac:dyDescent="0.3">
      <c r="B85" t="str">
        <v>Señor de la sabiduría</v>
      </c>
      <c r="R85" s="24"/>
      <c r="S85" t="str">
        <v>Me estás llamando</v>
      </c>
      <c r="Y85" t="str">
        <v>Padre nuestro, tú que estás</v>
      </c>
    </row>
    <row r="86" spans="2:25" x14ac:dyDescent="0.3">
      <c r="B86" t="str">
        <v>Señor mío y Dios mío</v>
      </c>
      <c r="R86" s="24"/>
      <c r="S86" t="str">
        <v>Me has seducido, Señor</v>
      </c>
      <c r="Y86" t="str">
        <v>Para el que sabe</v>
      </c>
    </row>
    <row r="87" spans="2:25" x14ac:dyDescent="0.3">
      <c r="B87" t="str">
        <v>Sólo en Dios</v>
      </c>
      <c r="R87" s="24"/>
      <c r="S87" t="str">
        <v>Mirad, Jesús resucita hoy</v>
      </c>
      <c r="Y87" t="str">
        <v>Paz, Señor, en el cielo y la tierra</v>
      </c>
    </row>
    <row r="88" spans="2:25" x14ac:dyDescent="0.3">
      <c r="B88" t="str">
        <v>Sólo Tú</v>
      </c>
      <c r="R88" s="24"/>
      <c r="S88" t="str">
        <v>Nacidos de la cruz</v>
      </c>
      <c r="Y88" t="str">
        <v>Pon tu mano</v>
      </c>
    </row>
    <row r="89" spans="2:25" x14ac:dyDescent="0.3">
      <c r="B89" t="str">
        <v>Somos del Señor</v>
      </c>
      <c r="R89" s="24"/>
      <c r="S89" t="str">
        <v>Nacidos de mujer</v>
      </c>
      <c r="Y89" t="str">
        <v>Por los hombres</v>
      </c>
    </row>
    <row r="90" spans="2:25" x14ac:dyDescent="0.3">
      <c r="B90" t="str">
        <v>Te basta mi gracia</v>
      </c>
      <c r="R90" s="24"/>
      <c r="S90" t="str">
        <v>Niño</v>
      </c>
      <c r="Y90" t="str">
        <v>Preparad el camino al Señor</v>
      </c>
    </row>
    <row r="91" spans="2:25" x14ac:dyDescent="0.3">
      <c r="B91" t="str">
        <v>Ten piedad</v>
      </c>
      <c r="R91" s="24"/>
      <c r="S91" t="str">
        <v>No durmáis</v>
      </c>
      <c r="Y91" t="str">
        <v>Principio y fundamento</v>
      </c>
    </row>
    <row r="92" spans="2:25" x14ac:dyDescent="0.3">
      <c r="B92" t="str">
        <v>Tú eres mi bien</v>
      </c>
      <c r="R92" s="24"/>
      <c r="S92" t="str">
        <v>No es fácil</v>
      </c>
      <c r="Y92" t="str">
        <v>Quién nos separará</v>
      </c>
    </row>
    <row r="93" spans="2:25" x14ac:dyDescent="0.3">
      <c r="B93" t="str">
        <v>Tú lo sabes</v>
      </c>
      <c r="R93" s="24"/>
      <c r="S93" t="str">
        <v>No quiero alejarme de ti</v>
      </c>
      <c r="Y93" t="str">
        <v>Quiero alabarte</v>
      </c>
    </row>
    <row r="94" spans="2:25" x14ac:dyDescent="0.3">
      <c r="B94" t="str">
        <v>Ven, Espíritu</v>
      </c>
      <c r="R94" s="24"/>
      <c r="S94" t="str">
        <v>No temáis</v>
      </c>
      <c r="Y94" t="str">
        <v>Quiero caminar</v>
      </c>
    </row>
    <row r="95" spans="2:25" x14ac:dyDescent="0.3">
      <c r="B95" t="str">
        <v>Ven, Espíritu de Dios</v>
      </c>
      <c r="R95" s="24"/>
      <c r="S95" t="str">
        <v>Nos marca el caminar</v>
      </c>
      <c r="Y95" t="str">
        <v>Quiero caminar contigo, María</v>
      </c>
    </row>
    <row r="96" spans="2:25" x14ac:dyDescent="0.3">
      <c r="B96" t="str">
        <v>Ven, Señor</v>
      </c>
      <c r="R96" s="24"/>
      <c r="S96" t="str">
        <v>Nuestra buena madre</v>
      </c>
      <c r="Y96" t="str">
        <v>Quiero ser pan</v>
      </c>
    </row>
    <row r="97" spans="2:25" x14ac:dyDescent="0.3">
      <c r="B97" t="str">
        <v>Vengan a mi</v>
      </c>
      <c r="R97" s="24"/>
      <c r="S97" t="str">
        <v>Oración del pobre</v>
      </c>
      <c r="Y97" t="str">
        <v>Resucitó, aleluya</v>
      </c>
    </row>
    <row r="98" spans="2:25" x14ac:dyDescent="0.3">
      <c r="B98" t="str">
        <v>Venid conmigo</v>
      </c>
      <c r="R98" s="24"/>
      <c r="S98" t="str">
        <v>Padre de las misericordias</v>
      </c>
      <c r="Y98" t="str">
        <v>Salve, Madre</v>
      </c>
    </row>
    <row r="99" spans="2:25" x14ac:dyDescent="0.3">
      <c r="B99" t="str">
        <v>Vid verdadera</v>
      </c>
      <c r="R99" s="24"/>
      <c r="S99" t="str">
        <v>Padre nuestro I</v>
      </c>
      <c r="Y99" t="str">
        <v>Salve, Regina</v>
      </c>
    </row>
    <row r="100" spans="2:25" x14ac:dyDescent="0.3">
      <c r="B100" t="str">
        <v>Volemos</v>
      </c>
      <c r="R100" s="24"/>
      <c r="S100" t="str">
        <v>Padre, me pongo en tus manos</v>
      </c>
      <c r="Y100" t="str">
        <v>Santo (Cielo y tierra pasarán)</v>
      </c>
    </row>
    <row r="101" spans="2:25" x14ac:dyDescent="0.3">
      <c r="B101" t="str">
        <v>Yo soy</v>
      </c>
      <c r="R101" s="24"/>
      <c r="S101" t="str">
        <v>Padre, vuelvo a ti</v>
      </c>
      <c r="Y101" t="str">
        <v>Santo (Händel)</v>
      </c>
    </row>
    <row r="102" spans="2:25" x14ac:dyDescent="0.3">
      <c r="B102" t="str">
        <v>Yo soy el que vive</v>
      </c>
      <c r="R102" s="24"/>
      <c r="S102" t="str">
        <v>Padrenuestro</v>
      </c>
      <c r="Y102" t="str">
        <v>Santo (Mocedades)</v>
      </c>
    </row>
    <row r="103" spans="2:25" x14ac:dyDescent="0.3">
      <c r="R103" s="24"/>
      <c r="S103" t="str">
        <v>Paz en la tierra</v>
      </c>
      <c r="Y103" t="str">
        <v>Santo (Olguín)</v>
      </c>
    </row>
    <row r="104" spans="2:25" x14ac:dyDescent="0.3">
      <c r="R104" s="24"/>
      <c r="S104" t="str">
        <v>Pequeño corazón</v>
      </c>
      <c r="Y104" t="str">
        <v>Santo (Santo Domingo de Silos)</v>
      </c>
    </row>
    <row r="105" spans="2:25" x14ac:dyDescent="0.3">
      <c r="R105" s="24"/>
      <c r="S105" t="str">
        <v>Pregón Pascual (Aleluya)</v>
      </c>
      <c r="Y105" t="str">
        <v>Santo (The Beatles)</v>
      </c>
    </row>
    <row r="106" spans="2:25" x14ac:dyDescent="0.3">
      <c r="R106" s="24"/>
      <c r="S106" t="str">
        <v>Pregón Pascual (Gloria)</v>
      </c>
      <c r="Y106" t="str">
        <v>Santo eres, Señor, Dios nuestro</v>
      </c>
    </row>
    <row r="107" spans="2:25" x14ac:dyDescent="0.3">
      <c r="R107" s="24"/>
      <c r="S107" t="str">
        <v>Quédate aquí, Señor</v>
      </c>
      <c r="Y107" t="str">
        <v>Santo es el Señor</v>
      </c>
    </row>
    <row r="108" spans="2:25" x14ac:dyDescent="0.3">
      <c r="R108" s="24"/>
      <c r="S108" t="str">
        <v>Quéjate si puedes</v>
      </c>
      <c r="Y108" t="str">
        <v>Santo salvadoreño</v>
      </c>
    </row>
    <row r="109" spans="2:25" x14ac:dyDescent="0.3">
      <c r="R109" s="24"/>
      <c r="S109" t="str">
        <v>Rezar no es otra cosa</v>
      </c>
      <c r="Y109" t="str">
        <v>Santo zaireño</v>
      </c>
    </row>
    <row r="110" spans="2:25" x14ac:dyDescent="0.3">
      <c r="R110" s="24"/>
      <c r="S110" t="str">
        <v>Seguir amando</v>
      </c>
      <c r="Y110" t="str">
        <v>Santo, Santo, Santo</v>
      </c>
    </row>
    <row r="111" spans="2:25" x14ac:dyDescent="0.3">
      <c r="R111" s="24"/>
      <c r="S111" t="str">
        <v>Señor Dios, me tienes ante ti</v>
      </c>
      <c r="Y111" t="str">
        <v>Se acerca tu Navidad</v>
      </c>
    </row>
    <row r="112" spans="2:25" x14ac:dyDescent="0.3">
      <c r="R112" s="24"/>
      <c r="S112" t="str">
        <v>Señor, yo no soy digno</v>
      </c>
      <c r="Y112" t="str">
        <v>Secuencia de Pascua</v>
      </c>
    </row>
    <row r="113" spans="18:25" x14ac:dyDescent="0.3">
      <c r="R113" s="24"/>
      <c r="S113" t="str">
        <v>Sí, Jesús</v>
      </c>
      <c r="Y113" t="str">
        <v>Señor, ten piedad</v>
      </c>
    </row>
    <row r="114" spans="18:25" x14ac:dyDescent="0.3">
      <c r="R114" s="24"/>
      <c r="S114" t="str">
        <v>Siento tu llamada</v>
      </c>
      <c r="Y114" t="str">
        <v>Señor, ten piedad de nosotros</v>
      </c>
    </row>
    <row r="115" spans="18:25" x14ac:dyDescent="0.3">
      <c r="R115" s="24"/>
      <c r="S115" t="str">
        <v>Somos canción</v>
      </c>
      <c r="Y115" t="str">
        <v>Shalom haberim</v>
      </c>
    </row>
    <row r="116" spans="18:25" x14ac:dyDescent="0.3">
      <c r="R116" s="24"/>
      <c r="S116" t="str">
        <v>Somos testigos</v>
      </c>
      <c r="Y116" t="str">
        <v>Si Dios a su mesa nos quiere sentar</v>
      </c>
    </row>
    <row r="117" spans="18:25" x14ac:dyDescent="0.3">
      <c r="R117" s="24"/>
      <c r="S117" t="str">
        <v>Somos una familia</v>
      </c>
      <c r="Y117" t="str">
        <v>Siempre en ti</v>
      </c>
    </row>
    <row r="118" spans="18:25" x14ac:dyDescent="0.3">
      <c r="R118" s="24"/>
      <c r="S118" t="str">
        <v>Soñar un mundo más feliz</v>
      </c>
      <c r="Y118" t="str">
        <v>Sigue habiendo</v>
      </c>
    </row>
    <row r="119" spans="18:25" x14ac:dyDescent="0.3">
      <c r="R119" s="24"/>
      <c r="S119" t="str">
        <v>Soy mujer</v>
      </c>
      <c r="Y119" t="str">
        <v>Sois la sal</v>
      </c>
    </row>
    <row r="120" spans="18:25" x14ac:dyDescent="0.3">
      <c r="R120" s="24"/>
      <c r="S120" t="str">
        <v>Sueña</v>
      </c>
      <c r="Y120" t="str">
        <v>Tanto amó Dios al mundo</v>
      </c>
    </row>
    <row r="121" spans="18:25" x14ac:dyDescent="0.3">
      <c r="R121" s="24"/>
      <c r="S121" t="str">
        <v>Te agradezco</v>
      </c>
      <c r="Y121" t="str">
        <v>Te amo, Señor</v>
      </c>
    </row>
    <row r="122" spans="18:25" x14ac:dyDescent="0.3">
      <c r="R122" s="24"/>
      <c r="S122" t="str">
        <v>Te alabo, Señor</v>
      </c>
      <c r="Y122" t="str">
        <v>Ten piedad de mi, Señor</v>
      </c>
    </row>
    <row r="123" spans="18:25" x14ac:dyDescent="0.3">
      <c r="R123" s="24"/>
      <c r="S123" t="str">
        <v>Te reclamarán la vida</v>
      </c>
      <c r="Y123" t="str">
        <v>Tengo que gritar</v>
      </c>
    </row>
    <row r="124" spans="18:25" x14ac:dyDescent="0.3">
      <c r="R124" s="24"/>
      <c r="S124" t="str">
        <v>Te seguiré</v>
      </c>
      <c r="Y124" t="str">
        <v>Tomado de la mano</v>
      </c>
    </row>
    <row r="125" spans="18:25" x14ac:dyDescent="0.3">
      <c r="R125" s="24"/>
      <c r="S125" t="str">
        <v>Ten piedad de mí</v>
      </c>
      <c r="Y125" t="str">
        <v>Traemos a tu altar</v>
      </c>
    </row>
    <row r="126" spans="18:25" x14ac:dyDescent="0.3">
      <c r="R126" s="24"/>
      <c r="S126" t="str">
        <v>Tocaré para ti</v>
      </c>
      <c r="Y126" t="str">
        <v>Tú eres capaz</v>
      </c>
    </row>
    <row r="127" spans="18:25" x14ac:dyDescent="0.3">
      <c r="R127" s="24"/>
      <c r="S127" t="str">
        <v>Todo mi ser (Alabo tu bondad)</v>
      </c>
      <c r="Y127" t="str">
        <v>Un día abrí los ojos</v>
      </c>
    </row>
    <row r="128" spans="18:25" x14ac:dyDescent="0.3">
      <c r="R128" s="24"/>
      <c r="S128" t="str">
        <v>Tu camino y tu verdad</v>
      </c>
      <c r="Y128" t="str">
        <v>Un nuevo sitio disponed</v>
      </c>
    </row>
    <row r="129" spans="18:25" x14ac:dyDescent="0.3">
      <c r="R129" s="24"/>
      <c r="S129" t="str">
        <v>Tú eres del Señor</v>
      </c>
      <c r="Y129" t="str">
        <v>Una voz clama en el desierto</v>
      </c>
    </row>
    <row r="130" spans="18:25" x14ac:dyDescent="0.3">
      <c r="R130" s="24"/>
      <c r="S130" t="str">
        <v>Tú eres María</v>
      </c>
      <c r="Y130" t="str">
        <v>Vamos todos al banquete</v>
      </c>
    </row>
    <row r="131" spans="18:25" x14ac:dyDescent="0.3">
      <c r="R131" s="24"/>
      <c r="S131" t="str">
        <v>Tú estás cerca</v>
      </c>
      <c r="Y131" t="str">
        <v>Ven a celebrar</v>
      </c>
    </row>
    <row r="132" spans="18:25" x14ac:dyDescent="0.3">
      <c r="R132" s="24"/>
      <c r="S132" t="str">
        <v>Tu llamada</v>
      </c>
      <c r="Y132" t="str">
        <v>Ven, Espíritu de Dios (Esprit createur)</v>
      </c>
    </row>
    <row r="133" spans="18:25" x14ac:dyDescent="0.3">
      <c r="R133" s="24"/>
      <c r="S133" t="str">
        <v>Tú me sondeas</v>
      </c>
      <c r="Y133" t="str">
        <v>Ven, Espíritu divino (Secuencia de Pentecostés)</v>
      </c>
    </row>
    <row r="134" spans="18:25" x14ac:dyDescent="0.3">
      <c r="R134" s="24"/>
      <c r="S134" t="str">
        <v>Tú serás mi hermano</v>
      </c>
      <c r="Y134" t="str">
        <v>Ven, si te has caído levántate</v>
      </c>
    </row>
    <row r="135" spans="18:25" x14ac:dyDescent="0.3">
      <c r="R135" s="24"/>
      <c r="S135" t="str">
        <v>Tú, Jesús</v>
      </c>
      <c r="Y135" t="str">
        <v>Victoria, tú reinarás</v>
      </c>
    </row>
    <row r="136" spans="18:25" x14ac:dyDescent="0.3">
      <c r="R136" s="24"/>
      <c r="S136" t="str">
        <v>Tú, Señor</v>
      </c>
      <c r="Y136" t="str">
        <v>Vive tu amor en mí</v>
      </c>
    </row>
    <row r="137" spans="18:25" x14ac:dyDescent="0.3">
      <c r="R137" s="24"/>
      <c r="S137" t="str">
        <v>Un solo corazón</v>
      </c>
      <c r="Y137" t="str">
        <v>Vivid la Navidad</v>
      </c>
    </row>
    <row r="138" spans="18:25" x14ac:dyDescent="0.3">
      <c r="R138" s="24"/>
      <c r="S138" t="str">
        <v>Una vida</v>
      </c>
      <c r="Y138" t="str">
        <v>Volar</v>
      </c>
    </row>
    <row r="139" spans="18:25" x14ac:dyDescent="0.3">
      <c r="R139" s="24"/>
      <c r="S139" t="str">
        <v>Una vida que busca libertad</v>
      </c>
      <c r="Y139" t="str">
        <v>Yendo contigo</v>
      </c>
    </row>
    <row r="140" spans="18:25" x14ac:dyDescent="0.3">
      <c r="R140" s="24"/>
      <c r="S140" t="str">
        <v>Vale más hablar con Dios</v>
      </c>
      <c r="Y140" t="str">
        <v>Yo celebraré</v>
      </c>
    </row>
    <row r="141" spans="18:25" x14ac:dyDescent="0.3">
      <c r="R141" s="24"/>
      <c r="S141" t="str">
        <v>Vamos hacia ti (gloria a Dios)</v>
      </c>
      <c r="Y141" t="str">
        <v>Yo soy el Pan de Vida</v>
      </c>
    </row>
    <row r="142" spans="18:25" x14ac:dyDescent="0.3">
      <c r="R142" s="24"/>
      <c r="S142" t="str">
        <v>Ven, Espíritu de Dios (Kairoi)</v>
      </c>
      <c r="Y142" t="str">
        <v>Yo soy la Vida y la Verdad</v>
      </c>
    </row>
    <row r="143" spans="18:25" x14ac:dyDescent="0.3">
      <c r="R143" s="24"/>
      <c r="S143" t="str">
        <v>Ven, Señor Jesús</v>
      </c>
    </row>
    <row r="144" spans="18:25" x14ac:dyDescent="0.3">
      <c r="R144" s="24"/>
      <c r="S144" t="str">
        <v>Venga tu reino</v>
      </c>
    </row>
    <row r="145" spans="18:19" x14ac:dyDescent="0.3">
      <c r="R145" s="24"/>
      <c r="S145" t="str">
        <v>Vino nuevo</v>
      </c>
    </row>
    <row r="146" spans="18:19" x14ac:dyDescent="0.3">
      <c r="R146" s="24"/>
      <c r="S146" t="str">
        <v>Y se vive la vida</v>
      </c>
    </row>
    <row r="147" spans="18:19" x14ac:dyDescent="0.3">
      <c r="R147" s="24"/>
      <c r="S147" t="str">
        <v>Ya no te queda tiempo</v>
      </c>
    </row>
    <row r="148" spans="18:19" x14ac:dyDescent="0.3">
      <c r="R148" s="24"/>
      <c r="S148" t="str">
        <v>Yo cantaré (Magnificat)</v>
      </c>
    </row>
    <row r="149" spans="18:19" x14ac:dyDescent="0.3">
      <c r="R149" s="24"/>
    </row>
    <row r="150" spans="18:19" x14ac:dyDescent="0.3">
      <c r="R150" s="24"/>
    </row>
    <row r="151" spans="18:19" x14ac:dyDescent="0.3">
      <c r="R151" s="24"/>
    </row>
    <row r="152" spans="18:19" x14ac:dyDescent="0.3">
      <c r="R152" s="24"/>
    </row>
    <row r="153" spans="18:19" x14ac:dyDescent="0.3">
      <c r="R153" s="24"/>
    </row>
    <row r="154" spans="18:19" x14ac:dyDescent="0.3">
      <c r="R154" s="24"/>
    </row>
    <row r="155" spans="18:19" x14ac:dyDescent="0.3">
      <c r="R155" s="24"/>
    </row>
    <row r="156" spans="18:19" x14ac:dyDescent="0.3">
      <c r="R156" s="24"/>
    </row>
    <row r="157" spans="18:19" x14ac:dyDescent="0.3">
      <c r="R157" s="24"/>
    </row>
    <row r="158" spans="18:19" x14ac:dyDescent="0.3">
      <c r="R158" s="24"/>
    </row>
    <row r="159" spans="18:19" x14ac:dyDescent="0.3">
      <c r="R159" s="24"/>
    </row>
    <row r="160" spans="18:19" x14ac:dyDescent="0.3">
      <c r="R160" s="24"/>
    </row>
    <row r="161" spans="18:18" x14ac:dyDescent="0.3">
      <c r="R161" s="24"/>
    </row>
    <row r="162" spans="18:18" x14ac:dyDescent="0.3">
      <c r="R162" s="24"/>
    </row>
    <row r="163" spans="18:18" x14ac:dyDescent="0.3">
      <c r="R163" s="24"/>
    </row>
    <row r="164" spans="18:18" x14ac:dyDescent="0.3">
      <c r="R164" s="24"/>
    </row>
    <row r="165" spans="18:18" x14ac:dyDescent="0.3">
      <c r="R165" s="24"/>
    </row>
    <row r="166" spans="18:18" x14ac:dyDescent="0.3">
      <c r="R166" s="24"/>
    </row>
    <row r="167" spans="18:18" x14ac:dyDescent="0.3">
      <c r="R167" s="24"/>
    </row>
    <row r="168" spans="18:18" x14ac:dyDescent="0.3">
      <c r="R168" s="24"/>
    </row>
    <row r="169" spans="18:18" x14ac:dyDescent="0.3">
      <c r="R169" s="24"/>
    </row>
    <row r="170" spans="18:18" x14ac:dyDescent="0.3">
      <c r="R170" s="24"/>
    </row>
    <row r="171" spans="18:18" x14ac:dyDescent="0.3">
      <c r="R171" s="2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/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205</v>
      </c>
      <c r="B1" s="1">
        <f>COUNTA(CantoralDB[Título])</f>
        <v>1855</v>
      </c>
      <c r="G1" s="14" t="s">
        <v>645</v>
      </c>
    </row>
    <row r="2" spans="1:7" x14ac:dyDescent="0.3">
      <c r="A2" s="1" t="s">
        <v>206</v>
      </c>
      <c r="B2" s="1">
        <f>SUM(B5:B25)</f>
        <v>480</v>
      </c>
      <c r="G2" s="14" t="s">
        <v>646</v>
      </c>
    </row>
    <row r="3" spans="1:7" x14ac:dyDescent="0.3">
      <c r="D3" s="1" t="s">
        <v>474</v>
      </c>
    </row>
    <row r="4" spans="1:7" x14ac:dyDescent="0.3">
      <c r="A4" s="1" t="s">
        <v>207</v>
      </c>
      <c r="B4" s="1">
        <f>B1-B2</f>
        <v>1375</v>
      </c>
      <c r="C4" s="2">
        <f t="shared" ref="C4:C20" si="0">B4/$B$1</f>
        <v>0.74123989218328845</v>
      </c>
      <c r="D4" s="1" t="str">
        <f t="shared" ref="D4:D20" si="1">_xlfn.XLOOKUP(A4,$F$5:$F$21,$G$5:$G$21,"-")</f>
        <v>-</v>
      </c>
      <c r="G4" s="1" t="s">
        <v>475</v>
      </c>
    </row>
    <row r="5" spans="1:7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5.9299191374663071E-3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COUNTIF(CantoralDB[Momento],A6)</f>
        <v>44</v>
      </c>
      <c r="C6" s="2">
        <f t="shared" si="0"/>
        <v>2.3719676549865228E-2</v>
      </c>
      <c r="D6" s="1" t="str">
        <f t="shared" si="1"/>
        <v>D</v>
      </c>
      <c r="F6" s="1" t="s">
        <v>192</v>
      </c>
      <c r="G6" s="1" t="str">
        <v>B</v>
      </c>
    </row>
    <row r="7" spans="1:7" x14ac:dyDescent="0.3">
      <c r="A7" s="1" t="str">
        <v>Comunión</v>
      </c>
      <c r="B7" s="1">
        <f>COUNTIF(CantoralDB[Momento],A7)</f>
        <v>83</v>
      </c>
      <c r="C7" s="2">
        <f t="shared" si="0"/>
        <v>4.4743935309973046E-2</v>
      </c>
      <c r="D7" s="1" t="str">
        <f t="shared" si="1"/>
        <v>K</v>
      </c>
      <c r="F7" s="1" t="s">
        <v>193</v>
      </c>
      <c r="G7" s="1" t="str">
        <v>C</v>
      </c>
    </row>
    <row r="8" spans="1:7" x14ac:dyDescent="0.3">
      <c r="A8" s="1" t="str">
        <v>Cordero de Dios</v>
      </c>
      <c r="B8" s="1">
        <f>COUNTIF(CantoralDB[Momento],A8)</f>
        <v>6</v>
      </c>
      <c r="C8" s="2">
        <f t="shared" si="0"/>
        <v>3.234501347708895E-3</v>
      </c>
      <c r="D8" s="1" t="str">
        <f t="shared" si="1"/>
        <v>J</v>
      </c>
      <c r="F8" s="1" t="s">
        <v>201</v>
      </c>
      <c r="G8" s="1" t="str">
        <v>D</v>
      </c>
    </row>
    <row r="9" spans="1:7" x14ac:dyDescent="0.3">
      <c r="A9" s="1" t="str">
        <v>Despedida</v>
      </c>
      <c r="B9" s="1">
        <f>COUNTIF(CantoralDB[Momento],A9)</f>
        <v>9</v>
      </c>
      <c r="C9" s="2">
        <f t="shared" si="0"/>
        <v>4.8517520215633422E-3</v>
      </c>
      <c r="D9" s="1" t="str">
        <f t="shared" si="1"/>
        <v>L</v>
      </c>
      <c r="F9" s="1" t="s">
        <v>194</v>
      </c>
      <c r="G9" s="1" t="str">
        <v>E</v>
      </c>
    </row>
    <row r="10" spans="1:7" x14ac:dyDescent="0.3">
      <c r="A10" s="1" t="str">
        <v>Entrada</v>
      </c>
      <c r="B10" s="1">
        <f>COUNTIF(CantoralDB[Momento],A10)</f>
        <v>44</v>
      </c>
      <c r="C10" s="2">
        <f t="shared" si="0"/>
        <v>2.3719676549865228E-2</v>
      </c>
      <c r="D10" s="1" t="str">
        <f t="shared" si="1"/>
        <v>A</v>
      </c>
      <c r="F10" s="1" t="s">
        <v>195</v>
      </c>
      <c r="G10" s="1" t="str">
        <v>F</v>
      </c>
    </row>
    <row r="11" spans="1:7" x14ac:dyDescent="0.3">
      <c r="A11" s="1" t="str">
        <v>Especiales</v>
      </c>
      <c r="B11" s="1">
        <f>COUNTIF(CantoralDB[Momento],A11)</f>
        <v>6</v>
      </c>
      <c r="C11" s="2">
        <f t="shared" si="0"/>
        <v>3.234501347708895E-3</v>
      </c>
      <c r="D11" s="1" t="str">
        <f t="shared" si="1"/>
        <v>P</v>
      </c>
      <c r="F11" s="1" t="s">
        <v>196</v>
      </c>
      <c r="G11" s="1" t="str">
        <v>G</v>
      </c>
    </row>
    <row r="12" spans="1:7" x14ac:dyDescent="0.3">
      <c r="A12" s="1" t="str">
        <v>Espíritu</v>
      </c>
      <c r="B12" s="1">
        <f>COUNTIF(CantoralDB[Momento],A12)</f>
        <v>5</v>
      </c>
      <c r="C12" s="2">
        <f t="shared" si="0"/>
        <v>2.6954177897574125E-3</v>
      </c>
      <c r="D12" s="1" t="str">
        <f t="shared" si="1"/>
        <v>N</v>
      </c>
      <c r="F12" s="1" t="s">
        <v>197</v>
      </c>
      <c r="G12" s="1" t="str">
        <v>H</v>
      </c>
    </row>
    <row r="13" spans="1:7" x14ac:dyDescent="0.3">
      <c r="A13" s="1" t="str">
        <v>Gloria</v>
      </c>
      <c r="B13" s="1">
        <f>COUNTIF(CantoralDB[Momento],A13)</f>
        <v>8</v>
      </c>
      <c r="C13" s="2">
        <f t="shared" si="0"/>
        <v>4.3126684636118602E-3</v>
      </c>
      <c r="D13" s="1" t="str">
        <f t="shared" si="1"/>
        <v>C</v>
      </c>
      <c r="F13" s="1" t="s">
        <v>198</v>
      </c>
      <c r="G13" s="1" t="str">
        <v>I</v>
      </c>
    </row>
    <row r="14" spans="1:7" x14ac:dyDescent="0.3">
      <c r="A14" s="1" t="str">
        <v>María</v>
      </c>
      <c r="B14" s="1">
        <f>COUNTIF(CantoralDB[Momento],A14)</f>
        <v>24</v>
      </c>
      <c r="C14" s="2">
        <f t="shared" si="0"/>
        <v>1.293800539083558E-2</v>
      </c>
      <c r="D14" s="1" t="str">
        <f t="shared" si="1"/>
        <v>M</v>
      </c>
      <c r="F14" s="1" t="s">
        <v>202</v>
      </c>
      <c r="G14" s="1" t="str">
        <v>J</v>
      </c>
    </row>
    <row r="15" spans="1:7" x14ac:dyDescent="0.3">
      <c r="A15" s="1" t="str">
        <v>Navidad</v>
      </c>
      <c r="B15" s="1">
        <f>COUNTIF(CantoralDB[Momento],A15)</f>
        <v>20</v>
      </c>
      <c r="C15" s="2">
        <f t="shared" si="0"/>
        <v>1.078167115902965E-2</v>
      </c>
      <c r="D15" s="1" t="str">
        <f t="shared" si="1"/>
        <v>O</v>
      </c>
      <c r="F15" s="1" t="s">
        <v>997</v>
      </c>
      <c r="G15" s="1" t="str">
        <v>K</v>
      </c>
    </row>
    <row r="16" spans="1:7" x14ac:dyDescent="0.3">
      <c r="A16" s="1" t="str">
        <v>Ofertorio</v>
      </c>
      <c r="B16" s="1">
        <f>COUNTIF(CantoralDB[Momento],A16)</f>
        <v>20</v>
      </c>
      <c r="C16" s="2">
        <f t="shared" si="0"/>
        <v>1.078167115902965E-2</v>
      </c>
      <c r="D16" s="1" t="str">
        <f t="shared" si="1"/>
        <v>F</v>
      </c>
      <c r="F16" s="1" t="s">
        <v>199</v>
      </c>
      <c r="G16" s="1" t="str">
        <v>L</v>
      </c>
    </row>
    <row r="17" spans="1:7" x14ac:dyDescent="0.3">
      <c r="A17" s="1" t="str">
        <v>Padrenuestro</v>
      </c>
      <c r="B17" s="1">
        <f>COUNTIF(CantoralDB[Momento],A17)</f>
        <v>6</v>
      </c>
      <c r="C17" s="2">
        <f t="shared" si="0"/>
        <v>3.234501347708895E-3</v>
      </c>
      <c r="D17" s="1" t="str">
        <f t="shared" si="1"/>
        <v>H</v>
      </c>
      <c r="F17" s="1" t="s">
        <v>200</v>
      </c>
      <c r="G17" s="1" t="str">
        <v>M</v>
      </c>
    </row>
    <row r="18" spans="1:7" x14ac:dyDescent="0.3">
      <c r="A18" s="1" t="str">
        <v>Paz</v>
      </c>
      <c r="B18" s="1">
        <f>COUNTIF(CantoralDB[Momento],A18)</f>
        <v>10</v>
      </c>
      <c r="C18" s="2">
        <f t="shared" si="0"/>
        <v>5.3908355795148251E-3</v>
      </c>
      <c r="D18" s="1" t="str">
        <f t="shared" si="1"/>
        <v>I</v>
      </c>
      <c r="F18" s="1" t="s">
        <v>219</v>
      </c>
      <c r="G18" s="1" t="str">
        <v>N</v>
      </c>
    </row>
    <row r="19" spans="1:7" x14ac:dyDescent="0.3">
      <c r="A19" s="1" t="str">
        <v>Perdón - Agua</v>
      </c>
      <c r="B19" s="1">
        <f>COUNTIF(CantoralDB[Momento],A19)</f>
        <v>9</v>
      </c>
      <c r="C19" s="2">
        <f t="shared" si="0"/>
        <v>4.8517520215633422E-3</v>
      </c>
      <c r="D19" s="1" t="str">
        <f t="shared" si="1"/>
        <v>B</v>
      </c>
      <c r="F19" s="1" t="s">
        <v>476</v>
      </c>
      <c r="G19" s="1" t="str">
        <v>O</v>
      </c>
    </row>
    <row r="20" spans="1:7" x14ac:dyDescent="0.3">
      <c r="A20" s="1" t="str">
        <v>Santo</v>
      </c>
      <c r="B20" s="1">
        <f>COUNTIF(CantoralDB[Momento],A20)</f>
        <v>14</v>
      </c>
      <c r="C20" s="2">
        <f t="shared" si="0"/>
        <v>7.5471698113207548E-3</v>
      </c>
      <c r="D20" s="1" t="str">
        <f t="shared" si="1"/>
        <v>G</v>
      </c>
      <c r="F20" s="1" t="s">
        <v>211</v>
      </c>
      <c r="G20" s="1" t="str">
        <v>P</v>
      </c>
    </row>
    <row r="21" spans="1:7" x14ac:dyDescent="0.3">
      <c r="A21" s="1" t="str">
        <v>TaizéESP</v>
      </c>
      <c r="B21" s="1">
        <f>COUNTIF(CantoralDB[Momento],A21)</f>
        <v>77</v>
      </c>
      <c r="C21" s="2">
        <f t="shared" ref="C21" si="2">B21/$B$1</f>
        <v>4.1509433962264149E-2</v>
      </c>
      <c r="D21" s="1" t="s">
        <v>1028</v>
      </c>
      <c r="F21" s="1" t="s">
        <v>268</v>
      </c>
      <c r="G21" s="1" t="str">
        <v>Q</v>
      </c>
    </row>
    <row r="22" spans="1:7" x14ac:dyDescent="0.3">
      <c r="A22" s="1" t="str">
        <v>TaizéORIG</v>
      </c>
      <c r="B22" s="1">
        <f>COUNTIF(CantoralDB[Momento],A22)</f>
        <v>84</v>
      </c>
      <c r="C22" s="2">
        <f t="shared" ref="C22" si="3">B22/$B$1</f>
        <v>4.5283018867924525E-2</v>
      </c>
      <c r="D22" s="1" t="s">
        <v>1028</v>
      </c>
    </row>
    <row r="23" spans="1:7" x14ac:dyDescent="0.3">
      <c r="A23" s="1">
        <v>0</v>
      </c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996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997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1026</v>
      </c>
    </row>
    <row r="19" spans="1:1" x14ac:dyDescent="0.3">
      <c r="A19" t="s">
        <v>1025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513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541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541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541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541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541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541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541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541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541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541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541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541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541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541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541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541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541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541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541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541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541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541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541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541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541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541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541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541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541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541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541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541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541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541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541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5" priority="1" operator="containsText" text="X">
      <formula>NOT(ISERROR(SEARCH("X",J1)))</formula>
    </cfRule>
    <cfRule type="containsText" dxfId="24" priority="2" operator="containsText" text="JJ">
      <formula>NOT(ISERROR(SEARCH("JJ",J1)))</formula>
    </cfRule>
    <cfRule type="containsText" dxfId="23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NSB antiguo</vt:lpstr>
      <vt:lpstr>CantoralDB</vt:lpstr>
      <vt:lpstr>check</vt:lpstr>
      <vt:lpstr>AnálisisAutores</vt:lpstr>
      <vt:lpstr>Autores</vt:lpstr>
      <vt:lpstr>secciones_html</vt:lpstr>
      <vt:lpstr>carpetas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2026-05-31T20:46:54Z</dcterms:modified>
</cp:coreProperties>
</file>