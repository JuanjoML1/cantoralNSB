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j\Documents\GitHub\cantoralNSB\ignore\"/>
    </mc:Choice>
  </mc:AlternateContent>
  <xr:revisionPtr revIDLastSave="0" documentId="13_ncr:1_{0892B450-2B0E-4165-AB74-5AC608A4273A}" xr6:coauthVersionLast="47" xr6:coauthVersionMax="47" xr10:uidLastSave="{00000000-0000-0000-0000-000000000000}"/>
  <bookViews>
    <workbookView xWindow="-108" yWindow="-108" windowWidth="23256" windowHeight="12456" activeTab="1" xr2:uid="{FA4389EA-8FE1-4355-9EFD-7082B732CD5D}"/>
    <workbookView xWindow="-108" yWindow="-108" windowWidth="23256" windowHeight="12456" activeTab="1" xr2:uid="{825B6C6B-370F-456B-8877-C1E7CE4B9079}"/>
  </bookViews>
  <sheets>
    <sheet name="NSB antiguo" sheetId="14" r:id="rId1"/>
    <sheet name="CantoralDB" sheetId="2" r:id="rId2"/>
    <sheet name="Resumen" sheetId="4" r:id="rId3"/>
    <sheet name="secciones" sheetId="29" r:id="rId4"/>
    <sheet name="carpetas" sheetId="30" r:id="rId5"/>
    <sheet name="Autores" sheetId="16" r:id="rId6"/>
    <sheet name="Categorías" sheetId="3" r:id="rId7"/>
    <sheet name="Taizé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9" i="2" l="1"/>
  <c r="A2074" i="2"/>
  <c r="A306" i="2"/>
  <c r="A307" i="2"/>
  <c r="A309" i="2"/>
  <c r="A310" i="2"/>
  <c r="A311" i="2"/>
  <c r="A312" i="2"/>
  <c r="A313" i="2"/>
  <c r="A314" i="2"/>
  <c r="A315" i="2"/>
  <c r="A316" i="2"/>
  <c r="A317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285" i="2"/>
  <c r="A282" i="2"/>
  <c r="A283" i="2"/>
  <c r="A284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476" i="2"/>
  <c r="A477" i="2"/>
  <c r="A478" i="2"/>
  <c r="A479" i="2"/>
  <c r="A480" i="2"/>
  <c r="A481" i="2"/>
  <c r="A453" i="2"/>
  <c r="A454" i="2"/>
  <c r="A455" i="2"/>
  <c r="A456" i="2"/>
  <c r="A457" i="2"/>
  <c r="A458" i="2"/>
  <c r="A474" i="2"/>
  <c r="A475" i="2"/>
  <c r="A444" i="2"/>
  <c r="A445" i="2"/>
  <c r="A446" i="2"/>
  <c r="A447" i="2"/>
  <c r="A448" i="2"/>
  <c r="A436" i="2"/>
  <c r="A437" i="2"/>
  <c r="A438" i="2"/>
  <c r="A439" i="2"/>
  <c r="A440" i="2"/>
  <c r="A441" i="2"/>
  <c r="A442" i="2"/>
  <c r="A434" i="2"/>
  <c r="A428" i="2"/>
  <c r="A429" i="2"/>
  <c r="A430" i="2"/>
  <c r="A425" i="2"/>
  <c r="A426" i="2"/>
  <c r="A351" i="2"/>
  <c r="A352" i="2"/>
  <c r="A353" i="2"/>
  <c r="A354" i="2"/>
  <c r="A355" i="2"/>
  <c r="A356" i="2"/>
  <c r="A357" i="2"/>
  <c r="A358" i="2"/>
  <c r="A463" i="2"/>
  <c r="A464" i="2"/>
  <c r="A465" i="2"/>
  <c r="A466" i="2"/>
  <c r="A467" i="2"/>
  <c r="A468" i="2"/>
  <c r="A469" i="2"/>
  <c r="A470" i="2"/>
  <c r="A471" i="2"/>
  <c r="A472" i="2"/>
  <c r="A350" i="2"/>
  <c r="A422" i="2"/>
  <c r="A423" i="2"/>
  <c r="A413" i="2"/>
  <c r="A414" i="2"/>
  <c r="A415" i="2"/>
  <c r="A416" i="2"/>
  <c r="A417" i="2"/>
  <c r="A418" i="2"/>
  <c r="A419" i="2"/>
  <c r="A420" i="2"/>
  <c r="A421" i="2"/>
  <c r="A41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4" i="2"/>
  <c r="A405" i="2"/>
  <c r="A407" i="2"/>
  <c r="A409" i="2"/>
  <c r="A380" i="2"/>
  <c r="A381" i="2"/>
  <c r="A382" i="2"/>
  <c r="A383" i="2"/>
  <c r="A384" i="2"/>
  <c r="A385" i="2"/>
  <c r="A386" i="2"/>
  <c r="A387" i="2"/>
  <c r="A388" i="2"/>
  <c r="A389" i="2"/>
  <c r="A390" i="2"/>
  <c r="A373" i="2"/>
  <c r="A374" i="2"/>
  <c r="A376" i="2"/>
  <c r="A377" i="2"/>
  <c r="A378" i="2"/>
  <c r="A379" i="2"/>
  <c r="A364" i="2"/>
  <c r="A365" i="2"/>
  <c r="A366" i="2"/>
  <c r="A367" i="2"/>
  <c r="A368" i="2"/>
  <c r="A360" i="2"/>
  <c r="A369" i="2"/>
  <c r="A326" i="2"/>
  <c r="A327" i="2"/>
  <c r="A328" i="2"/>
  <c r="A329" i="2"/>
  <c r="A330" i="2"/>
  <c r="A331" i="2"/>
  <c r="A332" i="2"/>
  <c r="A334" i="2"/>
  <c r="A319" i="2"/>
  <c r="A320" i="2"/>
  <c r="A322" i="2"/>
  <c r="A323" i="2"/>
  <c r="A324" i="2"/>
  <c r="A2154" i="2" l="1"/>
  <c r="A2155" i="2"/>
  <c r="A2149" i="2"/>
  <c r="A2150" i="2"/>
  <c r="A2147" i="2"/>
  <c r="A2143" i="2"/>
  <c r="A2138" i="2"/>
  <c r="A2139" i="2"/>
  <c r="A2140" i="2"/>
  <c r="A2141" i="2"/>
  <c r="A2142" i="2"/>
  <c r="A2134" i="2"/>
  <c r="A2135" i="2"/>
  <c r="A2136" i="2"/>
  <c r="A2131" i="2"/>
  <c r="A2132" i="2"/>
  <c r="A2130" i="2"/>
  <c r="A2126" i="2"/>
  <c r="A2127" i="2"/>
  <c r="A2128" i="2"/>
  <c r="A2123" i="2"/>
  <c r="A2124" i="2"/>
  <c r="A2120" i="2"/>
  <c r="A2121" i="2"/>
  <c r="A748" i="2"/>
  <c r="A749" i="2"/>
  <c r="A750" i="2"/>
  <c r="A751" i="2"/>
  <c r="A752" i="2"/>
  <c r="A753" i="2"/>
  <c r="A754" i="2"/>
  <c r="A755" i="2"/>
  <c r="A756" i="2"/>
  <c r="A757" i="2"/>
  <c r="A758" i="2"/>
  <c r="A746" i="2"/>
  <c r="A736" i="2"/>
  <c r="A737" i="2"/>
  <c r="A738" i="2"/>
  <c r="A739" i="2"/>
  <c r="A740" i="2"/>
  <c r="A741" i="2"/>
  <c r="A742" i="2"/>
  <c r="A743" i="2"/>
  <c r="A744" i="2"/>
  <c r="A745" i="2"/>
  <c r="A728" i="2"/>
  <c r="A729" i="2"/>
  <c r="A730" i="2"/>
  <c r="A731" i="2"/>
  <c r="A732" i="2"/>
  <c r="A733" i="2"/>
  <c r="A734" i="2"/>
  <c r="A735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691" i="2"/>
  <c r="A692" i="2"/>
  <c r="A693" i="2"/>
  <c r="A694" i="2"/>
  <c r="A695" i="2"/>
  <c r="A696" i="2"/>
  <c r="A697" i="2"/>
  <c r="A698" i="2"/>
  <c r="A699" i="2"/>
  <c r="A700" i="2"/>
  <c r="A701" i="2"/>
  <c r="A680" i="2"/>
  <c r="A681" i="2"/>
  <c r="A682" i="2"/>
  <c r="A683" i="2"/>
  <c r="A684" i="2"/>
  <c r="A685" i="2"/>
  <c r="A686" i="2"/>
  <c r="A687" i="2"/>
  <c r="A688" i="2"/>
  <c r="A689" i="2"/>
  <c r="A690" i="2"/>
  <c r="A670" i="2"/>
  <c r="A671" i="2"/>
  <c r="A672" i="2"/>
  <c r="A673" i="2"/>
  <c r="A674" i="2"/>
  <c r="A675" i="2"/>
  <c r="A676" i="2"/>
  <c r="A677" i="2"/>
  <c r="A678" i="2"/>
  <c r="A679" i="2"/>
  <c r="A502" i="2"/>
  <c r="A669" i="2"/>
  <c r="A664" i="2"/>
  <c r="A665" i="2"/>
  <c r="A666" i="2"/>
  <c r="A667" i="2"/>
  <c r="A658" i="2"/>
  <c r="A659" i="2"/>
  <c r="A660" i="2"/>
  <c r="A661" i="2"/>
  <c r="A631" i="2"/>
  <c r="A632" i="2"/>
  <c r="A627" i="2"/>
  <c r="A625" i="2"/>
  <c r="A623" i="2"/>
  <c r="A619" i="2"/>
  <c r="A620" i="2"/>
  <c r="A621" i="2"/>
  <c r="A622" i="2"/>
  <c r="A616" i="2"/>
  <c r="A617" i="2"/>
  <c r="A613" i="2"/>
  <c r="A611" i="2"/>
  <c r="A612" i="2"/>
  <c r="A602" i="2"/>
  <c r="A603" i="2"/>
  <c r="A604" i="2"/>
  <c r="A605" i="2"/>
  <c r="A606" i="2"/>
  <c r="A607" i="2"/>
  <c r="A608" i="2"/>
  <c r="A609" i="2"/>
  <c r="A610" i="2"/>
  <c r="A654" i="2"/>
  <c r="A655" i="2"/>
  <c r="A650" i="2"/>
  <c r="A651" i="2"/>
  <c r="A652" i="2"/>
  <c r="A653" i="2"/>
  <c r="R653" i="2" a="1"/>
  <c r="A641" i="2" l="1"/>
  <c r="A656" i="2"/>
  <c r="A642" i="2"/>
  <c r="A645" i="2"/>
  <c r="A646" i="2"/>
  <c r="A648" i="2"/>
  <c r="A639" i="2"/>
  <c r="A635" i="2"/>
  <c r="A536" i="2" l="1"/>
  <c r="A537" i="2"/>
  <c r="A538" i="2"/>
  <c r="A539" i="2"/>
  <c r="A540" i="2"/>
  <c r="A541" i="2"/>
  <c r="A542" i="2"/>
  <c r="A543" i="2"/>
  <c r="A544" i="2"/>
  <c r="A545" i="2"/>
  <c r="A546" i="2"/>
  <c r="A594" i="2"/>
  <c r="A595" i="2"/>
  <c r="A596" i="2"/>
  <c r="A597" i="2"/>
  <c r="A598" i="2"/>
  <c r="A599" i="2"/>
  <c r="A600" i="2"/>
  <c r="A601" i="2"/>
  <c r="A592" i="2"/>
  <c r="A583" i="2"/>
  <c r="A584" i="2"/>
  <c r="A585" i="2"/>
  <c r="A586" i="2"/>
  <c r="A587" i="2"/>
  <c r="A588" i="2"/>
  <c r="A589" i="2"/>
  <c r="A590" i="2"/>
  <c r="A591" i="2"/>
  <c r="A582" i="2"/>
  <c r="A156" i="2"/>
  <c r="A138" i="2"/>
  <c r="A230" i="2" l="1"/>
  <c r="A231" i="2"/>
  <c r="A232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29" i="2"/>
  <c r="A192" i="2" l="1"/>
  <c r="A193" i="2"/>
  <c r="A194" i="2"/>
  <c r="A196" i="2"/>
  <c r="A172" i="2"/>
  <c r="A173" i="2"/>
  <c r="A174" i="2"/>
  <c r="A175" i="2"/>
  <c r="A177" i="2"/>
  <c r="A178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573" i="2"/>
  <c r="A574" i="2"/>
  <c r="A575" i="2"/>
  <c r="A576" i="2"/>
  <c r="A577" i="2"/>
  <c r="A579" i="2"/>
  <c r="A581" i="2"/>
  <c r="A572" i="2"/>
  <c r="A570" i="2"/>
  <c r="A562" i="2"/>
  <c r="A563" i="2"/>
  <c r="A564" i="2"/>
  <c r="A565" i="2"/>
  <c r="A56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35" i="2"/>
  <c r="A529" i="2"/>
  <c r="A530" i="2"/>
  <c r="A531" i="2"/>
  <c r="A532" i="2"/>
  <c r="A533" i="2"/>
  <c r="A534" i="2"/>
  <c r="A528" i="2"/>
  <c r="A518" i="2"/>
  <c r="A519" i="2"/>
  <c r="A520" i="2"/>
  <c r="A521" i="2"/>
  <c r="A522" i="2"/>
  <c r="A523" i="2"/>
  <c r="A524" i="2"/>
  <c r="A525" i="2"/>
  <c r="A526" i="2"/>
  <c r="A527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2024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U7" i="4"/>
  <c r="A2444" i="2" l="1"/>
  <c r="A2350" i="2"/>
  <c r="A2354" i="2"/>
  <c r="A2355" i="2"/>
  <c r="A2356" i="2"/>
  <c r="A2346" i="2"/>
  <c r="A2347" i="2"/>
  <c r="A2383" i="2"/>
  <c r="A2374" i="2"/>
  <c r="A2377" i="2"/>
  <c r="A2379" i="2"/>
  <c r="A2380" i="2"/>
  <c r="A2382" i="2"/>
  <c r="A2410" i="2"/>
  <c r="A2409" i="2"/>
  <c r="A2417" i="2"/>
  <c r="A2418" i="2"/>
  <c r="A2484" i="2"/>
  <c r="Q2484" i="2" a="1"/>
  <c r="S2484" i="2" s="1"/>
  <c r="R2484" i="2" a="1"/>
  <c r="A2414" i="2"/>
  <c r="A2413" i="2"/>
  <c r="A2407" i="2"/>
  <c r="A2406" i="2"/>
  <c r="A2403" i="2"/>
  <c r="A2402" i="2"/>
  <c r="A2400" i="2"/>
  <c r="A2399" i="2"/>
  <c r="A2398" i="2"/>
  <c r="A2396" i="2"/>
  <c r="A2395" i="2"/>
  <c r="A2437" i="2"/>
  <c r="A2345" i="2"/>
  <c r="A2344" i="2"/>
  <c r="A2341" i="2"/>
  <c r="A2340" i="2"/>
  <c r="A2337" i="2"/>
  <c r="A2336" i="2"/>
  <c r="A2335" i="2"/>
  <c r="A2333" i="2"/>
  <c r="A2330" i="2"/>
  <c r="A2388" i="2"/>
  <c r="A2481" i="2"/>
  <c r="A2479" i="2"/>
  <c r="A2478" i="2"/>
  <c r="A2473" i="2"/>
  <c r="A2472" i="2"/>
  <c r="A2468" i="2"/>
  <c r="A2465" i="2"/>
  <c r="A2447" i="2"/>
  <c r="A2445" i="2"/>
  <c r="A2446" i="2"/>
  <c r="A2443" i="2"/>
  <c r="A2442" i="2"/>
  <c r="A2441" i="2"/>
  <c r="A2440" i="2"/>
  <c r="A2438" i="2"/>
  <c r="A2436" i="2"/>
  <c r="A2435" i="2"/>
  <c r="A2433" i="2"/>
  <c r="A2464" i="2"/>
  <c r="A2461" i="2"/>
  <c r="A2460" i="2"/>
  <c r="A2459" i="2"/>
  <c r="A2458" i="2"/>
  <c r="A2457" i="2"/>
  <c r="A2456" i="2"/>
  <c r="A2454" i="2"/>
  <c r="A2450" i="2"/>
  <c r="A2449" i="2"/>
  <c r="A2448" i="2"/>
  <c r="A2372" i="2"/>
  <c r="A2371" i="2"/>
  <c r="A2369" i="2"/>
  <c r="A2368" i="2"/>
  <c r="A2367" i="2"/>
  <c r="A2363" i="2"/>
  <c r="A2362" i="2"/>
  <c r="A2361" i="2"/>
  <c r="A2360" i="2"/>
  <c r="A2359" i="2"/>
  <c r="A2358" i="2"/>
  <c r="A2328" i="2"/>
  <c r="A2323" i="2"/>
  <c r="A2322" i="2"/>
  <c r="A2320" i="2"/>
  <c r="A2429" i="2"/>
  <c r="A2427" i="2"/>
  <c r="A2424" i="2"/>
  <c r="A2422" i="2"/>
  <c r="A2421" i="2"/>
  <c r="A2419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091" i="2"/>
  <c r="A1092" i="2"/>
  <c r="A1094" i="2"/>
  <c r="A1095" i="2"/>
  <c r="A1096" i="2"/>
  <c r="A1097" i="2"/>
  <c r="A1098" i="2"/>
  <c r="A1099" i="2"/>
  <c r="A1100" i="2"/>
  <c r="A1102" i="2"/>
  <c r="A1103" i="2"/>
  <c r="A1104" i="2"/>
  <c r="A1105" i="2"/>
  <c r="A1106" i="2"/>
  <c r="A1107" i="2"/>
  <c r="A1108" i="2"/>
  <c r="A1109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W2484" i="2" l="1"/>
  <c r="X2484" i="2" s="1"/>
  <c r="A1052" i="2"/>
  <c r="A1053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90" i="2"/>
  <c r="A1089" i="2"/>
  <c r="A1046" i="2"/>
  <c r="A1056" i="2"/>
  <c r="A1057" i="2"/>
  <c r="A1054" i="2"/>
  <c r="A1055" i="2"/>
  <c r="A1047" i="2"/>
  <c r="A1048" i="2"/>
  <c r="A1050" i="2"/>
  <c r="A1051" i="2"/>
  <c r="A1119" i="2"/>
  <c r="A1120" i="2"/>
  <c r="A1121" i="2"/>
  <c r="A1112" i="2"/>
  <c r="A1113" i="2"/>
  <c r="A1117" i="2"/>
  <c r="A1114" i="2"/>
  <c r="A1115" i="2"/>
  <c r="A1116" i="2"/>
  <c r="A1037" i="2"/>
  <c r="A1038" i="2"/>
  <c r="A1062" i="2"/>
  <c r="A1061" i="2"/>
  <c r="A1039" i="2"/>
  <c r="A1040" i="2"/>
  <c r="A1041" i="2"/>
  <c r="A1042" i="2"/>
  <c r="A1060" i="2"/>
  <c r="A1058" i="2"/>
  <c r="A1059" i="2"/>
  <c r="A1043" i="2"/>
  <c r="A1044" i="2"/>
  <c r="A1045" i="2"/>
  <c r="A1016" i="2"/>
  <c r="A1035" i="2"/>
  <c r="A1036" i="2"/>
  <c r="A1032" i="2"/>
  <c r="A1033" i="2"/>
  <c r="A1034" i="2"/>
  <c r="A1017" i="2"/>
  <c r="A1018" i="2"/>
  <c r="A1019" i="2"/>
  <c r="A1020" i="2"/>
  <c r="A1029" i="2"/>
  <c r="A1030" i="2"/>
  <c r="A1031" i="2"/>
  <c r="A1028" i="2"/>
  <c r="A1021" i="2"/>
  <c r="A1022" i="2"/>
  <c r="A1023" i="2"/>
  <c r="A1024" i="2"/>
  <c r="A1025" i="2"/>
  <c r="A1026" i="2"/>
  <c r="A1027" i="2"/>
  <c r="A1128" i="2"/>
  <c r="A1129" i="2"/>
  <c r="A1126" i="2"/>
  <c r="A1110" i="2"/>
  <c r="A1111" i="2"/>
  <c r="A1122" i="2"/>
  <c r="A1123" i="2"/>
  <c r="A1124" i="2"/>
  <c r="A1125" i="2"/>
  <c r="A1118" i="2"/>
  <c r="A1192" i="2"/>
  <c r="A1193" i="2"/>
  <c r="A1194" i="2"/>
  <c r="A1195" i="2"/>
  <c r="A1196" i="2"/>
  <c r="A1197" i="2"/>
  <c r="A1198" i="2"/>
  <c r="A1199" i="2"/>
  <c r="A1200" i="2"/>
  <c r="A1201" i="2"/>
  <c r="A1165" i="2" l="1"/>
  <c r="A1166" i="2"/>
  <c r="A1167" i="2"/>
  <c r="A1168" i="2"/>
  <c r="A1169" i="2"/>
  <c r="A1170" i="2"/>
  <c r="A1171" i="2"/>
  <c r="A1172" i="2"/>
  <c r="A1173" i="2"/>
  <c r="A1174" i="2"/>
  <c r="A1175" i="2"/>
  <c r="A1202" i="2"/>
  <c r="A1203" i="2"/>
  <c r="A1204" i="2"/>
  <c r="A1205" i="2"/>
  <c r="A1206" i="2"/>
  <c r="A1207" i="2"/>
  <c r="A1014" i="2"/>
  <c r="A1015" i="2"/>
  <c r="A1152" i="2" l="1"/>
  <c r="A1153" i="2"/>
  <c r="A1188" i="2"/>
  <c r="A1189" i="2"/>
  <c r="A1190" i="2"/>
  <c r="A1191" i="2"/>
  <c r="A1154" i="2"/>
  <c r="A1155" i="2"/>
  <c r="A1156" i="2"/>
  <c r="A1157" i="2"/>
  <c r="A1158" i="2"/>
  <c r="A1159" i="2"/>
  <c r="A1160" i="2"/>
  <c r="A1161" i="2"/>
  <c r="A1162" i="2"/>
  <c r="A1163" i="2"/>
  <c r="A1164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31" i="2"/>
  <c r="A1130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1938" i="2" l="1"/>
  <c r="A2042" i="2" l="1"/>
  <c r="A2043" i="2"/>
  <c r="Q2258" i="2" a="1"/>
  <c r="S2258" i="2" s="1"/>
  <c r="W2258" i="2" s="1"/>
  <c r="Q2401" i="2" a="1"/>
  <c r="S2401" i="2" s="1"/>
  <c r="W2401" i="2" s="1"/>
  <c r="Q2392" i="2" a="1"/>
  <c r="S2392" i="2" s="1"/>
  <c r="W2392" i="2" s="1"/>
  <c r="Q2329" i="2" a="1"/>
  <c r="S2329" i="2" s="1"/>
  <c r="W2329" i="2" s="1"/>
  <c r="Q2294" i="2" a="1"/>
  <c r="S2294" i="2" s="1"/>
  <c r="W2294" i="2" s="1"/>
  <c r="Q2310" i="2" a="1"/>
  <c r="S2310" i="2" s="1"/>
  <c r="W2310" i="2" s="1"/>
  <c r="Q2264" i="2" a="1"/>
  <c r="S2264" i="2" s="1"/>
  <c r="W2264" i="2" s="1"/>
  <c r="Q2306" i="2" a="1"/>
  <c r="S2306" i="2" s="1"/>
  <c r="W2306" i="2" s="1"/>
  <c r="Q2239" i="2" a="1"/>
  <c r="S2239" i="2" s="1"/>
  <c r="W2239" i="2" s="1"/>
  <c r="Q2282" i="2" a="1"/>
  <c r="S2282" i="2" s="1"/>
  <c r="W2282" i="2" s="1"/>
  <c r="Q2276" i="2" a="1"/>
  <c r="S2276" i="2" s="1"/>
  <c r="W2276" i="2" s="1"/>
  <c r="Q2289" i="2" a="1"/>
  <c r="S2289" i="2" s="1"/>
  <c r="W2289" i="2" s="1"/>
  <c r="Q2311" i="2" a="1"/>
  <c r="S2311" i="2" s="1"/>
  <c r="W2311" i="2" s="1"/>
  <c r="Q2309" i="2" a="1"/>
  <c r="S2309" i="2" s="1"/>
  <c r="W2309" i="2" s="1"/>
  <c r="Q2312" i="2" a="1"/>
  <c r="S2312" i="2" s="1"/>
  <c r="W2312" i="2" s="1"/>
  <c r="Q2317" i="2" a="1"/>
  <c r="S2317" i="2" s="1"/>
  <c r="W2317" i="2" s="1"/>
  <c r="Q2412" i="2" a="1"/>
  <c r="S2412" i="2" s="1"/>
  <c r="W2412" i="2" s="1"/>
  <c r="Q2394" i="2" a="1"/>
  <c r="S2394" i="2" s="1"/>
  <c r="W2394" i="2" s="1"/>
  <c r="Q2430" i="2" a="1"/>
  <c r="S2430" i="2" s="1"/>
  <c r="W2430" i="2" s="1"/>
  <c r="Q2482" i="2" a="1"/>
  <c r="S2482" i="2" s="1"/>
  <c r="W2482" i="2" s="1"/>
  <c r="Q2485" i="2" a="1"/>
  <c r="S2485" i="2" s="1"/>
  <c r="W2485" i="2" s="1"/>
  <c r="Q2471" i="2" a="1"/>
  <c r="S2471" i="2" s="1"/>
  <c r="W2471" i="2" s="1"/>
  <c r="Q2332" i="2" a="1"/>
  <c r="S2332" i="2" s="1"/>
  <c r="W2332" i="2" s="1"/>
  <c r="Q2261" i="2" a="1"/>
  <c r="S2261" i="2" s="1"/>
  <c r="W2261" i="2" s="1"/>
  <c r="Q2272" i="2" a="1"/>
  <c r="S2272" i="2" s="1"/>
  <c r="W2272" i="2" s="1"/>
  <c r="Q2390" i="2" a="1"/>
  <c r="S2390" i="2" s="1"/>
  <c r="W2390" i="2" s="1"/>
  <c r="Q2366" i="2" a="1"/>
  <c r="S2366" i="2" s="1"/>
  <c r="W2366" i="2" s="1"/>
  <c r="Q2425" i="2" a="1"/>
  <c r="S2425" i="2" s="1"/>
  <c r="W2425" i="2" s="1"/>
  <c r="Q2316" i="2" a="1"/>
  <c r="S2316" i="2" s="1"/>
  <c r="W2316" i="2" s="1"/>
  <c r="Q2469" i="2" a="1"/>
  <c r="S2469" i="2" s="1"/>
  <c r="W2469" i="2" s="1"/>
  <c r="Q2470" i="2" a="1"/>
  <c r="S2470" i="2" s="1"/>
  <c r="W2470" i="2" s="1"/>
  <c r="Q2370" i="2" a="1"/>
  <c r="S2370" i="2" s="1"/>
  <c r="W2370" i="2" s="1"/>
  <c r="Q2247" i="2" a="1"/>
  <c r="S2247" i="2" s="1"/>
  <c r="W2247" i="2" s="1"/>
  <c r="Q2331" i="2" a="1"/>
  <c r="S2331" i="2" s="1"/>
  <c r="W2331" i="2" s="1"/>
  <c r="Q2338" i="2" a="1"/>
  <c r="S2338" i="2" s="1"/>
  <c r="W2338" i="2" s="1"/>
  <c r="Q2389" i="2" a="1"/>
  <c r="S2389" i="2" s="1"/>
  <c r="W2389" i="2" s="1"/>
  <c r="Q2342" i="2" a="1"/>
  <c r="S2342" i="2" s="1"/>
  <c r="W2342" i="2" s="1"/>
  <c r="Q2279" i="2" a="1"/>
  <c r="S2279" i="2" s="1"/>
  <c r="W2279" i="2" s="1"/>
  <c r="Q2319" i="2" a="1"/>
  <c r="S2319" i="2" s="1"/>
  <c r="W2319" i="2" s="1"/>
  <c r="Q2253" i="2" a="1"/>
  <c r="S2253" i="2" s="1"/>
  <c r="W2253" i="2" s="1"/>
  <c r="Q2287" i="2" a="1"/>
  <c r="S2287" i="2" s="1"/>
  <c r="W2287" i="2" s="1"/>
  <c r="Q2236" i="2" a="1"/>
  <c r="S2236" i="2" s="1"/>
  <c r="W2236" i="2" s="1"/>
  <c r="Q2270" i="2" a="1"/>
  <c r="S2270" i="2" s="1"/>
  <c r="W2270" i="2" s="1"/>
  <c r="Q2259" i="2" a="1"/>
  <c r="S2259" i="2" s="1"/>
  <c r="W2259" i="2" s="1"/>
  <c r="Q2455" i="2" a="1"/>
  <c r="S2455" i="2" s="1"/>
  <c r="W2455" i="2" s="1"/>
  <c r="Q2439" i="2" a="1"/>
  <c r="S2439" i="2" s="1"/>
  <c r="W2439" i="2" s="1"/>
  <c r="Q2452" i="2" a="1"/>
  <c r="S2452" i="2" s="1"/>
  <c r="W2452" i="2" s="1"/>
  <c r="Q2290" i="2" a="1"/>
  <c r="S2290" i="2" s="1"/>
  <c r="W2290" i="2" s="1"/>
  <c r="Q2285" i="2" a="1"/>
  <c r="S2285" i="2" s="1"/>
  <c r="W2285" i="2" s="1"/>
  <c r="Q2296" i="2" a="1"/>
  <c r="S2296" i="2" s="1"/>
  <c r="W2296" i="2" s="1"/>
  <c r="Q2293" i="2" a="1"/>
  <c r="S2293" i="2" s="1"/>
  <c r="W2293" i="2" s="1"/>
  <c r="Q2318" i="2" a="1"/>
  <c r="S2318" i="2" s="1"/>
  <c r="W2318" i="2" s="1"/>
  <c r="Q2324" i="2" a="1"/>
  <c r="S2324" i="2" s="1"/>
  <c r="W2324" i="2" s="1"/>
  <c r="Q2273" i="2" a="1"/>
  <c r="S2273" i="2" s="1"/>
  <c r="W2273" i="2" s="1"/>
  <c r="Q2257" i="2" a="1"/>
  <c r="S2257" i="2" s="1"/>
  <c r="W2257" i="2" s="1"/>
  <c r="Q2353" i="2" a="1"/>
  <c r="S2353" i="2" s="1"/>
  <c r="W2353" i="2" s="1"/>
  <c r="Q2351" i="2" a="1"/>
  <c r="S2351" i="2" s="1"/>
  <c r="W2351" i="2" s="1"/>
  <c r="Q2304" i="2" a="1"/>
  <c r="S2304" i="2" s="1"/>
  <c r="W2304" i="2" s="1"/>
  <c r="Q2434" i="2" a="1"/>
  <c r="S2434" i="2" s="1"/>
  <c r="W2434" i="2" s="1"/>
  <c r="Q2271" i="2" a="1"/>
  <c r="S2271" i="2" s="1"/>
  <c r="W2271" i="2" s="1"/>
  <c r="Q2302" i="2" a="1"/>
  <c r="S2302" i="2" s="1"/>
  <c r="W2302" i="2" s="1"/>
  <c r="Q2303" i="2" a="1"/>
  <c r="S2303" i="2" s="1"/>
  <c r="W2303" i="2" s="1"/>
  <c r="Q2254" i="2" a="1"/>
  <c r="S2254" i="2" s="1"/>
  <c r="W2254" i="2" s="1"/>
  <c r="Q2292" i="2" a="1"/>
  <c r="S2292" i="2" s="1"/>
  <c r="W2292" i="2" s="1"/>
  <c r="Q2343" i="2" a="1"/>
  <c r="S2343" i="2" s="1"/>
  <c r="W2343" i="2" s="1"/>
  <c r="Q2423" i="2" a="1"/>
  <c r="S2423" i="2" s="1"/>
  <c r="W2423" i="2" s="1"/>
  <c r="Q2431" i="2" a="1"/>
  <c r="S2431" i="2" s="1"/>
  <c r="W2431" i="2" s="1"/>
  <c r="Q2269" i="2" a="1"/>
  <c r="S2269" i="2" s="1"/>
  <c r="W2269" i="2" s="1"/>
  <c r="Q2404" i="2" a="1"/>
  <c r="S2404" i="2" s="1"/>
  <c r="W2404" i="2" s="1"/>
  <c r="Q2466" i="2" a="1"/>
  <c r="S2466" i="2" s="1"/>
  <c r="W2466" i="2" s="1"/>
  <c r="Q2301" i="2" a="1"/>
  <c r="S2301" i="2" s="1"/>
  <c r="W2301" i="2" s="1"/>
  <c r="Q2327" i="2" a="1"/>
  <c r="S2327" i="2" s="1"/>
  <c r="W2327" i="2" s="1"/>
  <c r="Q2245" i="2" a="1"/>
  <c r="S2245" i="2" s="1"/>
  <c r="W2245" i="2" s="1"/>
  <c r="Q2275" i="2" a="1"/>
  <c r="S2275" i="2" s="1"/>
  <c r="W2275" i="2" s="1"/>
  <c r="Q2267" i="2" a="1"/>
  <c r="S2267" i="2" s="1"/>
  <c r="W2267" i="2" s="1"/>
  <c r="Q2240" i="2" a="1"/>
  <c r="S2240" i="2" s="1"/>
  <c r="W2240" i="2" s="1"/>
  <c r="Q2299" i="2" a="1"/>
  <c r="S2299" i="2" s="1"/>
  <c r="W2299" i="2" s="1"/>
  <c r="Q2408" i="2" a="1"/>
  <c r="S2408" i="2" s="1"/>
  <c r="W2408" i="2" s="1"/>
  <c r="Q2291" i="2" a="1"/>
  <c r="S2291" i="2" s="1"/>
  <c r="W2291" i="2" s="1"/>
  <c r="Q2266" i="2" a="1"/>
  <c r="S2266" i="2" s="1"/>
  <c r="W2266" i="2" s="1"/>
  <c r="Q2348" i="2" a="1"/>
  <c r="S2348" i="2" s="1"/>
  <c r="W2348" i="2" s="1"/>
  <c r="Q2381" i="2" a="1"/>
  <c r="S2381" i="2" s="1"/>
  <c r="W2381" i="2" s="1"/>
  <c r="Q2334" i="2" a="1"/>
  <c r="S2334" i="2" s="1"/>
  <c r="W2334" i="2" s="1"/>
  <c r="Q2397" i="2" a="1"/>
  <c r="S2397" i="2" s="1"/>
  <c r="W2397" i="2" s="1"/>
  <c r="Q2393" i="2" a="1"/>
  <c r="S2393" i="2" s="1"/>
  <c r="W2393" i="2" s="1"/>
  <c r="Q2474" i="2" a="1"/>
  <c r="S2474" i="2" s="1"/>
  <c r="W2474" i="2" s="1"/>
  <c r="Q2476" i="2" a="1"/>
  <c r="S2476" i="2" s="1"/>
  <c r="W2476" i="2" s="1"/>
  <c r="Q2405" i="2" a="1"/>
  <c r="S2405" i="2" s="1"/>
  <c r="W2405" i="2" s="1"/>
  <c r="Q2364" i="2" a="1"/>
  <c r="S2364" i="2" s="1"/>
  <c r="W2364" i="2" s="1"/>
  <c r="Q2263" i="2" a="1"/>
  <c r="S2263" i="2" s="1"/>
  <c r="W2263" i="2" s="1"/>
  <c r="Q2415" i="2" a="1"/>
  <c r="S2415" i="2" s="1"/>
  <c r="W2415" i="2" s="1"/>
  <c r="Q2283" i="2" a="1"/>
  <c r="S2283" i="2" s="1"/>
  <c r="W2283" i="2" s="1"/>
  <c r="Q2373" i="2" a="1"/>
  <c r="S2373" i="2" s="1"/>
  <c r="W2373" i="2" s="1"/>
  <c r="Q2375" i="2" a="1"/>
  <c r="S2375" i="2" s="1"/>
  <c r="W2375" i="2" s="1"/>
  <c r="Q2463" i="2" a="1"/>
  <c r="S2463" i="2" s="1"/>
  <c r="W2463" i="2" s="1"/>
  <c r="Q2475" i="2" a="1"/>
  <c r="S2475" i="2" s="1"/>
  <c r="W2475" i="2" s="1"/>
  <c r="Q2300" i="2" a="1"/>
  <c r="S2300" i="2" s="1"/>
  <c r="W2300" i="2" s="1"/>
  <c r="Q2486" i="2" a="1"/>
  <c r="S2486" i="2" s="1"/>
  <c r="W2486" i="2" s="1"/>
  <c r="Q2339" i="2" a="1"/>
  <c r="S2339" i="2" s="1"/>
  <c r="W2339" i="2" s="1"/>
  <c r="Q2416" i="2" a="1"/>
  <c r="S2416" i="2" s="1"/>
  <c r="W2416" i="2" s="1"/>
  <c r="Q2487" i="2" a="1"/>
  <c r="S2487" i="2" s="1"/>
  <c r="W2487" i="2" s="1"/>
  <c r="Q2480" i="2" a="1"/>
  <c r="S2480" i="2" s="1"/>
  <c r="W2480" i="2" s="1"/>
  <c r="Q2308" i="2" a="1"/>
  <c r="S2308" i="2" s="1"/>
  <c r="W2308" i="2" s="1"/>
  <c r="Q2297" i="2" a="1"/>
  <c r="S2297" i="2" s="1"/>
  <c r="W2297" i="2" s="1"/>
  <c r="Q2365" i="2" a="1"/>
  <c r="S2365" i="2" s="1"/>
  <c r="W2365" i="2" s="1"/>
  <c r="Q2326" i="2" a="1"/>
  <c r="S2326" i="2" s="1"/>
  <c r="W2326" i="2" s="1"/>
  <c r="Q2411" i="2" a="1"/>
  <c r="S2411" i="2" s="1"/>
  <c r="W2411" i="2" s="1"/>
  <c r="Q2274" i="2" a="1"/>
  <c r="S2274" i="2" s="1"/>
  <c r="W2274" i="2" s="1"/>
  <c r="Q2241" i="2" a="1"/>
  <c r="S2241" i="2" s="1"/>
  <c r="W2241" i="2" s="1"/>
  <c r="Q2242" i="2" a="1"/>
  <c r="S2242" i="2" s="1"/>
  <c r="W2242" i="2" s="1"/>
  <c r="Q2321" i="2" a="1"/>
  <c r="S2321" i="2" s="1"/>
  <c r="W2321" i="2" s="1"/>
  <c r="Q2278" i="2" a="1"/>
  <c r="S2278" i="2" s="1"/>
  <c r="W2278" i="2" s="1"/>
  <c r="Q2277" i="2" a="1"/>
  <c r="S2277" i="2" s="1"/>
  <c r="W2277" i="2" s="1"/>
  <c r="Q2453" i="2" a="1"/>
  <c r="S2453" i="2" s="1"/>
  <c r="W2453" i="2" s="1"/>
  <c r="Q2420" i="2" a="1"/>
  <c r="S2420" i="2" s="1"/>
  <c r="W2420" i="2" s="1"/>
  <c r="Q2391" i="2" a="1"/>
  <c r="S2391" i="2" s="1"/>
  <c r="W2391" i="2" s="1"/>
  <c r="Q2428" i="2" a="1"/>
  <c r="S2428" i="2" s="1"/>
  <c r="W2428" i="2" s="1"/>
  <c r="Q2280" i="2" a="1"/>
  <c r="S2280" i="2" s="1"/>
  <c r="W2280" i="2" s="1"/>
  <c r="Q2256" i="2" a="1"/>
  <c r="S2256" i="2" s="1"/>
  <c r="W2256" i="2" s="1"/>
  <c r="Q2305" i="2" a="1"/>
  <c r="S2305" i="2" s="1"/>
  <c r="W2305" i="2" s="1"/>
  <c r="Q2237" i="2" a="1"/>
  <c r="S2237" i="2" s="1"/>
  <c r="W2237" i="2" s="1"/>
  <c r="Q2313" i="2" a="1"/>
  <c r="S2313" i="2" s="1"/>
  <c r="W2313" i="2" s="1"/>
  <c r="Q2488" i="2" a="1"/>
  <c r="S2488" i="2" s="1"/>
  <c r="W2488" i="2" s="1"/>
  <c r="Q2325" i="2" a="1"/>
  <c r="S2325" i="2" s="1"/>
  <c r="W2325" i="2" s="1"/>
  <c r="Q2286" i="2" a="1"/>
  <c r="S2286" i="2" s="1"/>
  <c r="W2286" i="2" s="1"/>
  <c r="Q2243" i="2" a="1"/>
  <c r="S2243" i="2" s="1"/>
  <c r="W2243" i="2" s="1"/>
  <c r="Q2248" i="2" a="1"/>
  <c r="S2248" i="2" s="1"/>
  <c r="W2248" i="2" s="1"/>
  <c r="Q2432" i="2" a="1"/>
  <c r="S2432" i="2" s="1"/>
  <c r="W2432" i="2" s="1"/>
  <c r="Q2260" i="2" a="1"/>
  <c r="S2260" i="2" s="1"/>
  <c r="W2260" i="2" s="1"/>
  <c r="Q2262" i="2" a="1"/>
  <c r="S2262" i="2" s="1"/>
  <c r="W2262" i="2" s="1"/>
  <c r="Q2244" i="2" a="1"/>
  <c r="S2244" i="2" s="1"/>
  <c r="W2244" i="2" s="1"/>
  <c r="Q2281" i="2" a="1"/>
  <c r="S2281" i="2" s="1"/>
  <c r="W2281" i="2" s="1"/>
  <c r="Q2376" i="2" a="1"/>
  <c r="S2376" i="2" s="1"/>
  <c r="W2376" i="2" s="1"/>
  <c r="Q2268" i="2" a="1"/>
  <c r="S2268" i="2" s="1"/>
  <c r="W2268" i="2" s="1"/>
  <c r="Q2378" i="2" a="1"/>
  <c r="S2378" i="2" s="1"/>
  <c r="W2378" i="2" s="1"/>
  <c r="Q2462" i="2" a="1"/>
  <c r="S2462" i="2" s="1"/>
  <c r="W2462" i="2" s="1"/>
  <c r="Q2385" i="2" a="1"/>
  <c r="S2385" i="2" s="1"/>
  <c r="W2385" i="2" s="1"/>
  <c r="Q2426" i="2" a="1"/>
  <c r="S2426" i="2" s="1"/>
  <c r="W2426" i="2" s="1"/>
  <c r="Q2387" i="2" a="1"/>
  <c r="S2387" i="2" s="1"/>
  <c r="W2387" i="2" s="1"/>
  <c r="Q2246" i="2" a="1"/>
  <c r="S2246" i="2" s="1"/>
  <c r="W2246" i="2" s="1"/>
  <c r="Q2314" i="2" a="1"/>
  <c r="S2314" i="2" s="1"/>
  <c r="W2314" i="2" s="1"/>
  <c r="Q2251" i="2" a="1"/>
  <c r="S2251" i="2" s="1"/>
  <c r="W2251" i="2" s="1"/>
  <c r="Q2284" i="2" a="1"/>
  <c r="S2284" i="2" s="1"/>
  <c r="W2284" i="2" s="1"/>
  <c r="Q2315" i="2" a="1"/>
  <c r="S2315" i="2" s="1"/>
  <c r="W2315" i="2" s="1"/>
  <c r="Q2238" i="2" a="1"/>
  <c r="S2238" i="2" s="1"/>
  <c r="W2238" i="2" s="1"/>
  <c r="Q2467" i="2" a="1"/>
  <c r="S2467" i="2" s="1"/>
  <c r="W2467" i="2" s="1"/>
  <c r="Q2307" i="2" a="1"/>
  <c r="S2307" i="2" s="1"/>
  <c r="W2307" i="2" s="1"/>
  <c r="Q2265" i="2" a="1"/>
  <c r="S2265" i="2" s="1"/>
  <c r="W2265" i="2" s="1"/>
  <c r="Q2489" i="2" a="1"/>
  <c r="S2489" i="2" s="1"/>
  <c r="W2489" i="2" s="1"/>
  <c r="Q2298" i="2" a="1"/>
  <c r="S2298" i="2" s="1"/>
  <c r="W2298" i="2" s="1"/>
  <c r="Q2477" i="2" a="1"/>
  <c r="S2477" i="2" s="1"/>
  <c r="W2477" i="2" s="1"/>
  <c r="Q2288" i="2" a="1"/>
  <c r="S2288" i="2" s="1"/>
  <c r="W2288" i="2" s="1"/>
  <c r="Q2252" i="2" a="1"/>
  <c r="S2252" i="2" s="1"/>
  <c r="W2252" i="2" s="1"/>
  <c r="Q2451" i="2" a="1"/>
  <c r="S2451" i="2" s="1"/>
  <c r="W2451" i="2" s="1"/>
  <c r="Q2386" i="2" a="1"/>
  <c r="S2386" i="2" s="1"/>
  <c r="W2386" i="2" s="1"/>
  <c r="Q2250" i="2" a="1"/>
  <c r="S2250" i="2" s="1"/>
  <c r="W2250" i="2" s="1"/>
  <c r="Q2352" i="2" a="1"/>
  <c r="S2352" i="2" s="1"/>
  <c r="W2352" i="2" s="1"/>
  <c r="Q2255" i="2" a="1"/>
  <c r="S2255" i="2" s="1"/>
  <c r="W2255" i="2" s="1"/>
  <c r="Q2295" i="2" a="1"/>
  <c r="S2295" i="2" s="1"/>
  <c r="W2295" i="2" s="1"/>
  <c r="Q2349" i="2" a="1"/>
  <c r="S2349" i="2" s="1"/>
  <c r="W2349" i="2" s="1"/>
  <c r="Q2384" i="2" a="1"/>
  <c r="S2384" i="2" s="1"/>
  <c r="W2384" i="2" s="1"/>
  <c r="Q2483" i="2" a="1"/>
  <c r="S2483" i="2" s="1"/>
  <c r="W2483" i="2" s="1"/>
  <c r="Q2249" i="2" a="1"/>
  <c r="S2249" i="2" s="1"/>
  <c r="W2249" i="2" s="1"/>
  <c r="Q2357" i="2" a="1"/>
  <c r="S2357" i="2" s="1"/>
  <c r="W2357" i="2" s="1"/>
  <c r="L2" i="4" l="1"/>
  <c r="R1593" i="2" a="1"/>
  <c r="R1230" i="2" a="1"/>
  <c r="R1790" i="2" a="1"/>
  <c r="R2051" i="2" a="1"/>
  <c r="R1261" i="2" a="1"/>
  <c r="R1797" i="2" a="1"/>
  <c r="R2258" i="2" a="1"/>
  <c r="R866" i="2" a="1"/>
  <c r="R1769" i="2" a="1"/>
  <c r="R824" i="2" a="1"/>
  <c r="R1594" i="2" a="1"/>
  <c r="R1775" i="2" a="1"/>
  <c r="R1798" i="2" a="1"/>
  <c r="R139" i="2" a="1"/>
  <c r="R2095" i="2" a="1"/>
  <c r="R2401" i="2" a="1"/>
  <c r="R1799" i="2" a="1"/>
  <c r="R318" i="2" a="1"/>
  <c r="R2114" i="2" a="1"/>
  <c r="R2104" i="2" a="1"/>
  <c r="R786" i="2" a="1"/>
  <c r="R1595" i="2" a="1"/>
  <c r="R1800" i="2" a="1"/>
  <c r="R2032" i="2" a="1"/>
  <c r="R900" i="2" a="1"/>
  <c r="R1653" i="2" a="1"/>
  <c r="R1733" i="2" a="1"/>
  <c r="R2392" i="2" a="1"/>
  <c r="R1743" i="2" a="1"/>
  <c r="R1801" i="2" a="1"/>
  <c r="R2329" i="2" a="1"/>
  <c r="R1767" i="2" a="1"/>
  <c r="R1219" i="2" a="1"/>
  <c r="R2069" i="2" a="1"/>
  <c r="R197" i="2" a="1"/>
  <c r="R1957" i="2" a="1"/>
  <c r="R2040" i="2" a="1"/>
  <c r="R1555" i="2" a="1"/>
  <c r="R503" i="2" a="1"/>
  <c r="R1802" i="2" a="1"/>
  <c r="R2156" i="2" a="1"/>
  <c r="R1973" i="2" a="1"/>
  <c r="R2294" i="2" a="1"/>
  <c r="R1209" i="2" a="1"/>
  <c r="R2020" i="2" a="1"/>
  <c r="R1723" i="2" a="1"/>
  <c r="R1803" i="2" a="1"/>
  <c r="R140" i="2" a="1"/>
  <c r="R2310" i="2" a="1"/>
  <c r="R1220" i="2" a="1"/>
  <c r="R1804" i="2" a="1"/>
  <c r="R2018" i="2" a="1"/>
  <c r="R2047" i="2" a="1"/>
  <c r="R2264" i="2" a="1"/>
  <c r="R1231" i="2" a="1"/>
  <c r="R1718" i="2" a="1"/>
  <c r="R2306" i="2" a="1"/>
  <c r="R2534" i="2" a="1"/>
  <c r="R1727" i="2" a="1"/>
  <c r="R2019" i="2" a="1"/>
  <c r="R1291" i="2" a="1"/>
  <c r="R1759" i="2" a="1"/>
  <c r="R2239" i="2" a="1"/>
  <c r="R2282" i="2" a="1"/>
  <c r="R2276" i="2" a="1"/>
  <c r="R2289" i="2" a="1"/>
  <c r="R2311" i="2" a="1"/>
  <c r="R2309" i="2" a="1"/>
  <c r="R2312" i="2" a="1"/>
  <c r="R252" i="2" a="1"/>
  <c r="R1612" i="2" a="1"/>
  <c r="R1704" i="2" a="1"/>
  <c r="R1805" i="2" a="1"/>
  <c r="R629" i="2" a="1"/>
  <c r="R2060" i="2" a="1"/>
  <c r="R2091" i="2" a="1"/>
  <c r="R1976" i="2" a="1"/>
  <c r="R1596" i="2" a="1"/>
  <c r="R362" i="2" a="1"/>
  <c r="R1210" i="2" a="1"/>
  <c r="R1986" i="2" a="1"/>
  <c r="R1541" i="2" a="1"/>
  <c r="R2083" i="2" a="1"/>
  <c r="R1806" i="2" a="1"/>
  <c r="R1791" i="2" a="1"/>
  <c r="R1979" i="2" a="1"/>
  <c r="R2034" i="2" a="1"/>
  <c r="R1699" i="2" a="1"/>
  <c r="R2317" i="2" a="1"/>
  <c r="R2412" i="2" a="1"/>
  <c r="R2394" i="2" a="1"/>
  <c r="R2430" i="2" a="1"/>
  <c r="R2482" i="2" a="1"/>
  <c r="R2485" i="2" a="1"/>
  <c r="R1597" i="2" a="1"/>
  <c r="R1682" i="2" a="1"/>
  <c r="R777" i="2" a="1"/>
  <c r="R1671" i="2" a="1"/>
  <c r="R1738" i="2" a="1"/>
  <c r="R1539" i="2" a="1"/>
  <c r="R1556" i="2" a="1"/>
  <c r="R759" i="2" a="1"/>
  <c r="R2115" i="2" a="1"/>
  <c r="R1221" i="2" a="1"/>
  <c r="R1808" i="2" a="1"/>
  <c r="R1211" i="2" a="1"/>
  <c r="R1809" i="2" a="1"/>
  <c r="R301" i="2" a="1"/>
  <c r="R1655" i="2" a="1"/>
  <c r="R2157" i="2" a="1"/>
  <c r="R1734" i="2" a="1"/>
  <c r="R1557" i="2" a="1"/>
  <c r="R1810" i="2" a="1"/>
  <c r="R1765" i="2" a="1"/>
  <c r="R141" i="2" a="1"/>
  <c r="R2535" i="2" a="1"/>
  <c r="R1669" i="2" a="1"/>
  <c r="R361" i="2" a="1"/>
  <c r="R2059" i="2" a="1"/>
  <c r="R2515" i="2" a="1"/>
  <c r="R2105" i="2" a="1"/>
  <c r="R1811" i="2" a="1"/>
  <c r="R2536" i="2" a="1"/>
  <c r="R1721" i="2" a="1"/>
  <c r="R2471" i="2" a="1"/>
  <c r="R2332" i="2" a="1"/>
  <c r="R1812" i="2" a="1"/>
  <c r="R1813" i="2" a="1"/>
  <c r="R1954" i="2" a="1"/>
  <c r="R1542" i="2" a="1"/>
  <c r="R2261" i="2" a="1"/>
  <c r="R2106" i="2" a="1"/>
  <c r="R1814" i="2" a="1"/>
  <c r="R1815" i="2" a="1"/>
  <c r="R2272" i="2" a="1"/>
  <c r="R1953" i="2" a="1"/>
  <c r="R1816" i="2" a="1"/>
  <c r="R2390" i="2" a="1"/>
  <c r="R2366" i="2" a="1"/>
  <c r="R763" i="2" a="1"/>
  <c r="R2490" i="2" a="1"/>
  <c r="R1379" i="2" a="1"/>
  <c r="R1817" i="2" a="1"/>
  <c r="R2504" i="2" a="1"/>
  <c r="R2425" i="2" a="1"/>
  <c r="R2316" i="2" a="1"/>
  <c r="R2469" i="2" a="1"/>
  <c r="R2470" i="2" a="1"/>
  <c r="R2370" i="2" a="1"/>
  <c r="R1994" i="2" a="1"/>
  <c r="R1818" i="2" a="1"/>
  <c r="R1232" i="2" a="1"/>
  <c r="R624" i="2" a="1"/>
  <c r="R829" i="2" a="1"/>
  <c r="R1233" i="2" a="1"/>
  <c r="R1049" i="2" a="1"/>
  <c r="R1543" i="2" a="1"/>
  <c r="R2537" i="2" a="1"/>
  <c r="R2003" i="2" a="1"/>
  <c r="R1731" i="2" a="1"/>
  <c r="R1770" i="2" a="1"/>
  <c r="R1693" i="2" a="1"/>
  <c r="R2247" i="2" a="1"/>
  <c r="R898" i="2" a="1"/>
  <c r="R2331" i="2" a="1"/>
  <c r="R2338" i="2" a="1"/>
  <c r="R1702" i="2" a="1"/>
  <c r="R1819" i="2" a="1"/>
  <c r="R765" i="2" a="1"/>
  <c r="R823" i="2" a="1"/>
  <c r="R1965" i="2" a="1"/>
  <c r="R1991" i="2" a="1"/>
  <c r="R1783" i="2" a="1"/>
  <c r="R359" i="2" a="1"/>
  <c r="R2389" i="2" a="1"/>
  <c r="R2342" i="2" a="1"/>
  <c r="R162" i="2" a="1"/>
  <c r="R2049" i="2" a="1"/>
  <c r="R2068" i="2" a="1"/>
  <c r="R2279" i="2" a="1"/>
  <c r="R1262" i="2" a="1"/>
  <c r="R1212" i="2" a="1"/>
  <c r="R1820" i="2" a="1"/>
  <c r="R771" i="2" a="1"/>
  <c r="R1695" i="2" a="1"/>
  <c r="R154" i="2" a="1"/>
  <c r="R1222" i="2" a="1"/>
  <c r="R2125" i="2" a="1"/>
  <c r="R1776" i="2" a="1"/>
  <c r="R1127" i="2" a="1"/>
  <c r="R2158" i="2" a="1"/>
  <c r="R1558" i="2" a="1"/>
  <c r="R406" i="2" a="1"/>
  <c r="R2054" i="2" a="1"/>
  <c r="R1982" i="2" a="1"/>
  <c r="R433" i="2" a="1"/>
  <c r="R2153" i="2" a="1"/>
  <c r="R1598" i="2" a="1"/>
  <c r="R142" i="2" a="1"/>
  <c r="R1657" i="2" a="1"/>
  <c r="R2319" i="2" a="1"/>
  <c r="R1821" i="2" a="1"/>
  <c r="R1681" i="2" a="1"/>
  <c r="R2045" i="2" a="1"/>
  <c r="R1613" i="2" a="1"/>
  <c r="R1788" i="2" a="1"/>
  <c r="R1614" i="2" a="1"/>
  <c r="R1599" i="2" a="1"/>
  <c r="R1661" i="2" a="1"/>
  <c r="R1757" i="2" a="1"/>
  <c r="R1583" i="2" a="1"/>
  <c r="R772" i="2" a="1"/>
  <c r="R370" i="2" a="1"/>
  <c r="R2073" i="2" a="1"/>
  <c r="R1752" i="2" a="1"/>
  <c r="R1822" i="2" a="1"/>
  <c r="R1745" i="2" a="1"/>
  <c r="R1584" i="2" a="1"/>
  <c r="R2253" i="2" a="1"/>
  <c r="R302" i="2" a="1"/>
  <c r="R2287" i="2" a="1"/>
  <c r="R371" i="2" a="1"/>
  <c r="R2236" i="2" a="1"/>
  <c r="R2270" i="2" a="1"/>
  <c r="R2259" i="2" a="1"/>
  <c r="R372" i="2" a="1"/>
  <c r="R411" i="2" a="1"/>
  <c r="R303" i="2" a="1"/>
  <c r="R615" i="2" a="1"/>
  <c r="R1823" i="2" a="1"/>
  <c r="R2052" i="2" a="1"/>
  <c r="R1824" i="2" a="1"/>
  <c r="R2455" i="2" a="1"/>
  <c r="R1575" i="2" a="1"/>
  <c r="R1825" i="2" a="1"/>
  <c r="R1826" i="2" a="1"/>
  <c r="R1708" i="2" a="1"/>
  <c r="R1600" i="2" a="1"/>
  <c r="R1559" i="2" a="1"/>
  <c r="R630" i="2" a="1"/>
  <c r="R1601" i="2" a="1"/>
  <c r="R459" i="2" a="1"/>
  <c r="R2159" i="2" a="1"/>
  <c r="R2500" i="2" a="1"/>
  <c r="R2439" i="2" a="1"/>
  <c r="R2452" i="2" a="1"/>
  <c r="R793" i="2" a="1"/>
  <c r="R1234" i="2" a="1"/>
  <c r="R199" i="2" a="1"/>
  <c r="R1692" i="2" a="1"/>
  <c r="R2290" i="2" a="1"/>
  <c r="R2285" i="2" a="1"/>
  <c r="R2296" i="2" a="1"/>
  <c r="R2538" i="2" a="1"/>
  <c r="R1235" i="2" a="1"/>
  <c r="R2293" i="2" a="1"/>
  <c r="R2318" i="2" a="1"/>
  <c r="R1670" i="2" a="1"/>
  <c r="R163" i="2" a="1"/>
  <c r="R2324" i="2" a="1"/>
  <c r="R2056" i="2" a="1"/>
  <c r="R2273" i="2" a="1"/>
  <c r="R143" i="2" a="1"/>
  <c r="R2257" i="2" a="1"/>
  <c r="R1746" i="2" a="1"/>
  <c r="R2107" i="2" a="1"/>
  <c r="R1602" i="2" a="1"/>
  <c r="R1560" i="2" a="1"/>
  <c r="R2016" i="2" a="1"/>
  <c r="R2353" i="2" a="1"/>
  <c r="R2351" i="2" a="1"/>
  <c r="R2304" i="2" a="1"/>
  <c r="R2434" i="2" a="1"/>
  <c r="R2078" i="2" a="1"/>
  <c r="R1940" i="2" a="1"/>
  <c r="R1782" i="2" a="1"/>
  <c r="R2539" i="2" a="1"/>
  <c r="R2271" i="2" a="1"/>
  <c r="R1654" i="2" a="1"/>
  <c r="R2302" i="2" a="1"/>
  <c r="R1707" i="2" a="1"/>
  <c r="R1827" i="2" a="1"/>
  <c r="R305" i="2" a="1"/>
  <c r="R2035" i="2" a="1"/>
  <c r="R2303" i="2" a="1"/>
  <c r="R321" i="2" a="1"/>
  <c r="R460" i="2" a="1"/>
  <c r="R761" i="2" a="1"/>
  <c r="R2098" i="2" a="1"/>
  <c r="R2254" i="2" a="1"/>
  <c r="R2292" i="2" a="1"/>
  <c r="R1960" i="2" a="1"/>
  <c r="R1236" i="2" a="1"/>
  <c r="R2343" i="2" a="1"/>
  <c r="R2423" i="2" a="1"/>
  <c r="R2431" i="2" a="1"/>
  <c r="R2269" i="2" a="1"/>
  <c r="R2146" i="2" a="1"/>
  <c r="R1213" i="2" a="1"/>
  <c r="R2137" i="2" a="1"/>
  <c r="R1223" i="2" a="1"/>
  <c r="R1615" i="2" a="1"/>
  <c r="R2404" i="2" a="1"/>
  <c r="R1393" i="2" a="1"/>
  <c r="R144" i="2" a="1"/>
  <c r="R2466" i="2" a="1"/>
  <c r="R1828" i="2" a="1"/>
  <c r="R1829" i="2" a="1"/>
  <c r="R1533" i="2" a="1"/>
  <c r="R795" i="2" a="1"/>
  <c r="R1004" i="2" a="1"/>
  <c r="R826" i="2" a="1"/>
  <c r="R266" i="2" a="1"/>
  <c r="R1685" i="2" a="1"/>
  <c r="R1830" i="2" a="1"/>
  <c r="R2491" i="2" a="1"/>
  <c r="R1831" i="2" a="1"/>
  <c r="R2055" i="2" a="1"/>
  <c r="R1796" i="2" a="1"/>
  <c r="R1978" i="2" a="1"/>
  <c r="R1832" i="2" a="1"/>
  <c r="R668" i="2" a="1"/>
  <c r="R1833" i="2" a="1"/>
  <c r="R1603" i="2" a="1"/>
  <c r="R1683" i="2" a="1"/>
  <c r="R2301" i="2" a="1"/>
  <c r="R2327" i="2" a="1"/>
  <c r="R1616" i="2" a="1"/>
  <c r="R830" i="2" a="1"/>
  <c r="R902" i="2" a="1"/>
  <c r="R2245" i="2" a="1"/>
  <c r="R1237" i="2" a="1"/>
  <c r="R1656" i="2" a="1"/>
  <c r="R821" i="2" a="1"/>
  <c r="R827" i="2" a="1"/>
  <c r="R2014" i="2" a="1"/>
  <c r="R1760" i="2" a="1"/>
  <c r="R2275" i="2" a="1"/>
  <c r="R1834" i="2" a="1"/>
  <c r="R880" i="2" a="1"/>
  <c r="R766" i="2" a="1"/>
  <c r="R1512" i="2" a="1"/>
  <c r="R1290" i="2" a="1"/>
  <c r="R2066" i="2" a="1"/>
  <c r="R1214" i="2" a="1"/>
  <c r="R828" i="2" a="1"/>
  <c r="R2267" i="2" a="1"/>
  <c r="R2540" i="2" a="1"/>
  <c r="R2160" i="2" a="1"/>
  <c r="R1617" i="2" a="1"/>
  <c r="R1668" i="2" a="1"/>
  <c r="R2087" i="2" a="1"/>
  <c r="R1835" i="2" a="1"/>
  <c r="R1618" i="2" a="1"/>
  <c r="R1619" i="2" a="1"/>
  <c r="R593" i="2" a="1"/>
  <c r="R155" i="2" a="1"/>
  <c r="R1238" i="2" a="1"/>
  <c r="R2090" i="2" a="1"/>
  <c r="R179" i="2" a="1"/>
  <c r="R1678" i="2" a="1"/>
  <c r="R1972" i="2" a="1"/>
  <c r="R2240" i="2" a="1"/>
  <c r="R2062" i="2" a="1"/>
  <c r="R1224" i="2" a="1"/>
  <c r="R2161" i="2" a="1"/>
  <c r="R1576" i="2" a="1"/>
  <c r="R928" i="2" a="1"/>
  <c r="R1983" i="2" a="1"/>
  <c r="R636" i="2" a="1"/>
  <c r="R2044" i="2" a="1"/>
  <c r="R1837" i="2" a="1"/>
  <c r="R903" i="2" a="1"/>
  <c r="R195" i="2" a="1"/>
  <c r="R1371" i="2" a="1"/>
  <c r="R2057" i="2" a="1"/>
  <c r="R626" i="2" a="1"/>
  <c r="R2088" i="2" a="1"/>
  <c r="R1239" i="2" a="1"/>
  <c r="R1658" i="2" a="1"/>
  <c r="R1838" i="2" a="1"/>
  <c r="R1840" i="2" a="1"/>
  <c r="R1990" i="2" a="1"/>
  <c r="R1240" i="2" a="1"/>
  <c r="R304" i="2" a="1"/>
  <c r="R2011" i="2" a="1"/>
  <c r="R1951" i="2" a="1"/>
  <c r="R2116" i="2" a="1"/>
  <c r="R657" i="2" a="1"/>
  <c r="R2299" i="2" a="1"/>
  <c r="R1970" i="2" a="1"/>
  <c r="R1841" i="2" a="1"/>
  <c r="R2408" i="2" a="1"/>
  <c r="R1842" i="2" a="1"/>
  <c r="R1620" i="2" a="1"/>
  <c r="R1215" i="2" a="1"/>
  <c r="R164" i="2" a="1"/>
  <c r="R1843" i="2" a="1"/>
  <c r="R1241" i="2" a="1"/>
  <c r="R2291" i="2" a="1"/>
  <c r="R1724" i="2" a="1"/>
  <c r="R1604" i="2" a="1"/>
  <c r="R2001" i="2" a="1"/>
  <c r="R1694" i="2" a="1"/>
  <c r="R1680" i="2" a="1"/>
  <c r="R1844" i="2" a="1"/>
  <c r="R1845" i="2" a="1"/>
  <c r="R2038" i="2" a="1"/>
  <c r="R2070" i="2" a="1"/>
  <c r="R1847" i="2" a="1"/>
  <c r="R1732" i="2" a="1"/>
  <c r="R1242" i="2" a="1"/>
  <c r="R2266" i="2" a="1"/>
  <c r="R1981" i="2" a="1"/>
  <c r="R2108" i="2" a="1"/>
  <c r="R2039" i="2" a="1"/>
  <c r="R1391" i="2" a="1"/>
  <c r="R779" i="2" a="1"/>
  <c r="R1673" i="2" a="1"/>
  <c r="R2064" i="2" a="1"/>
  <c r="R1848" i="2" a="1"/>
  <c r="R1585" i="2" a="1"/>
  <c r="R1621" i="2" a="1"/>
  <c r="R2494" i="2" a="1"/>
  <c r="R1664" i="2" a="1"/>
  <c r="R1561" i="2" a="1"/>
  <c r="R1225" i="2" a="1"/>
  <c r="R1849" i="2" a="1"/>
  <c r="R1955" i="2" a="1"/>
  <c r="R1781" i="2" a="1"/>
  <c r="R1771" i="2" a="1"/>
  <c r="R412" i="2" a="1"/>
  <c r="R1762" i="2" a="1"/>
  <c r="R2012" i="2" a="1"/>
  <c r="R1386" i="2" a="1"/>
  <c r="R1712" i="2" a="1"/>
  <c r="R2541" i="2" a="1"/>
  <c r="R1748" i="2" a="1"/>
  <c r="R1586" i="2" a="1"/>
  <c r="R1577" i="2" a="1"/>
  <c r="R773" i="2" a="1"/>
  <c r="R1587" i="2" a="1"/>
  <c r="R1850" i="2" a="1"/>
  <c r="R2029" i="2" a="1"/>
  <c r="R1851" i="2" a="1"/>
  <c r="R1766" i="2" a="1"/>
  <c r="R1852" i="2" a="1"/>
  <c r="R2036" i="2" a="1"/>
  <c r="R1853" i="2" a="1"/>
  <c r="R2076" i="2" a="1"/>
  <c r="R638" i="2" a="1"/>
  <c r="R2097" i="2" a="1"/>
  <c r="R2077" i="2" a="1"/>
  <c r="R7" i="2" a="1"/>
  <c r="R2013" i="2" a="1"/>
  <c r="R1574" i="2" a="1"/>
  <c r="R2026" i="2" a="1"/>
  <c r="R2348" i="2" a="1"/>
  <c r="R2381" i="2" a="1"/>
  <c r="R145" i="2" a="1"/>
  <c r="R1388" i="2" a="1"/>
  <c r="R832" i="2" a="1"/>
  <c r="R1713" i="2" a="1"/>
  <c r="R1854" i="2" a="1"/>
  <c r="R1958" i="2" a="1"/>
  <c r="R408" i="2" a="1"/>
  <c r="R1263" i="2" a="1"/>
  <c r="R1959" i="2" a="1"/>
  <c r="R1855" i="2" a="1"/>
  <c r="R1665" i="2" a="1"/>
  <c r="R1622" i="2" a="1"/>
  <c r="R1696" i="2" a="1"/>
  <c r="R2542" i="2" a="1"/>
  <c r="R461" i="2" a="1"/>
  <c r="R1856" i="2" a="1"/>
  <c r="R403" i="2" a="1"/>
  <c r="R1662" i="2" a="1"/>
  <c r="R580" i="2" a="1"/>
  <c r="R267" i="2" a="1"/>
  <c r="R970" i="2" a="1"/>
  <c r="R2334" i="2" a="1"/>
  <c r="R2397" i="2" a="1"/>
  <c r="R628" i="2" a="1"/>
  <c r="R2393" i="2" a="1"/>
  <c r="R1779" i="2" a="1"/>
  <c r="R1952" i="2" a="1"/>
  <c r="R2474" i="2" a="1"/>
  <c r="R2476" i="2" a="1"/>
  <c r="R1857" i="2" a="1"/>
  <c r="R1858" i="2" a="1"/>
  <c r="R1859" i="2" a="1"/>
  <c r="R2405" i="2" a="1"/>
  <c r="R2085" i="2" a="1"/>
  <c r="R1383" i="2" a="1"/>
  <c r="R2109" i="2" a="1"/>
  <c r="R1385" i="2" a="1"/>
  <c r="R2364" i="2" a="1"/>
  <c r="R1943" i="2" a="1"/>
  <c r="R2061" i="2" a="1"/>
  <c r="R1949" i="2" a="1"/>
  <c r="R2263" i="2" a="1"/>
  <c r="R1740" i="2" a="1"/>
  <c r="R2007" i="2" a="1"/>
  <c r="R2415" i="2" a="1"/>
  <c r="R2283" i="2" a="1"/>
  <c r="R1719" i="2" a="1"/>
  <c r="R1588" i="2" a="1"/>
  <c r="R2373" i="2" a="1"/>
  <c r="R2063" i="2" a="1"/>
  <c r="R2502" i="2" a="1"/>
  <c r="R2375" i="2" a="1"/>
  <c r="R2463" i="2" a="1"/>
  <c r="R2475" i="2" a="1"/>
  <c r="R2300" i="2" a="1"/>
  <c r="R1789" i="2" a="1"/>
  <c r="R1418" i="2" a="1"/>
  <c r="R2497" i="2" a="1"/>
  <c r="R1216" i="2" a="1"/>
  <c r="R1720" i="2" a="1"/>
  <c r="R747" i="2" a="1"/>
  <c r="R1764" i="2" a="1"/>
  <c r="R1260" i="2" a="1"/>
  <c r="R2486" i="2" a="1"/>
  <c r="R2339" i="2" a="1"/>
  <c r="R2416" i="2" a="1"/>
  <c r="R2487" i="2" a="1"/>
  <c r="R2480" i="2" a="1"/>
  <c r="R2308" i="2" a="1"/>
  <c r="R1285" i="2" a="1"/>
  <c r="R2008" i="2" a="1"/>
  <c r="R1709" i="2" a="1"/>
  <c r="R2543" i="2" a="1"/>
  <c r="R633" i="2" a="1"/>
  <c r="R644" i="2" a="1"/>
  <c r="R2297" i="2" a="1"/>
  <c r="R2544" i="2" a="1"/>
  <c r="R1763" i="2" a="1"/>
  <c r="R1722" i="2" a="1"/>
  <c r="R2065" i="2" a="1"/>
  <c r="R1860" i="2" a="1"/>
  <c r="R1623" i="2" a="1"/>
  <c r="R2050" i="2" a="1"/>
  <c r="R1605" i="2" a="1"/>
  <c r="R146" i="2" a="1"/>
  <c r="R452" i="2" a="1"/>
  <c r="R1725" i="2" a="1"/>
  <c r="R112" i="2" a="1"/>
  <c r="R1005" i="2" a="1"/>
  <c r="R473" i="2" a="1"/>
  <c r="R2365" i="2" a="1"/>
  <c r="R2326" i="2" a="1"/>
  <c r="R1861" i="2" a="1"/>
  <c r="R2411" i="2" a="1"/>
  <c r="R1624" i="2" a="1"/>
  <c r="R1862" i="2" a="1"/>
  <c r="R450" i="2" a="1"/>
  <c r="R2274" i="2" a="1"/>
  <c r="R1606" i="2" a="1"/>
  <c r="R325" i="2" a="1"/>
  <c r="R1863" i="2" a="1"/>
  <c r="R2241" i="2" a="1"/>
  <c r="R1625" i="2" a="1"/>
  <c r="R2162" i="2" a="1"/>
  <c r="R1562" i="2" a="1"/>
  <c r="R165" i="2" a="1"/>
  <c r="R767" i="2" a="1"/>
  <c r="R2545" i="2" a="1"/>
  <c r="R1264" i="2" a="1"/>
  <c r="R516" i="2" a="1"/>
  <c r="R1864" i="2" a="1"/>
  <c r="R1999" i="2" a="1"/>
  <c r="R834" i="2" a="1"/>
  <c r="R1243" i="2" a="1"/>
  <c r="R1544" i="2" a="1"/>
  <c r="R2006" i="2" a="1"/>
  <c r="R2242" i="2" a="1"/>
  <c r="R2321" i="2" a="1"/>
  <c r="R2000" i="2" a="1"/>
  <c r="R1985" i="2" a="1"/>
  <c r="R1865" i="2" a="1"/>
  <c r="R1866" i="2" a="1"/>
  <c r="R2015" i="2" a="1"/>
  <c r="R1867" i="2" a="1"/>
  <c r="R1868" i="2" a="1"/>
  <c r="R1749" i="2" a="1"/>
  <c r="R1772" i="2" a="1"/>
  <c r="R1777" i="2" a="1"/>
  <c r="R1289" i="2" a="1"/>
  <c r="R1626" i="2" a="1"/>
  <c r="R1998" i="2" a="1"/>
  <c r="R2503" i="2" a="1"/>
  <c r="R1698" i="2" a="1"/>
  <c r="R1415" i="2" a="1"/>
  <c r="R2099" i="2" a="1"/>
  <c r="R1578" i="2" a="1"/>
  <c r="R2278" i="2" a="1"/>
  <c r="R1869" i="2" a="1"/>
  <c r="R1226" i="2" a="1"/>
  <c r="R1870" i="2" a="1"/>
  <c r="R268" i="2" a="1"/>
  <c r="R1871" i="2" a="1"/>
  <c r="R1872" i="2" a="1"/>
  <c r="R2023" i="2" a="1"/>
  <c r="R1873" i="2" a="1"/>
  <c r="R2033" i="2" a="1"/>
  <c r="R1984" i="2" a="1"/>
  <c r="R2277" i="2" a="1"/>
  <c r="R1971" i="2" a="1"/>
  <c r="R1780" i="2" a="1"/>
  <c r="R2022" i="2" a="1"/>
  <c r="R1874" i="2" a="1"/>
  <c r="R1946" i="2" a="1"/>
  <c r="R2010" i="2" a="1"/>
  <c r="R2110" i="2" a="1"/>
  <c r="R1607" i="2" a="1"/>
  <c r="R1516" i="2" a="1"/>
  <c r="R1545" i="2" a="1"/>
  <c r="R2453" i="2" a="1"/>
  <c r="R1875" i="2" a="1"/>
  <c r="R1876" i="2" a="1"/>
  <c r="R1101" i="2" a="1"/>
  <c r="R833" i="2" a="1"/>
  <c r="R2546" i="2" a="1"/>
  <c r="R1773" i="2" a="1"/>
  <c r="R1244" i="2" a="1"/>
  <c r="R1006" i="2" a="1"/>
  <c r="R176" i="2" a="1"/>
  <c r="R200" i="2" a="1"/>
  <c r="R2420" i="2" a="1"/>
  <c r="R1989" i="2" a="1"/>
  <c r="R649" i="2" a="1"/>
  <c r="R1744" i="2" a="1"/>
  <c r="R2002" i="2" a="1"/>
  <c r="R1793" i="2" a="1"/>
  <c r="R1714" i="2" a="1"/>
  <c r="R1715" i="2" a="1"/>
  <c r="R1265" i="2" a="1"/>
  <c r="R1563" i="2" a="1"/>
  <c r="R1753" i="2" a="1"/>
  <c r="R1877" i="2" a="1"/>
  <c r="R147" i="2" a="1"/>
  <c r="R1007" i="2" a="1"/>
  <c r="R1589" i="2" a="1"/>
  <c r="R1627" i="2" a="1"/>
  <c r="R1245" i="2" a="1"/>
  <c r="R1878" i="2" a="1"/>
  <c r="R1996" i="2" a="1"/>
  <c r="R2133" i="2" a="1"/>
  <c r="R1628" i="2" a="1"/>
  <c r="R1564" i="2" a="1"/>
  <c r="R1750" i="2" a="1"/>
  <c r="R1008" i="2" a="1"/>
  <c r="R1590" i="2" a="1"/>
  <c r="R1705" i="2" a="1"/>
  <c r="R2072" i="2" a="1"/>
  <c r="R2163" i="2" a="1"/>
  <c r="R1629" i="2" a="1"/>
  <c r="R1246" i="2" a="1"/>
  <c r="R2547" i="2" a="1"/>
  <c r="R2548" i="2" a="1"/>
  <c r="R375" i="2" a="1"/>
  <c r="R1879" i="2" a="1"/>
  <c r="R1546" i="2" a="1"/>
  <c r="R166" i="2" a="1"/>
  <c r="R1666" i="2" a="1"/>
  <c r="R2028" i="2" a="1"/>
  <c r="R1651" i="2" a="1"/>
  <c r="R2391" i="2" a="1"/>
  <c r="R2549" i="2" a="1"/>
  <c r="R2428" i="2" a="1"/>
  <c r="R1980" i="2" a="1"/>
  <c r="R1880" i="2" a="1"/>
  <c r="R2280" i="2" a="1"/>
  <c r="R2144" i="2" a="1"/>
  <c r="R1726" i="2" a="1"/>
  <c r="R899" i="2" a="1"/>
  <c r="R2256" i="2" a="1"/>
  <c r="R427" i="2" a="1"/>
  <c r="R1881" i="2" a="1"/>
  <c r="R2305" i="2" a="1"/>
  <c r="R1882" i="2" a="1"/>
  <c r="R2237" i="2" a="1"/>
  <c r="R1735" i="2" a="1"/>
  <c r="R1630" i="2" a="1"/>
  <c r="R1883" i="2" a="1"/>
  <c r="R443" i="2" a="1"/>
  <c r="R637" i="2" a="1"/>
  <c r="R1387" i="2" a="1"/>
  <c r="R814" i="2" a="1"/>
  <c r="R2145" i="2" a="1"/>
  <c r="R1884" i="2" a="1"/>
  <c r="R1361" i="2" a="1"/>
  <c r="R432" i="2" a="1"/>
  <c r="R1631" i="2" a="1"/>
  <c r="R1538" i="2" a="1"/>
  <c r="R1768" i="2" a="1"/>
  <c r="R2501" i="2" a="1"/>
  <c r="R774" i="2" a="1"/>
  <c r="R1784" i="2" a="1"/>
  <c r="R157" i="2" a="1"/>
  <c r="R1390" i="2" a="1"/>
  <c r="R2100" i="2" a="1"/>
  <c r="R2117" i="2" a="1"/>
  <c r="R1288" i="2" a="1"/>
  <c r="R1885" i="2" a="1"/>
  <c r="R1632" i="2" a="1"/>
  <c r="R2313" i="2" a="1"/>
  <c r="R2488" i="2" a="1"/>
  <c r="R1009" i="2" a="1"/>
  <c r="R1967" i="2" a="1"/>
  <c r="R2550" i="2" a="1"/>
  <c r="R2164" i="2" a="1"/>
  <c r="R1529" i="2" a="1"/>
  <c r="R1633" i="2" a="1"/>
  <c r="R1886" i="2" a="1"/>
  <c r="R2325" i="2" a="1"/>
  <c r="R1247" i="2" a="1"/>
  <c r="R1266" i="2" a="1"/>
  <c r="R561" i="2" a="1"/>
  <c r="R167" i="2" a="1"/>
  <c r="R2286" i="2" a="1"/>
  <c r="R568" i="2" a="1"/>
  <c r="R775" i="2" a="1"/>
  <c r="R1887" i="2" a="1"/>
  <c r="R1634" i="2" a="1"/>
  <c r="R1987" i="2" a="1"/>
  <c r="R158" i="2" a="1"/>
  <c r="R1635" i="2" a="1"/>
  <c r="R1248" i="2" a="1"/>
  <c r="R2243" i="2" a="1"/>
  <c r="R1608" i="2" a="1"/>
  <c r="R1888" i="2" a="1"/>
  <c r="R1889" i="2" a="1"/>
  <c r="R2080" i="2" a="1"/>
  <c r="R1515" i="2" a="1"/>
  <c r="R308" i="2" a="1"/>
  <c r="R1716" i="2" a="1"/>
  <c r="R2248" i="2" a="1"/>
  <c r="R2148" i="2" a="1"/>
  <c r="R831" i="2" a="1"/>
  <c r="R2432" i="2" a="1"/>
  <c r="R1890" i="2" a="1"/>
  <c r="R2151" i="2" a="1"/>
  <c r="R1717" i="2" a="1"/>
  <c r="R435" i="2" a="1"/>
  <c r="R2260" i="2" a="1"/>
  <c r="R1609" i="2" a="1"/>
  <c r="R1565" i="2" a="1"/>
  <c r="R2262" i="2" a="1"/>
  <c r="R1547" i="2" a="1"/>
  <c r="R776" i="2" a="1"/>
  <c r="R1794" i="2" a="1"/>
  <c r="R1988" i="2" a="1"/>
  <c r="R233" i="2" a="1"/>
  <c r="R2005" i="2" a="1"/>
  <c r="R1566" i="2" a="1"/>
  <c r="R168" i="2" a="1"/>
  <c r="R148" i="2" a="1"/>
  <c r="R2244" i="2" a="1"/>
  <c r="R2495" i="2" a="1"/>
  <c r="R2281" i="2" a="1"/>
  <c r="R1249" i="2" a="1"/>
  <c r="R1250" i="2" a="1"/>
  <c r="R1977" i="2" a="1"/>
  <c r="R1891" i="2" a="1"/>
  <c r="R1591" i="2" a="1"/>
  <c r="R1010" i="2" a="1"/>
  <c r="R1747" i="2" a="1"/>
  <c r="R1742" i="2" a="1"/>
  <c r="R1011" i="2" a="1"/>
  <c r="R1997" i="2" a="1"/>
  <c r="R1739" i="2" a="1"/>
  <c r="R1785" i="2" a="1"/>
  <c r="R1667" i="2" a="1"/>
  <c r="R1567" i="2" a="1"/>
  <c r="R1892" i="2" a="1"/>
  <c r="R1893" i="2" a="1"/>
  <c r="R1679" i="2" a="1"/>
  <c r="R1684" i="2" a="1"/>
  <c r="R836" i="2" a="1"/>
  <c r="R1894" i="2" a="1"/>
  <c r="R1579" i="2" a="1"/>
  <c r="R2048" i="2" a="1"/>
  <c r="R1548" i="2" a="1"/>
  <c r="R1728" i="2" a="1"/>
  <c r="R881" i="2" a="1"/>
  <c r="R1895" i="2" a="1"/>
  <c r="R1896" i="2" a="1"/>
  <c r="R1356" i="2" a="1"/>
  <c r="R1897" i="2" a="1"/>
  <c r="R1610" i="2" a="1"/>
  <c r="R1898" i="2" a="1"/>
  <c r="R1966" i="2" a="1"/>
  <c r="R1636" i="2" a="1"/>
  <c r="R1687" i="2" a="1"/>
  <c r="R2096" i="2" a="1"/>
  <c r="R2165" i="2" a="1"/>
  <c r="R2376" i="2" a="1"/>
  <c r="R1251" i="2" a="1"/>
  <c r="R159" i="2" a="1"/>
  <c r="R1710" i="2" a="1"/>
  <c r="R2498" i="2" a="1"/>
  <c r="R1992" i="2" a="1"/>
  <c r="R1688" i="2" a="1"/>
  <c r="R2510" i="2" a="1"/>
  <c r="R1758" i="2" a="1"/>
  <c r="R1706" i="2" a="1"/>
  <c r="R782" i="2" a="1"/>
  <c r="R1637" i="2" a="1"/>
  <c r="R1787" i="2" a="1"/>
  <c r="R1638" i="2" a="1"/>
  <c r="R1899" i="2" a="1"/>
  <c r="R1639" i="2" a="1"/>
  <c r="R1755" i="2" a="1"/>
  <c r="R1267" i="2" a="1"/>
  <c r="R1640" i="2" a="1"/>
  <c r="R1900" i="2" a="1"/>
  <c r="R1901" i="2" a="1"/>
  <c r="R1792" i="2" a="1"/>
  <c r="R424" i="2" a="1"/>
  <c r="R1641" i="2" a="1"/>
  <c r="R1902" i="2" a="1"/>
  <c r="R2102" i="2" a="1"/>
  <c r="R2017" i="2" a="1"/>
  <c r="R198" i="2" a="1"/>
  <c r="R2268" i="2" a="1"/>
  <c r="R1568" i="2" a="1"/>
  <c r="R1903" i="2" a="1"/>
  <c r="R1650" i="2" a="1"/>
  <c r="R1995" i="2" a="1"/>
  <c r="R1904" i="2" a="1"/>
  <c r="R1975" i="2" a="1"/>
  <c r="R896" i="2" a="1"/>
  <c r="R169" i="2" a="1"/>
  <c r="R2118" i="2" a="1"/>
  <c r="R1905" i="2" a="1"/>
  <c r="R2378" i="2" a="1"/>
  <c r="R1674" i="2" a="1"/>
  <c r="R2046" i="2" a="1"/>
  <c r="R2021" i="2" a="1"/>
  <c r="R1642" i="2" a="1"/>
  <c r="R897" i="2" a="1"/>
  <c r="R1252" i="2" a="1"/>
  <c r="R1643" i="2" a="1"/>
  <c r="R1950" i="2" a="1"/>
  <c r="R1906" i="2" a="1"/>
  <c r="R1697" i="2" a="1"/>
  <c r="R1652" i="2" a="1"/>
  <c r="R1644" i="2" a="1"/>
  <c r="R1907" i="2" a="1"/>
  <c r="R1908" i="2" a="1"/>
  <c r="R1549" i="2" a="1"/>
  <c r="R1550" i="2" a="1"/>
  <c r="R904" i="2" a="1"/>
  <c r="R2129" i="2" a="1"/>
  <c r="R1909" i="2" a="1"/>
  <c r="R1910" i="2" a="1"/>
  <c r="R160" i="2" a="1"/>
  <c r="R1686" i="2" a="1"/>
  <c r="R2516" i="2" a="1"/>
  <c r="R1268" i="2" a="1"/>
  <c r="R760" i="2" a="1"/>
  <c r="R2058" i="2" a="1"/>
  <c r="R1911" i="2" a="1"/>
  <c r="R1093" i="2" a="1"/>
  <c r="R1737" i="2" a="1"/>
  <c r="R571" i="2" a="1"/>
  <c r="R1569" i="2" a="1"/>
  <c r="R1645" i="2" a="1"/>
  <c r="R764" i="2" a="1"/>
  <c r="R769" i="2" a="1"/>
  <c r="R2551" i="2" a="1"/>
  <c r="R2462" i="2" a="1"/>
  <c r="R2385" i="2" a="1"/>
  <c r="R2426" i="2" a="1"/>
  <c r="R2387" i="2" a="1"/>
  <c r="R643" i="2" a="1"/>
  <c r="R1663" i="2" a="1"/>
  <c r="R2246" i="2" a="1"/>
  <c r="R1912" i="2" a="1"/>
  <c r="R1362" i="2" a="1"/>
  <c r="R2025" i="2" a="1"/>
  <c r="R1741" i="2" a="1"/>
  <c r="R770" i="2" a="1"/>
  <c r="R1227" i="2" a="1"/>
  <c r="R1913" i="2" a="1"/>
  <c r="R1253" i="2" a="1"/>
  <c r="R2111" i="2" a="1"/>
  <c r="R2086" i="2" a="1"/>
  <c r="R1914" i="2" a="1"/>
  <c r="R2152" i="2" a="1"/>
  <c r="R2509" i="2" a="1"/>
  <c r="R1580" i="2" a="1"/>
  <c r="R1646" i="2" a="1"/>
  <c r="R2314" i="2" a="1"/>
  <c r="R2251" i="2" a="1"/>
  <c r="R2284" i="2" a="1"/>
  <c r="R2315" i="2" a="1"/>
  <c r="R333" i="2" a="1"/>
  <c r="R1915" i="2" a="1"/>
  <c r="R1690" i="2" a="1"/>
  <c r="R2238" i="2" a="1"/>
  <c r="R2467" i="2" a="1"/>
  <c r="R762" i="2" a="1"/>
  <c r="R1795" i="2" a="1"/>
  <c r="R1993" i="2" a="1"/>
  <c r="R2119" i="2" a="1"/>
  <c r="R1531" i="2" a="1"/>
  <c r="R1703" i="2" a="1"/>
  <c r="R569" i="2" a="1"/>
  <c r="R1961" i="2" a="1"/>
  <c r="R1551" i="2" a="1"/>
  <c r="R929" i="2" a="1"/>
  <c r="R1774" i="2" a="1"/>
  <c r="R1916" i="2" a="1"/>
  <c r="R1208" i="2" a="1"/>
  <c r="R1581" i="2" a="1"/>
  <c r="R1917" i="2" a="1"/>
  <c r="R1691" i="2" a="1"/>
  <c r="R1974" i="2" a="1"/>
  <c r="R1254" i="2" a="1"/>
  <c r="R2307" i="2" a="1"/>
  <c r="R2071" i="2" a="1"/>
  <c r="R2103" i="2" a="1"/>
  <c r="R149" i="2" a="1"/>
  <c r="R1392" i="2" a="1"/>
  <c r="R517" i="2" a="1"/>
  <c r="R2265" i="2" a="1"/>
  <c r="R1255" i="2" a="1"/>
  <c r="R2489" i="2" a="1"/>
  <c r="R1611" i="2" a="1"/>
  <c r="R150" i="2" a="1"/>
  <c r="R2298" i="2" a="1"/>
  <c r="R2477" i="2" a="1"/>
  <c r="R2288" i="2" a="1"/>
  <c r="R2081" i="2" a="1"/>
  <c r="R2252" i="2" a="1"/>
  <c r="R634" i="2" a="1"/>
  <c r="R2451" i="2" a="1"/>
  <c r="R1711" i="2" a="1"/>
  <c r="R1918" i="2" a="1"/>
  <c r="R151" i="2" a="1"/>
  <c r="R2386" i="2" a="1"/>
  <c r="R2250" i="2" a="1"/>
  <c r="R1269" i="2" a="1"/>
  <c r="R1675" i="2" a="1"/>
  <c r="R640" i="2" a="1"/>
  <c r="R1570" i="2" a="1"/>
  <c r="R1647" i="2" a="1"/>
  <c r="R1256" i="2" a="1"/>
  <c r="R1736" i="2" a="1"/>
  <c r="R1257" i="2" a="1"/>
  <c r="R663" i="2" a="1"/>
  <c r="R662" i="2" a="1"/>
  <c r="R1571" i="2" a="1"/>
  <c r="R1761" i="2" a="1"/>
  <c r="R170" i="2" a="1"/>
  <c r="R1258" i="2" a="1"/>
  <c r="R1217" i="2" a="1"/>
  <c r="R2352" i="2" a="1"/>
  <c r="R1919" i="2" a="1"/>
  <c r="R1920" i="2" a="1"/>
  <c r="R1921" i="2" a="1"/>
  <c r="R1922" i="2" a="1"/>
  <c r="R1754" i="2" a="1"/>
  <c r="R449" i="2" a="1"/>
  <c r="R1218" i="2" a="1"/>
  <c r="R1259" i="2" a="1"/>
  <c r="R1923" i="2" a="1"/>
  <c r="R2031" i="2" a="1"/>
  <c r="R1756" i="2" a="1"/>
  <c r="R905" i="2" a="1"/>
  <c r="R2112" i="2" a="1"/>
  <c r="R2113" i="2" a="1"/>
  <c r="R1659" i="2" a="1"/>
  <c r="R1925" i="2" a="1"/>
  <c r="R2492" i="2" a="1"/>
  <c r="R1677" i="2" a="1"/>
  <c r="R906" i="2" a="1"/>
  <c r="R1926" i="2" a="1"/>
  <c r="R1964" i="2" a="1"/>
  <c r="R1927" i="2" a="1"/>
  <c r="R1945" i="2" a="1"/>
  <c r="R1228" i="2" a="1"/>
  <c r="R1229" i="2" a="1"/>
  <c r="R2082" i="2" a="1"/>
  <c r="R1928" i="2" a="1"/>
  <c r="R1962" i="2" a="1"/>
  <c r="R1956" i="2" a="1"/>
  <c r="R152" i="2" a="1"/>
  <c r="R2255" i="2" a="1"/>
  <c r="R1592" i="2" a="1"/>
  <c r="R1942" i="2" a="1"/>
  <c r="R2295" i="2" a="1"/>
  <c r="R1729" i="2" a="1"/>
  <c r="R1537" i="2" a="1"/>
  <c r="R1929" i="2" a="1"/>
  <c r="R1701" i="2" a="1"/>
  <c r="R431" i="2" a="1"/>
  <c r="R2089" i="2" a="1"/>
  <c r="R153" i="2" a="1"/>
  <c r="R2053" i="2" a="1"/>
  <c r="R269" i="2" a="1"/>
  <c r="R451" i="2" a="1"/>
  <c r="R1012" i="2" a="1"/>
  <c r="R171" i="2" a="1"/>
  <c r="R1700" i="2" a="1"/>
  <c r="R1944" i="2" a="1"/>
  <c r="R768" i="2" a="1"/>
  <c r="R2101" i="2" a="1"/>
  <c r="R1930" i="2" a="1"/>
  <c r="R1931" i="2" a="1"/>
  <c r="R1552" i="2" a="1"/>
  <c r="R2552" i="2" a="1"/>
  <c r="R1270" i="2" a="1"/>
  <c r="R1932" i="2" a="1"/>
  <c r="R1778" i="2" a="1"/>
  <c r="R1676" i="2" a="1"/>
  <c r="R2067" i="2" a="1"/>
  <c r="R614" i="2" a="1"/>
  <c r="R2349" i="2" a="1"/>
  <c r="R1572" i="2" a="1"/>
  <c r="R1553" i="2" a="1"/>
  <c r="R2037" i="2" a="1"/>
  <c r="R1648" i="2" a="1"/>
  <c r="R1672" i="2" a="1"/>
  <c r="R2517" i="2" a="1"/>
  <c r="R2384" i="2" a="1"/>
  <c r="R1649" i="2" a="1"/>
  <c r="R1963" i="2" a="1"/>
  <c r="R2079" i="2" a="1"/>
  <c r="R2483" i="2" a="1"/>
  <c r="R1933" i="2" a="1"/>
  <c r="R2553" i="2" a="1"/>
  <c r="R1751" i="2" a="1"/>
  <c r="R1582" i="2" a="1"/>
  <c r="R2166" i="2" a="1"/>
  <c r="R1384" i="2" a="1"/>
  <c r="R1934" i="2" a="1"/>
  <c r="R1968" i="2" a="1"/>
  <c r="R1730" i="2" a="1"/>
  <c r="R647" i="2" a="1"/>
  <c r="R1013" i="2" a="1"/>
  <c r="R462" i="2" a="1"/>
  <c r="R1573" i="2" a="1"/>
  <c r="R2093" i="2" a="1"/>
  <c r="R578" i="2" a="1"/>
  <c r="R1969" i="2" a="1"/>
  <c r="R1786" i="2" a="1"/>
  <c r="R161" i="2" a="1"/>
  <c r="R1660" i="2" a="1"/>
  <c r="R1935" i="2" a="1"/>
  <c r="R1936" i="2" a="1"/>
  <c r="R1554" i="2" a="1"/>
  <c r="R1689" i="2" a="1"/>
  <c r="R618" i="2" a="1"/>
  <c r="R1937" i="2" a="1"/>
  <c r="R2122" i="2" a="1"/>
  <c r="R2249" i="2" a="1"/>
  <c r="R2167" i="2" a="1"/>
  <c r="R2357" i="2" a="1"/>
  <c r="M4" i="4"/>
  <c r="L4" i="4"/>
  <c r="J5" i="4" a="1"/>
  <c r="C2" i="16"/>
  <c r="C27" i="16"/>
  <c r="D27" i="16" s="1"/>
  <c r="F27" i="16" s="1"/>
  <c r="C28" i="16"/>
  <c r="D28" i="16" s="1"/>
  <c r="F28" i="16" s="1"/>
  <c r="C29" i="16"/>
  <c r="D29" i="16" s="1"/>
  <c r="F29" i="16" s="1"/>
  <c r="C30" i="16"/>
  <c r="D30" i="16" s="1"/>
  <c r="F30" i="16" s="1"/>
  <c r="C31" i="16"/>
  <c r="D31" i="16" s="1"/>
  <c r="F31" i="16" s="1"/>
  <c r="C32" i="16"/>
  <c r="D32" i="16" s="1"/>
  <c r="F32" i="16" s="1"/>
  <c r="C33" i="16"/>
  <c r="D33" i="16" s="1"/>
  <c r="F33" i="16" s="1"/>
  <c r="C34" i="16"/>
  <c r="D34" i="16" s="1"/>
  <c r="F34" i="16" s="1"/>
  <c r="C35" i="16"/>
  <c r="D35" i="16" s="1"/>
  <c r="F35" i="16" s="1"/>
  <c r="C36" i="16"/>
  <c r="D36" i="16" s="1"/>
  <c r="F36" i="16" s="1"/>
  <c r="A2527" i="2"/>
  <c r="A2528" i="2"/>
  <c r="A2529" i="2"/>
  <c r="A2530" i="2"/>
  <c r="A2531" i="2"/>
  <c r="A2532" i="2"/>
  <c r="A2533" i="2"/>
  <c r="A2519" i="2"/>
  <c r="A2520" i="2"/>
  <c r="A2521" i="2"/>
  <c r="A2522" i="2"/>
  <c r="A2523" i="2"/>
  <c r="A2524" i="2"/>
  <c r="A2525" i="2"/>
  <c r="A2526" i="2"/>
  <c r="A2518" i="2"/>
  <c r="V6" i="4"/>
  <c r="V5" i="4"/>
  <c r="V4" i="4"/>
  <c r="U6" i="4"/>
  <c r="U5" i="4"/>
  <c r="U4" i="4"/>
  <c r="M5" i="4" l="1" a="1"/>
  <c r="N4" i="4"/>
  <c r="W4" i="4"/>
  <c r="W5" i="4"/>
  <c r="W6" i="4"/>
  <c r="L5" i="4" a="1"/>
  <c r="X2236" i="2"/>
  <c r="X2297" i="2"/>
  <c r="X2453" i="2"/>
  <c r="X2420" i="2"/>
  <c r="X2428" i="2"/>
  <c r="X2288" i="2"/>
  <c r="X2269" i="2"/>
  <c r="X2386" i="2"/>
  <c r="X2258" i="2"/>
  <c r="X2401" i="2"/>
  <c r="X2392" i="2"/>
  <c r="X2329" i="2"/>
  <c r="X2294" i="2"/>
  <c r="X2310" i="2"/>
  <c r="X2264" i="2"/>
  <c r="X2306" i="2"/>
  <c r="X2239" i="2"/>
  <c r="X2282" i="2"/>
  <c r="X2276" i="2"/>
  <c r="X2289" i="2"/>
  <c r="X2311" i="2"/>
  <c r="X2309" i="2"/>
  <c r="X2312" i="2"/>
  <c r="X2317" i="2"/>
  <c r="X2412" i="2"/>
  <c r="X2394" i="2"/>
  <c r="X2430" i="2"/>
  <c r="X2482" i="2"/>
  <c r="X2485" i="2"/>
  <c r="X2471" i="2"/>
  <c r="X2332" i="2"/>
  <c r="X2261" i="2"/>
  <c r="X2272" i="2"/>
  <c r="X2390" i="2"/>
  <c r="X2366" i="2"/>
  <c r="X2425" i="2"/>
  <c r="X2316" i="2"/>
  <c r="X2469" i="2"/>
  <c r="X2470" i="2"/>
  <c r="X2370" i="2"/>
  <c r="X2247" i="2"/>
  <c r="X2331" i="2"/>
  <c r="X2338" i="2"/>
  <c r="X2389" i="2"/>
  <c r="X2342" i="2"/>
  <c r="X2279" i="2"/>
  <c r="X2319" i="2"/>
  <c r="X2253" i="2"/>
  <c r="X2287" i="2"/>
  <c r="X2270" i="2"/>
  <c r="X2259" i="2"/>
  <c r="X2455" i="2"/>
  <c r="X2439" i="2"/>
  <c r="X2452" i="2"/>
  <c r="X2290" i="2"/>
  <c r="X2285" i="2"/>
  <c r="X2296" i="2"/>
  <c r="X2293" i="2"/>
  <c r="X2318" i="2"/>
  <c r="X2324" i="2"/>
  <c r="X2273" i="2"/>
  <c r="X2257" i="2"/>
  <c r="X2353" i="2"/>
  <c r="X2351" i="2"/>
  <c r="X2304" i="2"/>
  <c r="X2434" i="2"/>
  <c r="X2271" i="2"/>
  <c r="X2302" i="2"/>
  <c r="X2303" i="2"/>
  <c r="X2254" i="2"/>
  <c r="X2292" i="2"/>
  <c r="X2343" i="2"/>
  <c r="X2423" i="2"/>
  <c r="X2431" i="2"/>
  <c r="X2404" i="2"/>
  <c r="X2466" i="2"/>
  <c r="X2301" i="2"/>
  <c r="X2327" i="2"/>
  <c r="X2245" i="2"/>
  <c r="X2275" i="2"/>
  <c r="X2267" i="2"/>
  <c r="X2240" i="2"/>
  <c r="X2299" i="2"/>
  <c r="X2408" i="2"/>
  <c r="X2291" i="2"/>
  <c r="X2266" i="2"/>
  <c r="X2348" i="2"/>
  <c r="X2381" i="2"/>
  <c r="X2334" i="2"/>
  <c r="X2397" i="2"/>
  <c r="X2393" i="2"/>
  <c r="X2474" i="2"/>
  <c r="X2476" i="2"/>
  <c r="X2405" i="2"/>
  <c r="X2364" i="2"/>
  <c r="X2263" i="2"/>
  <c r="X2415" i="2"/>
  <c r="X2283" i="2"/>
  <c r="X2373" i="2"/>
  <c r="X2375" i="2"/>
  <c r="X2463" i="2"/>
  <c r="X2475" i="2"/>
  <c r="X2300" i="2"/>
  <c r="X2486" i="2"/>
  <c r="X2339" i="2"/>
  <c r="X2416" i="2"/>
  <c r="X2487" i="2"/>
  <c r="X2480" i="2"/>
  <c r="X2308" i="2"/>
  <c r="X2365" i="2"/>
  <c r="X2326" i="2"/>
  <c r="X2411" i="2"/>
  <c r="X2274" i="2"/>
  <c r="X2241" i="2"/>
  <c r="X2242" i="2"/>
  <c r="X2321" i="2"/>
  <c r="X2278" i="2"/>
  <c r="X2277" i="2"/>
  <c r="X2391" i="2"/>
  <c r="X2280" i="2"/>
  <c r="X2256" i="2"/>
  <c r="X2305" i="2"/>
  <c r="X2237" i="2"/>
  <c r="X2313" i="2"/>
  <c r="X2488" i="2"/>
  <c r="X2325" i="2"/>
  <c r="X2286" i="2"/>
  <c r="X2243" i="2"/>
  <c r="X2248" i="2"/>
  <c r="X2432" i="2"/>
  <c r="X2260" i="2"/>
  <c r="X2262" i="2"/>
  <c r="X2244" i="2"/>
  <c r="X2281" i="2"/>
  <c r="X2376" i="2"/>
  <c r="X2268" i="2"/>
  <c r="X2378" i="2"/>
  <c r="X2462" i="2"/>
  <c r="X2385" i="2"/>
  <c r="X2426" i="2"/>
  <c r="X2387" i="2"/>
  <c r="X2246" i="2"/>
  <c r="X2314" i="2"/>
  <c r="X2251" i="2"/>
  <c r="X2284" i="2"/>
  <c r="X2315" i="2"/>
  <c r="X2238" i="2"/>
  <c r="X2467" i="2"/>
  <c r="X2307" i="2"/>
  <c r="X2265" i="2"/>
  <c r="X2489" i="2"/>
  <c r="X2298" i="2"/>
  <c r="X2477" i="2"/>
  <c r="X2252" i="2"/>
  <c r="X2451" i="2"/>
  <c r="X2250" i="2"/>
  <c r="X2352" i="2"/>
  <c r="X2255" i="2"/>
  <c r="X2295" i="2"/>
  <c r="X2349" i="2"/>
  <c r="X2384" i="2"/>
  <c r="X2483" i="2"/>
  <c r="X2249" i="2"/>
  <c r="X2357" i="2"/>
  <c r="O7" i="4" l="1" a="1"/>
  <c r="O6" i="4" a="1"/>
  <c r="A996" i="2"/>
  <c r="A995" i="2"/>
  <c r="A994" i="2"/>
  <c r="A993" i="2"/>
  <c r="A992" i="2"/>
  <c r="A991" i="2"/>
  <c r="A989" i="2"/>
  <c r="A922" i="2"/>
  <c r="K5" i="4" l="1" a="1"/>
  <c r="A2288" i="2"/>
  <c r="A2075" i="2"/>
  <c r="A2084" i="2"/>
  <c r="A567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1994" i="2"/>
  <c r="A198" i="2"/>
  <c r="A1567" i="2"/>
  <c r="A2052" i="2"/>
  <c r="A1582" i="2"/>
  <c r="A1267" i="2"/>
  <c r="A1550" i="2"/>
  <c r="A1935" i="2"/>
  <c r="A1906" i="2"/>
  <c r="A1857" i="2"/>
  <c r="A1909" i="2"/>
  <c r="A1882" i="2"/>
  <c r="A1915" i="2"/>
  <c r="A1895" i="2"/>
  <c r="A1904" i="2"/>
  <c r="A1940" i="2"/>
  <c r="A1922" i="2"/>
  <c r="A1903" i="2"/>
  <c r="A1224" i="2"/>
  <c r="A1541" i="2"/>
  <c r="A1561" i="2"/>
  <c r="A2026" i="2"/>
  <c r="A1945" i="2"/>
  <c r="A1917" i="2"/>
  <c r="A1932" i="2"/>
  <c r="A1910" i="2"/>
  <c r="A1869" i="2"/>
  <c r="A1841" i="2"/>
  <c r="A2088" i="2"/>
  <c r="A1551" i="2"/>
  <c r="A1833" i="2"/>
  <c r="A1998" i="2"/>
  <c r="A1951" i="2"/>
  <c r="A2033" i="2"/>
  <c r="A2077" i="2"/>
  <c r="A1812" i="2"/>
  <c r="A1856" i="2"/>
  <c r="A1929" i="2"/>
  <c r="A2067" i="2"/>
  <c r="A1921" i="2"/>
  <c r="A1868" i="2"/>
  <c r="A1990" i="2"/>
  <c r="A1814" i="2"/>
  <c r="A2097" i="2"/>
  <c r="A1805" i="2"/>
  <c r="A1867" i="2"/>
  <c r="A1855" i="2"/>
  <c r="A1918" i="2"/>
  <c r="A1837" i="2"/>
  <c r="A1970" i="2"/>
  <c r="A1900" i="2"/>
  <c r="A1901" i="2"/>
  <c r="A2050" i="2"/>
  <c r="A2105" i="2"/>
  <c r="A1228" i="2"/>
  <c r="A1883" i="2"/>
  <c r="A1875" i="2"/>
  <c r="A1554" i="2"/>
  <c r="A1890" i="2"/>
  <c r="A2029" i="2"/>
  <c r="A1881" i="2"/>
  <c r="A1914" i="2"/>
  <c r="A1963" i="2"/>
  <c r="A1897" i="2"/>
  <c r="A2018" i="2"/>
  <c r="A1879" i="2"/>
  <c r="A1580" i="2"/>
  <c r="A2093" i="2"/>
  <c r="A1559" i="2"/>
  <c r="A1942" i="2"/>
  <c r="A1221" i="2"/>
  <c r="A1876" i="2"/>
  <c r="A1549" i="2"/>
  <c r="A2081" i="2"/>
  <c r="A1834" i="2"/>
  <c r="A2034" i="2"/>
  <c r="A2055" i="2"/>
  <c r="A2046" i="2"/>
  <c r="A1919" i="2"/>
  <c r="A2109" i="2"/>
  <c r="A1800" i="2"/>
  <c r="A2080" i="2"/>
  <c r="A2110" i="2"/>
  <c r="A1992" i="2"/>
  <c r="A1885" i="2"/>
  <c r="A2164" i="2"/>
  <c r="A1816" i="2"/>
  <c r="A1979" i="2"/>
  <c r="A1227" i="2"/>
  <c r="A1553" i="2"/>
  <c r="A1586" i="2"/>
  <c r="A1975" i="2"/>
  <c r="A2014" i="2"/>
  <c r="A2025" i="2"/>
  <c r="A2012" i="2"/>
  <c r="A1999" i="2"/>
  <c r="A2021" i="2"/>
  <c r="A2008" i="2"/>
  <c r="A2045" i="2"/>
  <c r="A1967" i="2"/>
  <c r="A2016" i="2"/>
  <c r="A1873" i="2"/>
  <c r="A1542" i="2"/>
  <c r="A1579" i="2"/>
  <c r="A2060" i="2"/>
  <c r="A1896" i="2"/>
  <c r="A1981" i="2"/>
  <c r="A1547" i="2"/>
  <c r="A1222" i="2"/>
  <c r="A1543" i="2"/>
  <c r="A1830" i="2"/>
  <c r="A1592" i="2"/>
  <c r="A1573" i="2"/>
  <c r="A2019" i="2"/>
  <c r="A1842" i="2"/>
  <c r="A2035" i="2"/>
  <c r="A1960" i="2"/>
  <c r="A1799" i="2"/>
  <c r="A1969" i="2"/>
  <c r="A1557" i="2"/>
  <c r="A2160" i="2"/>
  <c r="A1808" i="2"/>
  <c r="A1907" i="2"/>
  <c r="A1993" i="2"/>
  <c r="A2087" i="2"/>
  <c r="A2011" i="2"/>
  <c r="A160" i="2"/>
  <c r="A1899" i="2"/>
  <c r="A1923" i="2"/>
  <c r="A1588" i="2"/>
  <c r="A2091" i="2"/>
  <c r="A1223" i="2"/>
  <c r="A1825" i="2"/>
  <c r="A1845" i="2"/>
  <c r="A2061" i="2"/>
  <c r="A2058" i="2"/>
  <c r="A2038" i="2"/>
  <c r="A2073" i="2"/>
  <c r="A1556" i="2"/>
  <c r="A1908" i="2"/>
  <c r="A152" i="2"/>
  <c r="A1564" i="2"/>
  <c r="A1798" i="2"/>
  <c r="A1858" i="2"/>
  <c r="A1804" i="2"/>
  <c r="A1968" i="2"/>
  <c r="A1555" i="2"/>
  <c r="A1850" i="2"/>
  <c r="A1828" i="2"/>
  <c r="A1560" i="2"/>
  <c r="A1815" i="2"/>
  <c r="A2007" i="2"/>
  <c r="A1562" i="2"/>
  <c r="A1844" i="2"/>
  <c r="A1565" i="2"/>
  <c r="A1802" i="2"/>
  <c r="A1009" i="2"/>
  <c r="A1584" i="2"/>
  <c r="A1831" i="2"/>
  <c r="A1797" i="2"/>
  <c r="A1864" i="2"/>
  <c r="A2068" i="2"/>
  <c r="A2065" i="2"/>
  <c r="A1997" i="2"/>
  <c r="A1861" i="2"/>
  <c r="A1937" i="2"/>
  <c r="A1957" i="2"/>
  <c r="A1865" i="2"/>
  <c r="A2157" i="2"/>
  <c r="A1811" i="2"/>
  <c r="A2103" i="2"/>
  <c r="A1862" i="2"/>
  <c r="A2000" i="2"/>
  <c r="A1983" i="2"/>
  <c r="A1866" i="2"/>
  <c r="A1806" i="2"/>
  <c r="A1925" i="2"/>
  <c r="A1886" i="2"/>
  <c r="A1848" i="2"/>
  <c r="A1590" i="2"/>
  <c r="A1544" i="2"/>
  <c r="A1888" i="2"/>
  <c r="A1810" i="2"/>
  <c r="A2048" i="2"/>
  <c r="A1892" i="2"/>
  <c r="A2006" i="2"/>
  <c r="A1820" i="2"/>
  <c r="A1012" i="2"/>
  <c r="A1978" i="2"/>
  <c r="A1880" i="2"/>
  <c r="A1980" i="2"/>
  <c r="A2010" i="2"/>
  <c r="A1966" i="2"/>
  <c r="A1898" i="2"/>
  <c r="A2162" i="2"/>
  <c r="A2037" i="2"/>
  <c r="A1995" i="2"/>
  <c r="A2015" i="2"/>
  <c r="A2159" i="2"/>
  <c r="A1817" i="2"/>
  <c r="A1803" i="2"/>
  <c r="A1959" i="2"/>
  <c r="A2064" i="2"/>
  <c r="A1872" i="2"/>
  <c r="A1984" i="2"/>
  <c r="A1962" i="2"/>
  <c r="A1930" i="2"/>
  <c r="A1821" i="2"/>
  <c r="A1823" i="2"/>
  <c r="A2079" i="2"/>
  <c r="A1887" i="2"/>
  <c r="A1854" i="2"/>
  <c r="A2161" i="2"/>
  <c r="A2002" i="2"/>
  <c r="A1822" i="2"/>
  <c r="A1972" i="2"/>
  <c r="A1916" i="2"/>
  <c r="A1964" i="2"/>
  <c r="A1572" i="2"/>
  <c r="A2089" i="2"/>
  <c r="A1878" i="2"/>
  <c r="A2072" i="2"/>
  <c r="A1931" i="2"/>
  <c r="A151" i="2"/>
  <c r="A1926" i="2"/>
  <c r="A1840" i="2"/>
  <c r="A1829" i="2"/>
  <c r="A1225" i="2"/>
  <c r="A1928" i="2"/>
  <c r="A2096" i="2"/>
  <c r="A1575" i="2"/>
  <c r="A2166" i="2"/>
  <c r="A1870" i="2"/>
  <c r="A2112" i="2"/>
  <c r="A1220" i="2"/>
  <c r="A2167" i="2"/>
  <c r="A2078" i="2"/>
  <c r="A1226" i="2"/>
  <c r="A1949" i="2"/>
  <c r="A1976" i="2"/>
  <c r="A1943" i="2"/>
  <c r="A2156" i="2"/>
  <c r="A2098" i="2"/>
  <c r="A1859" i="2"/>
  <c r="A1552" i="2"/>
  <c r="A1583" i="2"/>
  <c r="A1548" i="2"/>
  <c r="A2095" i="2"/>
  <c r="A1987" i="2"/>
  <c r="A199" i="2"/>
  <c r="A147" i="2"/>
  <c r="A2113" i="2"/>
  <c r="A1849" i="2"/>
  <c r="A1578" i="2"/>
  <c r="A1954" i="2"/>
  <c r="A1986" i="2"/>
  <c r="A2036" i="2"/>
  <c r="A2100" i="2"/>
  <c r="A2031" i="2"/>
  <c r="A1958" i="2"/>
  <c r="A1853" i="2"/>
  <c r="A1824" i="2"/>
  <c r="A1819" i="2"/>
  <c r="A141" i="2"/>
  <c r="A2039" i="2"/>
  <c r="A1587" i="2"/>
  <c r="A1877" i="2"/>
  <c r="A1912" i="2"/>
  <c r="A2066" i="2"/>
  <c r="A2028" i="2"/>
  <c r="A2165" i="2"/>
  <c r="A1891" i="2"/>
  <c r="A1893" i="2"/>
  <c r="A2107" i="2"/>
  <c r="A2022" i="2"/>
  <c r="A1991" i="2"/>
  <c r="A1827" i="2"/>
  <c r="A2070" i="2"/>
  <c r="A1920" i="2"/>
  <c r="A2049" i="2"/>
  <c r="A1934" i="2"/>
  <c r="A1852" i="2"/>
  <c r="A2085" i="2"/>
  <c r="A1996" i="2"/>
  <c r="A1894" i="2"/>
  <c r="A1961" i="2"/>
  <c r="A1988" i="2"/>
  <c r="A1577" i="2"/>
  <c r="A1801" i="2"/>
  <c r="A1568" i="2"/>
  <c r="A1847" i="2"/>
  <c r="A1809" i="2"/>
  <c r="A1813" i="2"/>
  <c r="A2054" i="2"/>
  <c r="A2062" i="2"/>
  <c r="A2090" i="2"/>
  <c r="A1581" i="2"/>
  <c r="A1913" i="2"/>
  <c r="A1545" i="2"/>
  <c r="A1971" i="2"/>
  <c r="A1835" i="2"/>
  <c r="A2071" i="2"/>
  <c r="A2163" i="2"/>
  <c r="A2063" i="2"/>
  <c r="A1874" i="2"/>
  <c r="A1950" i="2"/>
  <c r="A1946" i="2"/>
  <c r="A1985" i="2"/>
  <c r="A2059" i="2"/>
  <c r="A1546" i="2"/>
  <c r="A1585" i="2"/>
  <c r="A2020" i="2"/>
  <c r="A1955" i="2"/>
  <c r="A1902" i="2"/>
  <c r="A2044" i="2"/>
  <c r="A1953" i="2"/>
  <c r="A1826" i="2"/>
  <c r="A1871" i="2"/>
  <c r="A1933" i="2"/>
  <c r="A2013" i="2"/>
  <c r="A2082" i="2"/>
  <c r="A2102" i="2"/>
  <c r="A1911" i="2"/>
  <c r="A1905" i="2"/>
  <c r="A1889" i="2"/>
  <c r="A1936" i="2"/>
  <c r="A1860" i="2"/>
  <c r="A2040" i="2"/>
  <c r="A2032" i="2"/>
  <c r="A1952" i="2"/>
  <c r="A142" i="2"/>
  <c r="A2069" i="2"/>
  <c r="A2158" i="2"/>
  <c r="A1974" i="2"/>
  <c r="A2056" i="2"/>
  <c r="A145" i="2"/>
  <c r="A1838" i="2"/>
  <c r="A1956" i="2"/>
  <c r="A2101" i="2"/>
  <c r="A148" i="2"/>
  <c r="A1927" i="2"/>
  <c r="A1832" i="2"/>
  <c r="A2057" i="2"/>
  <c r="A2237" i="2"/>
  <c r="A1977" i="2"/>
  <c r="A153" i="2"/>
  <c r="A2076" i="2"/>
  <c r="A2001" i="2"/>
  <c r="A2053" i="2"/>
  <c r="A1818" i="2"/>
  <c r="A2051" i="2"/>
  <c r="A143" i="2"/>
  <c r="A1965" i="2"/>
  <c r="A1944" i="2"/>
  <c r="A2003" i="2"/>
  <c r="A1576" i="2"/>
  <c r="A2005" i="2"/>
  <c r="A140" i="2"/>
  <c r="A146" i="2"/>
  <c r="A1591" i="2"/>
  <c r="A149" i="2"/>
  <c r="A1851" i="2"/>
  <c r="A1884" i="2"/>
  <c r="A144" i="2"/>
  <c r="A1989" i="2"/>
  <c r="A1589" i="2"/>
  <c r="A2023" i="2"/>
  <c r="A2047" i="2"/>
  <c r="A1843" i="2"/>
  <c r="A1574" i="2"/>
  <c r="A1863" i="2"/>
  <c r="A2017" i="2"/>
  <c r="A1982" i="2"/>
  <c r="A150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1662" i="2"/>
  <c r="A1004" i="2"/>
  <c r="A1002" i="2"/>
  <c r="A1005" i="2"/>
  <c r="A1011" i="2"/>
  <c r="A1007" i="2"/>
  <c r="A1010" i="2"/>
  <c r="A1013" i="2"/>
  <c r="A1008" i="2"/>
  <c r="A1003" i="2"/>
  <c r="A1407" i="2"/>
  <c r="A1398" i="2"/>
  <c r="A1396" i="2"/>
  <c r="A1406" i="2"/>
  <c r="A1006" i="2"/>
  <c r="A789" i="2"/>
  <c r="A790" i="2"/>
  <c r="A791" i="2"/>
  <c r="A792" i="2"/>
  <c r="A793" i="2"/>
  <c r="A794" i="2"/>
  <c r="A795" i="2"/>
  <c r="A796" i="2"/>
  <c r="A797" i="2"/>
  <c r="A798" i="2"/>
  <c r="A799" i="2"/>
  <c r="A883" i="2"/>
  <c r="A884" i="2"/>
  <c r="A885" i="2"/>
  <c r="A886" i="2"/>
  <c r="A887" i="2"/>
  <c r="A888" i="2"/>
  <c r="A890" i="2"/>
  <c r="A1478" i="2"/>
  <c r="A2545" i="2"/>
  <c r="A2543" i="2"/>
  <c r="A2541" i="2"/>
  <c r="A2535" i="2"/>
  <c r="C5" i="16"/>
  <c r="A363" i="2"/>
  <c r="A1947" i="2"/>
  <c r="A1973" i="2"/>
  <c r="A2083" i="2"/>
  <c r="A2009" i="2"/>
  <c r="A1807" i="2"/>
  <c r="A1941" i="2"/>
  <c r="A2041" i="2"/>
  <c r="A1836" i="2"/>
  <c r="A2004" i="2"/>
  <c r="A2030" i="2"/>
  <c r="A1839" i="2"/>
  <c r="A2094" i="2"/>
  <c r="A1846" i="2"/>
  <c r="A2092" i="2"/>
  <c r="A2099" i="2"/>
  <c r="A2086" i="2"/>
  <c r="A1948" i="2"/>
  <c r="A1924" i="2"/>
  <c r="A2544" i="2"/>
  <c r="A2111" i="2"/>
  <c r="C3" i="16"/>
  <c r="C4" i="16"/>
  <c r="C6" i="16"/>
  <c r="D6" i="16" s="1"/>
  <c r="F6" i="16" s="1"/>
  <c r="C7" i="16"/>
  <c r="C8" i="16"/>
  <c r="D8" i="16" s="1"/>
  <c r="F8" i="16" s="1"/>
  <c r="C9" i="16"/>
  <c r="D9" i="16" s="1"/>
  <c r="F9" i="16" s="1"/>
  <c r="C10" i="16"/>
  <c r="D10" i="16" s="1"/>
  <c r="F10" i="16" s="1"/>
  <c r="C11" i="16"/>
  <c r="D11" i="16" s="1"/>
  <c r="F11" i="16" s="1"/>
  <c r="C12" i="16"/>
  <c r="D12" i="16" s="1"/>
  <c r="F12" i="16" s="1"/>
  <c r="C13" i="16"/>
  <c r="D13" i="16" s="1"/>
  <c r="F13" i="16" s="1"/>
  <c r="C14" i="16"/>
  <c r="D14" i="16" s="1"/>
  <c r="F14" i="16" s="1"/>
  <c r="C15" i="16"/>
  <c r="D15" i="16" s="1"/>
  <c r="F15" i="16" s="1"/>
  <c r="C16" i="16"/>
  <c r="D16" i="16" s="1"/>
  <c r="F16" i="16" s="1"/>
  <c r="C17" i="16"/>
  <c r="D17" i="16" s="1"/>
  <c r="F17" i="16" s="1"/>
  <c r="C18" i="16"/>
  <c r="D18" i="16" s="1"/>
  <c r="F18" i="16" s="1"/>
  <c r="C19" i="16"/>
  <c r="D19" i="16" s="1"/>
  <c r="F19" i="16" s="1"/>
  <c r="C20" i="16"/>
  <c r="D20" i="16" s="1"/>
  <c r="F20" i="16" s="1"/>
  <c r="C21" i="16"/>
  <c r="D21" i="16" s="1"/>
  <c r="F21" i="16" s="1"/>
  <c r="C22" i="16"/>
  <c r="D22" i="16" s="1"/>
  <c r="F22" i="16" s="1"/>
  <c r="C23" i="16"/>
  <c r="D23" i="16" s="1"/>
  <c r="F23" i="16" s="1"/>
  <c r="C24" i="16"/>
  <c r="D24" i="16" s="1"/>
  <c r="F24" i="16" s="1"/>
  <c r="C25" i="16"/>
  <c r="D25" i="16" s="1"/>
  <c r="F25" i="16" s="1"/>
  <c r="C26" i="16"/>
  <c r="D26" i="16" s="1"/>
  <c r="F26" i="16" s="1"/>
  <c r="F2" i="16"/>
  <c r="F3" i="16"/>
  <c r="F4" i="16"/>
  <c r="F7" i="16"/>
  <c r="A1388" i="2"/>
  <c r="A1389" i="2"/>
  <c r="A1390" i="2"/>
  <c r="A1392" i="2"/>
  <c r="A1393" i="2"/>
  <c r="A1394" i="2"/>
  <c r="A1492" i="2"/>
  <c r="A1493" i="2"/>
  <c r="A1494" i="2"/>
  <c r="A1495" i="2"/>
  <c r="A1496" i="2"/>
  <c r="A1497" i="2"/>
  <c r="A1498" i="2"/>
  <c r="A1499" i="2"/>
  <c r="A1500" i="2"/>
  <c r="A1501" i="2"/>
  <c r="A1502" i="2"/>
  <c r="A1409" i="2"/>
  <c r="A1410" i="2"/>
  <c r="A1411" i="2"/>
  <c r="A1412" i="2"/>
  <c r="A1413" i="2"/>
  <c r="A1414" i="2"/>
  <c r="A1416" i="2"/>
  <c r="A1417" i="2"/>
  <c r="A1419" i="2"/>
  <c r="A1400" i="2"/>
  <c r="A1401" i="2"/>
  <c r="A1402" i="2"/>
  <c r="A1403" i="2"/>
  <c r="A1404" i="2"/>
  <c r="A1405" i="2"/>
  <c r="A1408" i="2"/>
  <c r="A1530" i="2"/>
  <c r="A1532" i="2"/>
  <c r="A1534" i="2"/>
  <c r="A1535" i="2"/>
  <c r="A1536" i="2"/>
  <c r="A1538" i="2"/>
  <c r="A1540" i="2"/>
  <c r="A1503" i="2"/>
  <c r="A1504" i="2"/>
  <c r="A1505" i="2"/>
  <c r="A1506" i="2"/>
  <c r="A1507" i="2"/>
  <c r="A1508" i="2"/>
  <c r="A1509" i="2"/>
  <c r="A1510" i="2"/>
  <c r="A1511" i="2"/>
  <c r="A1513" i="2"/>
  <c r="A1514" i="2"/>
  <c r="A1518" i="2"/>
  <c r="A1365" i="2"/>
  <c r="A1366" i="2"/>
  <c r="A1367" i="2"/>
  <c r="A1368" i="2"/>
  <c r="A1369" i="2"/>
  <c r="A1370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44" i="2"/>
  <c r="A1287" i="2"/>
  <c r="A1292" i="2"/>
  <c r="A1293" i="2"/>
  <c r="A1294" i="2"/>
  <c r="A1295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372" i="2"/>
  <c r="A1373" i="2"/>
  <c r="A1374" i="2"/>
  <c r="A1375" i="2"/>
  <c r="A1376" i="2"/>
  <c r="A1377" i="2"/>
  <c r="A1378" i="2"/>
  <c r="A1380" i="2"/>
  <c r="A1381" i="2"/>
  <c r="A1382" i="2"/>
  <c r="A1354" i="2"/>
  <c r="A1355" i="2"/>
  <c r="A1357" i="2"/>
  <c r="A1358" i="2"/>
  <c r="A1359" i="2"/>
  <c r="A1360" i="2"/>
  <c r="A1361" i="2"/>
  <c r="A1362" i="2"/>
  <c r="A1363" i="2"/>
  <c r="A1364" i="2"/>
  <c r="A1469" i="2"/>
  <c r="A1470" i="2"/>
  <c r="A1471" i="2"/>
  <c r="A1472" i="2"/>
  <c r="A1473" i="2"/>
  <c r="A1474" i="2"/>
  <c r="A1475" i="2"/>
  <c r="A1476" i="2"/>
  <c r="A1477" i="2"/>
  <c r="A1517" i="2"/>
  <c r="A1479" i="2"/>
  <c r="A1480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342" i="2"/>
  <c r="A1343" i="2"/>
  <c r="A1286" i="2"/>
  <c r="A1345" i="2"/>
  <c r="A1346" i="2"/>
  <c r="A1347" i="2"/>
  <c r="A1348" i="2"/>
  <c r="A1349" i="2"/>
  <c r="A1350" i="2"/>
  <c r="A1351" i="2"/>
  <c r="A1352" i="2"/>
  <c r="A1353" i="2"/>
  <c r="A1308" i="2"/>
  <c r="A1309" i="2"/>
  <c r="A1310" i="2"/>
  <c r="A1311" i="2"/>
  <c r="A1312" i="2"/>
  <c r="A1313" i="2"/>
  <c r="A1314" i="2"/>
  <c r="A1315" i="2"/>
  <c r="A1316" i="2"/>
  <c r="A1317" i="2"/>
  <c r="A1481" i="2"/>
  <c r="A1482" i="2"/>
  <c r="A1483" i="2"/>
  <c r="A1484" i="2"/>
  <c r="A1485" i="2"/>
  <c r="A1486" i="2"/>
  <c r="A1487" i="2"/>
  <c r="A1488" i="2"/>
  <c r="A1489" i="2"/>
  <c r="A1490" i="2"/>
  <c r="A1491" i="2"/>
  <c r="A1519" i="2"/>
  <c r="A1520" i="2"/>
  <c r="A1521" i="2"/>
  <c r="A1522" i="2"/>
  <c r="A1523" i="2"/>
  <c r="A1524" i="2"/>
  <c r="A1525" i="2"/>
  <c r="A1526" i="2"/>
  <c r="A1527" i="2"/>
  <c r="A1528" i="2"/>
  <c r="A1447" i="2"/>
  <c r="A1448" i="2"/>
  <c r="A1449" i="2"/>
  <c r="A1450" i="2"/>
  <c r="A1451" i="2"/>
  <c r="A1452" i="2"/>
  <c r="A1453" i="2"/>
  <c r="A1454" i="2"/>
  <c r="A1455" i="2"/>
  <c r="A1456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95" i="2"/>
  <c r="A1397" i="2"/>
  <c r="A139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109" i="2"/>
  <c r="A110" i="2"/>
  <c r="A111" i="2"/>
  <c r="A113" i="2"/>
  <c r="A114" i="2"/>
  <c r="A115" i="2"/>
  <c r="A116" i="2"/>
  <c r="A117" i="2"/>
  <c r="A118" i="2"/>
  <c r="A119" i="2"/>
  <c r="A120" i="2"/>
  <c r="A121" i="2"/>
  <c r="A2" i="2"/>
  <c r="A3" i="2"/>
  <c r="A4" i="2"/>
  <c r="A5" i="2"/>
  <c r="A6" i="2"/>
  <c r="A8" i="2"/>
  <c r="A9" i="2"/>
  <c r="A10" i="2"/>
  <c r="A11" i="2"/>
  <c r="A12" i="2"/>
  <c r="A13" i="2"/>
  <c r="A14" i="2"/>
  <c r="A15" i="2"/>
  <c r="A16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2493" i="2"/>
  <c r="A2496" i="2"/>
  <c r="A2499" i="2"/>
  <c r="A2505" i="2"/>
  <c r="A2506" i="2"/>
  <c r="A2507" i="2"/>
  <c r="A2508" i="2"/>
  <c r="A2511" i="2"/>
  <c r="A2512" i="2"/>
  <c r="A2513" i="2"/>
  <c r="A2514" i="2"/>
  <c r="A2183" i="2"/>
  <c r="A2184" i="2"/>
  <c r="A2185" i="2"/>
  <c r="A2186" i="2"/>
  <c r="A2187" i="2"/>
  <c r="A2188" i="2"/>
  <c r="A2189" i="2"/>
  <c r="A2190" i="2"/>
  <c r="A2191" i="2"/>
  <c r="A2192" i="2"/>
  <c r="A2193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194" i="2"/>
  <c r="A2195" i="2"/>
  <c r="A2196" i="2"/>
  <c r="A2197" i="2"/>
  <c r="A2198" i="2"/>
  <c r="A2199" i="2"/>
  <c r="A2200" i="2"/>
  <c r="A2201" i="2"/>
  <c r="A2202" i="2"/>
  <c r="A2203" i="2"/>
  <c r="A2204" i="2"/>
  <c r="A988" i="2"/>
  <c r="A927" i="2"/>
  <c r="A984" i="2"/>
  <c r="A908" i="2"/>
  <c r="A937" i="2"/>
  <c r="A983" i="2"/>
  <c r="A931" i="2"/>
  <c r="A911" i="2"/>
  <c r="A980" i="2"/>
  <c r="A974" i="2"/>
  <c r="A982" i="2"/>
  <c r="A910" i="2"/>
  <c r="A941" i="2"/>
  <c r="A1000" i="2"/>
  <c r="A966" i="2"/>
  <c r="A930" i="2"/>
  <c r="A916" i="2"/>
  <c r="A978" i="2"/>
  <c r="A919" i="2"/>
  <c r="A969" i="2"/>
  <c r="A926" i="2"/>
  <c r="A997" i="2"/>
  <c r="A979" i="2"/>
  <c r="A990" i="2"/>
  <c r="A915" i="2"/>
  <c r="A917" i="2"/>
  <c r="A986" i="2"/>
  <c r="A998" i="2"/>
  <c r="A935" i="2"/>
  <c r="A949" i="2"/>
  <c r="A1001" i="2"/>
  <c r="A921" i="2"/>
  <c r="A977" i="2"/>
  <c r="A933" i="2"/>
  <c r="A999" i="2"/>
  <c r="A987" i="2"/>
  <c r="A965" i="2"/>
  <c r="A920" i="2"/>
  <c r="A947" i="2"/>
  <c r="A971" i="2"/>
  <c r="A913" i="2"/>
  <c r="A924" i="2"/>
  <c r="A923" i="2"/>
  <c r="A973" i="2"/>
  <c r="A944" i="2"/>
  <c r="A976" i="2"/>
  <c r="A909" i="2"/>
  <c r="A907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36" i="2"/>
  <c r="A912" i="2"/>
  <c r="A914" i="2"/>
  <c r="A972" i="2"/>
  <c r="A932" i="2"/>
  <c r="A943" i="2"/>
  <c r="A939" i="2"/>
  <c r="A948" i="2"/>
  <c r="A975" i="2"/>
  <c r="A942" i="2"/>
  <c r="A934" i="2"/>
  <c r="A968" i="2"/>
  <c r="A985" i="2"/>
  <c r="A946" i="2"/>
  <c r="A925" i="2"/>
  <c r="A938" i="2"/>
  <c r="A945" i="2"/>
  <c r="A940" i="2"/>
  <c r="A967" i="2"/>
  <c r="A918" i="2"/>
  <c r="A981" i="2"/>
  <c r="A778" i="2"/>
  <c r="A780" i="2"/>
  <c r="A781" i="2"/>
  <c r="A783" i="2"/>
  <c r="A784" i="2"/>
  <c r="A889" i="2"/>
  <c r="A785" i="2"/>
  <c r="A787" i="2"/>
  <c r="A822" i="2"/>
  <c r="A823" i="2"/>
  <c r="A825" i="2"/>
  <c r="A828" i="2"/>
  <c r="A829" i="2"/>
  <c r="A830" i="2"/>
  <c r="A831" i="2"/>
  <c r="A835" i="2"/>
  <c r="A837" i="2"/>
  <c r="A838" i="2"/>
  <c r="A839" i="2"/>
  <c r="A840" i="2"/>
  <c r="A841" i="2"/>
  <c r="A842" i="2"/>
  <c r="A891" i="2"/>
  <c r="A892" i="2"/>
  <c r="A893" i="2"/>
  <c r="A894" i="2"/>
  <c r="A895" i="2"/>
  <c r="A896" i="2"/>
  <c r="A899" i="2"/>
  <c r="A850" i="2"/>
  <c r="A851" i="2"/>
  <c r="A852" i="2"/>
  <c r="A853" i="2"/>
  <c r="A854" i="2"/>
  <c r="A855" i="2"/>
  <c r="A856" i="2"/>
  <c r="A857" i="2"/>
  <c r="A858" i="2"/>
  <c r="A859" i="2"/>
  <c r="A843" i="2"/>
  <c r="A844" i="2"/>
  <c r="A845" i="2"/>
  <c r="A846" i="2"/>
  <c r="A847" i="2"/>
  <c r="A848" i="2"/>
  <c r="A84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7" i="2"/>
  <c r="A816" i="2"/>
  <c r="A818" i="2"/>
  <c r="A819" i="2"/>
  <c r="A820" i="2"/>
  <c r="A882" i="2"/>
  <c r="A901" i="2"/>
  <c r="A788" i="2"/>
  <c r="A2291" i="2"/>
  <c r="A1617" i="2"/>
  <c r="A578" i="2"/>
  <c r="A170" i="2"/>
  <c r="A169" i="2"/>
  <c r="A333" i="2"/>
  <c r="A634" i="2"/>
  <c r="A618" i="2"/>
  <c r="A1216" i="2"/>
  <c r="A633" i="2"/>
  <c r="A644" i="2"/>
  <c r="A649" i="2"/>
  <c r="A1645" i="2"/>
  <c r="A1743" i="2"/>
  <c r="A370" i="2"/>
  <c r="A2122" i="2"/>
  <c r="A462" i="2"/>
  <c r="A615" i="2"/>
  <c r="A431" i="2"/>
  <c r="A171" i="2"/>
  <c r="A647" i="2"/>
  <c r="A771" i="2"/>
  <c r="A1218" i="2"/>
  <c r="A1778" i="2"/>
  <c r="A1754" i="2"/>
  <c r="A1677" i="2"/>
  <c r="A906" i="2"/>
  <c r="A768" i="2"/>
  <c r="A1269" i="2"/>
  <c r="A1570" i="2"/>
  <c r="A1703" i="2"/>
  <c r="A1736" i="2"/>
  <c r="A1257" i="2"/>
  <c r="A2119" i="2"/>
  <c r="A361" i="2"/>
  <c r="A1711" i="2"/>
  <c r="A762" i="2"/>
  <c r="A770" i="2"/>
  <c r="A1795" i="2"/>
  <c r="A769" i="2"/>
  <c r="A1268" i="2"/>
  <c r="A2551" i="2"/>
  <c r="A1697" i="2"/>
  <c r="A1694" i="2"/>
  <c r="A1652" i="2"/>
  <c r="A1252" i="2"/>
  <c r="A424" i="2"/>
  <c r="A1569" i="2"/>
  <c r="A760" i="2"/>
  <c r="A897" i="2"/>
  <c r="A1610" i="2"/>
  <c r="A2129" i="2"/>
  <c r="A2118" i="2"/>
  <c r="A1356" i="2"/>
  <c r="A776" i="2"/>
  <c r="A1794" i="2"/>
  <c r="A1747" i="2"/>
  <c r="A1684" i="2"/>
  <c r="A1266" i="2"/>
  <c r="A1717" i="2"/>
  <c r="A1247" i="2"/>
  <c r="A159" i="2"/>
  <c r="A1689" i="2"/>
  <c r="A1608" i="2"/>
  <c r="A775" i="2"/>
  <c r="A774" i="2"/>
  <c r="A157" i="2"/>
  <c r="A1735" i="2"/>
  <c r="A443" i="2"/>
  <c r="A2428" i="2"/>
  <c r="A2144" i="2"/>
  <c r="A1753" i="2"/>
  <c r="A1793" i="2"/>
  <c r="A1246" i="2"/>
  <c r="A375" i="2"/>
  <c r="A1629" i="2"/>
  <c r="A166" i="2"/>
  <c r="A1651" i="2"/>
  <c r="A1666" i="2"/>
  <c r="A1244" i="2"/>
  <c r="A2133" i="2"/>
  <c r="A1773" i="2"/>
  <c r="A2547" i="2"/>
  <c r="A1777" i="2"/>
  <c r="A325" i="2"/>
  <c r="A516" i="2"/>
  <c r="A834" i="2"/>
  <c r="A1772" i="2"/>
  <c r="A1722" i="2"/>
  <c r="A473" i="2"/>
  <c r="A1605" i="2"/>
  <c r="A450" i="2"/>
  <c r="A1763" i="2"/>
  <c r="A1606" i="2"/>
  <c r="A1789" i="2"/>
  <c r="A1260" i="2"/>
  <c r="A1725" i="2"/>
  <c r="A1264" i="2"/>
  <c r="A461" i="2"/>
  <c r="A1771" i="2"/>
  <c r="A1263" i="2"/>
  <c r="A1712" i="2"/>
  <c r="A773" i="2"/>
  <c r="A638" i="2"/>
  <c r="A1696" i="2"/>
  <c r="A1622" i="2"/>
  <c r="A1242" i="2"/>
  <c r="A412" i="2"/>
  <c r="A1732" i="2"/>
  <c r="A1240" i="2"/>
  <c r="A1620" i="2"/>
  <c r="A1724" i="2"/>
  <c r="A164" i="2"/>
  <c r="A155" i="2"/>
  <c r="A657" i="2"/>
  <c r="A2116" i="2"/>
  <c r="A1239" i="2"/>
  <c r="A903" i="2"/>
  <c r="A880" i="2"/>
  <c r="A636" i="2"/>
  <c r="A1237" i="2"/>
  <c r="A821" i="2"/>
  <c r="A902" i="2"/>
  <c r="A1796" i="2"/>
  <c r="A460" i="2"/>
  <c r="A163" i="2"/>
  <c r="A593" i="2"/>
  <c r="A1603" i="2"/>
  <c r="A761" i="2"/>
  <c r="A2146" i="2"/>
  <c r="A1602" i="2"/>
  <c r="A1746" i="2"/>
  <c r="A1670" i="2"/>
  <c r="A321" i="2"/>
  <c r="A459" i="2"/>
  <c r="A1708" i="2"/>
  <c r="A630" i="2"/>
  <c r="A2538" i="2"/>
  <c r="A1234" i="2"/>
  <c r="A1692" i="2"/>
  <c r="A2137" i="2"/>
  <c r="A1601" i="2"/>
  <c r="A1776" i="2"/>
  <c r="A162" i="2"/>
  <c r="A772" i="2"/>
  <c r="A1752" i="2"/>
  <c r="A2125" i="2"/>
  <c r="A371" i="2"/>
  <c r="A154" i="2"/>
  <c r="A303" i="2"/>
  <c r="A302" i="2"/>
  <c r="A1745" i="2"/>
  <c r="A1693" i="2"/>
  <c r="A1558" i="2"/>
  <c r="A1212" i="2"/>
  <c r="A1695" i="2"/>
  <c r="A433" i="2"/>
  <c r="A1233" i="2"/>
  <c r="A2153" i="2"/>
  <c r="A1597" i="2"/>
  <c r="A1655" i="2"/>
  <c r="A1669" i="2"/>
  <c r="A824" i="2"/>
  <c r="A1594" i="2"/>
  <c r="A1723" i="2"/>
  <c r="A1595" i="2"/>
  <c r="A2114" i="2"/>
  <c r="A1653" i="2"/>
  <c r="A2115" i="2"/>
  <c r="A900" i="2"/>
  <c r="A1733" i="2"/>
  <c r="Q6" i="4" a="1"/>
  <c r="A3" i="29" l="1" a="1"/>
  <c r="Q8" i="4"/>
  <c r="U8" i="4" s="1"/>
  <c r="R2460" i="2" a="1"/>
  <c r="Q2358" i="2" a="1"/>
  <c r="S2358" i="2" s="1"/>
  <c r="Q2323" i="2" a="1"/>
  <c r="S2323" i="2" s="1"/>
  <c r="Q2421" i="2" a="1"/>
  <c r="S2421" i="2" s="1"/>
  <c r="R2421" i="2" a="1"/>
  <c r="Q2419" i="2" a="1"/>
  <c r="S2419" i="2" s="1"/>
  <c r="R2419" i="2" a="1"/>
  <c r="N5" i="4" a="1"/>
  <c r="Q7" i="4"/>
  <c r="O4" i="4"/>
  <c r="Q1141" i="2" l="1" a="1"/>
  <c r="S1141" i="2" s="1"/>
  <c r="R1939" i="2" a="1"/>
  <c r="Q1939" i="2" a="1"/>
  <c r="S1939" i="2" s="1"/>
  <c r="W1939" i="2" s="1"/>
  <c r="X1939" i="2" s="1"/>
  <c r="R2074" i="2" a="1"/>
  <c r="Q2074" i="2" a="1"/>
  <c r="S2074" i="2" s="1"/>
  <c r="W2074" i="2" s="1"/>
  <c r="X2074" i="2" s="1"/>
  <c r="Q307" i="2" a="1"/>
  <c r="S307" i="2" s="1"/>
  <c r="W307" i="2" s="1"/>
  <c r="X307" i="2" s="1"/>
  <c r="Q306" i="2" a="1"/>
  <c r="S306" i="2" s="1"/>
  <c r="W306" i="2" s="1"/>
  <c r="X306" i="2" s="1"/>
  <c r="R306" i="2" a="1"/>
  <c r="R307" i="2" a="1"/>
  <c r="R309" i="2" a="1"/>
  <c r="Q309" i="2" a="1"/>
  <c r="S309" i="2" s="1"/>
  <c r="W309" i="2" s="1"/>
  <c r="X309" i="2" s="1"/>
  <c r="Q310" i="2" a="1"/>
  <c r="S310" i="2" s="1"/>
  <c r="W310" i="2" s="1"/>
  <c r="X310" i="2" s="1"/>
  <c r="R310" i="2" a="1"/>
  <c r="R311" i="2" a="1"/>
  <c r="Q311" i="2" a="1"/>
  <c r="S311" i="2" s="1"/>
  <c r="W311" i="2" s="1"/>
  <c r="X311" i="2" s="1"/>
  <c r="R312" i="2" a="1"/>
  <c r="Q312" i="2" a="1"/>
  <c r="S312" i="2" s="1"/>
  <c r="W312" i="2" s="1"/>
  <c r="X312" i="2" s="1"/>
  <c r="R313" i="2" a="1"/>
  <c r="Q313" i="2" a="1"/>
  <c r="S313" i="2" s="1"/>
  <c r="W313" i="2" s="1"/>
  <c r="X313" i="2" s="1"/>
  <c r="Q315" i="2" a="1"/>
  <c r="S315" i="2" s="1"/>
  <c r="W315" i="2" s="1"/>
  <c r="X315" i="2" s="1"/>
  <c r="R315" i="2" a="1"/>
  <c r="R314" i="2" a="1"/>
  <c r="Q314" i="2" a="1"/>
  <c r="S314" i="2" s="1"/>
  <c r="W314" i="2" s="1"/>
  <c r="X314" i="2" s="1"/>
  <c r="Q317" i="2" a="1"/>
  <c r="S317" i="2" s="1"/>
  <c r="W317" i="2" s="1"/>
  <c r="X317" i="2" s="1"/>
  <c r="R317" i="2" a="1"/>
  <c r="R316" i="2" a="1"/>
  <c r="Q316" i="2" a="1"/>
  <c r="S316" i="2" s="1"/>
  <c r="W316" i="2" s="1"/>
  <c r="X316" i="2" s="1"/>
  <c r="R286" i="2" a="1"/>
  <c r="Q286" i="2" a="1"/>
  <c r="S286" i="2" s="1"/>
  <c r="W286" i="2" s="1"/>
  <c r="X286" i="2" s="1"/>
  <c r="R287" i="2" a="1"/>
  <c r="Q287" i="2" a="1"/>
  <c r="S287" i="2" s="1"/>
  <c r="W287" i="2" s="1"/>
  <c r="X287" i="2" s="1"/>
  <c r="R289" i="2" a="1"/>
  <c r="Q289" i="2" a="1"/>
  <c r="S289" i="2" s="1"/>
  <c r="W289" i="2" s="1"/>
  <c r="X289" i="2" s="1"/>
  <c r="R288" i="2" a="1"/>
  <c r="Q288" i="2" a="1"/>
  <c r="S288" i="2" s="1"/>
  <c r="W288" i="2" s="1"/>
  <c r="X288" i="2" s="1"/>
  <c r="Q291" i="2" a="1"/>
  <c r="S291" i="2" s="1"/>
  <c r="W291" i="2" s="1"/>
  <c r="X291" i="2" s="1"/>
  <c r="R290" i="2" a="1"/>
  <c r="Q290" i="2" a="1"/>
  <c r="S290" i="2" s="1"/>
  <c r="W290" i="2" s="1"/>
  <c r="X290" i="2" s="1"/>
  <c r="R291" i="2" a="1"/>
  <c r="R292" i="2" a="1"/>
  <c r="Q292" i="2" a="1"/>
  <c r="S292" i="2" s="1"/>
  <c r="W292" i="2" s="1"/>
  <c r="X292" i="2" s="1"/>
  <c r="R293" i="2" a="1"/>
  <c r="Q293" i="2" a="1"/>
  <c r="S293" i="2" s="1"/>
  <c r="W293" i="2" s="1"/>
  <c r="X293" i="2" s="1"/>
  <c r="R295" i="2" a="1"/>
  <c r="Q294" i="2" a="1"/>
  <c r="S294" i="2" s="1"/>
  <c r="W294" i="2" s="1"/>
  <c r="X294" i="2" s="1"/>
  <c r="R294" i="2" a="1"/>
  <c r="Q295" i="2" a="1"/>
  <c r="S295" i="2" s="1"/>
  <c r="W295" i="2" s="1"/>
  <c r="X295" i="2" s="1"/>
  <c r="R296" i="2" a="1"/>
  <c r="Q296" i="2" a="1"/>
  <c r="S296" i="2" s="1"/>
  <c r="W296" i="2" s="1"/>
  <c r="X296" i="2" s="1"/>
  <c r="R297" i="2" a="1"/>
  <c r="Q297" i="2" a="1"/>
  <c r="S297" i="2" s="1"/>
  <c r="W297" i="2" s="1"/>
  <c r="X297" i="2" s="1"/>
  <c r="R298" i="2" a="1"/>
  <c r="Q298" i="2" a="1"/>
  <c r="S298" i="2" s="1"/>
  <c r="W298" i="2" s="1"/>
  <c r="X298" i="2" s="1"/>
  <c r="R299" i="2" a="1"/>
  <c r="Q299" i="2" a="1"/>
  <c r="S299" i="2" s="1"/>
  <c r="W299" i="2" s="1"/>
  <c r="X299" i="2" s="1"/>
  <c r="R300" i="2" a="1"/>
  <c r="Q300" i="2" a="1"/>
  <c r="S300" i="2" s="1"/>
  <c r="W300" i="2" s="1"/>
  <c r="X300" i="2" s="1"/>
  <c r="R335" i="2" a="1"/>
  <c r="Q335" i="2" a="1"/>
  <c r="S335" i="2" s="1"/>
  <c r="W335" i="2" s="1"/>
  <c r="X335" i="2" s="1"/>
  <c r="Q337" i="2" a="1"/>
  <c r="S337" i="2" s="1"/>
  <c r="W337" i="2" s="1"/>
  <c r="X337" i="2" s="1"/>
  <c r="R337" i="2" a="1"/>
  <c r="R336" i="2" a="1"/>
  <c r="Q336" i="2" a="1"/>
  <c r="S336" i="2" s="1"/>
  <c r="W336" i="2" s="1"/>
  <c r="X336" i="2" s="1"/>
  <c r="Q339" i="2" a="1"/>
  <c r="S339" i="2" s="1"/>
  <c r="W339" i="2" s="1"/>
  <c r="X339" i="2" s="1"/>
  <c r="R339" i="2" a="1"/>
  <c r="R338" i="2" a="1"/>
  <c r="Q338" i="2" a="1"/>
  <c r="S338" i="2" s="1"/>
  <c r="W338" i="2" s="1"/>
  <c r="X338" i="2" s="1"/>
  <c r="Q341" i="2" a="1"/>
  <c r="S341" i="2" s="1"/>
  <c r="W341" i="2" s="1"/>
  <c r="X341" i="2" s="1"/>
  <c r="R340" i="2" a="1"/>
  <c r="R341" i="2" a="1"/>
  <c r="Q340" i="2" a="1"/>
  <c r="S340" i="2" s="1"/>
  <c r="W340" i="2" s="1"/>
  <c r="X340" i="2" s="1"/>
  <c r="R342" i="2" a="1"/>
  <c r="Q342" i="2" a="1"/>
  <c r="S342" i="2" s="1"/>
  <c r="W342" i="2" s="1"/>
  <c r="X342" i="2" s="1"/>
  <c r="R343" i="2" a="1"/>
  <c r="Q343" i="2" a="1"/>
  <c r="S343" i="2" s="1"/>
  <c r="W343" i="2" s="1"/>
  <c r="X343" i="2" s="1"/>
  <c r="Q345" i="2" a="1"/>
  <c r="S345" i="2" s="1"/>
  <c r="W345" i="2" s="1"/>
  <c r="X345" i="2" s="1"/>
  <c r="R345" i="2" a="1"/>
  <c r="R344" i="2" a="1"/>
  <c r="Q344" i="2" a="1"/>
  <c r="S344" i="2" s="1"/>
  <c r="W344" i="2" s="1"/>
  <c r="X344" i="2" s="1"/>
  <c r="R346" i="2" a="1"/>
  <c r="Q346" i="2" a="1"/>
  <c r="S346" i="2" s="1"/>
  <c r="W346" i="2" s="1"/>
  <c r="X346" i="2" s="1"/>
  <c r="R347" i="2" a="1"/>
  <c r="Q347" i="2" a="1"/>
  <c r="S347" i="2" s="1"/>
  <c r="W347" i="2" s="1"/>
  <c r="X347" i="2" s="1"/>
  <c r="R348" i="2" a="1"/>
  <c r="Q348" i="2" a="1"/>
  <c r="S348" i="2" s="1"/>
  <c r="W348" i="2" s="1"/>
  <c r="X348" i="2" s="1"/>
  <c r="R349" i="2" a="1"/>
  <c r="Q349" i="2" a="1"/>
  <c r="S349" i="2" s="1"/>
  <c r="W349" i="2" s="1"/>
  <c r="X349" i="2" s="1"/>
  <c r="Q285" i="2" a="1"/>
  <c r="S285" i="2" s="1"/>
  <c r="W285" i="2" s="1"/>
  <c r="X285" i="2" s="1"/>
  <c r="Q282" i="2" a="1"/>
  <c r="S282" i="2" s="1"/>
  <c r="W282" i="2" s="1"/>
  <c r="X282" i="2" s="1"/>
  <c r="R285" i="2" a="1"/>
  <c r="R283" i="2" a="1"/>
  <c r="Q283" i="2" a="1"/>
  <c r="S283" i="2" s="1"/>
  <c r="W283" i="2" s="1"/>
  <c r="X283" i="2" s="1"/>
  <c r="R282" i="2" a="1"/>
  <c r="R284" i="2" a="1"/>
  <c r="Q284" i="2" a="1"/>
  <c r="S284" i="2" s="1"/>
  <c r="W284" i="2" s="1"/>
  <c r="X284" i="2" s="1"/>
  <c r="Q270" i="2" a="1"/>
  <c r="S270" i="2" s="1"/>
  <c r="W270" i="2" s="1"/>
  <c r="X270" i="2" s="1"/>
  <c r="R270" i="2" a="1"/>
  <c r="Q273" i="2" a="1"/>
  <c r="S273" i="2" s="1"/>
  <c r="W273" i="2" s="1"/>
  <c r="X273" i="2" s="1"/>
  <c r="Q272" i="2" a="1"/>
  <c r="S272" i="2" s="1"/>
  <c r="W272" i="2" s="1"/>
  <c r="X272" i="2" s="1"/>
  <c r="Q271" i="2" a="1"/>
  <c r="S271" i="2" s="1"/>
  <c r="W271" i="2" s="1"/>
  <c r="X271" i="2" s="1"/>
  <c r="R272" i="2" a="1"/>
  <c r="R271" i="2" a="1"/>
  <c r="R273" i="2" a="1"/>
  <c r="R274" i="2" a="1"/>
  <c r="Q274" i="2" a="1"/>
  <c r="S274" i="2" s="1"/>
  <c r="W274" i="2" s="1"/>
  <c r="X274" i="2" s="1"/>
  <c r="R275" i="2" a="1"/>
  <c r="Q275" i="2" a="1"/>
  <c r="S275" i="2" s="1"/>
  <c r="W275" i="2" s="1"/>
  <c r="X275" i="2" s="1"/>
  <c r="R276" i="2" a="1"/>
  <c r="Q276" i="2" a="1"/>
  <c r="S276" i="2" s="1"/>
  <c r="W276" i="2" s="1"/>
  <c r="X276" i="2" s="1"/>
  <c r="R277" i="2" a="1"/>
  <c r="Q277" i="2" a="1"/>
  <c r="S277" i="2" s="1"/>
  <c r="W277" i="2" s="1"/>
  <c r="X277" i="2" s="1"/>
  <c r="R278" i="2" a="1"/>
  <c r="Q278" i="2" a="1"/>
  <c r="S278" i="2" s="1"/>
  <c r="W278" i="2" s="1"/>
  <c r="X278" i="2" s="1"/>
  <c r="Q281" i="2" a="1"/>
  <c r="S281" i="2" s="1"/>
  <c r="W281" i="2" s="1"/>
  <c r="X281" i="2" s="1"/>
  <c r="R279" i="2" a="1"/>
  <c r="R281" i="2" a="1"/>
  <c r="R280" i="2" a="1"/>
  <c r="Q279" i="2" a="1"/>
  <c r="S279" i="2" s="1"/>
  <c r="W279" i="2" s="1"/>
  <c r="X279" i="2" s="1"/>
  <c r="Q280" i="2" a="1"/>
  <c r="S280" i="2" s="1"/>
  <c r="W280" i="2" s="1"/>
  <c r="X280" i="2" s="1"/>
  <c r="R476" i="2" a="1"/>
  <c r="Q476" i="2" a="1"/>
  <c r="S476" i="2" s="1"/>
  <c r="W476" i="2" s="1"/>
  <c r="X476" i="2" s="1"/>
  <c r="R477" i="2" a="1"/>
  <c r="Q477" i="2" a="1"/>
  <c r="S477" i="2" s="1"/>
  <c r="W477" i="2" s="1"/>
  <c r="X477" i="2" s="1"/>
  <c r="R478" i="2" a="1"/>
  <c r="Q478" i="2" a="1"/>
  <c r="S478" i="2" s="1"/>
  <c r="W478" i="2" s="1"/>
  <c r="X478" i="2" s="1"/>
  <c r="Q480" i="2" a="1"/>
  <c r="S480" i="2" s="1"/>
  <c r="W480" i="2" s="1"/>
  <c r="X480" i="2" s="1"/>
  <c r="R479" i="2" a="1"/>
  <c r="Q479" i="2" a="1"/>
  <c r="S479" i="2" s="1"/>
  <c r="W479" i="2" s="1"/>
  <c r="X479" i="2" s="1"/>
  <c r="R480" i="2" a="1"/>
  <c r="R481" i="2" a="1"/>
  <c r="Q481" i="2" a="1"/>
  <c r="S481" i="2" s="1"/>
  <c r="W481" i="2" s="1"/>
  <c r="X481" i="2" s="1"/>
  <c r="R453" i="2" a="1"/>
  <c r="Q453" i="2" a="1"/>
  <c r="S453" i="2" s="1"/>
  <c r="W453" i="2" s="1"/>
  <c r="X453" i="2" s="1"/>
  <c r="R454" i="2" a="1"/>
  <c r="Q454" i="2" a="1"/>
  <c r="S454" i="2" s="1"/>
  <c r="W454" i="2" s="1"/>
  <c r="X454" i="2" s="1"/>
  <c r="R455" i="2" a="1"/>
  <c r="Q455" i="2" a="1"/>
  <c r="S455" i="2" s="1"/>
  <c r="W455" i="2" s="1"/>
  <c r="X455" i="2" s="1"/>
  <c r="R456" i="2" a="1"/>
  <c r="Q456" i="2" a="1"/>
  <c r="S456" i="2" s="1"/>
  <c r="W456" i="2" s="1"/>
  <c r="X456" i="2" s="1"/>
  <c r="R457" i="2" a="1"/>
  <c r="Q457" i="2" a="1"/>
  <c r="S457" i="2" s="1"/>
  <c r="W457" i="2" s="1"/>
  <c r="X457" i="2" s="1"/>
  <c r="R458" i="2" a="1"/>
  <c r="Q458" i="2" a="1"/>
  <c r="S458" i="2" s="1"/>
  <c r="W458" i="2" s="1"/>
  <c r="X458" i="2" s="1"/>
  <c r="R474" i="2" a="1"/>
  <c r="Q474" i="2" a="1"/>
  <c r="S474" i="2" s="1"/>
  <c r="W474" i="2" s="1"/>
  <c r="X474" i="2" s="1"/>
  <c r="R475" i="2" a="1"/>
  <c r="Q475" i="2" a="1"/>
  <c r="S475" i="2" s="1"/>
  <c r="W475" i="2" s="1"/>
  <c r="X475" i="2" s="1"/>
  <c r="R444" i="2" a="1"/>
  <c r="Q444" i="2" a="1"/>
  <c r="S444" i="2" s="1"/>
  <c r="W444" i="2" s="1"/>
  <c r="X444" i="2" s="1"/>
  <c r="R445" i="2" a="1"/>
  <c r="Q445" i="2" a="1"/>
  <c r="S445" i="2" s="1"/>
  <c r="W445" i="2" s="1"/>
  <c r="X445" i="2" s="1"/>
  <c r="R446" i="2" a="1"/>
  <c r="Q446" i="2" a="1"/>
  <c r="S446" i="2" s="1"/>
  <c r="W446" i="2" s="1"/>
  <c r="X446" i="2" s="1"/>
  <c r="R447" i="2" a="1"/>
  <c r="Q447" i="2" a="1"/>
  <c r="S447" i="2" s="1"/>
  <c r="W447" i="2" s="1"/>
  <c r="X447" i="2" s="1"/>
  <c r="R448" i="2" a="1"/>
  <c r="Q448" i="2" a="1"/>
  <c r="S448" i="2" s="1"/>
  <c r="W448" i="2" s="1"/>
  <c r="X448" i="2" s="1"/>
  <c r="R436" i="2" a="1"/>
  <c r="Q436" i="2" a="1"/>
  <c r="S436" i="2" s="1"/>
  <c r="W436" i="2" s="1"/>
  <c r="X436" i="2" s="1"/>
  <c r="R437" i="2" a="1"/>
  <c r="Q437" i="2" a="1"/>
  <c r="S437" i="2" s="1"/>
  <c r="W437" i="2" s="1"/>
  <c r="X437" i="2" s="1"/>
  <c r="R438" i="2" a="1"/>
  <c r="Q438" i="2" a="1"/>
  <c r="S438" i="2" s="1"/>
  <c r="W438" i="2" s="1"/>
  <c r="X438" i="2" s="1"/>
  <c r="R439" i="2" a="1"/>
  <c r="Q439" i="2" a="1"/>
  <c r="S439" i="2" s="1"/>
  <c r="W439" i="2" s="1"/>
  <c r="X439" i="2" s="1"/>
  <c r="R440" i="2" a="1"/>
  <c r="Q440" i="2" a="1"/>
  <c r="S440" i="2" s="1"/>
  <c r="W440" i="2" s="1"/>
  <c r="X440" i="2" s="1"/>
  <c r="R441" i="2" a="1"/>
  <c r="Q441" i="2" a="1"/>
  <c r="S441" i="2" s="1"/>
  <c r="W441" i="2" s="1"/>
  <c r="X441" i="2" s="1"/>
  <c r="R442" i="2" a="1"/>
  <c r="Q442" i="2" a="1"/>
  <c r="S442" i="2" s="1"/>
  <c r="W442" i="2" s="1"/>
  <c r="X442" i="2" s="1"/>
  <c r="R434" i="2" a="1"/>
  <c r="Q434" i="2" a="1"/>
  <c r="S434" i="2" s="1"/>
  <c r="W434" i="2" s="1"/>
  <c r="X434" i="2" s="1"/>
  <c r="R428" i="2" a="1"/>
  <c r="Q428" i="2" a="1"/>
  <c r="S428" i="2" s="1"/>
  <c r="W428" i="2" s="1"/>
  <c r="X428" i="2" s="1"/>
  <c r="R429" i="2" a="1"/>
  <c r="Q429" i="2" a="1"/>
  <c r="S429" i="2" s="1"/>
  <c r="W429" i="2" s="1"/>
  <c r="X429" i="2" s="1"/>
  <c r="R430" i="2" a="1"/>
  <c r="Q430" i="2" a="1"/>
  <c r="S430" i="2" s="1"/>
  <c r="W430" i="2" s="1"/>
  <c r="X430" i="2" s="1"/>
  <c r="R425" i="2" a="1"/>
  <c r="Q425" i="2" a="1"/>
  <c r="S425" i="2" s="1"/>
  <c r="W425" i="2" s="1"/>
  <c r="X425" i="2" s="1"/>
  <c r="R426" i="2" a="1"/>
  <c r="Q426" i="2" a="1"/>
  <c r="S426" i="2" s="1"/>
  <c r="W426" i="2" s="1"/>
  <c r="X426" i="2" s="1"/>
  <c r="R351" i="2" a="1"/>
  <c r="Q351" i="2" a="1"/>
  <c r="S351" i="2" s="1"/>
  <c r="W351" i="2" s="1"/>
  <c r="X351" i="2" s="1"/>
  <c r="R352" i="2" a="1"/>
  <c r="Q352" i="2" a="1"/>
  <c r="S352" i="2" s="1"/>
  <c r="W352" i="2" s="1"/>
  <c r="X352" i="2" s="1"/>
  <c r="R353" i="2" a="1"/>
  <c r="Q353" i="2" a="1"/>
  <c r="S353" i="2" s="1"/>
  <c r="W353" i="2" s="1"/>
  <c r="X353" i="2" s="1"/>
  <c r="R354" i="2" a="1"/>
  <c r="Q354" i="2" a="1"/>
  <c r="S354" i="2" s="1"/>
  <c r="W354" i="2" s="1"/>
  <c r="X354" i="2" s="1"/>
  <c r="R355" i="2" a="1"/>
  <c r="Q355" i="2" a="1"/>
  <c r="S355" i="2" s="1"/>
  <c r="W355" i="2" s="1"/>
  <c r="X355" i="2" s="1"/>
  <c r="R356" i="2" a="1"/>
  <c r="Q356" i="2" a="1"/>
  <c r="S356" i="2" s="1"/>
  <c r="W356" i="2" s="1"/>
  <c r="X356" i="2" s="1"/>
  <c r="R357" i="2" a="1"/>
  <c r="Q357" i="2" a="1"/>
  <c r="S357" i="2" s="1"/>
  <c r="W357" i="2" s="1"/>
  <c r="X357" i="2" s="1"/>
  <c r="R358" i="2" a="1"/>
  <c r="Q358" i="2" a="1"/>
  <c r="S358" i="2" s="1"/>
  <c r="W358" i="2" s="1"/>
  <c r="X358" i="2" s="1"/>
  <c r="Q464" i="2" a="1"/>
  <c r="S464" i="2" s="1"/>
  <c r="W464" i="2" s="1"/>
  <c r="X464" i="2" s="1"/>
  <c r="R463" i="2" a="1"/>
  <c r="Q463" i="2" a="1"/>
  <c r="S463" i="2" s="1"/>
  <c r="W463" i="2" s="1"/>
  <c r="X463" i="2" s="1"/>
  <c r="R464" i="2" a="1"/>
  <c r="R465" i="2" a="1"/>
  <c r="Q465" i="2" a="1"/>
  <c r="S465" i="2" s="1"/>
  <c r="W465" i="2" s="1"/>
  <c r="X465" i="2" s="1"/>
  <c r="R467" i="2" a="1"/>
  <c r="Q467" i="2" a="1"/>
  <c r="S467" i="2" s="1"/>
  <c r="W467" i="2" s="1"/>
  <c r="X467" i="2" s="1"/>
  <c r="R466" i="2" a="1"/>
  <c r="Q466" i="2" a="1"/>
  <c r="S466" i="2" s="1"/>
  <c r="W466" i="2" s="1"/>
  <c r="X466" i="2" s="1"/>
  <c r="R468" i="2" a="1"/>
  <c r="Q468" i="2" a="1"/>
  <c r="S468" i="2" s="1"/>
  <c r="W468" i="2" s="1"/>
  <c r="X468" i="2" s="1"/>
  <c r="R469" i="2" a="1"/>
  <c r="Q469" i="2" a="1"/>
  <c r="S469" i="2" s="1"/>
  <c r="W469" i="2" s="1"/>
  <c r="X469" i="2" s="1"/>
  <c r="R471" i="2" a="1"/>
  <c r="Q471" i="2" a="1"/>
  <c r="S471" i="2" s="1"/>
  <c r="W471" i="2" s="1"/>
  <c r="X471" i="2" s="1"/>
  <c r="R470" i="2" a="1"/>
  <c r="Q470" i="2" a="1"/>
  <c r="S470" i="2" s="1"/>
  <c r="W470" i="2" s="1"/>
  <c r="X470" i="2" s="1"/>
  <c r="R350" i="2" a="1"/>
  <c r="Q350" i="2" a="1"/>
  <c r="S350" i="2" s="1"/>
  <c r="W350" i="2" s="1"/>
  <c r="X350" i="2" s="1"/>
  <c r="R472" i="2" a="1"/>
  <c r="Q472" i="2" a="1"/>
  <c r="S472" i="2" s="1"/>
  <c r="W472" i="2" s="1"/>
  <c r="X472" i="2" s="1"/>
  <c r="R422" i="2" a="1"/>
  <c r="Q422" i="2" a="1"/>
  <c r="S422" i="2" s="1"/>
  <c r="W422" i="2" s="1"/>
  <c r="X422" i="2" s="1"/>
  <c r="R423" i="2" a="1"/>
  <c r="Q423" i="2" a="1"/>
  <c r="S423" i="2" s="1"/>
  <c r="W423" i="2" s="1"/>
  <c r="X423" i="2" s="1"/>
  <c r="R414" i="2" a="1"/>
  <c r="Q414" i="2" a="1"/>
  <c r="S414" i="2" s="1"/>
  <c r="W414" i="2" s="1"/>
  <c r="X414" i="2" s="1"/>
  <c r="R413" i="2" a="1"/>
  <c r="Q413" i="2" a="1"/>
  <c r="S413" i="2" s="1"/>
  <c r="W413" i="2" s="1"/>
  <c r="X413" i="2" s="1"/>
  <c r="R415" i="2" a="1"/>
  <c r="Q415" i="2" a="1"/>
  <c r="S415" i="2" s="1"/>
  <c r="W415" i="2" s="1"/>
  <c r="X415" i="2" s="1"/>
  <c r="R417" i="2" a="1"/>
  <c r="Q417" i="2" a="1"/>
  <c r="S417" i="2" s="1"/>
  <c r="W417" i="2" s="1"/>
  <c r="X417" i="2" s="1"/>
  <c r="R416" i="2" a="1"/>
  <c r="Q416" i="2" a="1"/>
  <c r="S416" i="2" s="1"/>
  <c r="W416" i="2" s="1"/>
  <c r="X416" i="2" s="1"/>
  <c r="R418" i="2" a="1"/>
  <c r="Q418" i="2" a="1"/>
  <c r="S418" i="2" s="1"/>
  <c r="W418" i="2" s="1"/>
  <c r="X418" i="2" s="1"/>
  <c r="R419" i="2" a="1"/>
  <c r="Q419" i="2" a="1"/>
  <c r="S419" i="2" s="1"/>
  <c r="W419" i="2" s="1"/>
  <c r="X419" i="2" s="1"/>
  <c r="R420" i="2" a="1"/>
  <c r="Q420" i="2" a="1"/>
  <c r="S420" i="2" s="1"/>
  <c r="W420" i="2" s="1"/>
  <c r="X420" i="2" s="1"/>
  <c r="R421" i="2" a="1"/>
  <c r="Q421" i="2" a="1"/>
  <c r="S421" i="2" s="1"/>
  <c r="W421" i="2" s="1"/>
  <c r="X421" i="2" s="1"/>
  <c r="R410" i="2" a="1"/>
  <c r="Q410" i="2" a="1"/>
  <c r="S410" i="2" s="1"/>
  <c r="W410" i="2" s="1"/>
  <c r="X410" i="2" s="1"/>
  <c r="R391" i="2" a="1"/>
  <c r="Q391" i="2" a="1"/>
  <c r="S391" i="2" s="1"/>
  <c r="W391" i="2" s="1"/>
  <c r="X391" i="2" s="1"/>
  <c r="R392" i="2" a="1"/>
  <c r="Q392" i="2" a="1"/>
  <c r="S392" i="2" s="1"/>
  <c r="W392" i="2" s="1"/>
  <c r="X392" i="2" s="1"/>
  <c r="R393" i="2" a="1"/>
  <c r="Q393" i="2" a="1"/>
  <c r="S393" i="2" s="1"/>
  <c r="W393" i="2" s="1"/>
  <c r="X393" i="2" s="1"/>
  <c r="R394" i="2" a="1"/>
  <c r="Q394" i="2" a="1"/>
  <c r="S394" i="2" s="1"/>
  <c r="W394" i="2" s="1"/>
  <c r="X394" i="2" s="1"/>
  <c r="R395" i="2" a="1"/>
  <c r="Q395" i="2" a="1"/>
  <c r="S395" i="2" s="1"/>
  <c r="W395" i="2" s="1"/>
  <c r="X395" i="2" s="1"/>
  <c r="R396" i="2" a="1"/>
  <c r="Q396" i="2" a="1"/>
  <c r="S396" i="2" s="1"/>
  <c r="W396" i="2" s="1"/>
  <c r="X396" i="2" s="1"/>
  <c r="R397" i="2" a="1"/>
  <c r="Q397" i="2" a="1"/>
  <c r="S397" i="2" s="1"/>
  <c r="W397" i="2" s="1"/>
  <c r="X397" i="2" s="1"/>
  <c r="R398" i="2" a="1"/>
  <c r="Q398" i="2" a="1"/>
  <c r="S398" i="2" s="1"/>
  <c r="W398" i="2" s="1"/>
  <c r="X398" i="2" s="1"/>
  <c r="R399" i="2" a="1"/>
  <c r="Q399" i="2" a="1"/>
  <c r="S399" i="2" s="1"/>
  <c r="W399" i="2" s="1"/>
  <c r="X399" i="2" s="1"/>
  <c r="R400" i="2" a="1"/>
  <c r="Q400" i="2" a="1"/>
  <c r="S400" i="2" s="1"/>
  <c r="W400" i="2" s="1"/>
  <c r="X400" i="2" s="1"/>
  <c r="R401" i="2" a="1"/>
  <c r="Q401" i="2" a="1"/>
  <c r="S401" i="2" s="1"/>
  <c r="W401" i="2" s="1"/>
  <c r="X401" i="2" s="1"/>
  <c r="R402" i="2" a="1"/>
  <c r="Q402" i="2" a="1"/>
  <c r="S402" i="2" s="1"/>
  <c r="W402" i="2" s="1"/>
  <c r="X402" i="2" s="1"/>
  <c r="R404" i="2" a="1"/>
  <c r="Q404" i="2" a="1"/>
  <c r="S404" i="2" s="1"/>
  <c r="W404" i="2" s="1"/>
  <c r="X404" i="2" s="1"/>
  <c r="R405" i="2" a="1"/>
  <c r="Q405" i="2" a="1"/>
  <c r="S405" i="2" s="1"/>
  <c r="W405" i="2" s="1"/>
  <c r="X405" i="2" s="1"/>
  <c r="R407" i="2" a="1"/>
  <c r="Q407" i="2" a="1"/>
  <c r="S407" i="2" s="1"/>
  <c r="W407" i="2" s="1"/>
  <c r="X407" i="2" s="1"/>
  <c r="R409" i="2" a="1"/>
  <c r="Q409" i="2" a="1"/>
  <c r="S409" i="2" s="1"/>
  <c r="W409" i="2" s="1"/>
  <c r="X409" i="2" s="1"/>
  <c r="R380" i="2" a="1"/>
  <c r="Q380" i="2" a="1"/>
  <c r="S380" i="2" s="1"/>
  <c r="W380" i="2" s="1"/>
  <c r="X380" i="2" s="1"/>
  <c r="R381" i="2" a="1"/>
  <c r="Q381" i="2" a="1"/>
  <c r="S381" i="2" s="1"/>
  <c r="W381" i="2" s="1"/>
  <c r="X381" i="2" s="1"/>
  <c r="R382" i="2" a="1"/>
  <c r="Q382" i="2" a="1"/>
  <c r="S382" i="2" s="1"/>
  <c r="W382" i="2" s="1"/>
  <c r="X382" i="2" s="1"/>
  <c r="R383" i="2" a="1"/>
  <c r="Q383" i="2" a="1"/>
  <c r="S383" i="2" s="1"/>
  <c r="W383" i="2" s="1"/>
  <c r="X383" i="2" s="1"/>
  <c r="R384" i="2" a="1"/>
  <c r="Q384" i="2" a="1"/>
  <c r="S384" i="2" s="1"/>
  <c r="W384" i="2" s="1"/>
  <c r="X384" i="2" s="1"/>
  <c r="R385" i="2" a="1"/>
  <c r="Q385" i="2" a="1"/>
  <c r="S385" i="2" s="1"/>
  <c r="W385" i="2" s="1"/>
  <c r="X385" i="2" s="1"/>
  <c r="R386" i="2" a="1"/>
  <c r="Q386" i="2" a="1"/>
  <c r="S386" i="2" s="1"/>
  <c r="W386" i="2" s="1"/>
  <c r="X386" i="2" s="1"/>
  <c r="R387" i="2" a="1"/>
  <c r="Q387" i="2" a="1"/>
  <c r="S387" i="2" s="1"/>
  <c r="W387" i="2" s="1"/>
  <c r="X387" i="2" s="1"/>
  <c r="R388" i="2" a="1"/>
  <c r="Q388" i="2" a="1"/>
  <c r="S388" i="2" s="1"/>
  <c r="W388" i="2" s="1"/>
  <c r="X388" i="2" s="1"/>
  <c r="R389" i="2" a="1"/>
  <c r="Q389" i="2" a="1"/>
  <c r="S389" i="2" s="1"/>
  <c r="W389" i="2" s="1"/>
  <c r="X389" i="2" s="1"/>
  <c r="R390" i="2" a="1"/>
  <c r="Q390" i="2" a="1"/>
  <c r="S390" i="2" s="1"/>
  <c r="W390" i="2" s="1"/>
  <c r="X390" i="2" s="1"/>
  <c r="R373" i="2" a="1"/>
  <c r="Q373" i="2" a="1"/>
  <c r="S373" i="2" s="1"/>
  <c r="W373" i="2" s="1"/>
  <c r="X373" i="2" s="1"/>
  <c r="R374" i="2" a="1"/>
  <c r="Q374" i="2" a="1"/>
  <c r="S374" i="2" s="1"/>
  <c r="W374" i="2" s="1"/>
  <c r="X374" i="2" s="1"/>
  <c r="R376" i="2" a="1"/>
  <c r="Q376" i="2" a="1"/>
  <c r="S376" i="2" s="1"/>
  <c r="W376" i="2" s="1"/>
  <c r="X376" i="2" s="1"/>
  <c r="R377" i="2" a="1"/>
  <c r="Q377" i="2" a="1"/>
  <c r="S377" i="2" s="1"/>
  <c r="W377" i="2" s="1"/>
  <c r="X377" i="2" s="1"/>
  <c r="R378" i="2" a="1"/>
  <c r="Q378" i="2" a="1"/>
  <c r="S378" i="2" s="1"/>
  <c r="W378" i="2" s="1"/>
  <c r="X378" i="2" s="1"/>
  <c r="R379" i="2" a="1"/>
  <c r="Q379" i="2" a="1"/>
  <c r="S379" i="2" s="1"/>
  <c r="W379" i="2" s="1"/>
  <c r="X379" i="2" s="1"/>
  <c r="R364" i="2" a="1"/>
  <c r="Q364" i="2" a="1"/>
  <c r="S364" i="2" s="1"/>
  <c r="W364" i="2" s="1"/>
  <c r="X364" i="2" s="1"/>
  <c r="R365" i="2" a="1"/>
  <c r="Q365" i="2" a="1"/>
  <c r="S365" i="2" s="1"/>
  <c r="W365" i="2" s="1"/>
  <c r="X365" i="2" s="1"/>
  <c r="R366" i="2" a="1"/>
  <c r="Q366" i="2" a="1"/>
  <c r="S366" i="2" s="1"/>
  <c r="W366" i="2" s="1"/>
  <c r="X366" i="2" s="1"/>
  <c r="R367" i="2" a="1"/>
  <c r="Q367" i="2" a="1"/>
  <c r="S367" i="2" s="1"/>
  <c r="W367" i="2" s="1"/>
  <c r="X367" i="2" s="1"/>
  <c r="R368" i="2" a="1"/>
  <c r="Q368" i="2" a="1"/>
  <c r="S368" i="2" s="1"/>
  <c r="W368" i="2" s="1"/>
  <c r="X368" i="2" s="1"/>
  <c r="Q369" i="2" a="1"/>
  <c r="S369" i="2" s="1"/>
  <c r="W369" i="2" s="1"/>
  <c r="X369" i="2" s="1"/>
  <c r="R360" i="2" a="1"/>
  <c r="Q360" i="2" a="1"/>
  <c r="S360" i="2" s="1"/>
  <c r="W360" i="2" s="1"/>
  <c r="X360" i="2" s="1"/>
  <c r="R369" i="2" a="1"/>
  <c r="R326" i="2" a="1"/>
  <c r="Q326" i="2" a="1"/>
  <c r="S326" i="2" s="1"/>
  <c r="W326" i="2" s="1"/>
  <c r="X326" i="2" s="1"/>
  <c r="R327" i="2" a="1"/>
  <c r="Q327" i="2" a="1"/>
  <c r="S327" i="2" s="1"/>
  <c r="W327" i="2" s="1"/>
  <c r="X327" i="2" s="1"/>
  <c r="R328" i="2" a="1"/>
  <c r="Q328" i="2" a="1"/>
  <c r="S328" i="2" s="1"/>
  <c r="W328" i="2" s="1"/>
  <c r="X328" i="2" s="1"/>
  <c r="R330" i="2" a="1"/>
  <c r="Q330" i="2" a="1"/>
  <c r="S330" i="2" s="1"/>
  <c r="W330" i="2" s="1"/>
  <c r="X330" i="2" s="1"/>
  <c r="R329" i="2" a="1"/>
  <c r="Q329" i="2" a="1"/>
  <c r="S329" i="2" s="1"/>
  <c r="W329" i="2" s="1"/>
  <c r="X329" i="2" s="1"/>
  <c r="R331" i="2" a="1"/>
  <c r="Q331" i="2" a="1"/>
  <c r="S331" i="2" s="1"/>
  <c r="W331" i="2" s="1"/>
  <c r="X331" i="2" s="1"/>
  <c r="R332" i="2" a="1"/>
  <c r="Q332" i="2" a="1"/>
  <c r="S332" i="2" s="1"/>
  <c r="W332" i="2" s="1"/>
  <c r="X332" i="2" s="1"/>
  <c r="R334" i="2" a="1"/>
  <c r="Q334" i="2" a="1"/>
  <c r="S334" i="2" s="1"/>
  <c r="W334" i="2" s="1"/>
  <c r="X334" i="2" s="1"/>
  <c r="R319" i="2" a="1"/>
  <c r="Q319" i="2" a="1"/>
  <c r="S319" i="2" s="1"/>
  <c r="W319" i="2" s="1"/>
  <c r="X319" i="2" s="1"/>
  <c r="R320" i="2" a="1"/>
  <c r="Q320" i="2" a="1"/>
  <c r="S320" i="2" s="1"/>
  <c r="W320" i="2" s="1"/>
  <c r="X320" i="2" s="1"/>
  <c r="R322" i="2" a="1"/>
  <c r="Q322" i="2" a="1"/>
  <c r="S322" i="2" s="1"/>
  <c r="W322" i="2" s="1"/>
  <c r="X322" i="2" s="1"/>
  <c r="R323" i="2" a="1"/>
  <c r="Q323" i="2" a="1"/>
  <c r="S323" i="2" s="1"/>
  <c r="W323" i="2" s="1"/>
  <c r="X323" i="2" s="1"/>
  <c r="R324" i="2" a="1"/>
  <c r="Q324" i="2" a="1"/>
  <c r="S324" i="2" s="1"/>
  <c r="W324" i="2" s="1"/>
  <c r="X324" i="2" s="1"/>
  <c r="R2154" i="2" a="1"/>
  <c r="Q2154" i="2" a="1"/>
  <c r="S2154" i="2" s="1"/>
  <c r="W2154" i="2" s="1"/>
  <c r="X2154" i="2" s="1"/>
  <c r="R2155" i="2" a="1"/>
  <c r="Q2155" i="2" a="1"/>
  <c r="S2155" i="2" s="1"/>
  <c r="W2155" i="2" s="1"/>
  <c r="X2155" i="2" s="1"/>
  <c r="R2149" i="2" a="1"/>
  <c r="Q2149" i="2" a="1"/>
  <c r="S2149" i="2" s="1"/>
  <c r="W2149" i="2" s="1"/>
  <c r="X2149" i="2" s="1"/>
  <c r="R2150" i="2" a="1"/>
  <c r="Q2150" i="2" a="1"/>
  <c r="S2150" i="2" s="1"/>
  <c r="W2150" i="2" s="1"/>
  <c r="X2150" i="2" s="1"/>
  <c r="R2147" i="2" a="1"/>
  <c r="Q2147" i="2" a="1"/>
  <c r="S2147" i="2" s="1"/>
  <c r="W2147" i="2" s="1"/>
  <c r="X2147" i="2" s="1"/>
  <c r="R2143" i="2" a="1"/>
  <c r="Q2143" i="2" a="1"/>
  <c r="S2143" i="2" s="1"/>
  <c r="W2143" i="2" s="1"/>
  <c r="X2143" i="2" s="1"/>
  <c r="R2138" i="2" a="1"/>
  <c r="Q2138" i="2" a="1"/>
  <c r="S2138" i="2" s="1"/>
  <c r="W2138" i="2" s="1"/>
  <c r="X2138" i="2" s="1"/>
  <c r="R2139" i="2" a="1"/>
  <c r="Q2139" i="2" a="1"/>
  <c r="S2139" i="2" s="1"/>
  <c r="W2139" i="2" s="1"/>
  <c r="X2139" i="2" s="1"/>
  <c r="R2140" i="2" a="1"/>
  <c r="Q2140" i="2" a="1"/>
  <c r="S2140" i="2" s="1"/>
  <c r="W2140" i="2" s="1"/>
  <c r="X2140" i="2" s="1"/>
  <c r="R2142" i="2" a="1"/>
  <c r="R2141" i="2" a="1"/>
  <c r="Q2141" i="2" a="1"/>
  <c r="S2141" i="2" s="1"/>
  <c r="W2141" i="2" s="1"/>
  <c r="X2141" i="2" s="1"/>
  <c r="Q2142" i="2" a="1"/>
  <c r="S2142" i="2" s="1"/>
  <c r="W2142" i="2" s="1"/>
  <c r="X2142" i="2" s="1"/>
  <c r="R2134" i="2" a="1"/>
  <c r="Q2134" i="2" a="1"/>
  <c r="S2134" i="2" s="1"/>
  <c r="W2134" i="2" s="1"/>
  <c r="X2134" i="2" s="1"/>
  <c r="R2135" i="2" a="1"/>
  <c r="Q2135" i="2" a="1"/>
  <c r="S2135" i="2" s="1"/>
  <c r="W2135" i="2" s="1"/>
  <c r="X2135" i="2" s="1"/>
  <c r="R2136" i="2" a="1"/>
  <c r="Q2136" i="2" a="1"/>
  <c r="S2136" i="2" s="1"/>
  <c r="W2136" i="2" s="1"/>
  <c r="X2136" i="2" s="1"/>
  <c r="R2131" i="2" a="1"/>
  <c r="Q2131" i="2" a="1"/>
  <c r="S2131" i="2" s="1"/>
  <c r="W2131" i="2" s="1"/>
  <c r="X2131" i="2" s="1"/>
  <c r="R2132" i="2" a="1"/>
  <c r="Q2132" i="2" a="1"/>
  <c r="S2132" i="2" s="1"/>
  <c r="W2132" i="2" s="1"/>
  <c r="X2132" i="2" s="1"/>
  <c r="R2130" i="2" a="1"/>
  <c r="Q2130" i="2" a="1"/>
  <c r="S2130" i="2" s="1"/>
  <c r="W2130" i="2" s="1"/>
  <c r="X2130" i="2" s="1"/>
  <c r="R2127" i="2" a="1"/>
  <c r="Q2127" i="2" a="1"/>
  <c r="S2127" i="2" s="1"/>
  <c r="W2127" i="2" s="1"/>
  <c r="X2127" i="2" s="1"/>
  <c r="R2126" i="2" a="1"/>
  <c r="Q2126" i="2" a="1"/>
  <c r="S2126" i="2" s="1"/>
  <c r="W2126" i="2" s="1"/>
  <c r="X2126" i="2" s="1"/>
  <c r="R2128" i="2" a="1"/>
  <c r="Q2128" i="2" a="1"/>
  <c r="S2128" i="2" s="1"/>
  <c r="W2128" i="2" s="1"/>
  <c r="X2128" i="2" s="1"/>
  <c r="R2123" i="2" a="1"/>
  <c r="Q2123" i="2" a="1"/>
  <c r="S2123" i="2" s="1"/>
  <c r="W2123" i="2" s="1"/>
  <c r="X2123" i="2" s="1"/>
  <c r="R2124" i="2" a="1"/>
  <c r="Q2124" i="2" a="1"/>
  <c r="S2124" i="2" s="1"/>
  <c r="W2124" i="2" s="1"/>
  <c r="X2124" i="2" s="1"/>
  <c r="R2120" i="2" a="1"/>
  <c r="Q2120" i="2" a="1"/>
  <c r="S2120" i="2" s="1"/>
  <c r="W2120" i="2" s="1"/>
  <c r="X2120" i="2" s="1"/>
  <c r="R2121" i="2" a="1"/>
  <c r="Q2121" i="2" a="1"/>
  <c r="S2121" i="2" s="1"/>
  <c r="W2121" i="2" s="1"/>
  <c r="X2121" i="2" s="1"/>
  <c r="R748" i="2" a="1"/>
  <c r="Q748" i="2" a="1"/>
  <c r="S748" i="2" s="1"/>
  <c r="W748" i="2" s="1"/>
  <c r="X748" i="2" s="1"/>
  <c r="R749" i="2" a="1"/>
  <c r="Q749" i="2" a="1"/>
  <c r="S749" i="2" s="1"/>
  <c r="W749" i="2" s="1"/>
  <c r="X749" i="2" s="1"/>
  <c r="R750" i="2" a="1"/>
  <c r="Q750" i="2" a="1"/>
  <c r="S750" i="2" s="1"/>
  <c r="W750" i="2" s="1"/>
  <c r="X750" i="2" s="1"/>
  <c r="R752" i="2" a="1"/>
  <c r="Q752" i="2" a="1"/>
  <c r="S752" i="2" s="1"/>
  <c r="W752" i="2" s="1"/>
  <c r="X752" i="2" s="1"/>
  <c r="R751" i="2" a="1"/>
  <c r="Q751" i="2" a="1"/>
  <c r="S751" i="2" s="1"/>
  <c r="W751" i="2" s="1"/>
  <c r="X751" i="2" s="1"/>
  <c r="R754" i="2" a="1"/>
  <c r="Q754" i="2" a="1"/>
  <c r="S754" i="2" s="1"/>
  <c r="W754" i="2" s="1"/>
  <c r="X754" i="2" s="1"/>
  <c r="R753" i="2" a="1"/>
  <c r="Q753" i="2" a="1"/>
  <c r="S753" i="2" s="1"/>
  <c r="W753" i="2" s="1"/>
  <c r="X753" i="2" s="1"/>
  <c r="R755" i="2" a="1"/>
  <c r="Q755" i="2" a="1"/>
  <c r="S755" i="2" s="1"/>
  <c r="W755" i="2" s="1"/>
  <c r="X755" i="2" s="1"/>
  <c r="R756" i="2" a="1"/>
  <c r="Q756" i="2" a="1"/>
  <c r="S756" i="2" s="1"/>
  <c r="W756" i="2" s="1"/>
  <c r="X756" i="2" s="1"/>
  <c r="R757" i="2" a="1"/>
  <c r="Q757" i="2" a="1"/>
  <c r="S757" i="2" s="1"/>
  <c r="W757" i="2" s="1"/>
  <c r="X757" i="2" s="1"/>
  <c r="R758" i="2" a="1"/>
  <c r="Q758" i="2" a="1"/>
  <c r="S758" i="2" s="1"/>
  <c r="W758" i="2" s="1"/>
  <c r="X758" i="2" s="1"/>
  <c r="R746" i="2" a="1"/>
  <c r="Q746" i="2" a="1"/>
  <c r="S746" i="2" s="1"/>
  <c r="W746" i="2" s="1"/>
  <c r="X746" i="2" s="1"/>
  <c r="R737" i="2" a="1"/>
  <c r="Q737" i="2" a="1"/>
  <c r="S737" i="2" s="1"/>
  <c r="W737" i="2" s="1"/>
  <c r="X737" i="2" s="1"/>
  <c r="R736" i="2" a="1"/>
  <c r="Q736" i="2" a="1"/>
  <c r="S736" i="2" s="1"/>
  <c r="W736" i="2" s="1"/>
  <c r="X736" i="2" s="1"/>
  <c r="R738" i="2" a="1"/>
  <c r="Q738" i="2" a="1"/>
  <c r="S738" i="2" s="1"/>
  <c r="W738" i="2" s="1"/>
  <c r="X738" i="2" s="1"/>
  <c r="R739" i="2" a="1"/>
  <c r="Q739" i="2" a="1"/>
  <c r="S739" i="2" s="1"/>
  <c r="W739" i="2" s="1"/>
  <c r="X739" i="2" s="1"/>
  <c r="Q741" i="2" a="1"/>
  <c r="S741" i="2" s="1"/>
  <c r="W741" i="2" s="1"/>
  <c r="X741" i="2" s="1"/>
  <c r="R740" i="2" a="1"/>
  <c r="Q740" i="2" a="1"/>
  <c r="S740" i="2" s="1"/>
  <c r="W740" i="2" s="1"/>
  <c r="X740" i="2" s="1"/>
  <c r="R741" i="2" a="1"/>
  <c r="R742" i="2" a="1"/>
  <c r="Q742" i="2" a="1"/>
  <c r="S742" i="2" s="1"/>
  <c r="W742" i="2" s="1"/>
  <c r="X742" i="2" s="1"/>
  <c r="R743" i="2" a="1"/>
  <c r="Q743" i="2" a="1"/>
  <c r="S743" i="2" s="1"/>
  <c r="W743" i="2" s="1"/>
  <c r="X743" i="2" s="1"/>
  <c r="Q745" i="2" a="1"/>
  <c r="S745" i="2" s="1"/>
  <c r="W745" i="2" s="1"/>
  <c r="X745" i="2" s="1"/>
  <c r="R744" i="2" a="1"/>
  <c r="Q744" i="2" a="1"/>
  <c r="S744" i="2" s="1"/>
  <c r="W744" i="2" s="1"/>
  <c r="X744" i="2" s="1"/>
  <c r="R745" i="2" a="1"/>
  <c r="R728" i="2" a="1"/>
  <c r="Q728" i="2" a="1"/>
  <c r="S728" i="2" s="1"/>
  <c r="W728" i="2" s="1"/>
  <c r="X728" i="2" s="1"/>
  <c r="R730" i="2" a="1"/>
  <c r="Q730" i="2" a="1"/>
  <c r="S730" i="2" s="1"/>
  <c r="W730" i="2" s="1"/>
  <c r="X730" i="2" s="1"/>
  <c r="R729" i="2" a="1"/>
  <c r="Q729" i="2" a="1"/>
  <c r="S729" i="2" s="1"/>
  <c r="W729" i="2" s="1"/>
  <c r="X729" i="2" s="1"/>
  <c r="R731" i="2" a="1"/>
  <c r="Q731" i="2" a="1"/>
  <c r="S731" i="2" s="1"/>
  <c r="W731" i="2" s="1"/>
  <c r="X731" i="2" s="1"/>
  <c r="R732" i="2" a="1"/>
  <c r="Q732" i="2" a="1"/>
  <c r="S732" i="2" s="1"/>
  <c r="W732" i="2" s="1"/>
  <c r="X732" i="2" s="1"/>
  <c r="R733" i="2" a="1"/>
  <c r="Q733" i="2" a="1"/>
  <c r="S733" i="2" s="1"/>
  <c r="W733" i="2" s="1"/>
  <c r="X733" i="2" s="1"/>
  <c r="R735" i="2" a="1"/>
  <c r="R734" i="2" a="1"/>
  <c r="Q734" i="2" a="1"/>
  <c r="S734" i="2" s="1"/>
  <c r="W734" i="2" s="1"/>
  <c r="X734" i="2" s="1"/>
  <c r="Q735" i="2" a="1"/>
  <c r="S735" i="2" s="1"/>
  <c r="W735" i="2" s="1"/>
  <c r="X735" i="2" s="1"/>
  <c r="R715" i="2" a="1"/>
  <c r="Q715" i="2" a="1"/>
  <c r="S715" i="2" s="1"/>
  <c r="W715" i="2" s="1"/>
  <c r="X715" i="2" s="1"/>
  <c r="R716" i="2" a="1"/>
  <c r="Q716" i="2" a="1"/>
  <c r="S716" i="2" s="1"/>
  <c r="W716" i="2" s="1"/>
  <c r="X716" i="2" s="1"/>
  <c r="R718" i="2" a="1"/>
  <c r="Q718" i="2" a="1"/>
  <c r="S718" i="2" s="1"/>
  <c r="W718" i="2" s="1"/>
  <c r="X718" i="2" s="1"/>
  <c r="R717" i="2" a="1"/>
  <c r="Q717" i="2" a="1"/>
  <c r="S717" i="2" s="1"/>
  <c r="W717" i="2" s="1"/>
  <c r="X717" i="2" s="1"/>
  <c r="R719" i="2" a="1"/>
  <c r="Q719" i="2" a="1"/>
  <c r="S719" i="2" s="1"/>
  <c r="W719" i="2" s="1"/>
  <c r="X719" i="2" s="1"/>
  <c r="R721" i="2" a="1"/>
  <c r="Q721" i="2" a="1"/>
  <c r="S721" i="2" s="1"/>
  <c r="W721" i="2" s="1"/>
  <c r="X721" i="2" s="1"/>
  <c r="R720" i="2" a="1"/>
  <c r="Q720" i="2" a="1"/>
  <c r="S720" i="2" s="1"/>
  <c r="W720" i="2" s="1"/>
  <c r="X720" i="2" s="1"/>
  <c r="R722" i="2" a="1"/>
  <c r="Q722" i="2" a="1"/>
  <c r="S722" i="2" s="1"/>
  <c r="W722" i="2" s="1"/>
  <c r="X722" i="2" s="1"/>
  <c r="R724" i="2" a="1"/>
  <c r="Q724" i="2" a="1"/>
  <c r="S724" i="2" s="1"/>
  <c r="W724" i="2" s="1"/>
  <c r="X724" i="2" s="1"/>
  <c r="R723" i="2" a="1"/>
  <c r="Q723" i="2" a="1"/>
  <c r="S723" i="2" s="1"/>
  <c r="W723" i="2" s="1"/>
  <c r="X723" i="2" s="1"/>
  <c r="R725" i="2" a="1"/>
  <c r="Q725" i="2" a="1"/>
  <c r="S725" i="2" s="1"/>
  <c r="W725" i="2" s="1"/>
  <c r="X725" i="2" s="1"/>
  <c r="R727" i="2" a="1"/>
  <c r="Q727" i="2" a="1"/>
  <c r="S727" i="2" s="1"/>
  <c r="W727" i="2" s="1"/>
  <c r="X727" i="2" s="1"/>
  <c r="R726" i="2" a="1"/>
  <c r="Q726" i="2" a="1"/>
  <c r="S726" i="2" s="1"/>
  <c r="W726" i="2" s="1"/>
  <c r="X726" i="2" s="1"/>
  <c r="R703" i="2" a="1"/>
  <c r="Q703" i="2" a="1"/>
  <c r="S703" i="2" s="1"/>
  <c r="W703" i="2" s="1"/>
  <c r="X703" i="2" s="1"/>
  <c r="R702" i="2" a="1"/>
  <c r="Q702" i="2" a="1"/>
  <c r="S702" i="2" s="1"/>
  <c r="W702" i="2" s="1"/>
  <c r="X702" i="2" s="1"/>
  <c r="R704" i="2" a="1"/>
  <c r="Q704" i="2" a="1"/>
  <c r="S704" i="2" s="1"/>
  <c r="W704" i="2" s="1"/>
  <c r="X704" i="2" s="1"/>
  <c r="R705" i="2" a="1"/>
  <c r="Q705" i="2" a="1"/>
  <c r="S705" i="2" s="1"/>
  <c r="W705" i="2" s="1"/>
  <c r="X705" i="2" s="1"/>
  <c r="R706" i="2" a="1"/>
  <c r="Q706" i="2" a="1"/>
  <c r="S706" i="2" s="1"/>
  <c r="W706" i="2" s="1"/>
  <c r="X706" i="2" s="1"/>
  <c r="R707" i="2" a="1"/>
  <c r="Q707" i="2" a="1"/>
  <c r="S707" i="2" s="1"/>
  <c r="W707" i="2" s="1"/>
  <c r="X707" i="2" s="1"/>
  <c r="R708" i="2" a="1"/>
  <c r="Q708" i="2" a="1"/>
  <c r="S708" i="2" s="1"/>
  <c r="W708" i="2" s="1"/>
  <c r="X708" i="2" s="1"/>
  <c r="R709" i="2" a="1"/>
  <c r="Q709" i="2" a="1"/>
  <c r="S709" i="2" s="1"/>
  <c r="W709" i="2" s="1"/>
  <c r="X709" i="2" s="1"/>
  <c r="R710" i="2" a="1"/>
  <c r="Q710" i="2" a="1"/>
  <c r="S710" i="2" s="1"/>
  <c r="W710" i="2" s="1"/>
  <c r="X710" i="2" s="1"/>
  <c r="R711" i="2" a="1"/>
  <c r="Q711" i="2" a="1"/>
  <c r="S711" i="2" s="1"/>
  <c r="W711" i="2" s="1"/>
  <c r="X711" i="2" s="1"/>
  <c r="R712" i="2" a="1"/>
  <c r="Q712" i="2" a="1"/>
  <c r="S712" i="2" s="1"/>
  <c r="W712" i="2" s="1"/>
  <c r="X712" i="2" s="1"/>
  <c r="R713" i="2" a="1"/>
  <c r="Q713" i="2" a="1"/>
  <c r="S713" i="2" s="1"/>
  <c r="W713" i="2" s="1"/>
  <c r="X713" i="2" s="1"/>
  <c r="R714" i="2" a="1"/>
  <c r="Q714" i="2" a="1"/>
  <c r="S714" i="2" s="1"/>
  <c r="W714" i="2" s="1"/>
  <c r="X714" i="2" s="1"/>
  <c r="R691" i="2" a="1"/>
  <c r="Q691" i="2" a="1"/>
  <c r="S691" i="2" s="1"/>
  <c r="W691" i="2" s="1"/>
  <c r="X691" i="2" s="1"/>
  <c r="R692" i="2" a="1"/>
  <c r="Q692" i="2" a="1"/>
  <c r="S692" i="2" s="1"/>
  <c r="W692" i="2" s="1"/>
  <c r="X692" i="2" s="1"/>
  <c r="R693" i="2" a="1"/>
  <c r="Q693" i="2" a="1"/>
  <c r="S693" i="2" s="1"/>
  <c r="W693" i="2" s="1"/>
  <c r="X693" i="2" s="1"/>
  <c r="R694" i="2" a="1"/>
  <c r="Q694" i="2" a="1"/>
  <c r="S694" i="2" s="1"/>
  <c r="W694" i="2" s="1"/>
  <c r="X694" i="2" s="1"/>
  <c r="R695" i="2" a="1"/>
  <c r="Q695" i="2" a="1"/>
  <c r="S695" i="2" s="1"/>
  <c r="W695" i="2" s="1"/>
  <c r="X695" i="2" s="1"/>
  <c r="R697" i="2" a="1"/>
  <c r="Q697" i="2" a="1"/>
  <c r="S697" i="2" s="1"/>
  <c r="W697" i="2" s="1"/>
  <c r="X697" i="2" s="1"/>
  <c r="Q696" i="2" a="1"/>
  <c r="S696" i="2" s="1"/>
  <c r="W696" i="2" s="1"/>
  <c r="X696" i="2" s="1"/>
  <c r="R696" i="2" a="1"/>
  <c r="R699" i="2" a="1"/>
  <c r="Q699" i="2" a="1"/>
  <c r="S699" i="2" s="1"/>
  <c r="W699" i="2" s="1"/>
  <c r="X699" i="2" s="1"/>
  <c r="R698" i="2" a="1"/>
  <c r="Q698" i="2" a="1"/>
  <c r="S698" i="2" s="1"/>
  <c r="W698" i="2" s="1"/>
  <c r="X698" i="2" s="1"/>
  <c r="R700" i="2" a="1"/>
  <c r="Q700" i="2" a="1"/>
  <c r="S700" i="2" s="1"/>
  <c r="W700" i="2" s="1"/>
  <c r="X700" i="2" s="1"/>
  <c r="R701" i="2" a="1"/>
  <c r="Q701" i="2" a="1"/>
  <c r="S701" i="2" s="1"/>
  <c r="W701" i="2" s="1"/>
  <c r="X701" i="2" s="1"/>
  <c r="R680" i="2" a="1"/>
  <c r="Q680" i="2" a="1"/>
  <c r="S680" i="2" s="1"/>
  <c r="W680" i="2" s="1"/>
  <c r="X680" i="2" s="1"/>
  <c r="R681" i="2" a="1"/>
  <c r="Q681" i="2" a="1"/>
  <c r="S681" i="2" s="1"/>
  <c r="W681" i="2" s="1"/>
  <c r="X681" i="2" s="1"/>
  <c r="R683" i="2" a="1"/>
  <c r="Q683" i="2" a="1"/>
  <c r="S683" i="2" s="1"/>
  <c r="W683" i="2" s="1"/>
  <c r="X683" i="2" s="1"/>
  <c r="R682" i="2" a="1"/>
  <c r="Q682" i="2" a="1"/>
  <c r="S682" i="2" s="1"/>
  <c r="W682" i="2" s="1"/>
  <c r="X682" i="2" s="1"/>
  <c r="R690" i="2" a="1"/>
  <c r="R689" i="2" a="1"/>
  <c r="R685" i="2" a="1"/>
  <c r="Q685" i="2" a="1"/>
  <c r="S685" i="2" s="1"/>
  <c r="W685" i="2" s="1"/>
  <c r="X685" i="2" s="1"/>
  <c r="R684" i="2" a="1"/>
  <c r="Q684" i="2" a="1"/>
  <c r="S684" i="2" s="1"/>
  <c r="W684" i="2" s="1"/>
  <c r="X684" i="2" s="1"/>
  <c r="Q689" i="2" a="1"/>
  <c r="S689" i="2" s="1"/>
  <c r="W689" i="2" s="1"/>
  <c r="X689" i="2" s="1"/>
  <c r="Q688" i="2" a="1"/>
  <c r="S688" i="2" s="1"/>
  <c r="W688" i="2" s="1"/>
  <c r="X688" i="2" s="1"/>
  <c r="R687" i="2" a="1"/>
  <c r="R688" i="2" a="1"/>
  <c r="Q687" i="2" a="1"/>
  <c r="S687" i="2" s="1"/>
  <c r="W687" i="2" s="1"/>
  <c r="X687" i="2" s="1"/>
  <c r="R686" i="2" a="1"/>
  <c r="Q686" i="2" a="1"/>
  <c r="S686" i="2" s="1"/>
  <c r="W686" i="2" s="1"/>
  <c r="X686" i="2" s="1"/>
  <c r="Q690" i="2" a="1"/>
  <c r="S690" i="2" s="1"/>
  <c r="W690" i="2" s="1"/>
  <c r="X690" i="2" s="1"/>
  <c r="R670" i="2" a="1"/>
  <c r="Q670" i="2" a="1"/>
  <c r="S670" i="2" s="1"/>
  <c r="W670" i="2" s="1"/>
  <c r="X670" i="2" s="1"/>
  <c r="R671" i="2" a="1"/>
  <c r="Q671" i="2" a="1"/>
  <c r="S671" i="2" s="1"/>
  <c r="W671" i="2" s="1"/>
  <c r="X671" i="2" s="1"/>
  <c r="R672" i="2" a="1"/>
  <c r="Q672" i="2" a="1"/>
  <c r="S672" i="2" s="1"/>
  <c r="W672" i="2" s="1"/>
  <c r="X672" i="2" s="1"/>
  <c r="R673" i="2" a="1"/>
  <c r="Q673" i="2" a="1"/>
  <c r="S673" i="2" s="1"/>
  <c r="W673" i="2" s="1"/>
  <c r="X673" i="2" s="1"/>
  <c r="R674" i="2" a="1"/>
  <c r="Q674" i="2" a="1"/>
  <c r="S674" i="2" s="1"/>
  <c r="W674" i="2" s="1"/>
  <c r="X674" i="2" s="1"/>
  <c r="R675" i="2" a="1"/>
  <c r="Q675" i="2" a="1"/>
  <c r="S675" i="2" s="1"/>
  <c r="W675" i="2" s="1"/>
  <c r="X675" i="2" s="1"/>
  <c r="R676" i="2" a="1"/>
  <c r="Q676" i="2" a="1"/>
  <c r="S676" i="2" s="1"/>
  <c r="W676" i="2" s="1"/>
  <c r="X676" i="2" s="1"/>
  <c r="R677" i="2" a="1"/>
  <c r="Q677" i="2" a="1"/>
  <c r="S677" i="2" s="1"/>
  <c r="W677" i="2" s="1"/>
  <c r="X677" i="2" s="1"/>
  <c r="R678" i="2" a="1"/>
  <c r="Q678" i="2" a="1"/>
  <c r="S678" i="2" s="1"/>
  <c r="W678" i="2" s="1"/>
  <c r="X678" i="2" s="1"/>
  <c r="Q679" i="2" a="1"/>
  <c r="S679" i="2" s="1"/>
  <c r="W679" i="2" s="1"/>
  <c r="X679" i="2" s="1"/>
  <c r="R679" i="2" a="1"/>
  <c r="Q502" i="2" a="1"/>
  <c r="S502" i="2" s="1"/>
  <c r="W502" i="2" s="1"/>
  <c r="X502" i="2" s="1"/>
  <c r="R502" i="2" a="1"/>
  <c r="R669" i="2" a="1"/>
  <c r="Q669" i="2" a="1"/>
  <c r="S669" i="2" s="1"/>
  <c r="W669" i="2" s="1"/>
  <c r="X669" i="2" s="1"/>
  <c r="R664" i="2" a="1"/>
  <c r="Q664" i="2" a="1"/>
  <c r="S664" i="2" s="1"/>
  <c r="W664" i="2" s="1"/>
  <c r="X664" i="2" s="1"/>
  <c r="R665" i="2" a="1"/>
  <c r="Q665" i="2" a="1"/>
  <c r="S665" i="2" s="1"/>
  <c r="W665" i="2" s="1"/>
  <c r="X665" i="2" s="1"/>
  <c r="R666" i="2" a="1"/>
  <c r="Q666" i="2" a="1"/>
  <c r="S666" i="2" s="1"/>
  <c r="W666" i="2" s="1"/>
  <c r="X666" i="2" s="1"/>
  <c r="R667" i="2" a="1"/>
  <c r="Q667" i="2" a="1"/>
  <c r="S667" i="2" s="1"/>
  <c r="W667" i="2" s="1"/>
  <c r="X667" i="2" s="1"/>
  <c r="R658" i="2" a="1"/>
  <c r="Q658" i="2" a="1"/>
  <c r="S658" i="2" s="1"/>
  <c r="W658" i="2" s="1"/>
  <c r="X658" i="2" s="1"/>
  <c r="R659" i="2" a="1"/>
  <c r="Q659" i="2" a="1"/>
  <c r="S659" i="2" s="1"/>
  <c r="W659" i="2" s="1"/>
  <c r="X659" i="2" s="1"/>
  <c r="R660" i="2" a="1"/>
  <c r="Q660" i="2" a="1"/>
  <c r="S660" i="2" s="1"/>
  <c r="W660" i="2" s="1"/>
  <c r="X660" i="2" s="1"/>
  <c r="R661" i="2" a="1"/>
  <c r="Q661" i="2" a="1"/>
  <c r="S661" i="2" s="1"/>
  <c r="W661" i="2" s="1"/>
  <c r="X661" i="2" s="1"/>
  <c r="Q631" i="2" a="1"/>
  <c r="S631" i="2" s="1"/>
  <c r="W631" i="2" s="1"/>
  <c r="X631" i="2" s="1"/>
  <c r="R631" i="2" a="1"/>
  <c r="R632" i="2" a="1"/>
  <c r="Q632" i="2" a="1"/>
  <c r="S632" i="2" s="1"/>
  <c r="W632" i="2" s="1"/>
  <c r="X632" i="2" s="1"/>
  <c r="R627" i="2" a="1"/>
  <c r="Q627" i="2" a="1"/>
  <c r="S627" i="2" s="1"/>
  <c r="W627" i="2" s="1"/>
  <c r="X627" i="2" s="1"/>
  <c r="R625" i="2" a="1"/>
  <c r="Q625" i="2" a="1"/>
  <c r="S625" i="2" s="1"/>
  <c r="W625" i="2" s="1"/>
  <c r="X625" i="2" s="1"/>
  <c r="R623" i="2" a="1"/>
  <c r="Q623" i="2" a="1"/>
  <c r="S623" i="2" s="1"/>
  <c r="W623" i="2" s="1"/>
  <c r="X623" i="2" s="1"/>
  <c r="R619" i="2" a="1"/>
  <c r="Q619" i="2" a="1"/>
  <c r="S619" i="2" s="1"/>
  <c r="W619" i="2" s="1"/>
  <c r="X619" i="2" s="1"/>
  <c r="R620" i="2" a="1"/>
  <c r="Q620" i="2" a="1"/>
  <c r="S620" i="2" s="1"/>
  <c r="W620" i="2" s="1"/>
  <c r="X620" i="2" s="1"/>
  <c r="R621" i="2" a="1"/>
  <c r="Q621" i="2" a="1"/>
  <c r="S621" i="2" s="1"/>
  <c r="W621" i="2" s="1"/>
  <c r="X621" i="2" s="1"/>
  <c r="R622" i="2" a="1"/>
  <c r="Q622" i="2" a="1"/>
  <c r="S622" i="2" s="1"/>
  <c r="W622" i="2" s="1"/>
  <c r="X622" i="2" s="1"/>
  <c r="R616" i="2" a="1"/>
  <c r="Q616" i="2" a="1"/>
  <c r="S616" i="2" s="1"/>
  <c r="W616" i="2" s="1"/>
  <c r="X616" i="2" s="1"/>
  <c r="R617" i="2" a="1"/>
  <c r="Q617" i="2" a="1"/>
  <c r="S617" i="2" s="1"/>
  <c r="W617" i="2" s="1"/>
  <c r="X617" i="2" s="1"/>
  <c r="R613" i="2" a="1"/>
  <c r="Q613" i="2" a="1"/>
  <c r="S613" i="2" s="1"/>
  <c r="W613" i="2" s="1"/>
  <c r="X613" i="2" s="1"/>
  <c r="R611" i="2" a="1"/>
  <c r="Q611" i="2" a="1"/>
  <c r="S611" i="2" s="1"/>
  <c r="W611" i="2" s="1"/>
  <c r="X611" i="2" s="1"/>
  <c r="Q612" i="2" a="1"/>
  <c r="S612" i="2" s="1"/>
  <c r="W612" i="2" s="1"/>
  <c r="X612" i="2" s="1"/>
  <c r="R612" i="2" a="1"/>
  <c r="R603" i="2" a="1"/>
  <c r="Q603" i="2" a="1"/>
  <c r="S603" i="2" s="1"/>
  <c r="W603" i="2" s="1"/>
  <c r="X603" i="2" s="1"/>
  <c r="R602" i="2" a="1"/>
  <c r="Q602" i="2" a="1"/>
  <c r="S602" i="2" s="1"/>
  <c r="W602" i="2" s="1"/>
  <c r="X602" i="2" s="1"/>
  <c r="R604" i="2" a="1"/>
  <c r="Q604" i="2" a="1"/>
  <c r="S604" i="2" s="1"/>
  <c r="W604" i="2" s="1"/>
  <c r="X604" i="2" s="1"/>
  <c r="R605" i="2" a="1"/>
  <c r="Q605" i="2" a="1"/>
  <c r="S605" i="2" s="1"/>
  <c r="W605" i="2" s="1"/>
  <c r="X605" i="2" s="1"/>
  <c r="R606" i="2" a="1"/>
  <c r="Q606" i="2" a="1"/>
  <c r="S606" i="2" s="1"/>
  <c r="W606" i="2" s="1"/>
  <c r="X606" i="2" s="1"/>
  <c r="R607" i="2" a="1"/>
  <c r="Q607" i="2" a="1"/>
  <c r="S607" i="2" s="1"/>
  <c r="W607" i="2" s="1"/>
  <c r="X607" i="2" s="1"/>
  <c r="R608" i="2" a="1"/>
  <c r="Q608" i="2" a="1"/>
  <c r="S608" i="2" s="1"/>
  <c r="W608" i="2" s="1"/>
  <c r="X608" i="2" s="1"/>
  <c r="R609" i="2" a="1"/>
  <c r="Q609" i="2" a="1"/>
  <c r="S609" i="2" s="1"/>
  <c r="W609" i="2" s="1"/>
  <c r="X609" i="2" s="1"/>
  <c r="Q610" i="2" a="1"/>
  <c r="S610" i="2" s="1"/>
  <c r="W610" i="2" s="1"/>
  <c r="X610" i="2" s="1"/>
  <c r="R610" i="2" a="1"/>
  <c r="W1141" i="2"/>
  <c r="X1141" i="2" s="1"/>
  <c r="W2421" i="2"/>
  <c r="X2421" i="2" s="1"/>
  <c r="W2323" i="2"/>
  <c r="X2323" i="2" s="1"/>
  <c r="W2419" i="2"/>
  <c r="X2419" i="2" s="1"/>
  <c r="W2358" i="2"/>
  <c r="X2358" i="2" s="1"/>
  <c r="R654" i="2" a="1"/>
  <c r="Q654" i="2" a="1"/>
  <c r="S654" i="2" s="1"/>
  <c r="R655" i="2" a="1"/>
  <c r="Q655" i="2" a="1"/>
  <c r="S655" i="2" s="1"/>
  <c r="R650" i="2" a="1"/>
  <c r="Q650" i="2" a="1"/>
  <c r="S650" i="2" s="1"/>
  <c r="R651" i="2" a="1"/>
  <c r="Q651" i="2" a="1"/>
  <c r="S651" i="2" s="1"/>
  <c r="R652" i="2" a="1"/>
  <c r="Q652" i="2" a="1"/>
  <c r="S652" i="2" s="1"/>
  <c r="Q653" i="2" a="1"/>
  <c r="S653" i="2" s="1"/>
  <c r="R641" i="2" a="1"/>
  <c r="Q641" i="2" a="1"/>
  <c r="S641" i="2" s="1"/>
  <c r="R656" i="2" a="1"/>
  <c r="Q656" i="2" a="1"/>
  <c r="S656" i="2" s="1"/>
  <c r="R642" i="2" a="1"/>
  <c r="Q642" i="2" a="1"/>
  <c r="S642" i="2" s="1"/>
  <c r="R645" i="2" a="1"/>
  <c r="Q645" i="2" a="1"/>
  <c r="S645" i="2" s="1"/>
  <c r="R646" i="2" a="1"/>
  <c r="Q646" i="2" a="1"/>
  <c r="S646" i="2" s="1"/>
  <c r="R648" i="2" a="1"/>
  <c r="Q648" i="2" a="1"/>
  <c r="S648" i="2" s="1"/>
  <c r="R639" i="2" a="1"/>
  <c r="Q639" i="2" a="1"/>
  <c r="S639" i="2" s="1"/>
  <c r="R635" i="2" a="1"/>
  <c r="Q635" i="2" a="1"/>
  <c r="S635" i="2" s="1"/>
  <c r="R536" i="2" a="1"/>
  <c r="Q536" i="2" a="1"/>
  <c r="S536" i="2" s="1"/>
  <c r="R537" i="2" a="1"/>
  <c r="Q537" i="2" a="1"/>
  <c r="S537" i="2" s="1"/>
  <c r="R538" i="2" a="1"/>
  <c r="Q538" i="2" a="1"/>
  <c r="S538" i="2" s="1"/>
  <c r="R539" i="2" a="1"/>
  <c r="Q539" i="2" a="1"/>
  <c r="S539" i="2" s="1"/>
  <c r="R540" i="2" a="1"/>
  <c r="Q540" i="2" a="1"/>
  <c r="S540" i="2" s="1"/>
  <c r="R541" i="2" a="1"/>
  <c r="Q541" i="2" a="1"/>
  <c r="S541" i="2" s="1"/>
  <c r="R542" i="2" a="1"/>
  <c r="Q542" i="2" a="1"/>
  <c r="S542" i="2" s="1"/>
  <c r="R543" i="2" a="1"/>
  <c r="Q543" i="2" a="1"/>
  <c r="S543" i="2" s="1"/>
  <c r="R544" i="2" a="1"/>
  <c r="Q544" i="2" a="1"/>
  <c r="S544" i="2" s="1"/>
  <c r="Q545" i="2" a="1"/>
  <c r="S545" i="2" s="1"/>
  <c r="R545" i="2" a="1"/>
  <c r="R546" i="2" a="1"/>
  <c r="Q546" i="2" a="1"/>
  <c r="S546" i="2" s="1"/>
  <c r="R594" i="2" a="1"/>
  <c r="Q594" i="2" a="1"/>
  <c r="S594" i="2" s="1"/>
  <c r="R595" i="2" a="1"/>
  <c r="Q595" i="2" a="1"/>
  <c r="S595" i="2" s="1"/>
  <c r="R596" i="2" a="1"/>
  <c r="Q596" i="2" a="1"/>
  <c r="S596" i="2" s="1"/>
  <c r="Q597" i="2" a="1"/>
  <c r="S597" i="2" s="1"/>
  <c r="R597" i="2" a="1"/>
  <c r="R598" i="2" a="1"/>
  <c r="Q598" i="2" a="1"/>
  <c r="S598" i="2" s="1"/>
  <c r="R599" i="2" a="1"/>
  <c r="Q599" i="2" a="1"/>
  <c r="S599" i="2" s="1"/>
  <c r="R600" i="2" a="1"/>
  <c r="Q600" i="2" a="1"/>
  <c r="S600" i="2" s="1"/>
  <c r="R601" i="2" a="1"/>
  <c r="Q601" i="2" a="1"/>
  <c r="S601" i="2" s="1"/>
  <c r="R592" i="2" a="1"/>
  <c r="Q592" i="2" a="1"/>
  <c r="S592" i="2" s="1"/>
  <c r="R583" i="2" a="1"/>
  <c r="Q583" i="2" a="1"/>
  <c r="S583" i="2" s="1"/>
  <c r="R584" i="2" a="1"/>
  <c r="Q584" i="2" a="1"/>
  <c r="S584" i="2" s="1"/>
  <c r="R585" i="2" a="1"/>
  <c r="Q585" i="2" a="1"/>
  <c r="S585" i="2" s="1"/>
  <c r="R586" i="2" a="1"/>
  <c r="Q586" i="2" a="1"/>
  <c r="S586" i="2" s="1"/>
  <c r="R587" i="2" a="1"/>
  <c r="Q587" i="2" a="1"/>
  <c r="S587" i="2" s="1"/>
  <c r="R588" i="2" a="1"/>
  <c r="Q588" i="2" a="1"/>
  <c r="S588" i="2" s="1"/>
  <c r="R589" i="2" a="1"/>
  <c r="Q589" i="2" a="1"/>
  <c r="S589" i="2" s="1"/>
  <c r="R590" i="2" a="1"/>
  <c r="Q590" i="2" a="1"/>
  <c r="S590" i="2" s="1"/>
  <c r="R582" i="2" a="1"/>
  <c r="Q582" i="2" a="1"/>
  <c r="S582" i="2" s="1"/>
  <c r="R591" i="2" a="1"/>
  <c r="Q591" i="2" a="1"/>
  <c r="S591" i="2" s="1"/>
  <c r="R156" i="2" a="1"/>
  <c r="Q156" i="2" a="1"/>
  <c r="S156" i="2" s="1"/>
  <c r="R138" i="2" a="1"/>
  <c r="Q138" i="2" a="1"/>
  <c r="S138" i="2" s="1"/>
  <c r="Q230" i="2" a="1"/>
  <c r="S230" i="2" s="1"/>
  <c r="R230" i="2" a="1"/>
  <c r="R231" i="2" a="1"/>
  <c r="Q231" i="2" a="1"/>
  <c r="S231" i="2" s="1"/>
  <c r="R236" i="2" a="1"/>
  <c r="Q234" i="2" a="1"/>
  <c r="S234" i="2" s="1"/>
  <c r="R232" i="2" a="1"/>
  <c r="Q232" i="2" a="1"/>
  <c r="S232" i="2" s="1"/>
  <c r="Q236" i="2" a="1"/>
  <c r="S236" i="2" s="1"/>
  <c r="Q235" i="2" a="1"/>
  <c r="S235" i="2" s="1"/>
  <c r="R234" i="2" a="1"/>
  <c r="R235" i="2" a="1"/>
  <c r="R237" i="2" a="1"/>
  <c r="Q238" i="2" a="1"/>
  <c r="S238" i="2" s="1"/>
  <c r="Q237" i="2" a="1"/>
  <c r="S237" i="2" s="1"/>
  <c r="R238" i="2" a="1"/>
  <c r="R239" i="2" a="1"/>
  <c r="Q239" i="2" a="1"/>
  <c r="S239" i="2" s="1"/>
  <c r="Q241" i="2" a="1"/>
  <c r="S241" i="2" s="1"/>
  <c r="R241" i="2" a="1"/>
  <c r="R240" i="2" a="1"/>
  <c r="Q240" i="2" a="1"/>
  <c r="S240" i="2" s="1"/>
  <c r="R242" i="2" a="1"/>
  <c r="Q242" i="2" a="1"/>
  <c r="S242" i="2" s="1"/>
  <c r="Q244" i="2" a="1"/>
  <c r="S244" i="2" s="1"/>
  <c r="R243" i="2" a="1"/>
  <c r="Q243" i="2" a="1"/>
  <c r="S243" i="2" s="1"/>
  <c r="R244" i="2" a="1"/>
  <c r="R245" i="2" a="1"/>
  <c r="Q245" i="2" a="1"/>
  <c r="S245" i="2" s="1"/>
  <c r="Q247" i="2" a="1"/>
  <c r="S247" i="2" s="1"/>
  <c r="Q246" i="2" a="1"/>
  <c r="S246" i="2" s="1"/>
  <c r="R247" i="2" a="1"/>
  <c r="R246" i="2" a="1"/>
  <c r="R248" i="2" a="1"/>
  <c r="Q248" i="2" a="1"/>
  <c r="S248" i="2" s="1"/>
  <c r="R249" i="2" a="1"/>
  <c r="Q249" i="2" a="1"/>
  <c r="S249" i="2" s="1"/>
  <c r="R250" i="2" a="1"/>
  <c r="Q250" i="2" a="1"/>
  <c r="S250" i="2" s="1"/>
  <c r="R251" i="2" a="1"/>
  <c r="Q251" i="2" a="1"/>
  <c r="S251" i="2" s="1"/>
  <c r="R229" i="2" a="1"/>
  <c r="Q229" i="2" a="1"/>
  <c r="S229" i="2" s="1"/>
  <c r="R192" i="2" a="1"/>
  <c r="Q192" i="2" a="1"/>
  <c r="S192" i="2" s="1"/>
  <c r="R193" i="2" a="1"/>
  <c r="Q193" i="2" a="1"/>
  <c r="S193" i="2" s="1"/>
  <c r="R194" i="2" a="1"/>
  <c r="Q194" i="2" a="1"/>
  <c r="S194" i="2" s="1"/>
  <c r="R196" i="2" a="1"/>
  <c r="Q196" i="2" a="1"/>
  <c r="S196" i="2" s="1"/>
  <c r="R172" i="2" a="1"/>
  <c r="Q172" i="2" a="1"/>
  <c r="S172" i="2" s="1"/>
  <c r="Q174" i="2" a="1"/>
  <c r="S174" i="2" s="1"/>
  <c r="R173" i="2" a="1"/>
  <c r="Q173" i="2" a="1"/>
  <c r="S173" i="2" s="1"/>
  <c r="R174" i="2" a="1"/>
  <c r="R175" i="2" a="1"/>
  <c r="Q175" i="2" a="1"/>
  <c r="S175" i="2" s="1"/>
  <c r="R177" i="2" a="1"/>
  <c r="Q177" i="2" a="1"/>
  <c r="S177" i="2" s="1"/>
  <c r="R178" i="2" a="1"/>
  <c r="Q178" i="2" a="1"/>
  <c r="S178" i="2" s="1"/>
  <c r="R181" i="2" a="1"/>
  <c r="Q181" i="2" a="1"/>
  <c r="S181" i="2" s="1"/>
  <c r="R180" i="2" a="1"/>
  <c r="Q180" i="2" a="1"/>
  <c r="S180" i="2" s="1"/>
  <c r="R182" i="2" a="1"/>
  <c r="Q182" i="2" a="1"/>
  <c r="S182" i="2" s="1"/>
  <c r="R183" i="2" a="1"/>
  <c r="Q183" i="2" a="1"/>
  <c r="S183" i="2" s="1"/>
  <c r="R184" i="2" a="1"/>
  <c r="Q184" i="2" a="1"/>
  <c r="S184" i="2" s="1"/>
  <c r="R185" i="2" a="1"/>
  <c r="Q185" i="2" a="1"/>
  <c r="S185" i="2" s="1"/>
  <c r="R186" i="2" a="1"/>
  <c r="Q186" i="2" a="1"/>
  <c r="S186" i="2" s="1"/>
  <c r="R187" i="2" a="1"/>
  <c r="Q187" i="2" a="1"/>
  <c r="S187" i="2" s="1"/>
  <c r="R189" i="2" a="1"/>
  <c r="Q189" i="2" a="1"/>
  <c r="S189" i="2" s="1"/>
  <c r="R188" i="2" a="1"/>
  <c r="Q188" i="2" a="1"/>
  <c r="S188" i="2" s="1"/>
  <c r="R190" i="2" a="1"/>
  <c r="Q190" i="2" a="1"/>
  <c r="S190" i="2" s="1"/>
  <c r="R191" i="2" a="1"/>
  <c r="Q191" i="2" a="1"/>
  <c r="S191" i="2" s="1"/>
  <c r="Q573" i="2" a="1"/>
  <c r="S573" i="2" s="1"/>
  <c r="R573" i="2" a="1"/>
  <c r="R574" i="2" a="1"/>
  <c r="Q574" i="2" a="1"/>
  <c r="S574" i="2" s="1"/>
  <c r="R575" i="2" a="1"/>
  <c r="Q575" i="2" a="1"/>
  <c r="S575" i="2" s="1"/>
  <c r="R577" i="2" a="1"/>
  <c r="Q577" i="2" a="1"/>
  <c r="S577" i="2" s="1"/>
  <c r="R576" i="2" a="1"/>
  <c r="Q576" i="2" a="1"/>
  <c r="S576" i="2" s="1"/>
  <c r="R579" i="2" a="1"/>
  <c r="Q579" i="2" a="1"/>
  <c r="S579" i="2" s="1"/>
  <c r="R581" i="2" a="1"/>
  <c r="Q581" i="2" a="1"/>
  <c r="S581" i="2" s="1"/>
  <c r="Q570" i="2" a="1"/>
  <c r="S570" i="2" s="1"/>
  <c r="R572" i="2" a="1"/>
  <c r="Q572" i="2" a="1"/>
  <c r="S572" i="2" s="1"/>
  <c r="R570" i="2" a="1"/>
  <c r="R564" i="2" a="1"/>
  <c r="Q563" i="2" a="1"/>
  <c r="S563" i="2" s="1"/>
  <c r="R563" i="2" a="1"/>
  <c r="R562" i="2" a="1"/>
  <c r="Q564" i="2" a="1"/>
  <c r="S564" i="2" s="1"/>
  <c r="Q562" i="2" a="1"/>
  <c r="S562" i="2" s="1"/>
  <c r="R565" i="2" a="1"/>
  <c r="Q565" i="2" a="1"/>
  <c r="S565" i="2" s="1"/>
  <c r="R566" i="2" a="1"/>
  <c r="Q566" i="2" a="1"/>
  <c r="S566" i="2" s="1"/>
  <c r="R548" i="2" a="1"/>
  <c r="R547" i="2" a="1"/>
  <c r="Q548" i="2" a="1"/>
  <c r="S548" i="2" s="1"/>
  <c r="Q547" i="2" a="1"/>
  <c r="S547" i="2" s="1"/>
  <c r="R549" i="2" a="1"/>
  <c r="Q549" i="2" a="1"/>
  <c r="S549" i="2" s="1"/>
  <c r="R550" i="2" a="1"/>
  <c r="Q550" i="2" a="1"/>
  <c r="S550" i="2" s="1"/>
  <c r="Q551" i="2" a="1"/>
  <c r="S551" i="2" s="1"/>
  <c r="R551" i="2" a="1"/>
  <c r="R552" i="2" a="1"/>
  <c r="Q552" i="2" a="1"/>
  <c r="S552" i="2" s="1"/>
  <c r="R553" i="2" a="1"/>
  <c r="Q553" i="2" a="1"/>
  <c r="S553" i="2" s="1"/>
  <c r="R554" i="2" a="1"/>
  <c r="Q554" i="2" a="1"/>
  <c r="S554" i="2" s="1"/>
  <c r="R555" i="2" a="1"/>
  <c r="Q555" i="2" a="1"/>
  <c r="S555" i="2" s="1"/>
  <c r="R556" i="2" a="1"/>
  <c r="Q556" i="2" a="1"/>
  <c r="S556" i="2" s="1"/>
  <c r="R557" i="2" a="1"/>
  <c r="Q557" i="2" a="1"/>
  <c r="S557" i="2" s="1"/>
  <c r="R558" i="2" a="1"/>
  <c r="Q558" i="2" a="1"/>
  <c r="S558" i="2" s="1"/>
  <c r="R559" i="2" a="1"/>
  <c r="Q559" i="2" a="1"/>
  <c r="S559" i="2" s="1"/>
  <c r="R560" i="2" a="1"/>
  <c r="Q560" i="2" a="1"/>
  <c r="S560" i="2" s="1"/>
  <c r="Q535" i="2" a="1"/>
  <c r="S535" i="2" s="1"/>
  <c r="R535" i="2" a="1"/>
  <c r="R530" i="2" a="1"/>
  <c r="Q530" i="2" a="1"/>
  <c r="S530" i="2" s="1"/>
  <c r="R529" i="2" a="1"/>
  <c r="Q529" i="2" a="1"/>
  <c r="S529" i="2" s="1"/>
  <c r="Q531" i="2" a="1"/>
  <c r="S531" i="2" s="1"/>
  <c r="R531" i="2" a="1"/>
  <c r="R532" i="2" a="1"/>
  <c r="Q532" i="2" a="1"/>
  <c r="S532" i="2" s="1"/>
  <c r="Q533" i="2" a="1"/>
  <c r="S533" i="2" s="1"/>
  <c r="R533" i="2" a="1"/>
  <c r="R534" i="2" a="1"/>
  <c r="Q534" i="2" a="1"/>
  <c r="S534" i="2" s="1"/>
  <c r="R528" i="2" a="1"/>
  <c r="Q528" i="2" a="1"/>
  <c r="S528" i="2" s="1"/>
  <c r="R518" i="2" a="1"/>
  <c r="Q518" i="2" a="1"/>
  <c r="S518" i="2" s="1"/>
  <c r="R519" i="2" a="1"/>
  <c r="Q519" i="2" a="1"/>
  <c r="S519" i="2" s="1"/>
  <c r="R520" i="2" a="1"/>
  <c r="Q520" i="2" a="1"/>
  <c r="S520" i="2" s="1"/>
  <c r="R521" i="2" a="1"/>
  <c r="Q521" i="2" a="1"/>
  <c r="S521" i="2" s="1"/>
  <c r="R522" i="2" a="1"/>
  <c r="Q522" i="2" a="1"/>
  <c r="S522" i="2" s="1"/>
  <c r="R523" i="2" a="1"/>
  <c r="Q523" i="2" a="1"/>
  <c r="S523" i="2" s="1"/>
  <c r="R524" i="2" a="1"/>
  <c r="Q524" i="2" a="1"/>
  <c r="S524" i="2" s="1"/>
  <c r="Q525" i="2" a="1"/>
  <c r="S525" i="2" s="1"/>
  <c r="R525" i="2" a="1"/>
  <c r="R526" i="2" a="1"/>
  <c r="Q526" i="2" a="1"/>
  <c r="S526" i="2" s="1"/>
  <c r="R527" i="2" a="1"/>
  <c r="Q527" i="2" a="1"/>
  <c r="S527" i="2" s="1"/>
  <c r="R504" i="2" a="1"/>
  <c r="Q504" i="2" a="1"/>
  <c r="S504" i="2" s="1"/>
  <c r="Q506" i="2" a="1"/>
  <c r="S506" i="2" s="1"/>
  <c r="R506" i="2" a="1"/>
  <c r="R505" i="2" a="1"/>
  <c r="Q505" i="2" a="1"/>
  <c r="S505" i="2" s="1"/>
  <c r="Q507" i="2" a="1"/>
  <c r="S507" i="2" s="1"/>
  <c r="R507" i="2" a="1"/>
  <c r="R508" i="2" a="1"/>
  <c r="Q508" i="2" a="1"/>
  <c r="S508" i="2" s="1"/>
  <c r="R509" i="2" a="1"/>
  <c r="Q509" i="2" a="1"/>
  <c r="S509" i="2" s="1"/>
  <c r="R510" i="2" a="1"/>
  <c r="Q510" i="2" a="1"/>
  <c r="S510" i="2" s="1"/>
  <c r="R511" i="2" a="1"/>
  <c r="Q511" i="2" a="1"/>
  <c r="S511" i="2" s="1"/>
  <c r="R512" i="2" a="1"/>
  <c r="Q512" i="2" a="1"/>
  <c r="S512" i="2" s="1"/>
  <c r="R513" i="2" a="1"/>
  <c r="Q513" i="2" a="1"/>
  <c r="S513" i="2" s="1"/>
  <c r="R514" i="2" a="1"/>
  <c r="Q514" i="2" a="1"/>
  <c r="S514" i="2" s="1"/>
  <c r="R515" i="2" a="1"/>
  <c r="Q515" i="2" a="1"/>
  <c r="S515" i="2" s="1"/>
  <c r="R2024" i="2" a="1"/>
  <c r="Q2024" i="2" a="1"/>
  <c r="S2024" i="2" s="1"/>
  <c r="Q482" i="2" a="1"/>
  <c r="S482" i="2" s="1"/>
  <c r="R482" i="2" a="1"/>
  <c r="R483" i="2" a="1"/>
  <c r="Q483" i="2" a="1"/>
  <c r="S483" i="2" s="1"/>
  <c r="R484" i="2" a="1"/>
  <c r="Q484" i="2" a="1"/>
  <c r="S484" i="2" s="1"/>
  <c r="R485" i="2" a="1"/>
  <c r="Q485" i="2" a="1"/>
  <c r="S485" i="2" s="1"/>
  <c r="Q486" i="2" a="1"/>
  <c r="S486" i="2" s="1"/>
  <c r="R486" i="2" a="1"/>
  <c r="R487" i="2" a="1"/>
  <c r="Q487" i="2" a="1"/>
  <c r="S487" i="2" s="1"/>
  <c r="R488" i="2" a="1"/>
  <c r="Q488" i="2" a="1"/>
  <c r="S488" i="2" s="1"/>
  <c r="R489" i="2" a="1"/>
  <c r="Q489" i="2" a="1"/>
  <c r="S489" i="2" s="1"/>
  <c r="R490" i="2" a="1"/>
  <c r="Q490" i="2" a="1"/>
  <c r="S490" i="2" s="1"/>
  <c r="R491" i="2" a="1"/>
  <c r="Q491" i="2" a="1"/>
  <c r="S491" i="2" s="1"/>
  <c r="Q492" i="2" a="1"/>
  <c r="S492" i="2" s="1"/>
  <c r="R492" i="2" a="1"/>
  <c r="R494" i="2" a="1"/>
  <c r="Q494" i="2" a="1"/>
  <c r="S494" i="2" s="1"/>
  <c r="R493" i="2" a="1"/>
  <c r="Q493" i="2" a="1"/>
  <c r="S493" i="2" s="1"/>
  <c r="Q495" i="2" a="1"/>
  <c r="S495" i="2" s="1"/>
  <c r="R495" i="2" a="1"/>
  <c r="Q496" i="2" a="1"/>
  <c r="S496" i="2" s="1"/>
  <c r="R496" i="2" a="1"/>
  <c r="R497" i="2" a="1"/>
  <c r="R498" i="2" a="1"/>
  <c r="Q497" i="2" a="1"/>
  <c r="S497" i="2" s="1"/>
  <c r="Q498" i="2" a="1"/>
  <c r="S498" i="2" s="1"/>
  <c r="R499" i="2" a="1"/>
  <c r="Q499" i="2" a="1"/>
  <c r="S499" i="2" s="1"/>
  <c r="R500" i="2" a="1"/>
  <c r="Q500" i="2" a="1"/>
  <c r="S500" i="2" s="1"/>
  <c r="R501" i="2" a="1"/>
  <c r="Q501" i="2" a="1"/>
  <c r="S501" i="2" s="1"/>
  <c r="W7" i="4"/>
  <c r="R2444" i="2" a="1"/>
  <c r="Q2444" i="2" a="1"/>
  <c r="S2444" i="2" s="1"/>
  <c r="R2350" i="2" a="1"/>
  <c r="Q2350" i="2" a="1"/>
  <c r="S2350" i="2" s="1"/>
  <c r="R2355" i="2" a="1"/>
  <c r="Q2355" i="2" a="1"/>
  <c r="S2355" i="2" s="1"/>
  <c r="R2354" i="2" a="1"/>
  <c r="Q2354" i="2" a="1"/>
  <c r="S2354" i="2" s="1"/>
  <c r="R2356" i="2" a="1"/>
  <c r="Q2356" i="2" a="1"/>
  <c r="S2356" i="2" s="1"/>
  <c r="Q2347" i="2" a="1"/>
  <c r="S2347" i="2" s="1"/>
  <c r="R2346" i="2" a="1"/>
  <c r="Q2346" i="2" a="1"/>
  <c r="S2346" i="2" s="1"/>
  <c r="R2347" i="2" a="1"/>
  <c r="R2383" i="2" a="1"/>
  <c r="Q2383" i="2" a="1"/>
  <c r="S2383" i="2" s="1"/>
  <c r="R2374" i="2" a="1"/>
  <c r="Q2374" i="2" a="1"/>
  <c r="S2374" i="2" s="1"/>
  <c r="R2377" i="2" a="1"/>
  <c r="Q2377" i="2" a="1"/>
  <c r="S2377" i="2" s="1"/>
  <c r="R2379" i="2" a="1"/>
  <c r="Q2379" i="2" a="1"/>
  <c r="S2379" i="2" s="1"/>
  <c r="R2380" i="2" a="1"/>
  <c r="Q2380" i="2" a="1"/>
  <c r="S2380" i="2" s="1"/>
  <c r="R2382" i="2" a="1"/>
  <c r="Q2382" i="2" a="1"/>
  <c r="S2382" i="2" s="1"/>
  <c r="R2410" i="2" a="1"/>
  <c r="Q2410" i="2" a="1"/>
  <c r="S2410" i="2" s="1"/>
  <c r="R2409" i="2" a="1"/>
  <c r="Q2409" i="2" a="1"/>
  <c r="S2409" i="2" s="1"/>
  <c r="R2417" i="2" a="1"/>
  <c r="Q2417" i="2" a="1"/>
  <c r="S2417" i="2" s="1"/>
  <c r="R2418" i="2" a="1"/>
  <c r="Q2418" i="2" a="1"/>
  <c r="S2418" i="2" s="1"/>
  <c r="R2414" i="2" a="1"/>
  <c r="Q2414" i="2" a="1"/>
  <c r="S2414" i="2" s="1"/>
  <c r="R2413" i="2" a="1"/>
  <c r="Q2413" i="2" a="1"/>
  <c r="S2413" i="2" s="1"/>
  <c r="R2407" i="2" a="1"/>
  <c r="Q2407" i="2" a="1"/>
  <c r="S2407" i="2" s="1"/>
  <c r="R2406" i="2" a="1"/>
  <c r="Q2406" i="2" a="1"/>
  <c r="S2406" i="2" s="1"/>
  <c r="R2403" i="2" a="1"/>
  <c r="Q2403" i="2" a="1"/>
  <c r="S2403" i="2" s="1"/>
  <c r="R2402" i="2" a="1"/>
  <c r="Q2402" i="2" a="1"/>
  <c r="S2402" i="2" s="1"/>
  <c r="R2400" i="2" a="1"/>
  <c r="Q2400" i="2" a="1"/>
  <c r="S2400" i="2" s="1"/>
  <c r="R2399" i="2" a="1"/>
  <c r="Q2399" i="2" a="1"/>
  <c r="S2399" i="2" s="1"/>
  <c r="R2398" i="2" a="1"/>
  <c r="Q2398" i="2" a="1"/>
  <c r="S2398" i="2" s="1"/>
  <c r="R2396" i="2" a="1"/>
  <c r="Q2396" i="2" a="1"/>
  <c r="S2396" i="2" s="1"/>
  <c r="R2395" i="2" a="1"/>
  <c r="Q2395" i="2" a="1"/>
  <c r="S2395" i="2" s="1"/>
  <c r="R2437" i="2" a="1"/>
  <c r="Q2437" i="2" a="1"/>
  <c r="S2437" i="2" s="1"/>
  <c r="R2345" i="2" a="1"/>
  <c r="Q2345" i="2" a="1"/>
  <c r="S2345" i="2" s="1"/>
  <c r="R2344" i="2" a="1"/>
  <c r="Q2344" i="2" a="1"/>
  <c r="S2344" i="2" s="1"/>
  <c r="R2341" i="2" a="1"/>
  <c r="Q2341" i="2" a="1"/>
  <c r="S2341" i="2" s="1"/>
  <c r="R2340" i="2" a="1"/>
  <c r="Q2340" i="2" a="1"/>
  <c r="S2340" i="2" s="1"/>
  <c r="R2337" i="2" a="1"/>
  <c r="Q2337" i="2" a="1"/>
  <c r="S2337" i="2" s="1"/>
  <c r="R2336" i="2" a="1"/>
  <c r="Q2336" i="2" a="1"/>
  <c r="S2336" i="2" s="1"/>
  <c r="R2335" i="2" a="1"/>
  <c r="Q2335" i="2" a="1"/>
  <c r="S2335" i="2" s="1"/>
  <c r="R2333" i="2" a="1"/>
  <c r="Q2333" i="2" a="1"/>
  <c r="S2333" i="2" s="1"/>
  <c r="R2330" i="2" a="1"/>
  <c r="Q2330" i="2" a="1"/>
  <c r="S2330" i="2" s="1"/>
  <c r="R2388" i="2" a="1"/>
  <c r="Q2388" i="2" a="1"/>
  <c r="S2388" i="2" s="1"/>
  <c r="R2481" i="2" a="1"/>
  <c r="Q2481" i="2" a="1"/>
  <c r="S2481" i="2" s="1"/>
  <c r="R2479" i="2" a="1"/>
  <c r="Q2479" i="2" a="1"/>
  <c r="S2479" i="2" s="1"/>
  <c r="R2478" i="2" a="1"/>
  <c r="Q2478" i="2" a="1"/>
  <c r="S2478" i="2" s="1"/>
  <c r="R2473" i="2" a="1"/>
  <c r="Q2473" i="2" a="1"/>
  <c r="S2473" i="2" s="1"/>
  <c r="R2472" i="2" a="1"/>
  <c r="Q2472" i="2" a="1"/>
  <c r="S2472" i="2" s="1"/>
  <c r="R2468" i="2" a="1"/>
  <c r="Q2468" i="2" a="1"/>
  <c r="S2468" i="2" s="1"/>
  <c r="R2465" i="2" a="1"/>
  <c r="Q2465" i="2" a="1"/>
  <c r="S2465" i="2" s="1"/>
  <c r="R2447" i="2" a="1"/>
  <c r="Q2447" i="2" a="1"/>
  <c r="S2447" i="2" s="1"/>
  <c r="R2445" i="2" a="1"/>
  <c r="Q2445" i="2" a="1"/>
  <c r="S2445" i="2" s="1"/>
  <c r="R2446" i="2" a="1"/>
  <c r="Q2446" i="2" a="1"/>
  <c r="S2446" i="2" s="1"/>
  <c r="R2443" i="2" a="1"/>
  <c r="Q2443" i="2" a="1"/>
  <c r="S2443" i="2" s="1"/>
  <c r="R2442" i="2" a="1"/>
  <c r="Q2442" i="2" a="1"/>
  <c r="S2442" i="2" s="1"/>
  <c r="R2441" i="2" a="1"/>
  <c r="Q2441" i="2" a="1"/>
  <c r="S2441" i="2" s="1"/>
  <c r="R2440" i="2" a="1"/>
  <c r="Q2440" i="2" a="1"/>
  <c r="S2440" i="2" s="1"/>
  <c r="R2438" i="2" a="1"/>
  <c r="Q2438" i="2" a="1"/>
  <c r="S2438" i="2" s="1"/>
  <c r="R2436" i="2" a="1"/>
  <c r="Q2436" i="2" a="1"/>
  <c r="S2436" i="2" s="1"/>
  <c r="R2435" i="2" a="1"/>
  <c r="Q2435" i="2" a="1"/>
  <c r="S2435" i="2" s="1"/>
  <c r="R2433" i="2" a="1"/>
  <c r="Q2433" i="2" a="1"/>
  <c r="S2433" i="2" s="1"/>
  <c r="R2464" i="2" a="1"/>
  <c r="Q2464" i="2" a="1"/>
  <c r="S2464" i="2" s="1"/>
  <c r="R2461" i="2" a="1"/>
  <c r="Q2461" i="2" a="1"/>
  <c r="S2461" i="2" s="1"/>
  <c r="Q2460" i="2" a="1"/>
  <c r="S2460" i="2" s="1"/>
  <c r="R2459" i="2" a="1"/>
  <c r="Q2459" i="2" a="1"/>
  <c r="S2459" i="2" s="1"/>
  <c r="R2458" i="2" a="1"/>
  <c r="Q2458" i="2" a="1"/>
  <c r="S2458" i="2" s="1"/>
  <c r="R2457" i="2" a="1"/>
  <c r="Q2457" i="2" a="1"/>
  <c r="S2457" i="2" s="1"/>
  <c r="R2456" i="2" a="1"/>
  <c r="Q2456" i="2" a="1"/>
  <c r="S2456" i="2" s="1"/>
  <c r="R2454" i="2" a="1"/>
  <c r="Q2454" i="2" a="1"/>
  <c r="S2454" i="2" s="1"/>
  <c r="R2450" i="2" a="1"/>
  <c r="Q2450" i="2" a="1"/>
  <c r="S2450" i="2" s="1"/>
  <c r="R2449" i="2" a="1"/>
  <c r="Q2449" i="2" a="1"/>
  <c r="S2449" i="2" s="1"/>
  <c r="R2448" i="2" a="1"/>
  <c r="Q2448" i="2" a="1"/>
  <c r="S2448" i="2" s="1"/>
  <c r="R2372" i="2" a="1"/>
  <c r="Q2372" i="2" a="1"/>
  <c r="S2372" i="2" s="1"/>
  <c r="R2371" i="2" a="1"/>
  <c r="Q2371" i="2" a="1"/>
  <c r="S2371" i="2" s="1"/>
  <c r="R2369" i="2" a="1"/>
  <c r="Q2369" i="2" a="1"/>
  <c r="S2369" i="2" s="1"/>
  <c r="R2368" i="2" a="1"/>
  <c r="Q2368" i="2" a="1"/>
  <c r="S2368" i="2" s="1"/>
  <c r="R2367" i="2" a="1"/>
  <c r="Q2367" i="2" a="1"/>
  <c r="S2367" i="2" s="1"/>
  <c r="R2363" i="2" a="1"/>
  <c r="Q2363" i="2" a="1"/>
  <c r="S2363" i="2" s="1"/>
  <c r="R2362" i="2" a="1"/>
  <c r="Q2362" i="2" a="1"/>
  <c r="S2362" i="2" s="1"/>
  <c r="R2361" i="2" a="1"/>
  <c r="Q2361" i="2" a="1"/>
  <c r="S2361" i="2" s="1"/>
  <c r="R2360" i="2" a="1"/>
  <c r="Q2360" i="2" a="1"/>
  <c r="S2360" i="2" s="1"/>
  <c r="R2359" i="2" a="1"/>
  <c r="Q2359" i="2" a="1"/>
  <c r="S2359" i="2" s="1"/>
  <c r="R2358" i="2" a="1"/>
  <c r="R2328" i="2" a="1"/>
  <c r="Q2328" i="2" a="1"/>
  <c r="S2328" i="2" s="1"/>
  <c r="R2323" i="2" a="1"/>
  <c r="R2322" i="2" a="1"/>
  <c r="Q2322" i="2" a="1"/>
  <c r="S2322" i="2" s="1"/>
  <c r="R2320" i="2" a="1"/>
  <c r="Q2320" i="2" a="1"/>
  <c r="S2320" i="2" s="1"/>
  <c r="R2429" i="2" a="1"/>
  <c r="Q2429" i="2" a="1"/>
  <c r="S2429" i="2" s="1"/>
  <c r="R2427" i="2" a="1"/>
  <c r="Q2427" i="2" a="1"/>
  <c r="S2427" i="2" s="1"/>
  <c r="R2424" i="2" a="1"/>
  <c r="Q2424" i="2" a="1"/>
  <c r="S2424" i="2" s="1"/>
  <c r="R2422" i="2" a="1"/>
  <c r="Q2422" i="2" a="1"/>
  <c r="S2422" i="2" s="1"/>
  <c r="Q2207" i="2" a="1"/>
  <c r="S2207" i="2" s="1"/>
  <c r="R2206" i="2" a="1"/>
  <c r="Q2206" i="2" a="1"/>
  <c r="S2206" i="2" s="1"/>
  <c r="R2214" i="2" a="1"/>
  <c r="R2205" i="2" a="1"/>
  <c r="R2216" i="2" a="1"/>
  <c r="R2207" i="2" a="1"/>
  <c r="Q2205" i="2" a="1"/>
  <c r="S2205" i="2" s="1"/>
  <c r="R2208" i="2" a="1"/>
  <c r="Q2208" i="2" a="1"/>
  <c r="S2208" i="2" s="1"/>
  <c r="R2209" i="2" a="1"/>
  <c r="Q2209" i="2" a="1"/>
  <c r="S2209" i="2" s="1"/>
  <c r="R2213" i="2" a="1"/>
  <c r="R2210" i="2" a="1"/>
  <c r="Q2210" i="2" a="1"/>
  <c r="S2210" i="2" s="1"/>
  <c r="R2211" i="2" a="1"/>
  <c r="R2219" i="2" a="1"/>
  <c r="Q2211" i="2" a="1"/>
  <c r="S2211" i="2" s="1"/>
  <c r="Q2213" i="2" a="1"/>
  <c r="S2213" i="2" s="1"/>
  <c r="Q2212" i="2" a="1"/>
  <c r="S2212" i="2" s="1"/>
  <c r="R2212" i="2" a="1"/>
  <c r="Q2214" i="2" a="1"/>
  <c r="S2214" i="2" s="1"/>
  <c r="R2215" i="2" a="1"/>
  <c r="Q2215" i="2" a="1"/>
  <c r="S2215" i="2" s="1"/>
  <c r="Q2216" i="2" a="1"/>
  <c r="S2216" i="2" s="1"/>
  <c r="R2218" i="2" a="1"/>
  <c r="R2217" i="2" a="1"/>
  <c r="Q2217" i="2" a="1"/>
  <c r="S2217" i="2" s="1"/>
  <c r="Q2218" i="2" a="1"/>
  <c r="S2218" i="2" s="1"/>
  <c r="Q2219" i="2" a="1"/>
  <c r="S2219" i="2" s="1"/>
  <c r="R128" i="2" a="1"/>
  <c r="R124" i="2" a="1"/>
  <c r="Q124" i="2" a="1"/>
  <c r="S124" i="2" s="1"/>
  <c r="R122" i="2" a="1"/>
  <c r="Q122" i="2" a="1"/>
  <c r="S122" i="2" s="1"/>
  <c r="Q123" i="2" a="1"/>
  <c r="S123" i="2" s="1"/>
  <c r="R123" i="2" a="1"/>
  <c r="R129" i="2" a="1"/>
  <c r="Q129" i="2" a="1"/>
  <c r="S129" i="2" s="1"/>
  <c r="R125" i="2" a="1"/>
  <c r="Q125" i="2" a="1"/>
  <c r="S125" i="2" s="1"/>
  <c r="R126" i="2" a="1"/>
  <c r="Q126" i="2" a="1"/>
  <c r="S126" i="2" s="1"/>
  <c r="Q128" i="2" a="1"/>
  <c r="S128" i="2" s="1"/>
  <c r="R127" i="2" a="1"/>
  <c r="Q127" i="2" a="1"/>
  <c r="S127" i="2" s="1"/>
  <c r="R134" i="2" a="1"/>
  <c r="R132" i="2" a="1"/>
  <c r="R130" i="2" a="1"/>
  <c r="Q130" i="2" a="1"/>
  <c r="S130" i="2" s="1"/>
  <c r="Q132" i="2" a="1"/>
  <c r="S132" i="2" s="1"/>
  <c r="R131" i="2" a="1"/>
  <c r="Q131" i="2" a="1"/>
  <c r="S131" i="2" s="1"/>
  <c r="Q134" i="2" a="1"/>
  <c r="S134" i="2" s="1"/>
  <c r="Q133" i="2" a="1"/>
  <c r="S133" i="2" s="1"/>
  <c r="R133" i="2" a="1"/>
  <c r="R136" i="2" a="1"/>
  <c r="R135" i="2" a="1"/>
  <c r="R1086" i="2" a="1"/>
  <c r="Q135" i="2" a="1"/>
  <c r="S135" i="2" s="1"/>
  <c r="Q136" i="2" a="1"/>
  <c r="S136" i="2" s="1"/>
  <c r="Q137" i="2" a="1"/>
  <c r="S137" i="2" s="1"/>
  <c r="R137" i="2" a="1"/>
  <c r="Q1079" i="2" a="1"/>
  <c r="S1079" i="2" s="1"/>
  <c r="Q1108" i="2" a="1"/>
  <c r="S1108" i="2" s="1"/>
  <c r="Q1104" i="2" a="1"/>
  <c r="S1104" i="2" s="1"/>
  <c r="Q1102" i="2" a="1"/>
  <c r="S1102" i="2" s="1"/>
  <c r="R1097" i="2" a="1"/>
  <c r="R1083" i="2" a="1"/>
  <c r="R1087" i="2" a="1"/>
  <c r="R1078" i="2" a="1"/>
  <c r="R1105" i="2" a="1"/>
  <c r="R1096" i="2" a="1"/>
  <c r="Q1086" i="2" a="1"/>
  <c r="S1086" i="2" s="1"/>
  <c r="Q1095" i="2" a="1"/>
  <c r="S1095" i="2" s="1"/>
  <c r="Q1085" i="2" a="1"/>
  <c r="S1085" i="2" s="1"/>
  <c r="Q1092" i="2" a="1"/>
  <c r="S1092" i="2" s="1"/>
  <c r="Q1099" i="2" a="1"/>
  <c r="S1099" i="2" s="1"/>
  <c r="R1084" i="2" a="1"/>
  <c r="Q1097" i="2" a="1"/>
  <c r="S1097" i="2" s="1"/>
  <c r="R1079" i="2" a="1"/>
  <c r="Q1096" i="2" a="1"/>
  <c r="S1096" i="2" s="1"/>
  <c r="R1077" i="2" a="1"/>
  <c r="R1106" i="2" a="1"/>
  <c r="Q1094" i="2" a="1"/>
  <c r="S1094" i="2" s="1"/>
  <c r="Q1091" i="2" a="1"/>
  <c r="S1091" i="2" s="1"/>
  <c r="Q1098" i="2" a="1"/>
  <c r="S1098" i="2" s="1"/>
  <c r="R1104" i="2" a="1"/>
  <c r="R1095" i="2" a="1"/>
  <c r="Q1084" i="2" a="1"/>
  <c r="S1084" i="2" s="1"/>
  <c r="R1081" i="2" a="1"/>
  <c r="R1075" i="2" a="1"/>
  <c r="R1109" i="2" a="1"/>
  <c r="R1076" i="2" a="1"/>
  <c r="R1100" i="2" a="1"/>
  <c r="R1102" i="2" a="1"/>
  <c r="R1091" i="2" a="1"/>
  <c r="R1107" i="2" a="1"/>
  <c r="R1085" i="2" a="1"/>
  <c r="R1098" i="2" a="1"/>
  <c r="R1080" i="2" a="1"/>
  <c r="R1103" i="2" a="1"/>
  <c r="R1099" i="2" a="1"/>
  <c r="Q1081" i="2" a="1"/>
  <c r="S1081" i="2" s="1"/>
  <c r="R1094" i="2" a="1"/>
  <c r="R1092" i="2" a="1"/>
  <c r="Q1077" i="2" a="1"/>
  <c r="S1077" i="2" s="1"/>
  <c r="Q1078" i="2" a="1"/>
  <c r="S1078" i="2" s="1"/>
  <c r="Q1083" i="2" a="1"/>
  <c r="S1083" i="2" s="1"/>
  <c r="R1045" i="2" a="1"/>
  <c r="R1088" i="2" a="1"/>
  <c r="R1082" i="2" a="1"/>
  <c r="Q1075" i="2" a="1"/>
  <c r="S1075" i="2" s="1"/>
  <c r="Q1109" i="2" a="1"/>
  <c r="S1109" i="2" s="1"/>
  <c r="Q1080" i="2" a="1"/>
  <c r="S1080" i="2" s="1"/>
  <c r="Q1088" i="2" a="1"/>
  <c r="S1088" i="2" s="1"/>
  <c r="R1108" i="2" a="1"/>
  <c r="Q1106" i="2" a="1"/>
  <c r="S1106" i="2" s="1"/>
  <c r="Q1107" i="2" a="1"/>
  <c r="S1107" i="2" s="1"/>
  <c r="Q1076" i="2" a="1"/>
  <c r="S1076" i="2" s="1"/>
  <c r="Q1082" i="2" a="1"/>
  <c r="S1082" i="2" s="1"/>
  <c r="Q1100" i="2" a="1"/>
  <c r="S1100" i="2" s="1"/>
  <c r="Q1103" i="2" a="1"/>
  <c r="S1103" i="2" s="1"/>
  <c r="Q1105" i="2" a="1"/>
  <c r="S1105" i="2" s="1"/>
  <c r="Q1087" i="2" a="1"/>
  <c r="S1087" i="2" s="1"/>
  <c r="Q1072" i="2" a="1"/>
  <c r="S1072" i="2" s="1"/>
  <c r="Q1064" i="2" a="1"/>
  <c r="S1064" i="2" s="1"/>
  <c r="R1090" i="2" a="1"/>
  <c r="R1067" i="2" a="1"/>
  <c r="R1063" i="2" a="1"/>
  <c r="Q1090" i="2" a="1"/>
  <c r="S1090" i="2" s="1"/>
  <c r="R1071" i="2" a="1"/>
  <c r="Q1071" i="2" a="1"/>
  <c r="S1071" i="2" s="1"/>
  <c r="Q1069" i="2" a="1"/>
  <c r="S1069" i="2" s="1"/>
  <c r="Q1074" i="2" a="1"/>
  <c r="S1074" i="2" s="1"/>
  <c r="R1052" i="2" a="1"/>
  <c r="Q1067" i="2" a="1"/>
  <c r="S1067" i="2" s="1"/>
  <c r="Q1065" i="2" a="1"/>
  <c r="S1065" i="2" s="1"/>
  <c r="Q1068" i="2" a="1"/>
  <c r="S1068" i="2" s="1"/>
  <c r="R1089" i="2" a="1"/>
  <c r="Q1089" i="2" a="1"/>
  <c r="S1089" i="2" s="1"/>
  <c r="R1074" i="2" a="1"/>
  <c r="Q1052" i="2" a="1"/>
  <c r="S1052" i="2" s="1"/>
  <c r="Q1048" i="2" a="1"/>
  <c r="S1048" i="2" s="1"/>
  <c r="R1064" i="2" a="1"/>
  <c r="R1068" i="2" a="1"/>
  <c r="Q1070" i="2" a="1"/>
  <c r="S1070" i="2" s="1"/>
  <c r="R1066" i="2" a="1"/>
  <c r="Q1066" i="2" a="1"/>
  <c r="S1066" i="2" s="1"/>
  <c r="R1070" i="2" a="1"/>
  <c r="R1053" i="2" a="1"/>
  <c r="R1065" i="2" a="1"/>
  <c r="R1073" i="2" a="1"/>
  <c r="Q1073" i="2" a="1"/>
  <c r="S1073" i="2" s="1"/>
  <c r="Q1053" i="2" a="1"/>
  <c r="S1053" i="2" s="1"/>
  <c r="R1072" i="2" a="1"/>
  <c r="R1069" i="2" a="1"/>
  <c r="Q1063" i="2" a="1"/>
  <c r="S1063" i="2" s="1"/>
  <c r="R1057" i="2" a="1"/>
  <c r="R1046" i="2" a="1"/>
  <c r="R1054" i="2" a="1"/>
  <c r="Q1046" i="2" a="1"/>
  <c r="S1046" i="2" s="1"/>
  <c r="R1047" i="2" a="1"/>
  <c r="Q1054" i="2" a="1"/>
  <c r="S1054" i="2" s="1"/>
  <c r="Q1056" i="2" a="1"/>
  <c r="S1056" i="2" s="1"/>
  <c r="R1056" i="2" a="1"/>
  <c r="Q1057" i="2" a="1"/>
  <c r="S1057" i="2" s="1"/>
  <c r="Q1047" i="2" a="1"/>
  <c r="S1047" i="2" s="1"/>
  <c r="Q1055" i="2" a="1"/>
  <c r="S1055" i="2" s="1"/>
  <c r="R1048" i="2" a="1"/>
  <c r="R1055" i="2" a="1"/>
  <c r="Q1044" i="2" a="1"/>
  <c r="S1044" i="2" s="1"/>
  <c r="R1050" i="2" a="1"/>
  <c r="Q1050" i="2" a="1"/>
  <c r="S1050" i="2" s="1"/>
  <c r="Q1112" i="2" a="1"/>
  <c r="S1112" i="2" s="1"/>
  <c r="R1051" i="2" a="1"/>
  <c r="Q1051" i="2" a="1"/>
  <c r="S1051" i="2" s="1"/>
  <c r="Q1120" i="2" a="1"/>
  <c r="S1120" i="2" s="1"/>
  <c r="Q1058" i="2" a="1"/>
  <c r="S1058" i="2" s="1"/>
  <c r="Q1042" i="2" a="1"/>
  <c r="S1042" i="2" s="1"/>
  <c r="Q1121" i="2" a="1"/>
  <c r="S1121" i="2" s="1"/>
  <c r="R1062" i="2" a="1"/>
  <c r="R1037" i="2" a="1"/>
  <c r="Q1119" i="2" a="1"/>
  <c r="S1119" i="2" s="1"/>
  <c r="Q1114" i="2" a="1"/>
  <c r="S1114" i="2" s="1"/>
  <c r="R1059" i="2" a="1"/>
  <c r="R1039" i="2" a="1"/>
  <c r="Q1041" i="2" a="1"/>
  <c r="S1041" i="2" s="1"/>
  <c r="R1044" i="2" a="1"/>
  <c r="R1041" i="2" a="1"/>
  <c r="R1058" i="2" a="1"/>
  <c r="R1119" i="2" a="1"/>
  <c r="R1040" i="2" a="1"/>
  <c r="Q1045" i="2" a="1"/>
  <c r="S1045" i="2" s="1"/>
  <c r="R1043" i="2" a="1"/>
  <c r="R1120" i="2" a="1"/>
  <c r="Q1039" i="2" a="1"/>
  <c r="S1039" i="2" s="1"/>
  <c r="R1042" i="2" a="1"/>
  <c r="R1116" i="2" a="1"/>
  <c r="Q1038" i="2" a="1"/>
  <c r="S1038" i="2" s="1"/>
  <c r="R1117" i="2" a="1"/>
  <c r="R1061" i="2" a="1"/>
  <c r="R1113" i="2" a="1"/>
  <c r="Q1061" i="2" a="1"/>
  <c r="S1061" i="2" s="1"/>
  <c r="Q1060" i="2" a="1"/>
  <c r="S1060" i="2" s="1"/>
  <c r="Q1043" i="2" a="1"/>
  <c r="S1043" i="2" s="1"/>
  <c r="R1038" i="2" a="1"/>
  <c r="R1060" i="2" a="1"/>
  <c r="Q1115" i="2" a="1"/>
  <c r="S1115" i="2" s="1"/>
  <c r="R1114" i="2" a="1"/>
  <c r="Q1040" i="2" a="1"/>
  <c r="S1040" i="2" s="1"/>
  <c r="Q1059" i="2" a="1"/>
  <c r="S1059" i="2" s="1"/>
  <c r="Q1116" i="2" a="1"/>
  <c r="S1116" i="2" s="1"/>
  <c r="R1115" i="2" a="1"/>
  <c r="Q1062" i="2" a="1"/>
  <c r="S1062" i="2" s="1"/>
  <c r="R1112" i="2" a="1"/>
  <c r="Q1037" i="2" a="1"/>
  <c r="S1037" i="2" s="1"/>
  <c r="Q1117" i="2" a="1"/>
  <c r="S1117" i="2" s="1"/>
  <c r="R1121" i="2" a="1"/>
  <c r="Q1113" i="2" a="1"/>
  <c r="S1113" i="2" s="1"/>
  <c r="R2203" i="2" a="1"/>
  <c r="Q832" i="2" a="1"/>
  <c r="S832" i="2" s="1"/>
  <c r="R72" i="2" a="1"/>
  <c r="R80" i="2" a="1"/>
  <c r="R995" i="2" a="1"/>
  <c r="R204" i="2" a="1"/>
  <c r="R1035" i="2" a="1"/>
  <c r="R796" i="2" a="1"/>
  <c r="R2181" i="2" a="1"/>
  <c r="Q1018" i="2" a="1"/>
  <c r="S1018" i="2" s="1"/>
  <c r="R94" i="2" a="1"/>
  <c r="Q1022" i="2" a="1"/>
  <c r="S1022" i="2" s="1"/>
  <c r="R1420" i="2" a="1"/>
  <c r="R1396" i="2" a="1"/>
  <c r="Q1035" i="2" a="1"/>
  <c r="S1035" i="2" s="1"/>
  <c r="R1489" i="2" a="1"/>
  <c r="R1306" i="2" a="1"/>
  <c r="R19" i="2" a="1"/>
  <c r="R789" i="2" a="1"/>
  <c r="R1028" i="2" a="1"/>
  <c r="R10" i="2" a="1"/>
  <c r="R69" i="2" a="1"/>
  <c r="R1337" i="2" a="1"/>
  <c r="R97" i="2" a="1"/>
  <c r="R953" i="2" a="1"/>
  <c r="R1369" i="2" a="1"/>
  <c r="Q1024" i="2" a="1"/>
  <c r="S1024" i="2" s="1"/>
  <c r="R2177" i="2" a="1"/>
  <c r="R120" i="2" a="1"/>
  <c r="R111" i="2" a="1"/>
  <c r="R1449" i="2" a="1"/>
  <c r="R1020" i="2" a="1"/>
  <c r="R963" i="2" a="1"/>
  <c r="R1476" i="2" a="1"/>
  <c r="R1535" i="2" a="1"/>
  <c r="R1294" i="2" a="1"/>
  <c r="R820" i="2" a="1"/>
  <c r="R1376" i="2" a="1"/>
  <c r="Q1128" i="2" a="1"/>
  <c r="S1128" i="2" s="1"/>
  <c r="R808" i="2" a="1"/>
  <c r="R88" i="2" a="1"/>
  <c r="R1427" i="2" a="1"/>
  <c r="Q51" i="2" a="1"/>
  <c r="S51" i="2" s="1"/>
  <c r="R1129" i="2" a="1"/>
  <c r="R1126" i="2" a="1"/>
  <c r="R2518" i="2" a="1"/>
  <c r="R1406" i="2" a="1"/>
  <c r="R813" i="2" a="1"/>
  <c r="R217" i="2" a="1"/>
  <c r="Q634" i="2" a="1"/>
  <c r="S634" i="2" s="1"/>
  <c r="R1025" i="2" a="1"/>
  <c r="R892" i="2" a="1"/>
  <c r="R567" i="2" a="1"/>
  <c r="R867" i="2" a="1"/>
  <c r="R822" i="2" a="1"/>
  <c r="R39" i="2" a="1"/>
  <c r="Q146" i="2" a="1"/>
  <c r="S146" i="2" s="1"/>
  <c r="R1033" i="2" a="1"/>
  <c r="R13" i="2" a="1"/>
  <c r="R44" i="2" a="1"/>
  <c r="R806" i="2" a="1"/>
  <c r="R2227" i="2" a="1"/>
  <c r="R1451" i="2" a="1"/>
  <c r="Q2069" i="2" a="1"/>
  <c r="S2069" i="2" s="1"/>
  <c r="R1026" i="2" a="1"/>
  <c r="R206" i="2" a="1"/>
  <c r="R1400" i="2" a="1"/>
  <c r="R218" i="2" a="1"/>
  <c r="R2075" i="2" a="1"/>
  <c r="R66" i="2" a="1"/>
  <c r="Q1651" i="2" a="1"/>
  <c r="S1651" i="2" s="1"/>
  <c r="Q1129" i="2" a="1"/>
  <c r="S1129" i="2" s="1"/>
  <c r="Q1025" i="2" a="1"/>
  <c r="S1025" i="2" s="1"/>
  <c r="Q1023" i="2" a="1"/>
  <c r="S1023" i="2" s="1"/>
  <c r="R1021" i="2" a="1"/>
  <c r="Q1031" i="2" a="1"/>
  <c r="S1031" i="2" s="1"/>
  <c r="Q1126" i="2" a="1"/>
  <c r="S1126" i="2" s="1"/>
  <c r="R1029" i="2" a="1"/>
  <c r="Q1029" i="2" a="1"/>
  <c r="S1029" i="2" s="1"/>
  <c r="Q1978" i="2" a="1"/>
  <c r="S1978" i="2" s="1"/>
  <c r="Q1028" i="2" a="1"/>
  <c r="S1028" i="2" s="1"/>
  <c r="R1017" i="2" a="1"/>
  <c r="Q1019" i="2" a="1"/>
  <c r="S1019" i="2" s="1"/>
  <c r="Q1030" i="2" a="1"/>
  <c r="S1030" i="2" s="1"/>
  <c r="R1036" i="2" a="1"/>
  <c r="Q1033" i="2" a="1"/>
  <c r="S1033" i="2" s="1"/>
  <c r="R879" i="2" a="1"/>
  <c r="R1118" i="2" a="1"/>
  <c r="Q1020" i="2" a="1"/>
  <c r="S1020" i="2" s="1"/>
  <c r="R1016" i="2" a="1"/>
  <c r="Q1036" i="2" a="1"/>
  <c r="S1036" i="2" s="1"/>
  <c r="R852" i="2" a="1"/>
  <c r="R805" i="2" a="1"/>
  <c r="R1122" i="2" a="1"/>
  <c r="Q1032" i="2" a="1"/>
  <c r="S1032" i="2" s="1"/>
  <c r="R1022" i="2" a="1"/>
  <c r="Q1016" i="2" a="1"/>
  <c r="S1016" i="2" s="1"/>
  <c r="Q1122" i="2" a="1"/>
  <c r="S1122" i="2" s="1"/>
  <c r="R1024" i="2" a="1"/>
  <c r="R1110" i="2" a="1"/>
  <c r="R1030" i="2" a="1"/>
  <c r="R2524" i="2" a="1"/>
  <c r="R1111" i="2" a="1"/>
  <c r="Q1026" i="2" a="1"/>
  <c r="S1026" i="2" s="1"/>
  <c r="R1027" i="2" a="1"/>
  <c r="Q1110" i="2" a="1"/>
  <c r="S1110" i="2" s="1"/>
  <c r="R1327" i="2" a="1"/>
  <c r="R1374" i="2" a="1"/>
  <c r="Q1111" i="2" a="1"/>
  <c r="S1111" i="2" s="1"/>
  <c r="Q1034" i="2" a="1"/>
  <c r="S1034" i="2" s="1"/>
  <c r="R1023" i="2" a="1"/>
  <c r="Q1027" i="2" a="1"/>
  <c r="S1027" i="2" s="1"/>
  <c r="R1530" i="2" a="1"/>
  <c r="R9" i="2" a="1"/>
  <c r="R1128" i="2" a="1"/>
  <c r="R1018" i="2" a="1"/>
  <c r="R1031" i="2" a="1"/>
  <c r="Q1021" i="2" a="1"/>
  <c r="S1021" i="2" s="1"/>
  <c r="R2513" i="2" a="1"/>
  <c r="R1032" i="2" a="1"/>
  <c r="R1034" i="2" a="1"/>
  <c r="R1019" i="2" a="1"/>
  <c r="Q1017" i="2" a="1"/>
  <c r="S1017" i="2" s="1"/>
  <c r="Q1118" i="2" a="1"/>
  <c r="S1118" i="2" s="1"/>
  <c r="R1124" i="2" a="1"/>
  <c r="R1123" i="2" a="1"/>
  <c r="R2182" i="2" a="1"/>
  <c r="Q1123" i="2" a="1"/>
  <c r="S1123" i="2" s="1"/>
  <c r="Q1124" i="2" a="1"/>
  <c r="S1124" i="2" s="1"/>
  <c r="R1125" i="2" a="1"/>
  <c r="Q1125" i="2" a="1"/>
  <c r="S1125" i="2" s="1"/>
  <c r="R1201" i="2" a="1"/>
  <c r="R1195" i="2" a="1"/>
  <c r="R1194" i="2" a="1"/>
  <c r="R1193" i="2" a="1"/>
  <c r="Q1193" i="2" a="1"/>
  <c r="S1193" i="2" s="1"/>
  <c r="R1192" i="2" a="1"/>
  <c r="Q1192" i="2" a="1"/>
  <c r="S1192" i="2" s="1"/>
  <c r="Q1194" i="2" a="1"/>
  <c r="S1194" i="2" s="1"/>
  <c r="Q1195" i="2" a="1"/>
  <c r="S1195" i="2" s="1"/>
  <c r="Q1201" i="2" a="1"/>
  <c r="S1201" i="2" s="1"/>
  <c r="R1197" i="2" a="1"/>
  <c r="Q1197" i="2" a="1"/>
  <c r="S1197" i="2" s="1"/>
  <c r="R1196" i="2" a="1"/>
  <c r="R949" i="2" a="1"/>
  <c r="Q1196" i="2" a="1"/>
  <c r="S1196" i="2" s="1"/>
  <c r="R1198" i="2" a="1"/>
  <c r="Q1198" i="2" a="1"/>
  <c r="S1198" i="2" s="1"/>
  <c r="R1200" i="2" a="1"/>
  <c r="Q1200" i="2" a="1"/>
  <c r="S1200" i="2" s="1"/>
  <c r="R1199" i="2" a="1"/>
  <c r="Q1199" i="2" a="1"/>
  <c r="S1199" i="2" s="1"/>
  <c r="R1173" i="2" a="1"/>
  <c r="Q1203" i="2" a="1"/>
  <c r="S1203" i="2" s="1"/>
  <c r="R75" i="2" a="1"/>
  <c r="R1166" i="2" a="1"/>
  <c r="R1319" i="2" a="1"/>
  <c r="R1448" i="2" a="1"/>
  <c r="Q1168" i="2" a="1"/>
  <c r="S1168" i="2" s="1"/>
  <c r="R1470" i="2" a="1"/>
  <c r="R2231" i="2" a="1"/>
  <c r="R1404" i="2" a="1"/>
  <c r="Q1974" i="2" a="1"/>
  <c r="S1974" i="2" s="1"/>
  <c r="R1167" i="2" a="1"/>
  <c r="R996" i="2" a="1"/>
  <c r="Q946" i="2" a="1"/>
  <c r="S946" i="2" s="1"/>
  <c r="R1171" i="2" a="1"/>
  <c r="R1275" i="2" a="1"/>
  <c r="Q210" i="2" a="1"/>
  <c r="S210" i="2" s="1"/>
  <c r="R1169" i="2" a="1"/>
  <c r="R1165" i="2" a="1"/>
  <c r="R1168" i="2" a="1"/>
  <c r="Q1166" i="2" a="1"/>
  <c r="S1166" i="2" s="1"/>
  <c r="R1424" i="2" a="1"/>
  <c r="Q1205" i="2" a="1"/>
  <c r="S1205" i="2" s="1"/>
  <c r="R1204" i="2" a="1"/>
  <c r="R945" i="2" a="1"/>
  <c r="R1205" i="2" a="1"/>
  <c r="Q1202" i="2" a="1"/>
  <c r="S1202" i="2" s="1"/>
  <c r="R14" i="2" a="1"/>
  <c r="R52" i="2" a="1"/>
  <c r="Q1167" i="2" a="1"/>
  <c r="S1167" i="2" s="1"/>
  <c r="R817" i="2" a="1"/>
  <c r="R1317" i="2" a="1"/>
  <c r="R1170" i="2" a="1"/>
  <c r="R1175" i="2" a="1"/>
  <c r="R1442" i="2" a="1"/>
  <c r="R845" i="2" a="1"/>
  <c r="Q1175" i="2" a="1"/>
  <c r="S1175" i="2" s="1"/>
  <c r="R1174" i="2" a="1"/>
  <c r="Q1173" i="2" a="1"/>
  <c r="S1173" i="2" s="1"/>
  <c r="Q1204" i="2" a="1"/>
  <c r="S1204" i="2" s="1"/>
  <c r="Q1174" i="2" a="1"/>
  <c r="S1174" i="2" s="1"/>
  <c r="R1203" i="2" a="1"/>
  <c r="Q1172" i="2" a="1"/>
  <c r="S1172" i="2" s="1"/>
  <c r="R1207" i="2" a="1"/>
  <c r="Q1170" i="2" a="1"/>
  <c r="S1170" i="2" s="1"/>
  <c r="Q1171" i="2" a="1"/>
  <c r="S1171" i="2" s="1"/>
  <c r="R1308" i="2" a="1"/>
  <c r="R1206" i="2" a="1"/>
  <c r="R1202" i="2" a="1"/>
  <c r="Q1169" i="2" a="1"/>
  <c r="S1169" i="2" s="1"/>
  <c r="R1521" i="2" a="1"/>
  <c r="Q1206" i="2" a="1"/>
  <c r="S1206" i="2" s="1"/>
  <c r="R1172" i="2" a="1"/>
  <c r="Q1165" i="2" a="1"/>
  <c r="S1165" i="2" s="1"/>
  <c r="Q1207" i="2" a="1"/>
  <c r="S1207" i="2" s="1"/>
  <c r="R1015" i="2" a="1"/>
  <c r="Q1015" i="2" a="1"/>
  <c r="S1015" i="2" s="1"/>
  <c r="R1014" i="2" a="1"/>
  <c r="Q1014" i="2" a="1"/>
  <c r="S1014" i="2" s="1"/>
  <c r="Q1818" i="2" a="1"/>
  <c r="S1818" i="2" s="1"/>
  <c r="Q1881" i="2" a="1"/>
  <c r="S1881" i="2" s="1"/>
  <c r="Q2085" i="2" a="1"/>
  <c r="S2085" i="2" s="1"/>
  <c r="R2202" i="2" a="1"/>
  <c r="R986" i="2" a="1"/>
  <c r="R1188" i="2" a="1"/>
  <c r="R921" i="2" a="1"/>
  <c r="Q1502" i="2" a="1"/>
  <c r="S1502" i="2" s="1"/>
  <c r="Q1188" i="2" a="1"/>
  <c r="S1188" i="2" s="1"/>
  <c r="R1153" i="2" a="1"/>
  <c r="R1152" i="2" a="1"/>
  <c r="Q1152" i="2" a="1"/>
  <c r="S1152" i="2" s="1"/>
  <c r="Q1153" i="2" a="1"/>
  <c r="S1153" i="2" s="1"/>
  <c r="Q1813" i="2" a="1"/>
  <c r="S1813" i="2" s="1"/>
  <c r="R1353" i="2" a="1"/>
  <c r="R974" i="2" a="1"/>
  <c r="R994" i="2" a="1"/>
  <c r="R84" i="2" a="1"/>
  <c r="R1403" i="2" a="1"/>
  <c r="Q2152" i="2" a="1"/>
  <c r="S2152" i="2" s="1"/>
  <c r="Q1190" i="2" a="1"/>
  <c r="S1190" i="2" s="1"/>
  <c r="R930" i="2" a="1"/>
  <c r="R1345" i="2" a="1"/>
  <c r="R216" i="2" a="1"/>
  <c r="R33" i="2" a="1"/>
  <c r="R1399" i="2" a="1"/>
  <c r="R819" i="2" a="1"/>
  <c r="R960" i="2" a="1"/>
  <c r="Q994" i="2" a="1"/>
  <c r="S994" i="2" s="1"/>
  <c r="R1190" i="2" a="1"/>
  <c r="R2493" i="2" a="1"/>
  <c r="R1279" i="2" a="1"/>
  <c r="R2228" i="2" a="1"/>
  <c r="R941" i="2" a="1"/>
  <c r="R53" i="2" a="1"/>
  <c r="R884" i="2" a="1"/>
  <c r="R783" i="2" a="1"/>
  <c r="R1364" i="2" a="1"/>
  <c r="Q2551" i="2" a="1"/>
  <c r="S2551" i="2" s="1"/>
  <c r="R1189" i="2" a="1"/>
  <c r="R792" i="2" a="1"/>
  <c r="R1436" i="2" a="1"/>
  <c r="R2084" i="2" a="1"/>
  <c r="R1483" i="2" a="1"/>
  <c r="R842" i="2" a="1"/>
  <c r="R25" i="2" a="1"/>
  <c r="R1298" i="2" a="1"/>
  <c r="R68" i="2" a="1"/>
  <c r="Q1399" i="2" a="1"/>
  <c r="S1399" i="2" s="1"/>
  <c r="Q1189" i="2" a="1"/>
  <c r="S1189" i="2" s="1"/>
  <c r="R1323" i="2" a="1"/>
  <c r="R1366" i="2" a="1"/>
  <c r="R958" i="2" a="1"/>
  <c r="R1351" i="2" a="1"/>
  <c r="R5" i="2" a="1"/>
  <c r="R1473" i="2" a="1"/>
  <c r="R787" i="2" a="1"/>
  <c r="R844" i="2" a="1"/>
  <c r="R1382" i="2" a="1"/>
  <c r="Q1349" i="2" a="1"/>
  <c r="S1349" i="2" s="1"/>
  <c r="Q1154" i="2" a="1"/>
  <c r="S1154" i="2" s="1"/>
  <c r="R219" i="2" a="1"/>
  <c r="R1354" i="2" a="1"/>
  <c r="R2180" i="2" a="1"/>
  <c r="R877" i="2" a="1"/>
  <c r="R2176" i="2" a="1"/>
  <c r="R912" i="2" a="1"/>
  <c r="R991" i="2" a="1"/>
  <c r="R893" i="2" a="1"/>
  <c r="R42" i="2" a="1"/>
  <c r="Q2535" i="2" a="1"/>
  <c r="S2535" i="2" s="1"/>
  <c r="R1154" i="2" a="1"/>
  <c r="R2198" i="2" a="1"/>
  <c r="R2193" i="2" a="1"/>
  <c r="R1540" i="2" a="1"/>
  <c r="R1443" i="2" a="1"/>
  <c r="R1334" i="2" a="1"/>
  <c r="R962" i="2" a="1"/>
  <c r="R855" i="2" a="1"/>
  <c r="R1316" i="2" a="1"/>
  <c r="R1431" i="2" a="1"/>
  <c r="Q424" i="2" a="1"/>
  <c r="S424" i="2" s="1"/>
  <c r="Q1191" i="2" a="1"/>
  <c r="S1191" i="2" s="1"/>
  <c r="R1375" i="2" a="1"/>
  <c r="R54" i="2" a="1"/>
  <c r="R2511" i="2" a="1"/>
  <c r="R1380" i="2" a="1"/>
  <c r="R1807" i="2" a="1"/>
  <c r="R950" i="2" a="1"/>
  <c r="R205" i="2" a="1"/>
  <c r="R95" i="2" a="1"/>
  <c r="R71" i="2" a="1"/>
  <c r="Q1011" i="2" a="1"/>
  <c r="S1011" i="2" s="1"/>
  <c r="R1191" i="2" a="1"/>
  <c r="R1471" i="2" a="1"/>
  <c r="R849" i="2" a="1"/>
  <c r="R2499" i="2" a="1"/>
  <c r="R843" i="2" a="1"/>
  <c r="R2186" i="2" a="1"/>
  <c r="R60" i="2" a="1"/>
  <c r="R2188" i="2" a="1"/>
  <c r="R61" i="2" a="1"/>
  <c r="R1435" i="2" a="1"/>
  <c r="R28" i="2" a="1"/>
  <c r="R1402" i="2" a="1"/>
  <c r="Q1729" i="2" a="1"/>
  <c r="S1729" i="2" s="1"/>
  <c r="R1156" i="2" a="1"/>
  <c r="R1329" i="2" a="1"/>
  <c r="R1479" i="2" a="1"/>
  <c r="R918" i="2" a="1"/>
  <c r="R100" i="2" a="1"/>
  <c r="R47" i="2" a="1"/>
  <c r="R1458" i="2" a="1"/>
  <c r="R1299" i="2" a="1"/>
  <c r="R919" i="2" a="1"/>
  <c r="R1462" i="2" a="1"/>
  <c r="R2179" i="2" a="1"/>
  <c r="Q2505" i="2" a="1"/>
  <c r="S2505" i="2" s="1"/>
  <c r="Q1156" i="2" a="1"/>
  <c r="S1156" i="2" s="1"/>
  <c r="R955" i="2" a="1"/>
  <c r="R1941" i="2" a="1"/>
  <c r="R78" i="2" a="1"/>
  <c r="R26" i="2" a="1"/>
  <c r="R799" i="2" a="1"/>
  <c r="R1274" i="2" a="1"/>
  <c r="R18" i="2" a="1"/>
  <c r="R1502" i="2" a="1"/>
  <c r="R1309" i="2" a="1"/>
  <c r="R62" i="2" a="1"/>
  <c r="R1454" i="2" a="1"/>
  <c r="R850" i="2" a="1"/>
  <c r="R1527" i="2" a="1"/>
  <c r="R43" i="2" a="1"/>
  <c r="Q1788" i="2" a="1"/>
  <c r="S1788" i="2" s="1"/>
  <c r="Q2507" i="2" a="1"/>
  <c r="S2507" i="2" s="1"/>
  <c r="R1155" i="2" a="1"/>
  <c r="R925" i="2" a="1"/>
  <c r="R212" i="2" a="1"/>
  <c r="R973" i="2" a="1"/>
  <c r="R790" i="2" a="1"/>
  <c r="R208" i="2" a="1"/>
  <c r="R1302" i="2" a="1"/>
  <c r="R840" i="2" a="1"/>
  <c r="R1321" i="2" a="1"/>
  <c r="R854" i="2" a="1"/>
  <c r="R2204" i="2" a="1"/>
  <c r="R940" i="2" a="1"/>
  <c r="R1463" i="2" a="1"/>
  <c r="R83" i="2" a="1"/>
  <c r="R1000" i="2" a="1"/>
  <c r="R70" i="2" a="1"/>
  <c r="Q1582" i="2" a="1"/>
  <c r="S1582" i="2" s="1"/>
  <c r="Q1389" i="2" a="1"/>
  <c r="S1389" i="2" s="1"/>
  <c r="Q1155" i="2" a="1"/>
  <c r="S1155" i="2" s="1"/>
  <c r="R1157" i="2" a="1"/>
  <c r="Q1157" i="2" a="1"/>
  <c r="S1157" i="2" s="1"/>
  <c r="R923" i="2" a="1"/>
  <c r="R875" i="2" a="1"/>
  <c r="R1440" i="2" a="1"/>
  <c r="R818" i="2" a="1"/>
  <c r="Q920" i="2" a="1"/>
  <c r="S920" i="2" s="1"/>
  <c r="R1281" i="2" a="1"/>
  <c r="R891" i="2" a="1"/>
  <c r="R1464" i="2" a="1"/>
  <c r="R851" i="2" a="1"/>
  <c r="R1160" i="2" a="1"/>
  <c r="R41" i="2" a="1"/>
  <c r="R1333" i="2" a="1"/>
  <c r="R2170" i="2" a="1"/>
  <c r="R1381" i="2" a="1"/>
  <c r="R35" i="2" a="1"/>
  <c r="R1445" i="2" a="1"/>
  <c r="R1409" i="2" a="1"/>
  <c r="R1272" i="2" a="1"/>
  <c r="R1506" i="2" a="1"/>
  <c r="R38" i="2" a="1"/>
  <c r="R938" i="2" a="1"/>
  <c r="R2009" i="2" a="1"/>
  <c r="R89" i="2" a="1"/>
  <c r="R1433" i="2" a="1"/>
  <c r="R961" i="2" a="1"/>
  <c r="R77" i="2" a="1"/>
  <c r="R785" i="2" a="1"/>
  <c r="R1480" i="2" a="1"/>
  <c r="R1519" i="2" a="1"/>
  <c r="Q2025" i="2" a="1"/>
  <c r="S2025" i="2" s="1"/>
  <c r="Q1402" i="2" a="1"/>
  <c r="S1402" i="2" s="1"/>
  <c r="Q2492" i="2" a="1"/>
  <c r="S2492" i="2" s="1"/>
  <c r="R1159" i="2" a="1"/>
  <c r="R847" i="2" a="1"/>
  <c r="R942" i="2" a="1"/>
  <c r="R1328" i="2" a="1"/>
  <c r="R46" i="2" a="1"/>
  <c r="R872" i="2" a="1"/>
  <c r="Q2058" i="2" a="1"/>
  <c r="S2058" i="2" s="1"/>
  <c r="R116" i="2" a="1"/>
  <c r="R2225" i="2" a="1"/>
  <c r="R778" i="2" a="1"/>
  <c r="R22" i="2" a="1"/>
  <c r="R1305" i="2" a="1"/>
  <c r="Q875" i="2" a="1"/>
  <c r="S875" i="2" s="1"/>
  <c r="R987" i="2" a="1"/>
  <c r="R862" i="2" a="1"/>
  <c r="R1416" i="2" a="1"/>
  <c r="R1501" i="2" a="1"/>
  <c r="R1495" i="2" a="1"/>
  <c r="R1528" i="2" a="1"/>
  <c r="R1413" i="2" a="1"/>
  <c r="R926" i="2" a="1"/>
  <c r="R882" i="2" a="1"/>
  <c r="R1335" i="2" a="1"/>
  <c r="R1342" i="2" a="1"/>
  <c r="R2508" i="2" a="1"/>
  <c r="R917" i="2" a="1"/>
  <c r="R838" i="2" a="1"/>
  <c r="R907" i="2" a="1"/>
  <c r="R3" i="2" a="1"/>
  <c r="R982" i="2" a="1"/>
  <c r="R1839" i="2" a="1"/>
  <c r="R20" i="2" a="1"/>
  <c r="Q1639" i="2" a="1"/>
  <c r="S1639" i="2" s="1"/>
  <c r="Q1450" i="2" a="1"/>
  <c r="S1450" i="2" s="1"/>
  <c r="Q1975" i="2" a="1"/>
  <c r="S1975" i="2" s="1"/>
  <c r="Q1159" i="2" a="1"/>
  <c r="S1159" i="2" s="1"/>
  <c r="R1271" i="2" a="1"/>
  <c r="R1482" i="2" a="1"/>
  <c r="R2027" i="2" a="1"/>
  <c r="R2184" i="2" a="1"/>
  <c r="R202" i="2" a="1"/>
  <c r="R2189" i="2" a="1"/>
  <c r="R871" i="2" a="1"/>
  <c r="R1304" i="2" a="1"/>
  <c r="R1497" i="2" a="1"/>
  <c r="R1498" i="2" a="1"/>
  <c r="Q1275" i="2" a="1"/>
  <c r="S1275" i="2" s="1"/>
  <c r="R870" i="2" a="1"/>
  <c r="R1313" i="2" a="1"/>
  <c r="R1340" i="2" a="1"/>
  <c r="R2041" i="2" a="1"/>
  <c r="R102" i="2" a="1"/>
  <c r="R2226" i="2" a="1"/>
  <c r="R1510" i="2" a="1"/>
  <c r="R117" i="2" a="1"/>
  <c r="R11" i="2" a="1"/>
  <c r="R964" i="2" a="1"/>
  <c r="R1363" i="2" a="1"/>
  <c r="R1346" i="2" a="1"/>
  <c r="R857" i="2" a="1"/>
  <c r="R788" i="2" a="1"/>
  <c r="R1500" i="2" a="1"/>
  <c r="R65" i="2" a="1"/>
  <c r="R1332" i="2" a="1"/>
  <c r="R979" i="2" a="1"/>
  <c r="R91" i="2" a="1"/>
  <c r="Q964" i="2" a="1"/>
  <c r="S964" i="2" s="1"/>
  <c r="Q269" i="2" a="1"/>
  <c r="S269" i="2" s="1"/>
  <c r="Q1896" i="2" a="1"/>
  <c r="S1896" i="2" s="1"/>
  <c r="R1158" i="2" a="1"/>
  <c r="R1373" i="2" a="1"/>
  <c r="R1517" i="2" a="1"/>
  <c r="R2183" i="2" a="1"/>
  <c r="R936" i="2" a="1"/>
  <c r="R1276" i="2" a="1"/>
  <c r="Q1739" i="2" a="1"/>
  <c r="S1739" i="2" s="1"/>
  <c r="R73" i="2" a="1"/>
  <c r="R211" i="2" a="1"/>
  <c r="R15" i="2" a="1"/>
  <c r="R861" i="2" a="1"/>
  <c r="R1343" i="2" a="1"/>
  <c r="Q1257" i="2" a="1"/>
  <c r="S1257" i="2" s="1"/>
  <c r="R997" i="2" a="1"/>
  <c r="R48" i="2" a="1"/>
  <c r="R214" i="2" a="1"/>
  <c r="R856" i="2" a="1"/>
  <c r="R954" i="2" a="1"/>
  <c r="R1469" i="2" a="1"/>
  <c r="R36" i="2" a="1"/>
  <c r="R221" i="2" a="1"/>
  <c r="R869" i="2" a="1"/>
  <c r="R951" i="2" a="1"/>
  <c r="R1466" i="2" a="1"/>
  <c r="R927" i="2" a="1"/>
  <c r="R1296" i="2" a="1"/>
  <c r="R1365" i="2" a="1"/>
  <c r="R839" i="2" a="1"/>
  <c r="R913" i="2" a="1"/>
  <c r="R800" i="2" a="1"/>
  <c r="R890" i="2" a="1"/>
  <c r="R1461" i="2" a="1"/>
  <c r="Q961" i="2" a="1"/>
  <c r="S961" i="2" s="1"/>
  <c r="Q2172" i="2" a="1"/>
  <c r="S2172" i="2" s="1"/>
  <c r="Q1289" i="2" a="1"/>
  <c r="S1289" i="2" s="1"/>
  <c r="Q1158" i="2" a="1"/>
  <c r="S1158" i="2" s="1"/>
  <c r="Q1160" i="2" a="1"/>
  <c r="S1160" i="2" s="1"/>
  <c r="R802" i="2" a="1"/>
  <c r="R860" i="2" a="1"/>
  <c r="R1423" i="2" a="1"/>
  <c r="R1378" i="2" a="1"/>
  <c r="R24" i="2" a="1"/>
  <c r="R947" i="2" a="1"/>
  <c r="R810" i="2" a="1"/>
  <c r="R959" i="2" a="1"/>
  <c r="Q1781" i="2" a="1"/>
  <c r="S1781" i="2" s="1"/>
  <c r="R63" i="2" a="1"/>
  <c r="R16" i="2" a="1"/>
  <c r="R101" i="2" a="1"/>
  <c r="R952" i="2" a="1"/>
  <c r="R2192" i="2" a="1"/>
  <c r="R1315" i="2" a="1"/>
  <c r="R228" i="2" a="1"/>
  <c r="R2094" i="2" a="1"/>
  <c r="Q1163" i="2" a="1"/>
  <c r="S1163" i="2" s="1"/>
  <c r="R1311" i="2" a="1"/>
  <c r="R957" i="2" a="1"/>
  <c r="R74" i="2" a="1"/>
  <c r="R815" i="2" a="1"/>
  <c r="R791" i="2" a="1"/>
  <c r="R1347" i="2" a="1"/>
  <c r="R1395" i="2" a="1"/>
  <c r="R1359" i="2" a="1"/>
  <c r="R1372" i="2" a="1"/>
  <c r="R1481" i="2" a="1"/>
  <c r="R1493" i="2" a="1"/>
  <c r="R1322" i="2" a="1"/>
  <c r="R837" i="2" a="1"/>
  <c r="R894" i="2" a="1"/>
  <c r="R784" i="2" a="1"/>
  <c r="R967" i="2" a="1"/>
  <c r="R98" i="2" a="1"/>
  <c r="R985" i="2" a="1"/>
  <c r="R2004" i="2" a="1"/>
  <c r="R2171" i="2" a="1"/>
  <c r="R1360" i="2" a="1"/>
  <c r="R2175" i="2" a="1"/>
  <c r="R812" i="2" a="1"/>
  <c r="R2525" i="2" a="1"/>
  <c r="R990" i="2" a="1"/>
  <c r="R2221" i="2" a="1"/>
  <c r="R1438" i="2" a="1"/>
  <c r="R2" i="2" a="1"/>
  <c r="R1496" i="2" a="1"/>
  <c r="R983" i="2" a="1"/>
  <c r="R1277" i="2" a="1"/>
  <c r="R2223" i="2" a="1"/>
  <c r="Q2522" i="2" a="1"/>
  <c r="S2522" i="2" s="1"/>
  <c r="Q1853" i="2" a="1"/>
  <c r="S1853" i="2" s="1"/>
  <c r="Q571" i="2" a="1"/>
  <c r="S571" i="2" s="1"/>
  <c r="Q911" i="2" a="1"/>
  <c r="S911" i="2" s="1"/>
  <c r="R1162" i="2" a="1"/>
  <c r="R1301" i="2" a="1"/>
  <c r="R948" i="2" a="1"/>
  <c r="R804" i="2" a="1"/>
  <c r="R920" i="2" a="1"/>
  <c r="R1475" i="2" a="1"/>
  <c r="R49" i="2" a="1"/>
  <c r="R2232" i="2" a="1"/>
  <c r="R4" i="2" a="1"/>
  <c r="Q1899" i="2" a="1"/>
  <c r="S1899" i="2" s="1"/>
  <c r="R1467" i="2" a="1"/>
  <c r="R1344" i="2" a="1"/>
  <c r="R90" i="2" a="1"/>
  <c r="R2187" i="2" a="1"/>
  <c r="R885" i="2" a="1"/>
  <c r="R1325" i="2" a="1"/>
  <c r="R1485" i="2" a="1"/>
  <c r="R1284" i="2" a="1"/>
  <c r="Q614" i="2" a="1"/>
  <c r="S614" i="2" s="1"/>
  <c r="Q895" i="2" a="1"/>
  <c r="S895" i="2" s="1"/>
  <c r="R51" i="2" a="1"/>
  <c r="R887" i="2" a="1"/>
  <c r="R96" i="2" a="1"/>
  <c r="R76" i="2" a="1"/>
  <c r="R1283" i="2" a="1"/>
  <c r="R105" i="2" a="1"/>
  <c r="R1336" i="2" a="1"/>
  <c r="R2533" i="2" a="1"/>
  <c r="R215" i="2" a="1"/>
  <c r="R2507" i="2" a="1"/>
  <c r="R853" i="2" a="1"/>
  <c r="R1520" i="2" a="1"/>
  <c r="R999" i="2" a="1"/>
  <c r="R846" i="2" a="1"/>
  <c r="R1367" i="2" a="1"/>
  <c r="R946" i="2" a="1"/>
  <c r="R1488" i="2" a="1"/>
  <c r="R67" i="2" a="1"/>
  <c r="R1002" i="2" a="1"/>
  <c r="R223" i="2" a="1"/>
  <c r="R944" i="2" a="1"/>
  <c r="R1307" i="2" a="1"/>
  <c r="R225" i="2" a="1"/>
  <c r="R1491" i="2" a="1"/>
  <c r="R878" i="2" a="1"/>
  <c r="R201" i="2" a="1"/>
  <c r="R1312" i="2" a="1"/>
  <c r="R2523" i="2" a="1"/>
  <c r="R965" i="2" a="1"/>
  <c r="R908" i="2" a="1"/>
  <c r="R993" i="2" a="1"/>
  <c r="R106" i="2" a="1"/>
  <c r="Q1930" i="2" a="1"/>
  <c r="S1930" i="2" s="1"/>
  <c r="Q898" i="2" a="1"/>
  <c r="S898" i="2" s="1"/>
  <c r="Q805" i="2" a="1"/>
  <c r="S805" i="2" s="1"/>
  <c r="Q2133" i="2" a="1"/>
  <c r="S2133" i="2" s="1"/>
  <c r="Q1162" i="2" a="1"/>
  <c r="S1162" i="2" s="1"/>
  <c r="R2234" i="2" a="1"/>
  <c r="R1414" i="2" a="1"/>
  <c r="R2532" i="2" a="1"/>
  <c r="R931" i="2" a="1"/>
  <c r="R1292" i="2" a="1"/>
  <c r="R863" i="2" a="1"/>
  <c r="R2185" i="2" a="1"/>
  <c r="R1318" i="2" a="1"/>
  <c r="Q108" i="2" a="1"/>
  <c r="S108" i="2" s="1"/>
  <c r="R1163" i="2" a="1"/>
  <c r="R980" i="2" a="1"/>
  <c r="R916" i="2" a="1"/>
  <c r="R1513" i="2" a="1"/>
  <c r="R1286" i="2" a="1"/>
  <c r="R2522" i="2" a="1"/>
  <c r="R835" i="2" a="1"/>
  <c r="R115" i="2" a="1"/>
  <c r="R1350" i="2" a="1"/>
  <c r="Q2235" i="2" a="1"/>
  <c r="S2235" i="2" s="1"/>
  <c r="R109" i="2" a="1"/>
  <c r="R1408" i="2" a="1"/>
  <c r="R92" i="2" a="1"/>
  <c r="R956" i="2" a="1"/>
  <c r="R969" i="2" a="1"/>
  <c r="R209" i="2" a="1"/>
  <c r="R1310" i="2" a="1"/>
  <c r="R2520" i="2" a="1"/>
  <c r="R1505" i="2" a="1"/>
  <c r="R31" i="2" a="1"/>
  <c r="R114" i="2" a="1"/>
  <c r="R1446" i="2" a="1"/>
  <c r="R1001" i="2" a="1"/>
  <c r="R2191" i="2" a="1"/>
  <c r="R859" i="2" a="1"/>
  <c r="R1532" i="2" a="1"/>
  <c r="R363" i="2" a="1"/>
  <c r="R1295" i="2" a="1"/>
  <c r="R1430" i="2" a="1"/>
  <c r="R873" i="2" a="1"/>
  <c r="R1422" i="2" a="1"/>
  <c r="R2526" i="2" a="1"/>
  <c r="R864" i="2" a="1"/>
  <c r="R1450" i="2" a="1"/>
  <c r="R876" i="2" a="1"/>
  <c r="R55" i="2" a="1"/>
  <c r="R1526" i="2" a="1"/>
  <c r="R1368" i="2" a="1"/>
  <c r="R6" i="2" a="1"/>
  <c r="R224" i="2" a="1"/>
  <c r="R909" i="2" a="1"/>
  <c r="R874" i="2" a="1"/>
  <c r="Q1736" i="2" a="1"/>
  <c r="S1736" i="2" s="1"/>
  <c r="Q2499" i="2" a="1"/>
  <c r="S2499" i="2" s="1"/>
  <c r="Q52" i="2" a="1"/>
  <c r="S52" i="2" s="1"/>
  <c r="Q1216" i="2" a="1"/>
  <c r="S1216" i="2" s="1"/>
  <c r="Q1161" i="2" a="1"/>
  <c r="S1161" i="2" s="1"/>
  <c r="R1434" i="2" a="1"/>
  <c r="R1377" i="2" a="1"/>
  <c r="R59" i="2" a="1"/>
  <c r="R207" i="2" a="1"/>
  <c r="R110" i="2" a="1"/>
  <c r="R1947" i="2" a="1"/>
  <c r="R922" i="2" a="1"/>
  <c r="R1280" i="2" a="1"/>
  <c r="Q1451" i="2" a="1"/>
  <c r="S1451" i="2" s="1"/>
  <c r="R2169" i="2" a="1"/>
  <c r="R971" i="2" a="1"/>
  <c r="R2519" i="2" a="1"/>
  <c r="R1341" i="2" a="1"/>
  <c r="R2224" i="2" a="1"/>
  <c r="R988" i="2" a="1"/>
  <c r="R1499" i="2" a="1"/>
  <c r="R1397" i="2" a="1"/>
  <c r="Q1966" i="2" a="1"/>
  <c r="S1966" i="2" s="1"/>
  <c r="R108" i="2" a="1"/>
  <c r="R1426" i="2" a="1"/>
  <c r="R1339" i="2" a="1"/>
  <c r="R848" i="2" a="1"/>
  <c r="R40" i="2" a="1"/>
  <c r="R1492" i="2" a="1"/>
  <c r="R2222" i="2" a="1"/>
  <c r="R1514" i="2" a="1"/>
  <c r="R825" i="2" a="1"/>
  <c r="R968" i="2" a="1"/>
  <c r="R1398" i="2" a="1"/>
  <c r="R1419" i="2" a="1"/>
  <c r="R1357" i="2" a="1"/>
  <c r="R858" i="2" a="1"/>
  <c r="R2197" i="2" a="1"/>
  <c r="R886" i="2" a="1"/>
  <c r="R81" i="2" a="1"/>
  <c r="R2172" i="2" a="1"/>
  <c r="R978" i="2" a="1"/>
  <c r="R2528" i="2" a="1"/>
  <c r="R1487" i="2" a="1"/>
  <c r="R107" i="2" a="1"/>
  <c r="R1472" i="2" a="1"/>
  <c r="R975" i="2" a="1"/>
  <c r="R2233" i="2" a="1"/>
  <c r="R1297" i="2" a="1"/>
  <c r="R1836" i="2" a="1"/>
  <c r="R1518" i="2" a="1"/>
  <c r="R794" i="2" a="1"/>
  <c r="R2527" i="2" a="1"/>
  <c r="R865" i="2" a="1"/>
  <c r="R1300" i="2" a="1"/>
  <c r="Q1481" i="2" a="1"/>
  <c r="S1481" i="2" s="1"/>
  <c r="Q2096" i="2" a="1"/>
  <c r="S2096" i="2" s="1"/>
  <c r="Q1297" i="2" a="1"/>
  <c r="S1297" i="2" s="1"/>
  <c r="Q1283" i="2" a="1"/>
  <c r="S1283" i="2" s="1"/>
  <c r="R1161" i="2" a="1"/>
  <c r="R1407" i="2" a="1"/>
  <c r="R103" i="2" a="1"/>
  <c r="R1509" i="2" a="1"/>
  <c r="R226" i="2" a="1"/>
  <c r="R1330" i="2" a="1"/>
  <c r="R2512" i="2" a="1"/>
  <c r="R2521" i="2" a="1"/>
  <c r="R1412" i="2" a="1"/>
  <c r="R1358" i="2" a="1"/>
  <c r="R1410" i="2" a="1"/>
  <c r="R104" i="2" a="1"/>
  <c r="R1507" i="2" a="1"/>
  <c r="R2190" i="2" a="1"/>
  <c r="R1508" i="2" a="1"/>
  <c r="R2235" i="2" a="1"/>
  <c r="R57" i="2" a="1"/>
  <c r="R32" i="2" a="1"/>
  <c r="R1428" i="2" a="1"/>
  <c r="R203" i="2" a="1"/>
  <c r="R2229" i="2" a="1"/>
  <c r="R58" i="2" a="1"/>
  <c r="R966" i="2" a="1"/>
  <c r="R1282" i="2" a="1"/>
  <c r="R1494" i="2" a="1"/>
  <c r="R119" i="2" a="1"/>
  <c r="R889" i="2" a="1"/>
  <c r="R924" i="2" a="1"/>
  <c r="R2199" i="2" a="1"/>
  <c r="R1349" i="2" a="1"/>
  <c r="R1503" i="2" a="1"/>
  <c r="R2173" i="2" a="1"/>
  <c r="R1453" i="2" a="1"/>
  <c r="R30" i="2" a="1"/>
  <c r="R1314" i="2" a="1"/>
  <c r="R1846" i="2" a="1"/>
  <c r="R64" i="2" a="1"/>
  <c r="R1429" i="2" a="1"/>
  <c r="R1484" i="2" a="1"/>
  <c r="R895" i="2" a="1"/>
  <c r="R943" i="2" a="1"/>
  <c r="R1411" i="2" a="1"/>
  <c r="R1437" i="2" a="1"/>
  <c r="Q2089" i="2" a="1"/>
  <c r="S2089" i="2" s="1"/>
  <c r="Q1950" i="2" a="1"/>
  <c r="S1950" i="2" s="1"/>
  <c r="Q1969" i="2" a="1"/>
  <c r="S1969" i="2" s="1"/>
  <c r="Q1260" i="2" a="1"/>
  <c r="S1260" i="2" s="1"/>
  <c r="Q2026" i="2" a="1"/>
  <c r="S2026" i="2" s="1"/>
  <c r="R1142" i="2" a="1"/>
  <c r="R2174" i="2" a="1"/>
  <c r="R50" i="2" a="1"/>
  <c r="R984" i="2" a="1"/>
  <c r="R2505" i="2" a="1"/>
  <c r="R1326" i="2" a="1"/>
  <c r="R888" i="2" a="1"/>
  <c r="R87" i="2" a="1"/>
  <c r="R977" i="2" a="1"/>
  <c r="R1394" i="2" a="1"/>
  <c r="R1331" i="2" a="1"/>
  <c r="R998" i="2" a="1"/>
  <c r="R1348" i="2" a="1"/>
  <c r="R220" i="2" a="1"/>
  <c r="R227" i="2" a="1"/>
  <c r="R2531" i="2" a="1"/>
  <c r="R976" i="2" a="1"/>
  <c r="R868" i="2" a="1"/>
  <c r="R1468" i="2" a="1"/>
  <c r="R99" i="2" a="1"/>
  <c r="R2201" i="2" a="1"/>
  <c r="R992" i="2" a="1"/>
  <c r="R1477" i="2" a="1"/>
  <c r="R213" i="2" a="1"/>
  <c r="R118" i="2" a="1"/>
  <c r="R27" i="2" a="1"/>
  <c r="R1465" i="2" a="1"/>
  <c r="R1511" i="2" a="1"/>
  <c r="R781" i="2" a="1"/>
  <c r="R1287" i="2" a="1"/>
  <c r="R883" i="2" a="1"/>
  <c r="R1352" i="2" a="1"/>
  <c r="R1490" i="2" a="1"/>
  <c r="R797" i="2" a="1"/>
  <c r="R85" i="2" a="1"/>
  <c r="R1536" i="2" a="1"/>
  <c r="R2230" i="2" a="1"/>
  <c r="R82" i="2" a="1"/>
  <c r="R2196" i="2" a="1"/>
  <c r="R2168" i="2" a="1"/>
  <c r="R972" i="2" a="1"/>
  <c r="R989" i="2" a="1"/>
  <c r="Q1934" i="2" a="1"/>
  <c r="S1934" i="2" s="1"/>
  <c r="Q1928" i="2" a="1"/>
  <c r="S1928" i="2" s="1"/>
  <c r="Q1905" i="2" a="1"/>
  <c r="S1905" i="2" s="1"/>
  <c r="Q1465" i="2" a="1"/>
  <c r="S1465" i="2" s="1"/>
  <c r="Q1926" i="2" a="1"/>
  <c r="S1926" i="2" s="1"/>
  <c r="Q321" i="2" a="1"/>
  <c r="S321" i="2" s="1"/>
  <c r="R1135" i="2" a="1"/>
  <c r="R934" i="2" a="1"/>
  <c r="R807" i="2" a="1"/>
  <c r="R1003" i="2" a="1"/>
  <c r="R23" i="2" a="1"/>
  <c r="R933" i="2" a="1"/>
  <c r="R1522" i="2" a="1"/>
  <c r="R1338" i="2" a="1"/>
  <c r="R12" i="2" a="1"/>
  <c r="R37" i="2" a="1"/>
  <c r="R1948" i="2" a="1"/>
  <c r="R1478" i="2" a="1"/>
  <c r="R1293" i="2" a="1"/>
  <c r="R798" i="2" a="1"/>
  <c r="R45" i="2" a="1"/>
  <c r="R981" i="2" a="1"/>
  <c r="R1523" i="2" a="1"/>
  <c r="R910" i="2" a="1"/>
  <c r="R1447" i="2" a="1"/>
  <c r="R2178" i="2" a="1"/>
  <c r="R56" i="2" a="1"/>
  <c r="R1474" i="2" a="1"/>
  <c r="R93" i="2" a="1"/>
  <c r="R86" i="2" a="1"/>
  <c r="R1401" i="2" a="1"/>
  <c r="R113" i="2" a="1"/>
  <c r="R1417" i="2" a="1"/>
  <c r="R841" i="2" a="1"/>
  <c r="R1524" i="2" a="1"/>
  <c r="R932" i="2" a="1"/>
  <c r="R1504" i="2" a="1"/>
  <c r="R1525" i="2" a="1"/>
  <c r="R2092" i="2" a="1"/>
  <c r="R780" i="2" a="1"/>
  <c r="R8" i="2" a="1"/>
  <c r="R79" i="2" a="1"/>
  <c r="R17" i="2" a="1"/>
  <c r="R939" i="2" a="1"/>
  <c r="R811" i="2" a="1"/>
  <c r="R2220" i="2" a="1"/>
  <c r="R914" i="2" a="1"/>
  <c r="R1425" i="2" a="1"/>
  <c r="Q1419" i="2" a="1"/>
  <c r="S1419" i="2" s="1"/>
  <c r="Q2113" i="2" a="1"/>
  <c r="S2113" i="2" s="1"/>
  <c r="Q1904" i="2" a="1"/>
  <c r="S1904" i="2" s="1"/>
  <c r="Q102" i="2" a="1"/>
  <c r="S102" i="2" s="1"/>
  <c r="Q107" i="2" a="1"/>
  <c r="S107" i="2" s="1"/>
  <c r="Q840" i="2" a="1"/>
  <c r="S840" i="2" s="1"/>
  <c r="R1164" i="2" a="1"/>
  <c r="R1370" i="2" a="1"/>
  <c r="R2030" i="2" a="1"/>
  <c r="R801" i="2" a="1"/>
  <c r="R1452" i="2" a="1"/>
  <c r="R1421" i="2" a="1"/>
  <c r="R1355" i="2" a="1"/>
  <c r="R803" i="2" a="1"/>
  <c r="R121" i="2" a="1"/>
  <c r="R809" i="2" a="1"/>
  <c r="R2194" i="2" a="1"/>
  <c r="R1534" i="2" a="1"/>
  <c r="R222" i="2" a="1"/>
  <c r="R816" i="2" a="1"/>
  <c r="R1432" i="2" a="1"/>
  <c r="R1924" i="2" a="1"/>
  <c r="R2195" i="2" a="1"/>
  <c r="R1459" i="2" a="1"/>
  <c r="R2530" i="2" a="1"/>
  <c r="R1455" i="2" a="1"/>
  <c r="R2529" i="2" a="1"/>
  <c r="R1324" i="2" a="1"/>
  <c r="R1457" i="2" a="1"/>
  <c r="R1389" i="2" a="1"/>
  <c r="R2514" i="2" a="1"/>
  <c r="R1460" i="2" a="1"/>
  <c r="R210" i="2" a="1"/>
  <c r="R29" i="2" a="1"/>
  <c r="R2496" i="2" a="1"/>
  <c r="R1320" i="2" a="1"/>
  <c r="R1456" i="2" a="1"/>
  <c r="R34" i="2" a="1"/>
  <c r="R2506" i="2" a="1"/>
  <c r="R1444" i="2" a="1"/>
  <c r="R2200" i="2" a="1"/>
  <c r="R915" i="2" a="1"/>
  <c r="R1273" i="2" a="1"/>
  <c r="R1278" i="2" a="1"/>
  <c r="R1486" i="2" a="1"/>
  <c r="R901" i="2" a="1"/>
  <c r="R1439" i="2" a="1"/>
  <c r="R1303" i="2" a="1"/>
  <c r="Q2510" i="2" a="1"/>
  <c r="S2510" i="2" s="1"/>
  <c r="Q1476" i="2" a="1"/>
  <c r="S1476" i="2" s="1"/>
  <c r="Q1902" i="2" a="1"/>
  <c r="S1902" i="2" s="1"/>
  <c r="Q1338" i="2" a="1"/>
  <c r="S1338" i="2" s="1"/>
  <c r="Q778" i="2" a="1"/>
  <c r="S778" i="2" s="1"/>
  <c r="Q936" i="2" a="1"/>
  <c r="S936" i="2" s="1"/>
  <c r="Q1164" i="2" a="1"/>
  <c r="S1164" i="2" s="1"/>
  <c r="R1133" i="2" a="1"/>
  <c r="R1134" i="2" a="1"/>
  <c r="Q11" i="2" a="1"/>
  <c r="S11" i="2" s="1"/>
  <c r="Q980" i="2" a="1"/>
  <c r="S980" i="2" s="1"/>
  <c r="Q2049" i="2" a="1"/>
  <c r="S2049" i="2" s="1"/>
  <c r="R1132" i="2" a="1"/>
  <c r="Q1797" i="2" a="1"/>
  <c r="S1797" i="2" s="1"/>
  <c r="Q1421" i="2" a="1"/>
  <c r="S1421" i="2" s="1"/>
  <c r="Q626" i="2" a="1"/>
  <c r="S626" i="2" s="1"/>
  <c r="Q1136" i="2" a="1"/>
  <c r="S1136" i="2" s="1"/>
  <c r="Q1549" i="2" a="1"/>
  <c r="S1549" i="2" s="1"/>
  <c r="Q1462" i="2" a="1"/>
  <c r="S1462" i="2" s="1"/>
  <c r="Q2030" i="2" a="1"/>
  <c r="S2030" i="2" s="1"/>
  <c r="Q33" i="2" a="1"/>
  <c r="S33" i="2" s="1"/>
  <c r="Q1137" i="2" a="1"/>
  <c r="S1137" i="2" s="1"/>
  <c r="Q1355" i="2" a="1"/>
  <c r="S1355" i="2" s="1"/>
  <c r="Q784" i="2" a="1"/>
  <c r="S784" i="2" s="1"/>
  <c r="Q1134" i="2" a="1"/>
  <c r="S1134" i="2" s="1"/>
  <c r="Q1630" i="2" a="1"/>
  <c r="S1630" i="2" s="1"/>
  <c r="Q833" i="2" a="1"/>
  <c r="S833" i="2" s="1"/>
  <c r="Q2097" i="2" a="1"/>
  <c r="S2097" i="2" s="1"/>
  <c r="Q1133" i="2" a="1"/>
  <c r="S1133" i="2" s="1"/>
  <c r="Q1900" i="2" a="1"/>
  <c r="S1900" i="2" s="1"/>
  <c r="Q225" i="2" a="1"/>
  <c r="S225" i="2" s="1"/>
  <c r="Q89" i="2" a="1"/>
  <c r="S89" i="2" s="1"/>
  <c r="Q1745" i="2" a="1"/>
  <c r="S1745" i="2" s="1"/>
  <c r="Q1135" i="2" a="1"/>
  <c r="S1135" i="2" s="1"/>
  <c r="Q2080" i="2" a="1"/>
  <c r="S2080" i="2" s="1"/>
  <c r="Q997" i="2" a="1"/>
  <c r="S997" i="2" s="1"/>
  <c r="Q1406" i="2" a="1"/>
  <c r="S1406" i="2" s="1"/>
  <c r="Q2182" i="2" a="1"/>
  <c r="S2182" i="2" s="1"/>
  <c r="Q1132" i="2" a="1"/>
  <c r="S1132" i="2" s="1"/>
  <c r="Q1142" i="2" a="1"/>
  <c r="S1142" i="2" s="1"/>
  <c r="R1138" i="2" a="1"/>
  <c r="Q110" i="2" a="1"/>
  <c r="S110" i="2" s="1"/>
  <c r="R1137" i="2" a="1"/>
  <c r="Q1705" i="2" a="1"/>
  <c r="S1705" i="2" s="1"/>
  <c r="R1136" i="2" a="1"/>
  <c r="Q145" i="2" a="1"/>
  <c r="S145" i="2" s="1"/>
  <c r="Q1443" i="2" a="1"/>
  <c r="S1443" i="2" s="1"/>
  <c r="Q1314" i="2" a="1"/>
  <c r="S1314" i="2" s="1"/>
  <c r="Q1138" i="2" a="1"/>
  <c r="S1138" i="2" s="1"/>
  <c r="R1140" i="2" a="1"/>
  <c r="R1139" i="2" a="1"/>
  <c r="Q45" i="2" a="1"/>
  <c r="S45" i="2" s="1"/>
  <c r="Q1139" i="2" a="1"/>
  <c r="S1139" i="2" s="1"/>
  <c r="Q113" i="2" a="1"/>
  <c r="S113" i="2" s="1"/>
  <c r="Q1140" i="2" a="1"/>
  <c r="S1140" i="2" s="1"/>
  <c r="R1141" i="2" a="1"/>
  <c r="Q1593" i="2" a="1"/>
  <c r="Q1144" i="2" a="1"/>
  <c r="S1144" i="2" s="1"/>
  <c r="Q1287" i="2" a="1"/>
  <c r="S1287" i="2" s="1"/>
  <c r="Q2199" i="2" a="1"/>
  <c r="S2199" i="2" s="1"/>
  <c r="Q1367" i="2" a="1"/>
  <c r="S1367" i="2" s="1"/>
  <c r="Q910" i="2" a="1"/>
  <c r="S910" i="2" s="1"/>
  <c r="Q1521" i="2" a="1"/>
  <c r="S1521" i="2" s="1"/>
  <c r="Q835" i="2" a="1"/>
  <c r="S835" i="2" s="1"/>
  <c r="Q1757" i="2" a="1"/>
  <c r="S1757" i="2" s="1"/>
  <c r="Q1215" i="2" a="1"/>
  <c r="S1215" i="2" s="1"/>
  <c r="Q6" i="2" a="1"/>
  <c r="S6" i="2" s="1"/>
  <c r="Q1891" i="2" a="1"/>
  <c r="S1891" i="2" s="1"/>
  <c r="Q931" i="2" a="1"/>
  <c r="S931" i="2" s="1"/>
  <c r="Q1430" i="2" a="1"/>
  <c r="S1430" i="2" s="1"/>
  <c r="Q1789" i="2" a="1"/>
  <c r="S1789" i="2" s="1"/>
  <c r="Q2200" i="2" a="1"/>
  <c r="S2200" i="2" s="1"/>
  <c r="Q1767" i="2" a="1"/>
  <c r="S1767" i="2" s="1"/>
  <c r="Q1302" i="2" a="1"/>
  <c r="S1302" i="2" s="1"/>
  <c r="Q2197" i="2" a="1"/>
  <c r="S2197" i="2" s="1"/>
  <c r="Q644" i="2" a="1"/>
  <c r="S644" i="2" s="1"/>
  <c r="Q2224" i="2" a="1"/>
  <c r="S2224" i="2" s="1"/>
  <c r="Q823" i="2" a="1"/>
  <c r="S823" i="2" s="1"/>
  <c r="Q2014" i="2" a="1"/>
  <c r="S2014" i="2" s="1"/>
  <c r="Q1952" i="2" a="1"/>
  <c r="S1952" i="2" s="1"/>
  <c r="Q2511" i="2" a="1"/>
  <c r="S2511" i="2" s="1"/>
  <c r="Q2060" i="2" a="1"/>
  <c r="S2060" i="2" s="1"/>
  <c r="Q2512" i="2" a="1"/>
  <c r="S2512" i="2" s="1"/>
  <c r="Q2029" i="2" a="1"/>
  <c r="S2029" i="2" s="1"/>
  <c r="Q1878" i="2" a="1"/>
  <c r="S1878" i="2" s="1"/>
  <c r="Q900" i="2" a="1"/>
  <c r="S900" i="2" s="1"/>
  <c r="Q1311" i="2" a="1"/>
  <c r="S1311" i="2" s="1"/>
  <c r="Q2116" i="2" a="1"/>
  <c r="S2116" i="2" s="1"/>
  <c r="Q516" i="2" a="1"/>
  <c r="S516" i="2" s="1"/>
  <c r="Q1510" i="2" a="1"/>
  <c r="S1510" i="2" s="1"/>
  <c r="Q2153" i="2" a="1"/>
  <c r="S2153" i="2" s="1"/>
  <c r="Q2044" i="2" a="1"/>
  <c r="S2044" i="2" s="1"/>
  <c r="Q56" i="2" a="1"/>
  <c r="S56" i="2" s="1"/>
  <c r="Q1247" i="2" a="1"/>
  <c r="S1247" i="2" s="1"/>
  <c r="Q2536" i="2" a="1"/>
  <c r="S2536" i="2" s="1"/>
  <c r="Q826" i="2" a="1"/>
  <c r="S826" i="2" s="1"/>
  <c r="Q403" i="2" a="1"/>
  <c r="S403" i="2" s="1"/>
  <c r="Q1735" i="2" a="1"/>
  <c r="S1735" i="2" s="1"/>
  <c r="Q21" i="2" a="1"/>
  <c r="S21" i="2" s="1"/>
  <c r="Q2225" i="2" a="1"/>
  <c r="S2225" i="2" s="1"/>
  <c r="Q1475" i="2" a="1"/>
  <c r="S1475" i="2" s="1"/>
  <c r="Q1350" i="2" a="1"/>
  <c r="S1350" i="2" s="1"/>
  <c r="Q1738" i="2" a="1"/>
  <c r="S1738" i="2" s="1"/>
  <c r="Q761" i="2" a="1"/>
  <c r="S761" i="2" s="1"/>
  <c r="Q2036" i="2" a="1"/>
  <c r="S2036" i="2" s="1"/>
  <c r="Q1984" i="2" a="1"/>
  <c r="S1984" i="2" s="1"/>
  <c r="Q1953" i="2" a="1"/>
  <c r="S1953" i="2" s="1"/>
  <c r="Q1652" i="2" a="1"/>
  <c r="S1652" i="2" s="1"/>
  <c r="Q451" i="2" a="1"/>
  <c r="S451" i="2" s="1"/>
  <c r="Q20" i="2" a="1"/>
  <c r="S20" i="2" s="1"/>
  <c r="Q1758" i="2" a="1"/>
  <c r="S1758" i="2" s="1"/>
  <c r="Q1677" i="2" a="1"/>
  <c r="S1677" i="2" s="1"/>
  <c r="Q1527" i="2" a="1"/>
  <c r="S1527" i="2" s="1"/>
  <c r="Q1469" i="2" a="1"/>
  <c r="S1469" i="2" s="1"/>
  <c r="Q2526" i="2" a="1"/>
  <c r="S2526" i="2" s="1"/>
  <c r="Q224" i="2" a="1"/>
  <c r="S224" i="2" s="1"/>
  <c r="Q1378" i="2" a="1"/>
  <c r="S1378" i="2" s="1"/>
  <c r="Q1012" i="2" a="1"/>
  <c r="S1012" i="2" s="1"/>
  <c r="Q975" i="2" a="1"/>
  <c r="S975" i="2" s="1"/>
  <c r="Q1492" i="2" a="1"/>
  <c r="S1492" i="2" s="1"/>
  <c r="Q2529" i="2" a="1"/>
  <c r="S2529" i="2" s="1"/>
  <c r="Q1768" i="2" a="1"/>
  <c r="S1768" i="2" s="1"/>
  <c r="Q782" i="2" a="1"/>
  <c r="S782" i="2" s="1"/>
  <c r="Q1672" i="2" a="1"/>
  <c r="S1672" i="2" s="1"/>
  <c r="Q219" i="2" a="1"/>
  <c r="S219" i="2" s="1"/>
  <c r="Q643" i="2" a="1"/>
  <c r="S643" i="2" s="1"/>
  <c r="Q1468" i="2" a="1"/>
  <c r="S1468" i="2" s="1"/>
  <c r="Q1809" i="2" a="1"/>
  <c r="S1809" i="2" s="1"/>
  <c r="Q942" i="2" a="1"/>
  <c r="S942" i="2" s="1"/>
  <c r="Q222" i="2" a="1"/>
  <c r="S222" i="2" s="1"/>
  <c r="Q1922" i="2" a="1"/>
  <c r="S1922" i="2" s="1"/>
  <c r="Q897" i="2" a="1"/>
  <c r="S897" i="2" s="1"/>
  <c r="Q1555" i="2" a="1"/>
  <c r="S1555" i="2" s="1"/>
  <c r="Q1977" i="2" a="1"/>
  <c r="S1977" i="2" s="1"/>
  <c r="Q843" i="2" a="1"/>
  <c r="S843" i="2" s="1"/>
  <c r="Q1530" i="2" a="1"/>
  <c r="S1530" i="2" s="1"/>
  <c r="Q1404" i="2" a="1"/>
  <c r="S1404" i="2" s="1"/>
  <c r="Q1641" i="2" a="1"/>
  <c r="S1641" i="2" s="1"/>
  <c r="Q905" i="2" a="1"/>
  <c r="S905" i="2" s="1"/>
  <c r="Q2230" i="2" a="1"/>
  <c r="S2230" i="2" s="1"/>
  <c r="Q1525" i="2" a="1"/>
  <c r="S1525" i="2" s="1"/>
  <c r="Q1925" i="2" a="1"/>
  <c r="S1925" i="2" s="1"/>
  <c r="Q1143" i="2" a="1"/>
  <c r="S1143" i="2" s="1"/>
  <c r="Q1323" i="2" a="1"/>
  <c r="S1323" i="2" s="1"/>
  <c r="Q861" i="2" a="1"/>
  <c r="S861" i="2" s="1"/>
  <c r="Q1627" i="2" a="1"/>
  <c r="S1627" i="2" s="1"/>
  <c r="Q966" i="2" a="1"/>
  <c r="S966" i="2" s="1"/>
  <c r="Q104" i="2" a="1"/>
  <c r="S104" i="2" s="1"/>
  <c r="Q1947" i="2" a="1"/>
  <c r="S1947" i="2" s="1"/>
  <c r="Q1459" i="2" a="1"/>
  <c r="S1459" i="2" s="1"/>
  <c r="Q1347" i="2" a="1"/>
  <c r="S1347" i="2" s="1"/>
  <c r="Q1544" i="2" a="1"/>
  <c r="S1544" i="2" s="1"/>
  <c r="Q1667" i="2" a="1"/>
  <c r="S1667" i="2" s="1"/>
  <c r="Q877" i="2" a="1"/>
  <c r="S877" i="2" s="1"/>
  <c r="Q2055" i="2" a="1"/>
  <c r="S2055" i="2" s="1"/>
  <c r="Q633" i="2" a="1"/>
  <c r="S633" i="2" s="1"/>
  <c r="Q427" i="2" a="1"/>
  <c r="S427" i="2" s="1"/>
  <c r="Q1973" i="2" a="1"/>
  <c r="S1973" i="2" s="1"/>
  <c r="Q1941" i="2" a="1"/>
  <c r="S1941" i="2" s="1"/>
  <c r="Q636" i="2" a="1"/>
  <c r="S636" i="2" s="1"/>
  <c r="Q2050" i="2" a="1"/>
  <c r="S2050" i="2" s="1"/>
  <c r="Q1292" i="2" a="1"/>
  <c r="S1292" i="2" s="1"/>
  <c r="Q2068" i="2" a="1"/>
  <c r="S2068" i="2" s="1"/>
  <c r="Q1272" i="2" a="1"/>
  <c r="S1272" i="2" s="1"/>
  <c r="Q1383" i="2" a="1"/>
  <c r="S1383" i="2" s="1"/>
  <c r="Q2100" i="2" a="1"/>
  <c r="S2100" i="2" s="1"/>
  <c r="Q1979" i="2" a="1"/>
  <c r="S1979" i="2" s="1"/>
  <c r="Q2056" i="2" a="1"/>
  <c r="S2056" i="2" s="1"/>
  <c r="Q121" i="2" a="1"/>
  <c r="S121" i="2" s="1"/>
  <c r="Q2072" i="2" a="1"/>
  <c r="S2072" i="2" s="1"/>
  <c r="Q97" i="2" a="1"/>
  <c r="S97" i="2" s="1"/>
  <c r="Q1348" i="2" a="1"/>
  <c r="S1348" i="2" s="1"/>
  <c r="Q1241" i="2" a="1"/>
  <c r="S1241" i="2" s="1"/>
  <c r="Q1749" i="2" a="1"/>
  <c r="S1749" i="2" s="1"/>
  <c r="Q197" i="2" a="1"/>
  <c r="S197" i="2" s="1"/>
  <c r="Q1681" i="2" a="1"/>
  <c r="S1681" i="2" s="1"/>
  <c r="Q1838" i="2" a="1"/>
  <c r="S1838" i="2" s="1"/>
  <c r="Q61" i="2" a="1"/>
  <c r="S61" i="2" s="1"/>
  <c r="Q19" i="2" a="1"/>
  <c r="S19" i="2" s="1"/>
  <c r="Q1815" i="2" a="1"/>
  <c r="S1815" i="2" s="1"/>
  <c r="Q227" i="2" a="1"/>
  <c r="S227" i="2" s="1"/>
  <c r="Q1720" i="2" a="1"/>
  <c r="S1720" i="2" s="1"/>
  <c r="Q1538" i="2" a="1"/>
  <c r="S1538" i="2" s="1"/>
  <c r="Q982" i="2" a="1"/>
  <c r="S982" i="2" s="1"/>
  <c r="Q915" i="2" a="1"/>
  <c r="S915" i="2" s="1"/>
  <c r="Q1999" i="2" a="1"/>
  <c r="S1999" i="2" s="1"/>
  <c r="Q8" i="2" a="1"/>
  <c r="S8" i="2" s="1"/>
  <c r="Q1340" i="2" a="1"/>
  <c r="S1340" i="2" s="1"/>
  <c r="Q2146" i="2" a="1"/>
  <c r="S2146" i="2" s="1"/>
  <c r="Q1405" i="2" a="1"/>
  <c r="S1405" i="2" s="1"/>
  <c r="Q1382" i="2" a="1"/>
  <c r="S1382" i="2" s="1"/>
  <c r="Q2001" i="2" a="1"/>
  <c r="S2001" i="2" s="1"/>
  <c r="Q1910" i="2" a="1"/>
  <c r="S1910" i="2" s="1"/>
  <c r="Q1552" i="2" a="1"/>
  <c r="S1552" i="2" s="1"/>
  <c r="Q70" i="2" a="1"/>
  <c r="S70" i="2" s="1"/>
  <c r="Q1267" i="2" a="1"/>
  <c r="S1267" i="2" s="1"/>
  <c r="Q2552" i="2" a="1"/>
  <c r="S2552" i="2" s="1"/>
  <c r="Q1829" i="2" a="1"/>
  <c r="S1829" i="2" s="1"/>
  <c r="Q211" i="2" a="1"/>
  <c r="S211" i="2" s="1"/>
  <c r="Q2037" i="2" a="1"/>
  <c r="S2037" i="2" s="1"/>
  <c r="Q1988" i="2" a="1"/>
  <c r="S1988" i="2" s="1"/>
  <c r="Q882" i="2" a="1"/>
  <c r="S882" i="2" s="1"/>
  <c r="Q1932" i="2" a="1"/>
  <c r="S1932" i="2" s="1"/>
  <c r="Q1333" i="2" a="1"/>
  <c r="S1333" i="2" s="1"/>
  <c r="Q764" i="2" a="1"/>
  <c r="S764" i="2" s="1"/>
  <c r="Q86" i="2" a="1"/>
  <c r="S86" i="2" s="1"/>
  <c r="Q854" i="2" a="1"/>
  <c r="S854" i="2" s="1"/>
  <c r="Q1792" i="2" a="1"/>
  <c r="S1792" i="2" s="1"/>
  <c r="Q2517" i="2" a="1"/>
  <c r="S2517" i="2" s="1"/>
  <c r="Q1526" i="2" a="1"/>
  <c r="S1526" i="2" s="1"/>
  <c r="Q1253" i="2" a="1"/>
  <c r="S1253" i="2" s="1"/>
  <c r="Q981" i="2" a="1"/>
  <c r="S981" i="2" s="1"/>
  <c r="Q84" i="2" a="1"/>
  <c r="S84" i="2" s="1"/>
  <c r="Q1569" i="2" a="1"/>
  <c r="S1569" i="2" s="1"/>
  <c r="Q1573" i="2" a="1"/>
  <c r="S1573" i="2" s="1"/>
  <c r="Q301" i="2" a="1"/>
  <c r="S301" i="2" s="1"/>
  <c r="Q2129" i="2" a="1"/>
  <c r="S2129" i="2" s="1"/>
  <c r="Q141" i="2" a="1"/>
  <c r="S141" i="2" s="1"/>
  <c r="Q63" i="2" a="1"/>
  <c r="S63" i="2" s="1"/>
  <c r="Q1924" i="2" a="1"/>
  <c r="S1924" i="2" s="1"/>
  <c r="Q2102" i="2" a="1"/>
  <c r="S2102" i="2" s="1"/>
  <c r="Q1470" i="2" a="1"/>
  <c r="S1470" i="2" s="1"/>
  <c r="Q23" i="2" a="1"/>
  <c r="S23" i="2" s="1"/>
  <c r="Q1701" i="2" a="1"/>
  <c r="S1701" i="2" s="1"/>
  <c r="Q1725" i="2" a="1"/>
  <c r="S1725" i="2" s="1"/>
  <c r="Q1912" i="2" a="1"/>
  <c r="S1912" i="2" s="1"/>
  <c r="R1143" i="2" a="1"/>
  <c r="Q1990" i="2" a="1"/>
  <c r="S1990" i="2" s="1"/>
  <c r="Q1702" i="2" a="1"/>
  <c r="S1702" i="2" s="1"/>
  <c r="Q1471" i="2" a="1"/>
  <c r="S1471" i="2" s="1"/>
  <c r="Q852" i="2" a="1"/>
  <c r="S852" i="2" s="1"/>
  <c r="Q473" i="2" a="1"/>
  <c r="S473" i="2" s="1"/>
  <c r="Q1801" i="2" a="1"/>
  <c r="S1801" i="2" s="1"/>
  <c r="Q1823" i="2" a="1"/>
  <c r="S1823" i="2" s="1"/>
  <c r="Q986" i="2" a="1"/>
  <c r="S986" i="2" s="1"/>
  <c r="Q1415" i="2" a="1"/>
  <c r="S1415" i="2" s="1"/>
  <c r="Q1579" i="2" a="1"/>
  <c r="S1579" i="2" s="1"/>
  <c r="Q1351" i="2" a="1"/>
  <c r="S1351" i="2" s="1"/>
  <c r="Q1603" i="2" a="1"/>
  <c r="S1603" i="2" s="1"/>
  <c r="Q218" i="2" a="1"/>
  <c r="S218" i="2" s="1"/>
  <c r="Q1387" i="2" a="1"/>
  <c r="S1387" i="2" s="1"/>
  <c r="Q2018" i="2" a="1"/>
  <c r="S2018" i="2" s="1"/>
  <c r="Q856" i="2" a="1"/>
  <c r="S856" i="2" s="1"/>
  <c r="Q2088" i="2" a="1"/>
  <c r="S2088" i="2" s="1"/>
  <c r="Q1863" i="2" a="1"/>
  <c r="S1863" i="2" s="1"/>
  <c r="Q1800" i="2" a="1"/>
  <c r="S1800" i="2" s="1"/>
  <c r="Q1776" i="2" a="1"/>
  <c r="S1776" i="2" s="1"/>
  <c r="Q1238" i="2" a="1"/>
  <c r="S1238" i="2" s="1"/>
  <c r="Q1453" i="2" a="1"/>
  <c r="S1453" i="2" s="1"/>
  <c r="Q860" i="2" a="1"/>
  <c r="S860" i="2" s="1"/>
  <c r="Q1341" i="2" a="1"/>
  <c r="S1341" i="2" s="1"/>
  <c r="Q1271" i="2" a="1"/>
  <c r="S1271" i="2" s="1"/>
  <c r="Q1713" i="2" a="1"/>
  <c r="S1713" i="2" s="1"/>
  <c r="Q1546" i="2" a="1"/>
  <c r="S1546" i="2" s="1"/>
  <c r="Q1209" i="2" a="1"/>
  <c r="S1209" i="2" s="1"/>
  <c r="Q116" i="2" a="1"/>
  <c r="S116" i="2" s="1"/>
  <c r="Q1847" i="2" a="1"/>
  <c r="S1847" i="2" s="1"/>
  <c r="Q2023" i="2" a="1"/>
  <c r="S2023" i="2" s="1"/>
  <c r="Q2020" i="2" a="1"/>
  <c r="S2020" i="2" s="1"/>
  <c r="Q1441" i="2" a="1"/>
  <c r="S1441" i="2" s="1"/>
  <c r="Q2223" i="2" a="1"/>
  <c r="S2223" i="2" s="1"/>
  <c r="Q1624" i="2" a="1"/>
  <c r="S1624" i="2" s="1"/>
  <c r="Q1889" i="2" a="1"/>
  <c r="S1889" i="2" s="1"/>
  <c r="Q1232" i="2" a="1"/>
  <c r="S1232" i="2" s="1"/>
  <c r="Q825" i="2" a="1"/>
  <c r="S825" i="2" s="1"/>
  <c r="Q1425" i="2" a="1"/>
  <c r="S1425" i="2" s="1"/>
  <c r="Q866" i="2" a="1"/>
  <c r="S866" i="2" s="1"/>
  <c r="Q785" i="2" a="1"/>
  <c r="S785" i="2" s="1"/>
  <c r="Q79" i="2" a="1"/>
  <c r="S79" i="2" s="1"/>
  <c r="Q1985" i="2" a="1"/>
  <c r="S1985" i="2" s="1"/>
  <c r="Q950" i="2" a="1"/>
  <c r="S950" i="2" s="1"/>
  <c r="Q67" i="2" a="1"/>
  <c r="S67" i="2" s="1"/>
  <c r="Q1685" i="2" a="1"/>
  <c r="S1685" i="2" s="1"/>
  <c r="Q1263" i="2" a="1"/>
  <c r="S1263" i="2" s="1"/>
  <c r="Q2002" i="2" a="1"/>
  <c r="S2002" i="2" s="1"/>
  <c r="Q1606" i="2" a="1"/>
  <c r="S1606" i="2" s="1"/>
  <c r="Q1093" i="2" a="1"/>
  <c r="S1093" i="2" s="1"/>
  <c r="Q2524" i="2" a="1"/>
  <c r="S2524" i="2" s="1"/>
  <c r="Q1339" i="2" a="1"/>
  <c r="S1339" i="2" s="1"/>
  <c r="Q1466" i="2" a="1"/>
  <c r="S1466" i="2" s="1"/>
  <c r="Q1553" i="2" a="1"/>
  <c r="S1553" i="2" s="1"/>
  <c r="Q979" i="2" a="1"/>
  <c r="S979" i="2" s="1"/>
  <c r="Q1645" i="2" a="1"/>
  <c r="S1645" i="2" s="1"/>
  <c r="Q647" i="2" a="1"/>
  <c r="S647" i="2" s="1"/>
  <c r="Q1328" i="2" a="1"/>
  <c r="S1328" i="2" s="1"/>
  <c r="Q1908" i="2" a="1"/>
  <c r="S1908" i="2" s="1"/>
  <c r="Q2528" i="2" a="1"/>
  <c r="S2528" i="2" s="1"/>
  <c r="Q92" i="2" a="1"/>
  <c r="S92" i="2" s="1"/>
  <c r="Q48" i="2" a="1"/>
  <c r="S48" i="2" s="1"/>
  <c r="Q213" i="2" a="1"/>
  <c r="S213" i="2" s="1"/>
  <c r="Q1931" i="2" a="1"/>
  <c r="S1931" i="2" s="1"/>
  <c r="Q1650" i="2" a="1"/>
  <c r="S1650" i="2" s="1"/>
  <c r="Q1857" i="2" a="1"/>
  <c r="S1857" i="2" s="1"/>
  <c r="Q1621" i="2" a="1"/>
  <c r="S1621" i="2" s="1"/>
  <c r="Q202" i="2" a="1"/>
  <c r="S202" i="2" s="1"/>
  <c r="Q1520" i="2" a="1"/>
  <c r="S1520" i="2" s="1"/>
  <c r="Q411" i="2" a="1"/>
  <c r="S411" i="2" s="1"/>
  <c r="Q44" i="2" a="1"/>
  <c r="S44" i="2" s="1"/>
  <c r="Q2173" i="2" a="1"/>
  <c r="S2173" i="2" s="1"/>
  <c r="Q1449" i="2" a="1"/>
  <c r="S1449" i="2" s="1"/>
  <c r="Q1498" i="2" a="1"/>
  <c r="S1498" i="2" s="1"/>
  <c r="Q829" i="2" a="1"/>
  <c r="S829" i="2" s="1"/>
  <c r="Q2190" i="2" a="1"/>
  <c r="S2190" i="2" s="1"/>
  <c r="Q1228" i="2" a="1"/>
  <c r="S1228" i="2" s="1"/>
  <c r="Q1255" i="2" a="1"/>
  <c r="S1255" i="2" s="1"/>
  <c r="Q143" i="2" a="1"/>
  <c r="S143" i="2" s="1"/>
  <c r="Q790" i="2" a="1"/>
  <c r="S790" i="2" s="1"/>
  <c r="Q2521" i="2" a="1"/>
  <c r="S2521" i="2" s="1"/>
  <c r="Q1511" i="2" a="1"/>
  <c r="S1511" i="2" s="1"/>
  <c r="Q1914" i="2" a="1"/>
  <c r="S1914" i="2" s="1"/>
  <c r="R1144" i="2" a="1"/>
  <c r="Q1680" i="2" a="1"/>
  <c r="S1680" i="2" s="1"/>
  <c r="Q919" i="2" a="1"/>
  <c r="S919" i="2" s="1"/>
  <c r="Q1408" i="2" a="1"/>
  <c r="S1408" i="2" s="1"/>
  <c r="Q1615" i="2" a="1"/>
  <c r="S1615" i="2" s="1"/>
  <c r="Q1513" i="2" a="1"/>
  <c r="S1513" i="2" s="1"/>
  <c r="Q2156" i="2" a="1"/>
  <c r="S2156" i="2" s="1"/>
  <c r="Q868" i="2" a="1"/>
  <c r="S868" i="2" s="1"/>
  <c r="Q2506" i="2" a="1"/>
  <c r="S2506" i="2" s="1"/>
  <c r="Q268" i="2" a="1"/>
  <c r="S268" i="2" s="1"/>
  <c r="Q25" i="2" a="1"/>
  <c r="S25" i="2" s="1"/>
  <c r="Q162" i="2" a="1"/>
  <c r="S162" i="2" s="1"/>
  <c r="Q827" i="2" a="1"/>
  <c r="S827" i="2" s="1"/>
  <c r="Q794" i="2" a="1"/>
  <c r="S794" i="2" s="1"/>
  <c r="Q432" i="2" a="1"/>
  <c r="S432" i="2" s="1"/>
  <c r="Q846" i="2" a="1"/>
  <c r="S846" i="2" s="1"/>
  <c r="Q1824" i="2" a="1"/>
  <c r="S1824" i="2" s="1"/>
  <c r="Q1951" i="2" a="1"/>
  <c r="S1951" i="2" s="1"/>
  <c r="Q812" i="2" a="1"/>
  <c r="S812" i="2" s="1"/>
  <c r="Q1219" i="2" a="1"/>
  <c r="S1219" i="2" s="1"/>
  <c r="Q1982" i="2" a="1"/>
  <c r="S1982" i="2" s="1"/>
  <c r="Q2062" i="2" a="1"/>
  <c r="S2062" i="2" s="1"/>
  <c r="Q1605" i="2" a="1"/>
  <c r="S1605" i="2" s="1"/>
  <c r="Q957" i="2" a="1"/>
  <c r="S957" i="2" s="1"/>
  <c r="Q1810" i="2" a="1"/>
  <c r="S1810" i="2" s="1"/>
  <c r="Q2035" i="2" a="1"/>
  <c r="S2035" i="2" s="1"/>
  <c r="Q1365" i="2" a="1"/>
  <c r="S1365" i="2" s="1"/>
  <c r="Q1882" i="2" a="1"/>
  <c r="S1882" i="2" s="1"/>
  <c r="Q892" i="2" a="1"/>
  <c r="S892" i="2" s="1"/>
  <c r="Q371" i="2" a="1"/>
  <c r="S371" i="2" s="1"/>
  <c r="Q1981" i="2" a="1"/>
  <c r="S1981" i="2" s="1"/>
  <c r="Q1946" i="2" a="1"/>
  <c r="S1946" i="2" s="1"/>
  <c r="Q1231" i="2" a="1"/>
  <c r="S1231" i="2" s="1"/>
  <c r="Q1825" i="2" a="1"/>
  <c r="S1825" i="2" s="1"/>
  <c r="Q917" i="2" a="1"/>
  <c r="S917" i="2" s="1"/>
  <c r="Q71" i="2" a="1"/>
  <c r="S71" i="2" s="1"/>
  <c r="Q1890" i="2" a="1"/>
  <c r="S1890" i="2" s="1"/>
  <c r="Q1693" i="2" a="1"/>
  <c r="S1693" i="2" s="1"/>
  <c r="Q1834" i="2" a="1"/>
  <c r="S1834" i="2" s="1"/>
  <c r="Q29" i="2" a="1"/>
  <c r="S29" i="2" s="1"/>
  <c r="Q1733" i="2" a="1"/>
  <c r="S1733" i="2" s="1"/>
  <c r="Q772" i="2" a="1"/>
  <c r="S772" i="2" s="1"/>
  <c r="Q1536" i="2" a="1"/>
  <c r="S1536" i="2" s="1"/>
  <c r="Q1777" i="2" a="1"/>
  <c r="S1777" i="2" s="1"/>
  <c r="Q962" i="2" a="1"/>
  <c r="S962" i="2" s="1"/>
  <c r="Q908" i="2" a="1"/>
  <c r="S908" i="2" s="1"/>
  <c r="Q668" i="2" a="1"/>
  <c r="S668" i="2" s="1"/>
  <c r="Q1662" i="2" a="1"/>
  <c r="S1662" i="2" s="1"/>
  <c r="Q973" i="2" a="1"/>
  <c r="S973" i="2" s="1"/>
  <c r="Q1493" i="2" a="1"/>
  <c r="S1493" i="2" s="1"/>
  <c r="Q15" i="2" a="1"/>
  <c r="S15" i="2" s="1"/>
  <c r="Q1968" i="2" a="1"/>
  <c r="S1968" i="2" s="1"/>
  <c r="Q1727" i="2" a="1"/>
  <c r="S1727" i="2" s="1"/>
  <c r="Q1644" i="2" a="1"/>
  <c r="S1644" i="2" s="1"/>
  <c r="Q1730" i="2" a="1"/>
  <c r="S1730" i="2" s="1"/>
  <c r="Q1732" i="2" a="1"/>
  <c r="S1732" i="2" s="1"/>
  <c r="Q770" i="2" a="1"/>
  <c r="S770" i="2" s="1"/>
  <c r="Q1935" i="2" a="1"/>
  <c r="S1935" i="2" s="1"/>
  <c r="Q663" i="2" a="1"/>
  <c r="S663" i="2" s="1"/>
  <c r="Q1686" i="2" a="1"/>
  <c r="S1686" i="2" s="1"/>
  <c r="Q1648" i="2" a="1"/>
  <c r="S1648" i="2" s="1"/>
  <c r="Q792" i="2" a="1"/>
  <c r="S792" i="2" s="1"/>
  <c r="Q1227" i="2" a="1"/>
  <c r="S1227" i="2" s="1"/>
  <c r="Q1554" i="2" a="1"/>
  <c r="S1554" i="2" s="1"/>
  <c r="Q318" i="2" a="1"/>
  <c r="S318" i="2" s="1"/>
  <c r="Q13" i="2" a="1"/>
  <c r="S13" i="2" s="1"/>
  <c r="Q1909" i="2" a="1"/>
  <c r="S1909" i="2" s="1"/>
  <c r="Q1709" i="2" a="1"/>
  <c r="S1709" i="2" s="1"/>
  <c r="Q569" i="2" a="1"/>
  <c r="S569" i="2" s="1"/>
  <c r="Q618" i="2" a="1"/>
  <c r="S618" i="2" s="1"/>
  <c r="Q903" i="2" a="1"/>
  <c r="S903" i="2" s="1"/>
  <c r="Q806" i="2" a="1"/>
  <c r="S806" i="2" s="1"/>
  <c r="Q1256" i="2" a="1"/>
  <c r="S1256" i="2" s="1"/>
  <c r="Q195" i="2" a="1"/>
  <c r="S195" i="2" s="1"/>
  <c r="Q95" i="2" a="1"/>
  <c r="S95" i="2" s="1"/>
  <c r="Q142" i="2" a="1"/>
  <c r="S142" i="2" s="1"/>
  <c r="Q205" i="2" a="1"/>
  <c r="S205" i="2" s="1"/>
  <c r="Q1929" i="2" a="1"/>
  <c r="S1929" i="2" s="1"/>
  <c r="Q804" i="2" a="1"/>
  <c r="S804" i="2" s="1"/>
  <c r="Q1507" i="2" a="1"/>
  <c r="S1507" i="2" s="1"/>
  <c r="Q1376" i="2" a="1"/>
  <c r="S1376" i="2" s="1"/>
  <c r="Q2167" i="2" a="1"/>
  <c r="S2167" i="2" s="1"/>
  <c r="Q1007" i="2" a="1"/>
  <c r="S1007" i="2" s="1"/>
  <c r="Q1463" i="2" a="1"/>
  <c r="S1463" i="2" s="1"/>
  <c r="Q2" i="2" a="1"/>
  <c r="Q1145" i="2" a="1"/>
  <c r="S1145" i="2" s="1"/>
  <c r="Q2039" i="2" a="1"/>
  <c r="S2039" i="2" s="1"/>
  <c r="Q1364" i="2" a="1"/>
  <c r="S1364" i="2" s="1"/>
  <c r="Q1726" i="2" a="1"/>
  <c r="S1726" i="2" s="1"/>
  <c r="Q795" i="2" a="1"/>
  <c r="S795" i="2" s="1"/>
  <c r="Q841" i="2" a="1"/>
  <c r="S841" i="2" s="1"/>
  <c r="Q2229" i="2" a="1"/>
  <c r="S2229" i="2" s="1"/>
  <c r="Q39" i="2" a="1"/>
  <c r="S39" i="2" s="1"/>
  <c r="Q1561" i="2" a="1"/>
  <c r="S1561" i="2" s="1"/>
  <c r="Q1431" i="2" a="1"/>
  <c r="S1431" i="2" s="1"/>
  <c r="Q2175" i="2" a="1"/>
  <c r="S2175" i="2" s="1"/>
  <c r="Q1222" i="2" a="1"/>
  <c r="S1222" i="2" s="1"/>
  <c r="Q593" i="2" a="1"/>
  <c r="S593" i="2" s="1"/>
  <c r="Q767" i="2" a="1"/>
  <c r="S767" i="2" s="1"/>
  <c r="Q1390" i="2" a="1"/>
  <c r="S1390" i="2" s="1"/>
  <c r="Q894" i="2" a="1"/>
  <c r="S894" i="2" s="1"/>
  <c r="Q2159" i="2" a="1"/>
  <c r="S2159" i="2" s="1"/>
  <c r="Q1843" i="2" a="1"/>
  <c r="S1843" i="2" s="1"/>
  <c r="Q837" i="2" a="1"/>
  <c r="S837" i="2" s="1"/>
  <c r="Q2047" i="2" a="1"/>
  <c r="S2047" i="2" s="1"/>
  <c r="Q799" i="2" a="1"/>
  <c r="S799" i="2" s="1"/>
  <c r="Q1534" i="2" a="1"/>
  <c r="S1534" i="2" s="1"/>
  <c r="Q2545" i="2" a="1"/>
  <c r="S2545" i="2" s="1"/>
  <c r="Q85" i="2" a="1"/>
  <c r="S85" i="2" s="1"/>
  <c r="Q1274" i="2" a="1"/>
  <c r="S1274" i="2" s="1"/>
  <c r="Q217" i="2" a="1"/>
  <c r="S217" i="2" s="1"/>
  <c r="Q2497" i="2" a="1"/>
  <c r="S2497" i="2" s="1"/>
  <c r="Q88" i="2" a="1"/>
  <c r="S88" i="2" s="1"/>
  <c r="Q2091" i="2" a="1"/>
  <c r="S2091" i="2" s="1"/>
  <c r="Q808" i="2" a="1"/>
  <c r="S808" i="2" s="1"/>
  <c r="Q1673" i="2" a="1"/>
  <c r="S1673" i="2" s="1"/>
  <c r="Q90" i="2" a="1"/>
  <c r="S90" i="2" s="1"/>
  <c r="Q1976" i="2" a="1"/>
  <c r="S1976" i="2" s="1"/>
  <c r="Q793" i="2" a="1"/>
  <c r="S793" i="2" s="1"/>
  <c r="Q98" i="2" a="1"/>
  <c r="S98" i="2" s="1"/>
  <c r="Q2010" i="2" a="1"/>
  <c r="S2010" i="2" s="1"/>
  <c r="Q815" i="2" a="1"/>
  <c r="S815" i="2" s="1"/>
  <c r="Q1293" i="2" a="1"/>
  <c r="S1293" i="2" s="1"/>
  <c r="Q1617" i="2" a="1"/>
  <c r="S1617" i="2" s="1"/>
  <c r="Q118" i="2" a="1"/>
  <c r="S118" i="2" s="1"/>
  <c r="Q1957" i="2" a="1"/>
  <c r="S1957" i="2" s="1"/>
  <c r="Q1708" i="2" a="1"/>
  <c r="S1708" i="2" s="1"/>
  <c r="Q1604" i="2" a="1"/>
  <c r="S1604" i="2" s="1"/>
  <c r="Q1869" i="2" a="1"/>
  <c r="S1869" i="2" s="1"/>
  <c r="Q1266" i="2" a="1"/>
  <c r="S1266" i="2" s="1"/>
  <c r="Q983" i="2" a="1"/>
  <c r="S983" i="2" s="1"/>
  <c r="Q830" i="2" a="1"/>
  <c r="S830" i="2" s="1"/>
  <c r="Q1422" i="2" a="1"/>
  <c r="S1422" i="2" s="1"/>
  <c r="Q1980" i="2" a="1"/>
  <c r="S1980" i="2" s="1"/>
  <c r="Q1423" i="2" a="1"/>
  <c r="S1423" i="2" s="1"/>
  <c r="Q2183" i="2" a="1"/>
  <c r="S2183" i="2" s="1"/>
  <c r="Q161" i="2" a="1"/>
  <c r="S161" i="2" s="1"/>
  <c r="Q1991" i="2" a="1"/>
  <c r="S1991" i="2" s="1"/>
  <c r="Q160" i="2" a="1"/>
  <c r="S160" i="2" s="1"/>
  <c r="Q109" i="2" a="1"/>
  <c r="S109" i="2" s="1"/>
  <c r="Q1949" i="2" a="1"/>
  <c r="S1949" i="2" s="1"/>
  <c r="Q2194" i="2" a="1"/>
  <c r="S2194" i="2" s="1"/>
  <c r="Q1013" i="2" a="1"/>
  <c r="S1013" i="2" s="1"/>
  <c r="Q969" i="2" a="1"/>
  <c r="S969" i="2" s="1"/>
  <c r="Q1517" i="2" a="1"/>
  <c r="S1517" i="2" s="1"/>
  <c r="Q873" i="2" a="1"/>
  <c r="S873" i="2" s="1"/>
  <c r="Q16" i="2" a="1"/>
  <c r="S16" i="2" s="1"/>
  <c r="Q2174" i="2" a="1"/>
  <c r="S2174" i="2" s="1"/>
  <c r="Q1570" i="2" a="1"/>
  <c r="S1570" i="2" s="1"/>
  <c r="Q1539" i="2" a="1"/>
  <c r="S1539" i="2" s="1"/>
  <c r="Q1642" i="2" a="1"/>
  <c r="S1642" i="2" s="1"/>
  <c r="Q153" i="2" a="1"/>
  <c r="S153" i="2" s="1"/>
  <c r="Q1244" i="2" a="1"/>
  <c r="S1244" i="2" s="1"/>
  <c r="Q1518" i="2" a="1"/>
  <c r="S1518" i="2" s="1"/>
  <c r="Q818" i="2" a="1"/>
  <c r="S818" i="2" s="1"/>
  <c r="Q811" i="2" a="1"/>
  <c r="S811" i="2" s="1"/>
  <c r="Q844" i="2" a="1"/>
  <c r="S844" i="2" s="1"/>
  <c r="Q1756" i="2" a="1"/>
  <c r="S1756" i="2" s="1"/>
  <c r="Q1771" i="2" a="1"/>
  <c r="S1771" i="2" s="1"/>
  <c r="Q1316" i="2" a="1"/>
  <c r="S1316" i="2" s="1"/>
  <c r="Q1559" i="2" a="1"/>
  <c r="S1559" i="2" s="1"/>
  <c r="Q1637" i="2" a="1"/>
  <c r="S1637" i="2" s="1"/>
  <c r="Q1514" i="2" a="1"/>
  <c r="S1514" i="2" s="1"/>
  <c r="Q1512" i="2" a="1"/>
  <c r="S1512" i="2" s="1"/>
  <c r="Q1296" i="2" a="1"/>
  <c r="S1296" i="2" s="1"/>
  <c r="Q2221" i="2" a="1"/>
  <c r="S2221" i="2" s="1"/>
  <c r="Q1213" i="2" a="1"/>
  <c r="S1213" i="2" s="1"/>
  <c r="Q993" i="2" a="1"/>
  <c r="S993" i="2" s="1"/>
  <c r="Q1916" i="2" a="1"/>
  <c r="S1916" i="2" s="1"/>
  <c r="Q140" i="2" a="1"/>
  <c r="S140" i="2" s="1"/>
  <c r="R1145" i="2" a="1"/>
  <c r="Q2015" i="2" a="1"/>
  <c r="S2015" i="2" s="1"/>
  <c r="Q878" i="2" a="1"/>
  <c r="S878" i="2" s="1"/>
  <c r="Q206" i="2" a="1"/>
  <c r="S206" i="2" s="1"/>
  <c r="Q1576" i="2" a="1"/>
  <c r="S1576" i="2" s="1"/>
  <c r="Q1867" i="2" a="1"/>
  <c r="S1867" i="2" s="1"/>
  <c r="Q2027" i="2" a="1"/>
  <c r="S2027" i="2" s="1"/>
  <c r="Q1707" i="2" a="1"/>
  <c r="S1707" i="2" s="1"/>
  <c r="Q2012" i="2" a="1"/>
  <c r="S2012" i="2" s="1"/>
  <c r="Q838" i="2" a="1"/>
  <c r="S838" i="2" s="1"/>
  <c r="Q988" i="2" a="1"/>
  <c r="S988" i="2" s="1"/>
  <c r="Q2054" i="2" a="1"/>
  <c r="S2054" i="2" s="1"/>
  <c r="Q1983" i="2" a="1"/>
  <c r="S1983" i="2" s="1"/>
  <c r="Q66" i="2" a="1"/>
  <c r="S66" i="2" s="1"/>
  <c r="Q956" i="2" a="1"/>
  <c r="S956" i="2" s="1"/>
  <c r="Q1807" i="2" a="1"/>
  <c r="S1807" i="2" s="1"/>
  <c r="Q2227" i="2" a="1"/>
  <c r="S2227" i="2" s="1"/>
  <c r="Q2038" i="2" a="1"/>
  <c r="S2038" i="2" s="1"/>
  <c r="Q1326" i="2" a="1"/>
  <c r="S1326" i="2" s="1"/>
  <c r="Q1759" i="2" a="1"/>
  <c r="S1759" i="2" s="1"/>
  <c r="Q888" i="2" a="1"/>
  <c r="S888" i="2" s="1"/>
  <c r="Q1239" i="2" a="1"/>
  <c r="S1239" i="2" s="1"/>
  <c r="Q2006" i="2" a="1"/>
  <c r="S2006" i="2" s="1"/>
  <c r="Q1887" i="2" a="1"/>
  <c r="S1887" i="2" s="1"/>
  <c r="Q809" i="2" a="1"/>
  <c r="S809" i="2" s="1"/>
  <c r="Q869" i="2" a="1"/>
  <c r="S869" i="2" s="1"/>
  <c r="Q12" i="2" a="1"/>
  <c r="S12" i="2" s="1"/>
  <c r="Q1631" i="2" a="1"/>
  <c r="S1631" i="2" s="1"/>
  <c r="Q2034" i="2" a="1"/>
  <c r="S2034" i="2" s="1"/>
  <c r="Q1436" i="2" a="1"/>
  <c r="S1436" i="2" s="1"/>
  <c r="Q1398" i="2" a="1"/>
  <c r="S1398" i="2" s="1"/>
  <c r="Q1989" i="2" a="1"/>
  <c r="S1989" i="2" s="1"/>
  <c r="Q2177" i="2" a="1"/>
  <c r="S2177" i="2" s="1"/>
  <c r="Q1235" i="2" a="1"/>
  <c r="S1235" i="2" s="1"/>
  <c r="Q2064" i="2" a="1"/>
  <c r="S2064" i="2" s="1"/>
  <c r="Q1330" i="2" a="1"/>
  <c r="S1330" i="2" s="1"/>
  <c r="Q2495" i="2" a="1"/>
  <c r="S2495" i="2" s="1"/>
  <c r="Q105" i="2" a="1"/>
  <c r="S105" i="2" s="1"/>
  <c r="Q870" i="2" a="1"/>
  <c r="S870" i="2" s="1"/>
  <c r="Q1864" i="2" a="1"/>
  <c r="S1864" i="2" s="1"/>
  <c r="Q1803" i="2" a="1"/>
  <c r="S1803" i="2" s="1"/>
  <c r="Q851" i="2" a="1"/>
  <c r="S851" i="2" s="1"/>
  <c r="Q1488" i="2" a="1"/>
  <c r="S1488" i="2" s="1"/>
  <c r="Q2033" i="2" a="1"/>
  <c r="S2033" i="2" s="1"/>
  <c r="Q1987" i="2" a="1"/>
  <c r="S1987" i="2" s="1"/>
  <c r="Q1397" i="2" a="1"/>
  <c r="S1397" i="2" s="1"/>
  <c r="Q1668" i="2" a="1"/>
  <c r="S1668" i="2" s="1"/>
  <c r="Q1357" i="2" a="1"/>
  <c r="S1357" i="2" s="1"/>
  <c r="Q1883" i="2" a="1"/>
  <c r="S1883" i="2" s="1"/>
  <c r="Q1784" i="2" a="1"/>
  <c r="S1784" i="2" s="1"/>
  <c r="Q18" i="2" a="1"/>
  <c r="S18" i="2" s="1"/>
  <c r="Q867" i="2" a="1"/>
  <c r="S867" i="2" s="1"/>
  <c r="Q1828" i="2" a="1"/>
  <c r="S1828" i="2" s="1"/>
  <c r="Q2226" i="2" a="1"/>
  <c r="S2226" i="2" s="1"/>
  <c r="Q1750" i="2" a="1"/>
  <c r="S1750" i="2" s="1"/>
  <c r="Q2162" i="2" a="1"/>
  <c r="S2162" i="2" s="1"/>
  <c r="Q1531" i="2" a="1"/>
  <c r="S1531" i="2" s="1"/>
  <c r="Q1918" i="2" a="1"/>
  <c r="S1918" i="2" s="1"/>
  <c r="Q1836" i="2" a="1"/>
  <c r="S1836" i="2" s="1"/>
  <c r="Q1580" i="2" a="1"/>
  <c r="S1580" i="2" s="1"/>
  <c r="Q1936" i="2" a="1"/>
  <c r="S1936" i="2" s="1"/>
  <c r="Q1959" i="2" a="1"/>
  <c r="S1959" i="2" s="1"/>
  <c r="Q212" i="2" a="1"/>
  <c r="S212" i="2" s="1"/>
  <c r="Q462" i="2" a="1"/>
  <c r="S462" i="2" s="1"/>
  <c r="Q819" i="2" a="1"/>
  <c r="S819" i="2" s="1"/>
  <c r="Q78" i="2" a="1"/>
  <c r="S78" i="2" s="1"/>
  <c r="Q1484" i="2" a="1"/>
  <c r="S1484" i="2" s="1"/>
  <c r="Q1403" i="2" a="1"/>
  <c r="S1403" i="2" s="1"/>
  <c r="Q149" i="2" a="1"/>
  <c r="S149" i="2" s="1"/>
  <c r="Q889" i="2" a="1"/>
  <c r="S889" i="2" s="1"/>
  <c r="Q2502" i="2" a="1"/>
  <c r="S2502" i="2" s="1"/>
  <c r="Q1308" i="2" a="1"/>
  <c r="S1308" i="2" s="1"/>
  <c r="Q1359" i="2" a="1"/>
  <c r="S1359" i="2" s="1"/>
  <c r="Q72" i="2" a="1"/>
  <c r="S72" i="2" s="1"/>
  <c r="Q1663" i="2" a="1"/>
  <c r="S1663" i="2" s="1"/>
  <c r="Q1000" i="2" a="1"/>
  <c r="S1000" i="2" s="1"/>
  <c r="Q169" i="2" a="1"/>
  <c r="S169" i="2" s="1"/>
  <c r="Q2520" i="2" a="1"/>
  <c r="S2520" i="2" s="1"/>
  <c r="Q1728" i="2" a="1"/>
  <c r="S1728" i="2" s="1"/>
  <c r="Q1748" i="2" a="1"/>
  <c r="S1748" i="2" s="1"/>
  <c r="Q760" i="2" a="1"/>
  <c r="S760" i="2" s="1"/>
  <c r="Q1794" i="2" a="1"/>
  <c r="S1794" i="2" s="1"/>
  <c r="Q955" i="2" a="1"/>
  <c r="S955" i="2" s="1"/>
  <c r="Q1417" i="2" a="1"/>
  <c r="S1417" i="2" s="1"/>
  <c r="Q1210" i="2" a="1"/>
  <c r="S1210" i="2" s="1"/>
  <c r="R1146" i="2" a="1"/>
  <c r="Q1372" i="2" a="1"/>
  <c r="S1372" i="2" s="1"/>
  <c r="Q1656" i="2" a="1"/>
  <c r="S1656" i="2" s="1"/>
  <c r="Q775" i="2" a="1"/>
  <c r="S775" i="2" s="1"/>
  <c r="Q2057" i="2" a="1"/>
  <c r="S2057" i="2" s="1"/>
  <c r="Q1698" i="2" a="1"/>
  <c r="S1698" i="2" s="1"/>
  <c r="Q2009" i="2" a="1"/>
  <c r="S2009" i="2" s="1"/>
  <c r="Q1396" i="2" a="1"/>
  <c r="S1396" i="2" s="1"/>
  <c r="Q773" i="2" a="1"/>
  <c r="S773" i="2" s="1"/>
  <c r="Q1006" i="2" a="1"/>
  <c r="S1006" i="2" s="1"/>
  <c r="Q786" i="2" a="1"/>
  <c r="S786" i="2" s="1"/>
  <c r="Q1483" i="2" a="1"/>
  <c r="S1483" i="2" s="1"/>
  <c r="Q2011" i="2" a="1"/>
  <c r="S2011" i="2" s="1"/>
  <c r="Q1868" i="2" a="1"/>
  <c r="S1868" i="2" s="1"/>
  <c r="Q1886" i="2" a="1"/>
  <c r="S1886" i="2" s="1"/>
  <c r="Q1211" i="2" a="1"/>
  <c r="S1211" i="2" s="1"/>
  <c r="Q2107" i="2" a="1"/>
  <c r="S2107" i="2" s="1"/>
  <c r="Q1312" i="2" a="1"/>
  <c r="S1312" i="2" s="1"/>
  <c r="Q1426" i="2" a="1"/>
  <c r="S1426" i="2" s="1"/>
  <c r="Q629" i="2" a="1"/>
  <c r="S629" i="2" s="1"/>
  <c r="Q302" i="2" a="1"/>
  <c r="S302" i="2" s="1"/>
  <c r="Q2094" i="2" a="1"/>
  <c r="S2094" i="2" s="1"/>
  <c r="Q2099" i="2" a="1"/>
  <c r="S2099" i="2" s="1"/>
  <c r="Q1608" i="2" a="1"/>
  <c r="S1608" i="2" s="1"/>
  <c r="Q1379" i="2" a="1"/>
  <c r="S1379" i="2" s="1"/>
  <c r="Q1760" i="2" a="1"/>
  <c r="S1760" i="2" s="1"/>
  <c r="Q1276" i="2" a="1"/>
  <c r="S1276" i="2" s="1"/>
  <c r="Q2117" i="2" a="1"/>
  <c r="S2117" i="2" s="1"/>
  <c r="Q1682" i="2" a="1"/>
  <c r="S1682" i="2" s="1"/>
  <c r="Q73" i="2" a="1"/>
  <c r="S73" i="2" s="1"/>
  <c r="Q1712" i="2" a="1"/>
  <c r="S1712" i="2" s="1"/>
  <c r="Q59" i="2" a="1"/>
  <c r="S59" i="2" s="1"/>
  <c r="Q777" i="2" a="1"/>
  <c r="S777" i="2" s="1"/>
  <c r="Q1279" i="2" a="1"/>
  <c r="S1279" i="2" s="1"/>
  <c r="Q1955" i="2" a="1"/>
  <c r="S1955" i="2" s="1"/>
  <c r="Q208" i="2" a="1"/>
  <c r="S208" i="2" s="1"/>
  <c r="Q2095" i="2" a="1"/>
  <c r="S2095" i="2" s="1"/>
  <c r="Q1598" i="2" a="1"/>
  <c r="S1598" i="2" s="1"/>
  <c r="Q1839" i="2" a="1"/>
  <c r="S1839" i="2" s="1"/>
  <c r="Q2000" i="2" a="1"/>
  <c r="S2000" i="2" s="1"/>
  <c r="Q228" i="2" a="1"/>
  <c r="S228" i="2" s="1"/>
  <c r="Q2016" i="2" a="1"/>
  <c r="S2016" i="2" s="1"/>
  <c r="Q1585" i="2" a="1"/>
  <c r="S1585" i="2" s="1"/>
  <c r="Q1607" i="2" a="1"/>
  <c r="S1607" i="2" s="1"/>
  <c r="Q1420" i="2" a="1"/>
  <c r="S1420" i="2" s="1"/>
  <c r="Q1332" i="2" a="1"/>
  <c r="S1332" i="2" s="1"/>
  <c r="Q874" i="2" a="1"/>
  <c r="S874" i="2" s="1"/>
  <c r="Q2063" i="2" a="1"/>
  <c r="S2063" i="2" s="1"/>
  <c r="Q1277" i="2" a="1"/>
  <c r="S1277" i="2" s="1"/>
  <c r="Q1633" i="2" a="1"/>
  <c r="S1633" i="2" s="1"/>
  <c r="Q1479" i="2" a="1"/>
  <c r="S1479" i="2" s="1"/>
  <c r="Q449" i="2" a="1"/>
  <c r="S449" i="2" s="1"/>
  <c r="Q2087" i="2" a="1"/>
  <c r="S2087" i="2" s="1"/>
  <c r="Q1321" i="2" a="1"/>
  <c r="S1321" i="2" s="1"/>
  <c r="Q1519" i="2" a="1"/>
  <c r="S1519" i="2" s="1"/>
  <c r="Q1516" i="2" a="1"/>
  <c r="S1516" i="2" s="1"/>
  <c r="Q862" i="2" a="1"/>
  <c r="S862" i="2" s="1"/>
  <c r="Q1927" i="2" a="1"/>
  <c r="S1927" i="2" s="1"/>
  <c r="Q1562" i="2" a="1"/>
  <c r="S1562" i="2" s="1"/>
  <c r="Q1313" i="2" a="1"/>
  <c r="S1313" i="2" s="1"/>
  <c r="Q1761" i="2" a="1"/>
  <c r="S1761" i="2" s="1"/>
  <c r="Q987" i="2" a="1"/>
  <c r="S987" i="2" s="1"/>
  <c r="Q1581" i="2" a="1"/>
  <c r="S1581" i="2" s="1"/>
  <c r="Q2519" i="2" a="1"/>
  <c r="S2519" i="2" s="1"/>
  <c r="Q1670" i="2" a="1"/>
  <c r="S1670" i="2" s="1"/>
  <c r="Q1737" i="2" a="1"/>
  <c r="S1737" i="2" s="1"/>
  <c r="Q1342" i="2" a="1"/>
  <c r="S1342" i="2" s="1"/>
  <c r="Q76" i="2" a="1"/>
  <c r="S76" i="2" s="1"/>
  <c r="Q151" i="2" a="1"/>
  <c r="S151" i="2" s="1"/>
  <c r="Q1217" i="2" a="1"/>
  <c r="S1217" i="2" s="1"/>
  <c r="Q912" i="2" a="1"/>
  <c r="S912" i="2" s="1"/>
  <c r="Q1961" i="2" a="1"/>
  <c r="S1961" i="2" s="1"/>
  <c r="Q1786" i="2" a="1"/>
  <c r="S1786" i="2" s="1"/>
  <c r="Q864" i="2" a="1"/>
  <c r="S864" i="2" s="1"/>
  <c r="Q2111" i="2" a="1"/>
  <c r="S2111" i="2" s="1"/>
  <c r="Q902" i="2" a="1"/>
  <c r="S902" i="2" s="1"/>
  <c r="Q1252" i="2" a="1"/>
  <c r="S1252" i="2" s="1"/>
  <c r="Q2533" i="2" a="1"/>
  <c r="S2533" i="2" s="1"/>
  <c r="Q1532" i="2" a="1"/>
  <c r="S1532" i="2" s="1"/>
  <c r="Q147" i="2" a="1"/>
  <c r="S147" i="2" s="1"/>
  <c r="Q34" i="2" a="1"/>
  <c r="S34" i="2" s="1"/>
  <c r="Q2509" i="2" a="1"/>
  <c r="S2509" i="2" s="1"/>
  <c r="Q1248" i="2" a="1"/>
  <c r="S1248" i="2" s="1"/>
  <c r="Q517" i="2" a="1"/>
  <c r="S517" i="2" s="1"/>
  <c r="Q1146" i="2" a="1"/>
  <c r="S1146" i="2" s="1"/>
  <c r="Q1971" i="2" a="1"/>
  <c r="S1971" i="2" s="1"/>
  <c r="Q859" i="2" a="1"/>
  <c r="S859" i="2" s="1"/>
  <c r="Q1704" i="2" a="1"/>
  <c r="S1704" i="2" s="1"/>
  <c r="Q304" i="2" a="1"/>
  <c r="S304" i="2" s="1"/>
  <c r="Q924" i="2" a="1"/>
  <c r="S924" i="2" s="1"/>
  <c r="Q1221" i="2" a="1"/>
  <c r="S1221" i="2" s="1"/>
  <c r="Q1004" i="2" a="1"/>
  <c r="S1004" i="2" s="1"/>
  <c r="Q2077" i="2" a="1"/>
  <c r="S2077" i="2" s="1"/>
  <c r="Q1563" i="2" a="1"/>
  <c r="S1563" i="2" s="1"/>
  <c r="Q858" i="2" a="1"/>
  <c r="S858" i="2" s="1"/>
  <c r="Q849" i="2" a="1"/>
  <c r="S849" i="2" s="1"/>
  <c r="Q164" i="2" a="1"/>
  <c r="S164" i="2" s="1"/>
  <c r="Q1320" i="2" a="1"/>
  <c r="S1320" i="2" s="1"/>
  <c r="Q2176" i="2" a="1"/>
  <c r="S2176" i="2" s="1"/>
  <c r="Q1940" i="2" a="1"/>
  <c r="S1940" i="2" s="1"/>
  <c r="Q1391" i="2" a="1"/>
  <c r="S1391" i="2" s="1"/>
  <c r="Q1467" i="2" a="1"/>
  <c r="S1467" i="2" s="1"/>
  <c r="Q1791" i="2" a="1"/>
  <c r="S1791" i="2" s="1"/>
  <c r="Q2500" i="2" a="1"/>
  <c r="S2500" i="2" s="1"/>
  <c r="Q1846" i="2" a="1"/>
  <c r="S1846" i="2" s="1"/>
  <c r="Q1872" i="2" a="1"/>
  <c r="S1872" i="2" s="1"/>
  <c r="Q2148" i="2" a="1"/>
  <c r="S2148" i="2" s="1"/>
  <c r="Q37" i="2" a="1"/>
  <c r="S37" i="2" s="1"/>
  <c r="Q216" i="2" a="1"/>
  <c r="S216" i="2" s="1"/>
  <c r="Q1861" i="2" a="1"/>
  <c r="S1861" i="2" s="1"/>
  <c r="Q1009" i="2" a="1"/>
  <c r="S1009" i="2" s="1"/>
  <c r="Q1765" i="2" a="1"/>
  <c r="S1765" i="2" s="1"/>
  <c r="Q930" i="2" a="1"/>
  <c r="S930" i="2" s="1"/>
  <c r="Q1854" i="2" a="1"/>
  <c r="S1854" i="2" s="1"/>
  <c r="Q1496" i="2" a="1"/>
  <c r="S1496" i="2" s="1"/>
  <c r="Q1413" i="2" a="1"/>
  <c r="S1413" i="2" s="1"/>
  <c r="Q1373" i="2" a="1"/>
  <c r="S1373" i="2" s="1"/>
  <c r="Q1434" i="2" a="1"/>
  <c r="S1434" i="2" s="1"/>
  <c r="Q1996" i="2" a="1"/>
  <c r="S1996" i="2" s="1"/>
  <c r="Q1653" i="2" a="1"/>
  <c r="S1653" i="2" s="1"/>
  <c r="Q1318" i="2" a="1"/>
  <c r="S1318" i="2" s="1"/>
  <c r="Q1480" i="2" a="1"/>
  <c r="S1480" i="2" s="1"/>
  <c r="Q1772" i="2" a="1"/>
  <c r="S1772" i="2" s="1"/>
  <c r="Q214" i="2" a="1"/>
  <c r="S214" i="2" s="1"/>
  <c r="Q2179" i="2" a="1"/>
  <c r="S2179" i="2" s="1"/>
  <c r="Q1414" i="2" a="1"/>
  <c r="S1414" i="2" s="1"/>
  <c r="Q1773" i="2" a="1"/>
  <c r="S1773" i="2" s="1"/>
  <c r="Q816" i="2" a="1"/>
  <c r="S816" i="2" s="1"/>
  <c r="Q1212" i="2" a="1"/>
  <c r="S1212" i="2" s="1"/>
  <c r="Q106" i="2" a="1"/>
  <c r="S106" i="2" s="1"/>
  <c r="Q1764" i="2" a="1"/>
  <c r="S1764" i="2" s="1"/>
  <c r="Q22" i="2" a="1"/>
  <c r="S22" i="2" s="1"/>
  <c r="Q3" i="2" a="1"/>
  <c r="S3" i="2" s="1"/>
  <c r="Q1915" i="2" a="1"/>
  <c r="S1915" i="2" s="1"/>
  <c r="Q2525" i="2" a="1"/>
  <c r="S2525" i="2" s="1"/>
  <c r="Q871" i="2" a="1"/>
  <c r="S871" i="2" s="1"/>
  <c r="Q1528" i="2" a="1"/>
  <c r="S1528" i="2" s="1"/>
  <c r="Q1675" i="2" a="1"/>
  <c r="S1675" i="2" s="1"/>
  <c r="Q4" i="2" a="1"/>
  <c r="S4" i="2" s="1"/>
  <c r="Q2071" i="2" a="1"/>
  <c r="S2071" i="2" s="1"/>
  <c r="Q2530" i="2" a="1"/>
  <c r="S2530" i="2" s="1"/>
  <c r="Q1545" i="2" a="1"/>
  <c r="S1545" i="2" s="1"/>
  <c r="Q1703" i="2" a="1"/>
  <c r="S1703" i="2" s="1"/>
  <c r="Q171" i="2" a="1"/>
  <c r="S171" i="2" s="1"/>
  <c r="Q1880" i="2" a="1"/>
  <c r="S1880" i="2" s="1"/>
  <c r="Q1380" i="2" a="1"/>
  <c r="S1380" i="2" s="1"/>
  <c r="Q2067" i="2" a="1"/>
  <c r="S2067" i="2" s="1"/>
  <c r="Q1833" i="2" a="1"/>
  <c r="S1833" i="2" s="1"/>
  <c r="Q769" i="2" a="1"/>
  <c r="S769" i="2" s="1"/>
  <c r="Q2053" i="2" a="1"/>
  <c r="S2053" i="2" s="1"/>
  <c r="Q77" i="2" a="1"/>
  <c r="S77" i="2" s="1"/>
  <c r="Q1647" i="2" a="1"/>
  <c r="S1647" i="2" s="1"/>
  <c r="Q768" i="2" a="1"/>
  <c r="S768" i="2" s="1"/>
  <c r="Q435" i="2" a="1"/>
  <c r="S435" i="2" s="1"/>
  <c r="Q1392" i="2" a="1"/>
  <c r="S1392" i="2" s="1"/>
  <c r="Q766" i="2" a="1"/>
  <c r="S766" i="2" s="1"/>
  <c r="Q1866" i="2" a="1"/>
  <c r="S1866" i="2" s="1"/>
  <c r="Q1343" i="2" a="1"/>
  <c r="S1343" i="2" s="1"/>
  <c r="Q1840" i="2" a="1"/>
  <c r="S1840" i="2" s="1"/>
  <c r="Q1268" i="2" a="1"/>
  <c r="S1268" i="2" s="1"/>
  <c r="Q2553" i="2" a="1"/>
  <c r="S2553" i="2" s="1"/>
  <c r="Q1956" i="2" a="1"/>
  <c r="S1956" i="2" s="1"/>
  <c r="Q909" i="2" a="1"/>
  <c r="S909" i="2" s="1"/>
  <c r="Q2185" i="2" a="1"/>
  <c r="S2185" i="2" s="1"/>
  <c r="Q1273" i="2" a="1"/>
  <c r="S1273" i="2" s="1"/>
  <c r="Q1010" i="2" a="1"/>
  <c r="S1010" i="2" s="1"/>
  <c r="Q1269" i="2" a="1"/>
  <c r="S1269" i="2" s="1"/>
  <c r="Q1613" i="2" a="1"/>
  <c r="S1613" i="2" s="1"/>
  <c r="Q1147" i="2" a="1"/>
  <c r="S1147" i="2" s="1"/>
  <c r="Q42" i="2" a="1"/>
  <c r="S42" i="2" s="1"/>
  <c r="Q1842" i="2" a="1"/>
  <c r="S1842" i="2" s="1"/>
  <c r="Q1524" i="2" a="1"/>
  <c r="S1524" i="2" s="1"/>
  <c r="Q1845" i="2" a="1"/>
  <c r="S1845" i="2" s="1"/>
  <c r="Q101" i="2" a="1"/>
  <c r="S101" i="2" s="1"/>
  <c r="Q1734" i="2" a="1"/>
  <c r="S1734" i="2" s="1"/>
  <c r="Q1831" i="2" a="1"/>
  <c r="S1831" i="2" s="1"/>
  <c r="Q1696" i="2" a="1"/>
  <c r="S1696" i="2" s="1"/>
  <c r="Q91" i="2" a="1"/>
  <c r="S91" i="2" s="1"/>
  <c r="Q2191" i="2" a="1"/>
  <c r="S2191" i="2" s="1"/>
  <c r="Q1584" i="2" a="1"/>
  <c r="S1584" i="2" s="1"/>
  <c r="Q1280" i="2" a="1"/>
  <c r="S1280" i="2" s="1"/>
  <c r="Q1871" i="2" a="1"/>
  <c r="S1871" i="2" s="1"/>
  <c r="Q1448" i="2" a="1"/>
  <c r="S1448" i="2" s="1"/>
  <c r="Q2515" i="2" a="1"/>
  <c r="S2515" i="2" s="1"/>
  <c r="Q1827" i="2" a="1"/>
  <c r="S1827" i="2" s="1"/>
  <c r="Q2178" i="2" a="1"/>
  <c r="S2178" i="2" s="1"/>
  <c r="Q1876" i="2" a="1"/>
  <c r="S1876" i="2" s="1"/>
  <c r="Q1597" i="2" a="1"/>
  <c r="S1597" i="2" s="1"/>
  <c r="Q2538" i="2" a="1"/>
  <c r="S2538" i="2" s="1"/>
  <c r="Q2232" i="2" a="1"/>
  <c r="S2232" i="2" s="1"/>
  <c r="Q1874" i="2" a="1"/>
  <c r="S1874" i="2" s="1"/>
  <c r="Q776" i="2" a="1"/>
  <c r="S776" i="2" s="1"/>
  <c r="Q1394" i="2" a="1"/>
  <c r="S1394" i="2" s="1"/>
  <c r="Q1505" i="2" a="1"/>
  <c r="S1505" i="2" s="1"/>
  <c r="Q1264" i="2" a="1"/>
  <c r="S1264" i="2" s="1"/>
  <c r="Q1634" i="2" a="1"/>
  <c r="S1634" i="2" s="1"/>
  <c r="Q2105" i="2" a="1"/>
  <c r="S2105" i="2" s="1"/>
  <c r="Q1782" i="2" a="1"/>
  <c r="S1782" i="2" s="1"/>
  <c r="Q1856" i="2" a="1"/>
  <c r="S1856" i="2" s="1"/>
  <c r="Q2163" i="2" a="1"/>
  <c r="S2163" i="2" s="1"/>
  <c r="Q2193" i="2" a="1"/>
  <c r="S2193" i="2" s="1"/>
  <c r="Q2539" i="2" a="1"/>
  <c r="S2539" i="2" s="1"/>
  <c r="Q1851" i="2" a="1"/>
  <c r="S1851" i="2" s="1"/>
  <c r="Q1629" i="2" a="1"/>
  <c r="S1629" i="2" s="1"/>
  <c r="Q1003" i="2" a="1"/>
  <c r="S1003" i="2" s="1"/>
  <c r="Q1583" i="2" a="1"/>
  <c r="S1583" i="2" s="1"/>
  <c r="Q1724" i="2" a="1"/>
  <c r="S1724" i="2" s="1"/>
  <c r="Q2202" i="2" a="1"/>
  <c r="S2202" i="2" s="1"/>
  <c r="Q1671" i="2" a="1"/>
  <c r="S1671" i="2" s="1"/>
  <c r="Q460" i="2" a="1"/>
  <c r="S460" i="2" s="1"/>
  <c r="Q1852" i="2" a="1"/>
  <c r="S1852" i="2" s="1"/>
  <c r="Q1744" i="2" a="1"/>
  <c r="S1744" i="2" s="1"/>
  <c r="Q943" i="2" a="1"/>
  <c r="S943" i="2" s="1"/>
  <c r="Q1127" i="2" a="1"/>
  <c r="S1127" i="2" s="1"/>
  <c r="Q1837" i="2" a="1"/>
  <c r="S1837" i="2" s="1"/>
  <c r="Q1285" i="2" a="1"/>
  <c r="S1285" i="2" s="1"/>
  <c r="Q963" i="2" a="1"/>
  <c r="S963" i="2" s="1"/>
  <c r="Q796" i="2" a="1"/>
  <c r="S796" i="2" s="1"/>
  <c r="Q968" i="2" a="1"/>
  <c r="S968" i="2" s="1"/>
  <c r="Q1307" i="2" a="1"/>
  <c r="S1307" i="2" s="1"/>
  <c r="Q2061" i="2" a="1"/>
  <c r="S2061" i="2" s="1"/>
  <c r="Q1445" i="2" a="1"/>
  <c r="S1445" i="2" s="1"/>
  <c r="Q14" i="2" a="1"/>
  <c r="S14" i="2" s="1"/>
  <c r="Q1566" i="2" a="1"/>
  <c r="S1566" i="2" s="1"/>
  <c r="Q1611" i="2" a="1"/>
  <c r="S1611" i="2" s="1"/>
  <c r="Q1689" i="2" a="1"/>
  <c r="S1689" i="2" s="1"/>
  <c r="Q49" i="2" a="1"/>
  <c r="S49" i="2" s="1"/>
  <c r="Q925" i="2" a="1"/>
  <c r="S925" i="2" s="1"/>
  <c r="Q1933" i="2" a="1"/>
  <c r="S1933" i="2" s="1"/>
  <c r="Q204" i="2" a="1"/>
  <c r="S204" i="2" s="1"/>
  <c r="Q945" i="2" a="1"/>
  <c r="S945" i="2" s="1"/>
  <c r="Q850" i="2" a="1"/>
  <c r="S850" i="2" s="1"/>
  <c r="Q2161" i="2" a="1"/>
  <c r="S2161" i="2" s="1"/>
  <c r="Q934" i="2" a="1"/>
  <c r="S934" i="2" s="1"/>
  <c r="Q1490" i="2" a="1"/>
  <c r="S1490" i="2" s="1"/>
  <c r="Q1251" i="2" a="1"/>
  <c r="S1251" i="2" s="1"/>
  <c r="Q170" i="2" a="1"/>
  <c r="S170" i="2" s="1"/>
  <c r="Q1937" i="2" a="1"/>
  <c r="S1937" i="2" s="1"/>
  <c r="Q1684" i="2" a="1"/>
  <c r="S1684" i="2" s="1"/>
  <c r="Q1491" i="2" a="1"/>
  <c r="S1491" i="2" s="1"/>
  <c r="Q1992" i="2" a="1"/>
  <c r="S1992" i="2" s="1"/>
  <c r="Q1793" i="2" a="1"/>
  <c r="S1793" i="2" s="1"/>
  <c r="Q1551" i="2" a="1"/>
  <c r="S1551" i="2" s="1"/>
  <c r="Q412" i="2" a="1"/>
  <c r="S412" i="2" s="1"/>
  <c r="Q1499" i="2" a="1"/>
  <c r="S1499" i="2" s="1"/>
  <c r="Q578" i="2" a="1"/>
  <c r="S578" i="2" s="1"/>
  <c r="Q2547" i="2" a="1"/>
  <c r="S2547" i="2" s="1"/>
  <c r="Q952" i="2" a="1"/>
  <c r="S952" i="2" s="1"/>
  <c r="Q1352" i="2" a="1"/>
  <c r="S1352" i="2" s="1"/>
  <c r="Q879" i="2" a="1"/>
  <c r="S879" i="2" s="1"/>
  <c r="Q1894" i="2" a="1"/>
  <c r="S1894" i="2" s="1"/>
  <c r="Q1446" i="2" a="1"/>
  <c r="S1446" i="2" s="1"/>
  <c r="Q1970" i="2" a="1"/>
  <c r="S1970" i="2" s="1"/>
  <c r="R1148" i="2" a="1"/>
  <c r="Q1265" i="2" a="1"/>
  <c r="S1265" i="2" s="1"/>
  <c r="Q845" i="2" a="1"/>
  <c r="S845" i="2" s="1"/>
  <c r="Q1298" i="2" a="1"/>
  <c r="S1298" i="2" s="1"/>
  <c r="Q2171" i="2" a="1"/>
  <c r="S2171" i="2" s="1"/>
  <c r="Q1590" i="2" a="1"/>
  <c r="S1590" i="2" s="1"/>
  <c r="Q5" i="2" a="1"/>
  <c r="S5" i="2" s="1"/>
  <c r="Q1456" i="2" a="1"/>
  <c r="S1456" i="2" s="1"/>
  <c r="Q628" i="2" a="1"/>
  <c r="S628" i="2" s="1"/>
  <c r="Q865" i="2" a="1"/>
  <c r="S865" i="2" s="1"/>
  <c r="Q1291" i="2" a="1"/>
  <c r="S1291" i="2" s="1"/>
  <c r="Q2052" i="2" a="1"/>
  <c r="S2052" i="2" s="1"/>
  <c r="Q1486" i="2" a="1"/>
  <c r="S1486" i="2" s="1"/>
  <c r="Q2022" i="2" a="1"/>
  <c r="S2022" i="2" s="1"/>
  <c r="Q168" i="2" a="1"/>
  <c r="S168" i="2" s="1"/>
  <c r="Q891" i="2" a="1"/>
  <c r="S891" i="2" s="1"/>
  <c r="Q1236" i="2" a="1"/>
  <c r="S1236" i="2" s="1"/>
  <c r="Q885" i="2" a="1"/>
  <c r="S885" i="2" s="1"/>
  <c r="Q200" i="2" a="1"/>
  <c r="S200" i="2" s="1"/>
  <c r="Q1334" i="2" a="1"/>
  <c r="S1334" i="2" s="1"/>
  <c r="Q1602" i="2" a="1"/>
  <c r="S1602" i="2" s="1"/>
  <c r="Q779" i="2" a="1"/>
  <c r="S779" i="2" s="1"/>
  <c r="Q1101" i="2" a="1"/>
  <c r="S1101" i="2" s="1"/>
  <c r="Q148" i="2" a="1"/>
  <c r="S148" i="2" s="1"/>
  <c r="Q1358" i="2" a="1"/>
  <c r="S1358" i="2" s="1"/>
  <c r="Q1336" i="2" a="1"/>
  <c r="S1336" i="2" s="1"/>
  <c r="Q1412" i="2" a="1"/>
  <c r="S1412" i="2" s="1"/>
  <c r="Q831" i="2" a="1"/>
  <c r="S831" i="2" s="1"/>
  <c r="Q1814" i="2" a="1"/>
  <c r="S1814" i="2" s="1"/>
  <c r="Q144" i="2" a="1"/>
  <c r="S144" i="2" s="1"/>
  <c r="Q949" i="2" a="1"/>
  <c r="S949" i="2" s="1"/>
  <c r="Q848" i="2" a="1"/>
  <c r="S848" i="2" s="1"/>
  <c r="Q1811" i="2" a="1"/>
  <c r="S1811" i="2" s="1"/>
  <c r="Q2222" i="2" a="1"/>
  <c r="S2222" i="2" s="1"/>
  <c r="Q1574" i="2" a="1"/>
  <c r="S1574" i="2" s="1"/>
  <c r="Q166" i="2" a="1"/>
  <c r="S166" i="2" s="1"/>
  <c r="Q1723" i="2" a="1"/>
  <c r="S1723" i="2" s="1"/>
  <c r="Q1826" i="2" a="1"/>
  <c r="S1826" i="2" s="1"/>
  <c r="Q2514" i="2" a="1"/>
  <c r="S2514" i="2" s="1"/>
  <c r="Q1873" i="2" a="1"/>
  <c r="S1873" i="2" s="1"/>
  <c r="Q54" i="2" a="1"/>
  <c r="S54" i="2" s="1"/>
  <c r="Q40" i="2" a="1"/>
  <c r="S40" i="2" s="1"/>
  <c r="Q408" i="2" a="1"/>
  <c r="S408" i="2" s="1"/>
  <c r="Q1877" i="2" a="1"/>
  <c r="S1877" i="2" s="1"/>
  <c r="Q1249" i="2" a="1"/>
  <c r="S1249" i="2" s="1"/>
  <c r="Q83" i="2" a="1"/>
  <c r="S83" i="2" s="1"/>
  <c r="Q657" i="2" a="1"/>
  <c r="S657" i="2" s="1"/>
  <c r="Q1763" i="2" a="1"/>
  <c r="S1763" i="2" s="1"/>
  <c r="Q561" i="2" a="1"/>
  <c r="S561" i="2" s="1"/>
  <c r="Q948" i="2" a="1"/>
  <c r="S948" i="2" s="1"/>
  <c r="Q1331" i="2" a="1"/>
  <c r="S1331" i="2" s="1"/>
  <c r="Q1660" i="2" a="1"/>
  <c r="S1660" i="2" s="1"/>
  <c r="Q813" i="2" a="1"/>
  <c r="S813" i="2" s="1"/>
  <c r="Q1690" i="2" a="1"/>
  <c r="S1690" i="2" s="1"/>
  <c r="Q1697" i="2" a="1"/>
  <c r="S1697" i="2" s="1"/>
  <c r="Q1785" i="2" a="1"/>
  <c r="S1785" i="2" s="1"/>
  <c r="Q1535" i="2" a="1"/>
  <c r="S1535" i="2" s="1"/>
  <c r="Q2532" i="2" a="1"/>
  <c r="S2532" i="2" s="1"/>
  <c r="Q1324" i="2" a="1"/>
  <c r="S1324" i="2" s="1"/>
  <c r="Q2103" i="2" a="1"/>
  <c r="S2103" i="2" s="1"/>
  <c r="Q1537" i="2" a="1"/>
  <c r="S1537" i="2" s="1"/>
  <c r="Q167" i="2" a="1"/>
  <c r="S167" i="2" s="1"/>
  <c r="Q1711" i="2" a="1"/>
  <c r="S1711" i="2" s="1"/>
  <c r="Q1906" i="2" a="1"/>
  <c r="S1906" i="2" s="1"/>
  <c r="Q580" i="2" a="1"/>
  <c r="S580" i="2" s="1"/>
  <c r="Q1913" i="2" a="1"/>
  <c r="S1913" i="2" s="1"/>
  <c r="Q333" i="2" a="1"/>
  <c r="S333" i="2" s="1"/>
  <c r="Q1335" i="2" a="1"/>
  <c r="S1335" i="2" s="1"/>
  <c r="Q2031" i="2" a="1"/>
  <c r="S2031" i="2" s="1"/>
  <c r="Q797" i="2" a="1"/>
  <c r="S797" i="2" s="1"/>
  <c r="Q1897" i="2" a="1"/>
  <c r="S1897" i="2" s="1"/>
  <c r="Q2188" i="2" a="1"/>
  <c r="S2188" i="2" s="1"/>
  <c r="Q1254" i="2" a="1"/>
  <c r="S1254" i="2" s="1"/>
  <c r="Q1474" i="2" a="1"/>
  <c r="S1474" i="2" s="1"/>
  <c r="Q1458" i="2" a="1"/>
  <c r="S1458" i="2" s="1"/>
  <c r="Q1722" i="2" a="1"/>
  <c r="S1722" i="2" s="1"/>
  <c r="Q893" i="2" a="1"/>
  <c r="S893" i="2" s="1"/>
  <c r="Q2122" i="2" a="1"/>
  <c r="S2122" i="2" s="1"/>
  <c r="Q1674" i="2" a="1"/>
  <c r="S1674" i="2" s="1"/>
  <c r="Q158" i="2" a="1"/>
  <c r="S158" i="2" s="1"/>
  <c r="Q2086" i="2" a="1"/>
  <c r="S2086" i="2" s="1"/>
  <c r="Q1497" i="2" a="1"/>
  <c r="S1497" i="2" s="1"/>
  <c r="Q1898" i="2" a="1"/>
  <c r="S1898" i="2" s="1"/>
  <c r="Q1919" i="2" a="1"/>
  <c r="S1919" i="2" s="1"/>
  <c r="R1147" i="2" a="1"/>
  <c r="Q1346" i="2" a="1"/>
  <c r="S1346" i="2" s="1"/>
  <c r="Q1664" i="2" a="1"/>
  <c r="S1664" i="2" s="1"/>
  <c r="Q787" i="2" a="1"/>
  <c r="S787" i="2" s="1"/>
  <c r="Q1438" i="2" a="1"/>
  <c r="S1438" i="2" s="1"/>
  <c r="Q1301" i="2" a="1"/>
  <c r="S1301" i="2" s="1"/>
  <c r="Q1542" i="2" a="1"/>
  <c r="S1542" i="2" s="1"/>
  <c r="Q821" i="2" a="1"/>
  <c r="S821" i="2" s="1"/>
  <c r="Q2007" i="2" a="1"/>
  <c r="S2007" i="2" s="1"/>
  <c r="Q120" i="2" a="1"/>
  <c r="S120" i="2" s="1"/>
  <c r="Q1805" i="2" a="1"/>
  <c r="S1805" i="2" s="1"/>
  <c r="Q941" i="2" a="1"/>
  <c r="S941" i="2" s="1"/>
  <c r="Q883" i="2" a="1"/>
  <c r="S883" i="2" s="1"/>
  <c r="Q1875" i="2" a="1"/>
  <c r="S1875" i="2" s="1"/>
  <c r="Q2228" i="2" a="1"/>
  <c r="S2228" i="2" s="1"/>
  <c r="Q763" i="2" a="1"/>
  <c r="S763" i="2" s="1"/>
  <c r="Q978" i="2" a="1"/>
  <c r="S978" i="2" s="1"/>
  <c r="Q7" i="2" a="1"/>
  <c r="S7" i="2" s="1"/>
  <c r="Q1381" i="2" a="1"/>
  <c r="S1381" i="2" s="1"/>
  <c r="Q1557" i="2" a="1"/>
  <c r="S1557" i="2" s="1"/>
  <c r="Q2041" i="2" a="1"/>
  <c r="S2041" i="2" s="1"/>
  <c r="Q1849" i="2" a="1"/>
  <c r="S1849" i="2" s="1"/>
  <c r="Q26" i="2" a="1"/>
  <c r="S26" i="2" s="1"/>
  <c r="Q1591" i="2" a="1"/>
  <c r="S1591" i="2" s="1"/>
  <c r="Q1354" i="2" a="1"/>
  <c r="S1354" i="2" s="1"/>
  <c r="Q1395" i="2" a="1"/>
  <c r="S1395" i="2" s="1"/>
  <c r="Q41" i="2" a="1"/>
  <c r="S41" i="2" s="1"/>
  <c r="Q798" i="2" a="1"/>
  <c r="S798" i="2" s="1"/>
  <c r="Q1817" i="2" a="1"/>
  <c r="S1817" i="2" s="1"/>
  <c r="Q1427" i="2" a="1"/>
  <c r="S1427" i="2" s="1"/>
  <c r="Q2109" i="2" a="1"/>
  <c r="S2109" i="2" s="1"/>
  <c r="Q1288" i="2" a="1"/>
  <c r="S1288" i="2" s="1"/>
  <c r="Q2504" i="2" a="1"/>
  <c r="S2504" i="2" s="1"/>
  <c r="Q221" i="2" a="1"/>
  <c r="S221" i="2" s="1"/>
  <c r="Q1958" i="2" a="1"/>
  <c r="S1958" i="2" s="1"/>
  <c r="Q2549" i="2" a="1"/>
  <c r="S2549" i="2" s="1"/>
  <c r="Q1718" i="2" a="1"/>
  <c r="S1718" i="2" s="1"/>
  <c r="Q1234" i="2" a="1"/>
  <c r="S1234" i="2" s="1"/>
  <c r="Q2108" i="2" a="1"/>
  <c r="S2108" i="2" s="1"/>
  <c r="Q2110" i="2" a="1"/>
  <c r="S2110" i="2" s="1"/>
  <c r="Q984" i="2" a="1"/>
  <c r="S984" i="2" s="1"/>
  <c r="Q266" i="2" a="1"/>
  <c r="S266" i="2" s="1"/>
  <c r="Q2513" i="2" a="1"/>
  <c r="S2513" i="2" s="1"/>
  <c r="Q1628" i="2" a="1"/>
  <c r="S1628" i="2" s="1"/>
  <c r="Q567" i="2" a="1"/>
  <c r="S567" i="2" s="1"/>
  <c r="Q2045" i="2" a="1"/>
  <c r="S2045" i="2" s="1"/>
  <c r="Q857" i="2" a="1"/>
  <c r="S857" i="2" s="1"/>
  <c r="Q452" i="2" a="1"/>
  <c r="S452" i="2" s="1"/>
  <c r="Q1515" i="2" a="1"/>
  <c r="S1515" i="2" s="1"/>
  <c r="Q58" i="2" a="1"/>
  <c r="S58" i="2" s="1"/>
  <c r="Q31" i="2" a="1"/>
  <c r="S31" i="2" s="1"/>
  <c r="Q1649" i="2" a="1"/>
  <c r="S1649" i="2" s="1"/>
  <c r="Q1540" i="2" a="1"/>
  <c r="S1540" i="2" s="1"/>
  <c r="Q1948" i="2" a="1"/>
  <c r="S1948" i="2" s="1"/>
  <c r="Q1921" i="2" a="1"/>
  <c r="S1921" i="2" s="1"/>
  <c r="Q2165" i="2" a="1"/>
  <c r="S2165" i="2" s="1"/>
  <c r="Q1571" i="2" a="1"/>
  <c r="S1571" i="2" s="1"/>
  <c r="Q2518" i="2" a="1"/>
  <c r="S2518" i="2" s="1"/>
  <c r="Q2184" i="2" a="1"/>
  <c r="S2184" i="2" s="1"/>
  <c r="Q150" i="2" a="1"/>
  <c r="S150" i="2" s="1"/>
  <c r="Q2093" i="2" a="1"/>
  <c r="S2093" i="2" s="1"/>
  <c r="Q1893" i="2" a="1"/>
  <c r="S1893" i="2" s="1"/>
  <c r="Q640" i="2" a="1"/>
  <c r="S640" i="2" s="1"/>
  <c r="Q1659" i="2" a="1"/>
  <c r="S1659" i="2" s="1"/>
  <c r="Q2008" i="2" a="1"/>
  <c r="S2008" i="2" s="1"/>
  <c r="Q36" i="2" a="1"/>
  <c r="S36" i="2" s="1"/>
  <c r="Q801" i="2" a="1"/>
  <c r="S801" i="2" s="1"/>
  <c r="Q94" i="2" a="1"/>
  <c r="S94" i="2" s="1"/>
  <c r="Q1295" i="2" a="1"/>
  <c r="S1295" i="2" s="1"/>
  <c r="Q1688" i="2" a="1"/>
  <c r="S1688" i="2" s="1"/>
  <c r="Q159" i="2" a="1"/>
  <c r="S159" i="2" s="1"/>
  <c r="Q940" i="2" a="1"/>
  <c r="S940" i="2" s="1"/>
  <c r="Q2527" i="2" a="1"/>
  <c r="S2527" i="2" s="1"/>
  <c r="Q1495" i="2" a="1"/>
  <c r="S1495" i="2" s="1"/>
  <c r="Q1945" i="2" a="1"/>
  <c r="S1945" i="2" s="1"/>
  <c r="Q1315" i="2" a="1"/>
  <c r="S1315" i="2" s="1"/>
  <c r="Q1646" i="2" a="1"/>
  <c r="S1646" i="2" s="1"/>
  <c r="Q1229" i="2" a="1"/>
  <c r="S1229" i="2" s="1"/>
  <c r="Q1294" i="2" a="1"/>
  <c r="S1294" i="2" s="1"/>
  <c r="Q1565" i="2" a="1"/>
  <c r="S1565" i="2" s="1"/>
  <c r="Q1795" i="2" a="1"/>
  <c r="S1795" i="2" s="1"/>
  <c r="Q886" i="2" a="1"/>
  <c r="S886" i="2" s="1"/>
  <c r="Q1710" i="2" a="1"/>
  <c r="S1710" i="2" s="1"/>
  <c r="Q2112" i="2" a="1"/>
  <c r="S2112" i="2" s="1"/>
  <c r="Q1564" i="2" a="1"/>
  <c r="S1564" i="2" s="1"/>
  <c r="Q1148" i="2" a="1"/>
  <c r="S1148" i="2" s="1"/>
  <c r="Q2083" i="2" a="1"/>
  <c r="S2083" i="2" s="1"/>
  <c r="Q46" i="2" a="1"/>
  <c r="S46" i="2" s="1"/>
  <c r="Q1819" i="2" a="1"/>
  <c r="S1819" i="2" s="1"/>
  <c r="Q1503" i="2" a="1"/>
  <c r="S1503" i="2" s="1"/>
  <c r="Q2028" i="2" a="1"/>
  <c r="S2028" i="2" s="1"/>
  <c r="Q1994" i="2" a="1"/>
  <c r="S1994" i="2" s="1"/>
  <c r="Q1619" i="2" a="1"/>
  <c r="S1619" i="2" s="1"/>
  <c r="Q788" i="2" a="1"/>
  <c r="S788" i="2" s="1"/>
  <c r="Q157" i="2" a="1"/>
  <c r="S157" i="2" s="1"/>
  <c r="Q1806" i="2" a="1"/>
  <c r="S1806" i="2" s="1"/>
  <c r="Q1432" i="2" a="1"/>
  <c r="S1432" i="2" s="1"/>
  <c r="Q1225" i="2" a="1"/>
  <c r="S1225" i="2" s="1"/>
  <c r="Q176" i="2" a="1"/>
  <c r="S176" i="2" s="1"/>
  <c r="Q939" i="2" a="1"/>
  <c r="S939" i="2" s="1"/>
  <c r="Q1482" i="2" a="1"/>
  <c r="S1482" i="2" s="1"/>
  <c r="Q1796" i="2" a="1"/>
  <c r="S1796" i="2" s="1"/>
  <c r="Q1388" i="2" a="1"/>
  <c r="S1388" i="2" s="1"/>
  <c r="Q1329" i="2" a="1"/>
  <c r="S1329" i="2" s="1"/>
  <c r="Q1409" i="2" a="1"/>
  <c r="S1409" i="2" s="1"/>
  <c r="Q305" i="2" a="1"/>
  <c r="S305" i="2" s="1"/>
  <c r="Q99" i="2" a="1"/>
  <c r="S99" i="2" s="1"/>
  <c r="Q1245" i="2" a="1"/>
  <c r="S1245" i="2" s="1"/>
  <c r="Q1567" i="2" a="1"/>
  <c r="S1567" i="2" s="1"/>
  <c r="Q1366" i="2" a="1"/>
  <c r="S1366" i="2" s="1"/>
  <c r="Q791" i="2" a="1"/>
  <c r="S791" i="2" s="1"/>
  <c r="Q1578" i="2" a="1"/>
  <c r="S1578" i="2" s="1"/>
  <c r="Q1892" i="2" a="1"/>
  <c r="S1892" i="2" s="1"/>
  <c r="Q2170" i="2" a="1"/>
  <c r="S2170" i="2" s="1"/>
  <c r="Q926" i="2" a="1"/>
  <c r="S926" i="2" s="1"/>
  <c r="Q1719" i="2" a="1"/>
  <c r="S1719" i="2" s="1"/>
  <c r="Q1967" i="2" a="1"/>
  <c r="S1967" i="2" s="1"/>
  <c r="Q1509" i="2" a="1"/>
  <c r="S1509" i="2" s="1"/>
  <c r="Q117" i="2" a="1"/>
  <c r="S117" i="2" s="1"/>
  <c r="Q935" i="2" a="1"/>
  <c r="S935" i="2" s="1"/>
  <c r="Q2198" i="2" a="1"/>
  <c r="S2198" i="2" s="1"/>
  <c r="Q1596" i="2" a="1"/>
  <c r="S1596" i="2" s="1"/>
  <c r="Q1322" i="2" a="1"/>
  <c r="S1322" i="2" s="1"/>
  <c r="Q1848" i="2" a="1"/>
  <c r="S1848" i="2" s="1"/>
  <c r="Q2546" i="2" a="1"/>
  <c r="S2546" i="2" s="1"/>
  <c r="Q1721" i="2" a="1"/>
  <c r="S1721" i="2" s="1"/>
  <c r="Q1832" i="2" a="1"/>
  <c r="S1832" i="2" s="1"/>
  <c r="Q1943" i="2" a="1"/>
  <c r="S1943" i="2" s="1"/>
  <c r="Q1246" i="2" a="1"/>
  <c r="S1246" i="2" s="1"/>
  <c r="Q1799" i="2" a="1"/>
  <c r="S1799" i="2" s="1"/>
  <c r="Q370" i="2" a="1"/>
  <c r="S370" i="2" s="1"/>
  <c r="Q1455" i="2" a="1"/>
  <c r="S1455" i="2" s="1"/>
  <c r="Q450" i="2" a="1"/>
  <c r="S450" i="2" s="1"/>
  <c r="Q1717" i="2" a="1"/>
  <c r="S1717" i="2" s="1"/>
  <c r="Q847" i="2" a="1"/>
  <c r="S847" i="2" s="1"/>
  <c r="Q1400" i="2" a="1"/>
  <c r="S1400" i="2" s="1"/>
  <c r="Q2233" i="2" a="1"/>
  <c r="S2233" i="2" s="1"/>
  <c r="Q1439" i="2" a="1"/>
  <c r="S1439" i="2" s="1"/>
  <c r="Q209" i="2" a="1"/>
  <c r="S209" i="2" s="1"/>
  <c r="Q2084" i="2" a="1"/>
  <c r="S2084" i="2" s="1"/>
  <c r="Q1640" i="2" a="1"/>
  <c r="S1640" i="2" s="1"/>
  <c r="Q1218" i="2" a="1"/>
  <c r="S1218" i="2" s="1"/>
  <c r="Q800" i="2" a="1"/>
  <c r="S800" i="2" s="1"/>
  <c r="Q1356" i="2" a="1"/>
  <c r="S1356" i="2" s="1"/>
  <c r="Q1424" i="2" a="1"/>
  <c r="S1424" i="2" s="1"/>
  <c r="Q1429" i="2" a="1"/>
  <c r="S1429" i="2" s="1"/>
  <c r="Q1901" i="2" a="1"/>
  <c r="S1901" i="2" s="1"/>
  <c r="Q1374" i="2" a="1"/>
  <c r="S1374" i="2" s="1"/>
  <c r="Q2166" i="2" a="1"/>
  <c r="S2166" i="2" s="1"/>
  <c r="Q834" i="2" a="1"/>
  <c r="S834" i="2" s="1"/>
  <c r="Q1407" i="2" a="1"/>
  <c r="S1407" i="2" s="1"/>
  <c r="Q223" i="2" a="1"/>
  <c r="S223" i="2" s="1"/>
  <c r="Q2493" i="2" a="1"/>
  <c r="S2493" i="2" s="1"/>
  <c r="Q1700" i="2" a="1"/>
  <c r="S1700" i="2" s="1"/>
  <c r="Q1208" i="2" a="1"/>
  <c r="S1208" i="2" s="1"/>
  <c r="Q855" i="2" a="1"/>
  <c r="S855" i="2" s="1"/>
  <c r="Q1258" i="2" a="1"/>
  <c r="S1258" i="2" s="1"/>
  <c r="Q1870" i="2" a="1"/>
  <c r="S1870" i="2" s="1"/>
  <c r="Q69" i="2" a="1"/>
  <c r="S69" i="2" s="1"/>
  <c r="Q2092" i="2" a="1"/>
  <c r="S2092" i="2" s="1"/>
  <c r="Q1714" i="2" a="1"/>
  <c r="S1714" i="2" s="1"/>
  <c r="Q762" i="2" a="1"/>
  <c r="S762" i="2" s="1"/>
  <c r="Q87" i="2" a="1"/>
  <c r="S87" i="2" s="1"/>
  <c r="Q2079" i="2" a="1"/>
  <c r="S2079" i="2" s="1"/>
  <c r="Q1281" i="2" a="1"/>
  <c r="S1281" i="2" s="1"/>
  <c r="Q1774" i="2" a="1"/>
  <c r="S1774" i="2" s="1"/>
  <c r="Q43" i="2" a="1"/>
  <c r="S43" i="2" s="1"/>
  <c r="Q1638" i="2" a="1"/>
  <c r="S1638" i="2" s="1"/>
  <c r="Q2082" i="2" a="1"/>
  <c r="S2082" i="2" s="1"/>
  <c r="Q1284" i="2" a="1"/>
  <c r="S1284" i="2" s="1"/>
  <c r="R1151" i="2" a="1"/>
  <c r="Q783" i="2" a="1"/>
  <c r="S783" i="2" s="1"/>
  <c r="Q2187" i="2" a="1"/>
  <c r="S2187" i="2" s="1"/>
  <c r="Q974" i="2" a="1"/>
  <c r="S974" i="2" s="1"/>
  <c r="Q1464" i="2" a="1"/>
  <c r="S1464" i="2" s="1"/>
  <c r="Q899" i="2" a="1"/>
  <c r="S899" i="2" s="1"/>
  <c r="Q53" i="2" a="1"/>
  <c r="S53" i="2" s="1"/>
  <c r="Q1972" i="2" a="1"/>
  <c r="S1972" i="2" s="1"/>
  <c r="Q1299" i="2" a="1"/>
  <c r="S1299" i="2" s="1"/>
  <c r="Q2180" i="2" a="1"/>
  <c r="S2180" i="2" s="1"/>
  <c r="Q1460" i="2" a="1"/>
  <c r="S1460" i="2" s="1"/>
  <c r="Q32" i="2" a="1"/>
  <c r="S32" i="2" s="1"/>
  <c r="Q1587" i="2" a="1"/>
  <c r="S1587" i="2" s="1"/>
  <c r="Q1377" i="2" a="1"/>
  <c r="S1377" i="2" s="1"/>
  <c r="Q992" i="2" a="1"/>
  <c r="S992" i="2" s="1"/>
  <c r="Q2003" i="2" a="1"/>
  <c r="S2003" i="2" s="1"/>
  <c r="Q1683" i="2" a="1"/>
  <c r="S1683" i="2" s="1"/>
  <c r="Q2542" i="2" a="1"/>
  <c r="S2542" i="2" s="1"/>
  <c r="Q65" i="2" a="1"/>
  <c r="S65" i="2" s="1"/>
  <c r="Q2106" i="2" a="1"/>
  <c r="S2106" i="2" s="1"/>
  <c r="Q1393" i="2" a="1"/>
  <c r="S1393" i="2" s="1"/>
  <c r="Q1850" i="2" a="1"/>
  <c r="S1850" i="2" s="1"/>
  <c r="Q1500" i="2" a="1"/>
  <c r="S1500" i="2" s="1"/>
  <c r="Q2201" i="2" a="1"/>
  <c r="S2201" i="2" s="1"/>
  <c r="Q433" i="2" a="1"/>
  <c r="S433" i="2" s="1"/>
  <c r="Q807" i="2" a="1"/>
  <c r="S807" i="2" s="1"/>
  <c r="Q965" i="2" a="1"/>
  <c r="S965" i="2" s="1"/>
  <c r="Q1548" i="2" a="1"/>
  <c r="S1548" i="2" s="1"/>
  <c r="Q1770" i="2" a="1"/>
  <c r="S1770" i="2" s="1"/>
  <c r="Q2540" i="2" a="1"/>
  <c r="S2540" i="2" s="1"/>
  <c r="Q1001" i="2" a="1"/>
  <c r="S1001" i="2" s="1"/>
  <c r="Q959" i="2" a="1"/>
  <c r="S959" i="2" s="1"/>
  <c r="Q96" i="2" a="1"/>
  <c r="S96" i="2" s="1"/>
  <c r="Q1508" i="2" a="1"/>
  <c r="S1508" i="2" s="1"/>
  <c r="Q1385" i="2" a="1"/>
  <c r="S1385" i="2" s="1"/>
  <c r="Q887" i="2" a="1"/>
  <c r="S887" i="2" s="1"/>
  <c r="Q1699" i="2" a="1"/>
  <c r="S1699" i="2" s="1"/>
  <c r="Q1560" i="2" a="1"/>
  <c r="S1560" i="2" s="1"/>
  <c r="Q2541" i="2" a="1"/>
  <c r="S2541" i="2" s="1"/>
  <c r="Q649" i="2" a="1"/>
  <c r="S649" i="2" s="1"/>
  <c r="Q937" i="2" a="1"/>
  <c r="S937" i="2" s="1"/>
  <c r="Q1616" i="2" a="1"/>
  <c r="S1616" i="2" s="1"/>
  <c r="Q747" i="2" a="1"/>
  <c r="S747" i="2" s="1"/>
  <c r="Q1523" i="2" a="1"/>
  <c r="S1523" i="2" s="1"/>
  <c r="Q1489" i="2" a="1"/>
  <c r="S1489" i="2" s="1"/>
  <c r="Q1600" i="2" a="1"/>
  <c r="S1600" i="2" s="1"/>
  <c r="Q1478" i="2" a="1"/>
  <c r="S1478" i="2" s="1"/>
  <c r="Q999" i="2" a="1"/>
  <c r="S999" i="2" s="1"/>
  <c r="Q1278" i="2" a="1"/>
  <c r="S1278" i="2" s="1"/>
  <c r="Q1755" i="2" a="1"/>
  <c r="S1755" i="2" s="1"/>
  <c r="Q1337" i="2" a="1"/>
  <c r="S1337" i="2" s="1"/>
  <c r="Q1747" i="2" a="1"/>
  <c r="S1747" i="2" s="1"/>
  <c r="Q1716" i="2" a="1"/>
  <c r="S1716" i="2" s="1"/>
  <c r="Q1410" i="2" a="1"/>
  <c r="S1410" i="2" s="1"/>
  <c r="Q1741" i="2" a="1"/>
  <c r="S1741" i="2" s="1"/>
  <c r="Q1568" i="2" a="1"/>
  <c r="S1568" i="2" s="1"/>
  <c r="Q906" i="2" a="1"/>
  <c r="S906" i="2" s="1"/>
  <c r="Q201" i="2" a="1"/>
  <c r="S201" i="2" s="1"/>
  <c r="Q995" i="2" a="1"/>
  <c r="S995" i="2" s="1"/>
  <c r="Q1368" i="2" a="1"/>
  <c r="S1368" i="2" s="1"/>
  <c r="Q1362" i="2" a="1"/>
  <c r="S1362" i="2" s="1"/>
  <c r="Q2203" i="2" a="1"/>
  <c r="S2203" i="2" s="1"/>
  <c r="Q1964" i="2" a="1"/>
  <c r="S1964" i="2" s="1"/>
  <c r="Q1442" i="2" a="1"/>
  <c r="S1442" i="2" s="1"/>
  <c r="Q2151" i="2" a="1"/>
  <c r="S2151" i="2" s="1"/>
  <c r="Q985" i="2" a="1"/>
  <c r="S985" i="2" s="1"/>
  <c r="Q64" i="2" a="1"/>
  <c r="S64" i="2" s="1"/>
  <c r="Q1550" i="2" a="1"/>
  <c r="S1550" i="2" s="1"/>
  <c r="Q1778" i="2" a="1"/>
  <c r="S1778" i="2" s="1"/>
  <c r="Q1963" i="2" a="1"/>
  <c r="S1963" i="2" s="1"/>
  <c r="Q35" i="2" a="1"/>
  <c r="S35" i="2" s="1"/>
  <c r="Q1286" i="2" a="1"/>
  <c r="S1286" i="2" s="1"/>
  <c r="Q2017" i="2" a="1"/>
  <c r="S2017" i="2" s="1"/>
  <c r="Q55" i="2" a="1"/>
  <c r="S55" i="2" s="1"/>
  <c r="Q1911" i="2" a="1"/>
  <c r="S1911" i="2" s="1"/>
  <c r="Q443" i="2" a="1"/>
  <c r="S443" i="2" s="1"/>
  <c r="Q929" i="2" a="1"/>
  <c r="S929" i="2" s="1"/>
  <c r="Q1676" i="2" a="1"/>
  <c r="S1676" i="2" s="1"/>
  <c r="Q17" i="2" a="1"/>
  <c r="S17" i="2" s="1"/>
  <c r="Q836" i="2" a="1"/>
  <c r="S836" i="2" s="1"/>
  <c r="Q1691" i="2" a="1"/>
  <c r="S1691" i="2" s="1"/>
  <c r="Q2073" i="2" a="1"/>
  <c r="S2073" i="2" s="1"/>
  <c r="Q2118" i="2" a="1"/>
  <c r="S2118" i="2" s="1"/>
  <c r="Q2101" i="2" a="1"/>
  <c r="S2101" i="2" s="1"/>
  <c r="Q1547" i="2" a="1"/>
  <c r="S1547" i="2" s="1"/>
  <c r="R1938" i="2" a="1"/>
  <c r="Q2059" i="2" a="1"/>
  <c r="S2059" i="2" s="1"/>
  <c r="Q1501" i="2" a="1"/>
  <c r="S1501" i="2" s="1"/>
  <c r="Q1661" i="2" a="1"/>
  <c r="S1661" i="2" s="1"/>
  <c r="Q1577" i="2" a="1"/>
  <c r="S1577" i="2" s="1"/>
  <c r="Q1360" i="2" a="1"/>
  <c r="S1360" i="2" s="1"/>
  <c r="Q820" i="2" a="1"/>
  <c r="S820" i="2" s="1"/>
  <c r="Q928" i="2" a="1"/>
  <c r="S928" i="2" s="1"/>
  <c r="Q977" i="2" a="1"/>
  <c r="S977" i="2" s="1"/>
  <c r="Q2169" i="2" a="1"/>
  <c r="S2169" i="2" s="1"/>
  <c r="Q1808" i="2" a="1"/>
  <c r="S1808" i="2" s="1"/>
  <c r="Q2078" i="2" a="1"/>
  <c r="S2078" i="2" s="1"/>
  <c r="Q203" i="2" a="1"/>
  <c r="S203" i="2" s="1"/>
  <c r="Q2189" i="2" a="1"/>
  <c r="S2189" i="2" s="1"/>
  <c r="Q1261" i="2" a="1"/>
  <c r="S1261" i="2" s="1"/>
  <c r="Q765" i="2" a="1"/>
  <c r="S765" i="2" s="1"/>
  <c r="Q1002" i="2" a="1"/>
  <c r="S1002" i="2" s="1"/>
  <c r="Q1779" i="2" a="1"/>
  <c r="S1779" i="2" s="1"/>
  <c r="Q1879" i="2" a="1"/>
  <c r="S1879" i="2" s="1"/>
  <c r="Q2490" i="2" a="1"/>
  <c r="S2490" i="2" s="1"/>
  <c r="Q2186" i="2" a="1"/>
  <c r="S2186" i="2" s="1"/>
  <c r="Q2013" i="2" a="1"/>
  <c r="S2013" i="2" s="1"/>
  <c r="Q944" i="2" a="1"/>
  <c r="S944" i="2" s="1"/>
  <c r="Q2032" i="2" a="1"/>
  <c r="S2032" i="2" s="1"/>
  <c r="Q1821" i="2" a="1"/>
  <c r="S1821" i="2" s="1"/>
  <c r="Q2070" i="2" a="1"/>
  <c r="S2070" i="2" s="1"/>
  <c r="Q947" i="2" a="1"/>
  <c r="S947" i="2" s="1"/>
  <c r="Q1610" i="2" a="1"/>
  <c r="S1610" i="2" s="1"/>
  <c r="Q1965" i="2" a="1"/>
  <c r="S1965" i="2" s="1"/>
  <c r="Q1310" i="2" a="1"/>
  <c r="S1310" i="2" s="1"/>
  <c r="Q10" i="2" a="1"/>
  <c r="S10" i="2" s="1"/>
  <c r="Q1888" i="2" a="1"/>
  <c r="S1888" i="2" s="1"/>
  <c r="Q74" i="2" a="1"/>
  <c r="S74" i="2" s="1"/>
  <c r="Q2160" i="2" a="1"/>
  <c r="S2160" i="2" s="1"/>
  <c r="Q1588" i="2" a="1"/>
  <c r="S1588" i="2" s="1"/>
  <c r="Q1885" i="2" a="1"/>
  <c r="S1885" i="2" s="1"/>
  <c r="Q2075" i="2" a="1"/>
  <c r="S2075" i="2" s="1"/>
  <c r="Q916" i="2" a="1"/>
  <c r="S916" i="2" s="1"/>
  <c r="Q1766" i="2" a="1"/>
  <c r="S1766" i="2" s="1"/>
  <c r="Q1461" i="2" a="1"/>
  <c r="S1461" i="2" s="1"/>
  <c r="Q624" i="2" a="1"/>
  <c r="S624" i="2" s="1"/>
  <c r="Q880" i="2" a="1"/>
  <c r="S880" i="2" s="1"/>
  <c r="Q2544" i="2" a="1"/>
  <c r="S2544" i="2" s="1"/>
  <c r="Q976" i="2" a="1"/>
  <c r="S976" i="2" s="1"/>
  <c r="Q2040" i="2" a="1"/>
  <c r="S2040" i="2" s="1"/>
  <c r="Q872" i="2" a="1"/>
  <c r="S872" i="2" s="1"/>
  <c r="Q50" i="2" a="1"/>
  <c r="S50" i="2" s="1"/>
  <c r="Q1865" i="2" a="1"/>
  <c r="S1865" i="2" s="1"/>
  <c r="Q1742" i="2" a="1"/>
  <c r="S1742" i="2" s="1"/>
  <c r="Q198" i="2" a="1"/>
  <c r="S198" i="2" s="1"/>
  <c r="Q1754" i="2" a="1"/>
  <c r="S1754" i="2" s="1"/>
  <c r="Q901" i="2" a="1"/>
  <c r="S901" i="2" s="1"/>
  <c r="Q2005" i="2" a="1"/>
  <c r="S2005" i="2" s="1"/>
  <c r="Q803" i="2" a="1"/>
  <c r="S803" i="2" s="1"/>
  <c r="Q1444" i="2" a="1"/>
  <c r="S1444" i="2" s="1"/>
  <c r="Q38" i="2" a="1"/>
  <c r="S38" i="2" s="1"/>
  <c r="Q1592" i="2" a="1"/>
  <c r="S1592" i="2" s="1"/>
  <c r="Q1920" i="2" a="1"/>
  <c r="S1920" i="2" s="1"/>
  <c r="Q1706" i="2" a="1"/>
  <c r="S1706" i="2" s="1"/>
  <c r="Q1259" i="2" a="1"/>
  <c r="S1259" i="2" s="1"/>
  <c r="Q1962" i="2" a="1"/>
  <c r="S1962" i="2" s="1"/>
  <c r="Q2021" i="2" a="1"/>
  <c r="S2021" i="2" s="1"/>
  <c r="Q1942" i="2" a="1"/>
  <c r="S1942" i="2" s="1"/>
  <c r="Q75" i="2" a="1"/>
  <c r="S75" i="2" s="1"/>
  <c r="Q1679" i="2" a="1"/>
  <c r="S1679" i="2" s="1"/>
  <c r="Q1917" i="2" a="1"/>
  <c r="S1917" i="2" s="1"/>
  <c r="Q372" i="2" a="1"/>
  <c r="S372" i="2" s="1"/>
  <c r="Q2516" i="2" a="1"/>
  <c r="S2516" i="2" s="1"/>
  <c r="Q2531" i="2" a="1"/>
  <c r="S2531" i="2" s="1"/>
  <c r="Q363" i="2" a="1"/>
  <c r="S363" i="2" s="1"/>
  <c r="Q896" i="2" a="1"/>
  <c r="S896" i="2" s="1"/>
  <c r="Q207" i="2" a="1"/>
  <c r="S207" i="2" s="1"/>
  <c r="Q1572" i="2" a="1"/>
  <c r="S1572" i="2" s="1"/>
  <c r="Q884" i="2" a="1"/>
  <c r="S884" i="2" s="1"/>
  <c r="Q1428" i="2" a="1"/>
  <c r="S1428" i="2" s="1"/>
  <c r="Q951" i="2" a="1"/>
  <c r="S951" i="2" s="1"/>
  <c r="Q1454" i="2" a="1"/>
  <c r="S1454" i="2" s="1"/>
  <c r="Q1751" i="2" a="1"/>
  <c r="S1751" i="2" s="1"/>
  <c r="Q252" i="2" a="1"/>
  <c r="S252" i="2" s="1"/>
  <c r="Q1345" i="2" a="1"/>
  <c r="S1345" i="2" s="1"/>
  <c r="Q938" i="2" a="1"/>
  <c r="S938" i="2" s="1"/>
  <c r="Q2119" i="2" a="1"/>
  <c r="S2119" i="2" s="1"/>
  <c r="Q1643" i="2" a="1"/>
  <c r="S1643" i="2" s="1"/>
  <c r="Q1993" i="2" a="1"/>
  <c r="S1993" i="2" s="1"/>
  <c r="Q2048" i="2" a="1"/>
  <c r="S2048" i="2" s="1"/>
  <c r="Q233" i="2" a="1"/>
  <c r="S233" i="2" s="1"/>
  <c r="Q119" i="2" a="1"/>
  <c r="S119" i="2" s="1"/>
  <c r="Q1433" i="2" a="1"/>
  <c r="S1433" i="2" s="1"/>
  <c r="Q615" i="2" a="1"/>
  <c r="S615" i="2" s="1"/>
  <c r="Q998" i="2" a="1"/>
  <c r="S998" i="2" s="1"/>
  <c r="Q2051" i="2" a="1"/>
  <c r="S2051" i="2" s="1"/>
  <c r="Q111" i="2" a="1"/>
  <c r="S111" i="2" s="1"/>
  <c r="Q1353" i="2" a="1"/>
  <c r="S1353" i="2" s="1"/>
  <c r="Q325" i="2" a="1"/>
  <c r="S325" i="2" s="1"/>
  <c r="Q972" i="2" a="1"/>
  <c r="S972" i="2" s="1"/>
  <c r="Q842" i="2" a="1"/>
  <c r="S842" i="2" s="1"/>
  <c r="Q100" i="2" a="1"/>
  <c r="S100" i="2" s="1"/>
  <c r="Q375" i="2" a="1"/>
  <c r="S375" i="2" s="1"/>
  <c r="Q1595" i="2" a="1"/>
  <c r="S1595" i="2" s="1"/>
  <c r="Q2125" i="2" a="1"/>
  <c r="S2125" i="2" s="1"/>
  <c r="Q155" i="2" a="1"/>
  <c r="S155" i="2" s="1"/>
  <c r="Q1418" i="2" a="1"/>
  <c r="S1418" i="2" s="1"/>
  <c r="Q814" i="2" a="1"/>
  <c r="S814" i="2" s="1"/>
  <c r="Q1731" i="2" a="1"/>
  <c r="S1731" i="2" s="1"/>
  <c r="Q81" i="2" a="1"/>
  <c r="S81" i="2" s="1"/>
  <c r="Q461" i="2" a="1"/>
  <c r="S461" i="2" s="1"/>
  <c r="Q2145" i="2" a="1"/>
  <c r="S2145" i="2" s="1"/>
  <c r="Q1306" i="2" a="1"/>
  <c r="S1306" i="2" s="1"/>
  <c r="Q1575" i="2" a="1"/>
  <c r="S1575" i="2" s="1"/>
  <c r="Q1386" i="2" a="1"/>
  <c r="S1386" i="2" s="1"/>
  <c r="Q1753" i="2" a="1"/>
  <c r="S1753" i="2" s="1"/>
  <c r="Q1798" i="2" a="1"/>
  <c r="S1798" i="2" s="1"/>
  <c r="Q1522" i="2" a="1"/>
  <c r="S1522" i="2" s="1"/>
  <c r="Q1658" i="2" a="1"/>
  <c r="S1658" i="2" s="1"/>
  <c r="Q1625" i="2" a="1"/>
  <c r="S1625" i="2" s="1"/>
  <c r="Q139" i="2" a="1"/>
  <c r="S139" i="2" s="1"/>
  <c r="Q2234" i="2" a="1"/>
  <c r="S2234" i="2" s="1"/>
  <c r="Q1224" i="2" a="1"/>
  <c r="S1224" i="2" s="1"/>
  <c r="Q853" i="2" a="1"/>
  <c r="S853" i="2" s="1"/>
  <c r="Q960" i="2" a="1"/>
  <c r="S960" i="2" s="1"/>
  <c r="Q1416" i="2" a="1"/>
  <c r="S1416" i="2" s="1"/>
  <c r="Q822" i="2" a="1"/>
  <c r="S822" i="2" s="1"/>
  <c r="Q810" i="2" a="1"/>
  <c r="S810" i="2" s="1"/>
  <c r="Q2195" i="2" a="1"/>
  <c r="S2195" i="2" s="1"/>
  <c r="Q1262" i="2" a="1"/>
  <c r="S1262" i="2" s="1"/>
  <c r="Q2090" i="2" a="1"/>
  <c r="S2090" i="2" s="1"/>
  <c r="Q1862" i="2" a="1"/>
  <c r="S1862" i="2" s="1"/>
  <c r="Q1884" i="2" a="1"/>
  <c r="S1884" i="2" s="1"/>
  <c r="Q2534" i="2" a="1"/>
  <c r="S2534" i="2" s="1"/>
  <c r="Q28" i="2" a="1"/>
  <c r="S28" i="2" s="1"/>
  <c r="Q1317" i="2" a="1"/>
  <c r="S1317" i="2" s="1"/>
  <c r="Q1226" i="2" a="1"/>
  <c r="S1226" i="2" s="1"/>
  <c r="Q1636" i="2" a="1"/>
  <c r="S1636" i="2" s="1"/>
  <c r="Q2046" i="2" a="1"/>
  <c r="S2046" i="2" s="1"/>
  <c r="Q152" i="2" a="1"/>
  <c r="S152" i="2" s="1"/>
  <c r="Q2081" i="2" a="1"/>
  <c r="S2081" i="2" s="1"/>
  <c r="Q1895" i="2" a="1"/>
  <c r="S1895" i="2" s="1"/>
  <c r="Q662" i="2" a="1"/>
  <c r="S662" i="2" s="1"/>
  <c r="Q30" i="2" a="1"/>
  <c r="S30" i="2" s="1"/>
  <c r="Q1907" i="2" a="1"/>
  <c r="S1907" i="2" s="1"/>
  <c r="Q1270" i="2" a="1"/>
  <c r="S1270" i="2" s="1"/>
  <c r="Q1363" i="2" a="1"/>
  <c r="S1363" i="2" s="1"/>
  <c r="Q1903" i="2" a="1"/>
  <c r="S1903" i="2" s="1"/>
  <c r="Q62" i="2" a="1"/>
  <c r="S62" i="2" s="1"/>
  <c r="Q1687" i="2" a="1"/>
  <c r="S1687" i="2" s="1"/>
  <c r="Q226" i="2" a="1"/>
  <c r="S226" i="2" s="1"/>
  <c r="Q1282" i="2" a="1"/>
  <c r="S1282" i="2" s="1"/>
  <c r="Q1384" i="2" a="1"/>
  <c r="S1384" i="2" s="1"/>
  <c r="Q1452" i="2" a="1"/>
  <c r="S1452" i="2" s="1"/>
  <c r="Q1923" i="2" a="1"/>
  <c r="S1923" i="2" s="1"/>
  <c r="Q2098" i="2" a="1"/>
  <c r="S2098" i="2" s="1"/>
  <c r="Q1370" i="2" a="1"/>
  <c r="S1370" i="2" s="1"/>
  <c r="Q1447" i="2" a="1"/>
  <c r="S1447" i="2" s="1"/>
  <c r="Q2523" i="2" a="1"/>
  <c r="S2523" i="2" s="1"/>
  <c r="Q904" i="2" a="1"/>
  <c r="S904" i="2" s="1"/>
  <c r="Q1944" i="2" a="1"/>
  <c r="S1944" i="2" s="1"/>
  <c r="Q1506" i="2" a="1"/>
  <c r="S1506" i="2" s="1"/>
  <c r="Q1995" i="2" a="1"/>
  <c r="S1995" i="2" s="1"/>
  <c r="Q881" i="2" a="1"/>
  <c r="S881" i="2" s="1"/>
  <c r="Q932" i="2" a="1"/>
  <c r="S932" i="2" s="1"/>
  <c r="Q967" i="2" a="1"/>
  <c r="S967" i="2" s="1"/>
  <c r="Q431" i="2" a="1"/>
  <c r="S431" i="2" s="1"/>
  <c r="Q1233" i="2" a="1"/>
  <c r="S1233" i="2" s="1"/>
  <c r="Q1787" i="2" a="1"/>
  <c r="S1787" i="2" s="1"/>
  <c r="Q918" i="2" a="1"/>
  <c r="S918" i="2" s="1"/>
  <c r="Q362" i="2" a="1"/>
  <c r="S362" i="2" s="1"/>
  <c r="Q996" i="2" a="1"/>
  <c r="S996" i="2" s="1"/>
  <c r="Q1327" i="2" a="1"/>
  <c r="S1327" i="2" s="1"/>
  <c r="Q2498" i="2" a="1"/>
  <c r="S2498" i="2" s="1"/>
  <c r="R1149" i="2" a="1"/>
  <c r="Q1149" i="2" a="1"/>
  <c r="S1149" i="2" s="1"/>
  <c r="R1150" i="2" a="1"/>
  <c r="Q1150" i="2" a="1"/>
  <c r="S1150" i="2" s="1"/>
  <c r="Q1151" i="2" a="1"/>
  <c r="S1151" i="2" s="1"/>
  <c r="R1184" i="2" a="1"/>
  <c r="Q1242" i="2" a="1"/>
  <c r="S1242" i="2" s="1"/>
  <c r="R1180" i="2" a="1"/>
  <c r="Q1180" i="2" a="1"/>
  <c r="S1180" i="2" s="1"/>
  <c r="R1179" i="2" a="1"/>
  <c r="Q876" i="2" a="1"/>
  <c r="S876" i="2" s="1"/>
  <c r="Q82" i="2" a="1"/>
  <c r="S82" i="2" s="1"/>
  <c r="Q2066" i="2" a="1"/>
  <c r="S2066" i="2" s="1"/>
  <c r="Q1179" i="2" a="1"/>
  <c r="S1179" i="2" s="1"/>
  <c r="Q1960" i="2" a="1"/>
  <c r="S1960" i="2" s="1"/>
  <c r="Q914" i="2" a="1"/>
  <c r="S914" i="2" s="1"/>
  <c r="Q1300" i="2" a="1"/>
  <c r="S1300" i="2" s="1"/>
  <c r="R1178" i="2" a="1"/>
  <c r="Q1804" i="2" a="1"/>
  <c r="S1804" i="2" s="1"/>
  <c r="Q1623" i="2" a="1"/>
  <c r="S1623" i="2" s="1"/>
  <c r="Q1654" i="2" a="1"/>
  <c r="S1654" i="2" s="1"/>
  <c r="Q802" i="2" a="1"/>
  <c r="S802" i="2" s="1"/>
  <c r="Q1692" i="2" a="1"/>
  <c r="S1692" i="2" s="1"/>
  <c r="Q1178" i="2" a="1"/>
  <c r="S1178" i="2" s="1"/>
  <c r="Q1304" i="2" a="1"/>
  <c r="S1304" i="2" s="1"/>
  <c r="Q1472" i="2" a="1"/>
  <c r="S1472" i="2" s="1"/>
  <c r="Q60" i="2" a="1"/>
  <c r="S60" i="2" s="1"/>
  <c r="Q958" i="2" a="1"/>
  <c r="S958" i="2" s="1"/>
  <c r="Q759" i="2" a="1"/>
  <c r="S759" i="2" s="1"/>
  <c r="R1177" i="2" a="1"/>
  <c r="Q863" i="2" a="1"/>
  <c r="S863" i="2" s="1"/>
  <c r="Q1305" i="2" a="1"/>
  <c r="S1305" i="2" s="1"/>
  <c r="Q93" i="2" a="1"/>
  <c r="S93" i="2" s="1"/>
  <c r="Q1325" i="2" a="1"/>
  <c r="S1325" i="2" s="1"/>
  <c r="Q1802" i="2" a="1"/>
  <c r="S1802" i="2" s="1"/>
  <c r="Q1177" i="2" a="1"/>
  <c r="S1177" i="2" s="1"/>
  <c r="Q780" i="2" a="1"/>
  <c r="S780" i="2" s="1"/>
  <c r="Q80" i="2" a="1"/>
  <c r="S80" i="2" s="1"/>
  <c r="Q1457" i="2" a="1"/>
  <c r="S1457" i="2" s="1"/>
  <c r="Q923" i="2" a="1"/>
  <c r="S923" i="2" s="1"/>
  <c r="Q824" i="2" a="1"/>
  <c r="S824" i="2" s="1"/>
  <c r="R1176" i="2" a="1"/>
  <c r="Q1790" i="2" a="1"/>
  <c r="S1790" i="2" s="1"/>
  <c r="Q1622" i="2" a="1"/>
  <c r="S1622" i="2" s="1"/>
  <c r="Q1440" i="2" a="1"/>
  <c r="S1440" i="2" s="1"/>
  <c r="Q1589" i="2" a="1"/>
  <c r="S1589" i="2" s="1"/>
  <c r="Q2220" i="2" a="1"/>
  <c r="S2220" i="2" s="1"/>
  <c r="Q1176" i="2" a="1"/>
  <c r="S1176" i="2" s="1"/>
  <c r="R1181" i="2" a="1"/>
  <c r="Q1181" i="2" a="1"/>
  <c r="S1181" i="2" s="1"/>
  <c r="R1183" i="2" a="1"/>
  <c r="R1182" i="2" a="1"/>
  <c r="Q1182" i="2" a="1"/>
  <c r="S1182" i="2" s="1"/>
  <c r="Q1183" i="2" a="1"/>
  <c r="S1183" i="2" s="1"/>
  <c r="Q1184" i="2" a="1"/>
  <c r="S1184" i="2" s="1"/>
  <c r="R1186" i="2" a="1"/>
  <c r="R1185" i="2" a="1"/>
  <c r="Q1185" i="2" a="1"/>
  <c r="S1185" i="2" s="1"/>
  <c r="Q1186" i="2" a="1"/>
  <c r="S1186" i="2" s="1"/>
  <c r="R253" i="2" a="1"/>
  <c r="Q1130" i="2" a="1"/>
  <c r="S1130" i="2" s="1"/>
  <c r="Q1371" i="2" a="1"/>
  <c r="S1371" i="2" s="1"/>
  <c r="R1187" i="2" a="1"/>
  <c r="Q1504" i="2" a="1"/>
  <c r="S1504" i="2" s="1"/>
  <c r="Q1187" i="2" a="1"/>
  <c r="S1187" i="2" s="1"/>
  <c r="R1130" i="2" a="1"/>
  <c r="R1131" i="2" a="1"/>
  <c r="Q1131" i="2" a="1"/>
  <c r="S1131" i="2" s="1"/>
  <c r="Q253" i="2" a="1"/>
  <c r="S253" i="2" s="1"/>
  <c r="Q1601" i="2" a="1"/>
  <c r="S1601" i="2" s="1"/>
  <c r="R259" i="2" a="1"/>
  <c r="Q1230" i="2" a="1"/>
  <c r="S1230" i="2" s="1"/>
  <c r="Q1998" i="2" a="1"/>
  <c r="S1998" i="2" s="1"/>
  <c r="Q303" i="2" a="1"/>
  <c r="S303" i="2" s="1"/>
  <c r="R256" i="2" a="1"/>
  <c r="Q1822" i="2" a="1"/>
  <c r="S1822" i="2" s="1"/>
  <c r="Q256" i="2" a="1"/>
  <c r="S256" i="2" s="1"/>
  <c r="Q1997" i="2" a="1"/>
  <c r="S1997" i="2" s="1"/>
  <c r="Q933" i="2" a="1"/>
  <c r="S933" i="2" s="1"/>
  <c r="Q47" i="2" a="1"/>
  <c r="S47" i="2" s="1"/>
  <c r="R255" i="2" a="1"/>
  <c r="Q1250" i="2" a="1"/>
  <c r="S1250" i="2" s="1"/>
  <c r="Q1860" i="2" a="1"/>
  <c r="S1860" i="2" s="1"/>
  <c r="Q771" i="2" a="1"/>
  <c r="S771" i="2" s="1"/>
  <c r="Q255" i="2" a="1"/>
  <c r="S255" i="2" s="1"/>
  <c r="Q1473" i="2" a="1"/>
  <c r="S1473" i="2" s="1"/>
  <c r="Q1586" i="2" a="1"/>
  <c r="S1586" i="2" s="1"/>
  <c r="Q359" i="2" a="1"/>
  <c r="S359" i="2" s="1"/>
  <c r="R254" i="2" a="1"/>
  <c r="Q1609" i="2" a="1"/>
  <c r="S1609" i="2" s="1"/>
  <c r="Q1762" i="2" a="1"/>
  <c r="S1762" i="2" s="1"/>
  <c r="Q781" i="2" a="1"/>
  <c r="S781" i="2" s="1"/>
  <c r="Q254" i="2" a="1"/>
  <c r="S254" i="2" s="1"/>
  <c r="Q257" i="2" a="1"/>
  <c r="S257" i="2" s="1"/>
  <c r="R257" i="2" a="1"/>
  <c r="Q259" i="2" a="1"/>
  <c r="S259" i="2" s="1"/>
  <c r="R258" i="2" a="1"/>
  <c r="Q258" i="2" a="1"/>
  <c r="S258" i="2" s="1"/>
  <c r="R263" i="2" a="1"/>
  <c r="R261" i="2" a="1"/>
  <c r="R260" i="2" a="1"/>
  <c r="Q1558" i="2" a="1"/>
  <c r="S1558" i="2" s="1"/>
  <c r="Q260" i="2" a="1"/>
  <c r="S260" i="2" s="1"/>
  <c r="Q261" i="2" a="1"/>
  <c r="S261" i="2" s="1"/>
  <c r="Q263" i="2" a="1"/>
  <c r="S263" i="2" s="1"/>
  <c r="Q262" i="2" a="1"/>
  <c r="S262" i="2" s="1"/>
  <c r="R262" i="2" a="1"/>
  <c r="R265" i="2" a="1"/>
  <c r="Q265" i="2" a="1"/>
  <c r="S265" i="2" s="1"/>
  <c r="R264" i="2" a="1"/>
  <c r="Q264" i="2" a="1"/>
  <c r="S264" i="2" s="1"/>
  <c r="Q1938" i="2" a="1"/>
  <c r="S1938" i="2" s="1"/>
  <c r="Q2550" i="2" a="1"/>
  <c r="S2550" i="2" s="1"/>
  <c r="Q1361" i="2" a="1"/>
  <c r="S1361" i="2" s="1"/>
  <c r="Q2181" i="2" a="1"/>
  <c r="S2181" i="2" s="1"/>
  <c r="Q2168" i="2" a="1"/>
  <c r="S2168" i="2" s="1"/>
  <c r="Q1715" i="2" a="1"/>
  <c r="S1715" i="2" s="1"/>
  <c r="Q913" i="2" a="1"/>
  <c r="S913" i="2" s="1"/>
  <c r="Q971" i="2" a="1"/>
  <c r="S971" i="2" s="1"/>
  <c r="Q165" i="2" a="1"/>
  <c r="S165" i="2" s="1"/>
  <c r="Q220" i="2" a="1"/>
  <c r="S220" i="2" s="1"/>
  <c r="Q112" i="2" a="1"/>
  <c r="S112" i="2" s="1"/>
  <c r="Q921" i="2" a="1"/>
  <c r="S921" i="2" s="1"/>
  <c r="Q1303" i="2" a="1"/>
  <c r="S1303" i="2" s="1"/>
  <c r="Q989" i="2" a="1"/>
  <c r="S989" i="2" s="1"/>
  <c r="Q1620" i="2" a="1"/>
  <c r="S1620" i="2" s="1"/>
  <c r="Q1657" i="2" a="1"/>
  <c r="S1657" i="2" s="1"/>
  <c r="Q1775" i="2" a="1"/>
  <c r="S1775" i="2" s="1"/>
  <c r="Q1780" i="2" a="1"/>
  <c r="S1780" i="2" s="1"/>
  <c r="Q1844" i="2" a="1"/>
  <c r="S1844" i="2" s="1"/>
  <c r="Q1477" i="2" a="1"/>
  <c r="S1477" i="2" s="1"/>
  <c r="Q2115" i="2" a="1"/>
  <c r="S2115" i="2" s="1"/>
  <c r="Q2164" i="2" a="1"/>
  <c r="S2164" i="2" s="1"/>
  <c r="Q1243" i="2" a="1"/>
  <c r="S1243" i="2" s="1"/>
  <c r="Q1435" i="2" a="1"/>
  <c r="S1435" i="2" s="1"/>
  <c r="Q1543" i="2" a="1"/>
  <c r="S1543" i="2" s="1"/>
  <c r="Q568" i="2" a="1"/>
  <c r="S568" i="2" s="1"/>
  <c r="Q267" i="2" a="1"/>
  <c r="S267" i="2" s="1"/>
  <c r="Q1855" i="2" a="1"/>
  <c r="S1855" i="2" s="1"/>
  <c r="Q154" i="2" a="1"/>
  <c r="S154" i="2" s="1"/>
  <c r="Q2231" i="2" a="1"/>
  <c r="S2231" i="2" s="1"/>
  <c r="Q2503" i="2" a="1"/>
  <c r="S2503" i="2" s="1"/>
  <c r="Q1240" i="2" a="1"/>
  <c r="S1240" i="2" s="1"/>
  <c r="Q459" i="2" a="1"/>
  <c r="S459" i="2" s="1"/>
  <c r="Q2508" i="2" a="1"/>
  <c r="S2508" i="2" s="1"/>
  <c r="Q2501" i="2" a="1"/>
  <c r="S2501" i="2" s="1"/>
  <c r="Q1005" i="2" a="1"/>
  <c r="S1005" i="2" s="1"/>
  <c r="Q1237" i="2" a="1"/>
  <c r="S1237" i="2" s="1"/>
  <c r="Q2157" i="2" a="1"/>
  <c r="S2157" i="2" s="1"/>
  <c r="Q1632" i="2" a="1"/>
  <c r="S1632" i="2" s="1"/>
  <c r="Q1487" i="2" a="1"/>
  <c r="S1487" i="2" s="1"/>
  <c r="Q2076" i="2" a="1"/>
  <c r="S2076" i="2" s="1"/>
  <c r="Q2543" i="2" a="1"/>
  <c r="S2543" i="2" s="1"/>
  <c r="Q1678" i="2" a="1"/>
  <c r="S1678" i="2" s="1"/>
  <c r="Q2537" i="2" a="1"/>
  <c r="S2537" i="2" s="1"/>
  <c r="Q1529" i="2" a="1"/>
  <c r="S1529" i="2" s="1"/>
  <c r="Q839" i="2" a="1"/>
  <c r="S839" i="2" s="1"/>
  <c r="Q2004" i="2" a="1"/>
  <c r="S2004" i="2" s="1"/>
  <c r="Q1599" i="2" a="1"/>
  <c r="S1599" i="2" s="1"/>
  <c r="Q927" i="2" a="1"/>
  <c r="S927" i="2" s="1"/>
  <c r="Q907" i="2" a="1"/>
  <c r="S907" i="2" s="1"/>
  <c r="Q1740" i="2" a="1"/>
  <c r="S1740" i="2" s="1"/>
  <c r="Q1541" i="2" a="1"/>
  <c r="S1541" i="2" s="1"/>
  <c r="Q637" i="2" a="1"/>
  <c r="S637" i="2" s="1"/>
  <c r="Q2494" i="2" a="1"/>
  <c r="S2494" i="2" s="1"/>
  <c r="Q9" i="2" a="1"/>
  <c r="S9" i="2" s="1"/>
  <c r="Q1618" i="2" a="1"/>
  <c r="S1618" i="2" s="1"/>
  <c r="Q2204" i="2" a="1"/>
  <c r="S2204" i="2" s="1"/>
  <c r="Q954" i="2" a="1"/>
  <c r="S954" i="2" s="1"/>
  <c r="Q922" i="2" a="1"/>
  <c r="S922" i="2" s="1"/>
  <c r="Q179" i="2" a="1"/>
  <c r="S179" i="2" s="1"/>
  <c r="Q1309" i="2" a="1"/>
  <c r="S1309" i="2" s="1"/>
  <c r="Q1743" i="2" a="1"/>
  <c r="S1743" i="2" s="1"/>
  <c r="Q1858" i="2" a="1"/>
  <c r="S1858" i="2" s="1"/>
  <c r="Q789" i="2" a="1"/>
  <c r="S789" i="2" s="1"/>
  <c r="Q2496" i="2" a="1"/>
  <c r="S2496" i="2" s="1"/>
  <c r="Q2144" i="2" a="1"/>
  <c r="S2144" i="2" s="1"/>
  <c r="Q24" i="2" a="1"/>
  <c r="S24" i="2" s="1"/>
  <c r="Q828" i="2" a="1"/>
  <c r="S828" i="2" s="1"/>
  <c r="Q1954" i="2" a="1"/>
  <c r="S1954" i="2" s="1"/>
  <c r="Q57" i="2" a="1"/>
  <c r="S57" i="2" s="1"/>
  <c r="Q103" i="2" a="1"/>
  <c r="S103" i="2" s="1"/>
  <c r="Q1835" i="2" a="1"/>
  <c r="S1835" i="2" s="1"/>
  <c r="Q406" i="2" a="1"/>
  <c r="S406" i="2" s="1"/>
  <c r="Q2104" i="2" a="1"/>
  <c r="S2104" i="2" s="1"/>
  <c r="Q1375" i="2" a="1"/>
  <c r="S1375" i="2" s="1"/>
  <c r="Q1401" i="2" a="1"/>
  <c r="S1401" i="2" s="1"/>
  <c r="Q1746" i="2" a="1"/>
  <c r="S1746" i="2" s="1"/>
  <c r="Q2019" i="2" a="1"/>
  <c r="S2019" i="2" s="1"/>
  <c r="Q1666" i="2" a="1"/>
  <c r="S1666" i="2" s="1"/>
  <c r="Q2192" i="2" a="1"/>
  <c r="S2192" i="2" s="1"/>
  <c r="Q1859" i="2" a="1"/>
  <c r="S1859" i="2" s="1"/>
  <c r="Q2491" i="2" a="1"/>
  <c r="S2491" i="2" s="1"/>
  <c r="Q27" i="2" a="1"/>
  <c r="S27" i="2" s="1"/>
  <c r="Q774" i="2" a="1"/>
  <c r="S774" i="2" s="1"/>
  <c r="Q215" i="2" a="1"/>
  <c r="S215" i="2" s="1"/>
  <c r="Q1214" i="2" a="1"/>
  <c r="S1214" i="2" s="1"/>
  <c r="Q1695" i="2" a="1"/>
  <c r="S1695" i="2" s="1"/>
  <c r="Q1594" i="2" a="1"/>
  <c r="S1594" i="2" s="1"/>
  <c r="Q2548" i="2" a="1"/>
  <c r="S2548" i="2" s="1"/>
  <c r="Q638" i="2" a="1"/>
  <c r="S638" i="2" s="1"/>
  <c r="Q163" i="2" a="1"/>
  <c r="S163" i="2" s="1"/>
  <c r="Q1220" i="2" a="1"/>
  <c r="S1220" i="2" s="1"/>
  <c r="Q1008" i="2" a="1"/>
  <c r="S1008" i="2" s="1"/>
  <c r="Q1319" i="2" a="1"/>
  <c r="S1319" i="2" s="1"/>
  <c r="Q990" i="2" a="1"/>
  <c r="S990" i="2" s="1"/>
  <c r="Q1290" i="2" a="1"/>
  <c r="S1290" i="2" s="1"/>
  <c r="Q1830" i="2" a="1"/>
  <c r="S1830" i="2" s="1"/>
  <c r="Q1533" i="2" a="1"/>
  <c r="Q2137" i="2" a="1"/>
  <c r="Q1369" i="2" a="1"/>
  <c r="Q630" i="2" a="1"/>
  <c r="Q199" i="2" a="1"/>
  <c r="Q2158" i="2" a="1"/>
  <c r="Q115" i="2" a="1"/>
  <c r="R2043" i="2" a="1"/>
  <c r="Q2196" i="2" a="1"/>
  <c r="Q2043" i="2" a="1"/>
  <c r="R2042" i="2" a="1"/>
  <c r="Q2042" i="2" a="1"/>
  <c r="Q1820" i="2" a="1"/>
  <c r="Q953" i="2" a="1"/>
  <c r="Q2065" i="2" a="1"/>
  <c r="Q1485" i="2" a="1"/>
  <c r="Q1783" i="2" a="1"/>
  <c r="Q1049" i="2" a="1"/>
  <c r="Q1816" i="2" a="1"/>
  <c r="Q114" i="2" a="1"/>
  <c r="Q890" i="2" a="1"/>
  <c r="Q1669" i="2" a="1"/>
  <c r="Q1655" i="2" a="1"/>
  <c r="Q1556" i="2" a="1"/>
  <c r="Q1986" i="2" a="1"/>
  <c r="Q1612" i="2" a="1"/>
  <c r="Q991" i="2" a="1"/>
  <c r="Q503" i="2" a="1"/>
  <c r="Q1437" i="2" a="1"/>
  <c r="Q1626" i="2" a="1"/>
  <c r="Q1344" i="2" a="1"/>
  <c r="Q817" i="2" a="1"/>
  <c r="Q2114" i="2" a="1"/>
  <c r="Q970" i="2" a="1"/>
  <c r="Q68" i="2" a="1"/>
  <c r="Q1812" i="2" a="1"/>
  <c r="Q308" i="2" a="1"/>
  <c r="Q1494" i="2" a="1"/>
  <c r="Q1694" i="2" a="1"/>
  <c r="Q1752" i="2" a="1"/>
  <c r="Q1769" i="2" a="1"/>
  <c r="Q1665" i="2" a="1"/>
  <c r="Q1223" i="2" a="1"/>
  <c r="Q361" i="2" a="1"/>
  <c r="Q1635" i="2" a="1"/>
  <c r="Q1411" i="2" a="1"/>
  <c r="Q1841" i="2" a="1"/>
  <c r="Q1614" i="2" a="1"/>
  <c r="R1441" i="2" a="1"/>
  <c r="R21" i="2" a="1"/>
  <c r="R911" i="2" a="1"/>
  <c r="R935" i="2" a="1"/>
  <c r="R937" i="2" a="1"/>
  <c r="R1405" i="2" a="1"/>
  <c r="D282" i="14"/>
  <c r="D253" i="14"/>
  <c r="W927" i="2" l="1"/>
  <c r="X927" i="2" s="1"/>
  <c r="W1240" i="2"/>
  <c r="X1240" i="2" s="1"/>
  <c r="W1743" i="2"/>
  <c r="X1743" i="2" s="1"/>
  <c r="W1008" i="2"/>
  <c r="X1008" i="2" s="1"/>
  <c r="W1309" i="2"/>
  <c r="X1309" i="2" s="1"/>
  <c r="W154" i="2"/>
  <c r="X154" i="2" s="1"/>
  <c r="W781" i="2"/>
  <c r="X781" i="2" s="1"/>
  <c r="W1622" i="2"/>
  <c r="X1622" i="2" s="1"/>
  <c r="W82" i="2"/>
  <c r="X82" i="2" s="1"/>
  <c r="W1452" i="2"/>
  <c r="X1452" i="2" s="1"/>
  <c r="W1220" i="2"/>
  <c r="X1220" i="2" s="1"/>
  <c r="W1401" i="2"/>
  <c r="X1401" i="2" s="1"/>
  <c r="W179" i="2"/>
  <c r="X179" i="2" s="1"/>
  <c r="W2537" i="2"/>
  <c r="X2537" i="2" s="1"/>
  <c r="W1855" i="2"/>
  <c r="X1855" i="2" s="1"/>
  <c r="W921" i="2"/>
  <c r="X921" i="2" s="1"/>
  <c r="W1762" i="2"/>
  <c r="X1762" i="2" s="1"/>
  <c r="W1186" i="2"/>
  <c r="X1186" i="2" s="1"/>
  <c r="W1790" i="2"/>
  <c r="X1790" i="2" s="1"/>
  <c r="W60" i="2"/>
  <c r="X60" i="2" s="1"/>
  <c r="W876" i="2"/>
  <c r="X876" i="2" s="1"/>
  <c r="W1787" i="2"/>
  <c r="X1787" i="2" s="1"/>
  <c r="W1384" i="2"/>
  <c r="X1384" i="2" s="1"/>
  <c r="W1226" i="2"/>
  <c r="X1226" i="2" s="1"/>
  <c r="W139" i="2"/>
  <c r="X139" i="2" s="1"/>
  <c r="W2125" i="2"/>
  <c r="X2125" i="2" s="1"/>
  <c r="W2048" i="2"/>
  <c r="X2048" i="2" s="1"/>
  <c r="W2531" i="2"/>
  <c r="X2531" i="2" s="1"/>
  <c r="W2005" i="2"/>
  <c r="X2005" i="2" s="1"/>
  <c r="W2075" i="2"/>
  <c r="X2075" i="2" s="1"/>
  <c r="W2186" i="2"/>
  <c r="X2186" i="2" s="1"/>
  <c r="W1577" i="2"/>
  <c r="X1577" i="2" s="1"/>
  <c r="W55" i="2"/>
  <c r="X55" i="2" s="1"/>
  <c r="W201" i="2"/>
  <c r="X201" i="2" s="1"/>
  <c r="W1616" i="2"/>
  <c r="X1616" i="2" s="1"/>
  <c r="W807" i="2"/>
  <c r="X807" i="2" s="1"/>
  <c r="W2180" i="2"/>
  <c r="X2180" i="2" s="1"/>
  <c r="W2079" i="2"/>
  <c r="X2079" i="2" s="1"/>
  <c r="W1374" i="2"/>
  <c r="X1374" i="2" s="1"/>
  <c r="W1455" i="2"/>
  <c r="X1455" i="2" s="1"/>
  <c r="W1719" i="2"/>
  <c r="X1719" i="2" s="1"/>
  <c r="W939" i="2"/>
  <c r="X939" i="2" s="1"/>
  <c r="W2112" i="2"/>
  <c r="X2112" i="2" s="1"/>
  <c r="W94" i="2"/>
  <c r="X94" i="2" s="1"/>
  <c r="W1649" i="2"/>
  <c r="X1649" i="2" s="1"/>
  <c r="W2549" i="2"/>
  <c r="X2549" i="2" s="1"/>
  <c r="W1557" i="2"/>
  <c r="X1557" i="2" s="1"/>
  <c r="W787" i="2"/>
  <c r="X787" i="2" s="1"/>
  <c r="W2188" i="2"/>
  <c r="X2188" i="2" s="1"/>
  <c r="W1785" i="2"/>
  <c r="X1785" i="2" s="1"/>
  <c r="W1873" i="2"/>
  <c r="X1873" i="2" s="1"/>
  <c r="W148" i="2"/>
  <c r="X148" i="2" s="1"/>
  <c r="W1456" i="2"/>
  <c r="X1456" i="2" s="1"/>
  <c r="W1499" i="2"/>
  <c r="X1499" i="2" s="1"/>
  <c r="W1933" i="2"/>
  <c r="X1933" i="2" s="1"/>
  <c r="W943" i="2"/>
  <c r="X943" i="2" s="1"/>
  <c r="W2105" i="2"/>
  <c r="X2105" i="2" s="1"/>
  <c r="W1280" i="2"/>
  <c r="X1280" i="2" s="1"/>
  <c r="W1273" i="2"/>
  <c r="X1273" i="2" s="1"/>
  <c r="W769" i="2"/>
  <c r="X769" i="2" s="1"/>
  <c r="W3" i="2"/>
  <c r="X3" i="2" s="1"/>
  <c r="W1373" i="2"/>
  <c r="X1373" i="2" s="1"/>
  <c r="W1391" i="2"/>
  <c r="X1391" i="2" s="1"/>
  <c r="W1971" i="2"/>
  <c r="X1971" i="2" s="1"/>
  <c r="W1217" i="2"/>
  <c r="X1217" i="2" s="1"/>
  <c r="W1321" i="2"/>
  <c r="X1321" i="2" s="1"/>
  <c r="W1598" i="2"/>
  <c r="X1598" i="2" s="1"/>
  <c r="W2094" i="2"/>
  <c r="X2094" i="2" s="1"/>
  <c r="W1698" i="2"/>
  <c r="X1698" i="2" s="1"/>
  <c r="W1663" i="2"/>
  <c r="X1663" i="2" s="1"/>
  <c r="W1836" i="2"/>
  <c r="X1836" i="2" s="1"/>
  <c r="W1488" i="2"/>
  <c r="X1488" i="2" s="1"/>
  <c r="W12" i="2"/>
  <c r="X12" i="2" s="1"/>
  <c r="W988" i="2"/>
  <c r="X988" i="2" s="1"/>
  <c r="W1296" i="2"/>
  <c r="X1296" i="2" s="1"/>
  <c r="W1570" i="2"/>
  <c r="X1570" i="2" s="1"/>
  <c r="W1422" i="2"/>
  <c r="X1422" i="2" s="1"/>
  <c r="W90" i="2"/>
  <c r="X90" i="2" s="1"/>
  <c r="W894" i="2"/>
  <c r="X894" i="2" s="1"/>
  <c r="W569" i="2"/>
  <c r="X569" i="2" s="1"/>
  <c r="W1727" i="2"/>
  <c r="X1727" i="2" s="1"/>
  <c r="W1890" i="2"/>
  <c r="X1890" i="2" s="1"/>
  <c r="W1982" i="2"/>
  <c r="X1982" i="2" s="1"/>
  <c r="W1615" i="2"/>
  <c r="X1615" i="2" s="1"/>
  <c r="W2173" i="2"/>
  <c r="X2173" i="2" s="1"/>
  <c r="W1645" i="2"/>
  <c r="X1645" i="2" s="1"/>
  <c r="W866" i="2"/>
  <c r="X866" i="2" s="1"/>
  <c r="W1341" i="2"/>
  <c r="X1341" i="2" s="1"/>
  <c r="W986" i="2"/>
  <c r="X986" i="2" s="1"/>
  <c r="W63" i="2"/>
  <c r="X63" i="2" s="1"/>
  <c r="W1932" i="2"/>
  <c r="X1932" i="2" s="1"/>
  <c r="W8" i="2"/>
  <c r="X8" i="2" s="1"/>
  <c r="W97" i="2"/>
  <c r="X97" i="2" s="1"/>
  <c r="W2055" i="2"/>
  <c r="X2055" i="2" s="1"/>
  <c r="W905" i="2"/>
  <c r="X905" i="2" s="1"/>
  <c r="W782" i="2"/>
  <c r="X782" i="2" s="1"/>
  <c r="W1953" i="2"/>
  <c r="X1953" i="2" s="1"/>
  <c r="W2153" i="2"/>
  <c r="X2153" i="2" s="1"/>
  <c r="W2197" i="2"/>
  <c r="X2197" i="2" s="1"/>
  <c r="W1287" i="2"/>
  <c r="X1287" i="2" s="1"/>
  <c r="W833" i="2"/>
  <c r="X833" i="2" s="1"/>
  <c r="W980" i="2"/>
  <c r="X980" i="2" s="1"/>
  <c r="W2235" i="2"/>
  <c r="X2235" i="2" s="1"/>
  <c r="W1163" i="2"/>
  <c r="X1163" i="2" s="1"/>
  <c r="W1739" i="2"/>
  <c r="X1739" i="2" s="1"/>
  <c r="W1582" i="2"/>
  <c r="X1582" i="2" s="1"/>
  <c r="W1502" i="2"/>
  <c r="X1502" i="2" s="1"/>
  <c r="W1194" i="2"/>
  <c r="X1194" i="2" s="1"/>
  <c r="W1017" i="2"/>
  <c r="X1017" i="2" s="1"/>
  <c r="W1036" i="2"/>
  <c r="X1036" i="2" s="1"/>
  <c r="W51" i="2"/>
  <c r="X51" i="2" s="1"/>
  <c r="W1024" i="2"/>
  <c r="X1024" i="2" s="1"/>
  <c r="W1062" i="2"/>
  <c r="X1062" i="2" s="1"/>
  <c r="W1057" i="2"/>
  <c r="X1057" i="2" s="1"/>
  <c r="W1074" i="2"/>
  <c r="X1074" i="2" s="1"/>
  <c r="W1107" i="2"/>
  <c r="X1107" i="2" s="1"/>
  <c r="W1098" i="2"/>
  <c r="X1098" i="2" s="1"/>
  <c r="W133" i="2"/>
  <c r="X133" i="2" s="1"/>
  <c r="W129" i="2"/>
  <c r="X129" i="2" s="1"/>
  <c r="W2433" i="2"/>
  <c r="X2433" i="2" s="1"/>
  <c r="W2446" i="2"/>
  <c r="X2446" i="2" s="1"/>
  <c r="W2479" i="2"/>
  <c r="X2479" i="2" s="1"/>
  <c r="W2340" i="2"/>
  <c r="X2340" i="2" s="1"/>
  <c r="W2399" i="2"/>
  <c r="X2399" i="2" s="1"/>
  <c r="W2418" i="2"/>
  <c r="X2418" i="2" s="1"/>
  <c r="W2374" i="2"/>
  <c r="X2374" i="2" s="1"/>
  <c r="W2444" i="2"/>
  <c r="X2444" i="2" s="1"/>
  <c r="W495" i="2"/>
  <c r="X495" i="2" s="1"/>
  <c r="W243" i="2"/>
  <c r="X243" i="2" s="1"/>
  <c r="W650" i="2"/>
  <c r="X650" i="2" s="1"/>
  <c r="W1632" i="2"/>
  <c r="X1632" i="2" s="1"/>
  <c r="W163" i="2"/>
  <c r="X163" i="2" s="1"/>
  <c r="W1375" i="2"/>
  <c r="X1375" i="2" s="1"/>
  <c r="W922" i="2"/>
  <c r="X922" i="2" s="1"/>
  <c r="W1678" i="2"/>
  <c r="X1678" i="2" s="1"/>
  <c r="W267" i="2"/>
  <c r="X267" i="2" s="1"/>
  <c r="W112" i="2"/>
  <c r="X112" i="2" s="1"/>
  <c r="W262" i="2"/>
  <c r="X262" i="2" s="1"/>
  <c r="W1609" i="2"/>
  <c r="X1609" i="2" s="1"/>
  <c r="W303" i="2"/>
  <c r="X303" i="2" s="1"/>
  <c r="W1185" i="2"/>
  <c r="X1185" i="2" s="1"/>
  <c r="W1472" i="2"/>
  <c r="X1472" i="2" s="1"/>
  <c r="W1233" i="2"/>
  <c r="X1233" i="2" s="1"/>
  <c r="W1282" i="2"/>
  <c r="X1282" i="2" s="1"/>
  <c r="W1317" i="2"/>
  <c r="X1317" i="2" s="1"/>
  <c r="W1625" i="2"/>
  <c r="X1625" i="2" s="1"/>
  <c r="W1595" i="2"/>
  <c r="X1595" i="2" s="1"/>
  <c r="W1993" i="2"/>
  <c r="X1993" i="2" s="1"/>
  <c r="W2516" i="2"/>
  <c r="X2516" i="2" s="1"/>
  <c r="W901" i="2"/>
  <c r="X901" i="2" s="1"/>
  <c r="W1885" i="2"/>
  <c r="X1885" i="2" s="1"/>
  <c r="W2490" i="2"/>
  <c r="X2490" i="2" s="1"/>
  <c r="W1661" i="2"/>
  <c r="X1661" i="2" s="1"/>
  <c r="W2017" i="2"/>
  <c r="X2017" i="2" s="1"/>
  <c r="W906" i="2"/>
  <c r="X906" i="2" s="1"/>
  <c r="W937" i="2"/>
  <c r="X937" i="2" s="1"/>
  <c r="W433" i="2"/>
  <c r="X433" i="2" s="1"/>
  <c r="W1299" i="2"/>
  <c r="X1299" i="2" s="1"/>
  <c r="W87" i="2"/>
  <c r="X87" i="2" s="1"/>
  <c r="W1901" i="2"/>
  <c r="X1901" i="2" s="1"/>
  <c r="W370" i="2"/>
  <c r="X370" i="2" s="1"/>
  <c r="W926" i="2"/>
  <c r="X926" i="2" s="1"/>
  <c r="W176" i="2"/>
  <c r="X176" i="2" s="1"/>
  <c r="W1710" i="2"/>
  <c r="X1710" i="2" s="1"/>
  <c r="W801" i="2"/>
  <c r="X801" i="2" s="1"/>
  <c r="W31" i="2"/>
  <c r="X31" i="2" s="1"/>
  <c r="W1958" i="2"/>
  <c r="X1958" i="2" s="1"/>
  <c r="W1381" i="2"/>
  <c r="X1381" i="2" s="1"/>
  <c r="W1664" i="2"/>
  <c r="X1664" i="2" s="1"/>
  <c r="W1897" i="2"/>
  <c r="X1897" i="2" s="1"/>
  <c r="W1697" i="2"/>
  <c r="X1697" i="2" s="1"/>
  <c r="W2514" i="2"/>
  <c r="X2514" i="2" s="1"/>
  <c r="W1101" i="2"/>
  <c r="X1101" i="2" s="1"/>
  <c r="W5" i="2"/>
  <c r="X5" i="2" s="1"/>
  <c r="W412" i="2"/>
  <c r="X412" i="2" s="1"/>
  <c r="W925" i="2"/>
  <c r="X925" i="2" s="1"/>
  <c r="W1744" i="2"/>
  <c r="X1744" i="2" s="1"/>
  <c r="W1634" i="2"/>
  <c r="X1634" i="2" s="1"/>
  <c r="W1584" i="2"/>
  <c r="X1584" i="2" s="1"/>
  <c r="W2185" i="2"/>
  <c r="X2185" i="2" s="1"/>
  <c r="W1833" i="2"/>
  <c r="X1833" i="2" s="1"/>
  <c r="W22" i="2"/>
  <c r="X22" i="2" s="1"/>
  <c r="W1413" i="2"/>
  <c r="X1413" i="2" s="1"/>
  <c r="W1940" i="2"/>
  <c r="X1940" i="2" s="1"/>
  <c r="W1146" i="2"/>
  <c r="X1146" i="2" s="1"/>
  <c r="W151" i="2"/>
  <c r="X151" i="2" s="1"/>
  <c r="W2087" i="2"/>
  <c r="X2087" i="2" s="1"/>
  <c r="W2095" i="2"/>
  <c r="X2095" i="2" s="1"/>
  <c r="W302" i="2"/>
  <c r="X302" i="2" s="1"/>
  <c r="W2057" i="2"/>
  <c r="X2057" i="2" s="1"/>
  <c r="W72" i="2"/>
  <c r="X72" i="2" s="1"/>
  <c r="W1918" i="2"/>
  <c r="X1918" i="2" s="1"/>
  <c r="W851" i="2"/>
  <c r="X851" i="2" s="1"/>
  <c r="W869" i="2"/>
  <c r="X869" i="2" s="1"/>
  <c r="W838" i="2"/>
  <c r="X838" i="2" s="1"/>
  <c r="W1512" i="2"/>
  <c r="X1512" i="2" s="1"/>
  <c r="W2174" i="2"/>
  <c r="X2174" i="2" s="1"/>
  <c r="W830" i="2"/>
  <c r="X830" i="2" s="1"/>
  <c r="W1673" i="2"/>
  <c r="X1673" i="2" s="1"/>
  <c r="W1390" i="2"/>
  <c r="X1390" i="2" s="1"/>
  <c r="W1463" i="2"/>
  <c r="X1463" i="2" s="1"/>
  <c r="W1709" i="2"/>
  <c r="X1709" i="2" s="1"/>
  <c r="W1968" i="2"/>
  <c r="X1968" i="2" s="1"/>
  <c r="W71" i="2"/>
  <c r="X71" i="2" s="1"/>
  <c r="W1219" i="2"/>
  <c r="X1219" i="2" s="1"/>
  <c r="W1408" i="2"/>
  <c r="X1408" i="2" s="1"/>
  <c r="W44" i="2"/>
  <c r="X44" i="2" s="1"/>
  <c r="W979" i="2"/>
  <c r="X979" i="2" s="1"/>
  <c r="W1425" i="2"/>
  <c r="X1425" i="2" s="1"/>
  <c r="W860" i="2"/>
  <c r="X860" i="2" s="1"/>
  <c r="W1823" i="2"/>
  <c r="X1823" i="2" s="1"/>
  <c r="W141" i="2"/>
  <c r="X141" i="2" s="1"/>
  <c r="W882" i="2"/>
  <c r="X882" i="2" s="1"/>
  <c r="W1999" i="2"/>
  <c r="X1999" i="2" s="1"/>
  <c r="W2072" i="2"/>
  <c r="X2072" i="2" s="1"/>
  <c r="W877" i="2"/>
  <c r="X877" i="2" s="1"/>
  <c r="W1641" i="2"/>
  <c r="X1641" i="2" s="1"/>
  <c r="W1768" i="2"/>
  <c r="X1768" i="2" s="1"/>
  <c r="W1984" i="2"/>
  <c r="X1984" i="2" s="1"/>
  <c r="W1510" i="2"/>
  <c r="X1510" i="2" s="1"/>
  <c r="W1302" i="2"/>
  <c r="X1302" i="2" s="1"/>
  <c r="W1144" i="2"/>
  <c r="X1144" i="2" s="1"/>
  <c r="W110" i="2"/>
  <c r="X110" i="2" s="1"/>
  <c r="W1630" i="2"/>
  <c r="X1630" i="2" s="1"/>
  <c r="W11" i="2"/>
  <c r="X11" i="2" s="1"/>
  <c r="W2507" i="2"/>
  <c r="X2507" i="2" s="1"/>
  <c r="W1156" i="2"/>
  <c r="X1156" i="2" s="1"/>
  <c r="W2535" i="2"/>
  <c r="X2535" i="2" s="1"/>
  <c r="W2551" i="2"/>
  <c r="X2551" i="2" s="1"/>
  <c r="W1169" i="2"/>
  <c r="X1169" i="2" s="1"/>
  <c r="W1203" i="2"/>
  <c r="X1203" i="2" s="1"/>
  <c r="W1192" i="2"/>
  <c r="X1192" i="2" s="1"/>
  <c r="W1110" i="2"/>
  <c r="X1110" i="2" s="1"/>
  <c r="W1023" i="2"/>
  <c r="X1023" i="2" s="1"/>
  <c r="W1018" i="2"/>
  <c r="X1018" i="2" s="1"/>
  <c r="W1069" i="2"/>
  <c r="X1069" i="2" s="1"/>
  <c r="W1106" i="2"/>
  <c r="X1106" i="2" s="1"/>
  <c r="W1091" i="2"/>
  <c r="X1091" i="2" s="1"/>
  <c r="W134" i="2"/>
  <c r="X134" i="2" s="1"/>
  <c r="W2214" i="2"/>
  <c r="X2214" i="2" s="1"/>
  <c r="W2322" i="2"/>
  <c r="X2322" i="2" s="1"/>
  <c r="W2367" i="2"/>
  <c r="X2367" i="2" s="1"/>
  <c r="W2454" i="2"/>
  <c r="X2454" i="2" s="1"/>
  <c r="W493" i="2"/>
  <c r="X493" i="2" s="1"/>
  <c r="W513" i="2"/>
  <c r="X513" i="2" s="1"/>
  <c r="W521" i="2"/>
  <c r="X521" i="2" s="1"/>
  <c r="W556" i="2"/>
  <c r="X556" i="2" s="1"/>
  <c r="W549" i="2"/>
  <c r="X549" i="2" s="1"/>
  <c r="W184" i="2"/>
  <c r="X184" i="2" s="1"/>
  <c r="W251" i="2"/>
  <c r="X251" i="2" s="1"/>
  <c r="W235" i="2"/>
  <c r="X235" i="2" s="1"/>
  <c r="W582" i="2"/>
  <c r="X582" i="2" s="1"/>
  <c r="W583" i="2"/>
  <c r="X583" i="2" s="1"/>
  <c r="W595" i="2"/>
  <c r="X595" i="2" s="1"/>
  <c r="W540" i="2"/>
  <c r="X540" i="2" s="1"/>
  <c r="W646" i="2"/>
  <c r="X646" i="2" s="1"/>
  <c r="W1695" i="2"/>
  <c r="X1695" i="2" s="1"/>
  <c r="W1740" i="2"/>
  <c r="X1740" i="2" s="1"/>
  <c r="W638" i="2"/>
  <c r="X638" i="2" s="1"/>
  <c r="W2104" i="2"/>
  <c r="X2104" i="2" s="1"/>
  <c r="W954" i="2"/>
  <c r="X954" i="2" s="1"/>
  <c r="W2543" i="2"/>
  <c r="X2543" i="2" s="1"/>
  <c r="W568" i="2"/>
  <c r="X568" i="2" s="1"/>
  <c r="W220" i="2"/>
  <c r="X220" i="2" s="1"/>
  <c r="W263" i="2"/>
  <c r="X263" i="2" s="1"/>
  <c r="W1998" i="2"/>
  <c r="X1998" i="2" s="1"/>
  <c r="W824" i="2"/>
  <c r="X824" i="2" s="1"/>
  <c r="W1304" i="2"/>
  <c r="X1304" i="2" s="1"/>
  <c r="W1180" i="2"/>
  <c r="X1180" i="2" s="1"/>
  <c r="W431" i="2"/>
  <c r="X431" i="2" s="1"/>
  <c r="W226" i="2"/>
  <c r="X226" i="2" s="1"/>
  <c r="W28" i="2"/>
  <c r="X28" i="2" s="1"/>
  <c r="W1658" i="2"/>
  <c r="X1658" i="2" s="1"/>
  <c r="W375" i="2"/>
  <c r="X375" i="2" s="1"/>
  <c r="W1643" i="2"/>
  <c r="X1643" i="2" s="1"/>
  <c r="W372" i="2"/>
  <c r="X372" i="2" s="1"/>
  <c r="W1754" i="2"/>
  <c r="X1754" i="2" s="1"/>
  <c r="W1588" i="2"/>
  <c r="X1588" i="2" s="1"/>
  <c r="W1879" i="2"/>
  <c r="X1879" i="2" s="1"/>
  <c r="W1501" i="2"/>
  <c r="X1501" i="2" s="1"/>
  <c r="W1286" i="2"/>
  <c r="X1286" i="2" s="1"/>
  <c r="W1568" i="2"/>
  <c r="X1568" i="2" s="1"/>
  <c r="W649" i="2"/>
  <c r="X649" i="2" s="1"/>
  <c r="W2201" i="2"/>
  <c r="X2201" i="2" s="1"/>
  <c r="W1972" i="2"/>
  <c r="X1972" i="2" s="1"/>
  <c r="W762" i="2"/>
  <c r="X762" i="2" s="1"/>
  <c r="W1429" i="2"/>
  <c r="X1429" i="2" s="1"/>
  <c r="W1799" i="2"/>
  <c r="X1799" i="2" s="1"/>
  <c r="W2170" i="2"/>
  <c r="X2170" i="2" s="1"/>
  <c r="W1225" i="2"/>
  <c r="X1225" i="2" s="1"/>
  <c r="W886" i="2"/>
  <c r="X886" i="2" s="1"/>
  <c r="W36" i="2"/>
  <c r="X36" i="2" s="1"/>
  <c r="W58" i="2"/>
  <c r="X58" i="2" s="1"/>
  <c r="W221" i="2"/>
  <c r="X221" i="2" s="1"/>
  <c r="W7" i="2"/>
  <c r="X7" i="2" s="1"/>
  <c r="W1346" i="2"/>
  <c r="X1346" i="2" s="1"/>
  <c r="W797" i="2"/>
  <c r="X797" i="2" s="1"/>
  <c r="W1690" i="2"/>
  <c r="X1690" i="2" s="1"/>
  <c r="W1826" i="2"/>
  <c r="X1826" i="2" s="1"/>
  <c r="W779" i="2"/>
  <c r="X779" i="2" s="1"/>
  <c r="W1590" i="2"/>
  <c r="X1590" i="2" s="1"/>
  <c r="W1551" i="2"/>
  <c r="X1551" i="2" s="1"/>
  <c r="W49" i="2"/>
  <c r="X49" i="2" s="1"/>
  <c r="W1852" i="2"/>
  <c r="X1852" i="2" s="1"/>
  <c r="W1264" i="2"/>
  <c r="X1264" i="2" s="1"/>
  <c r="W2191" i="2"/>
  <c r="X2191" i="2" s="1"/>
  <c r="W909" i="2"/>
  <c r="X909" i="2" s="1"/>
  <c r="W2067" i="2"/>
  <c r="X2067" i="2" s="1"/>
  <c r="W1764" i="2"/>
  <c r="X1764" i="2" s="1"/>
  <c r="W1496" i="2"/>
  <c r="X1496" i="2" s="1"/>
  <c r="W2176" i="2"/>
  <c r="X2176" i="2" s="1"/>
  <c r="W517" i="2"/>
  <c r="X517" i="2" s="1"/>
  <c r="W76" i="2"/>
  <c r="X76" i="2" s="1"/>
  <c r="W449" i="2"/>
  <c r="X449" i="2" s="1"/>
  <c r="W208" i="2"/>
  <c r="X208" i="2" s="1"/>
  <c r="W629" i="2"/>
  <c r="X629" i="2" s="1"/>
  <c r="W775" i="2"/>
  <c r="X775" i="2" s="1"/>
  <c r="W1359" i="2"/>
  <c r="X1359" i="2" s="1"/>
  <c r="W1531" i="2"/>
  <c r="X1531" i="2" s="1"/>
  <c r="W1803" i="2"/>
  <c r="X1803" i="2" s="1"/>
  <c r="W809" i="2"/>
  <c r="X809" i="2" s="1"/>
  <c r="W2012" i="2"/>
  <c r="X2012" i="2" s="1"/>
  <c r="W1514" i="2"/>
  <c r="X1514" i="2" s="1"/>
  <c r="W16" i="2"/>
  <c r="X16" i="2" s="1"/>
  <c r="W983" i="2"/>
  <c r="X983" i="2" s="1"/>
  <c r="W808" i="2"/>
  <c r="X808" i="2" s="1"/>
  <c r="W767" i="2"/>
  <c r="X767" i="2" s="1"/>
  <c r="W1007" i="2"/>
  <c r="X1007" i="2" s="1"/>
  <c r="W1909" i="2"/>
  <c r="X1909" i="2" s="1"/>
  <c r="W15" i="2"/>
  <c r="X15" i="2" s="1"/>
  <c r="W917" i="2"/>
  <c r="X917" i="2" s="1"/>
  <c r="W812" i="2"/>
  <c r="X812" i="2" s="1"/>
  <c r="W919" i="2"/>
  <c r="X919" i="2" s="1"/>
  <c r="W411" i="2"/>
  <c r="X411" i="2" s="1"/>
  <c r="W1553" i="2"/>
  <c r="X1553" i="2" s="1"/>
  <c r="W825" i="2"/>
  <c r="X825" i="2" s="1"/>
  <c r="W1453" i="2"/>
  <c r="X1453" i="2" s="1"/>
  <c r="W1801" i="2"/>
  <c r="X1801" i="2" s="1"/>
  <c r="W2129" i="2"/>
  <c r="X2129" i="2" s="1"/>
  <c r="W1988" i="2"/>
  <c r="X1988" i="2" s="1"/>
  <c r="W915" i="2"/>
  <c r="X915" i="2" s="1"/>
  <c r="W121" i="2"/>
  <c r="X121" i="2" s="1"/>
  <c r="W1667" i="2"/>
  <c r="X1667" i="2" s="1"/>
  <c r="W1404" i="2"/>
  <c r="X1404" i="2" s="1"/>
  <c r="W2529" i="2"/>
  <c r="X2529" i="2" s="1"/>
  <c r="W2036" i="2"/>
  <c r="X2036" i="2" s="1"/>
  <c r="W516" i="2"/>
  <c r="X516" i="2" s="1"/>
  <c r="W1767" i="2"/>
  <c r="X1767" i="2" s="1"/>
  <c r="W1134" i="2"/>
  <c r="X1134" i="2" s="1"/>
  <c r="W1451" i="2"/>
  <c r="X1451" i="2" s="1"/>
  <c r="W1899" i="2"/>
  <c r="X1899" i="2" s="1"/>
  <c r="W1160" i="2"/>
  <c r="X1160" i="2" s="1"/>
  <c r="W1788" i="2"/>
  <c r="X1788" i="2" s="1"/>
  <c r="W2505" i="2"/>
  <c r="X2505" i="2" s="1"/>
  <c r="W210" i="2"/>
  <c r="X210" i="2" s="1"/>
  <c r="W1020" i="2"/>
  <c r="X1020" i="2" s="1"/>
  <c r="W1025" i="2"/>
  <c r="X1025" i="2" s="1"/>
  <c r="W146" i="2"/>
  <c r="X146" i="2" s="1"/>
  <c r="W1116" i="2"/>
  <c r="X1116" i="2" s="1"/>
  <c r="W1039" i="2"/>
  <c r="X1039" i="2" s="1"/>
  <c r="W1121" i="2"/>
  <c r="X1121" i="2" s="1"/>
  <c r="W1056" i="2"/>
  <c r="X1056" i="2" s="1"/>
  <c r="W1066" i="2"/>
  <c r="X1066" i="2" s="1"/>
  <c r="W1071" i="2"/>
  <c r="X1071" i="2" s="1"/>
  <c r="W1094" i="2"/>
  <c r="X1094" i="2" s="1"/>
  <c r="W131" i="2"/>
  <c r="X131" i="2" s="1"/>
  <c r="W2435" i="2"/>
  <c r="X2435" i="2" s="1"/>
  <c r="W2445" i="2"/>
  <c r="X2445" i="2" s="1"/>
  <c r="W2481" i="2"/>
  <c r="X2481" i="2" s="1"/>
  <c r="W2341" i="2"/>
  <c r="X2341" i="2" s="1"/>
  <c r="W2400" i="2"/>
  <c r="X2400" i="2" s="1"/>
  <c r="W2417" i="2"/>
  <c r="X2417" i="2" s="1"/>
  <c r="W2383" i="2"/>
  <c r="X2383" i="2" s="1"/>
  <c r="W486" i="2"/>
  <c r="X486" i="2" s="1"/>
  <c r="W506" i="2"/>
  <c r="X506" i="2" s="1"/>
  <c r="W531" i="2"/>
  <c r="X531" i="2" s="1"/>
  <c r="W572" i="2"/>
  <c r="X572" i="2" s="1"/>
  <c r="W573" i="2"/>
  <c r="X573" i="2" s="1"/>
  <c r="W173" i="2"/>
  <c r="X173" i="2" s="1"/>
  <c r="W244" i="2"/>
  <c r="X244" i="2" s="1"/>
  <c r="W236" i="2"/>
  <c r="X236" i="2" s="1"/>
  <c r="W655" i="2"/>
  <c r="X655" i="2" s="1"/>
  <c r="W1601" i="2"/>
  <c r="X1601" i="2" s="1"/>
  <c r="W2548" i="2"/>
  <c r="X2548" i="2" s="1"/>
  <c r="W406" i="2"/>
  <c r="X406" i="2" s="1"/>
  <c r="W2204" i="2"/>
  <c r="X2204" i="2" s="1"/>
  <c r="W2076" i="2"/>
  <c r="X2076" i="2" s="1"/>
  <c r="W1543" i="2"/>
  <c r="X1543" i="2" s="1"/>
  <c r="W165" i="2"/>
  <c r="X165" i="2" s="1"/>
  <c r="W261" i="2"/>
  <c r="X261" i="2" s="1"/>
  <c r="W359" i="2"/>
  <c r="X359" i="2" s="1"/>
  <c r="W1230" i="2"/>
  <c r="X1230" i="2" s="1"/>
  <c r="W923" i="2"/>
  <c r="X923" i="2" s="1"/>
  <c r="W1178" i="2"/>
  <c r="X1178" i="2" s="1"/>
  <c r="W967" i="2"/>
  <c r="X967" i="2" s="1"/>
  <c r="W1687" i="2"/>
  <c r="X1687" i="2" s="1"/>
  <c r="W2534" i="2"/>
  <c r="X2534" i="2" s="1"/>
  <c r="W1522" i="2"/>
  <c r="X1522" i="2" s="1"/>
  <c r="W2119" i="2"/>
  <c r="X2119" i="2" s="1"/>
  <c r="W1917" i="2"/>
  <c r="X1917" i="2" s="1"/>
  <c r="W198" i="2"/>
  <c r="X198" i="2" s="1"/>
  <c r="W2160" i="2"/>
  <c r="X2160" i="2" s="1"/>
  <c r="W1779" i="2"/>
  <c r="X1779" i="2" s="1"/>
  <c r="W2059" i="2"/>
  <c r="X2059" i="2" s="1"/>
  <c r="W35" i="2"/>
  <c r="X35" i="2" s="1"/>
  <c r="W1741" i="2"/>
  <c r="X1741" i="2" s="1"/>
  <c r="W2541" i="2"/>
  <c r="X2541" i="2" s="1"/>
  <c r="W1500" i="2"/>
  <c r="X1500" i="2" s="1"/>
  <c r="W53" i="2"/>
  <c r="X53" i="2" s="1"/>
  <c r="W1714" i="2"/>
  <c r="X1714" i="2" s="1"/>
  <c r="W1424" i="2"/>
  <c r="X1424" i="2" s="1"/>
  <c r="W1246" i="2"/>
  <c r="X1246" i="2" s="1"/>
  <c r="W1892" i="2"/>
  <c r="X1892" i="2" s="1"/>
  <c r="W1432" i="2"/>
  <c r="X1432" i="2" s="1"/>
  <c r="W1795" i="2"/>
  <c r="X1795" i="2" s="1"/>
  <c r="W2008" i="2"/>
  <c r="X2008" i="2" s="1"/>
  <c r="W1515" i="2"/>
  <c r="X1515" i="2" s="1"/>
  <c r="W2504" i="2"/>
  <c r="X2504" i="2" s="1"/>
  <c r="W978" i="2"/>
  <c r="X978" i="2" s="1"/>
  <c r="W2031" i="2"/>
  <c r="X2031" i="2" s="1"/>
  <c r="W813" i="2"/>
  <c r="X813" i="2" s="1"/>
  <c r="W1723" i="2"/>
  <c r="X1723" i="2" s="1"/>
  <c r="W1602" i="2"/>
  <c r="X1602" i="2" s="1"/>
  <c r="W2171" i="2"/>
  <c r="X2171" i="2" s="1"/>
  <c r="W1793" i="2"/>
  <c r="X1793" i="2" s="1"/>
  <c r="W1689" i="2"/>
  <c r="X1689" i="2" s="1"/>
  <c r="W460" i="2"/>
  <c r="X460" i="2" s="1"/>
  <c r="W1505" i="2"/>
  <c r="X1505" i="2" s="1"/>
  <c r="W91" i="2"/>
  <c r="X91" i="2" s="1"/>
  <c r="W1956" i="2"/>
  <c r="X1956" i="2" s="1"/>
  <c r="W1380" i="2"/>
  <c r="X1380" i="2" s="1"/>
  <c r="W106" i="2"/>
  <c r="X106" i="2" s="1"/>
  <c r="W1854" i="2"/>
  <c r="X1854" i="2" s="1"/>
  <c r="W1320" i="2"/>
  <c r="X1320" i="2" s="1"/>
  <c r="W1248" i="2"/>
  <c r="X1248" i="2" s="1"/>
  <c r="W1342" i="2"/>
  <c r="X1342" i="2" s="1"/>
  <c r="W1479" i="2"/>
  <c r="X1479" i="2" s="1"/>
  <c r="W1955" i="2"/>
  <c r="X1955" i="2" s="1"/>
  <c r="W1426" i="2"/>
  <c r="X1426" i="2" s="1"/>
  <c r="W1656" i="2"/>
  <c r="X1656" i="2" s="1"/>
  <c r="W1308" i="2"/>
  <c r="X1308" i="2" s="1"/>
  <c r="W2162" i="2"/>
  <c r="X2162" i="2" s="1"/>
  <c r="W1864" i="2"/>
  <c r="X1864" i="2" s="1"/>
  <c r="W1887" i="2"/>
  <c r="X1887" i="2" s="1"/>
  <c r="W1707" i="2"/>
  <c r="X1707" i="2" s="1"/>
  <c r="W1637" i="2"/>
  <c r="X1637" i="2" s="1"/>
  <c r="W873" i="2"/>
  <c r="X873" i="2" s="1"/>
  <c r="W1266" i="2"/>
  <c r="X1266" i="2" s="1"/>
  <c r="W2091" i="2"/>
  <c r="X2091" i="2" s="1"/>
  <c r="W593" i="2"/>
  <c r="X593" i="2" s="1"/>
  <c r="W2167" i="2"/>
  <c r="X2167" i="2" s="1"/>
  <c r="W13" i="2"/>
  <c r="X13" i="2" s="1"/>
  <c r="W1493" i="2"/>
  <c r="X1493" i="2" s="1"/>
  <c r="W1825" i="2"/>
  <c r="X1825" i="2" s="1"/>
  <c r="W1951" i="2"/>
  <c r="X1951" i="2" s="1"/>
  <c r="W1680" i="2"/>
  <c r="X1680" i="2" s="1"/>
  <c r="W1520" i="2"/>
  <c r="X1520" i="2" s="1"/>
  <c r="W1466" i="2"/>
  <c r="X1466" i="2" s="1"/>
  <c r="W1232" i="2"/>
  <c r="X1232" i="2" s="1"/>
  <c r="W1238" i="2"/>
  <c r="X1238" i="2" s="1"/>
  <c r="W473" i="2"/>
  <c r="X473" i="2" s="1"/>
  <c r="W301" i="2"/>
  <c r="X301" i="2" s="1"/>
  <c r="W2037" i="2"/>
  <c r="X2037" i="2" s="1"/>
  <c r="W982" i="2"/>
  <c r="X982" i="2" s="1"/>
  <c r="W2056" i="2"/>
  <c r="X2056" i="2" s="1"/>
  <c r="W1544" i="2"/>
  <c r="X1544" i="2" s="1"/>
  <c r="W1530" i="2"/>
  <c r="X1530" i="2" s="1"/>
  <c r="W1492" i="2"/>
  <c r="X1492" i="2" s="1"/>
  <c r="W761" i="2"/>
  <c r="X761" i="2" s="1"/>
  <c r="W2116" i="2"/>
  <c r="X2116" i="2" s="1"/>
  <c r="W2200" i="2"/>
  <c r="X2200" i="2" s="1"/>
  <c r="W1142" i="2"/>
  <c r="X1142" i="2" s="1"/>
  <c r="W784" i="2"/>
  <c r="X784" i="2" s="1"/>
  <c r="W1162" i="2"/>
  <c r="X1162" i="2" s="1"/>
  <c r="W1158" i="2"/>
  <c r="X1158" i="2" s="1"/>
  <c r="W1190" i="2"/>
  <c r="X1190" i="2" s="1"/>
  <c r="W1199" i="2"/>
  <c r="X1199" i="2" s="1"/>
  <c r="W1193" i="2"/>
  <c r="X1193" i="2" s="1"/>
  <c r="W1026" i="2"/>
  <c r="X1026" i="2" s="1"/>
  <c r="W1129" i="2"/>
  <c r="X1129" i="2" s="1"/>
  <c r="W1059" i="2"/>
  <c r="X1059" i="2" s="1"/>
  <c r="W1042" i="2"/>
  <c r="X1042" i="2" s="1"/>
  <c r="W1054" i="2"/>
  <c r="X1054" i="2" s="1"/>
  <c r="W1088" i="2"/>
  <c r="X1088" i="2" s="1"/>
  <c r="W123" i="2"/>
  <c r="X123" i="2" s="1"/>
  <c r="W2212" i="2"/>
  <c r="X2212" i="2" s="1"/>
  <c r="W2368" i="2"/>
  <c r="X2368" i="2" s="1"/>
  <c r="W2456" i="2"/>
  <c r="X2456" i="2" s="1"/>
  <c r="W501" i="2"/>
  <c r="X501" i="2" s="1"/>
  <c r="W494" i="2"/>
  <c r="X494" i="2" s="1"/>
  <c r="W485" i="2"/>
  <c r="X485" i="2" s="1"/>
  <c r="W512" i="2"/>
  <c r="X512" i="2" s="1"/>
  <c r="W504" i="2"/>
  <c r="X504" i="2" s="1"/>
  <c r="W520" i="2"/>
  <c r="X520" i="2" s="1"/>
  <c r="W529" i="2"/>
  <c r="X529" i="2" s="1"/>
  <c r="W555" i="2"/>
  <c r="X555" i="2" s="1"/>
  <c r="W547" i="2"/>
  <c r="X547" i="2" s="1"/>
  <c r="W191" i="2"/>
  <c r="X191" i="2" s="1"/>
  <c r="W183" i="2"/>
  <c r="X183" i="2" s="1"/>
  <c r="W250" i="2"/>
  <c r="X250" i="2" s="1"/>
  <c r="W242" i="2"/>
  <c r="X242" i="2" s="1"/>
  <c r="W232" i="2"/>
  <c r="X232" i="2" s="1"/>
  <c r="W590" i="2"/>
  <c r="X590" i="2" s="1"/>
  <c r="W592" i="2"/>
  <c r="X592" i="2" s="1"/>
  <c r="W594" i="2"/>
  <c r="X594" i="2" s="1"/>
  <c r="W539" i="2"/>
  <c r="X539" i="2" s="1"/>
  <c r="W645" i="2"/>
  <c r="X645" i="2" s="1"/>
  <c r="W1594" i="2"/>
  <c r="X1594" i="2" s="1"/>
  <c r="W1835" i="2"/>
  <c r="X1835" i="2" s="1"/>
  <c r="W1618" i="2"/>
  <c r="X1618" i="2" s="1"/>
  <c r="W1487" i="2"/>
  <c r="X1487" i="2" s="1"/>
  <c r="W1435" i="2"/>
  <c r="X1435" i="2" s="1"/>
  <c r="W971" i="2"/>
  <c r="X971" i="2" s="1"/>
  <c r="W260" i="2"/>
  <c r="X260" i="2" s="1"/>
  <c r="W1586" i="2"/>
  <c r="X1586" i="2" s="1"/>
  <c r="W1184" i="2"/>
  <c r="X1184" i="2" s="1"/>
  <c r="W1457" i="2"/>
  <c r="X1457" i="2" s="1"/>
  <c r="W1692" i="2"/>
  <c r="X1692" i="2" s="1"/>
  <c r="W1242" i="2"/>
  <c r="X1242" i="2" s="1"/>
  <c r="W932" i="2"/>
  <c r="X932" i="2" s="1"/>
  <c r="W62" i="2"/>
  <c r="X62" i="2" s="1"/>
  <c r="W1884" i="2"/>
  <c r="X1884" i="2" s="1"/>
  <c r="W1798" i="2"/>
  <c r="X1798" i="2" s="1"/>
  <c r="W100" i="2"/>
  <c r="X100" i="2" s="1"/>
  <c r="W938" i="2"/>
  <c r="X938" i="2" s="1"/>
  <c r="W1679" i="2"/>
  <c r="X1679" i="2" s="1"/>
  <c r="W1742" i="2"/>
  <c r="X1742" i="2" s="1"/>
  <c r="W74" i="2"/>
  <c r="X74" i="2" s="1"/>
  <c r="W1002" i="2"/>
  <c r="X1002" i="2" s="1"/>
  <c r="W1963" i="2"/>
  <c r="X1963" i="2" s="1"/>
  <c r="W1410" i="2"/>
  <c r="X1410" i="2" s="1"/>
  <c r="W1560" i="2"/>
  <c r="X1560" i="2" s="1"/>
  <c r="W1850" i="2"/>
  <c r="X1850" i="2" s="1"/>
  <c r="W899" i="2"/>
  <c r="X899" i="2" s="1"/>
  <c r="W2092" i="2"/>
  <c r="X2092" i="2" s="1"/>
  <c r="W1356" i="2"/>
  <c r="X1356" i="2" s="1"/>
  <c r="W1943" i="2"/>
  <c r="X1943" i="2" s="1"/>
  <c r="W1578" i="2"/>
  <c r="X1578" i="2" s="1"/>
  <c r="W1806" i="2"/>
  <c r="X1806" i="2" s="1"/>
  <c r="W1565" i="2"/>
  <c r="X1565" i="2" s="1"/>
  <c r="W1659" i="2"/>
  <c r="X1659" i="2" s="1"/>
  <c r="W452" i="2"/>
  <c r="X452" i="2" s="1"/>
  <c r="W1288" i="2"/>
  <c r="X1288" i="2" s="1"/>
  <c r="W763" i="2"/>
  <c r="X763" i="2" s="1"/>
  <c r="W1919" i="2"/>
  <c r="X1919" i="2" s="1"/>
  <c r="W1335" i="2"/>
  <c r="X1335" i="2" s="1"/>
  <c r="W1660" i="2"/>
  <c r="X1660" i="2" s="1"/>
  <c r="W166" i="2"/>
  <c r="X166" i="2" s="1"/>
  <c r="W1334" i="2"/>
  <c r="X1334" i="2" s="1"/>
  <c r="W1298" i="2"/>
  <c r="X1298" i="2" s="1"/>
  <c r="W1992" i="2"/>
  <c r="X1992" i="2" s="1"/>
  <c r="W1611" i="2"/>
  <c r="X1611" i="2" s="1"/>
  <c r="W1671" i="2"/>
  <c r="X1671" i="2" s="1"/>
  <c r="W1394" i="2"/>
  <c r="X1394" i="2" s="1"/>
  <c r="W1696" i="2"/>
  <c r="X1696" i="2" s="1"/>
  <c r="W2553" i="2"/>
  <c r="X2553" i="2" s="1"/>
  <c r="W1880" i="2"/>
  <c r="X1880" i="2" s="1"/>
  <c r="W1212" i="2"/>
  <c r="X1212" i="2" s="1"/>
  <c r="W930" i="2"/>
  <c r="X930" i="2" s="1"/>
  <c r="W2509" i="2"/>
  <c r="X2509" i="2" s="1"/>
  <c r="W1737" i="2"/>
  <c r="X1737" i="2" s="1"/>
  <c r="W1633" i="2"/>
  <c r="X1633" i="2" s="1"/>
  <c r="W1279" i="2"/>
  <c r="X1279" i="2" s="1"/>
  <c r="W1312" i="2"/>
  <c r="X1312" i="2" s="1"/>
  <c r="W1372" i="2"/>
  <c r="X1372" i="2" s="1"/>
  <c r="W2502" i="2"/>
  <c r="X2502" i="2" s="1"/>
  <c r="W1750" i="2"/>
  <c r="X1750" i="2" s="1"/>
  <c r="W870" i="2"/>
  <c r="X870" i="2" s="1"/>
  <c r="W2006" i="2"/>
  <c r="X2006" i="2" s="1"/>
  <c r="W2027" i="2"/>
  <c r="X2027" i="2" s="1"/>
  <c r="W1559" i="2"/>
  <c r="X1559" i="2" s="1"/>
  <c r="W1517" i="2"/>
  <c r="X1517" i="2" s="1"/>
  <c r="W1869" i="2"/>
  <c r="X1869" i="2" s="1"/>
  <c r="W88" i="2"/>
  <c r="X88" i="2" s="1"/>
  <c r="W1222" i="2"/>
  <c r="X1222" i="2" s="1"/>
  <c r="W1376" i="2"/>
  <c r="X1376" i="2" s="1"/>
  <c r="W318" i="2"/>
  <c r="X318" i="2" s="1"/>
  <c r="W973" i="2"/>
  <c r="X973" i="2" s="1"/>
  <c r="W1231" i="2"/>
  <c r="X1231" i="2" s="1"/>
  <c r="W1824" i="2"/>
  <c r="X1824" i="2" s="1"/>
  <c r="W202" i="2"/>
  <c r="X202" i="2" s="1"/>
  <c r="W1339" i="2"/>
  <c r="X1339" i="2" s="1"/>
  <c r="W1889" i="2"/>
  <c r="X1889" i="2" s="1"/>
  <c r="W1776" i="2"/>
  <c r="X1776" i="2" s="1"/>
  <c r="W852" i="2"/>
  <c r="X852" i="2" s="1"/>
  <c r="W1573" i="2"/>
  <c r="X1573" i="2" s="1"/>
  <c r="W211" i="2"/>
  <c r="X211" i="2" s="1"/>
  <c r="W1538" i="2"/>
  <c r="X1538" i="2" s="1"/>
  <c r="W1979" i="2"/>
  <c r="X1979" i="2" s="1"/>
  <c r="W1347" i="2"/>
  <c r="X1347" i="2" s="1"/>
  <c r="W843" i="2"/>
  <c r="X843" i="2" s="1"/>
  <c r="W975" i="2"/>
  <c r="X975" i="2" s="1"/>
  <c r="W1738" i="2"/>
  <c r="X1738" i="2" s="1"/>
  <c r="W1311" i="2"/>
  <c r="X1311" i="2" s="1"/>
  <c r="W1789" i="2"/>
  <c r="X1789" i="2" s="1"/>
  <c r="W1140" i="2"/>
  <c r="X1140" i="2" s="1"/>
  <c r="W1132" i="2"/>
  <c r="X1132" i="2" s="1"/>
  <c r="W1355" i="2"/>
  <c r="X1355" i="2" s="1"/>
  <c r="W1164" i="2"/>
  <c r="X1164" i="2" s="1"/>
  <c r="W2133" i="2"/>
  <c r="X2133" i="2" s="1"/>
  <c r="W1289" i="2"/>
  <c r="X1289" i="2" s="1"/>
  <c r="W2152" i="2"/>
  <c r="X2152" i="2" s="1"/>
  <c r="W1651" i="2"/>
  <c r="X1651" i="2" s="1"/>
  <c r="W1128" i="2"/>
  <c r="X1128" i="2" s="1"/>
  <c r="W1040" i="2"/>
  <c r="X1040" i="2" s="1"/>
  <c r="W1058" i="2"/>
  <c r="X1058" i="2" s="1"/>
  <c r="W1070" i="2"/>
  <c r="X1070" i="2" s="1"/>
  <c r="W1090" i="2"/>
  <c r="X1090" i="2" s="1"/>
  <c r="W1080" i="2"/>
  <c r="X1080" i="2" s="1"/>
  <c r="W1102" i="2"/>
  <c r="X1102" i="2" s="1"/>
  <c r="W132" i="2"/>
  <c r="X132" i="2" s="1"/>
  <c r="W122" i="2"/>
  <c r="X122" i="2" s="1"/>
  <c r="W2213" i="2"/>
  <c r="X2213" i="2" s="1"/>
  <c r="W2206" i="2"/>
  <c r="X2206" i="2" s="1"/>
  <c r="W2328" i="2"/>
  <c r="X2328" i="2" s="1"/>
  <c r="W2436" i="2"/>
  <c r="X2436" i="2" s="1"/>
  <c r="W2447" i="2"/>
  <c r="X2447" i="2" s="1"/>
  <c r="W2388" i="2"/>
  <c r="X2388" i="2" s="1"/>
  <c r="W2344" i="2"/>
  <c r="X2344" i="2" s="1"/>
  <c r="W2402" i="2"/>
  <c r="X2402" i="2" s="1"/>
  <c r="W2409" i="2"/>
  <c r="X2409" i="2" s="1"/>
  <c r="W548" i="2"/>
  <c r="X548" i="2" s="1"/>
  <c r="W570" i="2"/>
  <c r="X570" i="2" s="1"/>
  <c r="W174" i="2"/>
  <c r="X174" i="2" s="1"/>
  <c r="W654" i="2"/>
  <c r="X654" i="2" s="1"/>
  <c r="W765" i="2"/>
  <c r="X765" i="2" s="1"/>
  <c r="W1547" i="2"/>
  <c r="X1547" i="2" s="1"/>
  <c r="W1778" i="2"/>
  <c r="X1778" i="2" s="1"/>
  <c r="W1716" i="2"/>
  <c r="X1716" i="2" s="1"/>
  <c r="W1699" i="2"/>
  <c r="X1699" i="2" s="1"/>
  <c r="W1393" i="2"/>
  <c r="X1393" i="2" s="1"/>
  <c r="W1464" i="2"/>
  <c r="X1464" i="2" s="1"/>
  <c r="W69" i="2"/>
  <c r="X69" i="2" s="1"/>
  <c r="W800" i="2"/>
  <c r="X800" i="2" s="1"/>
  <c r="W1832" i="2"/>
  <c r="X1832" i="2" s="1"/>
  <c r="W791" i="2"/>
  <c r="X791" i="2" s="1"/>
  <c r="W157" i="2"/>
  <c r="X157" i="2" s="1"/>
  <c r="W1294" i="2"/>
  <c r="X1294" i="2" s="1"/>
  <c r="W640" i="2"/>
  <c r="X640" i="2" s="1"/>
  <c r="W857" i="2"/>
  <c r="X857" i="2" s="1"/>
  <c r="W2109" i="2"/>
  <c r="X2109" i="2" s="1"/>
  <c r="W2228" i="2"/>
  <c r="X2228" i="2" s="1"/>
  <c r="W1898" i="2"/>
  <c r="X1898" i="2" s="1"/>
  <c r="W333" i="2"/>
  <c r="X333" i="2" s="1"/>
  <c r="W1331" i="2"/>
  <c r="X1331" i="2" s="1"/>
  <c r="W1574" i="2"/>
  <c r="X1574" i="2" s="1"/>
  <c r="W200" i="2"/>
  <c r="X200" i="2" s="1"/>
  <c r="W845" i="2"/>
  <c r="X845" i="2" s="1"/>
  <c r="W1491" i="2"/>
  <c r="X1491" i="2" s="1"/>
  <c r="W1566" i="2"/>
  <c r="X1566" i="2" s="1"/>
  <c r="W2202" i="2"/>
  <c r="X2202" i="2" s="1"/>
  <c r="W776" i="2"/>
  <c r="X776" i="2" s="1"/>
  <c r="W1831" i="2"/>
  <c r="X1831" i="2" s="1"/>
  <c r="W1268" i="2"/>
  <c r="X1268" i="2" s="1"/>
  <c r="W171" i="2"/>
  <c r="X171" i="2" s="1"/>
  <c r="W816" i="2"/>
  <c r="X816" i="2" s="1"/>
  <c r="W1765" i="2"/>
  <c r="X1765" i="2" s="1"/>
  <c r="W164" i="2"/>
  <c r="X164" i="2" s="1"/>
  <c r="W34" i="2"/>
  <c r="X34" i="2" s="1"/>
  <c r="W1670" i="2"/>
  <c r="X1670" i="2" s="1"/>
  <c r="W1277" i="2"/>
  <c r="X1277" i="2" s="1"/>
  <c r="W777" i="2"/>
  <c r="X777" i="2" s="1"/>
  <c r="W2107" i="2"/>
  <c r="X2107" i="2" s="1"/>
  <c r="W889" i="2"/>
  <c r="X889" i="2" s="1"/>
  <c r="W2226" i="2"/>
  <c r="X2226" i="2" s="1"/>
  <c r="W105" i="2"/>
  <c r="X105" i="2" s="1"/>
  <c r="W1239" i="2"/>
  <c r="X1239" i="2" s="1"/>
  <c r="W1867" i="2"/>
  <c r="X1867" i="2" s="1"/>
  <c r="W1316" i="2"/>
  <c r="X1316" i="2" s="1"/>
  <c r="W969" i="2"/>
  <c r="X969" i="2" s="1"/>
  <c r="W1604" i="2"/>
  <c r="X1604" i="2" s="1"/>
  <c r="W2497" i="2"/>
  <c r="X2497" i="2" s="1"/>
  <c r="W2175" i="2"/>
  <c r="X2175" i="2" s="1"/>
  <c r="W1507" i="2"/>
  <c r="X1507" i="2" s="1"/>
  <c r="W1554" i="2"/>
  <c r="X1554" i="2" s="1"/>
  <c r="W1662" i="2"/>
  <c r="X1662" i="2" s="1"/>
  <c r="W1946" i="2"/>
  <c r="X1946" i="2" s="1"/>
  <c r="W846" i="2"/>
  <c r="X846" i="2" s="1"/>
  <c r="W1914" i="2"/>
  <c r="X1914" i="2" s="1"/>
  <c r="W1621" i="2"/>
  <c r="X1621" i="2" s="1"/>
  <c r="W2524" i="2"/>
  <c r="X2524" i="2" s="1"/>
  <c r="W1624" i="2"/>
  <c r="X1624" i="2" s="1"/>
  <c r="W1800" i="2"/>
  <c r="X1800" i="2" s="1"/>
  <c r="W1471" i="2"/>
  <c r="X1471" i="2" s="1"/>
  <c r="W1569" i="2"/>
  <c r="X1569" i="2" s="1"/>
  <c r="W1829" i="2"/>
  <c r="X1829" i="2" s="1"/>
  <c r="W1720" i="2"/>
  <c r="X1720" i="2" s="1"/>
  <c r="W2100" i="2"/>
  <c r="X2100" i="2" s="1"/>
  <c r="W1459" i="2"/>
  <c r="X1459" i="2" s="1"/>
  <c r="W1977" i="2"/>
  <c r="X1977" i="2" s="1"/>
  <c r="W1012" i="2"/>
  <c r="X1012" i="2" s="1"/>
  <c r="W1350" i="2"/>
  <c r="X1350" i="2" s="1"/>
  <c r="W900" i="2"/>
  <c r="X900" i="2" s="1"/>
  <c r="W1430" i="2"/>
  <c r="X1430" i="2" s="1"/>
  <c r="W113" i="2"/>
  <c r="X113" i="2" s="1"/>
  <c r="W2182" i="2"/>
  <c r="X2182" i="2" s="1"/>
  <c r="W1137" i="2"/>
  <c r="X1137" i="2" s="1"/>
  <c r="W936" i="2"/>
  <c r="X936" i="2" s="1"/>
  <c r="W840" i="2"/>
  <c r="X840" i="2" s="1"/>
  <c r="W321" i="2"/>
  <c r="X321" i="2" s="1"/>
  <c r="W2026" i="2"/>
  <c r="X2026" i="2" s="1"/>
  <c r="W1283" i="2"/>
  <c r="X1283" i="2" s="1"/>
  <c r="W805" i="2"/>
  <c r="X805" i="2" s="1"/>
  <c r="W2172" i="2"/>
  <c r="X2172" i="2" s="1"/>
  <c r="W2058" i="2"/>
  <c r="X2058" i="2" s="1"/>
  <c r="W1191" i="2"/>
  <c r="X1191" i="2" s="1"/>
  <c r="W2085" i="2"/>
  <c r="X2085" i="2" s="1"/>
  <c r="W1171" i="2"/>
  <c r="X1171" i="2" s="1"/>
  <c r="W1167" i="2"/>
  <c r="X1167" i="2" s="1"/>
  <c r="W946" i="2"/>
  <c r="X946" i="2" s="1"/>
  <c r="W1200" i="2"/>
  <c r="X1200" i="2" s="1"/>
  <c r="W1021" i="2"/>
  <c r="X1021" i="2" s="1"/>
  <c r="W1033" i="2"/>
  <c r="X1033" i="2" s="1"/>
  <c r="W1045" i="2"/>
  <c r="X1045" i="2" s="1"/>
  <c r="W1120" i="2"/>
  <c r="X1120" i="2" s="1"/>
  <c r="W1046" i="2"/>
  <c r="X1046" i="2" s="1"/>
  <c r="W1109" i="2"/>
  <c r="X1109" i="2" s="1"/>
  <c r="W1096" i="2"/>
  <c r="X1096" i="2" s="1"/>
  <c r="W1104" i="2"/>
  <c r="X1104" i="2" s="1"/>
  <c r="W130" i="2"/>
  <c r="X130" i="2" s="1"/>
  <c r="W2211" i="2"/>
  <c r="X2211" i="2" s="1"/>
  <c r="W2369" i="2"/>
  <c r="X2369" i="2" s="1"/>
  <c r="W2457" i="2"/>
  <c r="X2457" i="2" s="1"/>
  <c r="W2346" i="2"/>
  <c r="X2346" i="2" s="1"/>
  <c r="W500" i="2"/>
  <c r="X500" i="2" s="1"/>
  <c r="W484" i="2"/>
  <c r="X484" i="2" s="1"/>
  <c r="W511" i="2"/>
  <c r="X511" i="2" s="1"/>
  <c r="W527" i="2"/>
  <c r="X527" i="2" s="1"/>
  <c r="W519" i="2"/>
  <c r="X519" i="2" s="1"/>
  <c r="W530" i="2"/>
  <c r="X530" i="2" s="1"/>
  <c r="W554" i="2"/>
  <c r="X554" i="2" s="1"/>
  <c r="W581" i="2"/>
  <c r="X581" i="2" s="1"/>
  <c r="W190" i="2"/>
  <c r="X190" i="2" s="1"/>
  <c r="W182" i="2"/>
  <c r="X182" i="2" s="1"/>
  <c r="W172" i="2"/>
  <c r="X172" i="2" s="1"/>
  <c r="W249" i="2"/>
  <c r="X249" i="2" s="1"/>
  <c r="W240" i="2"/>
  <c r="X240" i="2" s="1"/>
  <c r="W234" i="2"/>
  <c r="X234" i="2" s="1"/>
  <c r="W589" i="2"/>
  <c r="X589" i="2" s="1"/>
  <c r="W601" i="2"/>
  <c r="X601" i="2" s="1"/>
  <c r="W546" i="2"/>
  <c r="X546" i="2" s="1"/>
  <c r="W538" i="2"/>
  <c r="X538" i="2" s="1"/>
  <c r="W642" i="2"/>
  <c r="X642" i="2" s="1"/>
  <c r="W881" i="2"/>
  <c r="X881" i="2" s="1"/>
  <c r="W1862" i="2"/>
  <c r="X1862" i="2" s="1"/>
  <c r="W842" i="2"/>
  <c r="X842" i="2" s="1"/>
  <c r="W75" i="2"/>
  <c r="X75" i="2" s="1"/>
  <c r="W1888" i="2"/>
  <c r="X1888" i="2" s="1"/>
  <c r="W57" i="2"/>
  <c r="X57" i="2" s="1"/>
  <c r="W2157" i="2"/>
  <c r="X2157" i="2" s="1"/>
  <c r="W1715" i="2"/>
  <c r="X1715" i="2" s="1"/>
  <c r="W253" i="2"/>
  <c r="X253" i="2" s="1"/>
  <c r="W780" i="2"/>
  <c r="X780" i="2" s="1"/>
  <c r="W1151" i="2"/>
  <c r="X1151" i="2" s="1"/>
  <c r="W1363" i="2"/>
  <c r="X1363" i="2" s="1"/>
  <c r="W1386" i="2"/>
  <c r="X1386" i="2" s="1"/>
  <c r="W972" i="2"/>
  <c r="X972" i="2" s="1"/>
  <c r="W252" i="2"/>
  <c r="X252" i="2" s="1"/>
  <c r="W1942" i="2"/>
  <c r="X1942" i="2" s="1"/>
  <c r="W50" i="2"/>
  <c r="X50" i="2" s="1"/>
  <c r="W10" i="2"/>
  <c r="X10" i="2" s="1"/>
  <c r="W1261" i="2"/>
  <c r="X1261" i="2" s="1"/>
  <c r="W2101" i="2"/>
  <c r="X2101" i="2" s="1"/>
  <c r="W1550" i="2"/>
  <c r="X1550" i="2" s="1"/>
  <c r="W1747" i="2"/>
  <c r="X1747" i="2" s="1"/>
  <c r="W887" i="2"/>
  <c r="X887" i="2" s="1"/>
  <c r="W2106" i="2"/>
  <c r="X2106" i="2" s="1"/>
  <c r="W974" i="2"/>
  <c r="X974" i="2" s="1"/>
  <c r="W1870" i="2"/>
  <c r="X1870" i="2" s="1"/>
  <c r="W1218" i="2"/>
  <c r="X1218" i="2" s="1"/>
  <c r="W1721" i="2"/>
  <c r="X1721" i="2" s="1"/>
  <c r="W1366" i="2"/>
  <c r="X1366" i="2" s="1"/>
  <c r="W788" i="2"/>
  <c r="X788" i="2" s="1"/>
  <c r="W1229" i="2"/>
  <c r="X1229" i="2" s="1"/>
  <c r="W1893" i="2"/>
  <c r="X1893" i="2" s="1"/>
  <c r="W2045" i="2"/>
  <c r="X2045" i="2" s="1"/>
  <c r="W1427" i="2"/>
  <c r="X1427" i="2" s="1"/>
  <c r="W1875" i="2"/>
  <c r="X1875" i="2" s="1"/>
  <c r="W1497" i="2"/>
  <c r="X1497" i="2" s="1"/>
  <c r="W1913" i="2"/>
  <c r="X1913" i="2" s="1"/>
  <c r="W948" i="2"/>
  <c r="X948" i="2" s="1"/>
  <c r="W2222" i="2"/>
  <c r="X2222" i="2" s="1"/>
  <c r="W885" i="2"/>
  <c r="X885" i="2" s="1"/>
  <c r="W1265" i="2"/>
  <c r="X1265" i="2" s="1"/>
  <c r="W1684" i="2"/>
  <c r="X1684" i="2" s="1"/>
  <c r="W14" i="2"/>
  <c r="X14" i="2" s="1"/>
  <c r="W1724" i="2"/>
  <c r="X1724" i="2" s="1"/>
  <c r="W1874" i="2"/>
  <c r="X1874" i="2" s="1"/>
  <c r="W1734" i="2"/>
  <c r="X1734" i="2" s="1"/>
  <c r="W1840" i="2"/>
  <c r="X1840" i="2" s="1"/>
  <c r="W1703" i="2"/>
  <c r="X1703" i="2" s="1"/>
  <c r="W1773" i="2"/>
  <c r="X1773" i="2" s="1"/>
  <c r="W1009" i="2"/>
  <c r="X1009" i="2" s="1"/>
  <c r="W849" i="2"/>
  <c r="X849" i="2" s="1"/>
  <c r="W147" i="2"/>
  <c r="X147" i="2" s="1"/>
  <c r="W2519" i="2"/>
  <c r="X2519" i="2" s="1"/>
  <c r="W2063" i="2"/>
  <c r="X2063" i="2" s="1"/>
  <c r="W59" i="2"/>
  <c r="X59" i="2" s="1"/>
  <c r="W1211" i="2"/>
  <c r="X1211" i="2" s="1"/>
  <c r="W1210" i="2"/>
  <c r="X1210" i="2" s="1"/>
  <c r="W149" i="2"/>
  <c r="X149" i="2" s="1"/>
  <c r="W1828" i="2"/>
  <c r="X1828" i="2" s="1"/>
  <c r="W2495" i="2"/>
  <c r="X2495" i="2" s="1"/>
  <c r="W888" i="2"/>
  <c r="X888" i="2" s="1"/>
  <c r="W1576" i="2"/>
  <c r="X1576" i="2" s="1"/>
  <c r="W1771" i="2"/>
  <c r="X1771" i="2" s="1"/>
  <c r="W1013" i="2"/>
  <c r="X1013" i="2" s="1"/>
  <c r="W1708" i="2"/>
  <c r="X1708" i="2" s="1"/>
  <c r="W217" i="2"/>
  <c r="X217" i="2" s="1"/>
  <c r="W1431" i="2"/>
  <c r="X1431" i="2" s="1"/>
  <c r="W804" i="2"/>
  <c r="X804" i="2" s="1"/>
  <c r="W1227" i="2"/>
  <c r="X1227" i="2" s="1"/>
  <c r="W668" i="2"/>
  <c r="X668" i="2" s="1"/>
  <c r="W1981" i="2"/>
  <c r="X1981" i="2" s="1"/>
  <c r="W432" i="2"/>
  <c r="X432" i="2" s="1"/>
  <c r="W1511" i="2"/>
  <c r="X1511" i="2" s="1"/>
  <c r="W1857" i="2"/>
  <c r="X1857" i="2" s="1"/>
  <c r="W1093" i="2"/>
  <c r="X1093" i="2" s="1"/>
  <c r="W2223" i="2"/>
  <c r="X2223" i="2" s="1"/>
  <c r="W1863" i="2"/>
  <c r="X1863" i="2" s="1"/>
  <c r="W1702" i="2"/>
  <c r="X1702" i="2" s="1"/>
  <c r="W84" i="2"/>
  <c r="X84" i="2" s="1"/>
  <c r="W2552" i="2"/>
  <c r="X2552" i="2" s="1"/>
  <c r="W227" i="2"/>
  <c r="X227" i="2" s="1"/>
  <c r="W1383" i="2"/>
  <c r="X1383" i="2" s="1"/>
  <c r="W1947" i="2"/>
  <c r="X1947" i="2" s="1"/>
  <c r="W1555" i="2"/>
  <c r="X1555" i="2" s="1"/>
  <c r="W1378" i="2"/>
  <c r="X1378" i="2" s="1"/>
  <c r="W1475" i="2"/>
  <c r="X1475" i="2" s="1"/>
  <c r="W1878" i="2"/>
  <c r="X1878" i="2" s="1"/>
  <c r="W931" i="2"/>
  <c r="X931" i="2" s="1"/>
  <c r="W1139" i="2"/>
  <c r="X1139" i="2" s="1"/>
  <c r="W1406" i="2"/>
  <c r="X1406" i="2" s="1"/>
  <c r="W33" i="2"/>
  <c r="X33" i="2" s="1"/>
  <c r="W778" i="2"/>
  <c r="X778" i="2" s="1"/>
  <c r="W107" i="2"/>
  <c r="X107" i="2" s="1"/>
  <c r="W1926" i="2"/>
  <c r="X1926" i="2" s="1"/>
  <c r="W1260" i="2"/>
  <c r="X1260" i="2" s="1"/>
  <c r="W1297" i="2"/>
  <c r="X1297" i="2" s="1"/>
  <c r="W898" i="2"/>
  <c r="X898" i="2" s="1"/>
  <c r="W961" i="2"/>
  <c r="X961" i="2" s="1"/>
  <c r="W424" i="2"/>
  <c r="X424" i="2" s="1"/>
  <c r="W1189" i="2"/>
  <c r="X1189" i="2" s="1"/>
  <c r="W1881" i="2"/>
  <c r="X1881" i="2" s="1"/>
  <c r="W1170" i="2"/>
  <c r="X1170" i="2" s="1"/>
  <c r="W1115" i="2"/>
  <c r="X1115" i="2" s="1"/>
  <c r="W1051" i="2"/>
  <c r="X1051" i="2" s="1"/>
  <c r="W1075" i="2"/>
  <c r="X1075" i="2" s="1"/>
  <c r="W1108" i="2"/>
  <c r="X1108" i="2" s="1"/>
  <c r="W124" i="2"/>
  <c r="X124" i="2" s="1"/>
  <c r="W2207" i="2"/>
  <c r="X2207" i="2" s="1"/>
  <c r="W2438" i="2"/>
  <c r="X2438" i="2" s="1"/>
  <c r="W2465" i="2"/>
  <c r="X2465" i="2" s="1"/>
  <c r="W2330" i="2"/>
  <c r="X2330" i="2" s="1"/>
  <c r="W2345" i="2"/>
  <c r="X2345" i="2" s="1"/>
  <c r="W2403" i="2"/>
  <c r="X2403" i="2" s="1"/>
  <c r="W2410" i="2"/>
  <c r="X2410" i="2" s="1"/>
  <c r="W492" i="2"/>
  <c r="X492" i="2" s="1"/>
  <c r="W103" i="2"/>
  <c r="X103" i="2" s="1"/>
  <c r="W1903" i="2"/>
  <c r="X1903" i="2" s="1"/>
  <c r="W1753" i="2"/>
  <c r="X1753" i="2" s="1"/>
  <c r="W1345" i="2"/>
  <c r="X1345" i="2" s="1"/>
  <c r="W1865" i="2"/>
  <c r="X1865" i="2" s="1"/>
  <c r="W1214" i="2"/>
  <c r="X1214" i="2" s="1"/>
  <c r="W2494" i="2"/>
  <c r="X2494" i="2" s="1"/>
  <c r="W2164" i="2"/>
  <c r="X2164" i="2" s="1"/>
  <c r="W255" i="2"/>
  <c r="X255" i="2" s="1"/>
  <c r="W1182" i="2"/>
  <c r="X1182" i="2" s="1"/>
  <c r="W1654" i="2"/>
  <c r="X1654" i="2" s="1"/>
  <c r="W1995" i="2"/>
  <c r="X1995" i="2" s="1"/>
  <c r="W2090" i="2"/>
  <c r="X2090" i="2" s="1"/>
  <c r="W215" i="2"/>
  <c r="X215" i="2" s="1"/>
  <c r="W1954" i="2"/>
  <c r="X1954" i="2" s="1"/>
  <c r="W637" i="2"/>
  <c r="X637" i="2" s="1"/>
  <c r="W1237" i="2"/>
  <c r="X1237" i="2" s="1"/>
  <c r="W2115" i="2"/>
  <c r="X2115" i="2" s="1"/>
  <c r="W2168" i="2"/>
  <c r="X2168" i="2" s="1"/>
  <c r="W771" i="2"/>
  <c r="X771" i="2" s="1"/>
  <c r="W1131" i="2"/>
  <c r="X1131" i="2" s="1"/>
  <c r="W1177" i="2"/>
  <c r="X1177" i="2" s="1"/>
  <c r="W1623" i="2"/>
  <c r="X1623" i="2" s="1"/>
  <c r="W1150" i="2"/>
  <c r="X1150" i="2" s="1"/>
  <c r="W1506" i="2"/>
  <c r="X1506" i="2" s="1"/>
  <c r="W1270" i="2"/>
  <c r="X1270" i="2" s="1"/>
  <c r="W1262" i="2"/>
  <c r="X1262" i="2" s="1"/>
  <c r="W1575" i="2"/>
  <c r="X1575" i="2" s="1"/>
  <c r="W325" i="2"/>
  <c r="X325" i="2" s="1"/>
  <c r="W1751" i="2"/>
  <c r="X1751" i="2" s="1"/>
  <c r="W2021" i="2"/>
  <c r="X2021" i="2" s="1"/>
  <c r="W872" i="2"/>
  <c r="X872" i="2" s="1"/>
  <c r="W1310" i="2"/>
  <c r="X1310" i="2" s="1"/>
  <c r="W2189" i="2"/>
  <c r="X2189" i="2" s="1"/>
  <c r="W2118" i="2"/>
  <c r="X2118" i="2" s="1"/>
  <c r="W64" i="2"/>
  <c r="X64" i="2" s="1"/>
  <c r="W1337" i="2"/>
  <c r="X1337" i="2" s="1"/>
  <c r="W1385" i="2"/>
  <c r="X1385" i="2" s="1"/>
  <c r="W65" i="2"/>
  <c r="X65" i="2" s="1"/>
  <c r="W2187" i="2"/>
  <c r="X2187" i="2" s="1"/>
  <c r="W1258" i="2"/>
  <c r="X1258" i="2" s="1"/>
  <c r="W1640" i="2"/>
  <c r="X1640" i="2" s="1"/>
  <c r="W2546" i="2"/>
  <c r="X2546" i="2" s="1"/>
  <c r="W1567" i="2"/>
  <c r="X1567" i="2" s="1"/>
  <c r="W1619" i="2"/>
  <c r="X1619" i="2" s="1"/>
  <c r="W1646" i="2"/>
  <c r="X1646" i="2" s="1"/>
  <c r="W2093" i="2"/>
  <c r="X2093" i="2" s="1"/>
  <c r="W567" i="2"/>
  <c r="X567" i="2" s="1"/>
  <c r="W1817" i="2"/>
  <c r="X1817" i="2" s="1"/>
  <c r="W883" i="2"/>
  <c r="X883" i="2" s="1"/>
  <c r="W2086" i="2"/>
  <c r="X2086" i="2" s="1"/>
  <c r="W580" i="2"/>
  <c r="X580" i="2" s="1"/>
  <c r="W561" i="2"/>
  <c r="X561" i="2" s="1"/>
  <c r="W1811" i="2"/>
  <c r="X1811" i="2" s="1"/>
  <c r="W1236" i="2"/>
  <c r="X1236" i="2" s="1"/>
  <c r="W1937" i="2"/>
  <c r="X1937" i="2" s="1"/>
  <c r="W1445" i="2"/>
  <c r="X1445" i="2" s="1"/>
  <c r="W1583" i="2"/>
  <c r="X1583" i="2" s="1"/>
  <c r="W2232" i="2"/>
  <c r="X2232" i="2" s="1"/>
  <c r="W101" i="2"/>
  <c r="X101" i="2" s="1"/>
  <c r="W1343" i="2"/>
  <c r="X1343" i="2" s="1"/>
  <c r="W1545" i="2"/>
  <c r="X1545" i="2" s="1"/>
  <c r="W1414" i="2"/>
  <c r="X1414" i="2" s="1"/>
  <c r="W1861" i="2"/>
  <c r="X1861" i="2" s="1"/>
  <c r="W858" i="2"/>
  <c r="X858" i="2" s="1"/>
  <c r="W1532" i="2"/>
  <c r="X1532" i="2" s="1"/>
  <c r="W1581" i="2"/>
  <c r="X1581" i="2" s="1"/>
  <c r="W874" i="2"/>
  <c r="X874" i="2" s="1"/>
  <c r="W1712" i="2"/>
  <c r="X1712" i="2" s="1"/>
  <c r="W1886" i="2"/>
  <c r="X1886" i="2" s="1"/>
  <c r="W1417" i="2"/>
  <c r="X1417" i="2" s="1"/>
  <c r="W1403" i="2"/>
  <c r="X1403" i="2" s="1"/>
  <c r="W867" i="2"/>
  <c r="X867" i="2" s="1"/>
  <c r="W1330" i="2"/>
  <c r="X1330" i="2" s="1"/>
  <c r="W1759" i="2"/>
  <c r="X1759" i="2" s="1"/>
  <c r="W206" i="2"/>
  <c r="X206" i="2" s="1"/>
  <c r="W1756" i="2"/>
  <c r="X1756" i="2" s="1"/>
  <c r="W2194" i="2"/>
  <c r="X2194" i="2" s="1"/>
  <c r="W1957" i="2"/>
  <c r="X1957" i="2" s="1"/>
  <c r="W1274" i="2"/>
  <c r="X1274" i="2" s="1"/>
  <c r="W1561" i="2"/>
  <c r="X1561" i="2" s="1"/>
  <c r="W1929" i="2"/>
  <c r="X1929" i="2" s="1"/>
  <c r="W792" i="2"/>
  <c r="X792" i="2" s="1"/>
  <c r="W908" i="2"/>
  <c r="X908" i="2" s="1"/>
  <c r="W371" i="2"/>
  <c r="X371" i="2" s="1"/>
  <c r="W794" i="2"/>
  <c r="X794" i="2" s="1"/>
  <c r="W2521" i="2"/>
  <c r="X2521" i="2" s="1"/>
  <c r="W1650" i="2"/>
  <c r="X1650" i="2" s="1"/>
  <c r="W1606" i="2"/>
  <c r="X1606" i="2" s="1"/>
  <c r="W1441" i="2"/>
  <c r="X1441" i="2" s="1"/>
  <c r="W2088" i="2"/>
  <c r="X2088" i="2" s="1"/>
  <c r="W1990" i="2"/>
  <c r="X1990" i="2" s="1"/>
  <c r="W981" i="2"/>
  <c r="X981" i="2" s="1"/>
  <c r="W1267" i="2"/>
  <c r="X1267" i="2" s="1"/>
  <c r="W1815" i="2"/>
  <c r="X1815" i="2" s="1"/>
  <c r="W1272" i="2"/>
  <c r="X1272" i="2" s="1"/>
  <c r="W104" i="2"/>
  <c r="X104" i="2" s="1"/>
  <c r="W897" i="2"/>
  <c r="X897" i="2" s="1"/>
  <c r="W224" i="2"/>
  <c r="X224" i="2" s="1"/>
  <c r="W2225" i="2"/>
  <c r="X2225" i="2" s="1"/>
  <c r="W2029" i="2"/>
  <c r="X2029" i="2" s="1"/>
  <c r="W1891" i="2"/>
  <c r="X1891" i="2" s="1"/>
  <c r="W45" i="2"/>
  <c r="X45" i="2" s="1"/>
  <c r="W997" i="2"/>
  <c r="X997" i="2" s="1"/>
  <c r="W2030" i="2"/>
  <c r="X2030" i="2" s="1"/>
  <c r="W1338" i="2"/>
  <c r="X1338" i="2" s="1"/>
  <c r="W102" i="2"/>
  <c r="X102" i="2" s="1"/>
  <c r="W1465" i="2"/>
  <c r="X1465" i="2" s="1"/>
  <c r="W1969" i="2"/>
  <c r="X1969" i="2" s="1"/>
  <c r="W2096" i="2"/>
  <c r="X2096" i="2" s="1"/>
  <c r="W1930" i="2"/>
  <c r="X1930" i="2" s="1"/>
  <c r="W1896" i="2"/>
  <c r="X1896" i="2" s="1"/>
  <c r="W920" i="2"/>
  <c r="X920" i="2" s="1"/>
  <c r="W1399" i="2"/>
  <c r="X1399" i="2" s="1"/>
  <c r="W1818" i="2"/>
  <c r="X1818" i="2" s="1"/>
  <c r="W1198" i="2"/>
  <c r="X1198" i="2" s="1"/>
  <c r="W1030" i="2"/>
  <c r="X1030" i="2" s="1"/>
  <c r="W1048" i="2"/>
  <c r="X1048" i="2" s="1"/>
  <c r="W1097" i="2"/>
  <c r="X1097" i="2" s="1"/>
  <c r="W1079" i="2"/>
  <c r="X1079" i="2" s="1"/>
  <c r="W2422" i="2"/>
  <c r="X2422" i="2" s="1"/>
  <c r="W2359" i="2"/>
  <c r="X2359" i="2" s="1"/>
  <c r="W2371" i="2"/>
  <c r="X2371" i="2" s="1"/>
  <c r="W2458" i="2"/>
  <c r="X2458" i="2" s="1"/>
  <c r="W2347" i="2"/>
  <c r="X2347" i="2" s="1"/>
  <c r="W499" i="2"/>
  <c r="X499" i="2" s="1"/>
  <c r="W491" i="2"/>
  <c r="X491" i="2" s="1"/>
  <c r="W483" i="2"/>
  <c r="X483" i="2" s="1"/>
  <c r="W510" i="2"/>
  <c r="X510" i="2" s="1"/>
  <c r="W526" i="2"/>
  <c r="X526" i="2" s="1"/>
  <c r="W518" i="2"/>
  <c r="X518" i="2" s="1"/>
  <c r="W553" i="2"/>
  <c r="X553" i="2" s="1"/>
  <c r="W566" i="2"/>
  <c r="X566" i="2" s="1"/>
  <c r="W579" i="2"/>
  <c r="X579" i="2" s="1"/>
  <c r="W188" i="2"/>
  <c r="X188" i="2" s="1"/>
  <c r="W180" i="2"/>
  <c r="X180" i="2" s="1"/>
  <c r="W196" i="2"/>
  <c r="X196" i="2" s="1"/>
  <c r="W248" i="2"/>
  <c r="X248" i="2" s="1"/>
  <c r="W231" i="2"/>
  <c r="X231" i="2" s="1"/>
  <c r="W588" i="2"/>
  <c r="X588" i="2" s="1"/>
  <c r="W600" i="2"/>
  <c r="X600" i="2" s="1"/>
  <c r="W537" i="2"/>
  <c r="X537" i="2" s="1"/>
  <c r="W802" i="2"/>
  <c r="X802" i="2" s="1"/>
  <c r="W774" i="2"/>
  <c r="X774" i="2" s="1"/>
  <c r="W828" i="2"/>
  <c r="X828" i="2" s="1"/>
  <c r="W1541" i="2"/>
  <c r="X1541" i="2" s="1"/>
  <c r="W1005" i="2"/>
  <c r="X1005" i="2" s="1"/>
  <c r="W1477" i="2"/>
  <c r="X1477" i="2" s="1"/>
  <c r="W2181" i="2"/>
  <c r="X2181" i="2" s="1"/>
  <c r="W1860" i="2"/>
  <c r="X1860" i="2" s="1"/>
  <c r="W1802" i="2"/>
  <c r="X1802" i="2" s="1"/>
  <c r="W1804" i="2"/>
  <c r="X1804" i="2" s="1"/>
  <c r="W1944" i="2"/>
  <c r="X1944" i="2" s="1"/>
  <c r="W1907" i="2"/>
  <c r="X1907" i="2" s="1"/>
  <c r="W2195" i="2"/>
  <c r="X2195" i="2" s="1"/>
  <c r="W1306" i="2"/>
  <c r="X1306" i="2" s="1"/>
  <c r="W1353" i="2"/>
  <c r="X1353" i="2" s="1"/>
  <c r="W1454" i="2"/>
  <c r="X1454" i="2" s="1"/>
  <c r="W1962" i="2"/>
  <c r="X1962" i="2" s="1"/>
  <c r="W2040" i="2"/>
  <c r="X2040" i="2" s="1"/>
  <c r="W1965" i="2"/>
  <c r="X1965" i="2" s="1"/>
  <c r="W203" i="2"/>
  <c r="X203" i="2" s="1"/>
  <c r="W2073" i="2"/>
  <c r="X2073" i="2" s="1"/>
  <c r="W985" i="2"/>
  <c r="X985" i="2" s="1"/>
  <c r="W1755" i="2"/>
  <c r="X1755" i="2" s="1"/>
  <c r="W1508" i="2"/>
  <c r="X1508" i="2" s="1"/>
  <c r="W2542" i="2"/>
  <c r="X2542" i="2" s="1"/>
  <c r="W783" i="2"/>
  <c r="X783" i="2" s="1"/>
  <c r="W855" i="2"/>
  <c r="X855" i="2" s="1"/>
  <c r="W2084" i="2"/>
  <c r="X2084" i="2" s="1"/>
  <c r="W1848" i="2"/>
  <c r="X1848" i="2" s="1"/>
  <c r="W1245" i="2"/>
  <c r="X1245" i="2" s="1"/>
  <c r="W1994" i="2"/>
  <c r="X1994" i="2" s="1"/>
  <c r="W1315" i="2"/>
  <c r="X1315" i="2" s="1"/>
  <c r="W150" i="2"/>
  <c r="X150" i="2" s="1"/>
  <c r="W1628" i="2"/>
  <c r="X1628" i="2" s="1"/>
  <c r="W798" i="2"/>
  <c r="X798" i="2" s="1"/>
  <c r="W941" i="2"/>
  <c r="X941" i="2" s="1"/>
  <c r="W158" i="2"/>
  <c r="X158" i="2" s="1"/>
  <c r="W1906" i="2"/>
  <c r="X1906" i="2" s="1"/>
  <c r="W1763" i="2"/>
  <c r="X1763" i="2" s="1"/>
  <c r="W848" i="2"/>
  <c r="X848" i="2" s="1"/>
  <c r="W891" i="2"/>
  <c r="X891" i="2" s="1"/>
  <c r="W1970" i="2"/>
  <c r="X1970" i="2" s="1"/>
  <c r="W170" i="2"/>
  <c r="X170" i="2" s="1"/>
  <c r="W2061" i="2"/>
  <c r="X2061" i="2" s="1"/>
  <c r="W1003" i="2"/>
  <c r="X1003" i="2" s="1"/>
  <c r="W2538" i="2"/>
  <c r="X2538" i="2" s="1"/>
  <c r="W1845" i="2"/>
  <c r="X1845" i="2" s="1"/>
  <c r="W1866" i="2"/>
  <c r="X1866" i="2" s="1"/>
  <c r="W2530" i="2"/>
  <c r="X2530" i="2" s="1"/>
  <c r="W2179" i="2"/>
  <c r="X2179" i="2" s="1"/>
  <c r="W216" i="2"/>
  <c r="X216" i="2" s="1"/>
  <c r="W1563" i="2"/>
  <c r="X1563" i="2" s="1"/>
  <c r="W2533" i="2"/>
  <c r="X2533" i="2" s="1"/>
  <c r="W987" i="2"/>
  <c r="X987" i="2" s="1"/>
  <c r="W1332" i="2"/>
  <c r="X1332" i="2" s="1"/>
  <c r="W73" i="2"/>
  <c r="X73" i="2" s="1"/>
  <c r="W1868" i="2"/>
  <c r="X1868" i="2" s="1"/>
  <c r="W955" i="2"/>
  <c r="X955" i="2" s="1"/>
  <c r="W1484" i="2"/>
  <c r="X1484" i="2" s="1"/>
  <c r="W18" i="2"/>
  <c r="X18" i="2" s="1"/>
  <c r="W2064" i="2"/>
  <c r="X2064" i="2" s="1"/>
  <c r="W1326" i="2"/>
  <c r="X1326" i="2" s="1"/>
  <c r="W878" i="2"/>
  <c r="X878" i="2" s="1"/>
  <c r="W844" i="2"/>
  <c r="X844" i="2" s="1"/>
  <c r="W1949" i="2"/>
  <c r="X1949" i="2" s="1"/>
  <c r="W118" i="2"/>
  <c r="X118" i="2" s="1"/>
  <c r="W85" i="2"/>
  <c r="X85" i="2" s="1"/>
  <c r="W39" i="2"/>
  <c r="X39" i="2" s="1"/>
  <c r="W205" i="2"/>
  <c r="X205" i="2" s="1"/>
  <c r="W1648" i="2"/>
  <c r="X1648" i="2" s="1"/>
  <c r="W962" i="2"/>
  <c r="X962" i="2" s="1"/>
  <c r="W892" i="2"/>
  <c r="X892" i="2" s="1"/>
  <c r="W827" i="2"/>
  <c r="X827" i="2" s="1"/>
  <c r="W790" i="2"/>
  <c r="X790" i="2" s="1"/>
  <c r="W1931" i="2"/>
  <c r="X1931" i="2" s="1"/>
  <c r="W2002" i="2"/>
  <c r="X2002" i="2" s="1"/>
  <c r="W2020" i="2"/>
  <c r="X2020" i="2" s="1"/>
  <c r="W856" i="2"/>
  <c r="X856" i="2" s="1"/>
  <c r="W1253" i="2"/>
  <c r="X1253" i="2" s="1"/>
  <c r="W70" i="2"/>
  <c r="X70" i="2" s="1"/>
  <c r="W19" i="2"/>
  <c r="X19" i="2" s="1"/>
  <c r="W2068" i="2"/>
  <c r="X2068" i="2" s="1"/>
  <c r="W966" i="2"/>
  <c r="X966" i="2" s="1"/>
  <c r="W1922" i="2"/>
  <c r="X1922" i="2" s="1"/>
  <c r="W2526" i="2"/>
  <c r="X2526" i="2" s="1"/>
  <c r="W21" i="2"/>
  <c r="X21" i="2" s="1"/>
  <c r="W2512" i="2"/>
  <c r="X2512" i="2" s="1"/>
  <c r="W6" i="2"/>
  <c r="X6" i="2" s="1"/>
  <c r="W2080" i="2"/>
  <c r="X2080" i="2" s="1"/>
  <c r="W1462" i="2"/>
  <c r="X1462" i="2" s="1"/>
  <c r="W1902" i="2"/>
  <c r="X1902" i="2" s="1"/>
  <c r="W1904" i="2"/>
  <c r="X1904" i="2" s="1"/>
  <c r="W1905" i="2"/>
  <c r="X1905" i="2" s="1"/>
  <c r="W1950" i="2"/>
  <c r="X1950" i="2" s="1"/>
  <c r="W1481" i="2"/>
  <c r="X1481" i="2" s="1"/>
  <c r="W895" i="2"/>
  <c r="X895" i="2" s="1"/>
  <c r="W269" i="2"/>
  <c r="X269" i="2" s="1"/>
  <c r="W1159" i="2"/>
  <c r="X1159" i="2" s="1"/>
  <c r="W1014" i="2"/>
  <c r="X1014" i="2" s="1"/>
  <c r="W1172" i="2"/>
  <c r="X1172" i="2" s="1"/>
  <c r="W1202" i="2"/>
  <c r="X1202" i="2" s="1"/>
  <c r="W1974" i="2"/>
  <c r="X1974" i="2" s="1"/>
  <c r="W1125" i="2"/>
  <c r="X1125" i="2" s="1"/>
  <c r="W1019" i="2"/>
  <c r="X1019" i="2" s="1"/>
  <c r="W1112" i="2"/>
  <c r="X1112" i="2" s="1"/>
  <c r="W1052" i="2"/>
  <c r="X1052" i="2" s="1"/>
  <c r="W1064" i="2"/>
  <c r="X1064" i="2" s="1"/>
  <c r="W2210" i="2"/>
  <c r="X2210" i="2" s="1"/>
  <c r="W2440" i="2"/>
  <c r="X2440" i="2" s="1"/>
  <c r="W2468" i="2"/>
  <c r="X2468" i="2" s="1"/>
  <c r="W2333" i="2"/>
  <c r="X2333" i="2" s="1"/>
  <c r="W2437" i="2"/>
  <c r="X2437" i="2" s="1"/>
  <c r="W2406" i="2"/>
  <c r="X2406" i="2" s="1"/>
  <c r="W2382" i="2"/>
  <c r="X2382" i="2" s="1"/>
  <c r="W2356" i="2"/>
  <c r="X2356" i="2" s="1"/>
  <c r="W535" i="2"/>
  <c r="X535" i="2" s="1"/>
  <c r="W241" i="2"/>
  <c r="X241" i="2" s="1"/>
  <c r="W545" i="2"/>
  <c r="X545" i="2" s="1"/>
  <c r="W1243" i="2"/>
  <c r="X1243" i="2" s="1"/>
  <c r="W2501" i="2"/>
  <c r="X2501" i="2" s="1"/>
  <c r="W1844" i="2"/>
  <c r="X1844" i="2" s="1"/>
  <c r="W1361" i="2"/>
  <c r="X1361" i="2" s="1"/>
  <c r="W258" i="2"/>
  <c r="X258" i="2" s="1"/>
  <c r="W1250" i="2"/>
  <c r="X1250" i="2" s="1"/>
  <c r="W1181" i="2"/>
  <c r="X1181" i="2" s="1"/>
  <c r="W1325" i="2"/>
  <c r="X1325" i="2" s="1"/>
  <c r="W1149" i="2"/>
  <c r="X1149" i="2" s="1"/>
  <c r="W904" i="2"/>
  <c r="X904" i="2" s="1"/>
  <c r="W30" i="2"/>
  <c r="X30" i="2" s="1"/>
  <c r="W810" i="2"/>
  <c r="X810" i="2" s="1"/>
  <c r="W2145" i="2"/>
  <c r="X2145" i="2" s="1"/>
  <c r="W111" i="2"/>
  <c r="X111" i="2" s="1"/>
  <c r="W951" i="2"/>
  <c r="X951" i="2" s="1"/>
  <c r="W1259" i="2"/>
  <c r="X1259" i="2" s="1"/>
  <c r="W976" i="2"/>
  <c r="X976" i="2" s="1"/>
  <c r="W1610" i="2"/>
  <c r="X1610" i="2" s="1"/>
  <c r="W2078" i="2"/>
  <c r="X2078" i="2" s="1"/>
  <c r="W1691" i="2"/>
  <c r="X1691" i="2" s="1"/>
  <c r="W2151" i="2"/>
  <c r="X2151" i="2" s="1"/>
  <c r="W1278" i="2"/>
  <c r="X1278" i="2" s="1"/>
  <c r="W96" i="2"/>
  <c r="X96" i="2" s="1"/>
  <c r="W1683" i="2"/>
  <c r="X1683" i="2" s="1"/>
  <c r="W1208" i="2"/>
  <c r="X1208" i="2" s="1"/>
  <c r="W209" i="2"/>
  <c r="X209" i="2" s="1"/>
  <c r="W1322" i="2"/>
  <c r="X1322" i="2" s="1"/>
  <c r="W99" i="2"/>
  <c r="X99" i="2" s="1"/>
  <c r="W2028" i="2"/>
  <c r="X2028" i="2" s="1"/>
  <c r="W1945" i="2"/>
  <c r="X1945" i="2" s="1"/>
  <c r="W2184" i="2"/>
  <c r="X2184" i="2" s="1"/>
  <c r="W2513" i="2"/>
  <c r="X2513" i="2" s="1"/>
  <c r="W41" i="2"/>
  <c r="X41" i="2" s="1"/>
  <c r="W1805" i="2"/>
  <c r="X1805" i="2" s="1"/>
  <c r="W1674" i="2"/>
  <c r="X1674" i="2" s="1"/>
  <c r="W1711" i="2"/>
  <c r="X1711" i="2" s="1"/>
  <c r="W657" i="2"/>
  <c r="X657" i="2" s="1"/>
  <c r="W949" i="2"/>
  <c r="X949" i="2" s="1"/>
  <c r="W168" i="2"/>
  <c r="X168" i="2" s="1"/>
  <c r="W1446" i="2"/>
  <c r="X1446" i="2" s="1"/>
  <c r="W1251" i="2"/>
  <c r="X1251" i="2" s="1"/>
  <c r="W1307" i="2"/>
  <c r="X1307" i="2" s="1"/>
  <c r="W1629" i="2"/>
  <c r="X1629" i="2" s="1"/>
  <c r="W1597" i="2"/>
  <c r="X1597" i="2" s="1"/>
  <c r="W1524" i="2"/>
  <c r="X1524" i="2" s="1"/>
  <c r="W766" i="2"/>
  <c r="X766" i="2" s="1"/>
  <c r="W2071" i="2"/>
  <c r="X2071" i="2" s="1"/>
  <c r="W214" i="2"/>
  <c r="X214" i="2" s="1"/>
  <c r="W37" i="2"/>
  <c r="X37" i="2" s="1"/>
  <c r="W2077" i="2"/>
  <c r="X2077" i="2" s="1"/>
  <c r="W1252" i="2"/>
  <c r="X1252" i="2" s="1"/>
  <c r="W1761" i="2"/>
  <c r="X1761" i="2" s="1"/>
  <c r="W1420" i="2"/>
  <c r="X1420" i="2" s="1"/>
  <c r="W1682" i="2"/>
  <c r="X1682" i="2" s="1"/>
  <c r="W2011" i="2"/>
  <c r="X2011" i="2" s="1"/>
  <c r="W1794" i="2"/>
  <c r="X1794" i="2" s="1"/>
  <c r="W78" i="2"/>
  <c r="X78" i="2" s="1"/>
  <c r="W1784" i="2"/>
  <c r="X1784" i="2" s="1"/>
  <c r="W1235" i="2"/>
  <c r="X1235" i="2" s="1"/>
  <c r="W2038" i="2"/>
  <c r="X2038" i="2" s="1"/>
  <c r="W2015" i="2"/>
  <c r="X2015" i="2" s="1"/>
  <c r="W811" i="2"/>
  <c r="X811" i="2" s="1"/>
  <c r="W109" i="2"/>
  <c r="X109" i="2" s="1"/>
  <c r="W1617" i="2"/>
  <c r="X1617" i="2" s="1"/>
  <c r="W2545" i="2"/>
  <c r="X2545" i="2" s="1"/>
  <c r="W2229" i="2"/>
  <c r="X2229" i="2" s="1"/>
  <c r="W142" i="2"/>
  <c r="X142" i="2" s="1"/>
  <c r="W1686" i="2"/>
  <c r="X1686" i="2" s="1"/>
  <c r="W1777" i="2"/>
  <c r="X1777" i="2" s="1"/>
  <c r="W1882" i="2"/>
  <c r="X1882" i="2" s="1"/>
  <c r="W162" i="2"/>
  <c r="X162" i="2" s="1"/>
  <c r="W143" i="2"/>
  <c r="X143" i="2" s="1"/>
  <c r="W213" i="2"/>
  <c r="X213" i="2" s="1"/>
  <c r="W1263" i="2"/>
  <c r="X1263" i="2" s="1"/>
  <c r="W2023" i="2"/>
  <c r="X2023" i="2" s="1"/>
  <c r="W2018" i="2"/>
  <c r="X2018" i="2" s="1"/>
  <c r="W1912" i="2"/>
  <c r="X1912" i="2" s="1"/>
  <c r="W1526" i="2"/>
  <c r="X1526" i="2" s="1"/>
  <c r="W1552" i="2"/>
  <c r="X1552" i="2" s="1"/>
  <c r="W61" i="2"/>
  <c r="X61" i="2" s="1"/>
  <c r="W1292" i="2"/>
  <c r="X1292" i="2" s="1"/>
  <c r="W1627" i="2"/>
  <c r="X1627" i="2" s="1"/>
  <c r="W222" i="2"/>
  <c r="X222" i="2" s="1"/>
  <c r="W1469" i="2"/>
  <c r="X1469" i="2" s="1"/>
  <c r="W1735" i="2"/>
  <c r="X1735" i="2" s="1"/>
  <c r="W2060" i="2"/>
  <c r="X2060" i="2" s="1"/>
  <c r="W1215" i="2"/>
  <c r="X1215" i="2" s="1"/>
  <c r="W1135" i="2"/>
  <c r="X1135" i="2" s="1"/>
  <c r="W1549" i="2"/>
  <c r="X1549" i="2" s="1"/>
  <c r="W1476" i="2"/>
  <c r="X1476" i="2" s="1"/>
  <c r="W2113" i="2"/>
  <c r="X2113" i="2" s="1"/>
  <c r="W1928" i="2"/>
  <c r="X1928" i="2" s="1"/>
  <c r="W2089" i="2"/>
  <c r="X2089" i="2" s="1"/>
  <c r="W1966" i="2"/>
  <c r="X1966" i="2" s="1"/>
  <c r="W614" i="2"/>
  <c r="X614" i="2" s="1"/>
  <c r="W1781" i="2"/>
  <c r="X1781" i="2" s="1"/>
  <c r="W964" i="2"/>
  <c r="X964" i="2" s="1"/>
  <c r="W1975" i="2"/>
  <c r="X1975" i="2" s="1"/>
  <c r="W1196" i="2"/>
  <c r="X1196" i="2" s="1"/>
  <c r="W1122" i="2"/>
  <c r="X1122" i="2" s="1"/>
  <c r="W634" i="2"/>
  <c r="X634" i="2" s="1"/>
  <c r="W832" i="2"/>
  <c r="X832" i="2" s="1"/>
  <c r="W1043" i="2"/>
  <c r="X1043" i="2" s="1"/>
  <c r="W1050" i="2"/>
  <c r="X1050" i="2" s="1"/>
  <c r="W1063" i="2"/>
  <c r="X1063" i="2" s="1"/>
  <c r="W1072" i="2"/>
  <c r="X1072" i="2" s="1"/>
  <c r="W1099" i="2"/>
  <c r="X1099" i="2" s="1"/>
  <c r="W137" i="2"/>
  <c r="X137" i="2" s="1"/>
  <c r="W127" i="2"/>
  <c r="X127" i="2" s="1"/>
  <c r="W2219" i="2"/>
  <c r="X2219" i="2" s="1"/>
  <c r="W2424" i="2"/>
  <c r="X2424" i="2" s="1"/>
  <c r="W2360" i="2"/>
  <c r="X2360" i="2" s="1"/>
  <c r="W2372" i="2"/>
  <c r="X2372" i="2" s="1"/>
  <c r="W2459" i="2"/>
  <c r="X2459" i="2" s="1"/>
  <c r="W498" i="2"/>
  <c r="X498" i="2" s="1"/>
  <c r="W490" i="2"/>
  <c r="X490" i="2" s="1"/>
  <c r="W509" i="2"/>
  <c r="X509" i="2" s="1"/>
  <c r="W528" i="2"/>
  <c r="X528" i="2" s="1"/>
  <c r="W560" i="2"/>
  <c r="X560" i="2" s="1"/>
  <c r="W552" i="2"/>
  <c r="X552" i="2" s="1"/>
  <c r="W565" i="2"/>
  <c r="X565" i="2" s="1"/>
  <c r="W576" i="2"/>
  <c r="X576" i="2" s="1"/>
  <c r="W189" i="2"/>
  <c r="X189" i="2" s="1"/>
  <c r="W181" i="2"/>
  <c r="X181" i="2" s="1"/>
  <c r="W194" i="2"/>
  <c r="X194" i="2" s="1"/>
  <c r="W239" i="2"/>
  <c r="X239" i="2" s="1"/>
  <c r="W587" i="2"/>
  <c r="X587" i="2" s="1"/>
  <c r="W599" i="2"/>
  <c r="X599" i="2" s="1"/>
  <c r="W544" i="2"/>
  <c r="X544" i="2" s="1"/>
  <c r="W536" i="2"/>
  <c r="X536" i="2" s="1"/>
  <c r="W641" i="2"/>
  <c r="X641" i="2" s="1"/>
  <c r="W913" i="2"/>
  <c r="X913" i="2" s="1"/>
  <c r="W24" i="2"/>
  <c r="X24" i="2" s="1"/>
  <c r="W2491" i="2"/>
  <c r="X2491" i="2" s="1"/>
  <c r="W2144" i="2"/>
  <c r="X2144" i="2" s="1"/>
  <c r="W907" i="2"/>
  <c r="X907" i="2" s="1"/>
  <c r="W2508" i="2"/>
  <c r="X2508" i="2" s="1"/>
  <c r="W1780" i="2"/>
  <c r="X1780" i="2" s="1"/>
  <c r="W2550" i="2"/>
  <c r="X2550" i="2" s="1"/>
  <c r="W1187" i="2"/>
  <c r="X1187" i="2" s="1"/>
  <c r="W93" i="2"/>
  <c r="X93" i="2" s="1"/>
  <c r="W1300" i="2"/>
  <c r="X1300" i="2" s="1"/>
  <c r="W2523" i="2"/>
  <c r="X2523" i="2" s="1"/>
  <c r="W662" i="2"/>
  <c r="X662" i="2" s="1"/>
  <c r="W822" i="2"/>
  <c r="X822" i="2" s="1"/>
  <c r="W461" i="2"/>
  <c r="X461" i="2" s="1"/>
  <c r="W2051" i="2"/>
  <c r="X2051" i="2" s="1"/>
  <c r="W1428" i="2"/>
  <c r="X1428" i="2" s="1"/>
  <c r="W1706" i="2"/>
  <c r="X1706" i="2" s="1"/>
  <c r="W2544" i="2"/>
  <c r="X2544" i="2" s="1"/>
  <c r="W947" i="2"/>
  <c r="X947" i="2" s="1"/>
  <c r="W1808" i="2"/>
  <c r="X1808" i="2" s="1"/>
  <c r="W836" i="2"/>
  <c r="X836" i="2" s="1"/>
  <c r="W1442" i="2"/>
  <c r="X1442" i="2" s="1"/>
  <c r="W999" i="2"/>
  <c r="X999" i="2" s="1"/>
  <c r="W959" i="2"/>
  <c r="X959" i="2" s="1"/>
  <c r="W2003" i="2"/>
  <c r="X2003" i="2" s="1"/>
  <c r="W1284" i="2"/>
  <c r="X1284" i="2" s="1"/>
  <c r="W1700" i="2"/>
  <c r="X1700" i="2" s="1"/>
  <c r="W1439" i="2"/>
  <c r="X1439" i="2" s="1"/>
  <c r="W1596" i="2"/>
  <c r="X1596" i="2" s="1"/>
  <c r="W305" i="2"/>
  <c r="X305" i="2" s="1"/>
  <c r="W1503" i="2"/>
  <c r="X1503" i="2" s="1"/>
  <c r="W1495" i="2"/>
  <c r="X1495" i="2" s="1"/>
  <c r="W2518" i="2"/>
  <c r="X2518" i="2" s="1"/>
  <c r="W266" i="2"/>
  <c r="X266" i="2" s="1"/>
  <c r="W1395" i="2"/>
  <c r="X1395" i="2" s="1"/>
  <c r="W120" i="2"/>
  <c r="X120" i="2" s="1"/>
  <c r="W2122" i="2"/>
  <c r="X2122" i="2" s="1"/>
  <c r="W167" i="2"/>
  <c r="X167" i="2" s="1"/>
  <c r="W83" i="2"/>
  <c r="X83" i="2" s="1"/>
  <c r="W144" i="2"/>
  <c r="X144" i="2" s="1"/>
  <c r="W2022" i="2"/>
  <c r="X2022" i="2" s="1"/>
  <c r="W1894" i="2"/>
  <c r="X1894" i="2" s="1"/>
  <c r="W1490" i="2"/>
  <c r="X1490" i="2" s="1"/>
  <c r="W968" i="2"/>
  <c r="X968" i="2" s="1"/>
  <c r="W1851" i="2"/>
  <c r="X1851" i="2" s="1"/>
  <c r="W1876" i="2"/>
  <c r="X1876" i="2" s="1"/>
  <c r="W1842" i="2"/>
  <c r="X1842" i="2" s="1"/>
  <c r="W1392" i="2"/>
  <c r="X1392" i="2" s="1"/>
  <c r="W4" i="2"/>
  <c r="X4" i="2" s="1"/>
  <c r="W1772" i="2"/>
  <c r="X1772" i="2" s="1"/>
  <c r="W2148" i="2"/>
  <c r="X2148" i="2" s="1"/>
  <c r="W1004" i="2"/>
  <c r="X1004" i="2" s="1"/>
  <c r="W902" i="2"/>
  <c r="X902" i="2" s="1"/>
  <c r="W1313" i="2"/>
  <c r="X1313" i="2" s="1"/>
  <c r="W1607" i="2"/>
  <c r="X1607" i="2" s="1"/>
  <c r="W2117" i="2"/>
  <c r="X2117" i="2" s="1"/>
  <c r="W1483" i="2"/>
  <c r="X1483" i="2" s="1"/>
  <c r="W760" i="2"/>
  <c r="X760" i="2" s="1"/>
  <c r="W819" i="2"/>
  <c r="X819" i="2" s="1"/>
  <c r="W1883" i="2"/>
  <c r="X1883" i="2" s="1"/>
  <c r="W2177" i="2"/>
  <c r="X2177" i="2" s="1"/>
  <c r="W2227" i="2"/>
  <c r="X2227" i="2" s="1"/>
  <c r="W818" i="2"/>
  <c r="X818" i="2" s="1"/>
  <c r="W160" i="2"/>
  <c r="X160" i="2" s="1"/>
  <c r="W1293" i="2"/>
  <c r="X1293" i="2" s="1"/>
  <c r="W1534" i="2"/>
  <c r="X1534" i="2" s="1"/>
  <c r="W841" i="2"/>
  <c r="X841" i="2" s="1"/>
  <c r="W95" i="2"/>
  <c r="X95" i="2" s="1"/>
  <c r="W663" i="2"/>
  <c r="X663" i="2" s="1"/>
  <c r="W1536" i="2"/>
  <c r="X1536" i="2" s="1"/>
  <c r="W1365" i="2"/>
  <c r="X1365" i="2" s="1"/>
  <c r="W25" i="2"/>
  <c r="X25" i="2" s="1"/>
  <c r="W1255" i="2"/>
  <c r="X1255" i="2" s="1"/>
  <c r="W48" i="2"/>
  <c r="X48" i="2" s="1"/>
  <c r="W1685" i="2"/>
  <c r="X1685" i="2" s="1"/>
  <c r="W1847" i="2"/>
  <c r="X1847" i="2" s="1"/>
  <c r="W1387" i="2"/>
  <c r="X1387" i="2" s="1"/>
  <c r="W1725" i="2"/>
  <c r="X1725" i="2" s="1"/>
  <c r="W2517" i="2"/>
  <c r="X2517" i="2" s="1"/>
  <c r="W1910" i="2"/>
  <c r="X1910" i="2" s="1"/>
  <c r="W1838" i="2"/>
  <c r="X1838" i="2" s="1"/>
  <c r="W2050" i="2"/>
  <c r="X2050" i="2" s="1"/>
  <c r="W861" i="2"/>
  <c r="X861" i="2" s="1"/>
  <c r="W942" i="2"/>
  <c r="X942" i="2" s="1"/>
  <c r="W1527" i="2"/>
  <c r="X1527" i="2" s="1"/>
  <c r="W403" i="2"/>
  <c r="X403" i="2" s="1"/>
  <c r="W2511" i="2"/>
  <c r="X2511" i="2" s="1"/>
  <c r="W1757" i="2"/>
  <c r="X1757" i="2" s="1"/>
  <c r="W1138" i="2"/>
  <c r="X1138" i="2" s="1"/>
  <c r="W1745" i="2"/>
  <c r="X1745" i="2" s="1"/>
  <c r="W1136" i="2"/>
  <c r="X1136" i="2" s="1"/>
  <c r="W2510" i="2"/>
  <c r="X2510" i="2" s="1"/>
  <c r="W1419" i="2"/>
  <c r="X1419" i="2" s="1"/>
  <c r="W1934" i="2"/>
  <c r="X1934" i="2" s="1"/>
  <c r="W108" i="2"/>
  <c r="X108" i="2" s="1"/>
  <c r="W1257" i="2"/>
  <c r="X1257" i="2" s="1"/>
  <c r="W1450" i="2"/>
  <c r="X1450" i="2" s="1"/>
  <c r="W1813" i="2"/>
  <c r="X1813" i="2" s="1"/>
  <c r="W1015" i="2"/>
  <c r="X1015" i="2" s="1"/>
  <c r="W1174" i="2"/>
  <c r="X1174" i="2" s="1"/>
  <c r="W1124" i="2"/>
  <c r="X1124" i="2" s="1"/>
  <c r="W1016" i="2"/>
  <c r="X1016" i="2" s="1"/>
  <c r="W1028" i="2"/>
  <c r="X1028" i="2" s="1"/>
  <c r="W1060" i="2"/>
  <c r="X1060" i="2" s="1"/>
  <c r="W1089" i="2"/>
  <c r="X1089" i="2" s="1"/>
  <c r="W1087" i="2"/>
  <c r="X1087" i="2" s="1"/>
  <c r="W1083" i="2"/>
  <c r="X1083" i="2" s="1"/>
  <c r="W1092" i="2"/>
  <c r="X1092" i="2" s="1"/>
  <c r="W136" i="2"/>
  <c r="X136" i="2" s="1"/>
  <c r="W2218" i="2"/>
  <c r="X2218" i="2" s="1"/>
  <c r="W2441" i="2"/>
  <c r="X2441" i="2" s="1"/>
  <c r="W2472" i="2"/>
  <c r="X2472" i="2" s="1"/>
  <c r="W2335" i="2"/>
  <c r="X2335" i="2" s="1"/>
  <c r="W2395" i="2"/>
  <c r="X2395" i="2" s="1"/>
  <c r="W2407" i="2"/>
  <c r="X2407" i="2" s="1"/>
  <c r="W2380" i="2"/>
  <c r="X2380" i="2" s="1"/>
  <c r="W2354" i="2"/>
  <c r="X2354" i="2" s="1"/>
  <c r="W497" i="2"/>
  <c r="X497" i="2" s="1"/>
  <c r="W482" i="2"/>
  <c r="X482" i="2" s="1"/>
  <c r="W525" i="2"/>
  <c r="X525" i="2" s="1"/>
  <c r="W230" i="2"/>
  <c r="X230" i="2" s="1"/>
  <c r="W1473" i="2"/>
  <c r="X1473" i="2" s="1"/>
  <c r="W1859" i="2"/>
  <c r="X1859" i="2" s="1"/>
  <c r="W459" i="2"/>
  <c r="X459" i="2" s="1"/>
  <c r="W1775" i="2"/>
  <c r="X1775" i="2" s="1"/>
  <c r="W1938" i="2"/>
  <c r="X1938" i="2" s="1"/>
  <c r="W259" i="2"/>
  <c r="X259" i="2" s="1"/>
  <c r="W47" i="2"/>
  <c r="X47" i="2" s="1"/>
  <c r="W1504" i="2"/>
  <c r="X1504" i="2" s="1"/>
  <c r="W1176" i="2"/>
  <c r="X1176" i="2" s="1"/>
  <c r="W1305" i="2"/>
  <c r="X1305" i="2" s="1"/>
  <c r="W914" i="2"/>
  <c r="X914" i="2" s="1"/>
  <c r="W2498" i="2"/>
  <c r="X2498" i="2" s="1"/>
  <c r="W1447" i="2"/>
  <c r="X1447" i="2" s="1"/>
  <c r="W1895" i="2"/>
  <c r="X1895" i="2" s="1"/>
  <c r="W1416" i="2"/>
  <c r="X1416" i="2" s="1"/>
  <c r="W81" i="2"/>
  <c r="X81" i="2" s="1"/>
  <c r="W998" i="2"/>
  <c r="X998" i="2" s="1"/>
  <c r="W884" i="2"/>
  <c r="X884" i="2" s="1"/>
  <c r="W1920" i="2"/>
  <c r="X1920" i="2" s="1"/>
  <c r="W880" i="2"/>
  <c r="X880" i="2" s="1"/>
  <c r="W2070" i="2"/>
  <c r="X2070" i="2" s="1"/>
  <c r="W2169" i="2"/>
  <c r="X2169" i="2" s="1"/>
  <c r="W17" i="2"/>
  <c r="X17" i="2" s="1"/>
  <c r="W1964" i="2"/>
  <c r="X1964" i="2" s="1"/>
  <c r="W1478" i="2"/>
  <c r="X1478" i="2" s="1"/>
  <c r="W1001" i="2"/>
  <c r="X1001" i="2" s="1"/>
  <c r="W992" i="2"/>
  <c r="X992" i="2" s="1"/>
  <c r="W2082" i="2"/>
  <c r="X2082" i="2" s="1"/>
  <c r="W2493" i="2"/>
  <c r="X2493" i="2" s="1"/>
  <c r="W2233" i="2"/>
  <c r="X2233" i="2" s="1"/>
  <c r="W2198" i="2"/>
  <c r="X2198" i="2" s="1"/>
  <c r="W1409" i="2"/>
  <c r="X1409" i="2" s="1"/>
  <c r="W1819" i="2"/>
  <c r="X1819" i="2" s="1"/>
  <c r="W2527" i="2"/>
  <c r="X2527" i="2" s="1"/>
  <c r="W1571" i="2"/>
  <c r="X1571" i="2" s="1"/>
  <c r="W984" i="2"/>
  <c r="X984" i="2" s="1"/>
  <c r="W1354" i="2"/>
  <c r="X1354" i="2" s="1"/>
  <c r="W2007" i="2"/>
  <c r="X2007" i="2" s="1"/>
  <c r="W893" i="2"/>
  <c r="X893" i="2" s="1"/>
  <c r="W1537" i="2"/>
  <c r="X1537" i="2" s="1"/>
  <c r="W1249" i="2"/>
  <c r="X1249" i="2" s="1"/>
  <c r="W1814" i="2"/>
  <c r="X1814" i="2" s="1"/>
  <c r="W1486" i="2"/>
  <c r="X1486" i="2" s="1"/>
  <c r="W879" i="2"/>
  <c r="X879" i="2" s="1"/>
  <c r="W934" i="2"/>
  <c r="X934" i="2" s="1"/>
  <c r="W796" i="2"/>
  <c r="X796" i="2" s="1"/>
  <c r="W2539" i="2"/>
  <c r="X2539" i="2" s="1"/>
  <c r="W2178" i="2"/>
  <c r="X2178" i="2" s="1"/>
  <c r="W42" i="2"/>
  <c r="X42" i="2" s="1"/>
  <c r="W435" i="2"/>
  <c r="X435" i="2" s="1"/>
  <c r="W1675" i="2"/>
  <c r="X1675" i="2" s="1"/>
  <c r="W1480" i="2"/>
  <c r="X1480" i="2" s="1"/>
  <c r="W1872" i="2"/>
  <c r="X1872" i="2" s="1"/>
  <c r="W1221" i="2"/>
  <c r="X1221" i="2" s="1"/>
  <c r="W2111" i="2"/>
  <c r="X2111" i="2" s="1"/>
  <c r="W1562" i="2"/>
  <c r="X1562" i="2" s="1"/>
  <c r="W1585" i="2"/>
  <c r="X1585" i="2" s="1"/>
  <c r="W1276" i="2"/>
  <c r="X1276" i="2" s="1"/>
  <c r="W786" i="2"/>
  <c r="X786" i="2" s="1"/>
  <c r="W1748" i="2"/>
  <c r="X1748" i="2" s="1"/>
  <c r="W462" i="2"/>
  <c r="X462" i="2" s="1"/>
  <c r="W1357" i="2"/>
  <c r="X1357" i="2" s="1"/>
  <c r="W1989" i="2"/>
  <c r="X1989" i="2" s="1"/>
  <c r="W1807" i="2"/>
  <c r="X1807" i="2" s="1"/>
  <c r="W140" i="2"/>
  <c r="X140" i="2" s="1"/>
  <c r="W1518" i="2"/>
  <c r="X1518" i="2" s="1"/>
  <c r="W1991" i="2"/>
  <c r="X1991" i="2" s="1"/>
  <c r="W815" i="2"/>
  <c r="X815" i="2" s="1"/>
  <c r="W799" i="2"/>
  <c r="X799" i="2" s="1"/>
  <c r="W795" i="2"/>
  <c r="X795" i="2" s="1"/>
  <c r="W195" i="2"/>
  <c r="X195" i="2" s="1"/>
  <c r="W1935" i="2"/>
  <c r="X1935" i="2" s="1"/>
  <c r="W772" i="2"/>
  <c r="X772" i="2" s="1"/>
  <c r="W2035" i="2"/>
  <c r="X2035" i="2" s="1"/>
  <c r="W268" i="2"/>
  <c r="X268" i="2" s="1"/>
  <c r="W1228" i="2"/>
  <c r="X1228" i="2" s="1"/>
  <c r="W92" i="2"/>
  <c r="X92" i="2" s="1"/>
  <c r="W67" i="2"/>
  <c r="X67" i="2" s="1"/>
  <c r="W116" i="2"/>
  <c r="X116" i="2" s="1"/>
  <c r="W218" i="2"/>
  <c r="X218" i="2" s="1"/>
  <c r="W1701" i="2"/>
  <c r="X1701" i="2" s="1"/>
  <c r="W1792" i="2"/>
  <c r="X1792" i="2" s="1"/>
  <c r="W2001" i="2"/>
  <c r="X2001" i="2" s="1"/>
  <c r="W1681" i="2"/>
  <c r="X1681" i="2" s="1"/>
  <c r="W636" i="2"/>
  <c r="X636" i="2" s="1"/>
  <c r="W1323" i="2"/>
  <c r="X1323" i="2" s="1"/>
  <c r="W1809" i="2"/>
  <c r="X1809" i="2" s="1"/>
  <c r="W1677" i="2"/>
  <c r="X1677" i="2" s="1"/>
  <c r="W826" i="2"/>
  <c r="X826" i="2" s="1"/>
  <c r="W1952" i="2"/>
  <c r="X1952" i="2" s="1"/>
  <c r="W835" i="2"/>
  <c r="X835" i="2" s="1"/>
  <c r="W1314" i="2"/>
  <c r="X1314" i="2" s="1"/>
  <c r="W89" i="2"/>
  <c r="X89" i="2" s="1"/>
  <c r="W626" i="2"/>
  <c r="X626" i="2" s="1"/>
  <c r="W1161" i="2"/>
  <c r="X1161" i="2" s="1"/>
  <c r="W1639" i="2"/>
  <c r="X1639" i="2" s="1"/>
  <c r="W1011" i="2"/>
  <c r="X1011" i="2" s="1"/>
  <c r="W1154" i="2"/>
  <c r="X1154" i="2" s="1"/>
  <c r="W994" i="2"/>
  <c r="X994" i="2" s="1"/>
  <c r="W1153" i="2"/>
  <c r="X1153" i="2" s="1"/>
  <c r="W1204" i="2"/>
  <c r="X1204" i="2" s="1"/>
  <c r="W1123" i="2"/>
  <c r="X1123" i="2" s="1"/>
  <c r="W1027" i="2"/>
  <c r="X1027" i="2" s="1"/>
  <c r="W1978" i="2"/>
  <c r="X1978" i="2" s="1"/>
  <c r="W2069" i="2"/>
  <c r="X2069" i="2" s="1"/>
  <c r="W1113" i="2"/>
  <c r="X1113" i="2" s="1"/>
  <c r="W1061" i="2"/>
  <c r="X1061" i="2" s="1"/>
  <c r="W1041" i="2"/>
  <c r="X1041" i="2" s="1"/>
  <c r="W1044" i="2"/>
  <c r="X1044" i="2" s="1"/>
  <c r="W1105" i="2"/>
  <c r="X1105" i="2" s="1"/>
  <c r="W1078" i="2"/>
  <c r="X1078" i="2" s="1"/>
  <c r="W1085" i="2"/>
  <c r="X1085" i="2" s="1"/>
  <c r="W135" i="2"/>
  <c r="X135" i="2" s="1"/>
  <c r="W128" i="2"/>
  <c r="X128" i="2" s="1"/>
  <c r="W2217" i="2"/>
  <c r="X2217" i="2" s="1"/>
  <c r="W2209" i="2"/>
  <c r="X2209" i="2" s="1"/>
  <c r="W2427" i="2"/>
  <c r="X2427" i="2" s="1"/>
  <c r="W2361" i="2"/>
  <c r="X2361" i="2" s="1"/>
  <c r="W2448" i="2"/>
  <c r="X2448" i="2" s="1"/>
  <c r="W2460" i="2"/>
  <c r="X2460" i="2" s="1"/>
  <c r="W489" i="2"/>
  <c r="X489" i="2" s="1"/>
  <c r="W2024" i="2"/>
  <c r="X2024" i="2" s="1"/>
  <c r="W508" i="2"/>
  <c r="X508" i="2" s="1"/>
  <c r="W524" i="2"/>
  <c r="X524" i="2" s="1"/>
  <c r="W534" i="2"/>
  <c r="X534" i="2" s="1"/>
  <c r="W559" i="2"/>
  <c r="X559" i="2" s="1"/>
  <c r="W562" i="2"/>
  <c r="X562" i="2" s="1"/>
  <c r="W577" i="2"/>
  <c r="X577" i="2" s="1"/>
  <c r="W187" i="2"/>
  <c r="X187" i="2" s="1"/>
  <c r="W178" i="2"/>
  <c r="X178" i="2" s="1"/>
  <c r="W193" i="2"/>
  <c r="X193" i="2" s="1"/>
  <c r="W246" i="2"/>
  <c r="X246" i="2" s="1"/>
  <c r="W138" i="2"/>
  <c r="X138" i="2" s="1"/>
  <c r="W586" i="2"/>
  <c r="X586" i="2" s="1"/>
  <c r="W598" i="2"/>
  <c r="X598" i="2" s="1"/>
  <c r="W543" i="2"/>
  <c r="X543" i="2" s="1"/>
  <c r="W635" i="2"/>
  <c r="X635" i="2" s="1"/>
  <c r="W653" i="2"/>
  <c r="X653" i="2" s="1"/>
  <c r="W1183" i="2"/>
  <c r="X1183" i="2" s="1"/>
  <c r="W1830" i="2"/>
  <c r="X1830" i="2" s="1"/>
  <c r="W1657" i="2"/>
  <c r="X1657" i="2" s="1"/>
  <c r="W264" i="2"/>
  <c r="X264" i="2" s="1"/>
  <c r="W933" i="2"/>
  <c r="X933" i="2" s="1"/>
  <c r="W2220" i="2"/>
  <c r="X2220" i="2" s="1"/>
  <c r="W863" i="2"/>
  <c r="X863" i="2" s="1"/>
  <c r="W1960" i="2"/>
  <c r="X1960" i="2" s="1"/>
  <c r="W1327" i="2"/>
  <c r="X1327" i="2" s="1"/>
  <c r="W1370" i="2"/>
  <c r="X1370" i="2" s="1"/>
  <c r="W2081" i="2"/>
  <c r="X2081" i="2" s="1"/>
  <c r="W960" i="2"/>
  <c r="X960" i="2" s="1"/>
  <c r="W1731" i="2"/>
  <c r="X1731" i="2" s="1"/>
  <c r="W615" i="2"/>
  <c r="X615" i="2" s="1"/>
  <c r="W1572" i="2"/>
  <c r="X1572" i="2" s="1"/>
  <c r="W1592" i="2"/>
  <c r="X1592" i="2" s="1"/>
  <c r="W624" i="2"/>
  <c r="X624" i="2" s="1"/>
  <c r="W1821" i="2"/>
  <c r="X1821" i="2" s="1"/>
  <c r="W977" i="2"/>
  <c r="X977" i="2" s="1"/>
  <c r="W1676" i="2"/>
  <c r="X1676" i="2" s="1"/>
  <c r="W2203" i="2"/>
  <c r="X2203" i="2" s="1"/>
  <c r="W1600" i="2"/>
  <c r="X1600" i="2" s="1"/>
  <c r="W2540" i="2"/>
  <c r="X2540" i="2" s="1"/>
  <c r="W1377" i="2"/>
  <c r="X1377" i="2" s="1"/>
  <c r="W1638" i="2"/>
  <c r="X1638" i="2" s="1"/>
  <c r="W223" i="2"/>
  <c r="X223" i="2" s="1"/>
  <c r="W1400" i="2"/>
  <c r="X1400" i="2" s="1"/>
  <c r="W935" i="2"/>
  <c r="X935" i="2" s="1"/>
  <c r="W1329" i="2"/>
  <c r="X1329" i="2" s="1"/>
  <c r="W46" i="2"/>
  <c r="X46" i="2" s="1"/>
  <c r="W940" i="2"/>
  <c r="X940" i="2" s="1"/>
  <c r="W2165" i="2"/>
  <c r="X2165" i="2" s="1"/>
  <c r="W2110" i="2"/>
  <c r="X2110" i="2" s="1"/>
  <c r="W1591" i="2"/>
  <c r="X1591" i="2" s="1"/>
  <c r="W821" i="2"/>
  <c r="X821" i="2" s="1"/>
  <c r="W1722" i="2"/>
  <c r="X1722" i="2" s="1"/>
  <c r="W2103" i="2"/>
  <c r="X2103" i="2" s="1"/>
  <c r="W1877" i="2"/>
  <c r="X1877" i="2" s="1"/>
  <c r="W831" i="2"/>
  <c r="X831" i="2" s="1"/>
  <c r="W2052" i="2"/>
  <c r="X2052" i="2" s="1"/>
  <c r="W1352" i="2"/>
  <c r="X1352" i="2" s="1"/>
  <c r="W2161" i="2"/>
  <c r="X2161" i="2" s="1"/>
  <c r="W963" i="2"/>
  <c r="X963" i="2" s="1"/>
  <c r="W2193" i="2"/>
  <c r="X2193" i="2" s="1"/>
  <c r="W1827" i="2"/>
  <c r="X1827" i="2" s="1"/>
  <c r="W1147" i="2"/>
  <c r="X1147" i="2" s="1"/>
  <c r="W768" i="2"/>
  <c r="X768" i="2" s="1"/>
  <c r="W1528" i="2"/>
  <c r="X1528" i="2" s="1"/>
  <c r="W1318" i="2"/>
  <c r="X1318" i="2" s="1"/>
  <c r="W1846" i="2"/>
  <c r="X1846" i="2" s="1"/>
  <c r="W924" i="2"/>
  <c r="X924" i="2" s="1"/>
  <c r="W864" i="2"/>
  <c r="X864" i="2" s="1"/>
  <c r="W1927" i="2"/>
  <c r="X1927" i="2" s="1"/>
  <c r="W2016" i="2"/>
  <c r="X2016" i="2" s="1"/>
  <c r="W1760" i="2"/>
  <c r="X1760" i="2" s="1"/>
  <c r="W1006" i="2"/>
  <c r="X1006" i="2" s="1"/>
  <c r="W1728" i="2"/>
  <c r="X1728" i="2" s="1"/>
  <c r="W212" i="2"/>
  <c r="X212" i="2" s="1"/>
  <c r="W1668" i="2"/>
  <c r="X1668" i="2" s="1"/>
  <c r="W1398" i="2"/>
  <c r="X1398" i="2" s="1"/>
  <c r="W956" i="2"/>
  <c r="X956" i="2" s="1"/>
  <c r="W1916" i="2"/>
  <c r="X1916" i="2" s="1"/>
  <c r="W1244" i="2"/>
  <c r="X1244" i="2" s="1"/>
  <c r="W161" i="2"/>
  <c r="X161" i="2" s="1"/>
  <c r="W2010" i="2"/>
  <c r="X2010" i="2" s="1"/>
  <c r="W2047" i="2"/>
  <c r="X2047" i="2" s="1"/>
  <c r="W1726" i="2"/>
  <c r="X1726" i="2" s="1"/>
  <c r="W1256" i="2"/>
  <c r="X1256" i="2" s="1"/>
  <c r="W770" i="2"/>
  <c r="X770" i="2" s="1"/>
  <c r="W1733" i="2"/>
  <c r="X1733" i="2" s="1"/>
  <c r="W1810" i="2"/>
  <c r="X1810" i="2" s="1"/>
  <c r="W2506" i="2"/>
  <c r="X2506" i="2" s="1"/>
  <c r="W2190" i="2"/>
  <c r="X2190" i="2" s="1"/>
  <c r="W2528" i="2"/>
  <c r="X2528" i="2" s="1"/>
  <c r="W950" i="2"/>
  <c r="X950" i="2" s="1"/>
  <c r="W1209" i="2"/>
  <c r="X1209" i="2" s="1"/>
  <c r="W1603" i="2"/>
  <c r="X1603" i="2" s="1"/>
  <c r="W23" i="2"/>
  <c r="X23" i="2" s="1"/>
  <c r="W854" i="2"/>
  <c r="X854" i="2" s="1"/>
  <c r="W1382" i="2"/>
  <c r="X1382" i="2" s="1"/>
  <c r="W197" i="2"/>
  <c r="X197" i="2" s="1"/>
  <c r="W1941" i="2"/>
  <c r="X1941" i="2" s="1"/>
  <c r="W1143" i="2"/>
  <c r="X1143" i="2" s="1"/>
  <c r="W1468" i="2"/>
  <c r="X1468" i="2" s="1"/>
  <c r="W1758" i="2"/>
  <c r="X1758" i="2" s="1"/>
  <c r="W2536" i="2"/>
  <c r="X2536" i="2" s="1"/>
  <c r="W2014" i="2"/>
  <c r="X2014" i="2" s="1"/>
  <c r="W1521" i="2"/>
  <c r="X1521" i="2" s="1"/>
  <c r="W1443" i="2"/>
  <c r="X1443" i="2" s="1"/>
  <c r="W225" i="2"/>
  <c r="X225" i="2" s="1"/>
  <c r="W1421" i="2"/>
  <c r="X1421" i="2" s="1"/>
  <c r="W1216" i="2"/>
  <c r="X1216" i="2" s="1"/>
  <c r="W911" i="2"/>
  <c r="X911" i="2" s="1"/>
  <c r="W2492" i="2"/>
  <c r="X2492" i="2" s="1"/>
  <c r="W1157" i="2"/>
  <c r="X1157" i="2" s="1"/>
  <c r="W1349" i="2"/>
  <c r="X1349" i="2" s="1"/>
  <c r="W1152" i="2"/>
  <c r="X1152" i="2" s="1"/>
  <c r="W1207" i="2"/>
  <c r="X1207" i="2" s="1"/>
  <c r="W1173" i="2"/>
  <c r="X1173" i="2" s="1"/>
  <c r="W1205" i="2"/>
  <c r="X1205" i="2" s="1"/>
  <c r="W1168" i="2"/>
  <c r="X1168" i="2" s="1"/>
  <c r="W1197" i="2"/>
  <c r="X1197" i="2" s="1"/>
  <c r="W1032" i="2"/>
  <c r="X1032" i="2" s="1"/>
  <c r="W1029" i="2"/>
  <c r="X1029" i="2" s="1"/>
  <c r="W1035" i="2"/>
  <c r="X1035" i="2" s="1"/>
  <c r="W1053" i="2"/>
  <c r="X1053" i="2" s="1"/>
  <c r="W1068" i="2"/>
  <c r="X1068" i="2" s="1"/>
  <c r="W1103" i="2"/>
  <c r="X1103" i="2" s="1"/>
  <c r="W1077" i="2"/>
  <c r="X1077" i="2" s="1"/>
  <c r="W1095" i="2"/>
  <c r="X1095" i="2" s="1"/>
  <c r="W126" i="2"/>
  <c r="X126" i="2" s="1"/>
  <c r="W2461" i="2"/>
  <c r="X2461" i="2" s="1"/>
  <c r="W2442" i="2"/>
  <c r="X2442" i="2" s="1"/>
  <c r="W2473" i="2"/>
  <c r="X2473" i="2" s="1"/>
  <c r="W2336" i="2"/>
  <c r="X2336" i="2" s="1"/>
  <c r="W2396" i="2"/>
  <c r="X2396" i="2" s="1"/>
  <c r="W2413" i="2"/>
  <c r="X2413" i="2" s="1"/>
  <c r="W2379" i="2"/>
  <c r="X2379" i="2" s="1"/>
  <c r="W2355" i="2"/>
  <c r="X2355" i="2" s="1"/>
  <c r="W564" i="2"/>
  <c r="X564" i="2" s="1"/>
  <c r="W247" i="2"/>
  <c r="X247" i="2" s="1"/>
  <c r="W237" i="2"/>
  <c r="X237" i="2" s="1"/>
  <c r="W652" i="2"/>
  <c r="X652" i="2" s="1"/>
  <c r="W9" i="2"/>
  <c r="X9" i="2" s="1"/>
  <c r="W789" i="2"/>
  <c r="X789" i="2" s="1"/>
  <c r="W990" i="2"/>
  <c r="X990" i="2" s="1"/>
  <c r="W1666" i="2"/>
  <c r="X1666" i="2" s="1"/>
  <c r="W1858" i="2"/>
  <c r="X1858" i="2" s="1"/>
  <c r="W2004" i="2"/>
  <c r="X2004" i="2" s="1"/>
  <c r="W2503" i="2"/>
  <c r="X2503" i="2" s="1"/>
  <c r="W1620" i="2"/>
  <c r="X1620" i="2" s="1"/>
  <c r="W257" i="2"/>
  <c r="X257" i="2" s="1"/>
  <c r="W1997" i="2"/>
  <c r="X1997" i="2" s="1"/>
  <c r="W1371" i="2"/>
  <c r="X1371" i="2" s="1"/>
  <c r="W1589" i="2"/>
  <c r="X1589" i="2" s="1"/>
  <c r="W1179" i="2"/>
  <c r="X1179" i="2" s="1"/>
  <c r="W996" i="2"/>
  <c r="X996" i="2" s="1"/>
  <c r="W2098" i="2"/>
  <c r="X2098" i="2" s="1"/>
  <c r="W152" i="2"/>
  <c r="X152" i="2" s="1"/>
  <c r="W853" i="2"/>
  <c r="X853" i="2" s="1"/>
  <c r="W814" i="2"/>
  <c r="X814" i="2" s="1"/>
  <c r="W1433" i="2"/>
  <c r="X1433" i="2" s="1"/>
  <c r="W207" i="2"/>
  <c r="X207" i="2" s="1"/>
  <c r="W38" i="2"/>
  <c r="X38" i="2" s="1"/>
  <c r="W1461" i="2"/>
  <c r="X1461" i="2" s="1"/>
  <c r="W2032" i="2"/>
  <c r="X2032" i="2" s="1"/>
  <c r="W928" i="2"/>
  <c r="X928" i="2" s="1"/>
  <c r="W929" i="2"/>
  <c r="X929" i="2" s="1"/>
  <c r="W1362" i="2"/>
  <c r="X1362" i="2" s="1"/>
  <c r="W1489" i="2"/>
  <c r="X1489" i="2" s="1"/>
  <c r="W1770" i="2"/>
  <c r="X1770" i="2" s="1"/>
  <c r="W1587" i="2"/>
  <c r="X1587" i="2" s="1"/>
  <c r="W43" i="2"/>
  <c r="X43" i="2" s="1"/>
  <c r="W1407" i="2"/>
  <c r="X1407" i="2" s="1"/>
  <c r="W847" i="2"/>
  <c r="X847" i="2" s="1"/>
  <c r="W117" i="2"/>
  <c r="X117" i="2" s="1"/>
  <c r="W1388" i="2"/>
  <c r="X1388" i="2" s="1"/>
  <c r="W2083" i="2"/>
  <c r="X2083" i="2" s="1"/>
  <c r="W159" i="2"/>
  <c r="X159" i="2" s="1"/>
  <c r="W1921" i="2"/>
  <c r="X1921" i="2" s="1"/>
  <c r="W2108" i="2"/>
  <c r="X2108" i="2" s="1"/>
  <c r="W26" i="2"/>
  <c r="X26" i="2" s="1"/>
  <c r="W1542" i="2"/>
  <c r="X1542" i="2" s="1"/>
  <c r="W1458" i="2"/>
  <c r="X1458" i="2" s="1"/>
  <c r="W1324" i="2"/>
  <c r="X1324" i="2" s="1"/>
  <c r="W408" i="2"/>
  <c r="X408" i="2" s="1"/>
  <c r="W1412" i="2"/>
  <c r="X1412" i="2" s="1"/>
  <c r="W1291" i="2"/>
  <c r="X1291" i="2" s="1"/>
  <c r="W952" i="2"/>
  <c r="X952" i="2" s="1"/>
  <c r="W850" i="2"/>
  <c r="X850" i="2" s="1"/>
  <c r="W1285" i="2"/>
  <c r="X1285" i="2" s="1"/>
  <c r="W2163" i="2"/>
  <c r="X2163" i="2" s="1"/>
  <c r="W2515" i="2"/>
  <c r="X2515" i="2" s="1"/>
  <c r="W1613" i="2"/>
  <c r="X1613" i="2" s="1"/>
  <c r="W1647" i="2"/>
  <c r="X1647" i="2" s="1"/>
  <c r="W871" i="2"/>
  <c r="X871" i="2" s="1"/>
  <c r="W1653" i="2"/>
  <c r="X1653" i="2" s="1"/>
  <c r="W2500" i="2"/>
  <c r="X2500" i="2" s="1"/>
  <c r="W304" i="2"/>
  <c r="X304" i="2" s="1"/>
  <c r="W1786" i="2"/>
  <c r="X1786" i="2" s="1"/>
  <c r="W862" i="2"/>
  <c r="X862" i="2" s="1"/>
  <c r="W228" i="2"/>
  <c r="X228" i="2" s="1"/>
  <c r="W1379" i="2"/>
  <c r="X1379" i="2" s="1"/>
  <c r="W773" i="2"/>
  <c r="X773" i="2" s="1"/>
  <c r="W2520" i="2"/>
  <c r="X2520" i="2" s="1"/>
  <c r="W1959" i="2"/>
  <c r="X1959" i="2" s="1"/>
  <c r="W1397" i="2"/>
  <c r="X1397" i="2" s="1"/>
  <c r="W1436" i="2"/>
  <c r="X1436" i="2" s="1"/>
  <c r="W66" i="2"/>
  <c r="X66" i="2" s="1"/>
  <c r="W993" i="2"/>
  <c r="X993" i="2" s="1"/>
  <c r="W153" i="2"/>
  <c r="X153" i="2" s="1"/>
  <c r="W2183" i="2"/>
  <c r="X2183" i="2" s="1"/>
  <c r="W98" i="2"/>
  <c r="X98" i="2" s="1"/>
  <c r="W837" i="2"/>
  <c r="X837" i="2" s="1"/>
  <c r="W1364" i="2"/>
  <c r="X1364" i="2" s="1"/>
  <c r="W806" i="2"/>
  <c r="X806" i="2" s="1"/>
  <c r="W1732" i="2"/>
  <c r="X1732" i="2" s="1"/>
  <c r="W29" i="2"/>
  <c r="X29" i="2" s="1"/>
  <c r="W957" i="2"/>
  <c r="X957" i="2" s="1"/>
  <c r="W868" i="2"/>
  <c r="X868" i="2" s="1"/>
  <c r="W829" i="2"/>
  <c r="X829" i="2" s="1"/>
  <c r="W1908" i="2"/>
  <c r="X1908" i="2" s="1"/>
  <c r="W1985" i="2"/>
  <c r="X1985" i="2" s="1"/>
  <c r="W1546" i="2"/>
  <c r="X1546" i="2" s="1"/>
  <c r="W1351" i="2"/>
  <c r="X1351" i="2" s="1"/>
  <c r="W1470" i="2"/>
  <c r="X1470" i="2" s="1"/>
  <c r="W86" i="2"/>
  <c r="X86" i="2" s="1"/>
  <c r="W1405" i="2"/>
  <c r="X1405" i="2" s="1"/>
  <c r="W1749" i="2"/>
  <c r="X1749" i="2" s="1"/>
  <c r="W1973" i="2"/>
  <c r="X1973" i="2" s="1"/>
  <c r="W1925" i="2"/>
  <c r="X1925" i="2" s="1"/>
  <c r="W643" i="2"/>
  <c r="X643" i="2" s="1"/>
  <c r="W20" i="2"/>
  <c r="X20" i="2" s="1"/>
  <c r="W1247" i="2"/>
  <c r="X1247" i="2" s="1"/>
  <c r="W823" i="2"/>
  <c r="X823" i="2" s="1"/>
  <c r="W910" i="2"/>
  <c r="X910" i="2" s="1"/>
  <c r="W145" i="2"/>
  <c r="X145" i="2" s="1"/>
  <c r="W1900" i="2"/>
  <c r="X1900" i="2" s="1"/>
  <c r="W1797" i="2"/>
  <c r="X1797" i="2" s="1"/>
  <c r="W52" i="2"/>
  <c r="X52" i="2" s="1"/>
  <c r="W571" i="2"/>
  <c r="X571" i="2" s="1"/>
  <c r="W1275" i="2"/>
  <c r="X1275" i="2" s="1"/>
  <c r="W1402" i="2"/>
  <c r="X1402" i="2" s="1"/>
  <c r="W1165" i="2"/>
  <c r="X1165" i="2" s="1"/>
  <c r="W1034" i="2"/>
  <c r="X1034" i="2" s="1"/>
  <c r="W1117" i="2"/>
  <c r="X1117" i="2" s="1"/>
  <c r="W1073" i="2"/>
  <c r="X1073" i="2" s="1"/>
  <c r="W1065" i="2"/>
  <c r="X1065" i="2" s="1"/>
  <c r="W1100" i="2"/>
  <c r="X1100" i="2" s="1"/>
  <c r="W1084" i="2"/>
  <c r="X1084" i="2" s="1"/>
  <c r="W1086" i="2"/>
  <c r="X1086" i="2" s="1"/>
  <c r="W2208" i="2"/>
  <c r="X2208" i="2" s="1"/>
  <c r="W2429" i="2"/>
  <c r="X2429" i="2" s="1"/>
  <c r="W2362" i="2"/>
  <c r="X2362" i="2" s="1"/>
  <c r="W2449" i="2"/>
  <c r="X2449" i="2" s="1"/>
  <c r="W488" i="2"/>
  <c r="X488" i="2" s="1"/>
  <c r="W515" i="2"/>
  <c r="X515" i="2" s="1"/>
  <c r="W523" i="2"/>
  <c r="X523" i="2" s="1"/>
  <c r="W558" i="2"/>
  <c r="X558" i="2" s="1"/>
  <c r="W575" i="2"/>
  <c r="X575" i="2" s="1"/>
  <c r="W186" i="2"/>
  <c r="X186" i="2" s="1"/>
  <c r="W177" i="2"/>
  <c r="X177" i="2" s="1"/>
  <c r="W192" i="2"/>
  <c r="X192" i="2" s="1"/>
  <c r="W245" i="2"/>
  <c r="X245" i="2" s="1"/>
  <c r="W238" i="2"/>
  <c r="X238" i="2" s="1"/>
  <c r="W156" i="2"/>
  <c r="X156" i="2" s="1"/>
  <c r="W585" i="2"/>
  <c r="X585" i="2" s="1"/>
  <c r="W542" i="2"/>
  <c r="X542" i="2" s="1"/>
  <c r="W639" i="2"/>
  <c r="X639" i="2" s="1"/>
  <c r="W80" i="2"/>
  <c r="X80" i="2" s="1"/>
  <c r="W1290" i="2"/>
  <c r="X1290" i="2" s="1"/>
  <c r="W1599" i="2"/>
  <c r="X1599" i="2" s="1"/>
  <c r="W2019" i="2"/>
  <c r="X2019" i="2" s="1"/>
  <c r="W839" i="2"/>
  <c r="X839" i="2" s="1"/>
  <c r="W989" i="2"/>
  <c r="X989" i="2" s="1"/>
  <c r="W265" i="2"/>
  <c r="X265" i="2" s="1"/>
  <c r="W254" i="2"/>
  <c r="X254" i="2" s="1"/>
  <c r="W256" i="2"/>
  <c r="X256" i="2" s="1"/>
  <c r="W1130" i="2"/>
  <c r="X1130" i="2" s="1"/>
  <c r="W1440" i="2"/>
  <c r="X1440" i="2" s="1"/>
  <c r="W759" i="2"/>
  <c r="X759" i="2" s="1"/>
  <c r="W2066" i="2"/>
  <c r="X2066" i="2" s="1"/>
  <c r="W362" i="2"/>
  <c r="X362" i="2" s="1"/>
  <c r="W1923" i="2"/>
  <c r="X1923" i="2" s="1"/>
  <c r="W2046" i="2"/>
  <c r="X2046" i="2" s="1"/>
  <c r="W1224" i="2"/>
  <c r="X1224" i="2" s="1"/>
  <c r="W1418" i="2"/>
  <c r="X1418" i="2" s="1"/>
  <c r="W119" i="2"/>
  <c r="X119" i="2" s="1"/>
  <c r="W896" i="2"/>
  <c r="X896" i="2" s="1"/>
  <c r="W1444" i="2"/>
  <c r="X1444" i="2" s="1"/>
  <c r="W1766" i="2"/>
  <c r="X1766" i="2" s="1"/>
  <c r="W944" i="2"/>
  <c r="X944" i="2" s="1"/>
  <c r="W820" i="2"/>
  <c r="X820" i="2" s="1"/>
  <c r="W443" i="2"/>
  <c r="X443" i="2" s="1"/>
  <c r="W1368" i="2"/>
  <c r="X1368" i="2" s="1"/>
  <c r="W1523" i="2"/>
  <c r="X1523" i="2" s="1"/>
  <c r="W1548" i="2"/>
  <c r="X1548" i="2" s="1"/>
  <c r="W32" i="2"/>
  <c r="X32" i="2" s="1"/>
  <c r="W1774" i="2"/>
  <c r="X1774" i="2" s="1"/>
  <c r="W834" i="2"/>
  <c r="X834" i="2" s="1"/>
  <c r="W1717" i="2"/>
  <c r="X1717" i="2" s="1"/>
  <c r="W1509" i="2"/>
  <c r="X1509" i="2" s="1"/>
  <c r="W1796" i="2"/>
  <c r="X1796" i="2" s="1"/>
  <c r="W1148" i="2"/>
  <c r="X1148" i="2" s="1"/>
  <c r="W1688" i="2"/>
  <c r="X1688" i="2" s="1"/>
  <c r="W1948" i="2"/>
  <c r="X1948" i="2" s="1"/>
  <c r="W1234" i="2"/>
  <c r="X1234" i="2" s="1"/>
  <c r="W1849" i="2"/>
  <c r="X1849" i="2" s="1"/>
  <c r="W1301" i="2"/>
  <c r="X1301" i="2" s="1"/>
  <c r="W1474" i="2"/>
  <c r="X1474" i="2" s="1"/>
  <c r="W2532" i="2"/>
  <c r="X2532" i="2" s="1"/>
  <c r="W40" i="2"/>
  <c r="X40" i="2" s="1"/>
  <c r="W1336" i="2"/>
  <c r="X1336" i="2" s="1"/>
  <c r="W865" i="2"/>
  <c r="X865" i="2" s="1"/>
  <c r="W2547" i="2"/>
  <c r="X2547" i="2" s="1"/>
  <c r="W945" i="2"/>
  <c r="X945" i="2" s="1"/>
  <c r="W1837" i="2"/>
  <c r="X1837" i="2" s="1"/>
  <c r="W1856" i="2"/>
  <c r="X1856" i="2" s="1"/>
  <c r="W1448" i="2"/>
  <c r="X1448" i="2" s="1"/>
  <c r="W1269" i="2"/>
  <c r="X1269" i="2" s="1"/>
  <c r="W77" i="2"/>
  <c r="X77" i="2" s="1"/>
  <c r="W2525" i="2"/>
  <c r="X2525" i="2" s="1"/>
  <c r="W1996" i="2"/>
  <c r="X1996" i="2" s="1"/>
  <c r="W1791" i="2"/>
  <c r="X1791" i="2" s="1"/>
  <c r="W1704" i="2"/>
  <c r="X1704" i="2" s="1"/>
  <c r="W1961" i="2"/>
  <c r="X1961" i="2" s="1"/>
  <c r="W1516" i="2"/>
  <c r="X1516" i="2" s="1"/>
  <c r="W2000" i="2"/>
  <c r="X2000" i="2" s="1"/>
  <c r="W1608" i="2"/>
  <c r="X1608" i="2" s="1"/>
  <c r="W1396" i="2"/>
  <c r="X1396" i="2" s="1"/>
  <c r="W169" i="2"/>
  <c r="X169" i="2" s="1"/>
  <c r="W1936" i="2"/>
  <c r="X1936" i="2" s="1"/>
  <c r="W1987" i="2"/>
  <c r="X1987" i="2" s="1"/>
  <c r="W2034" i="2"/>
  <c r="X2034" i="2" s="1"/>
  <c r="W1983" i="2"/>
  <c r="X1983" i="2" s="1"/>
  <c r="W1213" i="2"/>
  <c r="X1213" i="2" s="1"/>
  <c r="W1642" i="2"/>
  <c r="X1642" i="2" s="1"/>
  <c r="W1423" i="2"/>
  <c r="X1423" i="2" s="1"/>
  <c r="W793" i="2"/>
  <c r="X793" i="2" s="1"/>
  <c r="W1843" i="2"/>
  <c r="X1843" i="2" s="1"/>
  <c r="W2039" i="2"/>
  <c r="X2039" i="2" s="1"/>
  <c r="W903" i="2"/>
  <c r="X903" i="2" s="1"/>
  <c r="W1730" i="2"/>
  <c r="X1730" i="2" s="1"/>
  <c r="W1834" i="2"/>
  <c r="X1834" i="2" s="1"/>
  <c r="W1605" i="2"/>
  <c r="X1605" i="2" s="1"/>
  <c r="W2156" i="2"/>
  <c r="X2156" i="2" s="1"/>
  <c r="W1498" i="2"/>
  <c r="X1498" i="2" s="1"/>
  <c r="W1328" i="2"/>
  <c r="X1328" i="2" s="1"/>
  <c r="W79" i="2"/>
  <c r="X79" i="2" s="1"/>
  <c r="W1713" i="2"/>
  <c r="X1713" i="2" s="1"/>
  <c r="W1579" i="2"/>
  <c r="X1579" i="2" s="1"/>
  <c r="W2102" i="2"/>
  <c r="X2102" i="2" s="1"/>
  <c r="W764" i="2"/>
  <c r="X764" i="2" s="1"/>
  <c r="W2146" i="2"/>
  <c r="X2146" i="2" s="1"/>
  <c r="W1241" i="2"/>
  <c r="X1241" i="2" s="1"/>
  <c r="W427" i="2"/>
  <c r="X427" i="2" s="1"/>
  <c r="W1525" i="2"/>
  <c r="X1525" i="2" s="1"/>
  <c r="W219" i="2"/>
  <c r="X219" i="2" s="1"/>
  <c r="W451" i="2"/>
  <c r="X451" i="2" s="1"/>
  <c r="W56" i="2"/>
  <c r="X56" i="2" s="1"/>
  <c r="W2224" i="2"/>
  <c r="X2224" i="2" s="1"/>
  <c r="W1367" i="2"/>
  <c r="X1367" i="2" s="1"/>
  <c r="W1133" i="2"/>
  <c r="X1133" i="2" s="1"/>
  <c r="W2499" i="2"/>
  <c r="X2499" i="2" s="1"/>
  <c r="W1853" i="2"/>
  <c r="X1853" i="2" s="1"/>
  <c r="W2025" i="2"/>
  <c r="X2025" i="2" s="1"/>
  <c r="W1155" i="2"/>
  <c r="X1155" i="2" s="1"/>
  <c r="W1729" i="2"/>
  <c r="X1729" i="2" s="1"/>
  <c r="W1175" i="2"/>
  <c r="X1175" i="2" s="1"/>
  <c r="W1166" i="2"/>
  <c r="X1166" i="2" s="1"/>
  <c r="W1201" i="2"/>
  <c r="X1201" i="2" s="1"/>
  <c r="W1111" i="2"/>
  <c r="X1111" i="2" s="1"/>
  <c r="W1126" i="2"/>
  <c r="X1126" i="2" s="1"/>
  <c r="W1037" i="2"/>
  <c r="X1037" i="2" s="1"/>
  <c r="W1114" i="2"/>
  <c r="X1114" i="2" s="1"/>
  <c r="W1055" i="2"/>
  <c r="X1055" i="2" s="1"/>
  <c r="W1067" i="2"/>
  <c r="X1067" i="2" s="1"/>
  <c r="W1082" i="2"/>
  <c r="X1082" i="2" s="1"/>
  <c r="W125" i="2"/>
  <c r="X125" i="2" s="1"/>
  <c r="W2216" i="2"/>
  <c r="X2216" i="2" s="1"/>
  <c r="W2464" i="2"/>
  <c r="X2464" i="2" s="1"/>
  <c r="W2443" i="2"/>
  <c r="X2443" i="2" s="1"/>
  <c r="W2478" i="2"/>
  <c r="X2478" i="2" s="1"/>
  <c r="W2337" i="2"/>
  <c r="X2337" i="2" s="1"/>
  <c r="W2398" i="2"/>
  <c r="X2398" i="2" s="1"/>
  <c r="W2414" i="2"/>
  <c r="X2414" i="2" s="1"/>
  <c r="W2377" i="2"/>
  <c r="X2377" i="2" s="1"/>
  <c r="W2350" i="2"/>
  <c r="X2350" i="2" s="1"/>
  <c r="W496" i="2"/>
  <c r="X496" i="2" s="1"/>
  <c r="W507" i="2"/>
  <c r="X507" i="2" s="1"/>
  <c r="W533" i="2"/>
  <c r="X533" i="2" s="1"/>
  <c r="W551" i="2"/>
  <c r="X551" i="2" s="1"/>
  <c r="W597" i="2"/>
  <c r="X597" i="2" s="1"/>
  <c r="W651" i="2"/>
  <c r="X651" i="2" s="1"/>
  <c r="W1558" i="2"/>
  <c r="X1558" i="2" s="1"/>
  <c r="W27" i="2"/>
  <c r="X27" i="2" s="1"/>
  <c r="W2496" i="2"/>
  <c r="X2496" i="2" s="1"/>
  <c r="W2192" i="2"/>
  <c r="X2192" i="2" s="1"/>
  <c r="W1319" i="2"/>
  <c r="X1319" i="2" s="1"/>
  <c r="W2231" i="2"/>
  <c r="X2231" i="2" s="1"/>
  <c r="W1746" i="2"/>
  <c r="X1746" i="2" s="1"/>
  <c r="W1529" i="2"/>
  <c r="X1529" i="2" s="1"/>
  <c r="W1303" i="2"/>
  <c r="X1303" i="2" s="1"/>
  <c r="W1822" i="2"/>
  <c r="X1822" i="2" s="1"/>
  <c r="W958" i="2"/>
  <c r="X958" i="2" s="1"/>
  <c r="W918" i="2"/>
  <c r="X918" i="2" s="1"/>
  <c r="W1636" i="2"/>
  <c r="X1636" i="2" s="1"/>
  <c r="W2234" i="2"/>
  <c r="X2234" i="2" s="1"/>
  <c r="W155" i="2"/>
  <c r="X155" i="2" s="1"/>
  <c r="W233" i="2"/>
  <c r="X233" i="2" s="1"/>
  <c r="W363" i="2"/>
  <c r="X363" i="2" s="1"/>
  <c r="W803" i="2"/>
  <c r="X803" i="2" s="1"/>
  <c r="W916" i="2"/>
  <c r="X916" i="2" s="1"/>
  <c r="W2013" i="2"/>
  <c r="X2013" i="2" s="1"/>
  <c r="W1360" i="2"/>
  <c r="X1360" i="2" s="1"/>
  <c r="W1911" i="2"/>
  <c r="X1911" i="2" s="1"/>
  <c r="W995" i="2"/>
  <c r="X995" i="2" s="1"/>
  <c r="W747" i="2"/>
  <c r="X747" i="2" s="1"/>
  <c r="W965" i="2"/>
  <c r="X965" i="2" s="1"/>
  <c r="W1460" i="2"/>
  <c r="X1460" i="2" s="1"/>
  <c r="W1281" i="2"/>
  <c r="X1281" i="2" s="1"/>
  <c r="W2166" i="2"/>
  <c r="X2166" i="2" s="1"/>
  <c r="W450" i="2"/>
  <c r="X450" i="2" s="1"/>
  <c r="W1967" i="2"/>
  <c r="X1967" i="2" s="1"/>
  <c r="W1482" i="2"/>
  <c r="X1482" i="2" s="1"/>
  <c r="W1564" i="2"/>
  <c r="X1564" i="2" s="1"/>
  <c r="W1295" i="2"/>
  <c r="X1295" i="2" s="1"/>
  <c r="W1540" i="2"/>
  <c r="X1540" i="2" s="1"/>
  <c r="W1718" i="2"/>
  <c r="X1718" i="2" s="1"/>
  <c r="W2041" i="2"/>
  <c r="X2041" i="2" s="1"/>
  <c r="W1438" i="2"/>
  <c r="X1438" i="2" s="1"/>
  <c r="W1254" i="2"/>
  <c r="X1254" i="2" s="1"/>
  <c r="W1535" i="2"/>
  <c r="X1535" i="2" s="1"/>
  <c r="W54" i="2"/>
  <c r="X54" i="2" s="1"/>
  <c r="W1358" i="2"/>
  <c r="X1358" i="2" s="1"/>
  <c r="W628" i="2"/>
  <c r="X628" i="2" s="1"/>
  <c r="W578" i="2"/>
  <c r="X578" i="2" s="1"/>
  <c r="W204" i="2"/>
  <c r="X204" i="2" s="1"/>
  <c r="W1127" i="2"/>
  <c r="X1127" i="2" s="1"/>
  <c r="W1782" i="2"/>
  <c r="X1782" i="2" s="1"/>
  <c r="W1871" i="2"/>
  <c r="X1871" i="2" s="1"/>
  <c r="W1010" i="2"/>
  <c r="X1010" i="2" s="1"/>
  <c r="W2053" i="2"/>
  <c r="X2053" i="2" s="1"/>
  <c r="W1915" i="2"/>
  <c r="X1915" i="2" s="1"/>
  <c r="W1434" i="2"/>
  <c r="X1434" i="2" s="1"/>
  <c r="W1467" i="2"/>
  <c r="X1467" i="2" s="1"/>
  <c r="W859" i="2"/>
  <c r="X859" i="2" s="1"/>
  <c r="W912" i="2"/>
  <c r="X912" i="2" s="1"/>
  <c r="W1519" i="2"/>
  <c r="X1519" i="2" s="1"/>
  <c r="W1839" i="2"/>
  <c r="X1839" i="2" s="1"/>
  <c r="W2099" i="2"/>
  <c r="X2099" i="2" s="1"/>
  <c r="W2009" i="2"/>
  <c r="X2009" i="2" s="1"/>
  <c r="W1000" i="2"/>
  <c r="X1000" i="2" s="1"/>
  <c r="W1580" i="2"/>
  <c r="X1580" i="2" s="1"/>
  <c r="W2033" i="2"/>
  <c r="X2033" i="2" s="1"/>
  <c r="W1631" i="2"/>
  <c r="X1631" i="2" s="1"/>
  <c r="W2054" i="2"/>
  <c r="X2054" i="2" s="1"/>
  <c r="W2221" i="2"/>
  <c r="X2221" i="2" s="1"/>
  <c r="W1539" i="2"/>
  <c r="X1539" i="2" s="1"/>
  <c r="W1980" i="2"/>
  <c r="X1980" i="2" s="1"/>
  <c r="W1976" i="2"/>
  <c r="X1976" i="2" s="1"/>
  <c r="W2159" i="2"/>
  <c r="X2159" i="2" s="1"/>
  <c r="W1145" i="2"/>
  <c r="X1145" i="2" s="1"/>
  <c r="W618" i="2"/>
  <c r="X618" i="2" s="1"/>
  <c r="W1644" i="2"/>
  <c r="X1644" i="2" s="1"/>
  <c r="W1693" i="2"/>
  <c r="X1693" i="2" s="1"/>
  <c r="W2062" i="2"/>
  <c r="X2062" i="2" s="1"/>
  <c r="W1513" i="2"/>
  <c r="X1513" i="2" s="1"/>
  <c r="W1449" i="2"/>
  <c r="X1449" i="2" s="1"/>
  <c r="W647" i="2"/>
  <c r="X647" i="2" s="1"/>
  <c r="W785" i="2"/>
  <c r="X785" i="2" s="1"/>
  <c r="W1271" i="2"/>
  <c r="X1271" i="2" s="1"/>
  <c r="W1415" i="2"/>
  <c r="X1415" i="2" s="1"/>
  <c r="W1924" i="2"/>
  <c r="X1924" i="2" s="1"/>
  <c r="W1333" i="2"/>
  <c r="X1333" i="2" s="1"/>
  <c r="W1340" i="2"/>
  <c r="X1340" i="2" s="1"/>
  <c r="W1348" i="2"/>
  <c r="X1348" i="2" s="1"/>
  <c r="W633" i="2"/>
  <c r="X633" i="2" s="1"/>
  <c r="W2230" i="2"/>
  <c r="X2230" i="2" s="1"/>
  <c r="W1672" i="2"/>
  <c r="X1672" i="2" s="1"/>
  <c r="W1652" i="2"/>
  <c r="X1652" i="2" s="1"/>
  <c r="W2044" i="2"/>
  <c r="X2044" i="2" s="1"/>
  <c r="W644" i="2"/>
  <c r="X644" i="2" s="1"/>
  <c r="W2199" i="2"/>
  <c r="X2199" i="2" s="1"/>
  <c r="W1705" i="2"/>
  <c r="X1705" i="2" s="1"/>
  <c r="W2097" i="2"/>
  <c r="X2097" i="2" s="1"/>
  <c r="W2049" i="2"/>
  <c r="X2049" i="2" s="1"/>
  <c r="W1736" i="2"/>
  <c r="X1736" i="2" s="1"/>
  <c r="W2522" i="2"/>
  <c r="X2522" i="2" s="1"/>
  <c r="W875" i="2"/>
  <c r="X875" i="2" s="1"/>
  <c r="W1389" i="2"/>
  <c r="X1389" i="2" s="1"/>
  <c r="W1188" i="2"/>
  <c r="X1188" i="2" s="1"/>
  <c r="W1206" i="2"/>
  <c r="X1206" i="2" s="1"/>
  <c r="W1195" i="2"/>
  <c r="X1195" i="2" s="1"/>
  <c r="W1118" i="2"/>
  <c r="X1118" i="2" s="1"/>
  <c r="W1031" i="2"/>
  <c r="X1031" i="2" s="1"/>
  <c r="W1022" i="2"/>
  <c r="X1022" i="2" s="1"/>
  <c r="W1038" i="2"/>
  <c r="X1038" i="2" s="1"/>
  <c r="W1119" i="2"/>
  <c r="X1119" i="2" s="1"/>
  <c r="W1047" i="2"/>
  <c r="X1047" i="2" s="1"/>
  <c r="W1076" i="2"/>
  <c r="X1076" i="2" s="1"/>
  <c r="W1081" i="2"/>
  <c r="X1081" i="2" s="1"/>
  <c r="W2215" i="2"/>
  <c r="X2215" i="2" s="1"/>
  <c r="W2205" i="2"/>
  <c r="X2205" i="2" s="1"/>
  <c r="W2320" i="2"/>
  <c r="X2320" i="2" s="1"/>
  <c r="W2363" i="2"/>
  <c r="X2363" i="2" s="1"/>
  <c r="W2450" i="2"/>
  <c r="X2450" i="2" s="1"/>
  <c r="W487" i="2"/>
  <c r="X487" i="2" s="1"/>
  <c r="W514" i="2"/>
  <c r="X514" i="2" s="1"/>
  <c r="W505" i="2"/>
  <c r="X505" i="2" s="1"/>
  <c r="W522" i="2"/>
  <c r="X522" i="2" s="1"/>
  <c r="W532" i="2"/>
  <c r="X532" i="2" s="1"/>
  <c r="W557" i="2"/>
  <c r="X557" i="2" s="1"/>
  <c r="W550" i="2"/>
  <c r="X550" i="2" s="1"/>
  <c r="W563" i="2"/>
  <c r="X563" i="2" s="1"/>
  <c r="W574" i="2"/>
  <c r="X574" i="2" s="1"/>
  <c r="W185" i="2"/>
  <c r="X185" i="2" s="1"/>
  <c r="W175" i="2"/>
  <c r="X175" i="2" s="1"/>
  <c r="W229" i="2"/>
  <c r="X229" i="2" s="1"/>
  <c r="W591" i="2"/>
  <c r="X591" i="2" s="1"/>
  <c r="W584" i="2"/>
  <c r="X584" i="2" s="1"/>
  <c r="W596" i="2"/>
  <c r="X596" i="2" s="1"/>
  <c r="W541" i="2"/>
  <c r="X541" i="2" s="1"/>
  <c r="W648" i="2"/>
  <c r="X648" i="2" s="1"/>
  <c r="W656" i="2"/>
  <c r="X656" i="2" s="1"/>
  <c r="S1593" i="2"/>
  <c r="S2" i="2"/>
  <c r="S1669" i="2"/>
  <c r="S1494" i="2"/>
  <c r="S2158" i="2"/>
  <c r="S1812" i="2"/>
  <c r="S114" i="2"/>
  <c r="S630" i="2"/>
  <c r="S1655" i="2"/>
  <c r="S1816" i="2"/>
  <c r="S68" i="2"/>
  <c r="S1049" i="2"/>
  <c r="S1369" i="2"/>
  <c r="S970" i="2"/>
  <c r="S2137" i="2"/>
  <c r="S2114" i="2"/>
  <c r="S1783" i="2"/>
  <c r="S1533" i="2"/>
  <c r="S115" i="2"/>
  <c r="S1614" i="2"/>
  <c r="S817" i="2"/>
  <c r="S1485" i="2"/>
  <c r="S1411" i="2"/>
  <c r="S1626" i="2"/>
  <c r="S1635" i="2"/>
  <c r="S1841" i="2"/>
  <c r="S953" i="2"/>
  <c r="S361" i="2"/>
  <c r="S503" i="2"/>
  <c r="S2042" i="2"/>
  <c r="S1694" i="2"/>
  <c r="S1612" i="2"/>
  <c r="S2043" i="2"/>
  <c r="S2065" i="2"/>
  <c r="S1223" i="2"/>
  <c r="S1665" i="2"/>
  <c r="S1986" i="2"/>
  <c r="S1344" i="2"/>
  <c r="S991" i="2"/>
  <c r="S1769" i="2"/>
  <c r="S2196" i="2"/>
  <c r="S1752" i="2"/>
  <c r="S1556" i="2"/>
  <c r="S1437" i="2"/>
  <c r="S1820" i="2"/>
  <c r="S308" i="2"/>
  <c r="S890" i="2"/>
  <c r="S199" i="2"/>
  <c r="I2" i="29" a="1"/>
  <c r="D2" i="30" a="1"/>
  <c r="M3" i="29" l="1" a="1"/>
  <c r="W1669" i="2"/>
  <c r="X1669" i="2" s="1"/>
  <c r="W890" i="2"/>
  <c r="X890" i="2" s="1"/>
  <c r="W503" i="2"/>
  <c r="X503" i="2" s="1"/>
  <c r="W1369" i="2"/>
  <c r="X1369" i="2" s="1"/>
  <c r="W68" i="2"/>
  <c r="X68" i="2" s="1"/>
  <c r="W953" i="2"/>
  <c r="X953" i="2" s="1"/>
  <c r="O3" i="29" s="1" a="1"/>
  <c r="W1841" i="2"/>
  <c r="X1841" i="2" s="1"/>
  <c r="W2196" i="2"/>
  <c r="X2196" i="2" s="1"/>
  <c r="AG3" i="30" s="1" a="1"/>
  <c r="W1635" i="2"/>
  <c r="X1635" i="2" s="1"/>
  <c r="W1655" i="2"/>
  <c r="X1655" i="2" s="1"/>
  <c r="W361" i="2"/>
  <c r="X361" i="2" s="1"/>
  <c r="W1556" i="2"/>
  <c r="X1556" i="2" s="1"/>
  <c r="W1752" i="2"/>
  <c r="X1752" i="2" s="1"/>
  <c r="W1626" i="2"/>
  <c r="X1626" i="2" s="1"/>
  <c r="W1816" i="2"/>
  <c r="X1816" i="2" s="1"/>
  <c r="W1769" i="2"/>
  <c r="X1769" i="2" s="1"/>
  <c r="W991" i="2"/>
  <c r="X991" i="2" s="1"/>
  <c r="W1411" i="2"/>
  <c r="X1411" i="2" s="1"/>
  <c r="W114" i="2"/>
  <c r="X114" i="2" s="1"/>
  <c r="W1986" i="2"/>
  <c r="X1986" i="2" s="1"/>
  <c r="W1437" i="2"/>
  <c r="X1437" i="2" s="1"/>
  <c r="W817" i="2"/>
  <c r="X817" i="2" s="1"/>
  <c r="W1049" i="2"/>
  <c r="X1049" i="2" s="1"/>
  <c r="W1223" i="2"/>
  <c r="X1223" i="2" s="1"/>
  <c r="W2065" i="2"/>
  <c r="X2065" i="2" s="1"/>
  <c r="W1533" i="2"/>
  <c r="X1533" i="2" s="1"/>
  <c r="W2" i="2"/>
  <c r="X2" i="2" s="1"/>
  <c r="W115" i="2"/>
  <c r="X115" i="2" s="1"/>
  <c r="W1783" i="2"/>
  <c r="X1783" i="2" s="1"/>
  <c r="W1820" i="2"/>
  <c r="X1820" i="2" s="1"/>
  <c r="W2158" i="2"/>
  <c r="X2158" i="2" s="1"/>
  <c r="W2043" i="2"/>
  <c r="X2043" i="2" s="1"/>
  <c r="W1593" i="2"/>
  <c r="X1593" i="2" s="1"/>
  <c r="W199" i="2"/>
  <c r="X199" i="2" s="1"/>
  <c r="W1612" i="2"/>
  <c r="X1612" i="2" s="1"/>
  <c r="W2114" i="2"/>
  <c r="X2114" i="2" s="1"/>
  <c r="W1694" i="2"/>
  <c r="X1694" i="2" s="1"/>
  <c r="W2137" i="2"/>
  <c r="X2137" i="2" s="1"/>
  <c r="W1665" i="2"/>
  <c r="X1665" i="2" s="1"/>
  <c r="W1614" i="2"/>
  <c r="X1614" i="2" s="1"/>
  <c r="W1494" i="2"/>
  <c r="X1494" i="2" s="1"/>
  <c r="W308" i="2"/>
  <c r="X308" i="2" s="1"/>
  <c r="W2042" i="2"/>
  <c r="X2042" i="2" s="1"/>
  <c r="W970" i="2"/>
  <c r="X970" i="2" s="1"/>
  <c r="W630" i="2"/>
  <c r="X630" i="2" s="1"/>
  <c r="W1344" i="2"/>
  <c r="X1344" i="2" s="1"/>
  <c r="W1485" i="2"/>
  <c r="X1485" i="2" s="1"/>
  <c r="W1812" i="2"/>
  <c r="X1812" i="2" s="1"/>
  <c r="V3" i="30" a="1"/>
  <c r="O3" i="30" a="1"/>
  <c r="J3" i="29" a="1"/>
  <c r="K3" i="29" a="1"/>
  <c r="U3" i="29" a="1"/>
  <c r="Q3" i="29" a="1"/>
  <c r="P3" i="29" a="1"/>
  <c r="N3" i="29" a="1"/>
  <c r="L3" i="29" a="1"/>
  <c r="X3" i="30" a="1"/>
  <c r="AF3" i="30" a="1"/>
  <c r="Y3" i="30" a="1"/>
  <c r="L3" i="30" a="1"/>
  <c r="I3" i="29" l="1" a="1"/>
  <c r="D124" i="14"/>
  <c r="D140" i="14"/>
  <c r="D155" i="14"/>
  <c r="D156" i="14"/>
  <c r="D172" i="14"/>
  <c r="D188" i="14"/>
  <c r="D203" i="14"/>
  <c r="D204" i="14"/>
  <c r="D220" i="14"/>
  <c r="D236" i="14"/>
  <c r="D252" i="14"/>
  <c r="D285" i="14"/>
  <c r="D286" i="14"/>
  <c r="D302" i="14"/>
  <c r="D316" i="14"/>
  <c r="D326" i="14"/>
  <c r="D327" i="14"/>
  <c r="D342" i="14"/>
  <c r="D343" i="14"/>
  <c r="D358" i="14"/>
  <c r="D359" i="14"/>
  <c r="D374" i="14"/>
  <c r="D375" i="14"/>
  <c r="D390" i="14"/>
  <c r="D391" i="14"/>
  <c r="D329" i="14"/>
  <c r="D330" i="14"/>
  <c r="D345" i="14"/>
  <c r="D346" i="14"/>
  <c r="D361" i="14"/>
  <c r="D362" i="14"/>
  <c r="D377" i="14"/>
  <c r="D378" i="14"/>
  <c r="D393" i="14"/>
  <c r="D394" i="14"/>
  <c r="D320" i="14"/>
  <c r="D321" i="14"/>
  <c r="D322" i="14"/>
  <c r="D323" i="14"/>
  <c r="D324" i="14"/>
  <c r="D325" i="14"/>
  <c r="D328" i="14"/>
  <c r="D331" i="14"/>
  <c r="D332" i="14"/>
  <c r="D333" i="14"/>
  <c r="D334" i="14"/>
  <c r="D335" i="14"/>
  <c r="D336" i="14"/>
  <c r="D337" i="14"/>
  <c r="D338" i="14"/>
  <c r="D339" i="14"/>
  <c r="D340" i="14"/>
  <c r="D341" i="14"/>
  <c r="D344" i="14"/>
  <c r="D347" i="14"/>
  <c r="D348" i="14"/>
  <c r="D349" i="14"/>
  <c r="D350" i="14"/>
  <c r="D351" i="14"/>
  <c r="D352" i="14"/>
  <c r="D353" i="14"/>
  <c r="D354" i="14"/>
  <c r="D355" i="14"/>
  <c r="D356" i="14"/>
  <c r="D357" i="14"/>
  <c r="D360" i="14"/>
  <c r="D363" i="14"/>
  <c r="D364" i="14"/>
  <c r="D365" i="14"/>
  <c r="D366" i="14"/>
  <c r="D367" i="14"/>
  <c r="D368" i="14"/>
  <c r="D369" i="14"/>
  <c r="D370" i="14"/>
  <c r="D371" i="14"/>
  <c r="D372" i="14"/>
  <c r="D373" i="14"/>
  <c r="D376" i="14"/>
  <c r="D379" i="14"/>
  <c r="D380" i="14"/>
  <c r="D381" i="14"/>
  <c r="D382" i="14"/>
  <c r="D383" i="14"/>
  <c r="D384" i="14"/>
  <c r="D385" i="14"/>
  <c r="D386" i="14"/>
  <c r="D387" i="14"/>
  <c r="D388" i="14"/>
  <c r="D389" i="14"/>
  <c r="D392" i="14"/>
  <c r="D395" i="14"/>
  <c r="D396" i="14"/>
  <c r="D113" i="14"/>
  <c r="D135" i="14"/>
  <c r="D136" i="14"/>
  <c r="D137" i="14"/>
  <c r="D139" i="14"/>
  <c r="D145" i="14"/>
  <c r="D152" i="14"/>
  <c r="D153" i="14"/>
  <c r="D154" i="14"/>
  <c r="D167" i="14"/>
  <c r="D168" i="14"/>
  <c r="D169" i="14"/>
  <c r="D170" i="14"/>
  <c r="D171" i="14"/>
  <c r="D183" i="14"/>
  <c r="D184" i="14"/>
  <c r="D185" i="14"/>
  <c r="D186" i="14"/>
  <c r="D187" i="14"/>
  <c r="D193" i="14"/>
  <c r="D200" i="14"/>
  <c r="D201" i="14"/>
  <c r="D202" i="14"/>
  <c r="D215" i="14"/>
  <c r="D216" i="14"/>
  <c r="D217" i="14"/>
  <c r="D218" i="14"/>
  <c r="D219" i="14"/>
  <c r="D231" i="14"/>
  <c r="D232" i="14"/>
  <c r="D233" i="14"/>
  <c r="D234" i="14"/>
  <c r="D235" i="14"/>
  <c r="D241" i="14"/>
  <c r="D247" i="14"/>
  <c r="D248" i="14"/>
  <c r="D249" i="14"/>
  <c r="D250" i="14"/>
  <c r="D251" i="14"/>
  <c r="D264" i="14"/>
  <c r="D265" i="14"/>
  <c r="D266" i="14"/>
  <c r="D267" i="14"/>
  <c r="D268" i="14"/>
  <c r="D269" i="14"/>
  <c r="D274" i="14"/>
  <c r="D280" i="14"/>
  <c r="D281" i="14"/>
  <c r="D283" i="14"/>
  <c r="D284" i="14"/>
  <c r="D297" i="14"/>
  <c r="D298" i="14"/>
  <c r="D299" i="14"/>
  <c r="D300" i="14"/>
  <c r="D301" i="14"/>
  <c r="D311" i="14"/>
  <c r="D312" i="14"/>
  <c r="D313" i="14"/>
  <c r="D314" i="14"/>
  <c r="D315" i="14"/>
  <c r="D317" i="14"/>
  <c r="D318" i="14"/>
  <c r="D319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4" i="14"/>
  <c r="D115" i="14"/>
  <c r="D116" i="14"/>
  <c r="D117" i="14"/>
  <c r="D118" i="14"/>
  <c r="D125" i="14"/>
  <c r="D126" i="14"/>
  <c r="D127" i="14"/>
  <c r="D128" i="14"/>
  <c r="D129" i="14"/>
  <c r="D130" i="14"/>
  <c r="D131" i="14"/>
  <c r="D132" i="14"/>
  <c r="D133" i="14"/>
  <c r="D134" i="14"/>
  <c r="D141" i="14"/>
  <c r="D142" i="14"/>
  <c r="D143" i="14"/>
  <c r="D144" i="14"/>
  <c r="D146" i="14"/>
  <c r="D147" i="14"/>
  <c r="D148" i="14"/>
  <c r="D149" i="14"/>
  <c r="D150" i="14"/>
  <c r="D151" i="14"/>
  <c r="D157" i="14"/>
  <c r="D158" i="14"/>
  <c r="D159" i="14"/>
  <c r="D160" i="14"/>
  <c r="D161" i="14"/>
  <c r="D162" i="14"/>
  <c r="D163" i="14"/>
  <c r="D164" i="14"/>
  <c r="D165" i="14"/>
  <c r="D166" i="14"/>
  <c r="D173" i="14"/>
  <c r="D174" i="14"/>
  <c r="D175" i="14"/>
  <c r="D176" i="14"/>
  <c r="D177" i="14"/>
  <c r="D178" i="14"/>
  <c r="D179" i="14"/>
  <c r="D180" i="14"/>
  <c r="D181" i="14"/>
  <c r="D182" i="14"/>
  <c r="D189" i="14"/>
  <c r="D190" i="14"/>
  <c r="D191" i="14"/>
  <c r="D192" i="14"/>
  <c r="D194" i="14"/>
  <c r="D195" i="14"/>
  <c r="D196" i="14"/>
  <c r="D197" i="14"/>
  <c r="D198" i="14"/>
  <c r="D199" i="14"/>
  <c r="D205" i="14"/>
  <c r="D206" i="14"/>
  <c r="D207" i="14"/>
  <c r="D208" i="14"/>
  <c r="D209" i="14"/>
  <c r="D210" i="14"/>
  <c r="D211" i="14"/>
  <c r="D212" i="14"/>
  <c r="D213" i="14"/>
  <c r="D214" i="14"/>
  <c r="D221" i="14"/>
  <c r="D222" i="14"/>
  <c r="D223" i="14"/>
  <c r="D224" i="14"/>
  <c r="D225" i="14"/>
  <c r="D226" i="14"/>
  <c r="D227" i="14"/>
  <c r="D228" i="14"/>
  <c r="D229" i="14"/>
  <c r="D230" i="14"/>
  <c r="D237" i="14"/>
  <c r="D238" i="14"/>
  <c r="D239" i="14"/>
  <c r="D240" i="14"/>
  <c r="D242" i="14"/>
  <c r="D243" i="14"/>
  <c r="D244" i="14"/>
  <c r="D245" i="14"/>
  <c r="D246" i="14"/>
  <c r="D254" i="14"/>
  <c r="D255" i="14"/>
  <c r="D256" i="14"/>
  <c r="D257" i="14"/>
  <c r="D258" i="14"/>
  <c r="D259" i="14"/>
  <c r="D260" i="14"/>
  <c r="D261" i="14"/>
  <c r="D262" i="14"/>
  <c r="D263" i="14"/>
  <c r="D270" i="14"/>
  <c r="D271" i="14"/>
  <c r="D272" i="14"/>
  <c r="D273" i="14"/>
  <c r="D275" i="14"/>
  <c r="D276" i="14"/>
  <c r="D277" i="14"/>
  <c r="D278" i="14"/>
  <c r="D279" i="14"/>
  <c r="D287" i="14"/>
  <c r="D288" i="14"/>
  <c r="D289" i="14"/>
  <c r="D290" i="14"/>
  <c r="D291" i="14"/>
  <c r="D292" i="14"/>
  <c r="D293" i="14"/>
  <c r="D294" i="14"/>
  <c r="D295" i="14"/>
  <c r="D296" i="14"/>
  <c r="D303" i="14"/>
  <c r="D304" i="14"/>
  <c r="D305" i="14"/>
  <c r="D306" i="14"/>
  <c r="D307" i="14"/>
  <c r="D308" i="14"/>
  <c r="D309" i="14"/>
  <c r="D310" i="14"/>
  <c r="AF1" i="30" l="1"/>
  <c r="M1" i="29"/>
  <c r="K1" i="29"/>
  <c r="L1" i="29"/>
  <c r="D119" i="14"/>
  <c r="D120" i="14"/>
  <c r="D121" i="14"/>
  <c r="D123" i="14"/>
  <c r="D138" i="14"/>
  <c r="D122" i="14"/>
  <c r="A2352" i="2"/>
  <c r="A1686" i="2"/>
  <c r="A2027" i="2"/>
  <c r="A2257" i="2"/>
  <c r="A2401" i="2"/>
  <c r="A2392" i="2"/>
  <c r="A2329" i="2"/>
  <c r="A2317" i="2"/>
  <c r="A2412" i="2"/>
  <c r="A2394" i="2"/>
  <c r="A2430" i="2"/>
  <c r="A2482" i="2"/>
  <c r="A2485" i="2"/>
  <c r="A2471" i="2"/>
  <c r="A2332" i="2"/>
  <c r="A2390" i="2"/>
  <c r="A2366" i="2"/>
  <c r="A2425" i="2"/>
  <c r="A2316" i="2"/>
  <c r="A2469" i="2"/>
  <c r="A2470" i="2"/>
  <c r="A2370" i="2"/>
  <c r="A2331" i="2"/>
  <c r="A2338" i="2"/>
  <c r="A2389" i="2"/>
  <c r="A2342" i="2"/>
  <c r="A2319" i="2"/>
  <c r="A2455" i="2"/>
  <c r="A2439" i="2"/>
  <c r="A2452" i="2"/>
  <c r="A2318" i="2"/>
  <c r="A2351" i="2"/>
  <c r="A2434" i="2"/>
  <c r="A2343" i="2"/>
  <c r="A2423" i="2"/>
  <c r="A2431" i="2"/>
  <c r="A2404" i="2"/>
  <c r="A2327" i="2"/>
  <c r="A2408" i="2"/>
  <c r="A2348" i="2"/>
  <c r="A2381" i="2"/>
  <c r="A2334" i="2"/>
  <c r="A2397" i="2"/>
  <c r="A2393" i="2"/>
  <c r="A2474" i="2"/>
  <c r="A2476" i="2"/>
  <c r="A2405" i="2"/>
  <c r="A2364" i="2"/>
  <c r="A2415" i="2"/>
  <c r="A2373" i="2"/>
  <c r="A2375" i="2"/>
  <c r="A2463" i="2"/>
  <c r="A2475" i="2"/>
  <c r="A2486" i="2"/>
  <c r="A2339" i="2"/>
  <c r="A2416" i="2"/>
  <c r="A2487" i="2"/>
  <c r="A2480" i="2"/>
  <c r="A2365" i="2"/>
  <c r="A2326" i="2"/>
  <c r="A2411" i="2"/>
  <c r="A2321" i="2"/>
  <c r="A2453" i="2"/>
  <c r="A2391" i="2"/>
  <c r="A2488" i="2"/>
  <c r="A2325" i="2"/>
  <c r="A2432" i="2"/>
  <c r="A2376" i="2"/>
  <c r="A2462" i="2"/>
  <c r="A2385" i="2"/>
  <c r="A2426" i="2"/>
  <c r="A2387" i="2"/>
  <c r="A2467" i="2"/>
  <c r="A2477" i="2"/>
  <c r="A2451" i="2"/>
  <c r="A2386" i="2"/>
  <c r="A2349" i="2"/>
  <c r="A2384" i="2"/>
  <c r="A2483" i="2"/>
  <c r="A2357" i="2"/>
  <c r="X3" i="29" l="1" a="1"/>
  <c r="W3" i="29" a="1"/>
  <c r="J1" i="29"/>
  <c r="O1" i="29"/>
  <c r="N1" i="29"/>
  <c r="A1612" i="2"/>
  <c r="A2258" i="2"/>
  <c r="A1638" i="2"/>
  <c r="A2548" i="2"/>
  <c r="A2542" i="2"/>
  <c r="A2276" i="2"/>
  <c r="A2310" i="2"/>
  <c r="A2267" i="2"/>
  <c r="A2255" i="2"/>
  <c r="A2269" i="2"/>
  <c r="A2295" i="2"/>
  <c r="A2307" i="2"/>
  <c r="A2489" i="2"/>
  <c r="A2301" i="2"/>
  <c r="A2270" i="2"/>
  <c r="A2287" i="2"/>
  <c r="A2268" i="2"/>
  <c r="A2299" i="2"/>
  <c r="A2378" i="2"/>
  <c r="A2265" i="2"/>
  <c r="A1241" i="2"/>
  <c r="A2243" i="2"/>
  <c r="A2313" i="2"/>
  <c r="A2273" i="2"/>
  <c r="A2420" i="2"/>
  <c r="A2297" i="2"/>
  <c r="A2281" i="2"/>
  <c r="A2242" i="2"/>
  <c r="A2260" i="2"/>
  <c r="A2244" i="2"/>
  <c r="A2308" i="2"/>
  <c r="A2251" i="2"/>
  <c r="A2315" i="2"/>
  <c r="A2284" i="2"/>
  <c r="A2314" i="2"/>
  <c r="A2259" i="2"/>
  <c r="A2283" i="2"/>
  <c r="A2263" i="2"/>
  <c r="A2264" i="2"/>
  <c r="A2294" i="2"/>
  <c r="A2300" i="2"/>
  <c r="A2249" i="2"/>
  <c r="A2277" i="2"/>
  <c r="A2275" i="2"/>
  <c r="A2305" i="2"/>
  <c r="A2306" i="2"/>
  <c r="A2254" i="2"/>
  <c r="A2266" i="2"/>
  <c r="A2253" i="2"/>
  <c r="A2285" i="2"/>
  <c r="A2290" i="2"/>
  <c r="A2279" i="2"/>
  <c r="A2466" i="2"/>
  <c r="A2245" i="2"/>
  <c r="A2280" i="2"/>
  <c r="A2298" i="2"/>
  <c r="A2293" i="2"/>
  <c r="A2296" i="2"/>
  <c r="A2240" i="2"/>
  <c r="A2324" i="2"/>
  <c r="A2353" i="2"/>
  <c r="A2256" i="2"/>
  <c r="A2292" i="2"/>
  <c r="A2241" i="2"/>
  <c r="A2252" i="2"/>
  <c r="A2271" i="2"/>
  <c r="A2250" i="2"/>
  <c r="A2247" i="2"/>
  <c r="A2262" i="2"/>
  <c r="A2286" i="2"/>
  <c r="A2238" i="2"/>
  <c r="A2302" i="2"/>
  <c r="A2303" i="2"/>
  <c r="A2261" i="2"/>
  <c r="A2272" i="2"/>
  <c r="A2248" i="2"/>
  <c r="A2304" i="2"/>
  <c r="A2312" i="2"/>
  <c r="A2309" i="2"/>
  <c r="A2311" i="2"/>
  <c r="A2274" i="2"/>
  <c r="A2289" i="2"/>
  <c r="A2239" i="2"/>
  <c r="A2282" i="2"/>
  <c r="A2278" i="2"/>
  <c r="A2246" i="2"/>
  <c r="A1613" i="2"/>
  <c r="A970" i="2"/>
  <c r="A176" i="2"/>
  <c r="A1790" i="2"/>
  <c r="A1127" i="2"/>
  <c r="A1650" i="2"/>
  <c r="A1664" i="2"/>
  <c r="A1716" i="2"/>
  <c r="A112" i="2"/>
  <c r="A1636" i="2"/>
  <c r="A517" i="2"/>
  <c r="A1615" i="2"/>
  <c r="A1679" i="2"/>
  <c r="A1229" i="2"/>
  <c r="A1515" i="2"/>
  <c r="A1767" i="2"/>
  <c r="A1624" i="2"/>
  <c r="G5" i="4" a="1"/>
  <c r="A1791" i="2"/>
  <c r="A1687" i="2"/>
  <c r="A1757" i="2"/>
  <c r="A1764" i="2"/>
  <c r="A1792" i="2"/>
  <c r="A1093" i="2"/>
  <c r="A269" i="2"/>
  <c r="A1721" i="2"/>
  <c r="A1642" i="2"/>
  <c r="A1639" i="2"/>
  <c r="A1516" i="2"/>
  <c r="A1288" i="2"/>
  <c r="A1741" i="2"/>
  <c r="A1700" i="2"/>
  <c r="A1785" i="2"/>
  <c r="A1628" i="2"/>
  <c r="A1285" i="2"/>
  <c r="A1049" i="2"/>
  <c r="A1765" i="2"/>
  <c r="A1672" i="2"/>
  <c r="A1715" i="2"/>
  <c r="A1714" i="2"/>
  <c r="A2539" i="2"/>
  <c r="A2536" i="2"/>
  <c r="A2537" i="2"/>
  <c r="A2534" i="2"/>
  <c r="D4" i="4"/>
  <c r="V3" i="29" l="1" a="1"/>
  <c r="U1" i="29"/>
  <c r="A1660" i="2"/>
  <c r="A1749" i="2"/>
  <c r="V1" i="29" l="1"/>
  <c r="A1680" i="2"/>
  <c r="A2510" i="2"/>
  <c r="A2515" i="2"/>
  <c r="A2517" i="2"/>
  <c r="A1657" i="2"/>
  <c r="A104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33" i="2"/>
  <c r="A928" i="2"/>
  <c r="N3" i="30" s="1" a="1"/>
  <c r="A1768" i="2"/>
  <c r="A929" i="2"/>
  <c r="A1751" i="2"/>
  <c r="A2552" i="2"/>
  <c r="A1740" i="2"/>
  <c r="A1706" i="2"/>
  <c r="A2549" i="2"/>
  <c r="A2546" i="2"/>
  <c r="A1245" i="2"/>
  <c r="A1265" i="2"/>
  <c r="A904" i="2"/>
  <c r="A432" i="2"/>
  <c r="A1599" i="2"/>
  <c r="A1788" i="2"/>
  <c r="A167" i="2"/>
  <c r="A2509" i="2"/>
  <c r="A2504" i="2"/>
  <c r="A2503" i="2"/>
  <c r="A2502" i="2"/>
  <c r="A2501" i="2"/>
  <c r="A2500" i="2"/>
  <c r="A2498" i="2"/>
  <c r="A2495" i="2"/>
  <c r="A2494" i="2"/>
  <c r="A833" i="2"/>
  <c r="A1418" i="2"/>
  <c r="A1667" i="2"/>
  <c r="A267" i="2"/>
  <c r="A2104" i="2"/>
  <c r="A1625" i="2"/>
  <c r="A1623" i="2"/>
  <c r="A1386" i="2"/>
  <c r="L1" i="30" l="1"/>
  <c r="A1758" i="2"/>
  <c r="A5" i="4" a="1"/>
  <c r="B1" i="4"/>
  <c r="A1210" i="2"/>
  <c r="A1742" i="2"/>
  <c r="A1230" i="2"/>
  <c r="A1531" i="2"/>
  <c r="A268" i="2"/>
  <c r="A197" i="2"/>
  <c r="A1659" i="2"/>
  <c r="A1256" i="2"/>
  <c r="A1385" i="2"/>
  <c r="A1214" i="2"/>
  <c r="A1512" i="2"/>
  <c r="A305" i="2"/>
  <c r="A1729" i="2"/>
  <c r="A561" i="2"/>
  <c r="A1705" i="2"/>
  <c r="A1391" i="2"/>
  <c r="A195" i="2"/>
  <c r="A1258" i="2"/>
  <c r="A1702" i="2"/>
  <c r="A1593" i="2"/>
  <c r="A1261" i="2"/>
  <c r="A1769" i="2"/>
  <c r="A1775" i="2"/>
  <c r="A139" i="2"/>
  <c r="E3" i="30" s="1" a="1"/>
  <c r="A318" i="2"/>
  <c r="A786" i="2"/>
  <c r="A1219" i="2"/>
  <c r="R3" i="30" s="1" a="1"/>
  <c r="A503" i="2"/>
  <c r="J3" i="30" s="1" a="1"/>
  <c r="A1209" i="2"/>
  <c r="A1231" i="2"/>
  <c r="A1718" i="2"/>
  <c r="A1727" i="2"/>
  <c r="A1291" i="2"/>
  <c r="A1759" i="2"/>
  <c r="A252" i="2"/>
  <c r="A1704" i="2"/>
  <c r="A629" i="2"/>
  <c r="A1596" i="2"/>
  <c r="A362" i="2"/>
  <c r="A1699" i="2"/>
  <c r="A1682" i="2"/>
  <c r="A2516" i="2"/>
  <c r="A777" i="2"/>
  <c r="A1671" i="2"/>
  <c r="A1738" i="2"/>
  <c r="A1539" i="2"/>
  <c r="A759" i="2"/>
  <c r="A1211" i="2"/>
  <c r="A301" i="2"/>
  <c r="A1734" i="2"/>
  <c r="A2106" i="2"/>
  <c r="A763" i="2"/>
  <c r="A2490" i="2"/>
  <c r="A1379" i="2"/>
  <c r="A1232" i="2"/>
  <c r="A624" i="2"/>
  <c r="A1731" i="2"/>
  <c r="A1770" i="2"/>
  <c r="A898" i="2"/>
  <c r="A765" i="2"/>
  <c r="A1783" i="2"/>
  <c r="A359" i="2"/>
  <c r="A1262" i="2"/>
  <c r="A1685" i="2"/>
  <c r="A406" i="2"/>
  <c r="A1598" i="2"/>
  <c r="A1681" i="2"/>
  <c r="A1614" i="2"/>
  <c r="A1661" i="2"/>
  <c r="A2236" i="2"/>
  <c r="AH3" i="30" s="1" a="1"/>
  <c r="A372" i="2"/>
  <c r="A411" i="2"/>
  <c r="A1600" i="2"/>
  <c r="A1663" i="2"/>
  <c r="A1235" i="2"/>
  <c r="A1782" i="2"/>
  <c r="A1654" i="2"/>
  <c r="A1707" i="2"/>
  <c r="A1236" i="2"/>
  <c r="A1213" i="2"/>
  <c r="A1533" i="2"/>
  <c r="A826" i="2"/>
  <c r="A266" i="2"/>
  <c r="A2491" i="2"/>
  <c r="A1290" i="2"/>
  <c r="A668" i="2"/>
  <c r="A1683" i="2"/>
  <c r="A1616" i="2"/>
  <c r="A1656" i="2"/>
  <c r="A827" i="2"/>
  <c r="A1760" i="2"/>
  <c r="A766" i="2"/>
  <c r="A2540" i="2"/>
  <c r="A1668" i="2"/>
  <c r="A1618" i="2"/>
  <c r="A1619" i="2"/>
  <c r="A1238" i="2"/>
  <c r="A179" i="2"/>
  <c r="A1678" i="2"/>
  <c r="A1371" i="2"/>
  <c r="A626" i="2"/>
  <c r="A1658" i="2"/>
  <c r="A304" i="2"/>
  <c r="A1215" i="2"/>
  <c r="A1604" i="2"/>
  <c r="A2108" i="2"/>
  <c r="A779" i="2"/>
  <c r="A1673" i="2"/>
  <c r="A1621" i="2"/>
  <c r="A1781" i="2"/>
  <c r="A1762" i="2"/>
  <c r="A1748" i="2"/>
  <c r="A1766" i="2"/>
  <c r="A7" i="2"/>
  <c r="A832" i="2"/>
  <c r="A1713" i="2"/>
  <c r="A408" i="2"/>
  <c r="A1665" i="2"/>
  <c r="A403" i="2"/>
  <c r="A580" i="2"/>
  <c r="A628" i="2"/>
  <c r="A1779" i="2"/>
  <c r="A1383" i="2"/>
  <c r="A1719" i="2"/>
  <c r="A2497" i="2"/>
  <c r="A1720" i="2"/>
  <c r="A747" i="2"/>
  <c r="A1709" i="2"/>
  <c r="A452" i="2"/>
  <c r="A165" i="2"/>
  <c r="A767" i="2"/>
  <c r="A1243" i="2"/>
  <c r="A1289" i="2"/>
  <c r="A1626" i="2"/>
  <c r="A1698" i="2"/>
  <c r="A1415" i="2"/>
  <c r="A1780" i="2"/>
  <c r="A1607" i="2"/>
  <c r="A1101" i="2"/>
  <c r="P3" i="30" s="1" a="1"/>
  <c r="A200" i="2"/>
  <c r="A1744" i="2"/>
  <c r="A1563" i="2"/>
  <c r="A1627" i="2"/>
  <c r="A1750" i="2"/>
  <c r="A1726" i="2"/>
  <c r="A427" i="2"/>
  <c r="A1630" i="2"/>
  <c r="A637" i="2"/>
  <c r="A1387" i="2"/>
  <c r="A2145" i="2"/>
  <c r="AE3" i="30" s="1" a="1"/>
  <c r="A1631" i="2"/>
  <c r="A1784" i="2"/>
  <c r="A2117" i="2"/>
  <c r="AD3" i="30" s="1" a="1"/>
  <c r="A1632" i="2"/>
  <c r="A2550" i="2"/>
  <c r="A1529" i="2"/>
  <c r="A1633" i="2"/>
  <c r="A568" i="2"/>
  <c r="A1634" i="2"/>
  <c r="A158" i="2"/>
  <c r="F3" i="30" s="1" a="1"/>
  <c r="A1635" i="2"/>
  <c r="A1248" i="2"/>
  <c r="A308" i="2"/>
  <c r="A2148" i="2"/>
  <c r="A2151" i="2"/>
  <c r="A435" i="2"/>
  <c r="A1609" i="2"/>
  <c r="A1566" i="2"/>
  <c r="A168" i="2"/>
  <c r="A1249" i="2"/>
  <c r="A1250" i="2"/>
  <c r="A1739" i="2"/>
  <c r="A836" i="2"/>
  <c r="A1728" i="2"/>
  <c r="A881" i="2"/>
  <c r="A1251" i="2"/>
  <c r="A1710" i="2"/>
  <c r="A1637" i="2"/>
  <c r="A1787" i="2"/>
  <c r="A1688" i="2"/>
  <c r="A782" i="2"/>
  <c r="A1755" i="2"/>
  <c r="A1640" i="2"/>
  <c r="A1641" i="2"/>
  <c r="A1674" i="2"/>
  <c r="A1643" i="2"/>
  <c r="A1644" i="2"/>
  <c r="A1737" i="2"/>
  <c r="A571" i="2"/>
  <c r="A764" i="2"/>
  <c r="A643" i="2"/>
  <c r="A1253" i="2"/>
  <c r="A2152" i="2"/>
  <c r="A1646" i="2"/>
  <c r="A1690" i="2"/>
  <c r="A569" i="2"/>
  <c r="A1774" i="2"/>
  <c r="A1208" i="2"/>
  <c r="A1691" i="2"/>
  <c r="A1254" i="2"/>
  <c r="A1255" i="2"/>
  <c r="A1611" i="2"/>
  <c r="A1675" i="2"/>
  <c r="A640" i="2"/>
  <c r="A1647" i="2"/>
  <c r="A663" i="2"/>
  <c r="A662" i="2"/>
  <c r="A1571" i="2"/>
  <c r="A1761" i="2"/>
  <c r="A1217" i="2"/>
  <c r="A449" i="2"/>
  <c r="A1259" i="2"/>
  <c r="A1756" i="2"/>
  <c r="A905" i="2"/>
  <c r="A2492" i="2"/>
  <c r="A1701" i="2"/>
  <c r="A1537" i="2"/>
  <c r="A451" i="2"/>
  <c r="A1270" i="2"/>
  <c r="A1676" i="2"/>
  <c r="A614" i="2"/>
  <c r="A1648" i="2"/>
  <c r="A1649" i="2"/>
  <c r="A2553" i="2"/>
  <c r="A1384" i="2"/>
  <c r="A1730" i="2"/>
  <c r="A1786" i="2"/>
  <c r="A161" i="2"/>
  <c r="AI3" i="30" l="1" a="1"/>
  <c r="AI1" i="30" s="1"/>
  <c r="I3" i="30" a="1"/>
  <c r="W3" i="30" a="1"/>
  <c r="G3" i="30" a="1"/>
  <c r="AA3" i="30" a="1"/>
  <c r="Z3" i="29" a="1"/>
  <c r="Q3" i="30" a="1"/>
  <c r="Q1" i="30" s="1"/>
  <c r="T3" i="30" a="1"/>
  <c r="T1" i="30" s="1"/>
  <c r="D3" i="30" a="1"/>
  <c r="D1" i="30" s="1"/>
  <c r="S3" i="29" a="1"/>
  <c r="AC3" i="30" a="1"/>
  <c r="AC1" i="30" s="1"/>
  <c r="S3" i="30" a="1"/>
  <c r="S1" i="30" s="1"/>
  <c r="M3" i="30" a="1"/>
  <c r="M1" i="30" s="1"/>
  <c r="H3" i="30" a="1"/>
  <c r="H1" i="30" s="1"/>
  <c r="Z3" i="30" a="1"/>
  <c r="R3" i="29" a="1"/>
  <c r="R1" i="29" s="1"/>
  <c r="O1" i="30"/>
  <c r="U3" i="30" a="1"/>
  <c r="U1" i="30" s="1"/>
  <c r="T3" i="29" a="1"/>
  <c r="AB3" i="30" a="1"/>
  <c r="AB1" i="30" s="1"/>
  <c r="K3" i="30" a="1"/>
  <c r="Y3" i="29" a="1"/>
  <c r="Y1" i="29" s="1"/>
  <c r="AJ3" i="30" a="1"/>
  <c r="AG1" i="30"/>
  <c r="AH1" i="30"/>
  <c r="I1" i="29"/>
  <c r="W1" i="29"/>
  <c r="N1" i="30"/>
  <c r="E1" i="30"/>
  <c r="X1" i="30"/>
  <c r="B22" i="4"/>
  <c r="C22" i="4" s="1"/>
  <c r="B21" i="4"/>
  <c r="C21" i="4" s="1"/>
  <c r="D6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7" i="4"/>
  <c r="B20" i="4"/>
  <c r="C20" i="4" s="1"/>
  <c r="B7" i="4"/>
  <c r="C7" i="4" s="1"/>
  <c r="B8" i="4"/>
  <c r="C8" i="4" s="1"/>
  <c r="B15" i="4"/>
  <c r="C15" i="4" s="1"/>
  <c r="B17" i="4"/>
  <c r="C17" i="4" s="1"/>
  <c r="B9" i="4"/>
  <c r="C9" i="4" s="1"/>
  <c r="B19" i="4"/>
  <c r="C19" i="4" s="1"/>
  <c r="B10" i="4"/>
  <c r="C10" i="4" s="1"/>
  <c r="B6" i="4"/>
  <c r="C6" i="4" s="1"/>
  <c r="B11" i="4"/>
  <c r="C11" i="4" s="1"/>
  <c r="B14" i="4"/>
  <c r="C14" i="4" s="1"/>
  <c r="B18" i="4"/>
  <c r="C18" i="4" s="1"/>
  <c r="B12" i="4"/>
  <c r="C12" i="4" s="1"/>
  <c r="B16" i="4"/>
  <c r="C16" i="4" s="1"/>
  <c r="B13" i="4"/>
  <c r="C13" i="4" s="1"/>
  <c r="D5" i="4" s="1"/>
  <c r="AD1" i="30"/>
  <c r="AE1" i="30"/>
  <c r="J1" i="30"/>
  <c r="F1" i="30"/>
  <c r="R1" i="30"/>
  <c r="V1" i="30"/>
  <c r="X1" i="29"/>
  <c r="Q1" i="29"/>
  <c r="Y1" i="30"/>
  <c r="P1" i="30"/>
  <c r="P1" i="29"/>
  <c r="B5" i="4"/>
  <c r="Z1" i="30" l="1"/>
  <c r="AA1" i="30"/>
  <c r="W1" i="30"/>
  <c r="K1" i="30"/>
  <c r="G1" i="30"/>
  <c r="B2" i="4"/>
  <c r="B4" i="4" s="1"/>
  <c r="C4" i="4" s="1"/>
  <c r="AJ1" i="30"/>
  <c r="T1" i="29" s="1"/>
  <c r="I1" i="30"/>
  <c r="Z1" i="29"/>
  <c r="S1" i="29" s="1"/>
  <c r="C5" i="4"/>
  <c r="H1" i="29" l="1"/>
  <c r="C1" i="3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<sst xmlns="http://schemas.openxmlformats.org/spreadsheetml/2006/main" count="16776" uniqueCount="5869">
  <si>
    <t>#</t>
  </si>
  <si>
    <t>A Belén se va y se viene</t>
  </si>
  <si>
    <t>A la fiesta del Señor</t>
  </si>
  <si>
    <t>A ti acudo</t>
  </si>
  <si>
    <t>A ti que eres el signo</t>
  </si>
  <si>
    <t>Abba, Padre</t>
  </si>
  <si>
    <t>Abre tu tienda al Señor</t>
  </si>
  <si>
    <t>Abro mi ser</t>
  </si>
  <si>
    <t>Acerquémonos todos al altar</t>
  </si>
  <si>
    <t>Al atardecer de la vida</t>
  </si>
  <si>
    <t>Al ver Jesús</t>
  </si>
  <si>
    <t>Alegre la mañana</t>
  </si>
  <si>
    <t>Alegrémonos, hermanos</t>
  </si>
  <si>
    <t>Alelu-aleluya</t>
  </si>
  <si>
    <t>Aleluya (Santiago)</t>
  </si>
  <si>
    <t>Aleluya cantará</t>
  </si>
  <si>
    <t>Aleluya por esa gente</t>
  </si>
  <si>
    <t>Aleluya, creo en Ti, Señor</t>
  </si>
  <si>
    <t>Aleluya, el Señor es nuestro Rey</t>
  </si>
  <si>
    <t>Aleluya, es la fiesta del Señor</t>
  </si>
  <si>
    <t>Alma misionera</t>
  </si>
  <si>
    <t>Alrededor de tu mesa</t>
  </si>
  <si>
    <t>Amando hasta el extremo</t>
  </si>
  <si>
    <t>Amaos (Como el Padre me amó)</t>
  </si>
  <si>
    <t>Amar es darse</t>
  </si>
  <si>
    <t>Andando por el camino</t>
  </si>
  <si>
    <t>Bendigamos al Señor</t>
  </si>
  <si>
    <t>Bienaventurados seremos, Señor</t>
  </si>
  <si>
    <t>Caminando voy</t>
  </si>
  <si>
    <t>Canta aleluya</t>
  </si>
  <si>
    <t>Cantad a Dios</t>
  </si>
  <si>
    <t>Cantaré eternamente</t>
  </si>
  <si>
    <t>Cantemos todos la Navidad</t>
  </si>
  <si>
    <t>Cerca está el Señor</t>
  </si>
  <si>
    <t>Comeremos de la mesa</t>
  </si>
  <si>
    <t>Compartir junto al Señor</t>
  </si>
  <si>
    <t>Con vosotros está</t>
  </si>
  <si>
    <t>Corazón inquieto</t>
  </si>
  <si>
    <t>Cordero de Dios (boliviano)</t>
  </si>
  <si>
    <t>Cristo ha resucitado</t>
  </si>
  <si>
    <t>Cristo nos da la libertad</t>
  </si>
  <si>
    <t>Cristo por nosotros</t>
  </si>
  <si>
    <t>Cuando el pobre nada tiene</t>
  </si>
  <si>
    <t>Danos un corazón</t>
  </si>
  <si>
    <t>Dios es fiel</t>
  </si>
  <si>
    <t>Dios está aquí</t>
  </si>
  <si>
    <t>Dolorosa</t>
  </si>
  <si>
    <t>Donde hay caridad y amor</t>
  </si>
  <si>
    <t>El amor es nuestro canto</t>
  </si>
  <si>
    <t>El calor de tu palabra</t>
  </si>
  <si>
    <t>El que muere por mí</t>
  </si>
  <si>
    <t>El Señor Dios nos amó</t>
  </si>
  <si>
    <t>El Señor es mi luz</t>
  </si>
  <si>
    <t>El Señor es mi pastor</t>
  </si>
  <si>
    <t>El Señor nos ha nacido en Belén</t>
  </si>
  <si>
    <t>El tamborilero</t>
  </si>
  <si>
    <t>En el mar he oído hoy</t>
  </si>
  <si>
    <t>En el Señor estamos congregados</t>
  </si>
  <si>
    <t>En la comida que Cristo nos da</t>
  </si>
  <si>
    <t>En mi debilidad</t>
  </si>
  <si>
    <t>En mi Getsemaní</t>
  </si>
  <si>
    <t>Eres el fuego, el amor</t>
  </si>
  <si>
    <t>Eres mi riqueza</t>
  </si>
  <si>
    <t>Es de locos</t>
  </si>
  <si>
    <t>Escucha, tú, la Palabra de Dios</t>
  </si>
  <si>
    <t>Esta es tu fiesta</t>
  </si>
  <si>
    <t>Este es el día en que actuó el Señor</t>
  </si>
  <si>
    <t>Gloria a Dios en el cielo</t>
  </si>
  <si>
    <t>Gloria a Dios, gloria al Padre</t>
  </si>
  <si>
    <t>Gloria y alabanza</t>
  </si>
  <si>
    <t>Gracias, Señor</t>
  </si>
  <si>
    <t>Gritad que Dios es grande</t>
  </si>
  <si>
    <t>Hágase</t>
  </si>
  <si>
    <t>Hay un corazón que late</t>
  </si>
  <si>
    <t>Himno a Nuestra Señora de la Almudena</t>
  </si>
  <si>
    <t>Hosanna, hosanna, hosanna</t>
  </si>
  <si>
    <t>Hoy el Señor resucitó</t>
  </si>
  <si>
    <t>Hoy vuelvo de lejos</t>
  </si>
  <si>
    <t>Hoy, Señor, te damos gracias</t>
  </si>
  <si>
    <t>Iglesia soy</t>
  </si>
  <si>
    <t>Ilumíname, Señor</t>
  </si>
  <si>
    <t>Jesús, nuestra Pascua</t>
  </si>
  <si>
    <t>Juntos cantemos hoy</t>
  </si>
  <si>
    <t>Juntos como hermanos</t>
  </si>
  <si>
    <t>La cena del Señor</t>
  </si>
  <si>
    <t>La Virgen sueña caminos</t>
  </si>
  <si>
    <t>Lo que hemos visto y oído</t>
  </si>
  <si>
    <t>Los magos vienen de Oriente</t>
  </si>
  <si>
    <t>Madre de todos los hombres</t>
  </si>
  <si>
    <t>María, la madre buena</t>
  </si>
  <si>
    <t>María, madre nuestra</t>
  </si>
  <si>
    <t>María, mírame</t>
  </si>
  <si>
    <t>María, música de Dios</t>
  </si>
  <si>
    <t>Mi Dios está vivo</t>
  </si>
  <si>
    <t>Mirad al suelo</t>
  </si>
  <si>
    <t>Nada nos separará</t>
  </si>
  <si>
    <t>Nadie te ama como Yo</t>
  </si>
  <si>
    <t>No adoréis a nadie</t>
  </si>
  <si>
    <t>No me mueve</t>
  </si>
  <si>
    <t>No se cansó de hacer el bien</t>
  </si>
  <si>
    <t>Oh, mi Dios, crea en mí</t>
  </si>
  <si>
    <t>Oh, Señor, mueve mi espíritu</t>
  </si>
  <si>
    <t>Ojalá escuchemos hoy su voz</t>
  </si>
  <si>
    <t>Oración del pobre</t>
  </si>
  <si>
    <t>Os doy un mandato nuevo</t>
  </si>
  <si>
    <t>Padre nuestro (mexicano)</t>
  </si>
  <si>
    <t>Padre nuestro, tú que estás</t>
  </si>
  <si>
    <t>Padre, únenos</t>
  </si>
  <si>
    <t>Para el que sabe</t>
  </si>
  <si>
    <t>Paz en la tierra</t>
  </si>
  <si>
    <t>Paz, Señor, en el cielo y la tierra</t>
  </si>
  <si>
    <t>Pescador de hombres</t>
  </si>
  <si>
    <t>Pon tu mano</t>
  </si>
  <si>
    <t>Por los hombres</t>
  </si>
  <si>
    <t>Por ti, mi Dios</t>
  </si>
  <si>
    <t>Preparad el camino al Señor</t>
  </si>
  <si>
    <t>Protégeme, Dios mío</t>
  </si>
  <si>
    <t>Pueblo mío</t>
  </si>
  <si>
    <t>Purifícame, Señor</t>
  </si>
  <si>
    <t>Qué alegría cuando me dijeron</t>
  </si>
  <si>
    <t>Qué te puedo dar</t>
  </si>
  <si>
    <t>Qué tendrá lo pequeño</t>
  </si>
  <si>
    <t>Qué ves en la noche</t>
  </si>
  <si>
    <t>Quédate con nosotros</t>
  </si>
  <si>
    <t>Quiero alabarte</t>
  </si>
  <si>
    <t>Reina del Cielo</t>
  </si>
  <si>
    <t>Resucitó, aleluya</t>
  </si>
  <si>
    <t>Reunidos en el nombre del Señor</t>
  </si>
  <si>
    <t>Santa María del Camino</t>
  </si>
  <si>
    <t>Santo (Cielo y tierra pasarán)</t>
  </si>
  <si>
    <t>Santo (The Beatles)</t>
  </si>
  <si>
    <t>Santo zaireño</t>
  </si>
  <si>
    <t>Se acerca tu Navidad</t>
  </si>
  <si>
    <t>Señor, ten piedad</t>
  </si>
  <si>
    <t>Shalom haberim</t>
  </si>
  <si>
    <t>Si Dios a su mesa nos quiere sentar</t>
  </si>
  <si>
    <t>Sois la sal</t>
  </si>
  <si>
    <t>Sois la semilla</t>
  </si>
  <si>
    <t>Somos un pueblo que camina</t>
  </si>
  <si>
    <t>Tan cerca de mí</t>
  </si>
  <si>
    <t>Te damos gracias, Señor</t>
  </si>
  <si>
    <t>Te ensalzaré, Señor</t>
  </si>
  <si>
    <t>Tengo que gritar</t>
  </si>
  <si>
    <t>Todos unidos</t>
  </si>
  <si>
    <t>Tomado de la mano</t>
  </si>
  <si>
    <t>Traemos a tu altar</t>
  </si>
  <si>
    <t>Tú eres capaz</t>
  </si>
  <si>
    <t>Tú eres el Dios que nos salva</t>
  </si>
  <si>
    <t>Tu Palabra me da vida</t>
  </si>
  <si>
    <t>Tu Reino es vida</t>
  </si>
  <si>
    <t>Un día abrí los ojos</t>
  </si>
  <si>
    <t>Un niño se te acercó</t>
  </si>
  <si>
    <t>Un nuevo sitio disponed</t>
  </si>
  <si>
    <t>Una espiga dorada</t>
  </si>
  <si>
    <t>Una nueva vida</t>
  </si>
  <si>
    <t>Unidos en la fiesta</t>
  </si>
  <si>
    <t>Vamos a preparar</t>
  </si>
  <si>
    <t>Vamos cantando al Señor</t>
  </si>
  <si>
    <t>Vamos todos al banquete</t>
  </si>
  <si>
    <t>Vaso nuevo</t>
  </si>
  <si>
    <t>Ven, Salvador</t>
  </si>
  <si>
    <t>Venimos a escuchar tu voz</t>
  </si>
  <si>
    <t>Victoria, tú reinarás</t>
  </si>
  <si>
    <t>Vienen con alegría</t>
  </si>
  <si>
    <t>Vive tu amor en mí</t>
  </si>
  <si>
    <t>Volar</t>
  </si>
  <si>
    <t>Yo cantaré (Magnificat)</t>
  </si>
  <si>
    <t>Yo celebraré</t>
  </si>
  <si>
    <t>Yo soy el Pan de Vida</t>
  </si>
  <si>
    <t>Yo soy la luz del mundo</t>
  </si>
  <si>
    <t>Yo soy la Vida y la Verdad</t>
  </si>
  <si>
    <t>Adoraré tu cuerpo herido</t>
  </si>
  <si>
    <t>Alimento de amor (El loco)</t>
  </si>
  <si>
    <t>Bienaventuranzas (33 El Musical)</t>
  </si>
  <si>
    <t>Bienaventuranzas (Kairoi)</t>
  </si>
  <si>
    <t>Cerca de Ti, Señor</t>
  </si>
  <si>
    <t>Dime cómo ser pan</t>
  </si>
  <si>
    <t>Dios es amor</t>
  </si>
  <si>
    <t>El Espíritu de Dios (33 El Musical)</t>
  </si>
  <si>
    <t>El niño Dios ha nacido en Belén</t>
  </si>
  <si>
    <t>Él vendrá y te salvará</t>
  </si>
  <si>
    <t>Fuente de paz y fidelidad</t>
  </si>
  <si>
    <t>He venido a servir</t>
  </si>
  <si>
    <t>Himno a San José</t>
  </si>
  <si>
    <t>Pastores, venid</t>
  </si>
  <si>
    <t>Por la paz no callaré</t>
  </si>
  <si>
    <t>Ten piedad de mi, Señor</t>
  </si>
  <si>
    <t>Una voz clama en el desierto</t>
  </si>
  <si>
    <t>Ven, Espíritu de Dios (Kairoi)</t>
  </si>
  <si>
    <t>Ya vienen los Reyes Magos</t>
  </si>
  <si>
    <t>Entrada</t>
  </si>
  <si>
    <t>Perdón - Agua</t>
  </si>
  <si>
    <t>Gloria</t>
  </si>
  <si>
    <t>Aleluya</t>
  </si>
  <si>
    <t>Ofertorio</t>
  </si>
  <si>
    <t>Santo</t>
  </si>
  <si>
    <t>Padrenuestro</t>
  </si>
  <si>
    <t>Paz</t>
  </si>
  <si>
    <t>Despedida</t>
  </si>
  <si>
    <t>María</t>
  </si>
  <si>
    <t>Antífonas</t>
  </si>
  <si>
    <t>Cordero de Dios</t>
  </si>
  <si>
    <t>Ven a la fiesta</t>
  </si>
  <si>
    <t>Alza tu mano (Comunidad)</t>
  </si>
  <si>
    <t>TOTAL contar</t>
  </si>
  <si>
    <t>TOTAL suma</t>
  </si>
  <si>
    <t>Blancos</t>
  </si>
  <si>
    <t>Origen</t>
  </si>
  <si>
    <t>NSB</t>
  </si>
  <si>
    <t>Cantemos al amor de los amores</t>
  </si>
  <si>
    <t>Especiales</t>
  </si>
  <si>
    <t>Unidos a todos los pueblos</t>
  </si>
  <si>
    <t>Nati</t>
  </si>
  <si>
    <t>Envíame</t>
  </si>
  <si>
    <t>No temas</t>
  </si>
  <si>
    <t>Tocho8</t>
  </si>
  <si>
    <t>Ven, Espíritu de Dios (Esprit createur)</t>
  </si>
  <si>
    <t>Siempre estuviste aquí (Almudena)</t>
  </si>
  <si>
    <t>Espíritu</t>
  </si>
  <si>
    <t>Toño</t>
  </si>
  <si>
    <t>x</t>
  </si>
  <si>
    <t>Dios nos convoca</t>
  </si>
  <si>
    <t>El Señor nos ha reunido</t>
  </si>
  <si>
    <t>El Señor resucitó</t>
  </si>
  <si>
    <t>Jesús está entre nosotros</t>
  </si>
  <si>
    <t>Ven a celebrar</t>
  </si>
  <si>
    <t>Agua, lávame</t>
  </si>
  <si>
    <t>Me levantaré</t>
  </si>
  <si>
    <t>A Dios den gracias los pueblos</t>
  </si>
  <si>
    <t>Quién nos separará</t>
  </si>
  <si>
    <t>Aleluya, ha nacido el salvador</t>
  </si>
  <si>
    <t>Santo (Mocedades)</t>
  </si>
  <si>
    <t>La paz te doy</t>
  </si>
  <si>
    <t>Llevad la buena noticia</t>
  </si>
  <si>
    <t>El Señor os dará su Espíritu Santo</t>
  </si>
  <si>
    <t>Hoy, Señor, te daré</t>
  </si>
  <si>
    <t>Quiero caminar contigo, María</t>
  </si>
  <si>
    <t>Mujer fuerte</t>
  </si>
  <si>
    <t>Gloria, gloria a Dios</t>
  </si>
  <si>
    <t>Que tu palabra nos cambie el corazón</t>
  </si>
  <si>
    <t>Da la paz al mundo</t>
  </si>
  <si>
    <t>Padre nuestro, padre nuestro</t>
  </si>
  <si>
    <t>Jesús, ven tú</t>
  </si>
  <si>
    <t>María, María</t>
  </si>
  <si>
    <t>Bienvenidos</t>
  </si>
  <si>
    <t>Te ofrecemos</t>
  </si>
  <si>
    <t>Peregrinos de la paz y la alegría</t>
  </si>
  <si>
    <t>CLN</t>
  </si>
  <si>
    <t>Cordero de Dios (Aragüés)</t>
  </si>
  <si>
    <t>Cordero de Dios (Manzano)</t>
  </si>
  <si>
    <t>Si me falta el amor</t>
  </si>
  <si>
    <t>Nace el niño en un portal</t>
  </si>
  <si>
    <t>Nunca suenan las campanas</t>
  </si>
  <si>
    <t>SBM</t>
  </si>
  <si>
    <t>Tono</t>
  </si>
  <si>
    <t>Jesús, amigo</t>
  </si>
  <si>
    <t>Yendo contigo</t>
  </si>
  <si>
    <t>Migueli</t>
  </si>
  <si>
    <t>Jesús es Señor</t>
  </si>
  <si>
    <t>Tomad, comed</t>
  </si>
  <si>
    <t>Hakuna</t>
  </si>
  <si>
    <t>Padre nuestro zaragozano</t>
  </si>
  <si>
    <t>Cancionero Final MD</t>
  </si>
  <si>
    <t>Enciéndeme</t>
  </si>
  <si>
    <t>Que sea mi vida la sal</t>
  </si>
  <si>
    <t>CancioneroSG</t>
  </si>
  <si>
    <t>Núm</t>
  </si>
  <si>
    <t>Taizé</t>
  </si>
  <si>
    <t>2018-2019</t>
  </si>
  <si>
    <t>2020-2021</t>
  </si>
  <si>
    <t>2023-2024</t>
  </si>
  <si>
    <t>Columna1</t>
  </si>
  <si>
    <t>Columna2</t>
  </si>
  <si>
    <t>Columna3</t>
  </si>
  <si>
    <t>Columna4</t>
  </si>
  <si>
    <t>Herre, visa mig vägen</t>
  </si>
  <si>
    <t>Aber du weisst den Weg für mich</t>
  </si>
  <si>
    <t>Ad te Jesu Christe</t>
  </si>
  <si>
    <t>Libro vocal</t>
  </si>
  <si>
    <t>Adoramus te Christe</t>
  </si>
  <si>
    <t>Adoramus te O Christe</t>
  </si>
  <si>
    <t>SOLOS</t>
  </si>
  <si>
    <t>Taizé Madrid</t>
  </si>
  <si>
    <t>Alleluia (94) ***FOTO</t>
  </si>
  <si>
    <t>Cantoral Taizé</t>
  </si>
  <si>
    <t>Alleluia (96)</t>
  </si>
  <si>
    <t>Alleluia (97) ***FOTO</t>
  </si>
  <si>
    <t>Alleluia (Kiev)</t>
  </si>
  <si>
    <t>Alleluia 1</t>
  </si>
  <si>
    <t>Acordes</t>
  </si>
  <si>
    <t>Alleluia 4</t>
  </si>
  <si>
    <t>Alleluia 5</t>
  </si>
  <si>
    <t>Carnet jaune vert</t>
  </si>
  <si>
    <t>Alleluia 7</t>
  </si>
  <si>
    <t>Alleluia 8</t>
  </si>
  <si>
    <t>Alleluia 10</t>
  </si>
  <si>
    <t>Alleluia 11</t>
  </si>
  <si>
    <t>Alleluia 16</t>
  </si>
  <si>
    <t>Alleluia 17</t>
  </si>
  <si>
    <t>Alleluia 18</t>
  </si>
  <si>
    <t>Alleluia 20</t>
  </si>
  <si>
    <t>Alleluia 21</t>
  </si>
  <si>
    <t>Alleluia 22</t>
  </si>
  <si>
    <t>Alleluia 23</t>
  </si>
  <si>
    <t>All you who pass this way</t>
  </si>
  <si>
    <t>Atme in uns</t>
  </si>
  <si>
    <t>Aucune ombre</t>
  </si>
  <si>
    <t>Auprès de Dieu</t>
  </si>
  <si>
    <t>Avant la fin de la lumière</t>
  </si>
  <si>
    <t>Beati voi poveri</t>
  </si>
  <si>
    <t>Béatitudes</t>
  </si>
  <si>
    <t>Behüte mich Gott</t>
  </si>
  <si>
    <t>Bendigo al Señor</t>
  </si>
  <si>
    <t>Benedictus qui venit (canon)</t>
  </si>
  <si>
    <t>Benedictus Dominus Deus</t>
  </si>
  <si>
    <t>Bénissez le Seigneur</t>
  </si>
  <si>
    <t>Bleib mit deiner Gnade</t>
  </si>
  <si>
    <t>Bleibet hier</t>
  </si>
  <si>
    <t>Bless the Lord</t>
  </si>
  <si>
    <t>Bóg jest miłością</t>
  </si>
  <si>
    <t>Bogoroditse Dievo 1</t>
  </si>
  <si>
    <t>Bogoroditse Dievo 2</t>
  </si>
  <si>
    <t>Bonum est confidere</t>
  </si>
  <si>
    <t>C’est toi ma lampe</t>
  </si>
  <si>
    <t>Cantarei ao Senhor</t>
  </si>
  <si>
    <t>Cantate Domino</t>
  </si>
  <si>
    <t>Cantate Domino canticum novum</t>
  </si>
  <si>
    <t>Christe Jesu lumen cordium</t>
  </si>
  <si>
    <t>Christe, lux mundi</t>
  </si>
  <si>
    <t>Christe Salvator</t>
  </si>
  <si>
    <t>Christus resurrexit</t>
  </si>
  <si>
    <t>Confitemini Domino</t>
  </si>
  <si>
    <t>Crucem tuam</t>
  </si>
  <si>
    <t>Da pacem cordium (canon)</t>
  </si>
  <si>
    <t>Da pacem... in diebus</t>
  </si>
  <si>
    <t>Dans nos obscurités</t>
  </si>
  <si>
    <t>De noche</t>
  </si>
  <si>
    <t>Despierta tú que duermes</t>
  </si>
  <si>
    <t>Deus, Deus meus (canon)</t>
  </si>
  <si>
    <t>Dieu ne peut que donner</t>
  </si>
  <si>
    <t>Dieu Saint</t>
  </si>
  <si>
    <t>Dominus spiritus est</t>
  </si>
  <si>
    <t>Dona la pace</t>
  </si>
  <si>
    <t>Dona nobis pacem</t>
  </si>
  <si>
    <t>Eat this bread</t>
  </si>
  <si>
    <t>El alma que anda en amor</t>
  </si>
  <si>
    <t>El Senyor</t>
  </si>
  <si>
    <t>El Senyor (In the Lord / Meine Hoffnung / Pan jest mocą)</t>
  </si>
  <si>
    <t>Esprit consolateur</t>
  </si>
  <si>
    <t>Exaudi orationem meam</t>
  </si>
  <si>
    <t>Exomologisthe to Kyrio</t>
  </si>
  <si>
    <t>Fiez-vous en Lui</t>
  </si>
  <si>
    <t>Frieden, Frieden</t>
  </si>
  <si>
    <t>Gib mich ganz zu eigen dir</t>
  </si>
  <si>
    <t>Gloria... et in terra pax</t>
  </si>
  <si>
    <t>Gloria, gloria (canon)</t>
  </si>
  <si>
    <t>Gospodi A</t>
  </si>
  <si>
    <t>Gospodi B</t>
  </si>
  <si>
    <t>Gospodi C</t>
  </si>
  <si>
    <t>Gospodi E</t>
  </si>
  <si>
    <t>Gospodi F</t>
  </si>
  <si>
    <t>Grande est ta bonté</t>
  </si>
  <si>
    <t>Heureux qui s’abandonne à toi</t>
  </si>
  <si>
    <t>Hristos anesti ek nekron</t>
  </si>
  <si>
    <t>Hristos voskriesie iz miertvih</t>
  </si>
  <si>
    <t>Hvalite imia Gospodnie</t>
  </si>
  <si>
    <t>I am sure I shall see</t>
  </si>
  <si>
    <t>Iedere nacht verlang ik</t>
  </si>
  <si>
    <t>Il Signore ti ristora</t>
  </si>
  <si>
    <t>In manus tuas</t>
  </si>
  <si>
    <t>In resurrectione tua</t>
  </si>
  <si>
    <t>In te confido</t>
  </si>
  <si>
    <t>Je sais que mon rédempteur est vivant</t>
  </si>
  <si>
    <t>Jesu Christe, Fili Dei</t>
  </si>
  <si>
    <t>Jesu Redemptor</t>
  </si>
  <si>
    <t>Jésus Christ, ô clarté d'en haut</t>
  </si>
  <si>
    <t>Jésus le Christ</t>
  </si>
  <si>
    <t>Jésus, ma joie</t>
  </si>
  <si>
    <t>Jesus, remember me</t>
  </si>
  <si>
    <t>Jubelt und freut euch</t>
  </si>
  <si>
    <t>Jubilate, Alleluia</t>
  </si>
  <si>
    <t>Jubilate coeli (canon)</t>
  </si>
  <si>
    <t>Jubilate Deo</t>
  </si>
  <si>
    <t>Jubilate, servite</t>
  </si>
  <si>
    <t>Kristus, din Ande</t>
  </si>
  <si>
    <t>Kyrie 1</t>
  </si>
  <si>
    <t>Kyrie 5</t>
  </si>
  <si>
    <t>Kyrie 6</t>
  </si>
  <si>
    <t>Kyrie 7</t>
  </si>
  <si>
    <t>Kyrie 8</t>
  </si>
  <si>
    <t>Kyrie 9</t>
  </si>
  <si>
    <t>Kyrie 10</t>
  </si>
  <si>
    <t>Kyrie 11</t>
  </si>
  <si>
    <t>Kyrie 12</t>
  </si>
  <si>
    <t>Kyrie 13</t>
  </si>
  <si>
    <t>Kyrie 17</t>
  </si>
  <si>
    <t>Kyrie 18</t>
  </si>
  <si>
    <t>Kyrie 19</t>
  </si>
  <si>
    <t>Kyrie 20</t>
  </si>
  <si>
    <t>Kyrie 21</t>
  </si>
  <si>
    <t>L’ajuda em vindrà</t>
  </si>
  <si>
    <t>La ténèbre</t>
  </si>
  <si>
    <t>Laetentur coeli</t>
  </si>
  <si>
    <t>Laudamus te***</t>
  </si>
  <si>
    <t>Laudate Dominum***</t>
  </si>
  <si>
    <t>Laudate omnes gentes***</t>
  </si>
  <si>
    <t>Laudemus Deum</t>
  </si>
  <si>
    <t>Let all who are thirsty come</t>
  </si>
  <si>
    <t>Magnificat (canon)</t>
  </si>
  <si>
    <t>Magnificat (choral)***</t>
  </si>
  <si>
    <t>Magnificat 3***</t>
  </si>
  <si>
    <t>Mane nobiscum</t>
  </si>
  <si>
    <t>Misericordias Domini</t>
  </si>
  <si>
    <t>Mon âme se repose</t>
  </si>
  <si>
    <t>Nada te turbe</t>
  </si>
  <si>
    <t>Nebojte se</t>
  </si>
  <si>
    <t>Nothing can ever</t>
  </si>
  <si>
    <t>Notre âme attend</t>
  </si>
  <si>
    <t>Notre Père</t>
  </si>
  <si>
    <t>Nunc dimittis</t>
  </si>
  <si>
    <t>O Christe Domine Jesu</t>
  </si>
  <si>
    <t>O toi, l’au-delà de tout</t>
  </si>
  <si>
    <t>Oculi nostri</t>
  </si>
  <si>
    <t>Ostende nobis</t>
  </si>
  <si>
    <t>Para mim, ser feliz</t>
  </si>
  <si>
    <t>Per crucem</t>
  </si>
  <si>
    <t>Przybądź, Duchu Boży</t>
  </si>
  <si>
    <t>Psallite Deo</t>
  </si>
  <si>
    <t>Que j’exulte et jubile</t>
  </si>
  <si>
    <t>Qui regarde vers Dieu</t>
  </si>
  <si>
    <t>Rendez grâce au Seigneur</t>
  </si>
  <si>
    <t>Retourne, mon âme, à ton repos</t>
  </si>
  <si>
    <t>Sanasi on lamppu</t>
  </si>
  <si>
    <t>Sanctum nomen Domini</t>
  </si>
  <si>
    <t>See, I am near</t>
  </si>
  <si>
    <t>Seigneur, tu gardes mon âme</t>
  </si>
  <si>
    <t>Señor, que florezca tu justicia</t>
  </si>
  <si>
    <t>Sfinte Dumnezeule</t>
  </si>
  <si>
    <t>Singt dem Herrn</t>
  </si>
  <si>
    <t>Sit nomen Domini</t>
  </si>
  <si>
    <t>Souviens-toi de Jésus Christ</t>
  </si>
  <si>
    <t>Spiritus Jesu Christi</t>
  </si>
  <si>
    <t>Staňte se solí</t>
  </si>
  <si>
    <t>Surrexit Christus</t>
  </si>
  <si>
    <t>Surrexit Dominus vere (canon)</t>
  </si>
  <si>
    <t>Surrexit Dominus vere II</t>
  </si>
  <si>
    <t>Sviaty Boze (102) ***FOTO</t>
  </si>
  <si>
    <t>Sviaty Boze (107)</t>
  </si>
  <si>
    <t>The kingdom of God</t>
  </si>
  <si>
    <t>Tibi, Deo, gloria</t>
  </si>
  <si>
    <t>Toi, tu nous aimes</t>
  </si>
  <si>
    <t>Tu mecum es</t>
  </si>
  <si>
    <t>Tu palabra, Señor</t>
  </si>
  <si>
    <t>Tu sei sorgente viva</t>
  </si>
  <si>
    <t>Tui amoris</t>
  </si>
  <si>
    <t>Ubi caritas</t>
  </si>
  <si>
    <t>Ubi caritas Deus ibi est</t>
  </si>
  <si>
    <t>Une soif emplit notre âme</t>
  </si>
  <si>
    <t>Veni Creator (canon)</t>
  </si>
  <si>
    <t>Veni Creator (litanie)</t>
  </si>
  <si>
    <t>Veni Lumen (choral)</t>
  </si>
  <si>
    <t>Veni lumen cordium I</t>
  </si>
  <si>
    <t>Veni lumen cordium II</t>
  </si>
  <si>
    <t>Veni Sancte Spiritus</t>
  </si>
  <si>
    <t>Venite, exultemus Domino</t>
  </si>
  <si>
    <t>Vieni Spirito creatore (canon)</t>
  </si>
  <si>
    <t>Viešpatie, tu viską žinai</t>
  </si>
  <si>
    <t>Voici Dieu qui vient à mon secours</t>
  </si>
  <si>
    <t>Wait for the Lord</t>
  </si>
  <si>
    <t>With you, O Lord</t>
  </si>
  <si>
    <t>Wysławiajcie Pana</t>
  </si>
  <si>
    <t>Zu wem sollen wir gehen</t>
  </si>
  <si>
    <t>La</t>
  </si>
  <si>
    <t>Letra índice</t>
  </si>
  <si>
    <t>Letra</t>
  </si>
  <si>
    <t>Navidad</t>
  </si>
  <si>
    <t>Un pueblo que camina por el mundo</t>
  </si>
  <si>
    <t>Autor</t>
  </si>
  <si>
    <t>Carmelo Erdozáin</t>
  </si>
  <si>
    <t>Juanjo Elezkano</t>
  </si>
  <si>
    <t>Francisco Palazón</t>
  </si>
  <si>
    <t>Toño Casado</t>
  </si>
  <si>
    <t>Cesáreo Gabarain</t>
  </si>
  <si>
    <t>Kairoi</t>
  </si>
  <si>
    <t>Joaquín Madurga</t>
  </si>
  <si>
    <t>Antonio Alcalde</t>
  </si>
  <si>
    <t>Miguel Manzano</t>
  </si>
  <si>
    <t>Al-Haraca</t>
  </si>
  <si>
    <t>Peregrino (Éxodo y liberación)</t>
  </si>
  <si>
    <t>Maranatha</t>
  </si>
  <si>
    <t>Juan Antonio Espinosa</t>
  </si>
  <si>
    <t>Oscar Palomares</t>
  </si>
  <si>
    <t>Alborada</t>
  </si>
  <si>
    <t>Confieso</t>
  </si>
  <si>
    <t>JHS</t>
  </si>
  <si>
    <t>Viviremos firmes en la fe</t>
  </si>
  <si>
    <t>Ave María</t>
  </si>
  <si>
    <t>Pedro Núñez</t>
  </si>
  <si>
    <t>Brotes de Olivo</t>
  </si>
  <si>
    <t>Ain Karem</t>
  </si>
  <si>
    <t>Javier Gacías</t>
  </si>
  <si>
    <t>Anónimo</t>
  </si>
  <si>
    <t>Todo mi ser (Alabo tu bondad)</t>
  </si>
  <si>
    <t>Gloria, gloria, aleluya</t>
  </si>
  <si>
    <t>Coral Católica Juvenil</t>
  </si>
  <si>
    <t>Marcos Frisina</t>
  </si>
  <si>
    <t>Luis Guitarra</t>
  </si>
  <si>
    <t>Ricardo Cantalapiedra</t>
  </si>
  <si>
    <t>Grupo Nueva Vida</t>
  </si>
  <si>
    <t>Nico Montero</t>
  </si>
  <si>
    <t>Español</t>
  </si>
  <si>
    <t>Oh, Dios, tú eres mi Dios (Sed de Dios)</t>
  </si>
  <si>
    <t>Jaime Espino</t>
  </si>
  <si>
    <t>El cáliz que bendecimos</t>
  </si>
  <si>
    <t>Gregorio Fernández</t>
  </si>
  <si>
    <t>Popular</t>
  </si>
  <si>
    <t>Misa salvadoreña</t>
  </si>
  <si>
    <t>Grupo Gente Nueva</t>
  </si>
  <si>
    <t>Jesucristo Superstar</t>
  </si>
  <si>
    <t>Ixcís</t>
  </si>
  <si>
    <t>Jesús Cardeñoso</t>
  </si>
  <si>
    <t>Jaime Olguín</t>
  </si>
  <si>
    <t>Mocedades</t>
  </si>
  <si>
    <t>The Beatles</t>
  </si>
  <si>
    <t>Santo (Händel)</t>
  </si>
  <si>
    <t>Santo salvadoreño</t>
  </si>
  <si>
    <t>Santo (Están llenos de tu amor)</t>
  </si>
  <si>
    <t>Santo (Hosanna en el Cielo al Señor)</t>
  </si>
  <si>
    <t>Santo (Olguín)</t>
  </si>
  <si>
    <t>Do</t>
  </si>
  <si>
    <t>Esto que te doy</t>
  </si>
  <si>
    <t>Laura</t>
  </si>
  <si>
    <t>María de Nazaret</t>
  </si>
  <si>
    <t>Ven, Espíritu divino (Secuencia de Pentecostés)</t>
  </si>
  <si>
    <t>Pedro Antonio Garza</t>
  </si>
  <si>
    <t>JJ</t>
  </si>
  <si>
    <t>Tomás Aragüés</t>
  </si>
  <si>
    <t>Josep Asunción</t>
  </si>
  <si>
    <t>Enrique García Vélez</t>
  </si>
  <si>
    <t>Comunidad San Pedro</t>
  </si>
  <si>
    <t>Maite López</t>
  </si>
  <si>
    <t>Emilio Vicente Mateu</t>
  </si>
  <si>
    <t>Una tarde en la playa</t>
  </si>
  <si>
    <t>Alegría, alegría, alegría</t>
  </si>
  <si>
    <t>Campana sobre campana</t>
  </si>
  <si>
    <t>Ay, del chiquirritín</t>
  </si>
  <si>
    <t>Dime, niño</t>
  </si>
  <si>
    <t>Navidad, es Navidad</t>
  </si>
  <si>
    <t>Navidad, Navidad</t>
  </si>
  <si>
    <t>Vivid la Navidad</t>
  </si>
  <si>
    <t>Aquí tienes el Pan</t>
  </si>
  <si>
    <t>Roca</t>
  </si>
  <si>
    <t>Aleluya (Junto a ti, Jesús)</t>
  </si>
  <si>
    <t>No quiero alejarme de ti</t>
  </si>
  <si>
    <t>Quiero caminar</t>
  </si>
  <si>
    <t>Te amo, Señor</t>
  </si>
  <si>
    <t>Padre, vuelvo a ti</t>
  </si>
  <si>
    <t>Mirad, Jesús resucita hoy</t>
  </si>
  <si>
    <t>Santo es el Señor</t>
  </si>
  <si>
    <t>Señor, ten piedad de nosotros</t>
  </si>
  <si>
    <t>Ayúdame a caminar</t>
  </si>
  <si>
    <t>Ven, no apartes de mí los ojos</t>
  </si>
  <si>
    <t>Sigue habiendo</t>
  </si>
  <si>
    <t>Santo, Santo, Santo</t>
  </si>
  <si>
    <t>TSNC</t>
  </si>
  <si>
    <t>Santo eres, Señor, Dios nuestro</t>
  </si>
  <si>
    <t>Juntos nos acercamos</t>
  </si>
  <si>
    <t>Ramón Capilla</t>
  </si>
  <si>
    <t>Pelayo Sánchez</t>
  </si>
  <si>
    <t>Sarah Flower Adams</t>
  </si>
  <si>
    <t>Alicia Mendoza</t>
  </si>
  <si>
    <t>Salomé Arricibita</t>
  </si>
  <si>
    <t>Alberto Taulé</t>
  </si>
  <si>
    <t>Martín Valverde</t>
  </si>
  <si>
    <t>José Luis Perales</t>
  </si>
  <si>
    <t>Athenas</t>
  </si>
  <si>
    <t>Kiko Argüello</t>
  </si>
  <si>
    <t>Santo (Santo Domingo de Silos)</t>
  </si>
  <si>
    <t>Rafael Espinosa</t>
  </si>
  <si>
    <t>Suzanne Toolan</t>
  </si>
  <si>
    <t>Georg Friedrich Händel</t>
  </si>
  <si>
    <t>Salve, Regina</t>
  </si>
  <si>
    <t>CRC</t>
  </si>
  <si>
    <t>Algo nuevo</t>
  </si>
  <si>
    <t>Linda Stassen</t>
  </si>
  <si>
    <t>Linda Duval</t>
  </si>
  <si>
    <t>Bob Fitts y Gary Sadler</t>
  </si>
  <si>
    <t>Alejandro Ruiz</t>
  </si>
  <si>
    <t>Letanías</t>
  </si>
  <si>
    <t>Adorando</t>
  </si>
  <si>
    <t>Ven y descánsate</t>
  </si>
  <si>
    <t>Quiero ser pan</t>
  </si>
  <si>
    <t>Galfer</t>
  </si>
  <si>
    <t>Dulce muchacha humilde de Palestina</t>
  </si>
  <si>
    <t>Tú nos dijiste que la muerte</t>
  </si>
  <si>
    <t>Salve, Madre</t>
  </si>
  <si>
    <t>Agustín</t>
  </si>
  <si>
    <t>Gen Verde</t>
  </si>
  <si>
    <t>Lámpara es tu palabra</t>
  </si>
  <si>
    <t>Safa</t>
  </si>
  <si>
    <t>La bondad y el amor del Señor</t>
  </si>
  <si>
    <t>Háblame</t>
  </si>
  <si>
    <t>Principio y fundamento</t>
  </si>
  <si>
    <t>José María Olaizola</t>
  </si>
  <si>
    <t>Secuencia de Pascua</t>
  </si>
  <si>
    <t>OK</t>
  </si>
  <si>
    <t>Gloria a Dios (No sé cómo alabarte)</t>
  </si>
  <si>
    <t>José Vives</t>
  </si>
  <si>
    <t>Caminaré hoy en tu presencia</t>
  </si>
  <si>
    <t>Sor Trini - Hijas de la Caridad</t>
  </si>
  <si>
    <t>Marco López</t>
  </si>
  <si>
    <t>Ven, si te has caído levántate</t>
  </si>
  <si>
    <t>Grupo Loyola Valladolid</t>
  </si>
  <si>
    <t>Eduardo Ortiz</t>
  </si>
  <si>
    <t>Pablo Coloma</t>
  </si>
  <si>
    <t>Padre nuestro (Erdozáin)</t>
  </si>
  <si>
    <t>Elena Ráfales</t>
  </si>
  <si>
    <t>Alejandro Mejía</t>
  </si>
  <si>
    <t>Cordero de Dios (Maristas)</t>
  </si>
  <si>
    <t>Cordero de Dios (MiEs)</t>
  </si>
  <si>
    <t>Misioneros de la Esperanza</t>
  </si>
  <si>
    <t>Parroquia San Juan de Ávila</t>
  </si>
  <si>
    <t>Tanto amó Dios al mundo</t>
  </si>
  <si>
    <t>Gen Rosso</t>
  </si>
  <si>
    <t>José Antonio Poblete</t>
  </si>
  <si>
    <t>Eduardo Meana</t>
  </si>
  <si>
    <t>Gina Fernández</t>
  </si>
  <si>
    <t>Francisco Alvarado (Schönstatt)</t>
  </si>
  <si>
    <t>Alberto y Emilia</t>
  </si>
  <si>
    <t>Paloma Falconi</t>
  </si>
  <si>
    <t>Marcela de María</t>
  </si>
  <si>
    <t>Ricardo de la Fuente</t>
  </si>
  <si>
    <t>A. B. Celada Alonso</t>
  </si>
  <si>
    <t>Como sal, como luz</t>
  </si>
  <si>
    <t>Nati2022</t>
  </si>
  <si>
    <t>No podemos caminar (Hambre de Dios)</t>
  </si>
  <si>
    <t>A dónde me queréis llevar</t>
  </si>
  <si>
    <t>Gloyola</t>
  </si>
  <si>
    <t>https://pastoralmusical.es/inicio/gloyola</t>
  </si>
  <si>
    <t>https://pastoralmusical.es/inicio/tsnc</t>
  </si>
  <si>
    <t>Nada has pensado</t>
  </si>
  <si>
    <t>Karolinns</t>
  </si>
  <si>
    <t>Huracán</t>
  </si>
  <si>
    <t>Número</t>
  </si>
  <si>
    <t>E10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</si>
  <si>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</si>
  <si>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</si>
  <si>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</si>
  <si>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</si>
  <si>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</si>
  <si>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</si>
  <si>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</si>
  <si>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</si>
  <si>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</si>
  <si>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</si>
  <si>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</si>
  <si>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</si>
  <si>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</si>
  <si>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</si>
  <si>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</si>
  <si>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</si>
  <si>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</si>
  <si>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</si>
  <si>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</si>
  <si>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</si>
  <si>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</si>
  <si>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</si>
  <si>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</si>
  <si>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</si>
  <si>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</si>
  <si>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</si>
  <si>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</si>
  <si>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</si>
  <si>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</si>
  <si>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</si>
  <si>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</si>
  <si>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</si>
  <si>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</si>
  <si>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</si>
  <si>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</si>
  <si>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</si>
  <si>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</si>
  <si>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</si>
  <si>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</si>
  <si>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</si>
  <si>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</si>
  <si>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</si>
  <si>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</si>
  <si>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</si>
  <si>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</si>
  <si>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</si>
  <si>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</si>
  <si>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</si>
  <si>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</si>
  <si>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</si>
  <si>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</si>
  <si>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</si>
  <si>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</si>
  <si>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</si>
  <si>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</si>
  <si>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</si>
  <si>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</si>
  <si>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</si>
  <si>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</si>
  <si>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</si>
  <si>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</si>
  <si>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</si>
  <si>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</si>
  <si>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</si>
  <si>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</si>
  <si>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</si>
  <si>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</si>
  <si>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</si>
  <si>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</si>
  <si>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</si>
  <si>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</si>
  <si>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</si>
  <si>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</si>
  <si>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</si>
  <si>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</si>
  <si>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</si>
  <si>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</si>
  <si>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</si>
  <si>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</si>
  <si>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</si>
  <si>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</si>
  <si>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</si>
  <si>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</si>
  <si>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</si>
  <si>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</si>
  <si>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</si>
  <si>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</si>
  <si>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</si>
  <si>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</si>
  <si>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</si>
  <si>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</si>
  <si>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</si>
  <si>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</si>
  <si>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</si>
  <si>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</si>
  <si>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</si>
  <si>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</si>
  <si>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</si>
  <si>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</si>
  <si>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</si>
  <si>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</si>
  <si>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</si>
  <si>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</si>
  <si>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</si>
  <si>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</si>
  <si>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</si>
  <si>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</si>
  <si>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</si>
  <si>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</si>
  <si>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</si>
  <si>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</si>
  <si>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</si>
  <si>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</si>
  <si>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</si>
  <si>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</si>
  <si>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</si>
  <si>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</si>
  <si>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</si>
  <si>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</si>
  <si>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</si>
  <si>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</si>
  <si>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</si>
  <si>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</si>
  <si>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</si>
  <si>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</si>
  <si>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</si>
  <si>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</si>
  <si>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</si>
  <si>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I10</t>
  </si>
  <si>
    <t>G10</t>
  </si>
  <si>
    <t>G11</t>
  </si>
  <si>
    <t>G12</t>
  </si>
  <si>
    <t>G13</t>
  </si>
  <si>
    <t>G14</t>
  </si>
  <si>
    <t>Cordero de Dios (Algete)</t>
  </si>
  <si>
    <t>El camino no lo haremos solos</t>
  </si>
  <si>
    <t>Laudate Dominum</t>
  </si>
  <si>
    <t>Laudate omnes gentes</t>
  </si>
  <si>
    <t>Alleluia 94</t>
  </si>
  <si>
    <t>Alleluia 96</t>
  </si>
  <si>
    <t>Alleluia 97</t>
  </si>
  <si>
    <t>Hoy en la tierra</t>
  </si>
  <si>
    <t>Noche de paz</t>
  </si>
  <si>
    <t>Título</t>
  </si>
  <si>
    <t>Coro Niño Jesús (Cádiz)</t>
  </si>
  <si>
    <t>Coro Parroquial San Miguel</t>
  </si>
  <si>
    <t>Padre Ernesto</t>
  </si>
  <si>
    <t>-</t>
  </si>
  <si>
    <t>Referencia</t>
  </si>
  <si>
    <t>San Ignacio de Loyola</t>
  </si>
  <si>
    <t>San Juan de la Cruz</t>
  </si>
  <si>
    <t>Gálatas 4,6</t>
  </si>
  <si>
    <t>Juan 6, 60-68</t>
  </si>
  <si>
    <t>Salmo 96</t>
  </si>
  <si>
    <t>Isaías 43, 19</t>
  </si>
  <si>
    <t>Juan 15, 9-11</t>
  </si>
  <si>
    <t>Juan 13, 1-9</t>
  </si>
  <si>
    <t>Lucas 24, 13-35</t>
  </si>
  <si>
    <t>Romanos 14, 17</t>
  </si>
  <si>
    <t>Mateo 14, 22-33</t>
  </si>
  <si>
    <t>Lucas 4, 18</t>
  </si>
  <si>
    <t>Mateo 5, 3-12</t>
  </si>
  <si>
    <t>Juan 12, 24</t>
  </si>
  <si>
    <t>Salmo 116, 9</t>
  </si>
  <si>
    <t>Salmo 150</t>
  </si>
  <si>
    <t>Salmo 88</t>
  </si>
  <si>
    <t>Salmo 145</t>
  </si>
  <si>
    <t>Mateo 5, 13-16</t>
  </si>
  <si>
    <t>Mateo 25, 35-46</t>
  </si>
  <si>
    <t>San Agustín</t>
  </si>
  <si>
    <t>Filipenses 2, 8-9</t>
  </si>
  <si>
    <t>Ezequiel 36, 26-28</t>
  </si>
  <si>
    <t>1 Juan 4, 8</t>
  </si>
  <si>
    <t>Juan 19, 25-27</t>
  </si>
  <si>
    <t>Salmo 115</t>
  </si>
  <si>
    <t>Isaías 11, 8-9</t>
  </si>
  <si>
    <t>Mateo 26,14-27,66</t>
  </si>
  <si>
    <t>Mateo 26, 26-30</t>
  </si>
  <si>
    <t>Salmo 27</t>
  </si>
  <si>
    <t>Salmo 23</t>
  </si>
  <si>
    <t>Lucas 11:13</t>
  </si>
  <si>
    <t>Isaías 35, 4</t>
  </si>
  <si>
    <t>2 Corintios 12, 10</t>
  </si>
  <si>
    <t>Lucas 22, 39-46</t>
  </si>
  <si>
    <t>1 Reyes 19, 11-12</t>
  </si>
  <si>
    <t>Mateo 13, 44</t>
  </si>
  <si>
    <t>Salmos 118, 24</t>
  </si>
  <si>
    <t>Salmos 145, 1</t>
  </si>
  <si>
    <t>Lucas 1:38</t>
  </si>
  <si>
    <t>Mateo 20, 26-28</t>
  </si>
  <si>
    <t>Juan 12, 12-19</t>
  </si>
  <si>
    <t>Lucas 15, 11-32</t>
  </si>
  <si>
    <t>1 Corintios 12, 3</t>
  </si>
  <si>
    <t>Salmo 23, 6</t>
  </si>
  <si>
    <t>Salmos 119, 105</t>
  </si>
  <si>
    <t>Lucas 15, 18-20</t>
  </si>
  <si>
    <t>Mateo 6, 19</t>
  </si>
  <si>
    <t>1 Corintios 2, 9</t>
  </si>
  <si>
    <t>Lucas 23, 26-56</t>
  </si>
  <si>
    <t>Éxodo 20, 3-17</t>
  </si>
  <si>
    <t>Ruth 1, 16-17</t>
  </si>
  <si>
    <t>Salmo 62</t>
  </si>
  <si>
    <t>Salmo 50</t>
  </si>
  <si>
    <t>Juan 13, 34-35</t>
  </si>
  <si>
    <t>Lc 15, 11-32</t>
  </si>
  <si>
    <t>Lucas 6, 13-16</t>
  </si>
  <si>
    <t>Isaías 41, 10</t>
  </si>
  <si>
    <t>Isaías 40, 3-27</t>
  </si>
  <si>
    <t>Miqueas 6, 3-8</t>
  </si>
  <si>
    <t>Salmo 122</t>
  </si>
  <si>
    <t>Isaías 21, 11-12</t>
  </si>
  <si>
    <t>Juan 13, 12-16</t>
  </si>
  <si>
    <t>Marcos 16, 15-18</t>
  </si>
  <si>
    <t>Salmo 18, 1-3</t>
  </si>
  <si>
    <t>Salmo 29</t>
  </si>
  <si>
    <t>Jeremías 1, 5</t>
  </si>
  <si>
    <t>Mateo 26, 26-46</t>
  </si>
  <si>
    <t>Mateo 19, 21</t>
  </si>
  <si>
    <t>Mateo 14, 13-21</t>
  </si>
  <si>
    <t>Isaías 40, 3-8</t>
  </si>
  <si>
    <t>Lucas 1, 48-56</t>
  </si>
  <si>
    <t>Juan 6, 35</t>
  </si>
  <si>
    <t>Juan 8, 12</t>
  </si>
  <si>
    <t>Juan 14, 6</t>
  </si>
  <si>
    <t>Mas tú sabes que senda es para mí</t>
  </si>
  <si>
    <t>Te adoramos</t>
  </si>
  <si>
    <t>Levanto mi alma</t>
  </si>
  <si>
    <t>Aleluya 11</t>
  </si>
  <si>
    <t>Aleluya 17</t>
  </si>
  <si>
    <t>Aleluya 22</t>
  </si>
  <si>
    <t>Aleluya 7</t>
  </si>
  <si>
    <t>Aleluya 94</t>
  </si>
  <si>
    <t>Aleluya 96</t>
  </si>
  <si>
    <t>Aleluya 97</t>
  </si>
  <si>
    <t>Dichosos los pobres</t>
  </si>
  <si>
    <t>Protégeme, Dios</t>
  </si>
  <si>
    <t>Bendito el que viene (canon)</t>
  </si>
  <si>
    <t>Bendecid al Señor</t>
  </si>
  <si>
    <t>Permaneced conmigo</t>
  </si>
  <si>
    <t>Tengo sed de ti</t>
  </si>
  <si>
    <t>Dios es ternura</t>
  </si>
  <si>
    <t>Dios te salve</t>
  </si>
  <si>
    <t>Qué bueno es confiar en ti</t>
  </si>
  <si>
    <t>Cantaré al Señor</t>
  </si>
  <si>
    <t>Un canto nuevo</t>
  </si>
  <si>
    <t>Dios de la vida</t>
  </si>
  <si>
    <t>Tú, luz del mundo</t>
  </si>
  <si>
    <t>Llénanos, Señor, de tu paz</t>
  </si>
  <si>
    <t>Tu santa cruz</t>
  </si>
  <si>
    <t>Danos, Señor, la paz (canon)</t>
  </si>
  <si>
    <t>Danos la paz, Señor</t>
  </si>
  <si>
    <t>En nuestra oscuridad</t>
  </si>
  <si>
    <t>Oh, Dios, tú, Dios mío (canon)</t>
  </si>
  <si>
    <t>Dios, que nos ama</t>
  </si>
  <si>
    <t>Cristo es Espíritu y Dios</t>
  </si>
  <si>
    <t>Danos la paz, oh, Señor</t>
  </si>
  <si>
    <t>Danos la paz del corazón</t>
  </si>
  <si>
    <t>Come este pan</t>
  </si>
  <si>
    <t>El Señor es mi fortaleza</t>
  </si>
  <si>
    <t>Oh, Dios consolador</t>
  </si>
  <si>
    <t>Dios, muéstrame tu senda</t>
  </si>
  <si>
    <t>Feliz quien se abandona</t>
  </si>
  <si>
    <t>Yo ya sé qué veré</t>
  </si>
  <si>
    <t>Mi corazón te anhela</t>
  </si>
  <si>
    <t>El Señor es quien restaura</t>
  </si>
  <si>
    <t>Oh, Padre, entre tus manos</t>
  </si>
  <si>
    <t>Alégrense el Cielo y la Tierra</t>
  </si>
  <si>
    <t>Cristo Jesús</t>
  </si>
  <si>
    <t>Jesús, mi vida</t>
  </si>
  <si>
    <t>Jesús, acuérdate de mí</t>
  </si>
  <si>
    <t>Alégrate y goza en el Señor</t>
  </si>
  <si>
    <t>Júbilo en el cielo (canon)</t>
  </si>
  <si>
    <t>Al Señor alabe</t>
  </si>
  <si>
    <t>Ten piedad, Señor 1</t>
  </si>
  <si>
    <t>Ten piedad, Señor 20</t>
  </si>
  <si>
    <t>Ten piedad, Señor 6</t>
  </si>
  <si>
    <t>Ten piedad, Señor 8</t>
  </si>
  <si>
    <t>La ayuda vendrá</t>
  </si>
  <si>
    <t>Que alabe al Señor</t>
  </si>
  <si>
    <t>Que todo el mundo alabe</t>
  </si>
  <si>
    <t>Que venga a ti</t>
  </si>
  <si>
    <t>La misericordia del Señor</t>
  </si>
  <si>
    <t>Deja ahora</t>
  </si>
  <si>
    <t>Para mí ser feliz</t>
  </si>
  <si>
    <t>Por tu Cruz</t>
  </si>
  <si>
    <t>Este es el día del Señor</t>
  </si>
  <si>
    <t>Tu palabra alumbra</t>
  </si>
  <si>
    <t>Espíritu de Dios vivo</t>
  </si>
  <si>
    <t>Sé sal que sala</t>
  </si>
  <si>
    <t>Cristo está vivo</t>
  </si>
  <si>
    <t>Cristo ha resucitado (canon)</t>
  </si>
  <si>
    <t>El Reino de Dios</t>
  </si>
  <si>
    <t>Tú eres fuente viva</t>
  </si>
  <si>
    <t>Ven, Espíritu de Dios</t>
  </si>
  <si>
    <t>Donde hay amor</t>
  </si>
  <si>
    <t>Ven, Espíritu (canon)</t>
  </si>
  <si>
    <t>El Señor, que viene en mi ayuda</t>
  </si>
  <si>
    <t>Alabado sea el Señor</t>
  </si>
  <si>
    <t>Dietrich Bonhoeffer</t>
  </si>
  <si>
    <t>Salmo 143, 8</t>
  </si>
  <si>
    <t>Lucas 6, 20</t>
  </si>
  <si>
    <t>Salmo 16, 1-11</t>
  </si>
  <si>
    <t>Marcos 11, 9</t>
  </si>
  <si>
    <t>Daniel 3, 57-90</t>
  </si>
  <si>
    <t>Mateo 26, 38</t>
  </si>
  <si>
    <t>Salmo 103, 1-4</t>
  </si>
  <si>
    <t>Salmo 118, 8-9</t>
  </si>
  <si>
    <t>Salmo 104, 33-34</t>
  </si>
  <si>
    <t>Salmo 96, 1</t>
  </si>
  <si>
    <t>Salmo 136, 1</t>
  </si>
  <si>
    <t>Sirácides (Eclesiástico) 50, 23</t>
  </si>
  <si>
    <t>Luis Rosales</t>
  </si>
  <si>
    <t>Efesios 5, 14</t>
  </si>
  <si>
    <t>2 Corintios 3, 17</t>
  </si>
  <si>
    <t>Salmo 63, 2-5</t>
  </si>
  <si>
    <t>Isaías 12, 2</t>
  </si>
  <si>
    <t>Santa Brígida de Suecia</t>
  </si>
  <si>
    <t>Hermano Roger de Taizé</t>
  </si>
  <si>
    <t>Salmo 27, 13</t>
  </si>
  <si>
    <t>Isaías 26, 9</t>
  </si>
  <si>
    <t>San Ambrosio de Milán</t>
  </si>
  <si>
    <t>Lucas 23, 46</t>
  </si>
  <si>
    <t>Lucas 23, 42</t>
  </si>
  <si>
    <t>Joel 2, 21-23</t>
  </si>
  <si>
    <t>Salmo 66, 1</t>
  </si>
  <si>
    <t>Salmo 121, 2</t>
  </si>
  <si>
    <t>Salmo 117, 1</t>
  </si>
  <si>
    <t>Apocalipsis 22, 17</t>
  </si>
  <si>
    <t>Lucas 1, 46</t>
  </si>
  <si>
    <t>Salmo 89, 2</t>
  </si>
  <si>
    <t>Santa Teresa de Ávila</t>
  </si>
  <si>
    <t>Lucas 2, 29</t>
  </si>
  <si>
    <t>Salmo 47, 7</t>
  </si>
  <si>
    <t>Salmo 119, 105</t>
  </si>
  <si>
    <t>Salmo 72, 6-19</t>
  </si>
  <si>
    <t>Mateo 5, 13-14</t>
  </si>
  <si>
    <t>Lucas 24, 34</t>
  </si>
  <si>
    <t>Miguel de Unamuno</t>
  </si>
  <si>
    <t>Salmo 30, 2</t>
  </si>
  <si>
    <t>A quién iremos, Señor</t>
  </si>
  <si>
    <t>Juan 6, 68</t>
  </si>
  <si>
    <t>Aleluya de Adviento</t>
  </si>
  <si>
    <t>E11</t>
  </si>
  <si>
    <t>Qqqtc</t>
  </si>
  <si>
    <t>Categorías</t>
  </si>
  <si>
    <t>Comunión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</si>
  <si>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</si>
  <si>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</si>
  <si>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</si>
  <si>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</si>
  <si>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</si>
  <si>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</si>
  <si>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</si>
  <si>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</si>
  <si>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</si>
  <si>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</si>
  <si>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</si>
  <si>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</si>
  <si>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</si>
  <si>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</si>
  <si>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</si>
  <si>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</si>
  <si>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</si>
  <si>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</si>
  <si>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</si>
  <si>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</si>
  <si>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</si>
  <si>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</si>
  <si>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</si>
  <si>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</si>
  <si>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</si>
  <si>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</si>
  <si>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Ruta</t>
  </si>
  <si>
    <t>TaizéESP</t>
  </si>
  <si>
    <t>TaizéORIG</t>
  </si>
  <si>
    <t>Jesus Christ, bread of life</t>
  </si>
  <si>
    <t>Q</t>
  </si>
  <si>
    <t>Dentro llevas la fuente de vida</t>
  </si>
  <si>
    <t>V tebi je izvir življenja</t>
  </si>
  <si>
    <t>Re</t>
  </si>
  <si>
    <t>Fa</t>
  </si>
  <si>
    <t>Mi</t>
  </si>
  <si>
    <t>Sol</t>
  </si>
  <si>
    <t>Aleluya (Cohen)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</si>
  <si>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</si>
  <si>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</si>
  <si>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</si>
  <si>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</si>
  <si>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</si>
  <si>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</si>
  <si>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</si>
  <si>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</si>
  <si>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</si>
  <si>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Siempre en ti</t>
  </si>
  <si>
    <t>K83</t>
  </si>
  <si>
    <t>Sib</t>
  </si>
  <si>
    <t>M10</t>
  </si>
  <si>
    <t>M11</t>
  </si>
  <si>
    <t>M12</t>
  </si>
  <si>
    <t>M13</t>
  </si>
  <si>
    <t>M14</t>
  </si>
  <si>
    <t>M15</t>
  </si>
  <si>
    <t>M16</t>
  </si>
  <si>
    <t>M17</t>
  </si>
  <si>
    <t>M19</t>
  </si>
  <si>
    <t>M18</t>
  </si>
  <si>
    <t>M20</t>
  </si>
  <si>
    <t>M21</t>
  </si>
  <si>
    <t>M22</t>
  </si>
  <si>
    <t>M23</t>
  </si>
  <si>
    <t>M24</t>
  </si>
  <si>
    <t>O10</t>
  </si>
  <si>
    <t>O11</t>
  </si>
  <si>
    <t>O12</t>
  </si>
  <si>
    <t>O14</t>
  </si>
  <si>
    <t>O13</t>
  </si>
  <si>
    <t>O15</t>
  </si>
  <si>
    <t>O16</t>
  </si>
  <si>
    <t>O17</t>
  </si>
  <si>
    <t>O19</t>
  </si>
  <si>
    <t>O18</t>
  </si>
  <si>
    <t>O20</t>
  </si>
  <si>
    <t>Q83</t>
  </si>
  <si>
    <t>Q01</t>
  </si>
  <si>
    <t>Q03</t>
  </si>
  <si>
    <t>Q02</t>
  </si>
  <si>
    <t>Q51</t>
  </si>
  <si>
    <t>Q82</t>
  </si>
  <si>
    <t>Q50</t>
  </si>
  <si>
    <t>Q46</t>
  </si>
  <si>
    <t>Q05</t>
  </si>
  <si>
    <t>Q06</t>
  </si>
  <si>
    <t>Q07</t>
  </si>
  <si>
    <t>Q04</t>
  </si>
  <si>
    <t>Q08</t>
  </si>
  <si>
    <t>Q09</t>
  </si>
  <si>
    <t>Q10</t>
  </si>
  <si>
    <t>Q11</t>
  </si>
  <si>
    <t>Q12</t>
  </si>
  <si>
    <t>Q15</t>
  </si>
  <si>
    <t>Q13</t>
  </si>
  <si>
    <t>Q14</t>
  </si>
  <si>
    <t>Q17</t>
  </si>
  <si>
    <t>Q16</t>
  </si>
  <si>
    <t>Q18</t>
  </si>
  <si>
    <t>Q19</t>
  </si>
  <si>
    <t>Q20</t>
  </si>
  <si>
    <t>Q22</t>
  </si>
  <si>
    <t>Q23</t>
  </si>
  <si>
    <t>Q21</t>
  </si>
  <si>
    <t>Q36</t>
  </si>
  <si>
    <t>Q24</t>
  </si>
  <si>
    <t>Q33</t>
  </si>
  <si>
    <t>Q72</t>
  </si>
  <si>
    <t>Q73</t>
  </si>
  <si>
    <t>Q47</t>
  </si>
  <si>
    <t>Q25</t>
  </si>
  <si>
    <t>Q26</t>
  </si>
  <si>
    <t>Q27</t>
  </si>
  <si>
    <t>Q35</t>
  </si>
  <si>
    <t>Q34</t>
  </si>
  <si>
    <t>Q28</t>
  </si>
  <si>
    <t>Q29</t>
  </si>
  <si>
    <t>Q64</t>
  </si>
  <si>
    <t>Q79</t>
  </si>
  <si>
    <t>Q30</t>
  </si>
  <si>
    <t>Q31</t>
  </si>
  <si>
    <t>Q32</t>
  </si>
  <si>
    <t>Q40</t>
  </si>
  <si>
    <t>Q78</t>
  </si>
  <si>
    <t>Q37</t>
  </si>
  <si>
    <t>Q74</t>
  </si>
  <si>
    <t>Q38</t>
  </si>
  <si>
    <t>Q44</t>
  </si>
  <si>
    <t>Q81</t>
  </si>
  <si>
    <t>Q70</t>
  </si>
  <si>
    <t>Q39</t>
  </si>
  <si>
    <t>Q67</t>
  </si>
  <si>
    <t>Q41</t>
  </si>
  <si>
    <t>Q42</t>
  </si>
  <si>
    <t>Q43</t>
  </si>
  <si>
    <t>Q45</t>
  </si>
  <si>
    <t>Q49</t>
  </si>
  <si>
    <t>Q48</t>
  </si>
  <si>
    <t>Q52</t>
  </si>
  <si>
    <t>Q53</t>
  </si>
  <si>
    <t>Q56</t>
  </si>
  <si>
    <t>Q54</t>
  </si>
  <si>
    <t>Q55</t>
  </si>
  <si>
    <t>Q57</t>
  </si>
  <si>
    <t>Q62</t>
  </si>
  <si>
    <t>Q58</t>
  </si>
  <si>
    <t>Q59</t>
  </si>
  <si>
    <t>Q60</t>
  </si>
  <si>
    <t>Q61</t>
  </si>
  <si>
    <t>Q63</t>
  </si>
  <si>
    <t>Q65</t>
  </si>
  <si>
    <t>Q66</t>
  </si>
  <si>
    <t>Q68</t>
  </si>
  <si>
    <t>Q71</t>
  </si>
  <si>
    <t>Q69</t>
  </si>
  <si>
    <t>Q76</t>
  </si>
  <si>
    <t>Q75</t>
  </si>
  <si>
    <t>Q77</t>
  </si>
  <si>
    <t>Q80</t>
  </si>
  <si>
    <t>Número antiguo</t>
  </si>
  <si>
    <t>Aclamad, justos, al Señor</t>
  </si>
  <si>
    <t>Acuérdate de Jesucristo</t>
  </si>
  <si>
    <t>Abrid de par en par</t>
  </si>
  <si>
    <t>Acompáñame, Señor, en la tribulación</t>
  </si>
  <si>
    <t>Amáras al Señor tu Dios</t>
  </si>
  <si>
    <t>Aclama al Señor, tierra entera</t>
  </si>
  <si>
    <t>Alabad al Señor en su templo</t>
  </si>
  <si>
    <t>En el nuevo?</t>
  </si>
  <si>
    <t>Adeste, fideles</t>
  </si>
  <si>
    <t>Aleluya, que todos los pueblos</t>
  </si>
  <si>
    <t>Anunciaremos tu Reino, Señor</t>
  </si>
  <si>
    <t>Ante ti, Señor</t>
  </si>
  <si>
    <t>A ti levanto mis ojos</t>
  </si>
  <si>
    <t>A ti levanto mi alma</t>
  </si>
  <si>
    <t>Antes de ser llevado a la muerte</t>
  </si>
  <si>
    <t>Arriba nubes negras</t>
  </si>
  <si>
    <t>Alma mía, recobra tu calma</t>
  </si>
  <si>
    <t>Caminamos hacia el sol</t>
  </si>
  <si>
    <t>Caminaré en presencia del Señor</t>
  </si>
  <si>
    <t>Con su muerte nos justificará</t>
  </si>
  <si>
    <t>Caminaré en presencia del Señor (salmo)</t>
  </si>
  <si>
    <t>Como habían dicho los profetas</t>
  </si>
  <si>
    <t>Con nosotros está el Señor</t>
  </si>
  <si>
    <t>Cantan los ángeles en Belén</t>
  </si>
  <si>
    <t>Compartir, hay que compartir</t>
  </si>
  <si>
    <t>Comiendo del mismo pan</t>
  </si>
  <si>
    <t>Cristiano es vivir</t>
  </si>
  <si>
    <t>Cómo le cantaré al Señor</t>
  </si>
  <si>
    <t>Cielos, destilad el rocío</t>
  </si>
  <si>
    <t>Como lo había anunciado</t>
  </si>
  <si>
    <t>Cristo fue sincero</t>
  </si>
  <si>
    <t>Como Jonás</t>
  </si>
  <si>
    <t>Cristo se entregó por nosotros</t>
  </si>
  <si>
    <t>53b</t>
  </si>
  <si>
    <t>Cristo es la imagen de Dios</t>
  </si>
  <si>
    <t>Creo, Señor, firmemente</t>
  </si>
  <si>
    <t>Criaturas del Señor</t>
  </si>
  <si>
    <t>Creo en Dios y en su Palabra</t>
  </si>
  <si>
    <t>65b</t>
  </si>
  <si>
    <t>Cuándo vendrás, Señor</t>
  </si>
  <si>
    <t>Cuántos años han de pasar</t>
  </si>
  <si>
    <t>Cuando el pan que está en mi vida</t>
  </si>
  <si>
    <t>Cuando rezamos, cuando cantamos</t>
  </si>
  <si>
    <t>Dad gracias al Señor porque es bueno</t>
  </si>
  <si>
    <t>Danos paz</t>
  </si>
  <si>
    <t>Dad gracias al Señor porque es bueno, porque su amor no tiene fin</t>
  </si>
  <si>
    <t>Dame, Señor, un corazón feliz</t>
  </si>
  <si>
    <t>Donde tú dices ley</t>
  </si>
  <si>
    <t>Donde hay amor allí está Dios</t>
  </si>
  <si>
    <t>Depende de ti y de mí</t>
  </si>
  <si>
    <t>De Jerusalén bajaba a Jericó</t>
  </si>
  <si>
    <t>Despiértanos, levántanos</t>
  </si>
  <si>
    <t>81b</t>
  </si>
  <si>
    <t>Dios te salve, María</t>
  </si>
  <si>
    <t>Dios te salve, mi señora</t>
  </si>
  <si>
    <t>Dios te salve, María, llena eres de gracia</t>
  </si>
  <si>
    <t>De la Virgen ha nacido el Niño</t>
  </si>
  <si>
    <t>En el trabajo de cada día</t>
  </si>
  <si>
    <t>El pueblo gime en el dolor</t>
  </si>
  <si>
    <t>El que escucha mis palabras</t>
  </si>
  <si>
    <t>El auxilio me viene del Señor</t>
  </si>
  <si>
    <t>El Señor es mi luz y mi salvación</t>
  </si>
  <si>
    <t>Él está vivo, tú lo has visto</t>
  </si>
  <si>
    <t>El Señor es compasivo y misericordioso</t>
  </si>
  <si>
    <t>El Señor es mi fuerza</t>
  </si>
  <si>
    <t>El Señor es bueno</t>
  </si>
  <si>
    <t>Adiós, adiós amigos</t>
  </si>
  <si>
    <t>Bendita sea tu pureza</t>
  </si>
  <si>
    <t>Como tus brazos</t>
  </si>
  <si>
    <t>Creo en Jesús</t>
  </si>
  <si>
    <t>Cristo te necesita para amar</t>
  </si>
  <si>
    <t>Dios de amor</t>
  </si>
  <si>
    <t>El Espíritu del Señor</t>
  </si>
  <si>
    <t>La Misa es una fiesta muy alegre</t>
  </si>
  <si>
    <t>La Misa no termina aquí en la iglesia</t>
  </si>
  <si>
    <t>Mil millones de estrellas</t>
  </si>
  <si>
    <t>Oh, Dios, tú eres mi Dios</t>
  </si>
  <si>
    <t>Paz (San Agustín)</t>
  </si>
  <si>
    <t>Paz de Mateo</t>
  </si>
  <si>
    <t>Quisiera cambiar el mundo</t>
  </si>
  <si>
    <t>Roba a Dios</t>
  </si>
  <si>
    <t>Santo (Palazón)</t>
  </si>
  <si>
    <t>Santo (Sto. Domingo de Silos)</t>
  </si>
  <si>
    <t>Santo (Tradicional)</t>
  </si>
  <si>
    <t>Somos ciudadanos de un mundo</t>
  </si>
  <si>
    <t>Tú que siempre nos perdonas</t>
  </si>
  <si>
    <t>Una tarde en la playa (San Agustín)</t>
  </si>
  <si>
    <t>Vendrá la libertad</t>
  </si>
  <si>
    <t>Yo canto al Señor porque es grande</t>
  </si>
  <si>
    <t>Yo te nombro, libertad</t>
  </si>
  <si>
    <t>Alelualeluya</t>
  </si>
  <si>
    <t>Enséñame, Señor, tus caminos</t>
  </si>
  <si>
    <t>Envía tu Espíritu, Señor</t>
  </si>
  <si>
    <t>El Señor ha estado grande con nosotros</t>
  </si>
  <si>
    <t>Esperando, esperando</t>
  </si>
  <si>
    <t>En esto conocerán</t>
  </si>
  <si>
    <t>Escuchad, escuchad</t>
  </si>
  <si>
    <t>Escúchanos, Señor, escucha nuestros gritos</t>
  </si>
  <si>
    <t>Esta es la noche de la luz</t>
  </si>
  <si>
    <t>Este es el día en que actuó</t>
  </si>
  <si>
    <t>Esta noche he visto a Dios</t>
  </si>
  <si>
    <t>Fe no es aguardar</t>
  </si>
  <si>
    <t>Feliz el hombre</t>
  </si>
  <si>
    <t>Gracias, Señor, por tu Palabra</t>
  </si>
  <si>
    <t>Gracias, Señor, por mis hermanos</t>
  </si>
  <si>
    <t>Hoy cantamos a Dios</t>
  </si>
  <si>
    <t>Habrá un día en que todos</t>
  </si>
  <si>
    <t>Hasta cuándo, Señor</t>
  </si>
  <si>
    <t>Haz, Señor</t>
  </si>
  <si>
    <t>Hoy en Belén es la fiesta</t>
  </si>
  <si>
    <t>Hoy empieza una nueva era</t>
  </si>
  <si>
    <t>Hoy me siento peregrino</t>
  </si>
  <si>
    <t>Junto a ti al caer de la tarde</t>
  </si>
  <si>
    <t>Juventud de todos los países</t>
  </si>
  <si>
    <t>Lámpara es tu palabra, Señor</t>
  </si>
  <si>
    <t>Los pobres de la tierra</t>
  </si>
  <si>
    <t>La noticia es amor</t>
  </si>
  <si>
    <t>Levanto mis ojos a los montes</t>
  </si>
  <si>
    <t>La palabra nos la dio el Señor</t>
  </si>
  <si>
    <t>Las puertas de la nueva ciudad</t>
  </si>
  <si>
    <t>La tierra que hoy pisamos</t>
  </si>
  <si>
    <t>Levántate, pueblo mío</t>
  </si>
  <si>
    <t>Llegó la noche</t>
  </si>
  <si>
    <t>Los que a la pobreza</t>
  </si>
  <si>
    <t>Madre de los creyentes</t>
  </si>
  <si>
    <t>María, guardabas todo</t>
  </si>
  <si>
    <t>Más allá, las redes más allá</t>
  </si>
  <si>
    <t>Nacerá una nueva hermandad</t>
  </si>
  <si>
    <t>Noche de Dios</t>
  </si>
  <si>
    <t>No queremos a los grandes palabreros</t>
  </si>
  <si>
    <t>Nacidos de la luz</t>
  </si>
  <si>
    <t>Necesitamos comer tu Pan</t>
  </si>
  <si>
    <t>No hay cosa más bonita que mirar</t>
  </si>
  <si>
    <t>Navidad es amar, romper toda frontera</t>
  </si>
  <si>
    <t>No, yo no dejo la tierra</t>
  </si>
  <si>
    <t>Nochebuena, nochebuena</t>
  </si>
  <si>
    <t>No vayáis a la fiesta</t>
  </si>
  <si>
    <t>Nos has llamado al desierto</t>
  </si>
  <si>
    <t>Nueva aurora en nuestra noche</t>
  </si>
  <si>
    <t>Nosotros venceremos</t>
  </si>
  <si>
    <t>Os doy un mandato nuevo (largo)</t>
  </si>
  <si>
    <t>Oh, Dios, tú mereces un himno</t>
  </si>
  <si>
    <t>Oh, Dios, por qué nos has abandonado</t>
  </si>
  <si>
    <t>Oh, Señor, envía tu Espíritu</t>
  </si>
  <si>
    <t>Padre de las misericordias</t>
  </si>
  <si>
    <t>Padre, me pongo en tus manos</t>
  </si>
  <si>
    <t>Padre nuestro, que estás en la tierra</t>
  </si>
  <si>
    <t>Piedad, Señor, piedad</t>
  </si>
  <si>
    <t>Porque el mundo está lleno de misterios</t>
  </si>
  <si>
    <t>Protégeme, protégeme, Dios mío</t>
  </si>
  <si>
    <t>Perdón, Señor, perdón</t>
  </si>
  <si>
    <t>Porque fuiste mujer de un pueblo esclavo</t>
  </si>
  <si>
    <t>Perdóname, Señor</t>
  </si>
  <si>
    <t>Pueblo que avanzas buscando</t>
  </si>
  <si>
    <t>Quién más amigo que tú</t>
  </si>
  <si>
    <t>Quiero ser, oh, Señor</t>
  </si>
  <si>
    <t>Qué detalle, Señor</t>
  </si>
  <si>
    <t>Qué fácil es decir sí</t>
  </si>
  <si>
    <t>Rezar no es otra cosa</t>
  </si>
  <si>
    <t>Regina caeli</t>
  </si>
  <si>
    <t>Si no encuentro la alegría</t>
  </si>
  <si>
    <t>Señor, guíame por el sendero</t>
  </si>
  <si>
    <t>Señor, Dios nuestro, qué admirable</t>
  </si>
  <si>
    <t>Sacaréis aguas con gozo</t>
  </si>
  <si>
    <t>Solidaridad</t>
  </si>
  <si>
    <t>Siempre unidos, mano a mano</t>
  </si>
  <si>
    <t>Señor, tú has sido nuestro refugio</t>
  </si>
  <si>
    <t>Si despierta el corazón</t>
  </si>
  <si>
    <t>Señor, tú que brillas</t>
  </si>
  <si>
    <t>Se acerca el reino de Dios</t>
  </si>
  <si>
    <t>Somos un solo cuerpo</t>
  </si>
  <si>
    <t>Señor, Dios nuestro, restáuranos</t>
  </si>
  <si>
    <t>Siempre que es Navidad</t>
  </si>
  <si>
    <t>Si cada noche</t>
  </si>
  <si>
    <t>Si sabes de humildad y sencillez</t>
  </si>
  <si>
    <t>Te alabo, Señor</t>
  </si>
  <si>
    <t>Tiéndeme tu mano</t>
  </si>
  <si>
    <t>Te buscamos, Señor</t>
  </si>
  <si>
    <t>Tus manos son palomas</t>
  </si>
  <si>
    <t>Tiempo de espera</t>
  </si>
  <si>
    <t>Todos unidos en la vida</t>
  </si>
  <si>
    <t>Todavía cantamos</t>
  </si>
  <si>
    <t>Todos esperamos</t>
  </si>
  <si>
    <t>Un solo Señor</t>
  </si>
  <si>
    <t>Una ciudad para todos</t>
  </si>
  <si>
    <t>Un nuevo Reino está amaneciendo</t>
  </si>
  <si>
    <t>Únenos, Señor Jesús</t>
  </si>
  <si>
    <t>Vamos a la Cena</t>
  </si>
  <si>
    <t>Ven a nuestro mundo</t>
  </si>
  <si>
    <t>Ven, Salvador, ven a salvar a tu pueblo</t>
  </si>
  <si>
    <t>Vamos buscando la verdad</t>
  </si>
  <si>
    <t>Veo en tus ojos, María</t>
  </si>
  <si>
    <t>Venid, fieles todos (adeste fideles)</t>
  </si>
  <si>
    <t>Ven, Espíritu Santo</t>
  </si>
  <si>
    <t>Ven, Señor, a nuestra vida</t>
  </si>
  <si>
    <t>Yo confío en ti, Señor</t>
  </si>
  <si>
    <t>Yo volveré a cantar</t>
  </si>
  <si>
    <t>Yo estaré con vosotros</t>
  </si>
  <si>
    <t>Jesús es la Verdad</t>
  </si>
  <si>
    <t>Juntos cantaremos con la voz de la canción</t>
  </si>
  <si>
    <t>Nadie hay tan grande como tú</t>
  </si>
  <si>
    <t>Somos los que hacemos puentes</t>
  </si>
  <si>
    <t>Yo tengo un amigo que me ama</t>
  </si>
  <si>
    <t>Yo pensaba que el hombre era grande</t>
  </si>
  <si>
    <t>O01</t>
  </si>
  <si>
    <t>D01</t>
  </si>
  <si>
    <t>D02</t>
  </si>
  <si>
    <t>A01</t>
  </si>
  <si>
    <t>D03</t>
  </si>
  <si>
    <t>M01</t>
  </si>
  <si>
    <t>A02</t>
  </si>
  <si>
    <t>A03</t>
  </si>
  <si>
    <t>A04</t>
  </si>
  <si>
    <t>B01</t>
  </si>
  <si>
    <t>A05</t>
  </si>
  <si>
    <t>A06</t>
  </si>
  <si>
    <t>O02</t>
  </si>
  <si>
    <t>E01</t>
  </si>
  <si>
    <t>E02</t>
  </si>
  <si>
    <t>E03</t>
  </si>
  <si>
    <t>E04</t>
  </si>
  <si>
    <t>E09</t>
  </si>
  <si>
    <t>E05</t>
  </si>
  <si>
    <t>E06</t>
  </si>
  <si>
    <t>E07</t>
  </si>
  <si>
    <t>E08</t>
  </si>
  <si>
    <t>D04</t>
  </si>
  <si>
    <t>F01</t>
  </si>
  <si>
    <t>A07</t>
  </si>
  <si>
    <t>F02</t>
  </si>
  <si>
    <t>F03</t>
  </si>
  <si>
    <t>L01</t>
  </si>
  <si>
    <t>F04</t>
  </si>
  <si>
    <t>M02</t>
  </si>
  <si>
    <t>O03</t>
  </si>
  <si>
    <t>D05</t>
  </si>
  <si>
    <t>N01</t>
  </si>
  <si>
    <t>A08</t>
  </si>
  <si>
    <t>A09</t>
  </si>
  <si>
    <t>D06</t>
  </si>
  <si>
    <t>O04</t>
  </si>
  <si>
    <t>D07</t>
  </si>
  <si>
    <t>D08</t>
  </si>
  <si>
    <t>P01</t>
  </si>
  <si>
    <t>O05</t>
  </si>
  <si>
    <t>D09</t>
  </si>
  <si>
    <t>B02</t>
  </si>
  <si>
    <t>J01</t>
  </si>
  <si>
    <t>J02</t>
  </si>
  <si>
    <t>J03</t>
  </si>
  <si>
    <t>J04</t>
  </si>
  <si>
    <t>J05</t>
  </si>
  <si>
    <t>J06</t>
  </si>
  <si>
    <t>F05</t>
  </si>
  <si>
    <t>I01</t>
  </si>
  <si>
    <t>O06</t>
  </si>
  <si>
    <t>F06</t>
  </si>
  <si>
    <t>M03</t>
  </si>
  <si>
    <t>N02</t>
  </si>
  <si>
    <t>O07</t>
  </si>
  <si>
    <t>O08</t>
  </si>
  <si>
    <t>N03</t>
  </si>
  <si>
    <t>O09</t>
  </si>
  <si>
    <t>H01</t>
  </si>
  <si>
    <t>F07</t>
  </si>
  <si>
    <t>F08</t>
  </si>
  <si>
    <t>M04</t>
  </si>
  <si>
    <t>C01</t>
  </si>
  <si>
    <t>C02</t>
  </si>
  <si>
    <t>C03</t>
  </si>
  <si>
    <t>C04</t>
  </si>
  <si>
    <t>C05</t>
  </si>
  <si>
    <t>C06</t>
  </si>
  <si>
    <t>L02</t>
  </si>
  <si>
    <t>M05</t>
  </si>
  <si>
    <t>M06</t>
  </si>
  <si>
    <t>P02</t>
  </si>
  <si>
    <t>L03</t>
  </si>
  <si>
    <t>L04</t>
  </si>
  <si>
    <t>M07</t>
  </si>
  <si>
    <t>F09</t>
  </si>
  <si>
    <t>I02</t>
  </si>
  <si>
    <t>M08</t>
  </si>
  <si>
    <t>P03</t>
  </si>
  <si>
    <t>I03</t>
  </si>
  <si>
    <t>L05</t>
  </si>
  <si>
    <t>M09</t>
  </si>
  <si>
    <t>B03</t>
  </si>
  <si>
    <t>I04</t>
  </si>
  <si>
    <t>B04</t>
  </si>
  <si>
    <t>H02</t>
  </si>
  <si>
    <t>H03</t>
  </si>
  <si>
    <t>H04</t>
  </si>
  <si>
    <t>H05</t>
  </si>
  <si>
    <t>H06</t>
  </si>
  <si>
    <t>I05</t>
  </si>
  <si>
    <t>B05</t>
  </si>
  <si>
    <t>I06</t>
  </si>
  <si>
    <t>I07</t>
  </si>
  <si>
    <t>I08</t>
  </si>
  <si>
    <t>I09</t>
  </si>
  <si>
    <t>L06</t>
  </si>
  <si>
    <t>P04</t>
  </si>
  <si>
    <t>L07</t>
  </si>
  <si>
    <t>G01</t>
  </si>
  <si>
    <t>G02</t>
  </si>
  <si>
    <t>G03</t>
  </si>
  <si>
    <t>G04</t>
  </si>
  <si>
    <t>G06</t>
  </si>
  <si>
    <t>G07</t>
  </si>
  <si>
    <t>G05</t>
  </si>
  <si>
    <t>G08</t>
  </si>
  <si>
    <t>G09</t>
  </si>
  <si>
    <t>P05</t>
  </si>
  <si>
    <t>B06</t>
  </si>
  <si>
    <t>B07</t>
  </si>
  <si>
    <t>C07</t>
  </si>
  <si>
    <t>B08</t>
  </si>
  <si>
    <t>C08</t>
  </si>
  <si>
    <t>B09</t>
  </si>
  <si>
    <t>L08</t>
  </si>
  <si>
    <t>N04</t>
  </si>
  <si>
    <t>N05</t>
  </si>
  <si>
    <t>P06</t>
  </si>
  <si>
    <t>L09</t>
  </si>
  <si>
    <t>https://www.youtube.com/watch?v=nJ18Li5H2Gw</t>
  </si>
  <si>
    <t>En HTML?</t>
  </si>
  <si>
    <t>https://www.youtube.com/watch?v=pBDC7TRhCYY</t>
  </si>
  <si>
    <t>El tren del Evangelio</t>
  </si>
  <si>
    <t>Jesús es el Señor</t>
  </si>
  <si>
    <t>Un cuento cualquiera</t>
  </si>
  <si>
    <t>Marcelino Champagnat</t>
  </si>
  <si>
    <t>Y ahora, Señor</t>
  </si>
  <si>
    <t>Vive</t>
  </si>
  <si>
    <t>Hermanos</t>
  </si>
  <si>
    <t>Amigos</t>
  </si>
  <si>
    <t>A tu lado, Señor</t>
  </si>
  <si>
    <t>Señor de la historia</t>
  </si>
  <si>
    <t>Jesús de Nazaret</t>
  </si>
  <si>
    <t>Hermana Luna</t>
  </si>
  <si>
    <t>Testigos</t>
  </si>
  <si>
    <t>Esto va a misa</t>
  </si>
  <si>
    <t>Atrévete a soñar</t>
  </si>
  <si>
    <t>Un corazón sin fronteras</t>
  </si>
  <si>
    <t>Y se vive la vida</t>
  </si>
  <si>
    <t>Profeta de la familia</t>
  </si>
  <si>
    <t>Nacidos de mujer</t>
  </si>
  <si>
    <t>A mano</t>
  </si>
  <si>
    <t>Contracorriente</t>
  </si>
  <si>
    <t>Caminando</t>
  </si>
  <si>
    <t>Kronos</t>
  </si>
  <si>
    <t>Descálzate</t>
  </si>
  <si>
    <t>Alégrate</t>
  </si>
  <si>
    <t>Con Él la fiesta empezó</t>
  </si>
  <si>
    <t>Según tu Palabra</t>
  </si>
  <si>
    <t>A todos los pueblos</t>
  </si>
  <si>
    <t>Busca mi rostro</t>
  </si>
  <si>
    <t>Fuego en las entrañas</t>
  </si>
  <si>
    <t>Fuego y abrazo</t>
  </si>
  <si>
    <t>Nuevas</t>
  </si>
  <si>
    <t>Cesáreo Gabaráin</t>
  </si>
  <si>
    <t>Ángel Bravo</t>
  </si>
  <si>
    <t>Santiago Fernández</t>
  </si>
  <si>
    <t>Pedro Aizpurúa</t>
  </si>
  <si>
    <t>Benjamín Vega Robles</t>
  </si>
  <si>
    <t>Unai Quirós</t>
  </si>
  <si>
    <t>José Ibáñez</t>
  </si>
  <si>
    <t>En Clave de Dios</t>
  </si>
  <si>
    <t>Athenas (Argentina)</t>
  </si>
  <si>
    <t>Daniel Poli (Argentina)</t>
  </si>
  <si>
    <t>Carlos (Carlos Alberto) Seoane (Argentina)</t>
  </si>
  <si>
    <t>Jorge Lozano (Colombia)</t>
  </si>
  <si>
    <t>Luis Enrique Ascoy / Los Ascoy (Perú)</t>
  </si>
  <si>
    <t>Luis Alfredo Díaz (autor con circulación en Iberoamérica — nacido en Uruguay y afincado en España pero con obra difundida en Sudamérica)</t>
  </si>
  <si>
    <t>Padre Zezinho (Brasil)</t>
  </si>
  <si>
    <t>Hermana Glenda (nacida en Chile y muy difundida en Latinoamérica / España)</t>
  </si>
  <si>
    <t>Daniel Poli</t>
  </si>
  <si>
    <t>José Aramburu</t>
  </si>
  <si>
    <t>José Luis Carretero</t>
  </si>
  <si>
    <t>Jon Carlo</t>
  </si>
  <si>
    <t>Los Cantantes Católicos</t>
  </si>
  <si>
    <t>TSNC (Tomad, Señor, Nuestro Canto)</t>
  </si>
  <si>
    <t>Más cerca del sol</t>
  </si>
  <si>
    <t>Himno a Dios</t>
  </si>
  <si>
    <t>Ven, Señor Jesús</t>
  </si>
  <si>
    <t>Tú me sondeas</t>
  </si>
  <si>
    <t>El agua del Señor</t>
  </si>
  <si>
    <t>Canta Jerusalén</t>
  </si>
  <si>
    <t>Tú estás cerca</t>
  </si>
  <si>
    <t>Madre de los hijos pobres</t>
  </si>
  <si>
    <t>Magnificat</t>
  </si>
  <si>
    <t>Angelus</t>
  </si>
  <si>
    <t>Arcilla entre sus manos</t>
  </si>
  <si>
    <t>Tú eres del Señor</t>
  </si>
  <si>
    <t>Tú eres María</t>
  </si>
  <si>
    <t>Constrúyenos la casa</t>
  </si>
  <si>
    <t>Cortó la roca</t>
  </si>
  <si>
    <t>Me estás llamando</t>
  </si>
  <si>
    <t>Tocaré para ti</t>
  </si>
  <si>
    <t>Enséñanos a orar</t>
  </si>
  <si>
    <t>Tú, Señor</t>
  </si>
  <si>
    <t>Esperando con María</t>
  </si>
  <si>
    <t>Padre nuestro</t>
  </si>
  <si>
    <t>En tu cruz sigues hoy</t>
  </si>
  <si>
    <t>En la cruz nos das la vida</t>
  </si>
  <si>
    <t>Siento tu llamada</t>
  </si>
  <si>
    <t>El Señor es la esperanza</t>
  </si>
  <si>
    <t>El Señor está aquí</t>
  </si>
  <si>
    <t>Caminad</t>
  </si>
  <si>
    <t>Acógeme, Dios</t>
  </si>
  <si>
    <t>María, madre del dolor</t>
  </si>
  <si>
    <t>Llama de vida</t>
  </si>
  <si>
    <t>Venga tu reino</t>
  </si>
  <si>
    <t>Somos testigos</t>
  </si>
  <si>
    <t>Tu camino y tu verdad</t>
  </si>
  <si>
    <t>Jesús es verdad</t>
  </si>
  <si>
    <t>Gracias por tu don</t>
  </si>
  <si>
    <t>Quédate aquí, Señor</t>
  </si>
  <si>
    <t>Canto de María</t>
  </si>
  <si>
    <t>Tú, Jesús</t>
  </si>
  <si>
    <t>Me has seducido, Señor</t>
  </si>
  <si>
    <t>Una vida que busca libertad</t>
  </si>
  <si>
    <t>Señor, yo no soy digno</t>
  </si>
  <si>
    <t>Sí, Jesús</t>
  </si>
  <si>
    <t>No temáis</t>
  </si>
  <si>
    <t>Quéjate si puedes</t>
  </si>
  <si>
    <t>De lo débil saca fuerzas Dios</t>
  </si>
  <si>
    <t>Esperad al Señor</t>
  </si>
  <si>
    <t>Ten piedad</t>
  </si>
  <si>
    <t>Sintonía</t>
  </si>
  <si>
    <t>Mi ciudad</t>
  </si>
  <si>
    <t>Mañana, quién sabrá</t>
  </si>
  <si>
    <t>Quisiera haber nacido</t>
  </si>
  <si>
    <t>No puedo jugar</t>
  </si>
  <si>
    <t>Siempre me gustó decirte hola</t>
  </si>
  <si>
    <t>Sólo trabajar</t>
  </si>
  <si>
    <t>No tengo a nadie</t>
  </si>
  <si>
    <t>Me hicieron así</t>
  </si>
  <si>
    <t>Tú y yo, éste, aquél</t>
  </si>
  <si>
    <t>Un himno surgirá</t>
  </si>
  <si>
    <t>Hermitage, casa del Señor</t>
  </si>
  <si>
    <t>Donde haya un niño</t>
  </si>
  <si>
    <t>Pienso en usted</t>
  </si>
  <si>
    <t>Familia Marista</t>
  </si>
  <si>
    <t>Confiad, recurrid</t>
  </si>
  <si>
    <t>Hermanitos de María</t>
  </si>
  <si>
    <t>Testamento espiritual</t>
  </si>
  <si>
    <t>Nuestras voces cantan</t>
  </si>
  <si>
    <t>Padre, perdón</t>
  </si>
  <si>
    <t>Gloria, hosana</t>
  </si>
  <si>
    <t>Como Marcelino</t>
  </si>
  <si>
    <t>Niño</t>
  </si>
  <si>
    <t>Hermano, confía en Dios</t>
  </si>
  <si>
    <t>Una vida</t>
  </si>
  <si>
    <t>En torno al pan</t>
  </si>
  <si>
    <t>Hermano entre los hombres</t>
  </si>
  <si>
    <t>Dios en la ciudad</t>
  </si>
  <si>
    <t>Buena Madre</t>
  </si>
  <si>
    <t>Somos una familia</t>
  </si>
  <si>
    <t>Hermano, adiós</t>
  </si>
  <si>
    <t>Es, tu amigo es</t>
  </si>
  <si>
    <t>Rock de paz</t>
  </si>
  <si>
    <t>Kua, kua, kua</t>
  </si>
  <si>
    <t>El dinosaurio</t>
  </si>
  <si>
    <t>Noche silenciosa</t>
  </si>
  <si>
    <t>Con los niños</t>
  </si>
  <si>
    <t>Kenee Chineke nna</t>
  </si>
  <si>
    <t>Al nacer el nuevo día</t>
  </si>
  <si>
    <t>Ki ki ki</t>
  </si>
  <si>
    <t>Al Señor cantad</t>
  </si>
  <si>
    <t>Xerinola</t>
  </si>
  <si>
    <t>Diremos que sí</t>
  </si>
  <si>
    <t>Ven conmigo, amigo</t>
  </si>
  <si>
    <t>Tú serás mi hermano</t>
  </si>
  <si>
    <t>Cristo</t>
  </si>
  <si>
    <t>Allí estás tú</t>
  </si>
  <si>
    <t>No hay lloros por un niño muerto</t>
  </si>
  <si>
    <t>Deja que en tu vida cante Él</t>
  </si>
  <si>
    <t>Tiene el sida</t>
  </si>
  <si>
    <t>Grito libertad</t>
  </si>
  <si>
    <t>Tu sonrisa no la vi</t>
  </si>
  <si>
    <t>Me muero de hambre</t>
  </si>
  <si>
    <t>Yo no he podido ser bueno</t>
  </si>
  <si>
    <t>Deseo paz</t>
  </si>
  <si>
    <t>Nuestra buena madre</t>
  </si>
  <si>
    <t>No durmáis</t>
  </si>
  <si>
    <t>Tu llamada</t>
  </si>
  <si>
    <t>No es fácil</t>
  </si>
  <si>
    <t>Nacidos de la cruz</t>
  </si>
  <si>
    <t>Clara, hija de la luz</t>
  </si>
  <si>
    <t>Clara, imagen de Dios</t>
  </si>
  <si>
    <t>Jesús te ama</t>
  </si>
  <si>
    <t>Cántico de las criaturas</t>
  </si>
  <si>
    <t>Oración a San Francisco</t>
  </si>
  <si>
    <t>Si vamos desnudos por Cristo</t>
  </si>
  <si>
    <t>El don de la fraternidad</t>
  </si>
  <si>
    <t>Cuando la muerte</t>
  </si>
  <si>
    <t>Que sepamos estar</t>
  </si>
  <si>
    <t>Latinoamérica</t>
  </si>
  <si>
    <t>Indígena</t>
  </si>
  <si>
    <t>Nos precederán</t>
  </si>
  <si>
    <t>Un kirie más</t>
  </si>
  <si>
    <t>La mula</t>
  </si>
  <si>
    <t>El brujo Mugandino</t>
  </si>
  <si>
    <t>Que no nos den el pan bañado en sangre</t>
  </si>
  <si>
    <t>Salve, compañera nuestra</t>
  </si>
  <si>
    <t>El bar del bosnio</t>
  </si>
  <si>
    <t>Mi mamita buena</t>
  </si>
  <si>
    <t>De pura raza</t>
  </si>
  <si>
    <t>Salmo</t>
  </si>
  <si>
    <t>Credo</t>
  </si>
  <si>
    <t>Canción de paz</t>
  </si>
  <si>
    <t>Te agradezco</t>
  </si>
  <si>
    <t>Testigos del Señor</t>
  </si>
  <si>
    <t>Confianza en Dios</t>
  </si>
  <si>
    <t>En la esperanza, Madre</t>
  </si>
  <si>
    <t>Con sencillo corazón</t>
  </si>
  <si>
    <t>Fraternidad</t>
  </si>
  <si>
    <t>Teresa Toda</t>
  </si>
  <si>
    <t>Pinta de luz</t>
  </si>
  <si>
    <t>Mantas de cartón</t>
  </si>
  <si>
    <t>Soñar un mundo más feliz</t>
  </si>
  <si>
    <t>Hacia la luz</t>
  </si>
  <si>
    <t>Frases Marcelino</t>
  </si>
  <si>
    <t>Acuérdate, María</t>
  </si>
  <si>
    <t>Tu serás hoy Champagnat</t>
  </si>
  <si>
    <t>Seguir amando</t>
  </si>
  <si>
    <t>Jesús, cámbianos</t>
  </si>
  <si>
    <t>Como María</t>
  </si>
  <si>
    <t>Nos marca el caminar</t>
  </si>
  <si>
    <t>Alfonsa, hermana y amiga</t>
  </si>
  <si>
    <t>Soy mujer</t>
  </si>
  <si>
    <t>En ti solo descanso</t>
  </si>
  <si>
    <t>Sueña</t>
  </si>
  <si>
    <t>Y fuiste hogar</t>
  </si>
  <si>
    <t>Como tú</t>
  </si>
  <si>
    <t>Siempre, sí, celebraré</t>
  </si>
  <si>
    <t>Su palabra</t>
  </si>
  <si>
    <t>Santa Familia</t>
  </si>
  <si>
    <t>Jesús, María y José</t>
  </si>
  <si>
    <t>Tu mirada</t>
  </si>
  <si>
    <t>Familias</t>
  </si>
  <si>
    <t>El poema de la piedra</t>
  </si>
  <si>
    <t>Haced lo que Él os diga</t>
  </si>
  <si>
    <t>En comunidad</t>
  </si>
  <si>
    <t>Danos tu espíritu</t>
  </si>
  <si>
    <t>Adela</t>
  </si>
  <si>
    <t>Pequeño corazón</t>
  </si>
  <si>
    <t>Chaminade</t>
  </si>
  <si>
    <t>Creo en ti</t>
  </si>
  <si>
    <t>A las tres de la tarde</t>
  </si>
  <si>
    <t>Vino nuevo</t>
  </si>
  <si>
    <t>Te seguiré</t>
  </si>
  <si>
    <t>Un solo corazón</t>
  </si>
  <si>
    <t>Desde tu gesto</t>
  </si>
  <si>
    <t>El silencio de mi corazón</t>
  </si>
  <si>
    <t>Si tú sabes</t>
  </si>
  <si>
    <t>La utopia es posible</t>
  </si>
  <si>
    <t>Que vuestro corazón no se turbe</t>
  </si>
  <si>
    <t>Decid sí</t>
  </si>
  <si>
    <t>Estrellas en el mar</t>
  </si>
  <si>
    <t>Venimos ante ti</t>
  </si>
  <si>
    <t>En la oscuridad de la noche</t>
  </si>
  <si>
    <t>Padre</t>
  </si>
  <si>
    <t>Mundo de ensueño</t>
  </si>
  <si>
    <t>Tras el cristal</t>
  </si>
  <si>
    <t>Carta a un general</t>
  </si>
  <si>
    <t>Un gesto</t>
  </si>
  <si>
    <t>Ángel</t>
  </si>
  <si>
    <t>Scaramouche</t>
  </si>
  <si>
    <t>Caminar</t>
  </si>
  <si>
    <t>En qué mundo vives</t>
  </si>
  <si>
    <t>Una iglesia de excluidos</t>
  </si>
  <si>
    <t>Un Dios que huele</t>
  </si>
  <si>
    <t>A su imagen y semejanza</t>
  </si>
  <si>
    <t>Ante el espejo</t>
  </si>
  <si>
    <t>Angel Remix</t>
  </si>
  <si>
    <t>Corazones nómadas</t>
  </si>
  <si>
    <t>De la mano</t>
  </si>
  <si>
    <t>Plegaria</t>
  </si>
  <si>
    <t>Somos Iglesia</t>
  </si>
  <si>
    <t>Decir tu nombre, María</t>
  </si>
  <si>
    <t>Rebosando nombres</t>
  </si>
  <si>
    <t>Perdona que te lo diga</t>
  </si>
  <si>
    <t>Padre del hombre</t>
  </si>
  <si>
    <t>Marcelino</t>
  </si>
  <si>
    <t>Siento tu dolor</t>
  </si>
  <si>
    <t>Si yo cambiara</t>
  </si>
  <si>
    <t>Entorno al pan</t>
  </si>
  <si>
    <t>Somos</t>
  </si>
  <si>
    <t>Realidad</t>
  </si>
  <si>
    <t>Boga mar adentro</t>
  </si>
  <si>
    <t>No tengas miedo</t>
  </si>
  <si>
    <t>Ardo en celo</t>
  </si>
  <si>
    <t>Rut y Noemí</t>
  </si>
  <si>
    <t>Ven, Espíritu</t>
  </si>
  <si>
    <t>María Magdalena</t>
  </si>
  <si>
    <t>Joaquina emigrante</t>
  </si>
  <si>
    <t>Te basta mi gracia</t>
  </si>
  <si>
    <t>Sé mi luz</t>
  </si>
  <si>
    <t>Palabras de vida</t>
  </si>
  <si>
    <t>Seducida</t>
  </si>
  <si>
    <t>Escucha</t>
  </si>
  <si>
    <t>Ruah</t>
  </si>
  <si>
    <t>No guardes tu vida</t>
  </si>
  <si>
    <t>Atráeme</t>
  </si>
  <si>
    <t>Dios de la historia, bendice</t>
  </si>
  <si>
    <t>Levantad las piedras</t>
  </si>
  <si>
    <t>Dios fiel</t>
  </si>
  <si>
    <t>Hambre y sed de Ti</t>
  </si>
  <si>
    <t>Confianza</t>
  </si>
  <si>
    <t>Talita kum</t>
  </si>
  <si>
    <t>Pan compartido</t>
  </si>
  <si>
    <t>Gloria Trinitario</t>
  </si>
  <si>
    <t>A Ti</t>
  </si>
  <si>
    <t>Tú lo sabes</t>
  </si>
  <si>
    <t>Caná</t>
  </si>
  <si>
    <t>La mujer del perfume</t>
  </si>
  <si>
    <t>Para estar contigo</t>
  </si>
  <si>
    <t>Samaritano</t>
  </si>
  <si>
    <t>No hay fronteras</t>
  </si>
  <si>
    <t>Yo soy</t>
  </si>
  <si>
    <t>A toda la tierra alcanza su pregón</t>
  </si>
  <si>
    <t>Con amor eterno</t>
  </si>
  <si>
    <t>Anunciarte</t>
  </si>
  <si>
    <t>Invítanos</t>
  </si>
  <si>
    <t>Creatura habitada</t>
  </si>
  <si>
    <t>El hombre de Gerasa</t>
  </si>
  <si>
    <t>Benedictus</t>
  </si>
  <si>
    <t>Oración de una mujer</t>
  </si>
  <si>
    <t>Heme aquí</t>
  </si>
  <si>
    <t>Yo soy el que vive</t>
  </si>
  <si>
    <t>Que se alegren tus entrañas</t>
  </si>
  <si>
    <t>Palabra</t>
  </si>
  <si>
    <t>Atraviesas</t>
  </si>
  <si>
    <t>Palabra encarnada</t>
  </si>
  <si>
    <t>Kolokoso</t>
  </si>
  <si>
    <t>La mujer cananea</t>
  </si>
  <si>
    <t>El siervo</t>
  </si>
  <si>
    <t>La moneda perdida</t>
  </si>
  <si>
    <t>Señor mío y Dios mío</t>
  </si>
  <si>
    <t>Dame una palabra</t>
  </si>
  <si>
    <t>Somos del Señor</t>
  </si>
  <si>
    <t>Fuertes, humildes y diligentes</t>
  </si>
  <si>
    <t>Tú eres mi bien</t>
  </si>
  <si>
    <t>Desde abajo</t>
  </si>
  <si>
    <t>Como la cierva</t>
  </si>
  <si>
    <t>Sólo Tú</t>
  </si>
  <si>
    <t>Sed felices</t>
  </si>
  <si>
    <t>Señor de la sabiduría</t>
  </si>
  <si>
    <t>Descansa en ti su mirada</t>
  </si>
  <si>
    <t>El amor</t>
  </si>
  <si>
    <t>Miradle</t>
  </si>
  <si>
    <t>Venid conmigo</t>
  </si>
  <si>
    <t>Somos vedruna</t>
  </si>
  <si>
    <t>Fuego</t>
  </si>
  <si>
    <t>Mujeres en camino</t>
  </si>
  <si>
    <t>Abre mis puertas</t>
  </si>
  <si>
    <t>Danos de beber</t>
  </si>
  <si>
    <t>Secuencia pascual</t>
  </si>
  <si>
    <t>Sólo en Dios</t>
  </si>
  <si>
    <t>Cantad al Señor</t>
  </si>
  <si>
    <t>Agua viva</t>
  </si>
  <si>
    <t>Habitaré</t>
  </si>
  <si>
    <t>Por amor a tu pueblo</t>
  </si>
  <si>
    <t>Llama de amor viva</t>
  </si>
  <si>
    <t>La piedra angular</t>
  </si>
  <si>
    <t>Como pan pequeño</t>
  </si>
  <si>
    <t>En ti</t>
  </si>
  <si>
    <t>Volemos</t>
  </si>
  <si>
    <t>Os envío</t>
  </si>
  <si>
    <t>De todo corazón</t>
  </si>
  <si>
    <t>Canto de Ana</t>
  </si>
  <si>
    <t>Seguirte</t>
  </si>
  <si>
    <t>Pueblo Suyo</t>
  </si>
  <si>
    <t>Quedas libre</t>
  </si>
  <si>
    <t>Si le dais posada</t>
  </si>
  <si>
    <t>Es mi hermano</t>
  </si>
  <si>
    <t>Jesús</t>
  </si>
  <si>
    <t>Como Tú</t>
  </si>
  <si>
    <t>Pequeño Israel</t>
  </si>
  <si>
    <t>Vivid en comunión</t>
  </si>
  <si>
    <t>Carpeta</t>
  </si>
  <si>
    <t>Los incontables</t>
  </si>
  <si>
    <t>Discípulos</t>
  </si>
  <si>
    <t>Ánimo, soy yo</t>
  </si>
  <si>
    <t>Llueve Tú</t>
  </si>
  <si>
    <t>Ven, Señor</t>
  </si>
  <si>
    <t>Cómo podré pagarte</t>
  </si>
  <si>
    <t>De otra manera</t>
  </si>
  <si>
    <t>Junto al vino y al pan</t>
  </si>
  <si>
    <t>Traerás la paz</t>
  </si>
  <si>
    <t>Tu palabra se hace vida</t>
  </si>
  <si>
    <t>Hoy, Jesús, vendrás a mí</t>
  </si>
  <si>
    <t>Familia de Dios</t>
  </si>
  <si>
    <t>De otra manera 2</t>
  </si>
  <si>
    <t>Otras</t>
  </si>
  <si>
    <t>Señor, ten piedad I</t>
  </si>
  <si>
    <t>Señor, ten piedad II</t>
  </si>
  <si>
    <t>Aleluya I</t>
  </si>
  <si>
    <t>Aleluya II</t>
  </si>
  <si>
    <t>Suelta el timón</t>
  </si>
  <si>
    <t>Quiero confiar</t>
  </si>
  <si>
    <t>Soy de ti</t>
  </si>
  <si>
    <t>El boleto</t>
  </si>
  <si>
    <t>Tuya y nueva</t>
  </si>
  <si>
    <t>No os preocupéis</t>
  </si>
  <si>
    <t>Sabes bien</t>
  </si>
  <si>
    <t>Alegraos</t>
  </si>
  <si>
    <t>Envíanos sin miedo</t>
  </si>
  <si>
    <t>Aquí y ahora</t>
  </si>
  <si>
    <t>Adéntrate</t>
  </si>
  <si>
    <t>Pedid y se os dará</t>
  </si>
  <si>
    <t>Cada mañana</t>
  </si>
  <si>
    <t>Fija en ti</t>
  </si>
  <si>
    <t>Tú y no yo</t>
  </si>
  <si>
    <t>Ten compasión</t>
  </si>
  <si>
    <t>A fuego</t>
  </si>
  <si>
    <t>Aprendiendo</t>
  </si>
  <si>
    <t>Alianza</t>
  </si>
  <si>
    <t>Gracias</t>
  </si>
  <si>
    <t>Mírame</t>
  </si>
  <si>
    <t>A buscarme</t>
  </si>
  <si>
    <t>Si tú quieres</t>
  </si>
  <si>
    <t>Dónde</t>
  </si>
  <si>
    <t>Escúchame</t>
  </si>
  <si>
    <t>A la puerta</t>
  </si>
  <si>
    <t>En quién si no</t>
  </si>
  <si>
    <t>Silencio</t>
  </si>
  <si>
    <t>De repente</t>
  </si>
  <si>
    <t>Alabarte</t>
  </si>
  <si>
    <t>Frontera</t>
  </si>
  <si>
    <t>Despierto</t>
  </si>
  <si>
    <t>Como niños</t>
  </si>
  <si>
    <t>Vivir</t>
  </si>
  <si>
    <t>Te seguiré llamando</t>
  </si>
  <si>
    <t>No volverá vacía</t>
  </si>
  <si>
    <t>Grietas</t>
  </si>
  <si>
    <t>En parábolas</t>
  </si>
  <si>
    <t>Óyeme</t>
  </si>
  <si>
    <t>Bosque</t>
  </si>
  <si>
    <t>Nuestro lugar</t>
  </si>
  <si>
    <t>A tu medida</t>
  </si>
  <si>
    <t>Mayor que todo</t>
  </si>
  <si>
    <t>Seas</t>
  </si>
  <si>
    <t>Brasas</t>
  </si>
  <si>
    <t>De frente</t>
  </si>
  <si>
    <t>15 olas</t>
  </si>
  <si>
    <t>Sucedió</t>
  </si>
  <si>
    <t>Bailaré</t>
  </si>
  <si>
    <t>Lo entregaron todo</t>
  </si>
  <si>
    <t>La libertad del Espíritu</t>
  </si>
  <si>
    <t>Te reclamarán la vida</t>
  </si>
  <si>
    <t>Somos canción</t>
  </si>
  <si>
    <t>El amor no dice basta</t>
  </si>
  <si>
    <t>Betania (YouTube)</t>
  </si>
  <si>
    <t>Señor Dios, me tienes ante ti</t>
  </si>
  <si>
    <t>Ya no te queda tiempo</t>
  </si>
  <si>
    <t>Pregón Pascual (Aleluya)</t>
  </si>
  <si>
    <t>Pregón Pascual (Gloria)</t>
  </si>
  <si>
    <t>Estoy creyendo en ti (credo)</t>
  </si>
  <si>
    <t>Conviviendo en armonía</t>
  </si>
  <si>
    <t>Por ti, Jerusalén</t>
  </si>
  <si>
    <t>Dios de la Historia</t>
  </si>
  <si>
    <t>Acabamos de oír tu palabra</t>
  </si>
  <si>
    <t>Bendito seas, Señor</t>
  </si>
  <si>
    <t>Anunciamos tu muerte</t>
  </si>
  <si>
    <t>Tuyo es el reino</t>
  </si>
  <si>
    <t>Anunciando tu venida</t>
  </si>
  <si>
    <t>Caminando hacia Él</t>
  </si>
  <si>
    <t>Cantos litúrgicos de Semana Santa</t>
  </si>
  <si>
    <t>El alzar de mis manos</t>
  </si>
  <si>
    <t>Reunidos en su nombre</t>
  </si>
  <si>
    <t>Cantos del pueblo de Dios</t>
  </si>
  <si>
    <t>Salmos al creador</t>
  </si>
  <si>
    <t>id</t>
  </si>
  <si>
    <t>taiz_esp</t>
  </si>
  <si>
    <t>Cántico de Daniel</t>
  </si>
  <si>
    <t>El Señor tenga piedad</t>
  </si>
  <si>
    <t>A ti suspiramos</t>
  </si>
  <si>
    <t>Morada de la luz</t>
  </si>
  <si>
    <t>Madre del Redentor</t>
  </si>
  <si>
    <t>Ángelus</t>
  </si>
  <si>
    <t>Madre nuestra</t>
  </si>
  <si>
    <t>Quién me ayuda</t>
  </si>
  <si>
    <t>Taizé en español</t>
  </si>
  <si>
    <t>Bendito</t>
  </si>
  <si>
    <t>Capricho</t>
  </si>
  <si>
    <t>Colombia</t>
  </si>
  <si>
    <t>Conciénciame</t>
  </si>
  <si>
    <t>Descalzos</t>
  </si>
  <si>
    <t>Deseo</t>
  </si>
  <si>
    <t>Forofos</t>
  </si>
  <si>
    <t>Imprescindible</t>
  </si>
  <si>
    <t>Libertad</t>
  </si>
  <si>
    <t>Mirada</t>
  </si>
  <si>
    <t>Noche</t>
  </si>
  <si>
    <t>Ojalá</t>
  </si>
  <si>
    <t>Pringados</t>
  </si>
  <si>
    <t>Revolución</t>
  </si>
  <si>
    <t>Sencillamente</t>
  </si>
  <si>
    <t>Todo</t>
  </si>
  <si>
    <t>Tonto</t>
  </si>
  <si>
    <t>Vértigo</t>
  </si>
  <si>
    <t>Al estar en la presencia</t>
  </si>
  <si>
    <t>Baila y déjate de historias</t>
  </si>
  <si>
    <t>Bien amado Señor</t>
  </si>
  <si>
    <t>Qué bien se está cuando se está bien</t>
  </si>
  <si>
    <t>Tan cerca</t>
  </si>
  <si>
    <t>Hoy te dejo</t>
  </si>
  <si>
    <t>Pasión de Dios</t>
  </si>
  <si>
    <t>Tu misericordia</t>
  </si>
  <si>
    <t>Que no se pierda ninguno</t>
  </si>
  <si>
    <t>Quiero cenar contigo</t>
  </si>
  <si>
    <t>Un paso más</t>
  </si>
  <si>
    <t>Siempre imaginé</t>
  </si>
  <si>
    <t>Nombre sobre todo nombre</t>
  </si>
  <si>
    <t>Tu rostro</t>
  </si>
  <si>
    <t>Mi pobre loco</t>
  </si>
  <si>
    <t>Ocúpate Tú de todo</t>
  </si>
  <si>
    <t>El abrazo</t>
  </si>
  <si>
    <t>La piel por Ti</t>
  </si>
  <si>
    <t>Madre de Hakuna</t>
  </si>
  <si>
    <t>En lo hondo</t>
  </si>
  <si>
    <t>Arde (San José)</t>
  </si>
  <si>
    <t>Todos por todos</t>
  </si>
  <si>
    <t>Hoy en Belén</t>
  </si>
  <si>
    <t>Un segundo</t>
  </si>
  <si>
    <t>Me sobrepasa</t>
  </si>
  <si>
    <t>Comunión espiritual</t>
  </si>
  <si>
    <t>El cielo aguarda</t>
  </si>
  <si>
    <t>Lo imposible</t>
  </si>
  <si>
    <t>Nacidos de lo alto</t>
  </si>
  <si>
    <t>Pluma de escribano</t>
  </si>
  <si>
    <t>Olor a tostadas</t>
  </si>
  <si>
    <t>Dime, Padre</t>
  </si>
  <si>
    <t>Del cielo</t>
  </si>
  <si>
    <t>Entre anestesias</t>
  </si>
  <si>
    <t>Exulte mi alma</t>
  </si>
  <si>
    <t>Por qué lloras</t>
  </si>
  <si>
    <t>Cuarto lugar</t>
  </si>
  <si>
    <t>El arte de vivir</t>
  </si>
  <si>
    <t>Mi amado</t>
  </si>
  <si>
    <t>El Rey de la Gloria</t>
  </si>
  <si>
    <t>La fila</t>
  </si>
  <si>
    <t>Trueno</t>
  </si>
  <si>
    <t>No te vas</t>
  </si>
  <si>
    <t>Juntos</t>
  </si>
  <si>
    <t>Un sitio</t>
  </si>
  <si>
    <t>Nada</t>
  </si>
  <si>
    <t>A ti te alabo</t>
  </si>
  <si>
    <t>En medio del fuego</t>
  </si>
  <si>
    <t>Cuatro vientos</t>
  </si>
  <si>
    <t>Pasión I No sé qué viste en mí</t>
  </si>
  <si>
    <t>Pasión II Mi peso en tus hombros</t>
  </si>
  <si>
    <t>Pasión III Paraísos sin tu rostro</t>
  </si>
  <si>
    <t>Pasión IV Un dios débil</t>
  </si>
  <si>
    <t>Pasión IX Por qué</t>
  </si>
  <si>
    <t>Pasión VI Verónica</t>
  </si>
  <si>
    <t>Pasión VII Y te caes</t>
  </si>
  <si>
    <t>Pasión X Despojado</t>
  </si>
  <si>
    <t>Pasión XI La medida del amor</t>
  </si>
  <si>
    <t>Pasión XIII Madre</t>
  </si>
  <si>
    <t>Pasión XIV Donde estás tú</t>
  </si>
  <si>
    <t>Pasión XV Soy libre</t>
  </si>
  <si>
    <t>Pasión XVI Por mí, por ti</t>
  </si>
  <si>
    <t>El único rey</t>
  </si>
  <si>
    <t>No lo notáis</t>
  </si>
  <si>
    <t>Pasión V Cirineo</t>
  </si>
  <si>
    <t>Pasión VIII Jerusalén</t>
  </si>
  <si>
    <t>Gloria (por María)</t>
  </si>
  <si>
    <t>Vale más hablar con Dios</t>
  </si>
  <si>
    <t>Vamos hacia ti (gloria a Dios)</t>
  </si>
  <si>
    <t>Ten piedad de mí</t>
  </si>
  <si>
    <t>Bendice, alma mía, al Señor</t>
  </si>
  <si>
    <t>Alégrate y goza, Jerusalén</t>
  </si>
  <si>
    <t>Te doy gracias, Señor</t>
  </si>
  <si>
    <t>Aleluya, aleluya, aleluya</t>
  </si>
  <si>
    <t>Alabad al Señor por su inmensa grandeza</t>
  </si>
  <si>
    <t>Señor, Dios nuestro</t>
  </si>
  <si>
    <t>Oh, Dios, Tú mereces un himno en Sión</t>
  </si>
  <si>
    <t>Dale, Señor</t>
  </si>
  <si>
    <t>Dichosos los que mueren en el Señor</t>
  </si>
  <si>
    <t>Kyrie eleison</t>
  </si>
  <si>
    <t>Te ofrecemos, Señor, sacrificios y oblaciones</t>
  </si>
  <si>
    <t>Eres Madre dolorosa</t>
  </si>
  <si>
    <t>Misa de réquiem</t>
  </si>
  <si>
    <t>Unidos por la fe y el amor</t>
  </si>
  <si>
    <t>Parábolas I</t>
  </si>
  <si>
    <t>Parábolas II</t>
  </si>
  <si>
    <t>Para que escuchase el viento</t>
  </si>
  <si>
    <t>Camino a Jericó</t>
  </si>
  <si>
    <t>Trigo y cizaña</t>
  </si>
  <si>
    <t>Administradores del amor</t>
  </si>
  <si>
    <t>La oveja negra</t>
  </si>
  <si>
    <t>Noche y día en altamar</t>
  </si>
  <si>
    <t>A quién se parece</t>
  </si>
  <si>
    <t>Un hombre, una tierra</t>
  </si>
  <si>
    <t>De par en par</t>
  </si>
  <si>
    <t>El hijo pródigo</t>
  </si>
  <si>
    <t>En la plaza de un pueblo</t>
  </si>
  <si>
    <t>Fariseo y publicano</t>
  </si>
  <si>
    <t>De cosas sencillas</t>
  </si>
  <si>
    <t>Y ciegos son los hombres</t>
  </si>
  <si>
    <t>En la viña del Señor</t>
  </si>
  <si>
    <t>Invitación</t>
  </si>
  <si>
    <t>Dos señores</t>
  </si>
  <si>
    <t>Buen pastor</t>
  </si>
  <si>
    <t>El pobre Lázaro</t>
  </si>
  <si>
    <t>Villancicos de ayer y de hoy</t>
  </si>
  <si>
    <t>Cantaré eternamente (II)</t>
  </si>
  <si>
    <t>Acuérdate, Señor</t>
  </si>
  <si>
    <t>Pidamos al Señor</t>
  </si>
  <si>
    <t>Tu Palabra, Señor, es gozo</t>
  </si>
  <si>
    <t>De la gloria del Señor llena está la tierra</t>
  </si>
  <si>
    <t>Cuando bajas, Señor</t>
  </si>
  <si>
    <t>Dales, Señor, el descanso eterno</t>
  </si>
  <si>
    <t>Perp. Socorro</t>
  </si>
  <si>
    <t>Deiss</t>
  </si>
  <si>
    <t>Jauregui</t>
  </si>
  <si>
    <t>Capilla</t>
  </si>
  <si>
    <t>IS Pastoral</t>
  </si>
  <si>
    <t>Cantos S Cateq</t>
  </si>
  <si>
    <t>Gregorio Fdez</t>
  </si>
  <si>
    <t>Luis Alfredo</t>
  </si>
  <si>
    <t>Fdo Viejo</t>
  </si>
  <si>
    <t>Misa nicaragüense</t>
  </si>
  <si>
    <t>Mercedes Glez</t>
  </si>
  <si>
    <t>JEC</t>
  </si>
  <si>
    <t>Taule</t>
  </si>
  <si>
    <t>Emilio Vicente</t>
  </si>
  <si>
    <t>Vincent</t>
  </si>
  <si>
    <t>Llach</t>
  </si>
  <si>
    <t>Barriales</t>
  </si>
  <si>
    <t>P Buen Pastor</t>
  </si>
  <si>
    <t>Labordeta</t>
  </si>
  <si>
    <t>Carismáticas</t>
  </si>
  <si>
    <t>Arce</t>
  </si>
  <si>
    <t>Elizalde</t>
  </si>
  <si>
    <t>Valmaseda</t>
  </si>
  <si>
    <t>Akepsimas</t>
  </si>
  <si>
    <t>Oficial</t>
  </si>
  <si>
    <t>Francisco de Asís</t>
  </si>
  <si>
    <t>Gregoriano</t>
  </si>
  <si>
    <t>246b</t>
  </si>
  <si>
    <t>Soy un pobre pastorcillo</t>
  </si>
  <si>
    <t>275b</t>
  </si>
  <si>
    <t>Un corazón arrepentido</t>
  </si>
  <si>
    <t>Dubé</t>
  </si>
  <si>
    <t>Julien</t>
  </si>
  <si>
    <t>Hosanna al hijo de David</t>
  </si>
  <si>
    <t>Gloria, alabanza y honor</t>
  </si>
  <si>
    <t>Los niños hebreos</t>
  </si>
  <si>
    <t>Nosotros hemos de gloriarnos</t>
  </si>
  <si>
    <t>Que la lengua humana</t>
  </si>
  <si>
    <t>Tu cruz adoramos, Señor</t>
  </si>
  <si>
    <t>Como busca la cierva</t>
  </si>
  <si>
    <t>Cantemos el gozo de la resurrección</t>
  </si>
  <si>
    <t>Como era Pedro</t>
  </si>
  <si>
    <t>Desde lo hondo</t>
  </si>
  <si>
    <t>Errante voy</t>
  </si>
  <si>
    <t>María, fuiste siempre pobre de Yahvé</t>
  </si>
  <si>
    <t>Oí tu voz</t>
  </si>
  <si>
    <t>Ag/Gr</t>
  </si>
  <si>
    <t>html</t>
  </si>
  <si>
    <t>Linked</t>
  </si>
  <si>
    <t>Esprit createur</t>
  </si>
  <si>
    <t>Este es el día del Señor (Taizé)</t>
  </si>
  <si>
    <t>Álbum</t>
  </si>
  <si>
    <t>Nº</t>
  </si>
  <si>
    <t>index.html</t>
  </si>
  <si>
    <t>Momento</t>
  </si>
  <si>
    <t>Sección</t>
  </si>
  <si>
    <t>id_lado</t>
  </si>
  <si>
    <t>i</t>
  </si>
  <si>
    <t>d</t>
  </si>
  <si>
    <t>taiz_org</t>
  </si>
  <si>
    <t>nsb</t>
  </si>
  <si>
    <t>Villancicos</t>
  </si>
  <si>
    <t>Taizé original</t>
  </si>
  <si>
    <t>navi</t>
  </si>
  <si>
    <t>Lucien Deiss</t>
  </si>
  <si>
    <t>José Pedro Martins</t>
  </si>
  <si>
    <t>Fernando Viejo</t>
  </si>
  <si>
    <t>Perpetuo Socorro</t>
  </si>
  <si>
    <t>Secciones</t>
  </si>
  <si>
    <t>Leonard Cohen</t>
  </si>
  <si>
    <t>Padre nuestro II</t>
  </si>
  <si>
    <t>Padre nuestro I</t>
  </si>
  <si>
    <t>Quién amó primero</t>
  </si>
  <si>
    <t>check</t>
  </si>
  <si>
    <t>Recibid mi Espíritu</t>
  </si>
  <si>
    <t>Junto a ti, María</t>
  </si>
  <si>
    <t>Este pan y vino</t>
  </si>
  <si>
    <t>Acaso no estoy yo aquí que soy tu madre</t>
  </si>
  <si>
    <t>Al que está sentado en el trono y al cordero</t>
  </si>
  <si>
    <t>Aleluya, yo creo en tu amor</t>
  </si>
  <si>
    <t>Algo está cayendo aquí</t>
  </si>
  <si>
    <t>Alma de Cristo</t>
  </si>
  <si>
    <t>Contigo me la juego</t>
  </si>
  <si>
    <t>Dijiste sí</t>
  </si>
  <si>
    <t>En los brazos de una virgen</t>
  </si>
  <si>
    <t>Enamórame de ti</t>
  </si>
  <si>
    <t>Entra en el corazón de Dios</t>
  </si>
  <si>
    <t>Es María la blanca paloma</t>
  </si>
  <si>
    <t>Estás aquí, Jesús</t>
  </si>
  <si>
    <t>Evenu shalom alejem</t>
  </si>
  <si>
    <t>Haz de tu casa un Nazaret</t>
  </si>
  <si>
    <t>Más de ti, menos de mí</t>
  </si>
  <si>
    <t>Sálvame</t>
  </si>
  <si>
    <t>Shalom, te doy la paz</t>
  </si>
  <si>
    <t>Te doy mi corazón</t>
  </si>
  <si>
    <t>Todo es tuyo</t>
  </si>
  <si>
    <t>Vamos, amigos</t>
  </si>
  <si>
    <t>Debbye Graafsma</t>
  </si>
  <si>
    <t>RCCE</t>
  </si>
  <si>
    <t>José Luis Reyes</t>
  </si>
  <si>
    <t>Álvaro Fraile</t>
  </si>
  <si>
    <t>Jesús Adrián Romero</t>
  </si>
  <si>
    <t>Lili Zaidín</t>
  </si>
  <si>
    <t>Steve Merkel</t>
  </si>
  <si>
    <t>Sagrada Familia</t>
  </si>
  <si>
    <t>Chema</t>
  </si>
  <si>
    <t>Revisar dim</t>
  </si>
  <si>
    <t>Arre, borriquito</t>
  </si>
  <si>
    <t>Hacia Belén va una burra</t>
  </si>
  <si>
    <t>La marimorena</t>
  </si>
  <si>
    <t>Los peces en el río</t>
  </si>
  <si>
    <t>Fueron valientes</t>
  </si>
  <si>
    <t>Señor, ten piedad (Reunidos en su nombre)</t>
  </si>
  <si>
    <t>Gloria (Reunidos en su nombre)</t>
  </si>
  <si>
    <t>Santo (Reunidos en su nombre)</t>
  </si>
  <si>
    <t>Gustad y ved</t>
  </si>
  <si>
    <t>Te ofrecemos, Señor</t>
  </si>
  <si>
    <t>Padre nuestro (Reunidos en su nombre)</t>
  </si>
  <si>
    <t>Cordero de Dios (Reunidos en su nombre)</t>
  </si>
  <si>
    <t>El pan que compartimos</t>
  </si>
  <si>
    <t>Señor, ten piedad (Alrededor de tu mesa)</t>
  </si>
  <si>
    <t>Salmo 136</t>
  </si>
  <si>
    <t>Salmo 111</t>
  </si>
  <si>
    <t>Salmo 85</t>
  </si>
  <si>
    <t>Salmo 91</t>
  </si>
  <si>
    <t>Salmo 18</t>
  </si>
  <si>
    <t>Salmo 135</t>
  </si>
  <si>
    <t>Salmo 103</t>
  </si>
  <si>
    <t>Salmo 26</t>
  </si>
  <si>
    <t>Salmo 14</t>
  </si>
  <si>
    <t>Salmo 112</t>
  </si>
  <si>
    <t>Salmo 71</t>
  </si>
  <si>
    <t>Contra ti solo pequé</t>
  </si>
  <si>
    <t>Junto a los canales de Babilonia</t>
  </si>
  <si>
    <t>Dichoso quien se acuerda del hermano</t>
  </si>
  <si>
    <t>Señor, escucha mi oración</t>
  </si>
  <si>
    <t>Es bueno dar gracias al Señor</t>
  </si>
  <si>
    <t>El cielo proclama la gloria de Dios</t>
  </si>
  <si>
    <t>Dad gracias al Señor</t>
  </si>
  <si>
    <t>Llena está la tierra de tus criaturas</t>
  </si>
  <si>
    <t>Quién puede entrar en tu templo</t>
  </si>
  <si>
    <t>Alabad, siervos de Dios</t>
  </si>
  <si>
    <t>Que en nuestros días reine la paz</t>
  </si>
  <si>
    <t>Salmo 140</t>
  </si>
  <si>
    <t>Salmo 45</t>
  </si>
  <si>
    <t>Salmo 99</t>
  </si>
  <si>
    <t>El Señor de los ejércitos</t>
  </si>
  <si>
    <t>Cantos para la misa (I)</t>
  </si>
  <si>
    <t>Responde y aclama</t>
  </si>
  <si>
    <t>Himno a la Virgen de la Almudena</t>
  </si>
  <si>
    <t>Grupo Betsaida</t>
  </si>
  <si>
    <t>Hermana Glenda</t>
  </si>
  <si>
    <t>Orar con el corazón</t>
  </si>
  <si>
    <t>Una cosa importante</t>
  </si>
  <si>
    <t>Mi padre</t>
  </si>
  <si>
    <t>Si me faltas</t>
  </si>
  <si>
    <t>Vengan a mí</t>
  </si>
  <si>
    <t>Mirad las aves</t>
  </si>
  <si>
    <t>Mar rojo</t>
  </si>
  <si>
    <t>Espera en el Señor</t>
  </si>
  <si>
    <t>No soy digno</t>
  </si>
  <si>
    <t>Si conocieras</t>
  </si>
  <si>
    <t>Un cántico nuevo</t>
  </si>
  <si>
    <t>Alfarero</t>
  </si>
  <si>
    <t>Ungido</t>
  </si>
  <si>
    <t>Nada es imposible</t>
  </si>
  <si>
    <t>Me amó y se entregó por mí</t>
  </si>
  <si>
    <t>Alégrense en el Señor</t>
  </si>
  <si>
    <t>El cuerpo de Cristo</t>
  </si>
  <si>
    <t>Himno a Cristo</t>
  </si>
  <si>
    <t>Tu gracia</t>
  </si>
  <si>
    <t>Quién te separará</t>
  </si>
  <si>
    <t>Mi única ganancia</t>
  </si>
  <si>
    <t>Cristo vive en mí</t>
  </si>
  <si>
    <t>Espíritu de Dios</t>
  </si>
  <si>
    <t>No me comprendo</t>
  </si>
  <si>
    <t>Bendito sea Dios</t>
  </si>
  <si>
    <t>Si queréis darme consuelo</t>
  </si>
  <si>
    <t>Me amó y se entregó</t>
  </si>
  <si>
    <t>Con nostalgia de ti</t>
  </si>
  <si>
    <t>Para ti toda mi música</t>
  </si>
  <si>
    <t>Orar con María</t>
  </si>
  <si>
    <t>A solas con Dios</t>
  </si>
  <si>
    <t>Quién podrá sanarme</t>
  </si>
  <si>
    <t>Oh, almas</t>
  </si>
  <si>
    <t>Adónde te escondiste, amado</t>
  </si>
  <si>
    <t>El aspirar del aire</t>
  </si>
  <si>
    <t>No quieras despreciarme</t>
  </si>
  <si>
    <t>Mil gracias derramando</t>
  </si>
  <si>
    <t>No puedo vivir sin ti</t>
  </si>
  <si>
    <t>Pastores</t>
  </si>
  <si>
    <t>Cuán manso y amoroso</t>
  </si>
  <si>
    <t>Allí me mostrarías</t>
  </si>
  <si>
    <t>Oh, cauterio suave</t>
  </si>
  <si>
    <t>Levántate, amada mía</t>
  </si>
  <si>
    <t>Oh, lámparas de fuego</t>
  </si>
  <si>
    <t>Que nadie lo miraba</t>
  </si>
  <si>
    <t>Ahí tienes a tu madre</t>
  </si>
  <si>
    <t>Hágase en mí</t>
  </si>
  <si>
    <t>Guardabas en tu corazón</t>
  </si>
  <si>
    <t>La mujer y el dragón</t>
  </si>
  <si>
    <t>Discípulo amado</t>
  </si>
  <si>
    <t>No me des riqueza ni pobreza</t>
  </si>
  <si>
    <t>Madre de consolación</t>
  </si>
  <si>
    <t>Alégrate, María</t>
  </si>
  <si>
    <t>Hagan todo lo que Él les diga</t>
  </si>
  <si>
    <t>Si conocieras el don de Dios</t>
  </si>
  <si>
    <t>Mi padre está en lo secreto</t>
  </si>
  <si>
    <t>Las aguas no podrán apagar el amor</t>
  </si>
  <si>
    <t>Dónde vives</t>
  </si>
  <si>
    <t>Pide y se te dará</t>
  </si>
  <si>
    <t>Tú mi alfarero</t>
  </si>
  <si>
    <t>Nada es imposible para ti</t>
  </si>
  <si>
    <t>Tú tienes palabras de vida</t>
  </si>
  <si>
    <t>Quien pierde su vida la encuentra</t>
  </si>
  <si>
    <t>Para qué me sirve</t>
  </si>
  <si>
    <t>Tú eres el agua viva</t>
  </si>
  <si>
    <t>No juzgues</t>
  </si>
  <si>
    <t>Quien ha encontrado un amigo</t>
  </si>
  <si>
    <t>Tú sabes que te amo</t>
  </si>
  <si>
    <t>Tú me has seducido</t>
  </si>
  <si>
    <t>Yo creo en tu resurrección</t>
  </si>
  <si>
    <t>Misericordia</t>
  </si>
  <si>
    <t>Tú eres mi lámpara</t>
  </si>
  <si>
    <t>Hazme volver</t>
  </si>
  <si>
    <t>Tú eres mi roca</t>
  </si>
  <si>
    <t>Tú me conoces</t>
  </si>
  <si>
    <t>A ti, Señor, levanto mi alma</t>
  </si>
  <si>
    <t>Salmo 22</t>
  </si>
  <si>
    <t>Salmo 121</t>
  </si>
  <si>
    <t>Sé que no me dejarás</t>
  </si>
  <si>
    <t>Él salvará al pobre</t>
  </si>
  <si>
    <t>Alguien está orando por mí</t>
  </si>
  <si>
    <t>Dios te consuela</t>
  </si>
  <si>
    <t>Estoy a tu puerta</t>
  </si>
  <si>
    <t>Génesis</t>
  </si>
  <si>
    <t>No te sientas sola</t>
  </si>
  <si>
    <t>Viento</t>
  </si>
  <si>
    <t>Como una madre</t>
  </si>
  <si>
    <t>Soy de tiempo</t>
  </si>
  <si>
    <t>Sufro</t>
  </si>
  <si>
    <t>Tu lógica</t>
  </si>
  <si>
    <t>Mírame allí</t>
  </si>
  <si>
    <t>Enséñame a orar</t>
  </si>
  <si>
    <t>Todavía no se manifiesta</t>
  </si>
  <si>
    <t>Consuela a mi pueblo</t>
  </si>
  <si>
    <t>Quién eres tú</t>
  </si>
  <si>
    <t>El Señor está conmigo</t>
  </si>
  <si>
    <t>Transparente</t>
  </si>
  <si>
    <t>Por el dolor creyente</t>
  </si>
  <si>
    <t>Hijo pródigo</t>
  </si>
  <si>
    <t>Yo he sentido, Señor</t>
  </si>
  <si>
    <t>Mentes cansadas</t>
  </si>
  <si>
    <t>Te está cantando el martillo</t>
  </si>
  <si>
    <t>Porque es tarde, Dios mío</t>
  </si>
  <si>
    <t>Mire como le mira</t>
  </si>
  <si>
    <t>Cántico de Simeón</t>
  </si>
  <si>
    <t>Nos ha nacido un niño</t>
  </si>
  <si>
    <t>Tú conoces mi canto</t>
  </si>
  <si>
    <t>Con vosotros estoy</t>
  </si>
  <si>
    <t>Pregón Pascual</t>
  </si>
  <si>
    <t>Tú eres mi descanso</t>
  </si>
  <si>
    <t>Que brille tu rostro</t>
  </si>
  <si>
    <t>Grande es tu amor</t>
  </si>
  <si>
    <t>Confiaré en Ti</t>
  </si>
  <si>
    <t>Dios, Tú eres mi Dios</t>
  </si>
  <si>
    <t>Yo esperaba</t>
  </si>
  <si>
    <t>Con nostalgia de Ti</t>
  </si>
  <si>
    <t>Consolad a mi pueblo 1</t>
  </si>
  <si>
    <t>Estoy a tu puerta y llamo</t>
  </si>
  <si>
    <t>Todo es viento</t>
  </si>
  <si>
    <t>No comprendo lo que me pasa</t>
  </si>
  <si>
    <t>Quién te separará de mí</t>
  </si>
  <si>
    <t>Todavía no se manifiesta quién eres</t>
  </si>
  <si>
    <t>Tú lógica</t>
  </si>
  <si>
    <t>Mírame a mí</t>
  </si>
  <si>
    <t>Consolad a mi pueblo 2</t>
  </si>
  <si>
    <t>Un nombre nuevo</t>
  </si>
  <si>
    <t>Quién eres tú, Señor</t>
  </si>
  <si>
    <t>En el desierto</t>
  </si>
  <si>
    <t>Contemplé al Señor</t>
  </si>
  <si>
    <t>Discípulo</t>
  </si>
  <si>
    <t>Alianza de amor entre tú y yo</t>
  </si>
  <si>
    <t>Juan 19, 26-27</t>
  </si>
  <si>
    <t>Después de la medianoche</t>
  </si>
  <si>
    <t>Venid a mí</t>
  </si>
  <si>
    <t>Quién eres, Jesús, para mí</t>
  </si>
  <si>
    <t>Hoy, Señor, me has vuelto a perdonar</t>
  </si>
  <si>
    <t>306b</t>
  </si>
  <si>
    <t>Alfonso Luna</t>
  </si>
  <si>
    <t>Albert Coppo</t>
  </si>
  <si>
    <t>Evangelio de San Juan</t>
  </si>
  <si>
    <t>Allanad los caminos</t>
  </si>
  <si>
    <t>Las bodas de Caná</t>
  </si>
  <si>
    <t>El soplo de Dios</t>
  </si>
  <si>
    <t>El agua viva</t>
  </si>
  <si>
    <t>La piscina probática</t>
  </si>
  <si>
    <t>El pan de vida</t>
  </si>
  <si>
    <t>Quién tirará la primera piedra</t>
  </si>
  <si>
    <t>El buen pastor</t>
  </si>
  <si>
    <t>Vivir en el Señor</t>
  </si>
  <si>
    <t>Amaos unos a otros</t>
  </si>
  <si>
    <t>Yo soy el que sirve</t>
  </si>
  <si>
    <t>La vid y los sarmientos</t>
  </si>
  <si>
    <t>Siempre estaré con vosotros</t>
  </si>
  <si>
    <t>El juicio de Cristo</t>
  </si>
  <si>
    <t>Aleluya, el Señor resucitó</t>
  </si>
  <si>
    <t>Número RCC</t>
  </si>
  <si>
    <t>El Señor es mi pastor (Nico Montero)</t>
  </si>
  <si>
    <t>Tú rompes cadenas</t>
  </si>
  <si>
    <t>Esther Watanabe</t>
  </si>
  <si>
    <t>Con mis manos alzadas</t>
  </si>
  <si>
    <t>Se fue pero a nuestro lado está</t>
  </si>
  <si>
    <t>Juan Carlos Ayala</t>
  </si>
  <si>
    <t>Lléname, Señor</t>
  </si>
  <si>
    <t>Marcos Witt</t>
  </si>
  <si>
    <t>Estamos de fiesta</t>
  </si>
  <si>
    <t>Mejor que vida es tu misericordia</t>
  </si>
  <si>
    <t>Brilla, Jesús</t>
  </si>
  <si>
    <t>Graham Kendrick</t>
  </si>
  <si>
    <t>Sé que voy contigo</t>
  </si>
  <si>
    <t>Quiero decir que sí</t>
  </si>
  <si>
    <t>Luis Alfredo Díaz</t>
  </si>
  <si>
    <t>Cristo, heme aquí</t>
  </si>
  <si>
    <t>Yeshua</t>
  </si>
  <si>
    <t>Santo tú eres, Señor</t>
  </si>
  <si>
    <t>Lázaro Iparraguirre</t>
  </si>
  <si>
    <t>Si lo que buscas</t>
  </si>
  <si>
    <t>Yo soy testigo</t>
  </si>
  <si>
    <t>Shemá, Israel</t>
  </si>
  <si>
    <t>Inunda mi ser</t>
  </si>
  <si>
    <t>Si tuvieras fe como un granito de mostaza</t>
  </si>
  <si>
    <t>Oh, Padre, yo te amo</t>
  </si>
  <si>
    <t>Tenemos tanto</t>
  </si>
  <si>
    <t>Rey de reyes</t>
  </si>
  <si>
    <t>Seguid unidos a mí</t>
  </si>
  <si>
    <t>Digo que Jesús, el Nazareno</t>
  </si>
  <si>
    <t>Alfredo García</t>
  </si>
  <si>
    <t>Vamos a juntarnos</t>
  </si>
  <si>
    <t>Sea la gloria</t>
  </si>
  <si>
    <t>En quién me fijaré</t>
  </si>
  <si>
    <t>Aleluya, mirad la muerte</t>
  </si>
  <si>
    <t>Gloria, yo soy libre</t>
  </si>
  <si>
    <t>Hemos venido a este lugar</t>
  </si>
  <si>
    <t>Leona von Brethorst</t>
  </si>
  <si>
    <t>Andy Carter</t>
  </si>
  <si>
    <t>Ven y adórale</t>
  </si>
  <si>
    <t>Tu amor sublime</t>
  </si>
  <si>
    <t>Si yo confío en el Señor</t>
  </si>
  <si>
    <t>Me alegraré</t>
  </si>
  <si>
    <t>Espíritu Santo, ven</t>
  </si>
  <si>
    <t>Eres tú, Palabra de vida</t>
  </si>
  <si>
    <t>Tomad y comed</t>
  </si>
  <si>
    <t>Ricardo Solans</t>
  </si>
  <si>
    <t>Inmaculada Estévez</t>
  </si>
  <si>
    <t>Él nos ha elegido</t>
  </si>
  <si>
    <t>María, Madre, condúcenos</t>
  </si>
  <si>
    <t>Escucha, Señor, mi oración</t>
  </si>
  <si>
    <t>Bill Sprouse</t>
  </si>
  <si>
    <t>Lourdes Fonteriz</t>
  </si>
  <si>
    <t>Mi alma está sedienta</t>
  </si>
  <si>
    <t>He decidido seguir a Cristo</t>
  </si>
  <si>
    <t>Paul Smith</t>
  </si>
  <si>
    <t>Hoy perdóname</t>
  </si>
  <si>
    <t>54b</t>
  </si>
  <si>
    <t>Ven, Espíritu divino</t>
  </si>
  <si>
    <t>Viejos y jóvenes</t>
  </si>
  <si>
    <t>Merla Watson</t>
  </si>
  <si>
    <t>Vamos a cantar</t>
  </si>
  <si>
    <t>Maravilloso Jesús es para mí</t>
  </si>
  <si>
    <t>Escucha nuestra oración</t>
  </si>
  <si>
    <t>G Gancho</t>
  </si>
  <si>
    <t>Bendita entre las mujeres</t>
  </si>
  <si>
    <t>Hazme instrumento</t>
  </si>
  <si>
    <t>Sebastián Temple</t>
  </si>
  <si>
    <t>Aleluya, alabad a Dios</t>
  </si>
  <si>
    <t>Maravilloso</t>
  </si>
  <si>
    <t>Hoy el Señor me llamó</t>
  </si>
  <si>
    <t>Tuya es la gloria</t>
  </si>
  <si>
    <t>Entrégame</t>
  </si>
  <si>
    <t>Espíritu Santo de Dios</t>
  </si>
  <si>
    <t>Daniel Iverson</t>
  </si>
  <si>
    <t>Santo, Dios de fuerza y poder</t>
  </si>
  <si>
    <t>Santo, Dios de los hombres</t>
  </si>
  <si>
    <t>La rosa de Sarón</t>
  </si>
  <si>
    <t>Avemaría</t>
  </si>
  <si>
    <t>Marcelino García</t>
  </si>
  <si>
    <t>Ven y déjate llevar</t>
  </si>
  <si>
    <t>Oh, ven, ven y deléitate</t>
  </si>
  <si>
    <t>Moviste mi corazón</t>
  </si>
  <si>
    <t>Yo te ensalzo</t>
  </si>
  <si>
    <t>Pueblo de Dios</t>
  </si>
  <si>
    <t>Hay poder</t>
  </si>
  <si>
    <t>Lewis Jones</t>
  </si>
  <si>
    <t>Oh, oh, oh, Padre</t>
  </si>
  <si>
    <t>Te ensalzamos</t>
  </si>
  <si>
    <t>Vuelve los ojos al Señor</t>
  </si>
  <si>
    <t>Chantal Guerret</t>
  </si>
  <si>
    <t>Juan Manuel Martín</t>
  </si>
  <si>
    <t>Nombra a Jesús</t>
  </si>
  <si>
    <t>Temprano yo te buscaré</t>
  </si>
  <si>
    <t>Sagrario Ruiz</t>
  </si>
  <si>
    <t>Yo os daré la fuerza</t>
  </si>
  <si>
    <t>Cuando escuches</t>
  </si>
  <si>
    <t>Andree Gouzes</t>
  </si>
  <si>
    <t>Amor loco</t>
  </si>
  <si>
    <t>Muchos hermanos aquí</t>
  </si>
  <si>
    <t>Si estás buscando</t>
  </si>
  <si>
    <t>Rafael de la Hoz</t>
  </si>
  <si>
    <t>Tú, el Dios de mi refugio</t>
  </si>
  <si>
    <t>El Señor está en medio de ti</t>
  </si>
  <si>
    <t>Alguien cerca está de mí</t>
  </si>
  <si>
    <t>Mari Puy Montaner</t>
  </si>
  <si>
    <t>Lucas Casaert</t>
  </si>
  <si>
    <t>Manuel Rosa</t>
  </si>
  <si>
    <t>104/105</t>
  </si>
  <si>
    <t>Va bajando ya</t>
  </si>
  <si>
    <t>Jesús está en ti</t>
  </si>
  <si>
    <t>Aclamad</t>
  </si>
  <si>
    <t>Postrado</t>
  </si>
  <si>
    <t>Mira, oh, Dios</t>
  </si>
  <si>
    <t>Santo (Gen Rosso)</t>
  </si>
  <si>
    <t>Paz a vosotros</t>
  </si>
  <si>
    <t>Rosa Cruz</t>
  </si>
  <si>
    <t>Bendito sea tu nombre</t>
  </si>
  <si>
    <t>Algo nuevo está naciendo</t>
  </si>
  <si>
    <t>Elena Andrés</t>
  </si>
  <si>
    <t>Te cubriré</t>
  </si>
  <si>
    <t>Vino un hombre a nuestro mundo</t>
  </si>
  <si>
    <t>Hágase en nosotros</t>
  </si>
  <si>
    <t>Marta Gil-Delgado</t>
  </si>
  <si>
    <t>Don Moen</t>
  </si>
  <si>
    <t>Sendas Dios hará</t>
  </si>
  <si>
    <t>El Señor es mi pastor (JM Monedero)</t>
  </si>
  <si>
    <t>José María Monedero</t>
  </si>
  <si>
    <t>Laurie Klein</t>
  </si>
  <si>
    <t>Te amo, Rey</t>
  </si>
  <si>
    <t>Grito Santo</t>
  </si>
  <si>
    <t>José Manuel Culebras</t>
  </si>
  <si>
    <t>J F Martínez</t>
  </si>
  <si>
    <t>Madre</t>
  </si>
  <si>
    <t>Señor, ten piedad de mí, pecador</t>
  </si>
  <si>
    <t>Julián Huete</t>
  </si>
  <si>
    <t>La canción del Espíritu</t>
  </si>
  <si>
    <t>John Wimber</t>
  </si>
  <si>
    <t>Chiquito Villalba</t>
  </si>
  <si>
    <t>Pasa por aquí, Señor</t>
  </si>
  <si>
    <t>Despertemos</t>
  </si>
  <si>
    <t>Juan Alfonso Greis</t>
  </si>
  <si>
    <t>Mi alma alaba al Señor</t>
  </si>
  <si>
    <t>Renuévame</t>
  </si>
  <si>
    <t>Aleluya, Cristo vive</t>
  </si>
  <si>
    <t>Marisa y Noemí</t>
  </si>
  <si>
    <t>Fuego en esta casa</t>
  </si>
  <si>
    <t>Eric Nuzum</t>
  </si>
  <si>
    <t>Qué deseables</t>
  </si>
  <si>
    <t>Como las tiendas de Quedar</t>
  </si>
  <si>
    <t>Caminaremos</t>
  </si>
  <si>
    <t>El diario de María</t>
  </si>
  <si>
    <t>Ven, Espíritu de amor</t>
  </si>
  <si>
    <t>Yo no soy nada</t>
  </si>
  <si>
    <t>Juan Pablo Culebras</t>
  </si>
  <si>
    <t>Esta alegría no va a pasar</t>
  </si>
  <si>
    <t>Dios precisa de ti</t>
  </si>
  <si>
    <t>Dios, tú, mi Dios</t>
  </si>
  <si>
    <t>Abre mis labios</t>
  </si>
  <si>
    <t>Yo quiero ser como tú</t>
  </si>
  <si>
    <t>Clint Brown</t>
  </si>
  <si>
    <t>Aquí él está</t>
  </si>
  <si>
    <t>El tren</t>
  </si>
  <si>
    <t>Amor tan grande</t>
  </si>
  <si>
    <t>Si el Espíritu de Dios</t>
  </si>
  <si>
    <t>Tierra firme (Getsemaní)</t>
  </si>
  <si>
    <t>Getsemaní</t>
  </si>
  <si>
    <t>Ribcah Anafah</t>
  </si>
  <si>
    <t>Elí, Elí</t>
  </si>
  <si>
    <t>Escucha, oh, Jesús</t>
  </si>
  <si>
    <t>Sí, con vosotros estoy</t>
  </si>
  <si>
    <t>Vamos con gozo</t>
  </si>
  <si>
    <t>Jesús, quédate aquí</t>
  </si>
  <si>
    <t>Aleluya, Cristo vivo está</t>
  </si>
  <si>
    <t>Ron Kenoly</t>
  </si>
  <si>
    <t>Dos mil años de luz</t>
  </si>
  <si>
    <t>Cuando con el corazón</t>
  </si>
  <si>
    <t>Estoy cantando alegre</t>
  </si>
  <si>
    <t>Jesús te quiere así</t>
  </si>
  <si>
    <t>Siento</t>
  </si>
  <si>
    <t>Marisa Cecilia</t>
  </si>
  <si>
    <t>Lucía Asturias</t>
  </si>
  <si>
    <t>Evangelio</t>
  </si>
  <si>
    <t>Noemí Liste</t>
  </si>
  <si>
    <t>Amar</t>
  </si>
  <si>
    <t>Si es verdad que Dios te quiere</t>
  </si>
  <si>
    <t>No quiero ser santa a medias</t>
  </si>
  <si>
    <t>Abbá</t>
  </si>
  <si>
    <t>Jesucristo es tan grande</t>
  </si>
  <si>
    <t>Alabaré</t>
  </si>
  <si>
    <t>Yo canto a mi Señor</t>
  </si>
  <si>
    <t>Claude Fraysse</t>
  </si>
  <si>
    <t>Ahora no tengo</t>
  </si>
  <si>
    <t>Hay momentos</t>
  </si>
  <si>
    <t>El amor de Dios ha sido derramado</t>
  </si>
  <si>
    <t>Deseo ser santa</t>
  </si>
  <si>
    <t>Bendita la nación</t>
  </si>
  <si>
    <t>Jesús, Jesús, Jesús</t>
  </si>
  <si>
    <t>John Newton</t>
  </si>
  <si>
    <t>Estoy alegre porque soy de Cristo</t>
  </si>
  <si>
    <t>Lo que agrada a Dios</t>
  </si>
  <si>
    <t>Qué bueno es alabarte</t>
  </si>
  <si>
    <t>Al estar aquí</t>
  </si>
  <si>
    <t>Para ti toda mi música, Señor</t>
  </si>
  <si>
    <t>El Espíritu de Dios está en este lugar</t>
  </si>
  <si>
    <t>Ignacio Busca de Sagastizábal</t>
  </si>
  <si>
    <t>A que tú no sabes</t>
  </si>
  <si>
    <t>Los que esperan</t>
  </si>
  <si>
    <t>Clamaremos al Señor</t>
  </si>
  <si>
    <t>Michael O'Shields</t>
  </si>
  <si>
    <t>La pancita</t>
  </si>
  <si>
    <t>Quiero agradecer</t>
  </si>
  <si>
    <t>Henry Smith</t>
  </si>
  <si>
    <t>Laudato sii, o, mi Signore</t>
  </si>
  <si>
    <t>Yo tengo un gozo en el alma</t>
  </si>
  <si>
    <t>Ahora es tiempo</t>
  </si>
  <si>
    <t>Bruce y Jude Borneman</t>
  </si>
  <si>
    <t>Manos abiertas ante ti</t>
  </si>
  <si>
    <t>Anunciamos con poder</t>
  </si>
  <si>
    <t>Ay de mí, si no evangelizara</t>
  </si>
  <si>
    <t>Tú has sido fiel</t>
  </si>
  <si>
    <t>Twila Paris</t>
  </si>
  <si>
    <t>Levantaré mis manos</t>
  </si>
  <si>
    <t>Majestad</t>
  </si>
  <si>
    <t>Jack Hayford</t>
  </si>
  <si>
    <t>Enséñame tu camino, Señor</t>
  </si>
  <si>
    <t>Eugene Greco</t>
  </si>
  <si>
    <t>Manos vacías</t>
  </si>
  <si>
    <t>Algo está descendiendo</t>
  </si>
  <si>
    <t>Ven a conocer</t>
  </si>
  <si>
    <t>Pequeño como una brisa</t>
  </si>
  <si>
    <t>Gloria a ti por siempre</t>
  </si>
  <si>
    <t>Porque para siempre, Dios</t>
  </si>
  <si>
    <t>Aquí se alaba</t>
  </si>
  <si>
    <t>Resucitaremos con él</t>
  </si>
  <si>
    <t>Quiero levantar mis manos</t>
  </si>
  <si>
    <t>Joanne Boyce</t>
  </si>
  <si>
    <t>Como corre un río</t>
  </si>
  <si>
    <t>Edith McNeill</t>
  </si>
  <si>
    <t>El gran amor</t>
  </si>
  <si>
    <t>Oh, aleluya</t>
  </si>
  <si>
    <t>Oh, alabad</t>
  </si>
  <si>
    <t>José Luis Villalaín</t>
  </si>
  <si>
    <t>Mira el rostro de Jesús</t>
  </si>
  <si>
    <t>Lo más valioso</t>
  </si>
  <si>
    <t>Salvador para todos</t>
  </si>
  <si>
    <t>Vive Jesús</t>
  </si>
  <si>
    <t>Seduce mi corazón</t>
  </si>
  <si>
    <t>Cuida de mí</t>
  </si>
  <si>
    <t>Hoy canto para ti</t>
  </si>
  <si>
    <t>Gloria a Jesús, el Señor</t>
  </si>
  <si>
    <t>Carolina Martínez</t>
  </si>
  <si>
    <t>Me sedujiste, Señor</t>
  </si>
  <si>
    <t>Mi alma tiene sed de Dios</t>
  </si>
  <si>
    <t>Ven, Dios Padre</t>
  </si>
  <si>
    <t>Fausto Pflucker</t>
  </si>
  <si>
    <t>César Nebot</t>
  </si>
  <si>
    <t>Conviene que Cristo crezca</t>
  </si>
  <si>
    <t>Vuélvete a mí</t>
  </si>
  <si>
    <t>Pedro Luis Asturias</t>
  </si>
  <si>
    <t>Pon hoy la llama de amor</t>
  </si>
  <si>
    <t>Honor y gloria a tu nombre</t>
  </si>
  <si>
    <t>En ti está la fuente de la vida</t>
  </si>
  <si>
    <t>Javier Rodríguez</t>
  </si>
  <si>
    <t>Nadie te quiere como él</t>
  </si>
  <si>
    <t>En momentos así</t>
  </si>
  <si>
    <t>David Graham</t>
  </si>
  <si>
    <t>Tómame</t>
  </si>
  <si>
    <t>Ven ahora, Espíritu Santo</t>
  </si>
  <si>
    <t>Charlotte Exon</t>
  </si>
  <si>
    <t>Vine a alabar a Dios</t>
  </si>
  <si>
    <t>No puede estar triste</t>
  </si>
  <si>
    <t>No tengo más</t>
  </si>
  <si>
    <t>Milagros Rosa</t>
  </si>
  <si>
    <t>Venid, alabad</t>
  </si>
  <si>
    <t>Tuya es la victoria</t>
  </si>
  <si>
    <t>Ven ahora</t>
  </si>
  <si>
    <t>Es necesario morir</t>
  </si>
  <si>
    <t>El amor del Señor</t>
  </si>
  <si>
    <t>Gloriosa luz de Dios</t>
  </si>
  <si>
    <t>Ven, Amor de Dios</t>
  </si>
  <si>
    <t>Salvatore Martínez</t>
  </si>
  <si>
    <t>Cuán bello es el Señor</t>
  </si>
  <si>
    <t>Yo abriré una puerta</t>
  </si>
  <si>
    <t>Me gozaré, me alegraré</t>
  </si>
  <si>
    <t>Ved a Cristo</t>
  </si>
  <si>
    <t>Alabándote</t>
  </si>
  <si>
    <t>Zarza ardiente</t>
  </si>
  <si>
    <t>Digno eres</t>
  </si>
  <si>
    <t>Pauline Michael Mills</t>
  </si>
  <si>
    <t>Me basta tu presencia y tu figura</t>
  </si>
  <si>
    <t>Jesús y la samaritana</t>
  </si>
  <si>
    <t>Benedetto Conte</t>
  </si>
  <si>
    <t>Aleluya, demos gracias</t>
  </si>
  <si>
    <t>Donald Fishel</t>
  </si>
  <si>
    <t>Jesús Salvador</t>
  </si>
  <si>
    <t>Andrés Parra</t>
  </si>
  <si>
    <t>Al nombre de Jesús</t>
  </si>
  <si>
    <t>Dios, el más grande</t>
  </si>
  <si>
    <t>Steve McEwan</t>
  </si>
  <si>
    <t>Jesús (Asís)</t>
  </si>
  <si>
    <t>Venid, alabemos</t>
  </si>
  <si>
    <t>Cree y verás la gloria de Dios</t>
  </si>
  <si>
    <t>Resucitó</t>
  </si>
  <si>
    <t>Abbá, Padre</t>
  </si>
  <si>
    <t>Ponte ya de pie</t>
  </si>
  <si>
    <t>Dame vida</t>
  </si>
  <si>
    <t>No hay nadie como tú</t>
  </si>
  <si>
    <t>Ven a cantar</t>
  </si>
  <si>
    <t>Gracias por lo que haces por mí</t>
  </si>
  <si>
    <t>Mas el Dios de toda gracia</t>
  </si>
  <si>
    <t>Bob Probert</t>
  </si>
  <si>
    <t>Aleluya, Jesús es el Señor</t>
  </si>
  <si>
    <t>Frank Hernández</t>
  </si>
  <si>
    <t>Hay una promesa</t>
  </si>
  <si>
    <t>Padre, te adoramos</t>
  </si>
  <si>
    <t>Terrye Coelho</t>
  </si>
  <si>
    <t>Lola Tomillo</t>
  </si>
  <si>
    <t>Hosanna</t>
  </si>
  <si>
    <t>Carl Tuttle</t>
  </si>
  <si>
    <t>Haz de mí una ofrenda</t>
  </si>
  <si>
    <t>Cristo, maravilloso eres tú</t>
  </si>
  <si>
    <t>Cantemos al Señor</t>
  </si>
  <si>
    <t>Arranca de mi pecho</t>
  </si>
  <si>
    <t>Luis Alberto González</t>
  </si>
  <si>
    <t>Hasta los confines de la tierra</t>
  </si>
  <si>
    <t>No hay nadie como mi Dios</t>
  </si>
  <si>
    <t>Te alabarán, oh, Señor</t>
  </si>
  <si>
    <t>El Señor resucitado</t>
  </si>
  <si>
    <t>Marvin Frey</t>
  </si>
  <si>
    <t>Nuestro Dios reina</t>
  </si>
  <si>
    <t>Leonard Smith</t>
  </si>
  <si>
    <t>Sáname ahora</t>
  </si>
  <si>
    <t>Queremos ser</t>
  </si>
  <si>
    <t>Quiero llenar tu trono de alabanza</t>
  </si>
  <si>
    <t>Desde cualquier rincón</t>
  </si>
  <si>
    <t>Mi paz</t>
  </si>
  <si>
    <t>Keith Routledge</t>
  </si>
  <si>
    <t>Celebrad a Cristo</t>
  </si>
  <si>
    <t>Gary Oliver</t>
  </si>
  <si>
    <t>Dios me ama y yo le amo</t>
  </si>
  <si>
    <t>Exaltad</t>
  </si>
  <si>
    <t>Miguel Casina</t>
  </si>
  <si>
    <t>Vamos a bendecir al Señor</t>
  </si>
  <si>
    <t>Clamamos a ti</t>
  </si>
  <si>
    <t>Marcela Jobe</t>
  </si>
  <si>
    <t>Yo cantaré tus alabanzas</t>
  </si>
  <si>
    <t>Hay una fuente en mí</t>
  </si>
  <si>
    <t>Jesús es mi luz y mi salvación</t>
  </si>
  <si>
    <t>Renato Vizuet</t>
  </si>
  <si>
    <t>No puedo parar</t>
  </si>
  <si>
    <t>Reina en mí</t>
  </si>
  <si>
    <t>Héctor Hermosillo</t>
  </si>
  <si>
    <t>Toma mi vida</t>
  </si>
  <si>
    <t>Que nuestro Dios te guarde</t>
  </si>
  <si>
    <t>Has cambiado mi lamento en baile</t>
  </si>
  <si>
    <t>Adonai</t>
  </si>
  <si>
    <t>Se siente una paz tan grande</t>
  </si>
  <si>
    <t>Exaltando a Jesús</t>
  </si>
  <si>
    <t>Ante su nombre todo caerá</t>
  </si>
  <si>
    <t>Con gozo al Señor cantaré</t>
  </si>
  <si>
    <t>Marga Trufero</t>
  </si>
  <si>
    <t>En presencia</t>
  </si>
  <si>
    <t>Mark Altragge</t>
  </si>
  <si>
    <t>En la tierra habrá</t>
  </si>
  <si>
    <t>Tu amor por mí</t>
  </si>
  <si>
    <t>Te damos gloria</t>
  </si>
  <si>
    <t>Ron Colie</t>
  </si>
  <si>
    <t>Mirad, levantad</t>
  </si>
  <si>
    <t>Darlene Zschech</t>
  </si>
  <si>
    <t>Mi Cristo, mi rey</t>
  </si>
  <si>
    <t>En el cielo se oye</t>
  </si>
  <si>
    <t>Tu fidelidad</t>
  </si>
  <si>
    <t>No tengo, Señor, alabanza</t>
  </si>
  <si>
    <t>Jesús, tengo sed</t>
  </si>
  <si>
    <t>Marta Calvo</t>
  </si>
  <si>
    <t>Mi pensamiento eres tú</t>
  </si>
  <si>
    <t>Mi ser alaba al Señor</t>
  </si>
  <si>
    <t>Majestuoso, poderoso</t>
  </si>
  <si>
    <t>Así es Dios</t>
  </si>
  <si>
    <t>Annemarie Bambino</t>
  </si>
  <si>
    <t>Fermín García</t>
  </si>
  <si>
    <t>Marisa Liste</t>
  </si>
  <si>
    <t>Nos dejaste, Señor</t>
  </si>
  <si>
    <t>Gloria al Cordero</t>
  </si>
  <si>
    <t>Alabad a Yahvé</t>
  </si>
  <si>
    <t>Gracias yo te daré</t>
  </si>
  <si>
    <t>Se encienden las velas</t>
  </si>
  <si>
    <t>Brent Chambers</t>
  </si>
  <si>
    <t>Entra en la presencia</t>
  </si>
  <si>
    <t>Lynn Baird</t>
  </si>
  <si>
    <t>Bob Fitts</t>
  </si>
  <si>
    <t>Bendito sea el Señor</t>
  </si>
  <si>
    <t>Cuando Cristo venga en gloria</t>
  </si>
  <si>
    <t>Me llaman aleluya</t>
  </si>
  <si>
    <t>Y es que tengo un fuego</t>
  </si>
  <si>
    <t>He venido para que viváis</t>
  </si>
  <si>
    <t>Ven y juntos alabemos</t>
  </si>
  <si>
    <t>Randal Calderón</t>
  </si>
  <si>
    <t>Se exalta nuestro Dios</t>
  </si>
  <si>
    <t>Siento que tus ojos me miran</t>
  </si>
  <si>
    <t>Tim Smith</t>
  </si>
  <si>
    <t>Señor, llévame a tus atrios</t>
  </si>
  <si>
    <t>Porque tú eres bueno</t>
  </si>
  <si>
    <t>Yo te adoro, Señor</t>
  </si>
  <si>
    <t>La paz esté con nosotros</t>
  </si>
  <si>
    <t>Ahora más que nunca</t>
  </si>
  <si>
    <t>Luis Enrique Ascoy</t>
  </si>
  <si>
    <t>Aclamad al Señor</t>
  </si>
  <si>
    <t>Lori Black Mathis</t>
  </si>
  <si>
    <t>Imagina</t>
  </si>
  <si>
    <t>Blest</t>
  </si>
  <si>
    <t>Confiad</t>
  </si>
  <si>
    <t>Agnus Dei</t>
  </si>
  <si>
    <t>Michael W. Smith</t>
  </si>
  <si>
    <t>Como un niño</t>
  </si>
  <si>
    <t>Tú eres Dios</t>
  </si>
  <si>
    <t>Don Harris</t>
  </si>
  <si>
    <t>María Parkinson</t>
  </si>
  <si>
    <t>De rodillas, madre</t>
  </si>
  <si>
    <t>Hijo de David</t>
  </si>
  <si>
    <t>Es la confianza</t>
  </si>
  <si>
    <t>Ven, es hora de adorarle</t>
  </si>
  <si>
    <t>Vengo a adorarte</t>
  </si>
  <si>
    <t>Tim Hughes</t>
  </si>
  <si>
    <t>Brian Doerksen</t>
  </si>
  <si>
    <t>Qué tendrás tú</t>
  </si>
  <si>
    <t>Ven al corazón</t>
  </si>
  <si>
    <t>Marie Barnett</t>
  </si>
  <si>
    <t>Oh, pobreza</t>
  </si>
  <si>
    <t>El león de la tribu de Judá</t>
  </si>
  <si>
    <t>Eres mi respirar</t>
  </si>
  <si>
    <t>Queremos a Cristo proclamar</t>
  </si>
  <si>
    <t>Ven, Espíritu Santo de Dios</t>
  </si>
  <si>
    <t>Haz llover</t>
  </si>
  <si>
    <t>Paul S. Morton</t>
  </si>
  <si>
    <t>Doug Horley</t>
  </si>
  <si>
    <t>Esto es mi cuerpo</t>
  </si>
  <si>
    <t>Ven, Espíritu, ven</t>
  </si>
  <si>
    <t>Janet Lunt</t>
  </si>
  <si>
    <t>Marco Barrientos</t>
  </si>
  <si>
    <t>Buenas noches, María</t>
  </si>
  <si>
    <t>A él le sea la gloria</t>
  </si>
  <si>
    <t>Demos gloria</t>
  </si>
  <si>
    <t>Cántico de victoria</t>
  </si>
  <si>
    <t>Ven, ven, Espíritu de Dios</t>
  </si>
  <si>
    <t>Charo Moreno</t>
  </si>
  <si>
    <t>Andrew Cauchi</t>
  </si>
  <si>
    <t>Cansado del camino</t>
  </si>
  <si>
    <t>Enciende una luz</t>
  </si>
  <si>
    <t>Qué sería de mí</t>
  </si>
  <si>
    <t>Alabad al Señor todas las naciones</t>
  </si>
  <si>
    <t>Reuben Morgan</t>
  </si>
  <si>
    <t>La victoria es de nuestro Dios</t>
  </si>
  <si>
    <t>Quién es este</t>
  </si>
  <si>
    <t>Tú me has vestido</t>
  </si>
  <si>
    <t>Hay que volver a nacer de nuevo</t>
  </si>
  <si>
    <t>Pa arriba</t>
  </si>
  <si>
    <t>El Alfa y la Omega</t>
  </si>
  <si>
    <t>Fray Nacho</t>
  </si>
  <si>
    <t>No me callaré</t>
  </si>
  <si>
    <t>Entre el cielo y la tierra</t>
  </si>
  <si>
    <t>Señor, mírame</t>
  </si>
  <si>
    <t>He oído tu voz</t>
  </si>
  <si>
    <t>Pan y vino de amor</t>
  </si>
  <si>
    <t>Ven junto a mí</t>
  </si>
  <si>
    <t>Nadie contestó</t>
  </si>
  <si>
    <t>Tras las huellas del Padre</t>
  </si>
  <si>
    <t>Tierra</t>
  </si>
  <si>
    <t>Sinfonía de las vocales</t>
  </si>
  <si>
    <t>Todos juntos</t>
  </si>
  <si>
    <t>Y el séptimo descansó</t>
  </si>
  <si>
    <t>Alza la mirada</t>
  </si>
  <si>
    <t>A quién temeré</t>
  </si>
  <si>
    <t>Pregón Pascual (neocatecumenal)</t>
  </si>
  <si>
    <t>Pablo Cebrián</t>
  </si>
  <si>
    <t>Tú, Cristo, oh, Jesucristo</t>
  </si>
  <si>
    <t>Pasión</t>
  </si>
  <si>
    <t>Qaos</t>
  </si>
  <si>
    <t>Tú</t>
  </si>
  <si>
    <t>Loco</t>
  </si>
  <si>
    <t>Los coros del universo</t>
  </si>
  <si>
    <t>Te alabaré</t>
  </si>
  <si>
    <t>Sanas</t>
  </si>
  <si>
    <t>Total</t>
  </si>
  <si>
    <t>Cuántas</t>
  </si>
  <si>
    <t>Porcentaje</t>
  </si>
  <si>
    <t>Juan Jáuregui</t>
  </si>
  <si>
    <t>Hechas</t>
  </si>
  <si>
    <t>Simon y Garfunkel</t>
  </si>
  <si>
    <t>Lluís Llach</t>
  </si>
  <si>
    <t>José Antonio Labordeta</t>
  </si>
  <si>
    <t>David Julien</t>
  </si>
  <si>
    <t>Fray André Gouze - Gocam</t>
  </si>
  <si>
    <t>Valentín Elizalde</t>
  </si>
  <si>
    <t>Ave María II</t>
  </si>
  <si>
    <t>Ave María I</t>
  </si>
  <si>
    <t>Compartir</t>
  </si>
  <si>
    <t>Mercedes González</t>
  </si>
  <si>
    <t>Amarás al Señor tu Dios</t>
  </si>
  <si>
    <t>Confía</t>
  </si>
  <si>
    <t>Cristo Señor</t>
  </si>
  <si>
    <t>Escucha tú la Palabra de Dios</t>
  </si>
  <si>
    <t>Escucha, María</t>
  </si>
  <si>
    <t>Gracias, Madre</t>
  </si>
  <si>
    <t>Poneos en pie</t>
  </si>
  <si>
    <t>Vuelve hacia nosotros</t>
  </si>
  <si>
    <t>La vid verdadera</t>
  </si>
  <si>
    <t>Andrés Barriales</t>
  </si>
  <si>
    <t>Taizé ESP</t>
  </si>
  <si>
    <t>Totales</t>
  </si>
  <si>
    <t>Gonzalo González</t>
  </si>
  <si>
    <t>La misa es una fiesta muy alegre</t>
  </si>
  <si>
    <t>La misa no termina aquí en la iglesia</t>
  </si>
  <si>
    <t>Tú, que siempre nos perdonas</t>
  </si>
  <si>
    <t>227 y 228</t>
  </si>
  <si>
    <t>Gian Franco Pagliardo</t>
  </si>
  <si>
    <t>Tened encendida la lámpara</t>
  </si>
  <si>
    <t>Padre, me pongo en tu regazo</t>
  </si>
  <si>
    <t>Santa María, servidora</t>
  </si>
  <si>
    <t>Escucha nuestros gritos en la noche</t>
  </si>
  <si>
    <t>Joaquín Santos</t>
  </si>
  <si>
    <t>Arriésgate</t>
  </si>
  <si>
    <t>GLENDA</t>
  </si>
  <si>
    <t>Abbá, Padre (escúchame)</t>
  </si>
  <si>
    <t>Antiguo</t>
  </si>
  <si>
    <t>Nuevo</t>
  </si>
  <si>
    <t>Mariano Fuertes</t>
  </si>
  <si>
    <t>Ven a salvar a tu pueblo</t>
  </si>
  <si>
    <t>Misa coral en Re</t>
  </si>
  <si>
    <t>Gloria (misa coral en Re)</t>
  </si>
  <si>
    <t>Aleluya (misa coral en Re)</t>
  </si>
  <si>
    <t>Santo (misa coral en Re)</t>
  </si>
  <si>
    <t>Padre nuestro (misa coral en Re)</t>
  </si>
  <si>
    <t>Cordero de Dios (misa coral en Re)</t>
  </si>
  <si>
    <t>Si cada noche fuera Nochebuena</t>
  </si>
  <si>
    <t>Esto es Navidad</t>
  </si>
  <si>
    <t>Gloria (por pintar amaneceres)</t>
  </si>
  <si>
    <t>Via Crucis</t>
  </si>
  <si>
    <t>Vía Crucis Introducción</t>
  </si>
  <si>
    <t>Via Crucis I Jesús cautivo</t>
  </si>
  <si>
    <t>Via Crucis II Jesús carga con la Cruz</t>
  </si>
  <si>
    <t>Via Crucis III Jesús cae por primera vez</t>
  </si>
  <si>
    <t>Via Crucis IV Jesús se encuentra con su madre</t>
  </si>
  <si>
    <t>Via Crucis V El Cireneo</t>
  </si>
  <si>
    <t>Via Crucis VI La Verónica</t>
  </si>
  <si>
    <t>Via Crucis VII Jesús cae por segunda vez</t>
  </si>
  <si>
    <t>Via Crucis VIII Jesús consuela a las mujeres</t>
  </si>
  <si>
    <t>Via Crucis IX Jesús cae por tercera vez</t>
  </si>
  <si>
    <t>Via Crucis X Jesús es despojado</t>
  </si>
  <si>
    <t>Via Crucis XI Jesús es clavado en la Cruz</t>
  </si>
  <si>
    <t>Via Crucis XII Jesús muere en la Cruz</t>
  </si>
  <si>
    <t>Via Crucis XIII Jesús bajado de la Cruz</t>
  </si>
  <si>
    <t>Via Crucis XIV El cuerpo de Jesús</t>
  </si>
  <si>
    <t>Via Crucis XV La fuerza de la Cruz</t>
  </si>
  <si>
    <t>Marta Gil Delgado</t>
  </si>
  <si>
    <t>Mínimo</t>
  </si>
  <si>
    <t>SECCIONES</t>
  </si>
  <si>
    <t>CARPETAS</t>
  </si>
  <si>
    <t>minusc</t>
  </si>
  <si>
    <t>Todas?</t>
  </si>
  <si>
    <t>html?</t>
  </si>
  <si>
    <t>Hechas+Taizé</t>
  </si>
  <si>
    <t>No os dejo solos</t>
  </si>
  <si>
    <t>Padre nuestro III</t>
  </si>
  <si>
    <t>17 y 289</t>
  </si>
  <si>
    <t>Tus manos son palomas de la paz</t>
  </si>
  <si>
    <t>Juan Erasmo Mochi</t>
  </si>
  <si>
    <t>Ungidos</t>
  </si>
  <si>
    <t>Luispo</t>
  </si>
  <si>
    <t>cej1</t>
  </si>
  <si>
    <t>cej5</t>
  </si>
  <si>
    <t>cej3</t>
  </si>
  <si>
    <t>cej2</t>
  </si>
  <si>
    <t>cej4</t>
  </si>
  <si>
    <t>cej6</t>
  </si>
  <si>
    <t>Cejilla</t>
  </si>
  <si>
    <t>cej7</t>
  </si>
  <si>
    <t>Lab</t>
  </si>
  <si>
    <t>Mib</t>
  </si>
  <si>
    <t>Sin acordes</t>
  </si>
  <si>
    <t>Fa#</t>
  </si>
  <si>
    <t>link</t>
  </si>
  <si>
    <t>https://www.youtube.com/watch?v=sYD6wlOh578</t>
  </si>
  <si>
    <t>https://www.youtube.com/watch?v=QOoULjmeZ_0</t>
  </si>
  <si>
    <t>https://www.youtube.com/watch?v=_Ro7UwTGu-s</t>
  </si>
  <si>
    <t>https://www.youtube.com/watch?v=amcNuPkMSdY</t>
  </si>
  <si>
    <t>https://www.youtube.com/watch?v=qo5JMT-K6zw</t>
  </si>
  <si>
    <t>https://www.youtube.com/watch?v=rTuBMwY_p9Q</t>
  </si>
  <si>
    <t>https://www.youtube.com/watch?v=QkZqaN8wdf4</t>
  </si>
  <si>
    <t>https://www.youtube.com/watch?v=xwdgg6PIhyA</t>
  </si>
  <si>
    <t>https://www.youtube.com/watch?v=OwzdalM_9_c</t>
  </si>
  <si>
    <t>https://www.youtube.com/watch?v=Mj9ZrtLyHh0</t>
  </si>
  <si>
    <t>https://www.youtube.com/watch?v=KmGoGRjkxOA</t>
  </si>
  <si>
    <t>https://www.youtube.com/watch?v=yNUuh1LJ--E</t>
  </si>
  <si>
    <t>https://www.youtube.com/watch?v=LEj4ybN6Ovc</t>
  </si>
  <si>
    <t>https://www.youtube.com/watch?v=OuQldRxC9WM</t>
  </si>
  <si>
    <t>https://www.youtube.com/watch?v=gEbtIG9EbO4</t>
  </si>
  <si>
    <t>https://www.youtube.com/watch?v=tKSM_vijkgE</t>
  </si>
  <si>
    <t>https://www.youtube.com/watch?v=whLQp8Pq58g</t>
  </si>
  <si>
    <t>https://www.youtube.com/watch?v=oo4lLrdpIBg</t>
  </si>
  <si>
    <t>https://www.youtube.com/watch?v=fwSvlqMZsDQ</t>
  </si>
  <si>
    <t>https://www.youtube.com/watch?v=g7vRXBpL10k</t>
  </si>
  <si>
    <t>https://www.youtube.com/watch?v=c06HqJKSRBU</t>
  </si>
  <si>
    <t>https://www.youtube.com/watch?v=i3PyJPPFJsQ</t>
  </si>
  <si>
    <t>https://www.youtube.com/watch?v=PzhLaLRijl0</t>
  </si>
  <si>
    <t>https://www.youtube.com/watch?v=V86NBrzhSAo</t>
  </si>
  <si>
    <t>https://www.youtube.com/watch?v=yiRuZloI6d0</t>
  </si>
  <si>
    <t>https://www.youtube.com/watch?v=oJ8DIOKwxhU</t>
  </si>
  <si>
    <t>https://www.youtube.com/watch?v=KwQwKNU8Q1I</t>
  </si>
  <si>
    <t>https://www.youtube.com/watch?v=HsegwQSLVi4</t>
  </si>
  <si>
    <t>https://www.youtube.com/watch?v=slxWCex0heQ</t>
  </si>
  <si>
    <t>https://www.youtube.com/watch?v=k8ibpJ4NKTU</t>
  </si>
  <si>
    <t>https://www.youtube.com/watch?v=Jj8X5vv5LNY</t>
  </si>
  <si>
    <t>https://www.youtube.com/watch?v=1axSWF5kWVc</t>
  </si>
  <si>
    <t>https://www.youtube.com/watch?v=bpvx3uFc48I</t>
  </si>
  <si>
    <t>https://www.youtube.com/watch?v=DcnvRmnrm0s</t>
  </si>
  <si>
    <t>https://www.youtube.com/watch?v=rpwi0PjxShU</t>
  </si>
  <si>
    <t>https://www.youtube.com/watch?v=88t9_VW5z6o</t>
  </si>
  <si>
    <t>https://www.youtube.com/watch?v=Kpyl0DDOr1M</t>
  </si>
  <si>
    <t>https://www.youtube.com/watch?v=RBbbPNeLt9c</t>
  </si>
  <si>
    <t>https://www.youtube.com/watch?v=XuoPNqY5n9A</t>
  </si>
  <si>
    <t>https://www.youtube.com/watch?v=mAfFgnBZTEQ</t>
  </si>
  <si>
    <t>Petrus (In illo uno unum)</t>
  </si>
  <si>
    <t>https://www.youtube.com/watch?v=Qz-wm_PxJwQ</t>
  </si>
  <si>
    <t>https://www.youtube.com/watch?v=MhwXqKZmy3Y</t>
  </si>
  <si>
    <t>https://www.youtube.com/watch?v=LHYuOBf5ReM</t>
  </si>
  <si>
    <t>En mi nombre</t>
  </si>
  <si>
    <t>https://www.youtube.com/watch?v=v3KER0rmj3s</t>
  </si>
  <si>
    <t>Kent Leroy</t>
  </si>
  <si>
    <t>https://www.youtube.com/watch?v=wHyl-83H9Ro</t>
  </si>
  <si>
    <t>https://www.youtube.com/watch?v=0cJgahJq6_c</t>
  </si>
  <si>
    <t>https://www.youtube.com/watch?v=XIpdZwkbdnY</t>
  </si>
  <si>
    <t>https://www.youtube.com/watch?v=nMpaTTNWk_M</t>
  </si>
  <si>
    <t>La misa es una fiesta</t>
  </si>
  <si>
    <t>El Señor es nuestra alegría (Este es el día)</t>
  </si>
  <si>
    <t>https://www.youtube.com/watch?v=6Hkwjq8gdQc</t>
  </si>
  <si>
    <t>https://www.youtube.com/watch?v=c23MnojHuak</t>
  </si>
  <si>
    <t>https://www.youtube.com/watch?v=pxDsn6De9WM</t>
  </si>
  <si>
    <t>https://www.youtube.com/watch?v=XEL7TtXsEpc</t>
  </si>
  <si>
    <t>Santo (Réquiem)</t>
  </si>
  <si>
    <t>Cordero de Dios (Réquiem)</t>
  </si>
  <si>
    <t>https://www.youtube.com/watch?v=GMGRgvLtwj8</t>
  </si>
  <si>
    <t>https://www.youtube.com/watch?v=hqiJ3iVRTAI</t>
  </si>
  <si>
    <t>Este es el Pan que nos da Jesús</t>
  </si>
  <si>
    <t>https://www.youtube.com/watch?v=RZHzMY27QHE</t>
  </si>
  <si>
    <t>El Señor nos llama y nos reúne</t>
  </si>
  <si>
    <t>https://www.youtube.com/watch?v=w7lGynBausw</t>
  </si>
  <si>
    <t>https://www.youtube.com/watch?v=frguu9_KWfQ</t>
  </si>
  <si>
    <t>Al Paraíso te lleven los ángeles</t>
  </si>
  <si>
    <t>https://www.youtube.com/watch?v=GvfT0gPkWdM</t>
  </si>
  <si>
    <t>https://www.youtube.com/watch?v=XMcY8AO0YTw</t>
  </si>
  <si>
    <t>https://www.youtube.com/watch?v=u6cOz4g4_0I</t>
  </si>
  <si>
    <t>https://www.youtube.com/watch?v=4ufvex3-i34</t>
  </si>
  <si>
    <t>https://www.youtube.com/watch?v=2jyrVGKLpOk</t>
  </si>
  <si>
    <t>https://www.youtube.com/watch?v=UruH6CJIS6M</t>
  </si>
  <si>
    <t>https://www.youtube.com/watch?v=iLeFoW2Z4j8</t>
  </si>
  <si>
    <t>https://www.youtube.com/watch?v=mC0dGlHYC-s</t>
  </si>
  <si>
    <t>https://www.youtube.com/watch?v=_GSxlJx804c</t>
  </si>
  <si>
    <t>https://www.youtube.com/watch?v=r1mS6MB3YbA</t>
  </si>
  <si>
    <t>https://www.youtube.com/watch?v=tvuawnjeHWQ</t>
  </si>
  <si>
    <t>https://www.youtube.com/watch?v=SkLaiznSbUs</t>
  </si>
  <si>
    <t>https://www.youtube.com/watch?v=8iFE-meAUI4</t>
  </si>
  <si>
    <t>https://www.youtube.com/watch?v=71nzxwlVVWI</t>
  </si>
  <si>
    <t>https://www.youtube.com/watch?v=brHjDAAPABQ</t>
  </si>
  <si>
    <t>https://www.youtube.com/watch?v=_TROLLdmeT4</t>
  </si>
  <si>
    <t>https://www.youtube.com/watch?v=fklGOlPLTys</t>
  </si>
  <si>
    <t>https://www.youtube.com/watch?v=4bUVc5RVIKY</t>
  </si>
  <si>
    <t>https://www.youtube.com/watch?v=LtDM7PhDCGc</t>
  </si>
  <si>
    <t>https://www.youtube.com/watch?v=ADhdS8a5DZ4</t>
  </si>
  <si>
    <t>https://www.youtube.com/watch?v=KMkavUMfU_w</t>
  </si>
  <si>
    <t>https://www.youtube.com/watch?v=jrrbKXQPvog</t>
  </si>
  <si>
    <t>https://www.youtube.com/watch?v=j4LvbRmaQio</t>
  </si>
  <si>
    <t>https://www.youtube.com/watch?v=lDFdbMtE-Kc</t>
  </si>
  <si>
    <t>https://www.youtube.com/watch?v=dBfTYMaagdc</t>
  </si>
  <si>
    <t>https://www.youtube.com/watch?v=rbEMCHRIF08</t>
  </si>
  <si>
    <t>https://www.youtube.com/watch?v=VupYNeJ2s_c</t>
  </si>
  <si>
    <t>https://www.youtube.com/watch?v=yUDCiU7cpJs</t>
  </si>
  <si>
    <t>https://www.youtube.com/watch?v=DAJJQqX3wgQ</t>
  </si>
  <si>
    <t>https://www.youtube.com/watch?v=HUt_S2UOKUc</t>
  </si>
  <si>
    <t>https://www.youtube.com/watch?v=Y1NtbTjDslI</t>
  </si>
  <si>
    <t>https://www.youtube.com/watch?v=FFzeyL8gSpE</t>
  </si>
  <si>
    <t>https://www.youtube.com/watch?v=gcdzkTZWl0o</t>
  </si>
  <si>
    <t>https://www.youtube.com/watch?v=Nq78Btyn-s8</t>
  </si>
  <si>
    <t>https://www.youtube.com/watch?v=huv1QCkTcBs</t>
  </si>
  <si>
    <t>https://www.youtube.com/watch?v=YF7YlGv4sQc</t>
  </si>
  <si>
    <t>https://www.youtube.com/watch?v=i75ZJtVbHMU</t>
  </si>
  <si>
    <t>https://www.youtube.com/watch?v=2r_UBmzxztE</t>
  </si>
  <si>
    <t>https://www.youtube.com/watch?v=bm2-d0SngNE</t>
  </si>
  <si>
    <t>https://www.youtube.com/watch?v=vNXQst4FtQQ</t>
  </si>
  <si>
    <t>https://www.youtube.com/watch?v=w5AMvAr5B4M</t>
  </si>
  <si>
    <t>https://www.youtube.com/watch?v=VANIjWEpnJU</t>
  </si>
  <si>
    <t>https://www.youtube.com/watch?v=rjkRaYrYbp0</t>
  </si>
  <si>
    <t>https://www.youtube.com/watch?v=399BIn0bl1k</t>
  </si>
  <si>
    <t>https://www.youtube.com/watch?v=a41oNwOkVTY</t>
  </si>
  <si>
    <t>https://www.youtube.com/watch?v=NhFXwdlI3Fw</t>
  </si>
  <si>
    <t>https://www.youtube.com/watch?v=4RA9z_3Cc3U</t>
  </si>
  <si>
    <t>https://www.youtube.com/watch?v=RTonT2xmMZ4</t>
  </si>
  <si>
    <t>https://www.youtube.com/watch?v=qnsDYLOMPI8</t>
  </si>
  <si>
    <t>https://www.youtube.com/watch?v=FdCON1gniwo</t>
  </si>
  <si>
    <t>https://www.youtube.com/watch?v=I9i4iMWccHE</t>
  </si>
  <si>
    <t>https://www.youtube.com/watch?v=on2AaQfFOEg</t>
  </si>
  <si>
    <t>https://www.youtube.com/watch?v=gqYzjQV9Asc</t>
  </si>
  <si>
    <t>https://www.youtube.com/watch?v=EOyvLOMQ0Vc</t>
  </si>
  <si>
    <t>https://www.youtube.com/watch?v=5cqIy7aOPck</t>
  </si>
  <si>
    <t>https://www.youtube.com/watch?v=CO-z-vko0Zs</t>
  </si>
  <si>
    <t>https://www.youtube.com/watch?v=D4_cGAjTqdo</t>
  </si>
  <si>
    <t>https://www.youtube.com/watch?v=isdWzLdAT4k</t>
  </si>
  <si>
    <t>https://www.youtube.com/watch?v=TB0gOPCxy7U</t>
  </si>
  <si>
    <t>https://www.youtube.com/watch?v=QAGi6jvnonM</t>
  </si>
  <si>
    <t>https://www.youtube.com/watch?v=nkHMfFhFKsc</t>
  </si>
  <si>
    <t>https://www.youtube.com/watch?v=7ADrrHHh-BE</t>
  </si>
  <si>
    <t>Por la senda de Nazaret</t>
  </si>
  <si>
    <t>Señor, envíanos a tu Hijo</t>
  </si>
  <si>
    <t>Monólogo de Zacarías</t>
  </si>
  <si>
    <t>Buscando posada</t>
  </si>
  <si>
    <t>Madre de Dios</t>
  </si>
  <si>
    <t>Navidad en el corazón</t>
  </si>
  <si>
    <t>Bien nacido</t>
  </si>
  <si>
    <t>Las ropas de Dios</t>
  </si>
  <si>
    <t>Los pájaros pastores</t>
  </si>
  <si>
    <t>La serranilla</t>
  </si>
  <si>
    <t>El golfillo</t>
  </si>
  <si>
    <t>Sueños de riqueza</t>
  </si>
  <si>
    <t>https://www.youtube.com/watch?v=J50fiBcxihg</t>
  </si>
  <si>
    <t>https://www.youtube.com/watch?v=EVlne-7YycA</t>
  </si>
  <si>
    <t>https://www.youtube.com/watch?v=KJ2iyL3Baw4</t>
  </si>
  <si>
    <t>Vuelve</t>
  </si>
  <si>
    <t>Entre tu sed y la mía</t>
  </si>
  <si>
    <t>Ora en mí</t>
  </si>
  <si>
    <t>https://www.youtube.com/watch?v=KKq9VKHhUgM</t>
  </si>
  <si>
    <t>https://www.youtube.com/watch?v=bSXmtN4LlzA</t>
  </si>
  <si>
    <t>Espero en ti</t>
  </si>
  <si>
    <t>Extiende tu mano</t>
  </si>
  <si>
    <t>https://www.youtube.com/watch?v=FkijdnPUuck</t>
  </si>
  <si>
    <t>https://www.youtube.com/watch?v=nBv_jIXFtwM</t>
  </si>
  <si>
    <t>Descansa</t>
  </si>
  <si>
    <t>https://www.youtube.com/watch?v=By3i49DuO6M</t>
  </si>
  <si>
    <t>https://www.youtube.com/watch?v=q46Wucg4C6k</t>
  </si>
  <si>
    <t>Cuando vuelva tu luz</t>
  </si>
  <si>
    <t>https://www.youtube.com/watch?v=qr5tqQmCNYg</t>
  </si>
  <si>
    <t>Entra en tu cuarto</t>
  </si>
  <si>
    <t>https://www.youtube.com/watch?v=IdbcfYPflE0</t>
  </si>
  <si>
    <t>Transfigúrame</t>
  </si>
  <si>
    <t>Tengo fe</t>
  </si>
  <si>
    <t>https://www.youtube.com/watch?v=wiWlLSwMSTI</t>
  </si>
  <si>
    <t>Que sean uno</t>
  </si>
  <si>
    <t>https://www.youtube.com/watch?v=cID21VynNNY</t>
  </si>
  <si>
    <t>Ama y haz lo que quieras</t>
  </si>
  <si>
    <t>https://www.youtube.com/watch?v=Dga-Yru_pmE</t>
  </si>
  <si>
    <t>https://www.youtube.com/watch?v=P-o1Xn7-nhY</t>
  </si>
  <si>
    <t>Si no te dejo marchar</t>
  </si>
  <si>
    <t>Sopla en mí</t>
  </si>
  <si>
    <t>https://www.youtube.com/watch?v=itz0KvSdsjM</t>
  </si>
  <si>
    <t>Peña mía</t>
  </si>
  <si>
    <t>https://www.youtube.com/watch?v=nnPcZUPs2Vo</t>
  </si>
  <si>
    <t>Vuestra soy</t>
  </si>
  <si>
    <t>https://www.youtube.com/watch?v=MFecOCnzGXk</t>
  </si>
  <si>
    <t>https://www.youtube.com/watch?v=wwZ3zEt_vc0</t>
  </si>
  <si>
    <t>La partida</t>
  </si>
  <si>
    <t>Por ti madrugo</t>
  </si>
  <si>
    <t>https://www.youtube.com/watch?v=itWkxcUtT8A</t>
  </si>
  <si>
    <t>https://www.youtube.com/watch?v=KTXKG-zCKAM</t>
  </si>
  <si>
    <t>Si te tengo a ti</t>
  </si>
  <si>
    <t>La verdad</t>
  </si>
  <si>
    <t>https://www.youtube.com/watch?v=9l56yeA9PCc</t>
  </si>
  <si>
    <t>Te quiero</t>
  </si>
  <si>
    <t>https://www.youtube.com/watch?v=Yw7lPt2q5S0</t>
  </si>
  <si>
    <t>https://www.youtube.com/watch?v=Q0eTkrduYGQ</t>
  </si>
  <si>
    <t>Padrenuestro - Un nuevo modo de ser</t>
  </si>
  <si>
    <t>Tanto tiempo</t>
  </si>
  <si>
    <t>https://www.youtube.com/watch?v=4OxF3C9_cRk</t>
  </si>
  <si>
    <t>Tú en mí, yo en todos</t>
  </si>
  <si>
    <t>Padre, me ofrezco</t>
  </si>
  <si>
    <t>Dios Padre y Madre</t>
  </si>
  <si>
    <t>Dios del cielo</t>
  </si>
  <si>
    <t>Santificaré tu nombre</t>
  </si>
  <si>
    <t>Parábola del Reino</t>
  </si>
  <si>
    <t>Hacer tu voluntad</t>
  </si>
  <si>
    <t>Nueva tierra</t>
  </si>
  <si>
    <t>Danos hoy</t>
  </si>
  <si>
    <t>Perdónanos</t>
  </si>
  <si>
    <t>No nos dejes caer</t>
  </si>
  <si>
    <t>Líbrame</t>
  </si>
  <si>
    <t>Tu Amén</t>
  </si>
  <si>
    <t>Somos tu pueblo</t>
  </si>
  <si>
    <t>https://www.youtube.com/watch?v=25YjPXEBHMg</t>
  </si>
  <si>
    <t>https://www.youtube.com/watch?v=8EeFCV4TkKs</t>
  </si>
  <si>
    <t>https://www.youtube.com/watch?v=gEIy7uI84E0</t>
  </si>
  <si>
    <t>https://www.youtube.com/watch?v=8T-BWYcGjfM</t>
  </si>
  <si>
    <t>https://www.youtube.com/watch?v=1QuSGbquYtA</t>
  </si>
  <si>
    <t>https://www.youtube.com/watch?v=Aw57wD-3Wig</t>
  </si>
  <si>
    <t>https://www.youtube.com/watch?v=XHZyC_W_nLo</t>
  </si>
  <si>
    <t>https://www.youtube.com/watch?v=8Z1cRSZIark</t>
  </si>
  <si>
    <t>https://www.youtube.com/watch?v=FvpSXPoIZVU</t>
  </si>
  <si>
    <t>https://www.youtube.com/watch?v=pSw3U2ArGPc</t>
  </si>
  <si>
    <t>https://www.youtube.com/watch?v=a69j0ZIuvvM</t>
  </si>
  <si>
    <t>https://www.youtube.com/watch?v=mjHvhqJ4w7U</t>
  </si>
  <si>
    <t>https://www.youtube.com/watch?v=x0tedEIJzHM</t>
  </si>
  <si>
    <t>https://www.youtube.com/watch?v=frb3jhS60lU</t>
  </si>
  <si>
    <t>https://www.youtube.com/watch?v=7YHudygFt6Q</t>
  </si>
  <si>
    <t>Regalada</t>
  </si>
  <si>
    <t>Darnos del todo</t>
  </si>
  <si>
    <t>Ixcis XXV</t>
  </si>
  <si>
    <t>https://www.youtube.com/watch?v=v5F_I3x7w3E</t>
  </si>
  <si>
    <t>https://www.youtube.com/watch?v=lfe-rUzz-7o</t>
  </si>
  <si>
    <t>La lluvia de tu misericordia</t>
  </si>
  <si>
    <t>Tú sabes quién soy</t>
  </si>
  <si>
    <t>Tu bondad</t>
  </si>
  <si>
    <t>Levantaos, está cerca</t>
  </si>
  <si>
    <t>Ven a sanarme</t>
  </si>
  <si>
    <t>El círculo del juicio</t>
  </si>
  <si>
    <t>Hambre y sed de ti</t>
  </si>
  <si>
    <t>Madre de la humanidad</t>
  </si>
  <si>
    <t>Transfórmame</t>
  </si>
  <si>
    <t>Quién curará</t>
  </si>
  <si>
    <t>Lázaro grita</t>
  </si>
  <si>
    <t>La ley y el sábado</t>
  </si>
  <si>
    <t>El ayuno que yo quiero</t>
  </si>
  <si>
    <t>Amad a vuestros enemigos</t>
  </si>
  <si>
    <t>Tu lluvia desciende</t>
  </si>
  <si>
    <t>Mirad los lirios</t>
  </si>
  <si>
    <t>Por todos</t>
  </si>
  <si>
    <t>Proclama mi alma</t>
  </si>
  <si>
    <t>https://www.youtube.com/watch?v=6UGYiXmYJZQ</t>
  </si>
  <si>
    <t>https://www.youtube.com/watch?v=CZQzgz2HUe4</t>
  </si>
  <si>
    <t>https://www.youtube.com/watch?v=lRXr5PK-1W0</t>
  </si>
  <si>
    <t>https://www.youtube.com/watch?v=OdP3EzvdY-g</t>
  </si>
  <si>
    <t>https://www.youtube.com/watch?v=GwEa7Yk17Ww</t>
  </si>
  <si>
    <t>https://www.youtube.com/watch?v=1gVv9EEnyYA</t>
  </si>
  <si>
    <t>https://www.youtube.com/watch?v=9E51qqaCSuk</t>
  </si>
  <si>
    <t>https://www.youtube.com/watch?v=-N9IPyuDKqc</t>
  </si>
  <si>
    <t>https://www.youtube.com/watch?v=Wo-EjzuB_tU</t>
  </si>
  <si>
    <t>https://www.youtube.com/watch?v=LcIMZM6gAgQ</t>
  </si>
  <si>
    <t>https://www.youtube.com/watch?v=LO95K4YrbMk</t>
  </si>
  <si>
    <t>https://www.youtube.com/watch?v=Zv3B41r0Gx4</t>
  </si>
  <si>
    <t>https://www.youtube.com/watch?v=n4RYxu9bC84</t>
  </si>
  <si>
    <t>https://www.youtube.com/watch?v=EQQgA6An5nQ</t>
  </si>
  <si>
    <t>Mi buen Pastor</t>
  </si>
  <si>
    <t>https://www.youtube.com/watch?v=o9JAqMu_aoY</t>
  </si>
  <si>
    <t>https://www.youtube.com/watch?v=GiFk3LfLyK8</t>
  </si>
  <si>
    <t>https://www.youtube.com/watch?v=ItVFkAgp5FU</t>
  </si>
  <si>
    <t>https://www.youtube.com/watch?v=mQRlw4pmJok</t>
  </si>
  <si>
    <t>https://www.youtube.com/watch?v=xISaUFEVE_s</t>
  </si>
  <si>
    <t>https://www.youtube.com/watch?v=5Y5Ey61HWoE</t>
  </si>
  <si>
    <t>https://www.youtube.com/watch?v=qPt-k1MsWFU</t>
  </si>
  <si>
    <t>https://www.youtube.com/watch?v=mEWFfpXpaIQ</t>
  </si>
  <si>
    <t>Teselas de luz y barro</t>
  </si>
  <si>
    <t>Te necesito</t>
  </si>
  <si>
    <t>Sólo quedas Tú</t>
  </si>
  <si>
    <t>Cristianos de orilla</t>
  </si>
  <si>
    <t>Vive lo que cantas</t>
  </si>
  <si>
    <t>Culpable</t>
  </si>
  <si>
    <t>Me siento perdonado</t>
  </si>
  <si>
    <t>Yo te alabo</t>
  </si>
  <si>
    <t>Gracias, amigo del alma</t>
  </si>
  <si>
    <t>Adonde vayas</t>
  </si>
  <si>
    <t>Contigo</t>
  </si>
  <si>
    <t>Tú, mi raíz</t>
  </si>
  <si>
    <t>Cuando dos se aman</t>
  </si>
  <si>
    <t>Un poco de fe</t>
  </si>
  <si>
    <t>No me rendiré</t>
  </si>
  <si>
    <t>https://www.youtube.com/watch?v=YJDUWRTOzN8</t>
  </si>
  <si>
    <t>https://www.youtube.com/watch?v=-0kTT9jMB_g</t>
  </si>
  <si>
    <t>https://www.youtube.com/watch?v=F0Wvic_9go4</t>
  </si>
  <si>
    <t>https://www.youtube.com/watch?v=E62cG0FxzI4</t>
  </si>
  <si>
    <t>Abrazando la noche</t>
  </si>
  <si>
    <t>Entra en mi noche</t>
  </si>
  <si>
    <t>Como la lluvia</t>
  </si>
  <si>
    <t>Vuelvo</t>
  </si>
  <si>
    <t>Fíate</t>
  </si>
  <si>
    <t>Tú eres mi fuerza</t>
  </si>
  <si>
    <t>Todos uno</t>
  </si>
  <si>
    <t>Donde esté yo</t>
  </si>
  <si>
    <t>Vengo a orar</t>
  </si>
  <si>
    <t>Despiértame</t>
  </si>
  <si>
    <t>Deja tus redes</t>
  </si>
  <si>
    <t>Ven, seréname</t>
  </si>
  <si>
    <t>Mi vida es Cristo</t>
  </si>
  <si>
    <t>Sólo el amor</t>
  </si>
  <si>
    <t>Morir</t>
  </si>
  <si>
    <t>Quiero verte</t>
  </si>
  <si>
    <t>Ellos son tu rostro</t>
  </si>
  <si>
    <t>Más que el oro</t>
  </si>
  <si>
    <t>Mi roca</t>
  </si>
  <si>
    <t>Danos pastores</t>
  </si>
  <si>
    <t>Cinco panes y dos peces</t>
  </si>
  <si>
    <t>Ven a mí</t>
  </si>
  <si>
    <t>Infinito abismo</t>
  </si>
  <si>
    <t>Hacia Ti</t>
  </si>
  <si>
    <t>Los perseguidos</t>
  </si>
  <si>
    <t>En espíritu y en verdad</t>
  </si>
  <si>
    <t>Abre una grieta</t>
  </si>
  <si>
    <t>Los que tienen hambre y sed de justicia</t>
  </si>
  <si>
    <t>Los limpios de corazón</t>
  </si>
  <si>
    <t>Los misericordiosos</t>
  </si>
  <si>
    <t>Los constructores de paz</t>
  </si>
  <si>
    <t>Bienaventurados</t>
  </si>
  <si>
    <t>Los pobres</t>
  </si>
  <si>
    <t>Los mansos y humildes</t>
  </si>
  <si>
    <t>Los que lloran</t>
  </si>
  <si>
    <t>Sólo tu espíritu</t>
  </si>
  <si>
    <t>Sueño una iglesia</t>
  </si>
  <si>
    <t>Coge tu cruz</t>
  </si>
  <si>
    <t>Somos Pueblo de Dios</t>
  </si>
  <si>
    <t>La historia se repite</t>
  </si>
  <si>
    <t>Llega el día</t>
  </si>
  <si>
    <t>Lam</t>
  </si>
  <si>
    <t>Al otro lado del mar</t>
  </si>
  <si>
    <t>Y mientras</t>
  </si>
  <si>
    <t>Llega el Reino de Dios</t>
  </si>
  <si>
    <t>Nadie me podrá robar</t>
  </si>
  <si>
    <t>Renovaos</t>
  </si>
  <si>
    <t>Agujas del reloj</t>
  </si>
  <si>
    <t>Dejarme hacer</t>
  </si>
  <si>
    <t>La razón</t>
  </si>
  <si>
    <t>Desde mi balcón</t>
  </si>
  <si>
    <t>Tu ternura</t>
  </si>
  <si>
    <t>Creadores</t>
  </si>
  <si>
    <t>Acércate</t>
  </si>
  <si>
    <t>Por qué</t>
  </si>
  <si>
    <t>Una vez más</t>
  </si>
  <si>
    <t>El tesoro</t>
  </si>
  <si>
    <t>Desierto</t>
  </si>
  <si>
    <t>En común</t>
  </si>
  <si>
    <t>María, enséñame</t>
  </si>
  <si>
    <t>Mucho más</t>
  </si>
  <si>
    <t>Dame, Señor</t>
  </si>
  <si>
    <t>Sin amarras</t>
  </si>
  <si>
    <t>Desde el silencio</t>
  </si>
  <si>
    <t>El labrador</t>
  </si>
  <si>
    <t>Dame de beber</t>
  </si>
  <si>
    <t>Monte Horeb</t>
  </si>
  <si>
    <t>Mi Dios en una Cruz</t>
  </si>
  <si>
    <t>Sueños de Dios</t>
  </si>
  <si>
    <t>Adónde acudiré</t>
  </si>
  <si>
    <t>Gentes con derecho</t>
  </si>
  <si>
    <t>Oh, Señor</t>
  </si>
  <si>
    <t>Quererse</t>
  </si>
  <si>
    <t>Encima del altar</t>
  </si>
  <si>
    <t>Cosas pequeñas</t>
  </si>
  <si>
    <t>Beber los vientos</t>
  </si>
  <si>
    <t>Confío</t>
  </si>
  <si>
    <t>https://www.youtube.com/watch?v=0f4K3eojWj4</t>
  </si>
  <si>
    <t>https://www.youtube.com/watch?v=OgWCfz-GRy0</t>
  </si>
  <si>
    <t>https://www.youtube.com/watch?v=cQyDGySYCrI</t>
  </si>
  <si>
    <t>https://www.youtube.com/watch?v=unk5IQvoWgM</t>
  </si>
  <si>
    <t>https://www.youtube.com/watch?v=lciYx6rqUZI</t>
  </si>
  <si>
    <t>https://www.youtube.com/watch?v=43DKYGoyxIc</t>
  </si>
  <si>
    <t>https://www.youtube.com/watch?v=0XZyqu1FssQ</t>
  </si>
  <si>
    <t>https://www.youtube.com/watch?v=1n7k8GZZtrY</t>
  </si>
  <si>
    <t>https://www.youtube.com/watch?v=alkRdHyU3kM</t>
  </si>
  <si>
    <t>https://www.youtube.com/watch?v=5Aafr4JK1Dc</t>
  </si>
  <si>
    <t>https://www.youtube.com/watch?v=xmb23exabUA</t>
  </si>
  <si>
    <t>https://www.youtube.com/watch?v=x0JNjgQ6Eqw</t>
  </si>
  <si>
    <t>https://www.youtube.com/watch?v=MiN4BwXl_JQ</t>
  </si>
  <si>
    <t>https://www.youtube.com/watch?v=mgluzSN5hf0</t>
  </si>
  <si>
    <t>https://www.youtube.com/watch?v=VD55isor86A</t>
  </si>
  <si>
    <t>https://www.youtube.com/watch?v=9bK1Qiovvuc</t>
  </si>
  <si>
    <t>https://www.youtube.com/watch?v=kANr5fPH8jY</t>
  </si>
  <si>
    <t>https://www.youtube.com/watch?v=MBBobi2XvOc</t>
  </si>
  <si>
    <t>https://www.youtube.com/watch?v=3fgeg3tV5Vc</t>
  </si>
  <si>
    <t>https://www.youtube.com/watch?v=dh0huELe4DU</t>
  </si>
  <si>
    <t>https://www.youtube.com/watch?v=RgPVSsDoFmc</t>
  </si>
  <si>
    <t>https://www.youtube.com/watch?v=Svqmvk--yIk</t>
  </si>
  <si>
    <t>https://www.youtube.com/watch?v=GjDvzzArJ0Y</t>
  </si>
  <si>
    <t>https://www.youtube.com/watch?v=KE4tkQRO6V0</t>
  </si>
  <si>
    <t>https://www.youtube.com/watch?v=lNVbMFhGCNo</t>
  </si>
  <si>
    <t>https://www.youtube.com/watch?v=ADLr5iKsqBs</t>
  </si>
  <si>
    <t>https://www.youtube.com/watch?v=QJhQt1sj1hg</t>
  </si>
  <si>
    <t>https://www.youtube.com/watch?v=eV6E1BJS1qM</t>
  </si>
  <si>
    <t>https://www.youtube.com/watch?v=utzU-lz6OoQ</t>
  </si>
  <si>
    <t>https://www.youtube.com/watch?v=D0Eg158og7M</t>
  </si>
  <si>
    <t>https://www.youtube.com/watch?v=uABqSwsaRMk</t>
  </si>
  <si>
    <t>https://www.youtube.com/watch?v=ix6zYzCFjwc</t>
  </si>
  <si>
    <t>https://www.youtube.com/watch?v=RTl6lFJsBpY</t>
  </si>
  <si>
    <t>https://www.youtube.com/watch?v=IUtWyyNI5KE</t>
  </si>
  <si>
    <t>https://www.youtube.com/watch?v=RJvimDF7jlw</t>
  </si>
  <si>
    <t>https://www.youtube.com/watch?v=oXDvkazf4Ys</t>
  </si>
  <si>
    <t>https://www.youtube.com/watch?v=6RfgXYqhDcg</t>
  </si>
  <si>
    <t>https://www.youtube.com/watch?v=joBW-HwXH6o</t>
  </si>
  <si>
    <t>https://www.youtube.com/watch?v=ZVNCKBJK5Mk</t>
  </si>
  <si>
    <t>https://www.youtube.com/watch?v=2__R8jUljLo</t>
  </si>
  <si>
    <t>https://www.youtube.com/watch?v=HZKBz5PyT90</t>
  </si>
  <si>
    <t>https://www.youtube.com/watch?v=UW_WjvjhqXQ</t>
  </si>
  <si>
    <t>https://www.youtube.com/watch?v=aMJVVuq6-bI</t>
  </si>
  <si>
    <t>https://www.youtube.com/watch?v=85Yc3X3MkBY</t>
  </si>
  <si>
    <t>https://www.youtube.com/watch?v=jBFxnnud9ME</t>
  </si>
  <si>
    <t>https://www.youtube.com/watch?v=e_XUE8cyMT0</t>
  </si>
  <si>
    <t>https://www.youtube.com/watch?v=Rsae-DhB9UQ</t>
  </si>
  <si>
    <t>https://www.youtube.com/watch?v=QAybaLwTCZI</t>
  </si>
  <si>
    <t>https://www.youtube.com/watch?v=yPCEMSEx3Ag</t>
  </si>
  <si>
    <t>https://www.youtube.com/watch?v=c41NMPXWxSA</t>
  </si>
  <si>
    <t>https://www.youtube.com/watch?v=Vg0XlWyas0o</t>
  </si>
  <si>
    <t>https://www.youtube.com/watch?v=gwsnxwTbwpw</t>
  </si>
  <si>
    <t>https://www.youtube.com/watch?v=OyQp6X2ICV8</t>
  </si>
  <si>
    <t>https://www.youtube.com/watch?v=uRoaT4TPMJQ</t>
  </si>
  <si>
    <t>https://www.youtube.com/watch?v=pqKn0rI0Vdo</t>
  </si>
  <si>
    <t>https://www.youtube.com/watch?v=gHPIYHFetHs</t>
  </si>
  <si>
    <t>https://www.youtube.com/watch?v=3RgkkQDhEZc</t>
  </si>
  <si>
    <t>https://www.youtube.com/watch?v=CpxoNC28QpQ</t>
  </si>
  <si>
    <t>https://www.youtube.com/watch?v=gw1y6Qd7nmo</t>
  </si>
  <si>
    <t>https://www.youtube.com/watch?v=vBNMKTE7Wmo</t>
  </si>
  <si>
    <t>https://www.youtube.com/watch?v=qePnDphz148</t>
  </si>
  <si>
    <t>https://www.youtube.com/watch?v=yu8TJaVcKok</t>
  </si>
  <si>
    <t>https://www.youtube.com/watch?v=1JGdQgRTyNg</t>
  </si>
  <si>
    <t>https://www.youtube.com/watch?v=0ZZjCpcZyh4</t>
  </si>
  <si>
    <t>https://www.youtube.com/watch?v=mrw-ZHQnkhA</t>
  </si>
  <si>
    <t>https://www.youtube.com/watch?v=zgwOG-uLQOk</t>
  </si>
  <si>
    <t>https://www.youtube.com/watch?v=azZVCIlLFjc</t>
  </si>
  <si>
    <t>https://www.youtube.com/watch?v=s2cXLUg1o0g</t>
  </si>
  <si>
    <t>https://www.youtube.com/watch?v=ElTed6PGDeA</t>
  </si>
  <si>
    <t>https://www.youtube.com/watch?v=Pn7YiNkfRaM</t>
  </si>
  <si>
    <t>https://www.youtube.com/watch?v=o7canH6vPyw</t>
  </si>
  <si>
    <t>https://www.youtube.com/watch?v=tDLgn6c2KK0</t>
  </si>
  <si>
    <t>https://www.youtube.com/watch?v=WWwJyCXD-Ds</t>
  </si>
  <si>
    <t>https://www.youtube.com/watch?v=IuTxCt7xyuQ</t>
  </si>
  <si>
    <t>https://www.youtube.com/watch?v=bO_GL-URqzM</t>
  </si>
  <si>
    <t>https://www.youtube.com/watch?v=Pe_CS_zq4Is</t>
  </si>
  <si>
    <t>https://www.youtube.com/watch?v=PbWop8P6YSg</t>
  </si>
  <si>
    <t>https://www.youtube.com/watch?v=Y7UfBnJv13w</t>
  </si>
  <si>
    <t>https://www.youtube.com/watch?v=ys_YUsDw7NQ</t>
  </si>
  <si>
    <t>https://www.youtube.com/watch?v=272YxP_HK3w</t>
  </si>
  <si>
    <t>https://www.youtube.com/watch?v=ZD_cVvRBK_M</t>
  </si>
  <si>
    <t>https://www.youtube.com/watch?v=-ZE5Juln7YI</t>
  </si>
  <si>
    <t>https://www.youtube.com/watch?v=tgl4eWEmfTE</t>
  </si>
  <si>
    <t>https://www.youtube.com/watch?v=8cOrYJ4FXhE</t>
  </si>
  <si>
    <t>https://www.youtube.com/watch?v=xxyK0q6UDEk</t>
  </si>
  <si>
    <t>https://www.youtube.com/watch?v=i4vFy-8xpb4</t>
  </si>
  <si>
    <t>https://www.youtube.com/watch?v=t4L3EjWruZs</t>
  </si>
  <si>
    <t>Tu saber me sobrepasa</t>
  </si>
  <si>
    <t>Nada vale la pena</t>
  </si>
  <si>
    <t>Aquí estoy</t>
  </si>
  <si>
    <t>En los pobres yo te vi</t>
  </si>
  <si>
    <t>Me sedujiste</t>
  </si>
  <si>
    <t>Podaré</t>
  </si>
  <si>
    <t>Muéveme, mi Dios</t>
  </si>
  <si>
    <t>A pesar de todo</t>
  </si>
  <si>
    <t>Me fui</t>
  </si>
  <si>
    <t>Cambios</t>
  </si>
  <si>
    <t>Toma mi libertad</t>
  </si>
  <si>
    <t>Qué buscáis</t>
  </si>
  <si>
    <t>El mayor</t>
  </si>
  <si>
    <t>https://www.youtube.com/watch?v=VMsi-WP3pLc</t>
  </si>
  <si>
    <t>https://www.youtube.com/watch?v=IKUXljzDNOQ</t>
  </si>
  <si>
    <t>https://www.youtube.com/watch?v=LoaGuhYdNmc</t>
  </si>
  <si>
    <t>https://www.youtube.com/watch?v=MB-GeboMa1o</t>
  </si>
  <si>
    <t>https://www.youtube.com/watch?v=Gq2hKHbKNMc</t>
  </si>
  <si>
    <t>https://www.youtube.com/watch?v=59aRbtDD6rw</t>
  </si>
  <si>
    <t>https://www.youtube.com/watch?v=TGd4-wMNHZU</t>
  </si>
  <si>
    <t>https://www.youtube.com/watch?v=4zv4Q9j4C0E</t>
  </si>
  <si>
    <t>https://www.youtube.com/watch?v=y-_tHx5oXXU</t>
  </si>
  <si>
    <t>https://www.youtube.com/watch?v=WnWkfYLeOYM</t>
  </si>
  <si>
    <t>https://www.youtube.com/watch?v=8KS5qGAg_Jo</t>
  </si>
  <si>
    <t>https://www.youtube.com/watch?v=Us2_Co1lHJc</t>
  </si>
  <si>
    <t>https://www.youtube.com/watch?v=ZtJzmetwNZY</t>
  </si>
  <si>
    <t>https://www.youtube.com/watch?v=GrZD1aLkaeU</t>
  </si>
  <si>
    <t>https://www.youtube.com/watch?v=KKu0txRBXCs</t>
  </si>
  <si>
    <t>https://www.youtube.com/watch?v=SF9KryAvpOI</t>
  </si>
  <si>
    <t>https://www.youtube.com/watch?v=yzPh8caE07M</t>
  </si>
  <si>
    <t>https://www.youtube.com/watch?v=ZQhkFh3r1oY</t>
  </si>
  <si>
    <t>Como uno de tantos</t>
  </si>
  <si>
    <t>Ven y sígueme</t>
  </si>
  <si>
    <t>Dios provee</t>
  </si>
  <si>
    <t>Me desbordas</t>
  </si>
  <si>
    <t>El que se ensalza</t>
  </si>
  <si>
    <t>Mis señores y mis amos</t>
  </si>
  <si>
    <t>Enséñame el camino</t>
  </si>
  <si>
    <t>Padrenuestro I</t>
  </si>
  <si>
    <t>Padrenuestro II</t>
  </si>
  <si>
    <t>Adoraré</t>
  </si>
  <si>
    <t>Me llamáis</t>
  </si>
  <si>
    <t>En medio de vosotros</t>
  </si>
  <si>
    <t>Mi Dios y mi todo</t>
  </si>
  <si>
    <t>María, enséñame a vivir el Evangelio</t>
  </si>
  <si>
    <t>Pastor bone</t>
  </si>
  <si>
    <t>Señor, exprópiame</t>
  </si>
  <si>
    <t>https://www.youtube.com/watch?v=XNaca0XeB8k</t>
  </si>
  <si>
    <t>https://www.youtube.com/watch?v=ViaYUQp5RHk</t>
  </si>
  <si>
    <t>https://www.youtube.com/watch?v=-VdcljDSRgU</t>
  </si>
  <si>
    <t>https://www.youtube.com/watch?v=oSPCNIvKDsk</t>
  </si>
  <si>
    <t>https://www.youtube.com/watch?v=olJfjn3LP7g</t>
  </si>
  <si>
    <t>https://www.youtube.com/watch?v=Ci6dfFOm4_k</t>
  </si>
  <si>
    <t>https://www.youtube.com/watch?v=tmLigitmH8c</t>
  </si>
  <si>
    <t>https://www.youtube.com/watch?v=r35z2wxWeRg</t>
  </si>
  <si>
    <t>https://www.youtube.com/watch?v=RDeL9aZBMlk</t>
  </si>
  <si>
    <t>https://www.youtube.com/watch?v=HCtwvIyrFSk</t>
  </si>
  <si>
    <t>https://www.youtube.com/watch?v=RoDc0b7n_eQ</t>
  </si>
  <si>
    <t>https://www.youtube.com/watch?v=SZExwPSdQco</t>
  </si>
  <si>
    <t>https://www.youtube.com/watch?v=7KVXWdRV7TY</t>
  </si>
  <si>
    <t>https://www.youtube.com/watch?v=1uwHUrkgnFE</t>
  </si>
  <si>
    <t>https://www.youtube.com/watch?v=tmW2MgnLV1w</t>
  </si>
  <si>
    <t>https://www.youtube.com/watch?v=7_OFDsvHNVE</t>
  </si>
  <si>
    <t>https://www.youtube.com/watch?v=hSQ17dDCQIw</t>
  </si>
  <si>
    <t>https://www.youtube.com/watch?v=v9YZeJ4Defo</t>
  </si>
  <si>
    <t>https://www.youtube.com/watch?v=K0s1qQbn-vA</t>
  </si>
  <si>
    <t>https://www.youtube.com/watch?v=-2WX_yU1n8c</t>
  </si>
  <si>
    <t>https://www.youtube.com/watch?v=BcAfMxMzCQg</t>
  </si>
  <si>
    <t>https://www.youtube.com/watch?v=cPv999ecqJg</t>
  </si>
  <si>
    <t>https://www.youtube.com/watch?v=OL3mwDeezXg</t>
  </si>
  <si>
    <t>https://www.youtube.com/watch?v=PIDKlltZwHs</t>
  </si>
  <si>
    <t>https://www.youtube.com/watch?v=Lj1cU_i2o8s</t>
  </si>
  <si>
    <t>https://www.youtube.com/watch?v=7jrPsZ2oZ8A</t>
  </si>
  <si>
    <t>https://www.youtube.com/watch?v=A_0k2261UAM</t>
  </si>
  <si>
    <t>https://www.youtube.com/watch?v=ViFGpblE-20</t>
  </si>
  <si>
    <t>https://www.youtube.com/watch?v=syoA7IB505E</t>
  </si>
  <si>
    <t>https://www.youtube.com/watch?v=1xj8R5jOSbw</t>
  </si>
  <si>
    <t>https://www.youtube.com/watch?v=EOdBhPwOKvs</t>
  </si>
  <si>
    <t>https://www.youtube.com/watch?v=OIGlQ3VsgwU</t>
  </si>
  <si>
    <t>https://www.youtube.com/watch?v=ZsFW8cbRCr4</t>
  </si>
  <si>
    <t>https://www.youtube.com/watch?v=tfVOkXfSv6U</t>
  </si>
  <si>
    <t>https://www.youtube.com/watch?v=l5KM7IsSTKo</t>
  </si>
  <si>
    <t>https://www.youtube.com/watch?v=dfTY2mvKbVI</t>
  </si>
  <si>
    <t>https://www.youtube.com/watch?v=pdskwFwT3Mg</t>
  </si>
  <si>
    <t>https://www.youtube.com/watch?v=uQ77we5P0_M</t>
  </si>
  <si>
    <t>https://www.youtube.com/watch?v=ys9P9JlWpAI</t>
  </si>
  <si>
    <t>https://www.youtube.com/watch?v=QWTEC0j2zlc</t>
  </si>
  <si>
    <t>https://www.youtube.com/watch?v=EPtnds2jpnA</t>
  </si>
  <si>
    <t>https://www.youtube.com/watch?v=M4XFEIgvIkc</t>
  </si>
  <si>
    <t>https://www.youtube.com/watch?v=WD16YktIWxw</t>
  </si>
  <si>
    <t>https://www.youtube.com/watch?v=wdMoEm9LETQ</t>
  </si>
  <si>
    <t>https://www.youtube.com/watch?v=SuhUIQHbI3s</t>
  </si>
  <si>
    <t>https://www.youtube.com/watch?v=tBiFnURhKtg</t>
  </si>
  <si>
    <t>https://www.youtube.com/watch?v=9MdsXtTJ_zk</t>
  </si>
  <si>
    <t>https://www.youtube.com/watch?v=nNYwcUQSJcY</t>
  </si>
  <si>
    <t>https://www.youtube.com/watch?v=uMTi9Cd8n0o</t>
  </si>
  <si>
    <t>https://www.youtube.com/watch?v=_YzyoKmsedU</t>
  </si>
  <si>
    <t>https://www.youtube.com/watch?v=9uwJOZgkAS0</t>
  </si>
  <si>
    <t>https://www.youtube.com/watch?v=FiXNnUOjUdY</t>
  </si>
  <si>
    <t>https://www.youtube.com/watch?v=Y-WdtYun81k</t>
  </si>
  <si>
    <t>https://www.youtube.com/watch?v=1vOOKFk4OpI</t>
  </si>
  <si>
    <t>https://www.youtube.com/watch?v=s0bRyeGJwDc</t>
  </si>
  <si>
    <t>https://www.youtube.com/watch?v=4BUZeMEt5LY</t>
  </si>
  <si>
    <t>https://www.youtube.com/watch?v=2x_nQzLGLZw</t>
  </si>
  <si>
    <t>https://www.youtube.com/watch?v=3MOtSAJWRCQ</t>
  </si>
  <si>
    <t>https://www.youtube.com/watch?v=vMDjZ5LLo24</t>
  </si>
  <si>
    <t>https://www.youtube.com/watch?v=y0WWImWW0u0</t>
  </si>
  <si>
    <t>https://www.youtube.com/watch?v=7gnfg3bk6J4</t>
  </si>
  <si>
    <t>https://www.youtube.com/watch?v=RnWapq6keNQ</t>
  </si>
  <si>
    <t>https://www.youtube.com/watch?v=fIyvDz4mqR4</t>
  </si>
  <si>
    <t>https://www.youtube.com/watch?v=Rd44mxX21vA</t>
  </si>
  <si>
    <t>https://www.youtube.com/watch?v=uua9EyonIEM</t>
  </si>
  <si>
    <t>https://www.youtube.com/watch?v=q8L6K4bQH6A</t>
  </si>
  <si>
    <t>https://www.youtube.com/watch?v=vDkFeSq6wd0</t>
  </si>
  <si>
    <t>https://www.youtube.com/watch?v=3VrPgxzSzuQ</t>
  </si>
  <si>
    <t>https://www.youtube.com/watch?v=7nf9CZeon9c</t>
  </si>
  <si>
    <t>https://www.youtube.com/watch?v=GA6rUqfaYtA</t>
  </si>
  <si>
    <t>https://www.youtube.com/watch?v=uX_oSn-_Qxk</t>
  </si>
  <si>
    <t>https://www.youtube.com/watch?v=HaldyC43baY</t>
  </si>
  <si>
    <t>https://www.youtube.com/watch?v=k7C2L4BE6J0</t>
  </si>
  <si>
    <t>https://www.youtube.com/watch?v=oiNypT5ksds</t>
  </si>
  <si>
    <t>https://www.youtube.com/watch?v=1l9RnH6AYaw</t>
  </si>
  <si>
    <t>https://www.youtube.com/watch?v=S9RQcjC7WD4</t>
  </si>
  <si>
    <t>https://www.youtube.com/watch?v=vrRGe_GkKoE</t>
  </si>
  <si>
    <t>https://www.youtube.com/watch?v=fa1m9mxeILw</t>
  </si>
  <si>
    <t>https://www.youtube.com/watch?v=k8ZSWfFxi0I</t>
  </si>
  <si>
    <t>https://www.youtube.com/watch?v=YmZR-UhTY2E</t>
  </si>
  <si>
    <t>https://www.youtube.com/watch?v=vfJvQe4NN7I</t>
  </si>
  <si>
    <t>https://www.youtube.com/watch?v=YkIH8b0QMs0</t>
  </si>
  <si>
    <t>https://www.youtube.com/watch?v=veJKN_Na9hA</t>
  </si>
  <si>
    <t>https://www.youtube.com/watch?v=Jnutx7S18gI</t>
  </si>
  <si>
    <t>https://www.youtube.com/watch?v=5EmiuHppx3o</t>
  </si>
  <si>
    <t>https://www.youtube.com/watch?v=f_siJHeN8B8</t>
  </si>
  <si>
    <t>https://www.youtube.com/watch?v=02Gg55dWUYo</t>
  </si>
  <si>
    <t>https://www.youtube.com/watch?v=84v4bhXR4Os</t>
  </si>
  <si>
    <t>https://www.youtube.com/watch?v=4KYRRDSt-eQ</t>
  </si>
  <si>
    <t>https://www.youtube.com/watch?v=A3KiVG030AI</t>
  </si>
  <si>
    <t>https://www.youtube.com/watch?v=iTZOo_q1KA0</t>
  </si>
  <si>
    <t>https://www.youtube.com/watch?v=DVm04FWhkV8</t>
  </si>
  <si>
    <t>https://www.youtube.com/watch?v=UjIU2wtKWcA</t>
  </si>
  <si>
    <t>Vivirás</t>
  </si>
  <si>
    <t>Baja</t>
  </si>
  <si>
    <t>Mi alegría</t>
  </si>
  <si>
    <t>Raíces</t>
  </si>
  <si>
    <t>Como un joven más</t>
  </si>
  <si>
    <t>Nacer de nuevo</t>
  </si>
  <si>
    <t>Descendió</t>
  </si>
  <si>
    <t>Mirad el árbol de la Cruz</t>
  </si>
  <si>
    <t>Conectada</t>
  </si>
  <si>
    <t>Luz de Pascua</t>
  </si>
  <si>
    <t>Mi todo</t>
  </si>
  <si>
    <t>Acompáñame, María</t>
  </si>
  <si>
    <t>Hoy más fuertes, humildes y diligentes</t>
  </si>
  <si>
    <t>Mujer del sí confiado</t>
  </si>
  <si>
    <t>Yo estoy</t>
  </si>
  <si>
    <t>https://www.youtube.com/watch?v=4LK-YuZrpvM</t>
  </si>
  <si>
    <t>https://www.youtube.com/watch?v=kkQ9rAbqjMw</t>
  </si>
  <si>
    <t>https://www.youtube.com/watch?v=VZaTnm-0NEk</t>
  </si>
  <si>
    <t>https://www.youtube.com/watch?v=92w5QrtibpQ</t>
  </si>
  <si>
    <t>https://www.youtube.com/watch?v=WzusA3oOAyg</t>
  </si>
  <si>
    <t>https://www.youtube.com/watch?v=HddiT1eexJw</t>
  </si>
  <si>
    <t>https://www.youtube.com/watch?v=sEmVkGTXxHQ</t>
  </si>
  <si>
    <t>https://www.youtube.com/watch?v=dZTir5oCH8Y</t>
  </si>
  <si>
    <t>https://www.youtube.com/watch?v=-WyiKl9S5Ts</t>
  </si>
  <si>
    <t>https://www.youtube.com/watch?v=ttQ5r2EJ2do</t>
  </si>
  <si>
    <t>https://www.youtube.com/watch?v=9n2aAG_DLGk</t>
  </si>
  <si>
    <t>https://www.youtube.com/watch?v=_E1w-3HzchA</t>
  </si>
  <si>
    <t>https://www.youtube.com/watch?v=UtWdKrwdc0A</t>
  </si>
  <si>
    <t>https://www.youtube.com/watch?v=yrAt-NbhINY</t>
  </si>
  <si>
    <t>https://www.youtube.com/watch?v=sLNRD6BdB9k</t>
  </si>
  <si>
    <t>https://www.youtube.com/watch?v=-C3UQdfgbn0</t>
  </si>
  <si>
    <t>https://www.youtube.com/watch?v=oFyuywjs-C4</t>
  </si>
  <si>
    <t>https://www.youtube.com/watch?v=lBrWCEHK4Bw</t>
  </si>
  <si>
    <t>https://www.youtube.com/watch?v=mKH8F1OA6r8</t>
  </si>
  <si>
    <t>https://www.youtube.com/watch?v=axL5j6K2ZYM</t>
  </si>
  <si>
    <t>https://www.youtube.com/watch?v=lQQEXqby16w</t>
  </si>
  <si>
    <t>https://www.youtube.com/watch?v=bOkdEJoSAjE</t>
  </si>
  <si>
    <t>https://www.youtube.com/watch?v=IQeABrlhh4I</t>
  </si>
  <si>
    <t>https://www.youtube.com/watch?v=RElUzQhbeJ8</t>
  </si>
  <si>
    <t>https://www.youtube.com/watch?v=pt7xwqSOeD8</t>
  </si>
  <si>
    <t>https://www.youtube.com/watch?v=KTWM51GypWs</t>
  </si>
  <si>
    <t>https://www.youtube.com/watch?v=lLth0-Fxkhw</t>
  </si>
  <si>
    <t>https://www.youtube.com/watch?v=fHLr3WXywWY</t>
  </si>
  <si>
    <t>https://www.youtube.com/watch?v=KALbqxsIhVA</t>
  </si>
  <si>
    <t>https://www.youtube.com/watch?v=OmPfplp3eK8</t>
  </si>
  <si>
    <t>https://www.youtube.com/watch?v=fu2tmhW7A1w</t>
  </si>
  <si>
    <t>https://www.youtube.com/watch?v=zz6H2x8Up4U</t>
  </si>
  <si>
    <t>https://www.youtube.com/watch?v=NRqk6TvhYO8</t>
  </si>
  <si>
    <t>https://www.youtube.com/watch?v=xp2CZ51XMEo</t>
  </si>
  <si>
    <t>https://www.youtube.com/watch?v=ghhiDAZK3UE</t>
  </si>
  <si>
    <t>https://www.youtube.com/watch?v=hvJPN4-Nq_Y</t>
  </si>
  <si>
    <t>https://www.youtube.com/watch?v=reYQRNcWiTc</t>
  </si>
  <si>
    <t>https://www.youtube.com/watch?v=aGte73Z0ASU</t>
  </si>
  <si>
    <t>https://www.youtube.com/watch?v=WNjdqIG2W6Y</t>
  </si>
  <si>
    <t>https://www.youtube.com/watch?v=dzZd_u-StZI</t>
  </si>
  <si>
    <t>https://www.youtube.com/watch?v=dQyZXkA83hA</t>
  </si>
  <si>
    <t>https://www.youtube.com/watch?v=R8uF_EBeaQk</t>
  </si>
  <si>
    <t>https://www.youtube.com/watch?v=qk78HdSDSXI</t>
  </si>
  <si>
    <t>https://www.youtube.com/watch?v=COWNBhI4qnA</t>
  </si>
  <si>
    <t>https://www.youtube.com/watch?v=fJJnaTKysEk</t>
  </si>
  <si>
    <t>https://www.youtube.com/watch?v=1w-gdh41WHM</t>
  </si>
  <si>
    <t>https://www.youtube.com/watch?v=gUOmUJxIPUE</t>
  </si>
  <si>
    <t>https://www.youtube.com/watch?v=3SRMDxeSDGg</t>
  </si>
  <si>
    <t>https://www.youtube.com/watch?v=r7RX48keBJ0</t>
  </si>
  <si>
    <t>https://www.youtube.com/watch?v=EsOVYuZGAP0</t>
  </si>
  <si>
    <t>https://www.youtube.com/watch?v=G9CiQqXwiXs</t>
  </si>
  <si>
    <t>https://www.youtube.com/watch?v=OyLq7J3--AI</t>
  </si>
  <si>
    <t>https://www.youtube.com/watch?v=bB9XvVIANp8</t>
  </si>
  <si>
    <t>https://www.youtube.com/watch?v=v-bg5xK1fck</t>
  </si>
  <si>
    <t>https://www.youtube.com/watch?v=Dxfg7DE88S4</t>
  </si>
  <si>
    <t>https://www.youtube.com/watch?v=aC0uEwTgsYU</t>
  </si>
  <si>
    <t>https://www.youtube.com/watch?v=NHF0rMqom5Y</t>
  </si>
  <si>
    <t>https://www.youtube.com/watch?v=J7ubJWGKpw0</t>
  </si>
  <si>
    <t>https://www.youtube.com/watch?v=D5K6cKhO5rY</t>
  </si>
  <si>
    <t>https://www.youtube.com/watch?v=xxZV0bQ1lls</t>
  </si>
  <si>
    <t>https://www.youtube.com/watch?v=qiO84KzqwK4</t>
  </si>
  <si>
    <t>https://www.youtube.com/watch?v=7V5tJwSHF8g</t>
  </si>
  <si>
    <t>https://www.youtube.com/watch?v=00JxYPaoy3o</t>
  </si>
  <si>
    <t>https://www.youtube.com/watch?v=j5yDXbnGSxg</t>
  </si>
  <si>
    <t>https://www.youtube.com/watch?v=SO6hZLuU3L0</t>
  </si>
  <si>
    <t>https://www.youtube.com/watch?v=5asZBdicpPs</t>
  </si>
  <si>
    <t>https://www.youtube.com/watch?v=deV_j92OeMQ</t>
  </si>
  <si>
    <t>https://www.youtube.com/watch?v=DXEMaCElAj0</t>
  </si>
  <si>
    <t>https://www.youtube.com/watch?v=dLzGuOi5Azs</t>
  </si>
  <si>
    <t>https://www.youtube.com/watch?v=nSgDho8GZJU</t>
  </si>
  <si>
    <t>https://www.youtube.com/watch?v=1ESXXgzNJrg</t>
  </si>
  <si>
    <t>https://www.youtube.com/watch?v=LC7J6tTzUMo</t>
  </si>
  <si>
    <t>https://www.youtube.com/watch?v=fujX8xwwvl0</t>
  </si>
  <si>
    <t>https://www.youtube.com/watch?v=vso4qoebDkk</t>
  </si>
  <si>
    <t>https://www.youtube.com/watch?v=0oN0sinncvY</t>
  </si>
  <si>
    <t>https://ixcis.org/images/discografia/como-uno-de-tantos/01-Ven_y_sigueme.mp3</t>
  </si>
  <si>
    <t>https://ixcis.org/images/discografia/como-uno-de-tantos/02-Dios_provee.mp3</t>
  </si>
  <si>
    <t>https://ixcis.org/images/discografia/como-uno-de-tantos/03-Me_desbordas.mp3</t>
  </si>
  <si>
    <t>https://ixcis.org/images/discografia/como-uno-de-tantos/04-El_que_se_ensalza.mp3</t>
  </si>
  <si>
    <t>https://ixcis.org/images/discografia/como-uno-de-tantos/05-Mis_se%C3%B1ores_y_mis_amos.mp3</t>
  </si>
  <si>
    <t>https://ixcis.org/images/discografia/como-uno-de-tantos/06-Ense%C3%B1ame_el_camino.mp3</t>
  </si>
  <si>
    <t>https://ixcis.org/images/discografia/como-uno-de-tantos/08-Padre_nuestro.mp3</t>
  </si>
  <si>
    <t>https://ixcis.org/images/discografia/como-uno-de-tantos/09-Adorare.mp3</t>
  </si>
  <si>
    <t>https://ixcis.org/images/discografia/como-uno-de-tantos/10-Me_llamais.mp3</t>
  </si>
  <si>
    <t>https://ixcis.org/images/discografia/como-uno-de-tantos/11-Como_uno_de_tantos.mp3</t>
  </si>
  <si>
    <t>https://ixcis.org/images/discografia/como-uno-de-tantos/12-En_medio_de_vosotros.mp3</t>
  </si>
  <si>
    <t>https://ixcis.org/images/discografia/como-uno-de-tantos/13-Mi_Dios_y_mi_Todo.mp3</t>
  </si>
  <si>
    <t>https://ixcis.org/images/discografia/como-uno-de-tantos/14-Maria_ense%C3%B1ame_a_vivir_el_Evangelio.mp3</t>
  </si>
  <si>
    <t>https://ixcis.org/images/discografia/como-uno-de-tantos/15-Pastor_bone.mp3</t>
  </si>
  <si>
    <t>https://ixcis.org/images/discografia/como-uno-de-tantos/16-Se%C3%B1or_expropiame.mp3</t>
  </si>
  <si>
    <t>https://ixcis.org/images/discografia/en-espiritu-y-en-verdad/06-Somos_pueblo_de_Dios.mp3</t>
  </si>
  <si>
    <t>https://ixcis.org/images/discografia/en-espiritu-y-en-verdad/09-Coge_tu_cruz.mp3</t>
  </si>
  <si>
    <t>https://ixcis.org/images/discografia/beber-los-vientos/04-Mi_Dios_en_una_cruz.mp3</t>
  </si>
  <si>
    <t>https://ixcis.org/images/discografia/al-otro-lado-del-mar/25-Creadores.mp3</t>
  </si>
  <si>
    <t>https://www.youtube.com/watch?v=6psKSWI-gS0</t>
  </si>
  <si>
    <t>https://www.youtube.com/watch?v=Sy742IRghic</t>
  </si>
  <si>
    <t>https://www.youtube.com/watch?v=m1QR_OWTTBQ</t>
  </si>
  <si>
    <t>https://www.youtube.com/watch?v=jv8uQXzbpzg</t>
  </si>
  <si>
    <t>https://www.youtube.com/watch?v=u4eeTcDJQYc</t>
  </si>
  <si>
    <t>https://www.youtube.com/watch?v=P8onw2SbEis</t>
  </si>
  <si>
    <t>https://www.youtube.com/watch?v=iM-4A_PZkRI</t>
  </si>
  <si>
    <t>https://www.youtube.com/watch?v=gQCN6ZPCACA</t>
  </si>
  <si>
    <t>https://www.youtube.com/watch?v=Vzh4sOGppno</t>
  </si>
  <si>
    <t>https://www.youtube.com/watch?v=gaw6l2e5e4I</t>
  </si>
  <si>
    <t>https://www.youtube.com/watch?v=PMQ0E1Xe1ZA</t>
  </si>
  <si>
    <t>https://www.youtube.com/watch?v=Ta9bQ5aR_Xk</t>
  </si>
  <si>
    <t>https://www.youtube.com/watch?v=fgqnkDOlXXY</t>
  </si>
  <si>
    <t>https://www.youtube.com/watch?v=2G4M56LVyyU</t>
  </si>
  <si>
    <t>https://www.youtube.com/watch?v=R9tKPYBWdhg</t>
  </si>
  <si>
    <t>https://www.youtube.com/watch?v=GLYi3ca7t9k</t>
  </si>
  <si>
    <t>https://www.youtube.com/watch?v=KUVZLX-0iCs</t>
  </si>
  <si>
    <t>https://www.youtube.com/watch?v=0wsDHRh7brA</t>
  </si>
  <si>
    <t>https://www.youtube.com/watch?v=qIkWcuHH9VE</t>
  </si>
  <si>
    <t>https://www.youtube.com/watch?v=sYb8uETw2xg</t>
  </si>
  <si>
    <t>https://www.youtube.com/watch?v=2eN1wiAitXQ</t>
  </si>
  <si>
    <t>https://www.youtube.com/watch?v=cv2C78mBKAw</t>
  </si>
  <si>
    <t>https://www.youtube.com/watch?v=pQLd28okoSM</t>
  </si>
  <si>
    <t>https://www.youtube.com/watch?v=3AqnrfBVJ_g</t>
  </si>
  <si>
    <t>https://www.youtube.com/watch?v=H9EmhoD7EZ0</t>
  </si>
  <si>
    <t>https://www.youtube.com/watch?v=uWKLF2cLJxs</t>
  </si>
  <si>
    <t>https://www.youtube.com/watch?v=VYFvhpdbaxg</t>
  </si>
  <si>
    <t>https://www.youtube.com/watch?v=O9T7mrMtU40</t>
  </si>
  <si>
    <t>https://www.youtube.com/watch?v=DuaCVtri6QU</t>
  </si>
  <si>
    <t>https://www.youtube.com/watch?v=55gD-KwdjSs</t>
  </si>
  <si>
    <t>https://www.youtube.com/watch?v=jP7zsYKbaKw</t>
  </si>
  <si>
    <t>https://www.youtube.com/watch?v=BUk4HldkYHQ</t>
  </si>
  <si>
    <t>https://www.youtube.com/watch?v=Dmxva9tDmpg</t>
  </si>
  <si>
    <t>https://www.youtube.com/watch?v=9-3PBwLcCQo</t>
  </si>
  <si>
    <t>https://www.youtube.com/watch?v=E_ZKsPdIe9E</t>
  </si>
  <si>
    <t>https://www.youtube.com/watch?v=WxD4t8MvLr4</t>
  </si>
  <si>
    <t>https://www.youtube.com/watch?v=cCc4XYUHxpE</t>
  </si>
  <si>
    <t>https://www.youtube.com/watch?v=4t3qx24ub9Y</t>
  </si>
  <si>
    <t>https://www.youtube.com/watch?v=YJYPcdOhCJo</t>
  </si>
  <si>
    <t>https://www.youtube.com/watch?v=5s9NbfvVKAA</t>
  </si>
  <si>
    <t>https://www.youtube.com/watch?v=GXgDkfu0eCM</t>
  </si>
  <si>
    <t>https://www.youtube.com/watch?v=7gb1Tq33ndk</t>
  </si>
  <si>
    <t>https://www.youtube.com/watch?v=Dgljc0WVuuc</t>
  </si>
  <si>
    <t>https://www.youtube.com/watch?v=4A1EN1KgTfE</t>
  </si>
  <si>
    <t>https://www.maristes.cat/sites/default/files/content/nodes/recurs/file/9455/trackno01.mp3</t>
  </si>
  <si>
    <t>https://www.maristes.cat/sites/default/files/content/nodes/recurs/file/9456/trackno02.mp3</t>
  </si>
  <si>
    <t>https://www.maristes.cat/sites/default/files/content/nodes/recurs/file/9457/trackno03.mp3</t>
  </si>
  <si>
    <t>https://www.maristes.cat/sites/default/files/content/nodes/recurs/file/9458/trackno04.mp3</t>
  </si>
  <si>
    <t>https://www.maristes.cat/sites/default/files/content/nodes/recurs/file/9459/trackno05.mp3</t>
  </si>
  <si>
    <t>https://www.maristes.cat/sites/default/files/content/nodes/recurs/file/9460/trackno06.mp3</t>
  </si>
  <si>
    <t>https://www.maristes.cat/sites/default/files/content/nodes/recurs/file/9461/trackno07.mp3</t>
  </si>
  <si>
    <t>https://www.maristes.cat/sites/default/files/content/nodes/recurs/file/9462/trackno08.mp3</t>
  </si>
  <si>
    <t>https://www.maristes.cat/sites/default/files/content/nodes/recurs/file/9463/trackno09.mp3</t>
  </si>
  <si>
    <t>https://www.maristes.cat/sites/default/files/content/nodes/recurs/file/9464/trackno10.mp3</t>
  </si>
  <si>
    <t>https://www.maristes.cat/sites/default/files/content/nodes/recurs/file/9465/trackno11.mp3</t>
  </si>
  <si>
    <t>https://www.maristes.cat/sites/default/files/content/nodes/recurs/file/9466/trackno12.mp3</t>
  </si>
  <si>
    <t>https://www.maristes.cat/sites/default/files/content/nodes/recurs/file/9467/trackno13.mp3</t>
  </si>
  <si>
    <t>https://www.maristes.cat/sites/default/files/content/nodes/recurs/file/9468/trackno14.mp3</t>
  </si>
  <si>
    <t>https://www.maristes.cat/sites/default/files/content/nodes/recurs/file/8673/1labondaddelsenor.mp3</t>
  </si>
  <si>
    <t>https://www.maristes.cat/sites/default/files/content/nodes/recurs/file/8674/2gloriaadios.mp3</t>
  </si>
  <si>
    <t>https://www.maristes.cat/sites/default/files/content/nodes/recurs/file/8675/3quedateaquisenor.mp3</t>
  </si>
  <si>
    <t>https://www.maristes.cat/sites/default/files/content/nodes/recurs/file/8676/4padrevuelvoati.mp3</t>
  </si>
  <si>
    <t>https://www.maristes.cat/sites/default/files/content/nodes/recurs/file/8677/5marialamadrebuena.mp3</t>
  </si>
  <si>
    <t>https://www.maristes.cat/sites/default/files/content/nodes/recurs/file/8679/7elespiritudelsenor.mp3</t>
  </si>
  <si>
    <t>https://www.maristes.cat/sites/default/files/content/nodes/recurs/file/8680/8aleluya.mp3</t>
  </si>
  <si>
    <t>https://www.maristes.cat/sites/default/files/content/nodes/recurs/file/8681/9atuladosenor.mp3</t>
  </si>
  <si>
    <t>https://www.maristes.cat/sites/default/files/content/nodes/recurs/file/8682/10cantodemaria.mp3</t>
  </si>
  <si>
    <t>https://www.maristes.cat/sites/default/files/content/nodes/recurs/file/8683/11tujesus.mp3</t>
  </si>
  <si>
    <t>https://www.maristes.cat/sites/default/files/content/nodes/recurs/file/8684/12venconmigoamigo.mp3</t>
  </si>
  <si>
    <t>https://www.maristes.cat/sites/default/files/content/nodes/recurs/file/8775/1estuamigoes.mp3</t>
  </si>
  <si>
    <t>https://www.maristes.cat/sites/default/files/content/nodes/recurs/file/8776/2rockdepaz.mp3</t>
  </si>
  <si>
    <t>https://www.maristes.cat/sites/default/files/content/nodes/recurs/file/8777/3amigos.mp3</t>
  </si>
  <si>
    <t>https://www.maristes.cat/sites/default/files/content/nodes/recurs/file/8778/4kuakuakua.mp3</t>
  </si>
  <si>
    <t>https://www.maristes.cat/sites/default/files/content/nodes/recurs/file/8779/5eldinosaurio.mp3</t>
  </si>
  <si>
    <t>https://www.maristes.cat/sites/default/files/content/nodes/recurs/file/8780/6nochesilenciosa.mp3</t>
  </si>
  <si>
    <t>https://www.maristes.cat/sites/default/files/content/nodes/recurs/file/8781/7conlosninos.mp3</t>
  </si>
  <si>
    <t>https://www.maristes.cat/sites/default/files/content/nodes/recurs/file/8782/8keneechinekenna.mp3</t>
  </si>
  <si>
    <t>https://www.maristes.cat/sites/default/files/content/nodes/recurs/file/8784/9alnacerelnuevodia.mp3</t>
  </si>
  <si>
    <t>https://www.maristes.cat/sites/default/files/content/nodes/recurs/file/8785/10kikiki.mp3</t>
  </si>
  <si>
    <t>https://www.maristes.cat/sites/default/files/content/nodes/recurs/file/8786/11alsenorcantad.mp3</t>
  </si>
  <si>
    <t>https://www.maristes.cat/sites/default/files/content/nodes/recurs/file/8787/12xerinola.mp3</t>
  </si>
  <si>
    <t>https://www.maristes.cat/sites/default/files/content/nodes/recurs/file/8914/1testigosdelsenor.mp3</t>
  </si>
  <si>
    <t>https://www.maristes.cat/sites/default/files/content/nodes/recurs/file/8915/2confianzaendios.mp3</t>
  </si>
  <si>
    <t>https://www.maristes.cat/sites/default/files/content/nodes/recurs/file/8916/3enlaesperanzamadre.mp3</t>
  </si>
  <si>
    <t>https://www.maristes.cat/sites/default/files/content/nodes/recurs/file/8917/4consencillocorazon.mp3</t>
  </si>
  <si>
    <t>https://www.maristes.cat/sites/default/files/content/nodes/recurs/file/8918/5fraternidad.mp3</t>
  </si>
  <si>
    <t>https://www.maristes.cat/sites/default/files/content/nodes/recurs/file/8919/6teresatoda.mp3</t>
  </si>
  <si>
    <t>https://www.maristes.cat/sites/default/files/content/nodes/recurs/file/8920/7pintadeluz.mp3</t>
  </si>
  <si>
    <t>https://www.maristes.cat/sites/default/files/content/nodes/recurs/file/8921/8mantasdecarton.mp3</t>
  </si>
  <si>
    <t>https://www.maristes.cat/sites/default/files/content/nodes/recurs/file/8922/9sonarunmundomasfeliz.mp3</t>
  </si>
  <si>
    <t>https://www.maristes.cat/sites/default/files/content/nodes/recurs/file/8923/10hacialaluz.mp3</t>
  </si>
  <si>
    <t>https://www.maristes.cat/sites/default/files/content/nodes/recurs/file/9023/01-corazonesnomadas.mp3</t>
  </si>
  <si>
    <t>https://www.maristes.cat/sites/default/files/content/nodes/recurs/file/9024/02-delamano.mp3</t>
  </si>
  <si>
    <t>No pasa nada</t>
  </si>
  <si>
    <t>https://www.maristes.cat/sites/default/files/content/nodes/recurs/file/9025/03-plegaria.mp3</t>
  </si>
  <si>
    <t>https://www.maristes.cat/sites/default/files/content/nodes/recurs/file/9026/04-somosiglesia.mp3</t>
  </si>
  <si>
    <t>https://www.maristes.cat/sites/default/files/content/nodes/recurs/file/9027/05-decirtunombremaria.mp3</t>
  </si>
  <si>
    <t>https://www.maristes.cat/sites/default/files/content/nodes/recurs/file/9028/06-rebosandonombres.mp3</t>
  </si>
  <si>
    <t>https://www.maristes.cat/sites/default/files/content/nodes/recurs/file/9029/07-perdonaquetelodiga.mp3</t>
  </si>
  <si>
    <t>https://www.maristes.cat/sites/default/files/content/nodes/recurs/file/9030/08-padredelhombre.mp3</t>
  </si>
  <si>
    <t>https://www.maristes.cat/sites/default/files/content/nodes/recurs/file/9031/09-marcelino.mp3</t>
  </si>
  <si>
    <t>https://www.maristes.cat/sites/default/files/content/nodes/recurs/file/9032/10-sientotudolor.mp3</t>
  </si>
  <si>
    <t>https://www.maristes.cat/sites/default/files/content/nodes/recurs/file/9033/11-siyocambiara.mp3</t>
  </si>
  <si>
    <t>https://www.maristes.cat/sites/default/files/content/nodes/recurs/file/9034/12-nopasana.mp3</t>
  </si>
  <si>
    <t>https://www.maristes.cat/sites/default/files/content/nodes/recurs/file/9010/1mundodeensueno.mp3</t>
  </si>
  <si>
    <t>https://www.maristes.cat/sites/default/files/content/nodes/recurs/file/9011/2traselcristal.mp3</t>
  </si>
  <si>
    <t>https://www.maristes.cat/sites/default/files/content/nodes/recurs/file/9012/3cartaaungeneral.mp3</t>
  </si>
  <si>
    <t>https://www.maristes.cat/sites/default/files/content/nodes/recurs/file/9013/4ungesto.mp3</t>
  </si>
  <si>
    <t>https://www.maristes.cat/sites/default/files/content/nodes/recurs/file/9014/5angel.mp3</t>
  </si>
  <si>
    <t>https://www.maristes.cat/sites/default/files/content/nodes/recurs/file/9015/6scaramouche.mp3</t>
  </si>
  <si>
    <t>https://www.maristes.cat/sites/default/files/content/nodes/recurs/file/9017/8enquemundovives.mp3</t>
  </si>
  <si>
    <t>https://www.maristes.cat/sites/default/files/content/nodes/recurs/file/9018/9unaiglesiadeexcluidos.mp3</t>
  </si>
  <si>
    <t>https://www.maristes.cat/sites/default/files/content/nodes/recurs/file/9019/10undiosquehuele.mp3</t>
  </si>
  <si>
    <t>https://www.maristes.cat/sites/default/files/content/nodes/recurs/file/9020/11asuimagenysemejanza.mp3</t>
  </si>
  <si>
    <t>https://www.maristes.cat/sites/default/files/content/nodes/recurs/file/9021/12anteelespejo.mp3</t>
  </si>
  <si>
    <t>https://www.maristes.cat/sites/default/files/content/nodes/recurs/file/9022/13angelremix.mp3</t>
  </si>
  <si>
    <t>https://www.maristes.cat/sites/default/files/content/nodes/recurs/file/8925/trackno01.mp3</t>
  </si>
  <si>
    <t>https://www.maristes.cat/sites/default/files/content/nodes/recurs/file/8926/trackno02.mp3</t>
  </si>
  <si>
    <t>https://www.maristes.cat/sites/default/files/content/nodes/recurs/file/8927/trackno03.mp3</t>
  </si>
  <si>
    <t>https://www.maristes.cat/sites/default/files/content/nodes/recurs/file/8928/trackno04.mp3</t>
  </si>
  <si>
    <t>https://www.maristes.cat/sites/default/files/content/nodes/recurs/file/8929/trackno05.mp3</t>
  </si>
  <si>
    <t>https://www.maristes.cat/sites/default/files/content/nodes/recurs/file/8930/trackno06.mp3</t>
  </si>
  <si>
    <t>https://www.maristes.cat/sites/default/files/content/nodes/recurs/file/8932/trackno08.mp3</t>
  </si>
  <si>
    <t>https://www.maristes.cat/sites/default/files/content/nodes/recurs/file/8931/trackno07.mp3</t>
  </si>
  <si>
    <t>https://www.maristes.cat/sites/default/files/content/nodes/recurs/file/8934/trackno10.mp3</t>
  </si>
  <si>
    <t>https://www.maristes.cat/sites/default/files/content/nodes/recurs/file/8933/trackno09.mp3</t>
  </si>
  <si>
    <t>https://www.maristes.cat/sites/default/files/content/nodes/recurs/file/8935/trackno11.mp3</t>
  </si>
  <si>
    <t>https://www.maristes.cat/sites/default/files/content/nodes/recurs/file/8924/escuchamaria.mp3</t>
  </si>
  <si>
    <t>https://www.maristes.cat/sites/default/files/content/nodes/recurs/file/8866/1clarahijadelaluz.mp3</t>
  </si>
  <si>
    <t>https://www.maristes.cat/sites/default/files/content/nodes/recurs/file/8867/2claraimagendedios.mp3</t>
  </si>
  <si>
    <t>https://www.maristes.cat/sites/default/files/content/nodes/recurs/file/8868/3rezarnoesotracosa.mp3</t>
  </si>
  <si>
    <t>https://www.maristes.cat/sites/default/files/content/nodes/recurs/file/8869/4jesusteama.mp3</t>
  </si>
  <si>
    <t>https://www.maristes.cat/sites/default/files/content/nodes/recurs/file/8870/5canticodelascriaturas.mp3</t>
  </si>
  <si>
    <t>https://www.maristes.cat/sites/default/files/content/nodes/recurs/file/8871/6yanoquedatiempo.mp3</t>
  </si>
  <si>
    <t>https://www.maristes.cat/sites/default/files/content/nodes/recurs/file/8872/7oracionasanfrancisco.mp3</t>
  </si>
  <si>
    <t>https://www.maristes.cat/sites/default/files/content/nodes/recurs/file/8873/8padredelasmisericordias.mp3</t>
  </si>
  <si>
    <t>https://www.maristes.cat/sites/default/files/content/nodes/recurs/file/8874/9tealabosenor.mp3</t>
  </si>
  <si>
    <t>https://www.maristes.cat/sites/default/files/content/nodes/recurs/file/8875/10sivamosdesnudosporcristo.mp3</t>
  </si>
  <si>
    <t>https://www.maristes.cat/sites/default/files/content/nodes/recurs/file/8876/11eldondelafraternidad.mp3</t>
  </si>
  <si>
    <t>https://www.maristes.cat/sites/default/files/content/nodes/recurs/file/8788/1jesusesverdad.mp3</t>
  </si>
  <si>
    <t>https://www.maristes.cat/sites/default/files/content/nodes/recurs/file/8790/3comomarcelino.mp3</t>
  </si>
  <si>
    <t>https://www.maristes.cat/sites/default/files/content/nodes/recurs/file/8791/4nino.mp3</t>
  </si>
  <si>
    <t>https://www.maristes.cat/sites/default/files/content/nodes/recurs/file/8793/6unavida.mp3</t>
  </si>
  <si>
    <t>https://www.maristes.cat/sites/default/files/content/nodes/recurs/file/8799/9diosenlaciudad.mp3</t>
  </si>
  <si>
    <t>https://www.maristes.cat/sites/default/files/content/nodes/recurs/file/8801/11somosunafamilia.mp3</t>
  </si>
  <si>
    <t>https://www.maristes.cat/sites/default/files/content/nodes/recurs/file/8850/1ereselfuegoelamor.mp3</t>
  </si>
  <si>
    <t>https://www.maristes.cat/sites/default/files/content/nodes/recurs/file/8851/2mehasseducidosenor.mp3</t>
  </si>
  <si>
    <t>https://www.maristes.cat/sites/default/files/content/nodes/recurs/file/8852/3deseopaz.mp3</t>
  </si>
  <si>
    <t>https://www.maristes.cat/sites/default/files/content/nodes/recurs/file/8853/4unavidaquebuscalibertad.mp3</t>
  </si>
  <si>
    <t>https://www.maristes.cat/sites/default/files/content/nodes/recurs/file/8854/5nuestrabuenamadre.mp3</t>
  </si>
  <si>
    <t>https://www.maristes.cat/sites/default/files/content/nodes/recurs/file/8855/6senoryonosoydigno.mp3</t>
  </si>
  <si>
    <t>https://www.maristes.cat/sites/default/files/content/nodes/recurs/file/8856/7nodurmais.mp3</t>
  </si>
  <si>
    <t>https://www.maristes.cat/sites/default/files/content/nodes/recurs/file/8861/8senormetienesanteti.mp3</t>
  </si>
  <si>
    <t>https://www.maristes.cat/sites/default/files/content/nodes/recurs/file/8862/9bienaventuranzas.mp3</t>
  </si>
  <si>
    <t>https://www.maristes.cat/sites/default/files/content/nodes/recurs/file/8863/10tullamada.mp3</t>
  </si>
  <si>
    <t>https://www.maristes.cat/sites/default/files/content/nodes/recurs/file/8864/11noesfacil.mp3</t>
  </si>
  <si>
    <t>https://www.maristes.cat/sites/default/files/content/nodes/recurs/file/8865/12nacidosdelacruz.mp3</t>
  </si>
  <si>
    <t>https://www.maristes.cat/sites/default/files/content/nodes/recurs/file/8712/1jesusessenor.mp3</t>
  </si>
  <si>
    <t>https://www.maristes.cat/sites/default/files/content/nodes/recurs/file/8713/2yocantare.mp3</t>
  </si>
  <si>
    <t>https://www.maristes.cat/sites/default/files/content/nodes/recurs/file/8716/3jesusestaentrenosotros.mp3</t>
  </si>
  <si>
    <t>https://www.maristes.cat/sites/default/files/content/nodes/recurs/file/8717/4hablame.mp3</t>
  </si>
  <si>
    <t>https://www.maristes.cat/sites/default/files/content/nodes/recurs/file/8718/5oraciondelpobre.mp3</t>
  </si>
  <si>
    <t>https://www.maristes.cat/sites/default/files/content/nodes/recurs/file/8719/6himnoadios.mp3</t>
  </si>
  <si>
    <t>https://www.maristes.cat/sites/default/files/content/nodes/recurs/file/8720/7vensenorjesus.mp3</t>
  </si>
  <si>
    <t>https://www.maristes.cat/sites/default/files/content/nodes/recurs/file/8721/8padremepongoentusmanos.mp3</t>
  </si>
  <si>
    <t>https://www.maristes.cat/sites/default/files/content/nodes/recurs/file/8722/9gloriaadios.mp3</t>
  </si>
  <si>
    <t>https://www.maristes.cat/sites/default/files/content/nodes/recurs/file/8723/10tumesondeas.mp3</t>
  </si>
  <si>
    <t>https://www.maristes.cat/sites/default/files/content/nodes/recurs/file/8724/11elaguadelsenor.mp3</t>
  </si>
  <si>
    <t>https://www.maristes.cat/sites/default/files/content/nodes/recurs/file/8725/12cantajerusalen.mp3</t>
  </si>
  <si>
    <t>https://www.maristes.cat/sites/default/files/content/nodes/recurs/file/9153/03entornoalpan.wav</t>
  </si>
  <si>
    <t>https://www.maristes.cat/sites/default/files/content/nodes/recurs/file/9155/05diremosquesi.wav</t>
  </si>
  <si>
    <t>https://www.maristes.cat/sites/default/files/content/nodes/recurs/file/9156/06caminar.wav</t>
  </si>
  <si>
    <t>https://www.maristes.cat/sites/default/files/content/nodes/recurs/file/9157/07graciasportudon.wav</t>
  </si>
  <si>
    <t>https://www.maristes.cat/sites/default/files/content/nodes/recurs/file/9159/09somos.wav</t>
  </si>
  <si>
    <t>https://www.maristes.cat/sites/default/files/content/nodes/recurs/file/8751/1unhimnosurgira.mp3</t>
  </si>
  <si>
    <t>https://www.maristes.cat/sites/default/files/content/nodes/recurs/file/8753/3hermitagecasadelsenor.mp3</t>
  </si>
  <si>
    <t>https://www.maristes.cat/sites/default/files/content/nodes/recurs/file/8755/5dondehayaunnino.mp3</t>
  </si>
  <si>
    <t>https://www.maristes.cat/sites/default/files/content/nodes/recurs/file/8756/6piensoenusted.mp3</t>
  </si>
  <si>
    <t>https://www.maristes.cat/sites/default/files/content/nodes/recurs/file/8758/8confiadrecurrid.mp3</t>
  </si>
  <si>
    <t>https://www.maristes.cat/sites/default/files/content/nodes/recurs/file/8759/9hermanitosdemaria.mp3</t>
  </si>
  <si>
    <t>https://www.maristes.cat/sites/default/files/content/nodes/recurs/file/9454/10cortolaroca.mp3</t>
  </si>
  <si>
    <t>https://www.maristes.cat/sites/default/files/content/nodes/recurs/file/8761/11testamentoespiritual.mp3</t>
  </si>
  <si>
    <t>https://www.maristes.cat/sites/default/files/content/nodes/recurs/file/8762/12nuestrasvocescantan.mp3</t>
  </si>
  <si>
    <t>https://www.maristes.cat/sites/default/files/content/nodes/recurs/file/8739/1avemaria.mp3</t>
  </si>
  <si>
    <t>https://www.maristes.cat/sites/default/files/content/nodes/recurs/file/8740/2tuestascerca.mp3</t>
  </si>
  <si>
    <t>https://www.maristes.cat/sites/default/files/content/nodes/recurs/file/8741/3madredeloshijospobres.mp3</t>
  </si>
  <si>
    <t>https://www.maristes.cat/sites/default/files/content/nodes/recurs/file/8742/4magnificat.mp3</t>
  </si>
  <si>
    <t>https://www.maristes.cat/sites/default/files/content/nodes/recurs/file/8743/5angelus.mp3</t>
  </si>
  <si>
    <t>https://www.maristes.cat/sites/default/files/content/nodes/recurs/file/8744/6graciasmadre.mp3</t>
  </si>
  <si>
    <t>https://www.maristes.cat/sites/default/files/content/nodes/recurs/file/8745/7mariamusicadedios.mp3</t>
  </si>
  <si>
    <t>https://www.maristes.cat/sites/default/files/content/nodes/recurs/file/8747/9arcillaentresusmanos.mp3</t>
  </si>
  <si>
    <t>https://www.maristes.cat/sites/default/files/content/nodes/recurs/file/8748/10tueresdelsenor.mp3</t>
  </si>
  <si>
    <t>https://www.maristes.cat/sites/default/files/content/nodes/recurs/file/8749/11madre.mp3</t>
  </si>
  <si>
    <t>https://www.maristes.cat/sites/default/files/content/nodes/recurs/file/8750/12tueresmaria.mp3</t>
  </si>
  <si>
    <t>https://www.maristes.cat/sites/default/files/content/nodes/recurs/file/8901/1pregonpascual.mp3</t>
  </si>
  <si>
    <t>https://www.maristes.cat/sites/default/files/content/nodes/recurs/file/8902/2latinoamerica.mp3</t>
  </si>
  <si>
    <t>https://www.maristes.cat/sites/default/files/content/nodes/recurs/file/8903/3indigena.mp3</t>
  </si>
  <si>
    <t>https://www.maristes.cat/sites/default/files/content/nodes/recurs/file/8904/4nosprecederan.mp3</t>
  </si>
  <si>
    <t>https://www.maristes.cat/sites/default/files/content/nodes/recurs/file/8905/5unkiriemas.mp3</t>
  </si>
  <si>
    <t>https://www.maristes.cat/sites/default/files/content/nodes/recurs/file/8906/6lamula.mp3</t>
  </si>
  <si>
    <t>https://www.maristes.cat/sites/default/files/content/nodes/recurs/file/8907/7mascercadelsol.mp3</t>
  </si>
  <si>
    <t>https://www.maristes.cat/sites/default/files/content/nodes/recurs/file/8908/8elbrujomugandino.mp3</t>
  </si>
  <si>
    <t>https://www.maristes.cat/sites/default/files/content/nodes/recurs/file/8909/9quenonosdenelpanbanadoensangre.mp3</t>
  </si>
  <si>
    <t>https://www.maristes.cat/sites/default/files/content/nodes/recurs/file/8910/10salvecompanerannuestra.mp3</t>
  </si>
  <si>
    <t>https://www.maristes.cat/sites/default/files/content/nodes/recurs/file/8911/11elbardelbosnio.mp3</t>
  </si>
  <si>
    <t>https://www.maristes.cat/sites/default/files/content/nodes/recurs/file/8912/12mimamitabuena.mp3</t>
  </si>
  <si>
    <t>https://www.maristes.cat/sites/default/files/content/nodes/recurs/file/8913/13depuraraza.mp3</t>
  </si>
  <si>
    <t>https://www.maristes.cat/sites/default/files/content/nodes/recurs/file/8969/1nacidosdemujer.mp3</t>
  </si>
  <si>
    <t>https://www.maristes.cat/sites/default/files/content/nodes/recurs/file/8971/2hacedloqueelosdiga.mp3</t>
  </si>
  <si>
    <t>https://www.maristes.cat/sites/default/files/content/nodes/recurs/file/8973/3encomunidad.mp3</t>
  </si>
  <si>
    <t>https://www.maristes.cat/sites/default/files/content/nodes/recurs/file/8975/4danostuespiritu.mp3</t>
  </si>
  <si>
    <t>https://www.maristes.cat/sites/default/files/content/nodes/recurs/file/8976/5adela.mp3</t>
  </si>
  <si>
    <t>https://www.maristes.cat/sites/default/files/content/nodes/recurs/file/8977/6gloria.mp3</t>
  </si>
  <si>
    <t>https://www.maristes.cat/sites/default/files/content/nodes/recurs/file/8978/7pequenocorazon.mp3</t>
  </si>
  <si>
    <t>https://www.maristes.cat/sites/default/files/content/nodes/recurs/file/8979/8chaminade.mp3</t>
  </si>
  <si>
    <t>https://www.maristes.cat/sites/default/files/content/nodes/recurs/file/8980/9credo.mp3</t>
  </si>
  <si>
    <t>https://www.maristes.cat/sites/default/files/content/nodes/recurs/file/8981/10creoenti.mp3</t>
  </si>
  <si>
    <t>https://www.maristes.cat/sites/default/files/content/nodes/recurs/file/8982/11alastresdelatarde.mp3</t>
  </si>
  <si>
    <t>https://www.maristes.cat/sites/default/files/content/nodes/recurs/file/8983/12vinonuevo.mp3</t>
  </si>
  <si>
    <t>https://www.maristes.cat/sites/default/files/content/nodes/recurs/file/8984/13teseguire.mp3</t>
  </si>
  <si>
    <t>https://www.maristes.cat/sites/default/files/content/nodes/recurs/file/8985/14unsolocorazon.mp3</t>
  </si>
  <si>
    <t>https://www.maristes.cat/sites/default/files/content/nodes/recurs/file/8986/kairoi-profetadelafamilia-01-yfuistehogar.mp3</t>
  </si>
  <si>
    <t>https://www.maristes.cat/sites/default/files/content/nodes/recurs/file/8987/kairoi-profetadelafamilia-02-profetadelafamilia.mp3</t>
  </si>
  <si>
    <t>https://www.maristes.cat/sites/default/files/content/nodes/recurs/file/8988/kairoi-profetadelafamilia-03-comotu.mp3</t>
  </si>
  <si>
    <t>https://www.maristes.cat/sites/default/files/content/nodes/recurs/file/8989/kairoi-profetadelafamilia-04-siempresicelebrare.mp3</t>
  </si>
  <si>
    <t>https://www.maristes.cat/sites/default/files/content/nodes/recurs/file/8990/kairoi-profetadelafamilia-05-supalabra.mp3</t>
  </si>
  <si>
    <t>https://www.maristes.cat/sites/default/files/content/nodes/recurs/file/8991/kairoi-profetadelafamilia-06-santafamilia.mp3</t>
  </si>
  <si>
    <t>https://www.maristes.cat/sites/default/files/content/nodes/recurs/file/8992/kairoi-profetadelafamilia-07-jesusmariayjose.mp3</t>
  </si>
  <si>
    <t>https://www.maristes.cat/sites/default/files/content/nodes/recurs/file/8993/kairoi-profetadelafamilia-08-tumirada.mp3</t>
  </si>
  <si>
    <t>https://www.maristes.cat/sites/default/files/content/nodes/recurs/file/8994/kairoi-profetadelafamilia-09-familias.mp3</t>
  </si>
  <si>
    <t>https://www.maristes.cat/sites/default/files/content/nodes/recurs/file/8995/kairoi-profetadelafamilia-10-elpoemadelapiedra.mp3</t>
  </si>
  <si>
    <t>https://www.maristes.cat/sites/default/files/content/nodes/recurs/file/8834/1cristosenor.mp3</t>
  </si>
  <si>
    <t>https://www.maristes.cat/sites/default/files/content/nodes/recurs/file/8835/2tuserasmihermano.mp3</t>
  </si>
  <si>
    <t>https://www.maristes.cat/sites/default/files/content/nodes/recurs/file/8836/3cristo.mp3</t>
  </si>
  <si>
    <t>https://www.maristes.cat/sites/default/files/content/nodes/recurs/file/8840/4alliestastu.mp3</t>
  </si>
  <si>
    <t>https://www.maristes.cat/sites/default/files/content/nodes/recurs/file/8841/5nohayllorosporunninomuerto.mp3</t>
  </si>
  <si>
    <t>https://www.maristes.cat/sites/default/files/content/nodes/recurs/file/8842/6dejaqueentuvidacanteel.mp3</t>
  </si>
  <si>
    <t>https://www.maristes.cat/sites/default/files/content/nodes/recurs/file/8843/7tieneelsida.mp3</t>
  </si>
  <si>
    <t>https://www.maristes.cat/sites/default/files/content/nodes/recurs/file/8844/8gritolibertad.mp3</t>
  </si>
  <si>
    <t>https://www.maristes.cat/sites/default/files/content/nodes/recurs/file/8845/9tusonrisanolavi.mp3</t>
  </si>
  <si>
    <t>https://www.maristes.cat/sites/default/files/content/nodes/recurs/file/8846/10senordelahistoria.mp3</t>
  </si>
  <si>
    <t>https://www.maristes.cat/sites/default/files/content/nodes/recurs/file/8847/11memuerodehambre.mp3</t>
  </si>
  <si>
    <t>https://www.maristes.cat/sites/default/files/content/nodes/recurs/file/8848/12yonohepodidoserbueno.mp3</t>
  </si>
  <si>
    <t>https://www.maristes.cat/sites/default/files/content/nodes/recurs/file/8878/1sijesus.mp3</t>
  </si>
  <si>
    <t>https://www.maristes.cat/sites/default/files/content/nodes/recurs/file/8879/2cuandolamuerte.mp3</t>
  </si>
  <si>
    <t>https://www.maristes.cat/sites/default/files/content/nodes/recurs/file/8880/3notemais.mp3</t>
  </si>
  <si>
    <t>https://www.maristes.cat/sites/default/files/content/nodes/recurs/file/8881/4lalibertadvivedelespiritu.mp3</t>
  </si>
  <si>
    <t>https://www.maristes.cat/sites/default/files/content/nodes/recurs/file/8882/5quesepamosestar.mp3</t>
  </si>
  <si>
    <t>https://www.maristes.cat/sites/default/files/content/nodes/recurs/file/8883/6quejatesipuedes.mp3</t>
  </si>
  <si>
    <t>https://www.maristes.cat/sites/default/files/content/nodes/recurs/file/8884/7loabandonarontodo.mp3</t>
  </si>
  <si>
    <t>https://www.maristes.cat/sites/default/files/content/nodes/recurs/file/8885/8esmejorhablarcondios.mp3</t>
  </si>
  <si>
    <t>https://www.maristes.cat/sites/default/files/content/nodes/recurs/file/8886/9delodebilsacafuerzasdios.mp3</t>
  </si>
  <si>
    <t>https://www.maristes.cat/sites/default/files/content/nodes/recurs/file/8887/10sontestigos.mp3</t>
  </si>
  <si>
    <t>https://www.maristes.cat/sites/default/files/content/nodes/recurs/file/8888/11tepediranlavida.mp3</t>
  </si>
  <si>
    <t>https://www.maristes.cat/sites/default/files/content/nodes/recurs/file/8889/12esperadalsenor.mp3</t>
  </si>
  <si>
    <t>https://www.maristes.cat/sites/default/files/content/nodes/recurs/file/8936/1uncorazonsinfronteras.mp3</t>
  </si>
  <si>
    <t>https://www.maristes.cat/sites/default/files/content/nodes/recurs/file/8937/2buenamadre.mp3</t>
  </si>
  <si>
    <t>https://www.maristes.cat/sites/default/files/content/nodes/recurs/file/8938/3construyenoslacasa.mp3</t>
  </si>
  <si>
    <t>https://www.maristes.cat/sites/default/files/content/nodes/recurs/file/8941/6hermanoentreloshombres.mp3</t>
  </si>
  <si>
    <t>https://www.maristes.cat/sites/default/files/content/nodes/recurs/file/8794/7entornoalpan.mp3</t>
  </si>
  <si>
    <t>https://www.maristes.cat/sites/default/files/content/nodes/recurs/file/8943/8frasesmarcelino.mp3</t>
  </si>
  <si>
    <t>https://www.maristes.cat/sites/default/files/content/nodes/recurs/file/8944/9hermanoconfiaendios.mp3</t>
  </si>
  <si>
    <t>https://www.maristes.cat/sites/default/files/content/nodes/recurs/file/8945/10familiamarista.mp3</t>
  </si>
  <si>
    <t>https://www.maristes.cat/sites/default/files/content/nodes/recurs/file/8947/12acuerdatemaria.mp3</t>
  </si>
  <si>
    <t>https://www.maristes.cat/sites/default/files/content/nodes/recurs/file/8948/13hermanoadios.mp3</t>
  </si>
  <si>
    <t>https://www.maristes.cat/sites/default/files/content/nodes/recurs/file/8949/14tuserashoychampagnat.mp3</t>
  </si>
  <si>
    <t>https://www.maristes.cat/sites/default/files/content/nodes/recurs/file/8726/01sintonia.mp3</t>
  </si>
  <si>
    <t>https://www.maristes.cat/sites/default/files/content/nodes/recurs/file/8727/02miciudad.mp3</t>
  </si>
  <si>
    <t>https://www.maristes.cat/sites/default/files/content/nodes/recurs/file/8728/03mananaquiensabra.mp3</t>
  </si>
  <si>
    <t>https://www.maristes.cat/sites/default/files/content/nodes/recurs/file/8730/04quisierahabernacido.mp3</t>
  </si>
  <si>
    <t>https://www.maristes.cat/sites/default/files/content/nodes/recurs/file/8731/05nopuedojugar.mp3</t>
  </si>
  <si>
    <t>https://www.maristes.cat/sites/default/files/content/nodes/recurs/file/8732/06quienmeayuda.mp3</t>
  </si>
  <si>
    <t>https://www.maristes.cat/sites/default/files/content/nodes/recurs/file/8733/07siempremegustodecirtehola.mp3</t>
  </si>
  <si>
    <t>https://www.maristes.cat/sites/default/files/content/nodes/recurs/file/8734/08solotrabajar.mp3</t>
  </si>
  <si>
    <t>https://www.maristes.cat/sites/default/files/content/nodes/recurs/file/8735/09notengoanadie.mp3</t>
  </si>
  <si>
    <t>https://www.maristes.cat/sites/default/files/content/nodes/recurs/file/8736/10mehicieronasi.mp3</t>
  </si>
  <si>
    <t>https://www.maristes.cat/sites/default/files/content/nodes/recurs/file/8737/11tuyyoesteaquel.mp3</t>
  </si>
  <si>
    <t>https://www.maristes.cat/sites/default/files/content/nodes/recurs/file/8803/1gloriahosana.mp3</t>
  </si>
  <si>
    <t>https://www.maristes.cat/sites/default/files/content/nodes/recurs/file/8804/2entucruzsigueshoy.mp3</t>
  </si>
  <si>
    <t>https://www.maristes.cat/sites/default/files/content/nodes/recurs/file/8805/3enlacruznosdaslavida.mp3</t>
  </si>
  <si>
    <t>https://www.maristes.cat/sites/default/files/content/nodes/recurs/file/8806/4sientotullamadaelsenoreslaesperanzaelsenorestaaquicaminadacogemedios.mp3</t>
  </si>
  <si>
    <t>https://www.maristes.cat/sites/default/files/content/nodes/recurs/file/8807/5mariamadredeldolor.mp3</t>
  </si>
  <si>
    <t>https://www.maristes.cat/sites/default/files/content/nodes/recurs/file/8808/6ensumesahayamor.mp3</t>
  </si>
  <si>
    <t>https://www.maristes.cat/sites/default/files/content/nodes/recurs/file/8809/7llamadevida.mp3</t>
  </si>
  <si>
    <t>https://www.maristes.cat/sites/default/files/content/nodes/recurs/file/8810/8vengatureino.mp3</t>
  </si>
  <si>
    <t>https://www.maristes.cat/sites/default/files/content/nodes/recurs/file/8811/9pregonpascual.mp3</t>
  </si>
  <si>
    <t>https://www.maristes.cat/sites/default/files/content/nodes/recurs/file/8812/10jesusresucitahoy.mp3</t>
  </si>
  <si>
    <t>https://www.maristes.cat/sites/default/files/content/nodes/recurs/file/8813/11somostestigos.mp3</t>
  </si>
  <si>
    <t>https://www.maristes.cat/sites/default/files/content/nodes/recurs/file/8814/12tucaminoytuverdad.mp3</t>
  </si>
  <si>
    <t>https://www.maristes.cat/sites/default/files/content/nodes/recurs/file/8954/1seguiramando.mp3</t>
  </si>
  <si>
    <t>https://www.maristes.cat/sites/default/files/content/nodes/recurs/file/8955/2ysevivelavida.mp3</t>
  </si>
  <si>
    <t>https://www.maristes.cat/sites/default/files/content/nodes/recurs/file/8956/3jesuscambianos.mp3</t>
  </si>
  <si>
    <t>https://www.maristes.cat/sites/default/files/content/nodes/recurs/file/8957/4comomaria.mp3</t>
  </si>
  <si>
    <t>https://www.maristes.cat/sites/default/files/content/nodes/recurs/file/8958/5nosmarcaelcaminar.mp3</t>
  </si>
  <si>
    <t>https://www.maristes.cat/sites/default/files/content/nodes/recurs/file/8960/6alfonsahermanayamiga.mp3</t>
  </si>
  <si>
    <t>https://www.maristes.cat/sites/default/files/content/nodes/recurs/file/8961/7soymujer.mp3</t>
  </si>
  <si>
    <t>https://www.maristes.cat/sites/default/files/content/nodes/recurs/file/8963/8entisolodescanso.mp3</t>
  </si>
  <si>
    <t>https://www.maristes.cat/sites/default/files/content/nodes/recurs/file/8964/9diosdelavida.mp3</t>
  </si>
  <si>
    <t>https://www.maristes.cat/sites/default/files/content/nodes/recurs/file/8966/10suena.mp3</t>
  </si>
  <si>
    <t>https://www.maristes.cat/sites/default/files/content/nodes/recurs/file/8763/1pazenlatierra.mp3</t>
  </si>
  <si>
    <t>https://www.maristes.cat/sites/default/files/content/nodes/recurs/file/8764/2meestasllamando.mp3</t>
  </si>
  <si>
    <t>https://www.maristes.cat/sites/default/files/content/nodes/recurs/file/8765/3alabotubondad.mp3</t>
  </si>
  <si>
    <t>https://www.maristes.cat/sites/default/files/content/nodes/recurs/file/8766/4tocareparati.mp3</t>
  </si>
  <si>
    <t>https://www.maristes.cat/sites/default/files/content/nodes/recurs/file/8767/5elamoresnuestrocanto.mp3</t>
  </si>
  <si>
    <t>https://www.maristes.cat/sites/default/files/content/nodes/recurs/file/8768/6ensenanosaorar.mp3</t>
  </si>
  <si>
    <t>https://www.maristes.cat/sites/default/files/content/nodes/recurs/file/8769/7tusenor.mp3</t>
  </si>
  <si>
    <t>https://www.maristes.cat/sites/default/files/content/nodes/recurs/file/8770/8esperandoconmaria.mp3</t>
  </si>
  <si>
    <t>https://www.maristes.cat/sites/default/files/content/nodes/recurs/file/8771/9venespiritudedios.mp3</t>
  </si>
  <si>
    <t>https://www.maristes.cat/sites/default/files/content/nodes/recurs/file/8772/10padrenuestro.mp3</t>
  </si>
  <si>
    <t>https://www.maristes.cat/sites/default/files/content/nodes/recurs/file/8773/11amaos.mp3</t>
  </si>
  <si>
    <t>https://www.maristes.cat/sites/default/files/content/nodes/recurs/file/8774/12padreperdon.mp3</t>
  </si>
  <si>
    <t>https://www.youtube.com/watch?v=CE5cp6VPFA4</t>
  </si>
  <si>
    <t>https://www.youtube.com/watch?v=BKouxXuTeME</t>
  </si>
  <si>
    <t>https://www.youtube.com/watch?v=6A3AS5oavA0</t>
  </si>
  <si>
    <t>https://www.youtube.com/watch?v=BG0dJBl5euk</t>
  </si>
  <si>
    <t>https://www.youtube.com/watch?v=aWqgzEHIBvs</t>
  </si>
  <si>
    <t>https://www.youtube.com/watch?v=ZYLTEIGMYjw</t>
  </si>
  <si>
    <t>https://www.youtube.com/watch?v=dTv5uI_DRFo</t>
  </si>
  <si>
    <t>https://www.youtube.com/watch?v=bDCL8xRyN4A</t>
  </si>
  <si>
    <t>https://www.youtube.com/watch?v=Lcu-M5vwOi8</t>
  </si>
  <si>
    <t>https://www.youtube.com/watch?v=GwuVLMz99vY</t>
  </si>
  <si>
    <t>https://www.youtube.com/watch?v=gQTkSndgz-E</t>
  </si>
  <si>
    <t>https://www.youtube.com/watch?v=Utg7wtSDJOU</t>
  </si>
  <si>
    <t>https://www.youtube.com/watch?v=HXz2iuN3pDE</t>
  </si>
  <si>
    <t>https://www.youtube.com/watch?v=ViQlE2MpKes</t>
  </si>
  <si>
    <t>https://www.youtube.com/watch?v=NX8Qj5zB_b4</t>
  </si>
  <si>
    <t>https://www.youtube.com/watch?v=E1dvSpZwsvI</t>
  </si>
  <si>
    <t>https://www.youtube.com/watch?v=06KdbYF8Q6Y</t>
  </si>
  <si>
    <t>https://www.youtube.com/watch?v=x-gJK52EB4c</t>
  </si>
  <si>
    <t>https://www.youtube.com/watch?v=WNHK4BkEMis</t>
  </si>
  <si>
    <t>Nunca solas</t>
  </si>
  <si>
    <t>De ida y vuelta</t>
  </si>
  <si>
    <t>Mañana</t>
  </si>
  <si>
    <t>El que amas está enfermo</t>
  </si>
  <si>
    <t>Confía en mí</t>
  </si>
  <si>
    <t>Incansable</t>
  </si>
  <si>
    <t>Rutinas</t>
  </si>
  <si>
    <t>Montaña</t>
  </si>
  <si>
    <t>Dragones</t>
  </si>
  <si>
    <t>La barca y el mar</t>
  </si>
  <si>
    <t>Parece la vida</t>
  </si>
  <si>
    <t>Tenemos un dios</t>
  </si>
  <si>
    <t>Transformarás</t>
  </si>
  <si>
    <t>Tu casa</t>
  </si>
  <si>
    <t>A todos los idiomas</t>
  </si>
  <si>
    <t>Christus Resurrexit</t>
  </si>
  <si>
    <t>Resurrexit</t>
  </si>
  <si>
    <t>La ténèbre n'est point ténèbre</t>
  </si>
  <si>
    <t>Veni lumen cordium</t>
  </si>
  <si>
    <t>Exaudi nos</t>
  </si>
  <si>
    <t>O Lord, hear my prayer</t>
  </si>
  <si>
    <t>Alleluia</t>
  </si>
  <si>
    <t>Exaltabo te</t>
  </si>
  <si>
    <t>Gloria in excelsis deo</t>
  </si>
  <si>
    <t>Jubilate</t>
  </si>
  <si>
    <t>Veni Creator Spiritus</t>
  </si>
  <si>
    <t>Magnificat (choral)</t>
  </si>
  <si>
    <t>Il n'est pas de plus grand amour</t>
  </si>
  <si>
    <t>Notre âme attend le Seigneur</t>
  </si>
  <si>
    <t>Veni lumen (choral)</t>
  </si>
  <si>
    <t>Alleluia (Zagorsk)</t>
  </si>
  <si>
    <t>O Christ, le Fils de Dieu vivant</t>
  </si>
  <si>
    <t>Herr, wohin</t>
  </si>
  <si>
    <t>C'est toi ma lampe, Seigneur</t>
  </si>
  <si>
    <t>Sanctus nomen Domini</t>
  </si>
  <si>
    <t>Sing to God</t>
  </si>
  <si>
    <t>C'est toi la lumière</t>
  </si>
  <si>
    <t>Donnez une voix à sa louange</t>
  </si>
  <si>
    <t>Meine Seele ist zu Tode betrübt</t>
  </si>
  <si>
    <t>Jesús inclinó la cabeza</t>
  </si>
  <si>
    <t>Regnum tuum veniat</t>
  </si>
  <si>
    <t>Venite exultemus</t>
  </si>
  <si>
    <t>Jesu redemptor</t>
  </si>
  <si>
    <t>Nothing can ever come between us</t>
  </si>
  <si>
    <t>Gloria… et in terra pax</t>
  </si>
  <si>
    <t>Magnificat 3</t>
  </si>
  <si>
    <t>Christe Lux Mundi</t>
  </si>
  <si>
    <t>Viespatie, tu viska zinai</t>
  </si>
  <si>
    <t>Frieden, frieden</t>
  </si>
  <si>
    <t>Que j'exulte et jubile</t>
  </si>
  <si>
    <t>Sjung lovsång, alla länder</t>
  </si>
  <si>
    <t>Sto oko ne vidje</t>
  </si>
  <si>
    <t>Ô toi, l'au-delà de tout</t>
  </si>
  <si>
    <t>Seigneur, je compte sur toi</t>
  </si>
  <si>
    <t>Retourne, mon âme</t>
  </si>
  <si>
    <t>Benedictus dominus deus</t>
  </si>
  <si>
    <t>Music of unity and peace</t>
  </si>
  <si>
    <t>Cantique de Siméon</t>
  </si>
  <si>
    <t>Laudamus Te</t>
  </si>
  <si>
    <t>Ô sagesse</t>
  </si>
  <si>
    <t>Ô vous qui dans l'obscurité</t>
  </si>
  <si>
    <t>Atme in uns, heilliger Geist</t>
  </si>
  <si>
    <t>Dona nobis pacem 2</t>
  </si>
  <si>
    <t>Adsumus Sancte Spiritus</t>
  </si>
  <si>
    <t>Tibi Deo gloria</t>
  </si>
  <si>
    <t>Chants de la prière à Taizé</t>
  </si>
  <si>
    <t>Jubilate Deo omnis terra</t>
  </si>
  <si>
    <t>https://www.youtube.com/watch?v=s3ah9LVIprk</t>
  </si>
  <si>
    <t>https://www.youtube.com/watch?v=zu0Jh4W-SRI</t>
  </si>
  <si>
    <t>https://www.youtube.com/watch?v=Y6HucpyMSyA</t>
  </si>
  <si>
    <t>https://www.youtube.com/watch?v=N_SouvyZ5v8</t>
  </si>
  <si>
    <t>https://www.youtube.com/watch?v=eOBu5UoUIjk</t>
  </si>
  <si>
    <t>https://www.youtube.com/watch?v=-SxCIMC0IqM</t>
  </si>
  <si>
    <t>https://www.youtube.com/watch?v=lseBd7-XJXg</t>
  </si>
  <si>
    <t>https://www.youtube.com/watch?v=c60A4K7c7xo</t>
  </si>
  <si>
    <t>https://www.youtube.com/watch?v=rUsxwIHWjk0</t>
  </si>
  <si>
    <t>https://www.youtube.com/watch?v=f3uHOfRKv0s</t>
  </si>
  <si>
    <t>https://www.youtube.com/watch?v=HP0E62Vb1tI</t>
  </si>
  <si>
    <t>https://www.youtube.com/watch?v=4yNJyu7Tazs</t>
  </si>
  <si>
    <t>https://www.youtube.com/watch?v=k_nV6Q-B53Y</t>
  </si>
  <si>
    <t>https://www.youtube.com/watch?v=gUbwARp-L5o</t>
  </si>
  <si>
    <t>https://www.youtube.com/watch?v=gfl7-8zFXyU</t>
  </si>
  <si>
    <t>https://www.youtube.com/watch?v=HBQkgtySUQM</t>
  </si>
  <si>
    <t>https://www.youtube.com/watch?v=hEweJKc1xgs</t>
  </si>
  <si>
    <t>https://www.youtube.com/watch?v=y2S6ljsbEEE</t>
  </si>
  <si>
    <t>https://www.youtube.com/watch?v=pPeiwHhNOGo</t>
  </si>
  <si>
    <t>https://www.youtube.com/watch?v=ceNH003raFI</t>
  </si>
  <si>
    <t>https://www.youtube.com/watch?v=RsEHgxg9F2s</t>
  </si>
  <si>
    <t>https://www.youtube.com/watch?v=p2U_BQdrb6w</t>
  </si>
  <si>
    <t>https://www.youtube.com/watch?v=A6PxqOLW_nU</t>
  </si>
  <si>
    <t>https://www.youtube.com/watch?v=uoEmNvmW6ec</t>
  </si>
  <si>
    <t>https://www.youtube.com/watch?v=7R7eJUetKrQ</t>
  </si>
  <si>
    <t>https://www.youtube.com/watch?v=gcME5Kiuw80</t>
  </si>
  <si>
    <t>https://www.youtube.com/watch?v=V2DwSllqWZw</t>
  </si>
  <si>
    <t>https://www.youtube.com/watch?v=3g8Ju0IqFII</t>
  </si>
  <si>
    <t>https://www.youtube.com/watch?v=TpCZ4pXNSr4</t>
  </si>
  <si>
    <t>https://www.youtube.com/watch?v=IEhHCMeiSuc</t>
  </si>
  <si>
    <t>https://www.youtube.com/watch?v=7DLh0xVm4eI</t>
  </si>
  <si>
    <t>https://www.youtube.com/watch?v=SM42dNpjzgA</t>
  </si>
  <si>
    <t>https://www.youtube.com/watch?v=TxrkTH4keL4</t>
  </si>
  <si>
    <t>https://www.youtube.com/watch?v=UHGO6GMUHuY</t>
  </si>
  <si>
    <t>https://www.youtube.com/watch?v=kChSEF696us</t>
  </si>
  <si>
    <t>https://www.youtube.com/watch?v=DSzvbHUxI9g</t>
  </si>
  <si>
    <t>https://www.youtube.com/watch?v=A53YevNFWVo</t>
  </si>
  <si>
    <t>https://www.youtube.com/watch?v=2B9x8InUa5w</t>
  </si>
  <si>
    <t>https://www.youtube.com/watch?v=a1pKpLrHYkE</t>
  </si>
  <si>
    <t>https://www.youtube.com/watch?v=bpt-RXAsVJ0</t>
  </si>
  <si>
    <t>https://www.youtube.com/watch?v=dpJysvioGk0</t>
  </si>
  <si>
    <t>https://www.youtube.com/watch?v=Zkwri57b4gY</t>
  </si>
  <si>
    <t>https://www.youtube.com/watch?v=ri2lolcTu2c</t>
  </si>
  <si>
    <t>https://www.youtube.com/watch?v=hPdMCyBmA-g</t>
  </si>
  <si>
    <t>https://www.youtube.com/watch?v=svph2ni-aT8</t>
  </si>
  <si>
    <t>https://www.youtube.com/watch?v=5tSfxzp_5tg</t>
  </si>
  <si>
    <t>https://www.youtube.com/watch?v=PYM4YOByV58</t>
  </si>
  <si>
    <t>https://www.youtube.com/watch?v=Qm-d9hg6fMg</t>
  </si>
  <si>
    <t>https://www.youtube.com/watch?v=8ke4CsNDfN0</t>
  </si>
  <si>
    <t>https://www.youtube.com/watch?v=mwRMT2_pi9c</t>
  </si>
  <si>
    <t>https://www.youtube.com/watch?v=sJyIpYxlvqs</t>
  </si>
  <si>
    <t>https://www.youtube.com/watch?v=I2m01aEaXkI</t>
  </si>
  <si>
    <t>https://www.youtube.com/watch?v=hcGQoRe0IiQ</t>
  </si>
  <si>
    <t>https://www.youtube.com/watch?v=EXYVDjJ8ynY</t>
  </si>
  <si>
    <t>https://www.youtube.com/watch?v=JepPDaMU6EE</t>
  </si>
  <si>
    <t>https://www.youtube.com/watch?v=BUWYxwx2WnQ</t>
  </si>
  <si>
    <t>https://www.youtube.com/watch?v=yV0m5OAYpRA</t>
  </si>
  <si>
    <t>https://www.youtube.com/watch?v=vfIdWDJbPuY</t>
  </si>
  <si>
    <t>https://www.youtube.com/watch?v=PVryASaVosA</t>
  </si>
  <si>
    <t>https://www.youtube.com/watch?v=TpsyCkKu26c</t>
  </si>
  <si>
    <t>https://www.youtube.com/watch?v=RvZpVRLfAbc</t>
  </si>
  <si>
    <t>https://www.youtube.com/watch?v=R8xCu-J9jJM</t>
  </si>
  <si>
    <t>https://www.youtube.com/watch?v=kxO47mE_tJ4</t>
  </si>
  <si>
    <t>https://www.youtube.com/watch?v=aAwwifOLThM</t>
  </si>
  <si>
    <t>https://www.youtube.com/watch?v=7bxo4YH1jpg</t>
  </si>
  <si>
    <t>https://www.youtube.com/watch?v=SrTLu4IjdSk</t>
  </si>
  <si>
    <t>https://www.youtube.com/watch?v=MufGxgNFaDQ</t>
  </si>
  <si>
    <t>https://www.youtube.com/watch?v=j5fUZM__VI4</t>
  </si>
  <si>
    <t>https://www.youtube.com/watch?v=exDZF93_lww</t>
  </si>
  <si>
    <t>https://www.youtube.com/watch?v=mCkrIz-CXgQ</t>
  </si>
  <si>
    <t>https://www.youtube.com/watch?v=MYfyoRi3t8I</t>
  </si>
  <si>
    <t>https://www.youtube.com/watch?v=YhJY2Yk3dp0</t>
  </si>
  <si>
    <t>https://www.youtube.com/watch?v=Yr8TIVPiWOE</t>
  </si>
  <si>
    <t>https://www.youtube.com/watch?v=7ig4AfuKpXY</t>
  </si>
  <si>
    <t>https://www.youtube.com/watch?v=hpmGy83z4nc</t>
  </si>
  <si>
    <t>https://www.youtube.com/watch?v=pi-j7Ume4KU</t>
  </si>
  <si>
    <t>https://www.youtube.com/watch?v=Q1Ze4NaD9Ew</t>
  </si>
  <si>
    <t>https://www.youtube.com/watch?v=PEW4y8pprpk</t>
  </si>
  <si>
    <t>https://www.youtube.com/watch?v=5G3BZYLyg6c</t>
  </si>
  <si>
    <t>https://www.youtube.com/watch?v=G-wFc9gQJ_8</t>
  </si>
  <si>
    <t>https://www.youtube.com/watch?v=CzMY7Ka_sZU</t>
  </si>
  <si>
    <t>https://www.youtube.com/watch?v=_tMst8n-W_4</t>
  </si>
  <si>
    <t>https://www.youtube.com/watch?v=tbsRAE0DLVM</t>
  </si>
  <si>
    <t>https://www.youtube.com/watch?v=eXzcrgO4YFE</t>
  </si>
  <si>
    <t>https://www.youtube.com/watch?v=VQipBQFKO4w</t>
  </si>
  <si>
    <t>https://www.youtube.com/watch?v=V-pZp2OQm_0</t>
  </si>
  <si>
    <t>https://www.youtube.com/watch?v=FJGbSahSwjw</t>
  </si>
  <si>
    <t>https://www.youtube.com/watch?v=vwCVe0mKdPs</t>
  </si>
  <si>
    <t>https://www.youtube.com/watch?v=m6N_QxNTGOc</t>
  </si>
  <si>
    <t>https://www.youtube.com/watch?v=9b0im0Xn4sQ</t>
  </si>
  <si>
    <t>https://www.youtube.com/watch?v=24kg82reMgI</t>
  </si>
  <si>
    <t>https://www.youtube.com/watch?v=hQk705tQH6U</t>
  </si>
  <si>
    <t>https://www.youtube.com/watch?v=9RWGkSz_dX4</t>
  </si>
  <si>
    <t>https://www.youtube.com/watch?v=8UUf3RdUsuM</t>
  </si>
  <si>
    <t>https://www.youtube.com/watch?v=1ElpNZVhSnQ</t>
  </si>
  <si>
    <t>https://www.youtube.com/watch?v=G7gS0D6Dsk8</t>
  </si>
  <si>
    <t>https://www.youtube.com/watch?v=vGEwtfIkMV8</t>
  </si>
  <si>
    <t>https://www.youtube.com/watch?v=r22uqhWdgOM</t>
  </si>
  <si>
    <t>https://www.youtube.com/watch?v=z_34X0UEVQo</t>
  </si>
  <si>
    <t>https://www.youtube.com/watch?v=d24kzOMC0fA</t>
  </si>
  <si>
    <t>https://www.youtube.com/watch?v=in8sjfCrqa0</t>
  </si>
  <si>
    <t>https://www.youtube.com/watch?v=byMmFWW9JzU</t>
  </si>
  <si>
    <t>https://www.youtube.com/watch?v=IjXkGDZtdpI</t>
  </si>
  <si>
    <t>https://www.youtube.com/watch?v=m1-TkJA8K7c</t>
  </si>
  <si>
    <t>https://www.youtube.com/watch?v=KatC2n-q3dI</t>
  </si>
  <si>
    <t>https://www.youtube.com/watch?v=7d1Y5tiOnMs</t>
  </si>
  <si>
    <t>https://www.youtube.com/watch?v=0LG_MYoiQhs</t>
  </si>
  <si>
    <t>https://www.youtube.com/watch?v=yTtfvJTUZtg</t>
  </si>
  <si>
    <t>https://www.youtube.com/watch?v=hWzXJz98vII</t>
  </si>
  <si>
    <t>https://www.youtube.com/watch?v=UbCl2vh-VyU</t>
  </si>
  <si>
    <t>https://www.youtube.com/watch?v=6liNeAKv9II</t>
  </si>
  <si>
    <t>https://www.youtube.com/watch?v=iDByYdT4ItU</t>
  </si>
  <si>
    <t>https://www.youtube.com/watch?v=npjgYMt2pHc</t>
  </si>
  <si>
    <t>https://www.youtube.com/watch?v=OIB8U3bgicc</t>
  </si>
  <si>
    <t>https://www.youtube.com/watch?v=qzqdu9SzdUA</t>
  </si>
  <si>
    <t>https://www.youtube.com/watch?v=qHxe8u2cwfM</t>
  </si>
  <si>
    <t>https://www.youtube.com/watch?v=5EmsBDwrZKs</t>
  </si>
  <si>
    <t>https://www.youtube.com/watch?v=rHozyLHW_QI</t>
  </si>
  <si>
    <t>https://www.youtube.com/watch?v=3QK_-Pw-5KE</t>
  </si>
  <si>
    <t>https://www.youtube.com/watch?v=cBSxAdMItjA</t>
  </si>
  <si>
    <t>https://www.youtube.com/watch?v=CTqZhoWmD-I</t>
  </si>
  <si>
    <t>https://www.youtube.com/watch?v=qYikNLCKQhc</t>
  </si>
  <si>
    <t>https://www.youtube.com/watch?v=YOSAx_gBTXc</t>
  </si>
  <si>
    <t>https://www.youtube.com/watch?v=0NrRTyvWvFg</t>
  </si>
  <si>
    <t>https://www.youtube.com/watch?v=CdSkvbLrcno</t>
  </si>
  <si>
    <t>https://www.youtube.com/watch?v=POFPSgWaMbY</t>
  </si>
  <si>
    <t>https://www.youtube.com/watch?v=hNoOoCllCFQ</t>
  </si>
  <si>
    <t>https://www.youtube.com/watch?v=pI7PZ0Wvr5M</t>
  </si>
  <si>
    <t>https://www.youtube.com/watch?v=oQFIfndLnUI</t>
  </si>
  <si>
    <t>https://www.youtube.com/watch?v=rJU70C-RODA</t>
  </si>
  <si>
    <t>https://www.youtube.com/watch?v=OufUpQWr7O4</t>
  </si>
  <si>
    <t>https://www.youtube.com/watch?v=-PZPYbkClzw</t>
  </si>
  <si>
    <t>https://www.youtube.com/watch?v=4jdTKrvnBQY</t>
  </si>
  <si>
    <t>https://www.youtube.com/watch?v=jJP1UYGyhuw</t>
  </si>
  <si>
    <t>https://www.youtube.com/watch?v=Sq7WgjUc4Z8</t>
  </si>
  <si>
    <t>https://www.youtube.com/watch?v=tXCrm0ObU9s</t>
  </si>
  <si>
    <t>https://www.youtube.com/watch?v=UwEar1JhMYI</t>
  </si>
  <si>
    <t>https://www.youtube.com/watch?v=xetMYxSD-zI</t>
  </si>
  <si>
    <t>https://www.youtube.com/watch?v=jGCkrC9R6sc</t>
  </si>
  <si>
    <t>https://www.youtube.com/watch?v=nnFrxZra39I</t>
  </si>
  <si>
    <t>https://www.youtube.com/watch?v=GMJdR_DyBmI</t>
  </si>
  <si>
    <t>https://www.youtube.com/watch?v=ihDexwHojPk</t>
  </si>
  <si>
    <t>https://www.youtube.com/watch?v=c10O88qSKBM</t>
  </si>
  <si>
    <t>https://www.youtube.com/watch?v=eHJgXYCzfG0</t>
  </si>
  <si>
    <t>https://www.youtube.com/watch?v=fV9XsKsjZpQ</t>
  </si>
  <si>
    <t>https://www.youtube.com/watch?v=UIUY93HA3aI</t>
  </si>
  <si>
    <t>https://www.youtube.com/watch?v=FK20qvW679Y</t>
  </si>
  <si>
    <t>https://www.youtube.com/watch?v=a4M8Pd7q7Xg</t>
  </si>
  <si>
    <t>https://www.youtube.com/watch?v=PkqND-ZEOcI</t>
  </si>
  <si>
    <t>https://www.youtube.com/watch?v=zUed26NaIz0</t>
  </si>
  <si>
    <t>https://www.youtube.com/watch?v=u5JDSOKxxnQ</t>
  </si>
  <si>
    <t>https://www.youtube.com/watch?v=pkFZjv20p_c</t>
  </si>
  <si>
    <t>https://www.youtube.com/watch?v=tg3b_a_TlHo</t>
  </si>
  <si>
    <t>https://www.youtube.com/watch?v=fIHNsAvNBt4</t>
  </si>
  <si>
    <t>https://www.youtube.com/watch?v=xfmynEaYmU8</t>
  </si>
  <si>
    <t>https://www.youtube.com/watch?v=6T91M6qcBrw</t>
  </si>
  <si>
    <t>https://www.youtube.com/watch?v=hNE9e1fglXs</t>
  </si>
  <si>
    <t>https://www.youtube.com/watch?v=kZtCs6pBF9I</t>
  </si>
  <si>
    <t>https://www.youtube.com/watch?v=6dKNkU_vNKs</t>
  </si>
  <si>
    <t>https://www.youtube.com/watch?v=ba9NpRJCfiQ</t>
  </si>
  <si>
    <t>https://www.youtube.com/watch?v=jCCUQqkocdY</t>
  </si>
  <si>
    <t>https://www.youtube.com/watch?v=O2JKvhMNhyo</t>
  </si>
  <si>
    <t>https://www.youtube.com/watch?v=qkoRnuJV6fI</t>
  </si>
  <si>
    <t>https://www.youtube.com/watch?v=2Es8vuYZvhg</t>
  </si>
  <si>
    <t>https://www.youtube.com/watch?v=i34kWAIwwbU</t>
  </si>
  <si>
    <t>https://www.youtube.com/watch?v=kPy_uaYmsKQ</t>
  </si>
  <si>
    <t>https://www.youtube.com/watch?v=5ymVMHshf0M</t>
  </si>
  <si>
    <t>https://www.youtube.com/watch?v=DbYsg8g2bVw</t>
  </si>
  <si>
    <t>https://www.youtube.com/watch?v=r2qPCFvjB7w</t>
  </si>
  <si>
    <t>https://www.youtube.com/watch?v=TjzRj0bejUw</t>
  </si>
  <si>
    <t>https://www.youtube.com/watch?v=PXaO49H64rs</t>
  </si>
  <si>
    <t>https://www.youtube.com/watch?v=lUu9gLQKgNI</t>
  </si>
  <si>
    <t>https://www.youtube.com/watch?v=LXqtItOfjyY</t>
  </si>
  <si>
    <t>https://www.youtube.com/watch?v=wVgFMm2OtTU</t>
  </si>
  <si>
    <t>https://www.youtube.com/watch?v=gXdX0VFYsdE</t>
  </si>
  <si>
    <t>https://www.youtube.com/watch?v=P2JsZgXXWNI</t>
  </si>
  <si>
    <t>https://www.youtube.com/watch?v=beFI9hzhQxg</t>
  </si>
  <si>
    <t>https://www.youtube.com/watch?v=Z-LOiyKAKvQ</t>
  </si>
  <si>
    <t>https://www.youtube.com/watch?v=fKmF4zTdT_0</t>
  </si>
  <si>
    <t>https://www.youtube.com/watch?v=K4YaOuSipq0</t>
  </si>
  <si>
    <t>https://www.youtube.com/watch?v=y124lUn49WQ</t>
  </si>
  <si>
    <t>https://www.youtube.com/watch?v=3fsEZMXcW9U</t>
  </si>
  <si>
    <t>https://www.youtube.com/watch?v=vkBzkZ9B5yM</t>
  </si>
  <si>
    <t>https://www.youtube.com/watch?v=oMS0EjCl_Ek</t>
  </si>
  <si>
    <t>https://www.youtube.com/watch?v=sSiMvxoqYZE</t>
  </si>
  <si>
    <t>https://www.youtube.com/watch?v=kYFXO4924cU</t>
  </si>
  <si>
    <t>https://www.youtube.com/watch?v=mZBPREwsQpw</t>
  </si>
  <si>
    <t>https://www.youtube.com/watch?v=rW9EmUWG3oc</t>
  </si>
  <si>
    <t>https://www.youtube.com/watch?v=7b1v7i4KRPs</t>
  </si>
  <si>
    <t>https://www.youtube.com/watch?v=jiOvAIKYcSI</t>
  </si>
  <si>
    <t>https://www.youtube.com/watch?v=Jl1pNiAzL3I</t>
  </si>
  <si>
    <t>https://www.youtube.com/watch?v=u9AN17vglfE</t>
  </si>
  <si>
    <t>https://www.youtube.com/watch?v=kVb4E74Ihcg</t>
  </si>
  <si>
    <t>https://www.youtube.com/watch?v=L42TNcU4KU8</t>
  </si>
  <si>
    <t>https://www.youtube.com/watch?v=b_POvLgDP1o</t>
  </si>
  <si>
    <t>https://www.youtube.com/watch?v=ZEGAQNARgbc</t>
  </si>
  <si>
    <t>https://www.youtube.com/watch?v=2JyC93ZnfWg</t>
  </si>
  <si>
    <t>https://www.youtube.com/watch?v=unA8KsLyp2Y</t>
  </si>
  <si>
    <t>https://www.youtube.com/watch?v=J3uXT8NqbFg</t>
  </si>
  <si>
    <t>https://www.youtube.com/watch?v=NWJ5cOEhBcs</t>
  </si>
  <si>
    <t>https://www.youtube.com/watch?v=2DhAlA34aMs</t>
  </si>
  <si>
    <t>https://www.youtube.com/watch?v=usvRwJjwrlE</t>
  </si>
  <si>
    <t>https://www.youtube.com/watch?v=TcVPy1H66A8</t>
  </si>
  <si>
    <t>https://www.youtube.com/watch?v=G65qK43jixw</t>
  </si>
  <si>
    <t>https://www.youtube.com/watch?v=8ETdEBpBplo</t>
  </si>
  <si>
    <t>https://www.youtube.com/watch?v=Etb_twj8Goo</t>
  </si>
  <si>
    <t>https://www.youtube.com/watch?v=xAmrzAu2szY</t>
  </si>
  <si>
    <t>https://www.youtube.com/watch?v=2bal7MXuQs4</t>
  </si>
  <si>
    <t>https://www.youtube.com/watch?v=vltzGzkiyXs</t>
  </si>
  <si>
    <t>https://www.youtube.com/watch?v=TEt70DEsH_Y</t>
  </si>
  <si>
    <t>https://www.youtube.com/watch?v=94AmBap4yqc</t>
  </si>
  <si>
    <t>https://www.youtube.com/watch?v=tj6jkdiJI2Y</t>
  </si>
  <si>
    <t>https://www.youtube.com/watch?v=vlYClW8-1Bk</t>
  </si>
  <si>
    <t>https://www.youtube.com/watch?v=TzEunLam4xo</t>
  </si>
  <si>
    <t>https://www.youtube.com/watch?v=LsSmcUoZs2s</t>
  </si>
  <si>
    <t>https://www.youtube.com/watch?v=8-WurxcHaSE</t>
  </si>
  <si>
    <t>https://www.youtube.com/watch?v=ZySnjUi2pFI</t>
  </si>
  <si>
    <t>https://www.youtube.com/watch?v=CiFC6AIKPjA</t>
  </si>
  <si>
    <t>https://www.youtube.com/watch?v=e0Wy6ybLtjY</t>
  </si>
  <si>
    <t>https://www.youtube.com/watch?v=bif1x_Xcv24</t>
  </si>
  <si>
    <t>https://www.youtube.com/watch?v=PM7fWcQsnUw</t>
  </si>
  <si>
    <t>https://www.youtube.com/watch?v=0FaI-o1DQrY</t>
  </si>
  <si>
    <t>https://www.youtube.com/watch?v=kLnc_0SRQ-I</t>
  </si>
  <si>
    <t>https://www.youtube.com/watch?v=oRmnNpXBFdw</t>
  </si>
  <si>
    <t>https://www.youtube.com/watch?v=3kh9igqJvIQ</t>
  </si>
  <si>
    <t>https://www.youtube.com/watch?v=k9niro6bf1U</t>
  </si>
  <si>
    <t>https://www.youtube.com/watch?v=ONwax9iCO0U</t>
  </si>
  <si>
    <t>https://www.youtube.com/watch?v=Cwjg6eBBZMo</t>
  </si>
  <si>
    <t>https://www.youtube.com/watch?v=Fjzhe0suUgM</t>
  </si>
  <si>
    <t>https://www.youtube.com/watch?v=cR12p7MeUlA</t>
  </si>
  <si>
    <t>https://www.youtube.com/watch?v=Z5mSr5RAlyc</t>
  </si>
  <si>
    <t>https://www.youtube.com/watch?v=qIXB0br_ctc</t>
  </si>
  <si>
    <t>https://www.youtube.com/watch?v=hpyfVcKI26U</t>
  </si>
  <si>
    <t>https://www.youtube.com/watch?v=BWALkbiwBTw</t>
  </si>
  <si>
    <t>https://www.youtube.com/watch?v=ABHgC4sh2uY</t>
  </si>
  <si>
    <t>https://www.youtube.com/watch?v=h02A4Rcp3RM</t>
  </si>
  <si>
    <t>https://www.youtube.com/watch?v=RgVSWsDBee8</t>
  </si>
  <si>
    <t>https://www.youtube.com/watch?v=e0tLbdOmtm4</t>
  </si>
  <si>
    <t>https://www.youtube.com/watch?v=nktGI5wIkx8</t>
  </si>
  <si>
    <t>https://www.youtube.com/watch?v=9APEZKs_gdw</t>
  </si>
  <si>
    <t>https://www.youtube.com/watch?v=JBgAx8LFAVU</t>
  </si>
  <si>
    <t>https://www.youtube.com/watch?v=vtSjNBXs1h8</t>
  </si>
  <si>
    <t>https://www.youtube.com/watch?v=4LfFg_kLHq4</t>
  </si>
  <si>
    <t>https://www.youtube.com/watch?v=bO_KS85NMyE</t>
  </si>
  <si>
    <t>https://www.youtube.com/watch?v=4tPYE84toRw</t>
  </si>
  <si>
    <t>https://www.youtube.com/watch?v=-yQfvcWxtBA</t>
  </si>
  <si>
    <t>https://www.youtube.com/watch?v=44YVarFD5A8</t>
  </si>
  <si>
    <t>https://www.youtube.com/watch?v=n8Lxe3tdS88</t>
  </si>
  <si>
    <t>https://www.youtube.com/watch?v=QK9GoNofqAE</t>
  </si>
  <si>
    <t>https://www.youtube.com/watch?v=mtMx1XR_eVA</t>
  </si>
  <si>
    <t>https://www.youtube.com/watch?v=1FYGlKuQPaE</t>
  </si>
  <si>
    <t>https://www.youtube.com/watch?v=G-kG0aZxFpA</t>
  </si>
  <si>
    <t>https://www.youtube.com/watch?v=eV6hkAwXonA</t>
  </si>
  <si>
    <t>https://www.youtube.com/watch?v=dWbjPRB7O1w</t>
  </si>
  <si>
    <t>https://www.youtube.com/watch?v=c03aq5W2RIo</t>
  </si>
  <si>
    <t>https://www.youtube.com/watch?v=QK6In6mIcFs</t>
  </si>
  <si>
    <t>https://www.youtube.com/watch?v=F2A3FYBB67o</t>
  </si>
  <si>
    <t>https://www.youtube.com/watch?v=yJdvAzVPNJQ</t>
  </si>
  <si>
    <t>https://www.youtube.com/watch?v=cpsPNa8mB14</t>
  </si>
  <si>
    <t>https://www.youtube.com/watch?v=Wa8wl7xodjU</t>
  </si>
  <si>
    <t>https://www.youtube.com/watch?v=MFOUEI5wN3w</t>
  </si>
  <si>
    <t>https://www.youtube.com/watch?v=QxdY1jl_mbo</t>
  </si>
  <si>
    <t>https://www.youtube.com/watch?v=LmUtuHsHGlU</t>
  </si>
  <si>
    <t>https://www.youtube.com/watch?v=2L3Nkx3CHHE</t>
  </si>
  <si>
    <t>https://www.youtube.com/watch?v=MRL3Ifsl3kE</t>
  </si>
  <si>
    <t>https://www.youtube.com/watch?v=4qqq7qILFS0</t>
  </si>
  <si>
    <t>https://www.youtube.com/watch?v=3UM4mgW5lFc</t>
  </si>
  <si>
    <t>https://www.youtube.com/watch?v=UqyH3j-nhmU</t>
  </si>
  <si>
    <t>https://www.youtube.com/watch?v=_zel1ySV9Lg</t>
  </si>
  <si>
    <t>https://www.youtube.com/watch?v=wtsXEFvqpNo</t>
  </si>
  <si>
    <t>https://www.youtube.com/watch?v=vuFzfGsMjzI</t>
  </si>
  <si>
    <t>https://www.youtube.com/watch?v=wMrfIGvAMIA</t>
  </si>
  <si>
    <t>https://www.youtube.com/watch?v=HJ_OZQ80CS0</t>
  </si>
  <si>
    <t>https://www.youtube.com/watch?v=2_ZD_hlt9aE</t>
  </si>
  <si>
    <t>https://www.youtube.com/watch?v=SQQXOKJYv4M</t>
  </si>
  <si>
    <t>https://www.youtube.com/watch?v=jmVqAKiaUmw</t>
  </si>
  <si>
    <t>https://www.youtube.com/watch?v=0kl0jwsFjQg</t>
  </si>
  <si>
    <t>https://www.youtube.com/watch?v=vaOxPi2bIPA</t>
  </si>
  <si>
    <t>https://www.youtube.com/watch?v=9zhCMVuoNHU</t>
  </si>
  <si>
    <t>https://www.youtube.com/watch?v=R-hUB2gpn2Y</t>
  </si>
  <si>
    <t>https://www.youtube.com/watch?v=JQ0DxtLXOek</t>
  </si>
  <si>
    <t>https://www.youtube.com/watch?v=IkffnCL0BOU</t>
  </si>
  <si>
    <t>https://www.youtube.com/watch?v=0bXFCYOhLRw</t>
  </si>
  <si>
    <t>https://www.youtube.com/watch?v=KVPpDw9q_EY</t>
  </si>
  <si>
    <t>https://www.youtube.com/watch?v=8y4mHMa_GaM</t>
  </si>
  <si>
    <t>https://www.youtube.com/watch?v=lMD9lqxEOdY</t>
  </si>
  <si>
    <t>https://www.youtube.com/watch?v=uE5e-HqpIXs</t>
  </si>
  <si>
    <t>https://www.youtube.com/watch?v=rrN6Wf1xFZs</t>
  </si>
  <si>
    <t>https://www.youtube.com/watch?v=8XP8KdBvGQQ</t>
  </si>
  <si>
    <t>https://www.youtube.com/watch?v=2wwfVdN_R3g</t>
  </si>
  <si>
    <t>https://www.youtube.com/watch?v=lHbYTiVYUoE</t>
  </si>
  <si>
    <t>https://www.youtube.com/watch?v=C9dNLZ8XhTw</t>
  </si>
  <si>
    <t>https://www.youtube.com/watch?v=QOyUsQRly0A</t>
  </si>
  <si>
    <t>https://www.youtube.com/watch?v=bdipK6NtEWs</t>
  </si>
  <si>
    <t>https://www.youtube.com/watch?v=Ecv7pTkrWSY</t>
  </si>
  <si>
    <t>https://www.youtube.com/watch?v=2JHrwn8Zegs</t>
  </si>
  <si>
    <t>https://www.youtube.com/watch?v=sDh87ZVsOzA</t>
  </si>
  <si>
    <t>https://www.youtube.com/watch?v=_oFThiCZqmw</t>
  </si>
  <si>
    <t>https://www.youtube.com/watch?v=ecuHob18VYY</t>
  </si>
  <si>
    <t>https://www.youtube.com/watch?v=ez5pIGVEcSs</t>
  </si>
  <si>
    <t>https://www.youtube.com/watch?v=lBptuQOHTlU</t>
  </si>
  <si>
    <t>https://www.youtube.com/watch?v=GzwGjB13QyQ</t>
  </si>
  <si>
    <t>https://www.youtube.com/watch?v=JDduda_l7QM</t>
  </si>
  <si>
    <t>https://www.youtube.com/watch?v=wQoRNoFS_-k</t>
  </si>
  <si>
    <t>https://www.youtube.com/watch?v=JmV7CgVv69U</t>
  </si>
  <si>
    <t>https://www.youtube.com/watch?v=tYfR4WjESh4</t>
  </si>
  <si>
    <t>https://www.youtube.com/watch?v=SaFivgV85OU</t>
  </si>
  <si>
    <t>https://www.youtube.com/watch?v=B4yUBi6qlPE</t>
  </si>
  <si>
    <t>https://www.youtube.com/watch?v=hYJ1eV0pxzM</t>
  </si>
  <si>
    <t>https://www.youtube.com/watch?v=YVY4vSPc1C0</t>
  </si>
  <si>
    <t>https://www.youtube.com/watch?v=reGIyPPVyyM</t>
  </si>
  <si>
    <t>https://www.youtube.com/watch?v=6lv8LnOMFgI</t>
  </si>
  <si>
    <t>https://www.youtube.com/watch?v=WAPNK80PuOM</t>
  </si>
  <si>
    <t>https://www.youtube.com/watch?v=cYVMWpDDlqY</t>
  </si>
  <si>
    <t>https://www.youtube.com/watch?v=-y5MDGjleA4</t>
  </si>
  <si>
    <t>https://www.youtube.com/watch?v=pDD2leGBXLo</t>
  </si>
  <si>
    <t>https://www.youtube.com/watch?v=PZe14eFmXLs</t>
  </si>
  <si>
    <t>https://www.youtube.com/watch?v=ZLsxKjmTWvU</t>
  </si>
  <si>
    <t>https://www.youtube.com/watch?v=75pS65XwjAU</t>
  </si>
  <si>
    <t>https://www.youtube.com/watch?v=BvRe5YpoFHA</t>
  </si>
  <si>
    <t>https://www.youtube.com/watch?v=dbdoPhG1LKw</t>
  </si>
  <si>
    <t>https://www.youtube.com/watch?v=LRn2qmk1u2Q</t>
  </si>
  <si>
    <t>https://www.youtube.com/watch?v=ha8OsVlw5VM</t>
  </si>
  <si>
    <t>https://www.youtube.com/watch?v=Fr8u-vCj9JY</t>
  </si>
  <si>
    <t>https://www.youtube.com/watch?v=9rqToBR9OL0</t>
  </si>
  <si>
    <t>https://www.youtube.com/watch?v=m02931E7zn4</t>
  </si>
  <si>
    <t>https://www.youtube.com/watch?v=Rsz6KruYK7Q</t>
  </si>
  <si>
    <t>https://www.youtube.com/watch?v=rb24HDWkCnA</t>
  </si>
  <si>
    <t>https://www.youtube.com/watch?v=frPiM5SPG9c</t>
  </si>
  <si>
    <t>https://www.youtube.com/watch?v=os6wOS6G52w</t>
  </si>
  <si>
    <t>https://www.youtube.com/watch?v=gLUqpxttp_M</t>
  </si>
  <si>
    <t>https://www.youtube.com/watch?v=vlZ3Nc9Ubf0</t>
  </si>
  <si>
    <t>https://www.youtube.com/watch?v=ubCNscvnoYI</t>
  </si>
  <si>
    <t>https://www.youtube.com/watch?v=9LVPExAdQtM</t>
  </si>
  <si>
    <t>https://www.youtube.com/watch?v=PNWy5eJfkuc</t>
  </si>
  <si>
    <t>https://www.youtube.com/watch?v=wCMsCF8HMuA</t>
  </si>
  <si>
    <t>https://open.spotify.com/intl-es/track/45hdRERkPk24IlujX4dlXq?si=4544995abc384cf4</t>
  </si>
  <si>
    <t>https://open.spotify.com/intl-es/track/5Fcz0xhDUSg7nUsrjFylAD?si=0d98458416ed4dbd</t>
  </si>
  <si>
    <t>https://open.spotify.com/intl-es/track/6IbstxKB9xS9RuQqDYTMks?si=823f8686723b438c</t>
  </si>
  <si>
    <t>https://open.spotify.com/intl-es/track/61c2KYQwdLDXO8i1jquizI?si=d911c8eb8adc4bb3</t>
  </si>
  <si>
    <t>https://open.spotify.com/intl-es/track/1kITt1STB7aHSkauwzNJCs?si=fb887986370844d7</t>
  </si>
  <si>
    <t>https://open.spotify.com/intl-es/track/1F0uLNlzSh6sN3COwrprqD?si=c753a1de92464054</t>
  </si>
  <si>
    <t>https://open.spotify.com/intl-es/track/5qspUpcBqHzdozbLPrCSFZ?si=7849e67df0ac418f</t>
  </si>
  <si>
    <t>https://open.spotify.com/intl-es/track/0iEwaEXoK5F9G01lCuIsg3?si=0e8a1509bc20468c</t>
  </si>
  <si>
    <t>https://open.spotify.com/intl-es/track/0e4gJvX84bIefNwMWLoCAX?si=80b816c7eb584408</t>
  </si>
  <si>
    <t>https://open.spotify.com/intl-es/track/4uJP6RGSfzBkoXfm8CACfz?si=73a58ca5c1414e95</t>
  </si>
  <si>
    <t>https://open.spotify.com/intl-es/track/52o5a93tqtQVT8H1mVa3rs?si=237aaccb37f94b68</t>
  </si>
  <si>
    <t>https://open.spotify.com/intl-es/track/1AiP0ESlQhVMuzxXpsmcyp?si=291920fa66fa4318</t>
  </si>
  <si>
    <t>https://open.spotify.com/intl-es/track/4804HkPmQkwCH2kF3kwhg6?si=eb80aaa66dfa442b</t>
  </si>
  <si>
    <t>https://open.spotify.com/intl-es/track/5Bbi2OqBscgsb9GLPPvIeY?si=e179971c09254637</t>
  </si>
  <si>
    <t>https://open.spotify.com/intl-es/track/2bC2Iiuh9dsOg1VG9bOGVk?si=af7c8eea8e734cf9</t>
  </si>
  <si>
    <t>https://open.spotify.com/intl-es/track/6kV3XfTXXeTlu088nmtjHn?si=d6b8aeceea86417b</t>
  </si>
  <si>
    <t>https://open.spotify.com/intl-es/track/5sBvTtLJDKXUF0KadT1rKd?si=90aa0d87eb7d4492</t>
  </si>
  <si>
    <t>https://open.spotify.com/intl-es/track/7eC1exbRtDsvs1yHSPl1tM?si=088ffd5a6fb1499f</t>
  </si>
  <si>
    <t>https://open.spotify.com/intl-es/track/3Rbt9FAwOSM7zT8gEvXDQF?si=dbac8866a77b4fe9</t>
  </si>
  <si>
    <t>https://open.spotify.com/intl-es/track/3xbEsRidrWC5c3pMViSFJa?si=58e2fda79a4f43ef</t>
  </si>
  <si>
    <t>https://open.spotify.com/intl-es/track/6HqlZFyiOZN8P7oyumwmDz?si=c050e3a4f06b417d</t>
  </si>
  <si>
    <t>https://open.spotify.com/intl-es/track/62lc6MaGErWI1amP96JSlh?si=b505d0203a37492e</t>
  </si>
  <si>
    <t>https://open.spotify.com/intl-es/track/4OoVaD7BKohRJsia101fQ1?si=fb4a693f9fdb4f65</t>
  </si>
  <si>
    <t>https://open.spotify.com/intl-es/track/3xOXxHhp0A7jhI1p8fynpD?si=60e9e30ae8994eff</t>
  </si>
  <si>
    <t>https://open.spotify.com/intl-es/track/2whB5hr2rwWUx5muRQbENl?si=f7b48634c5094fc6</t>
  </si>
  <si>
    <t>https://open.spotify.com/intl-es/track/7HmbcncwspOoj4ye48NTUX?si=96dfc4d12d734322</t>
  </si>
  <si>
    <t>https://open.spotify.com/intl-es/track/4FMooDZOIpW38Ujj1cJdQF?si=0b9493b8a0b44d1e</t>
  </si>
  <si>
    <t>https://open.spotify.com/intl-es/track/3qyzsR8y6ZqP1iRwxP5vpB?si=f88ceaba5dc447e9</t>
  </si>
  <si>
    <t>Hechas con link</t>
  </si>
  <si>
    <t>Hechas sin link</t>
  </si>
  <si>
    <t>Escucha, Señor</t>
  </si>
  <si>
    <t>https://www.youtube.com/watch?v=jzE9G65V3uM</t>
  </si>
  <si>
    <t>https://www.youtube.com/watch?v=YUSJ1gsqMYk</t>
  </si>
  <si>
    <t>https://www.youtube.com/watch?v=ye1JDzKI0AI</t>
  </si>
  <si>
    <t>https://www.youtube.com/watch?v=k3Bi49pML-w</t>
  </si>
  <si>
    <t>https://www.youtube.com/watch?v=1VO3vBJV-HU</t>
  </si>
  <si>
    <t>https://www.youtube.com/watch?v=rL6gg12eE98</t>
  </si>
  <si>
    <t>https://www.youtube.com/watch?v=51seIPuZr2I</t>
  </si>
  <si>
    <t>https://www.youtube.com/watch?v=y99Dt-hY3ZY</t>
  </si>
  <si>
    <t>https://www.youtube.com/watch?v=1iS5gE68JCc</t>
  </si>
  <si>
    <t>https://www.youtube.com/watch?v=1xzvehe-ahE</t>
  </si>
  <si>
    <t>https://www.youtube.com/watch?v=7CuAQHo-k-k</t>
  </si>
  <si>
    <t>https://www.youtube.com/watch?v=sgHZUaaDHc8</t>
  </si>
  <si>
    <t>https://www.youtube.com/watch?v=Clg4KBXpWRw</t>
  </si>
  <si>
    <t>https://www.youtube.com/watch?v=ZIQNeRw6Evw</t>
  </si>
  <si>
    <t>Bendecid al Señor, proclamad su amor</t>
  </si>
  <si>
    <t>https://www.youtube.com/watch?v=nQjn4RpTiEo</t>
  </si>
  <si>
    <t>https://www.youtube.com/watch?v=8sutqVrdbHE</t>
  </si>
  <si>
    <t>https://www.youtube.com/watch?v=ycxrKgHVqiE</t>
  </si>
  <si>
    <t>https://www.youtube.com/watch?v=NpVc6nGwuz0</t>
  </si>
  <si>
    <t>https://www.youtube.com/watch?v=6g_R6fNOmNo</t>
  </si>
  <si>
    <t>https://www.youtube.com/watch?v=zDGYchYL5is</t>
  </si>
  <si>
    <t>https://www.youtube.com/watch?v=t8P6eg12GDY</t>
  </si>
  <si>
    <t>https://www.youtube.com/watch?v=3YeyAI09Elg</t>
  </si>
  <si>
    <t>https://www.youtube.com/watch?v=F2hAv7cSEf4</t>
  </si>
  <si>
    <t>https://www.youtube.com/watch?v=7i-woateYWY</t>
  </si>
  <si>
    <t>https://www.youtube.com/watch?v=4nj2ZWMp9GU</t>
  </si>
  <si>
    <t>https://www.youtube.com/watch?v=pogsTHrqkxU</t>
  </si>
  <si>
    <t>https://www.youtube.com/watch?v=UAUvFhJqWLM</t>
  </si>
  <si>
    <t>https://www.youtube.com/watch?v=4UrsQiB2h-8</t>
  </si>
  <si>
    <t>https://www.youtube.com/watch?v=f3lPKj3FytI</t>
  </si>
  <si>
    <t>https://www.youtube.com/watch?v=7YWd9Xp6g3w</t>
  </si>
  <si>
    <t>https://www.youtube.com/watch?v=i3OXfZ24gwY</t>
  </si>
  <si>
    <t>https://www.youtube.com/watch?v=c8sHx3sTdqA</t>
  </si>
  <si>
    <t>https://www.youtube.com/watch?v=Yncstu1OEk4</t>
  </si>
  <si>
    <t>https://www.youtube.com/watch?v=omOmEEMbohE</t>
  </si>
  <si>
    <t>https://www.youtube.com/watch?v=if3U2fFvnQI</t>
  </si>
  <si>
    <t>https://www.youtube.com/watch?v=Z7up0Vku2Ys</t>
  </si>
  <si>
    <t>https://www.youtube.com/watch?v=h2km26Tghac</t>
  </si>
  <si>
    <t>https://www.youtube.com/watch?v=CqWvZ_X5kqk</t>
  </si>
  <si>
    <t>https://www.youtube.com/watch?v=qvuS9PuT0fY</t>
  </si>
  <si>
    <t>https://www.youtube.com/watch?v=WLgpsePLddQ</t>
  </si>
  <si>
    <t>https://www.youtube.com/watch?v=p2vJ0AkQq58</t>
  </si>
  <si>
    <t>https://www.youtube.com/watch?v=hVch5BD4ZbY</t>
  </si>
  <si>
    <t>https://www.youtube.com/watch?v=RII6STqpNG0</t>
  </si>
  <si>
    <t>https://www.youtube.com/watch?v=E3yopgS8Y40</t>
  </si>
  <si>
    <t>https://www.youtube.com/watch?v=9n_qgN58_Pk</t>
  </si>
  <si>
    <t>https://www.youtube.com/watch?v=04NVt3acr6s</t>
  </si>
  <si>
    <t>https://www.youtube.com/watch?v=JFwjv-xY-Mw</t>
  </si>
  <si>
    <t>https://www.youtube.com/watch?v=U2UIr2XOcW4</t>
  </si>
  <si>
    <t>https://www.youtube.com/watch?v=F-J8uey3OQs</t>
  </si>
  <si>
    <t>https://www.youtube.com/watch?v=p3KxOnwly-s</t>
  </si>
  <si>
    <t>https://www.youtube.com/watch?v=MCA1U_Jz2U8</t>
  </si>
  <si>
    <t>https://www.youtube.com/watch?v=Pa5iR9BwNko</t>
  </si>
  <si>
    <t>https://www.youtube.com/watch?v=ucGpxmL4UNI</t>
  </si>
  <si>
    <t>https://www.youtube.com/watch?v=l5szV3_nYq4</t>
  </si>
  <si>
    <t>https://www.youtube.com/watch?v=A9XrlEGNcBY</t>
  </si>
  <si>
    <t>https://www.youtube.com/watch?v=sr5WqYk4GxM</t>
  </si>
  <si>
    <t>https://www.youtube.com/watch?v=1sd9wQKZNQw</t>
  </si>
  <si>
    <t>https://www.youtube.com/watch?v=GB2dK8cphAc</t>
  </si>
  <si>
    <t>https://www.youtube.com/watch?v=VaUhMm4fo7U</t>
  </si>
  <si>
    <t>https://www.youtube.com/watch?v=jsVOS_fEQns</t>
  </si>
  <si>
    <t>https://www.youtube.com/watch?v=DmEKZL8xxHA</t>
  </si>
  <si>
    <t>https://www.youtube.com/watch?v=FG74aDT1B78</t>
  </si>
  <si>
    <t>https://www.youtube.com/watch?v=KUvMNJ0u0kE</t>
  </si>
  <si>
    <t>https://www.youtube.com/watch?v=57Iz4l5TRrU</t>
  </si>
  <si>
    <t>https://www.youtube.com/watch?v=NjxWix9JXRc</t>
  </si>
  <si>
    <t>https://www.youtube.com/watch?v=Vn9ighQoo7A</t>
  </si>
  <si>
    <t>https://www.youtube.com/watch?v=tr3XrswwoNk</t>
  </si>
  <si>
    <t>https://www.youtube.com/watch?v=Q0T9NrWxbd8</t>
  </si>
  <si>
    <t>https://www.youtube.com/watch?v=essw1fppwDY</t>
  </si>
  <si>
    <t>https://www.youtube.com/watch?v=XSS8VwOlhno</t>
  </si>
  <si>
    <t>https://www.youtube.com/watch?v=0a3RrZJOsqY</t>
  </si>
  <si>
    <t>https://www.youtube.com/watch?v=Fcug9JfTMnw</t>
  </si>
  <si>
    <t>https://www.youtube.com/watch?v=K63ellFKbFA</t>
  </si>
  <si>
    <t>https://www.youtube.com/watch?v=CBEhUL5vyc8</t>
  </si>
  <si>
    <t>https://www.youtube.com/watch?v=sPTgKhS4IkI</t>
  </si>
  <si>
    <t>https://www.youtube.com/watch?v=H_Mc--VmCHQ</t>
  </si>
  <si>
    <t>https://www.youtube.com/watch?v=1B4xRtUj6Vg</t>
  </si>
  <si>
    <t>https://www.youtube.com/watch?v=faAcS5uS_6I</t>
  </si>
  <si>
    <t>https://www.youtube.com/watch?v=GvH7tLV37X4</t>
  </si>
  <si>
    <t>https://www.youtube.com/watch?v=myfcAQyd3z8</t>
  </si>
  <si>
    <t>https://www.youtube.com/watch?v=ncuAoDXMGoc</t>
  </si>
  <si>
    <t>https://www.youtube.com/watch?v=XtUWmCv3dNs</t>
  </si>
  <si>
    <t>https://www.youtube.com/watch?v=z9cOGxgU5wk</t>
  </si>
  <si>
    <t>https://www.youtube.com/watch?v=cuOU6ExQgjQ</t>
  </si>
  <si>
    <t>https://www.youtube.com/watch?v=7wBtBjYhVeI</t>
  </si>
  <si>
    <t>https://www.youtube.com/watch?v=wCe1Z_eFnn0</t>
  </si>
  <si>
    <t>https://www.youtube.com/watch?v=w7WooBzGaWQ</t>
  </si>
  <si>
    <t>https://www.youtube.com/watch?v=ZDZDhfoSjPs</t>
  </si>
  <si>
    <t>https://www.youtube.com/watch?v=R3fAEFB---w</t>
  </si>
  <si>
    <t>https://www.youtube.com/watch?v=EdObwcO2lpE</t>
  </si>
  <si>
    <t>https://www.youtube.com/watch?v=DqMSVnUUJD8</t>
  </si>
  <si>
    <t>https://www.youtube.com/watch?v=m8mhmmelotI</t>
  </si>
  <si>
    <t>https://www.youtube.com/watch?v=Y9wRUHUQmtM</t>
  </si>
  <si>
    <t>https://www.youtube.com/watch?v=yt5vcTT-p-c</t>
  </si>
  <si>
    <t>https://www.youtube.com/watch?v=3mX_KXHG654</t>
  </si>
  <si>
    <t>https://www.youtube.com/watch?v=TQlQi2AHvzQ</t>
  </si>
  <si>
    <t>https://www.youtube.com/watch?v=4ntcNU8rYkA</t>
  </si>
  <si>
    <t>https://www.youtube.com/watch?v=T4RfyEdxNBY</t>
  </si>
  <si>
    <t>https://www.youtube.com/watch?v=TlP4FNMFlrU</t>
  </si>
  <si>
    <t>https://www.youtube.com/watch?v=0jA_HUMcsu0</t>
  </si>
  <si>
    <t>https://www.youtube.com/watch?v=KoGjWsmYOGk</t>
  </si>
  <si>
    <t>https://www.youtube.com/watch?v=QKjhW4oaIrA</t>
  </si>
  <si>
    <t>https://www.youtube.com/watch?v=2m3sI-6SyMg</t>
  </si>
  <si>
    <t>https://www.youtube.com/watch?v=aAvA20UfjO4</t>
  </si>
  <si>
    <t>https://www.youtube.com/watch?v=bULIGsnw4mM</t>
  </si>
  <si>
    <t>https://www.youtube.com/watch?v=owXLVlK6UbY</t>
  </si>
  <si>
    <t>https://www.youtube.com/watch?v=q6mlU-y8VMc</t>
  </si>
  <si>
    <t>https://www.youtube.com/watch?v=XMW4yOvm3Kk</t>
  </si>
  <si>
    <t>https://www.youtube.com/watch?v=PmFkVg2OF0o</t>
  </si>
  <si>
    <t>https://www.youtube.com/watch?v=vILPEFlhGtM</t>
  </si>
  <si>
    <t>https://www.youtube.com/watch?v=avWWebsy_fg</t>
  </si>
  <si>
    <t>https://www.youtube.com/watch?v=gFiTLiFIC_g</t>
  </si>
  <si>
    <t>https://www.youtube.com/watch?v=KFnzG3tH2q0</t>
  </si>
  <si>
    <t>https://www.youtube.com/watch?v=nhsCBGwQ07M</t>
  </si>
  <si>
    <t>https://www.youtube.com/watch?v=osze-c7wvC4</t>
  </si>
  <si>
    <t>https://www.youtube.com/watch?v=zZOhUSdKCDA</t>
  </si>
  <si>
    <t>https://www.youtube.com/watch?v=g659Ssh5Rvk</t>
  </si>
  <si>
    <t>https://www.youtube.com/watch?v=wd4Ymh-lE6E</t>
  </si>
  <si>
    <t>https://www.youtube.com/watch?v=sxGnfJq8oIY</t>
  </si>
  <si>
    <t>https://www.youtube.com/watch?v=8O9zFr7y77A</t>
  </si>
  <si>
    <t>https://www.youtube.com/watch?v=pxOlXWBCT-g</t>
  </si>
  <si>
    <t>https://www.youtube.com/watch?v=hJv-oTKFA7o</t>
  </si>
  <si>
    <t>https://www.youtube.com/watch?v=c4RyIW0bDp0</t>
  </si>
  <si>
    <t>https://www.youtube.com/watch?v=lPX674Wuk3w</t>
  </si>
  <si>
    <t>https://www.youtube.com/watch?v=bYuB0GiFeB8</t>
  </si>
  <si>
    <t>https://www.youtube.com/watch?v=gbgN4ZrzV2U</t>
  </si>
  <si>
    <t>https://www.youtube.com/watch?v=aVlNChN4pFI</t>
  </si>
  <si>
    <t>https://www.youtube.com/watch?v=epPas0k9yBo</t>
  </si>
  <si>
    <t>https://www.youtube.com/watch?v=ljHynM0-OuQ</t>
  </si>
  <si>
    <t>https://www.youtube.com/watch?v=VY95PK8f-DY</t>
  </si>
  <si>
    <t>https://www.youtube.com/watch?v=WtNo-RjmcBM</t>
  </si>
  <si>
    <t>https://www.youtube.com/watch?v=VLS6ony07Nk</t>
  </si>
  <si>
    <t>https://www.youtube.com/watch?v=wsPIcCKJFDA</t>
  </si>
  <si>
    <t>https://www.youtube.com/watch?v=TUzfRLO_Nes</t>
  </si>
  <si>
    <t>https://www.youtube.com/watch?v=-Dct2_m5GnQ</t>
  </si>
  <si>
    <t>https://www.youtube.com/watch?v=Y6X_6_oivHM</t>
  </si>
  <si>
    <t>https://www.youtube.com/watch?v=KrkwEZjYiE4</t>
  </si>
  <si>
    <t>https://www.youtube.com/watch?v=hGT1-iaMO3I</t>
  </si>
  <si>
    <t>https://www.youtube.com/watch?v=nXhvAn69x4A</t>
  </si>
  <si>
    <t>https://www.youtube.com/watch?v=gCqcDUT8b8k</t>
  </si>
  <si>
    <t>https://www.youtube.com/watch?v=X-1cBXSuJv4</t>
  </si>
  <si>
    <t>https://www.youtube.com/watch?v=uL_-6eG4Gts</t>
  </si>
  <si>
    <t>https://www.youtube.com/watch?v=sTgTt78-lRA</t>
  </si>
  <si>
    <t>https://www.youtube.com/watch?v=B7RjgdWWhAA</t>
  </si>
  <si>
    <t>https://www.youtube.com/watch?v=f_f6yUgCHqA</t>
  </si>
  <si>
    <t>https://www.youtube.com/watch?v=S_-1D4492Ec</t>
  </si>
  <si>
    <t>https://www.youtube.com/watch?v=n-VtzSIlgdo</t>
  </si>
  <si>
    <t>https://www.youtube.com/watch?v=1PbEyr1PQAw</t>
  </si>
  <si>
    <t>https://www.youtube.com/watch?v=9dWgy79NBHc</t>
  </si>
  <si>
    <t>https://www.youtube.com/watch?v=NgtvajcOb8c</t>
  </si>
  <si>
    <t>https://www.youtube.com/watch?v=kCUp2TAmvHI</t>
  </si>
  <si>
    <t>https://www.youtube.com/watch?v=9Nk6k0xFjiY</t>
  </si>
  <si>
    <t>https://www.youtube.com/watch?v=fikgAIg5M2U</t>
  </si>
  <si>
    <t>https://www.youtube.com/watch?v=KQz1IBqrdDU</t>
  </si>
  <si>
    <t>https://www.youtube.com/watch?v=ytapsgp6tEY</t>
  </si>
  <si>
    <t>https://www.youtube.com/watch?v=_xaaNbGe70g</t>
  </si>
  <si>
    <t>https://www.youtube.com/watch?v=ZWynTIKr1XQ</t>
  </si>
  <si>
    <t>https://www.youtube.com/watch?v=b-to-m7Emeo</t>
  </si>
  <si>
    <t>https://www.youtube.com/watch?v=B7fdgJ_6Y7M</t>
  </si>
  <si>
    <t>https://www.youtube.com/watch?v=otD_GSHLHgk</t>
  </si>
  <si>
    <t>https://www.youtube.com/watch?v=3IJ08pHIEqE</t>
  </si>
  <si>
    <t>https://www.youtube.com/watch?v=-tztpCSrBUE</t>
  </si>
  <si>
    <t>https://www.youtube.com/watch?v=r3pAMvCBxV0</t>
  </si>
  <si>
    <t>https://www.youtube.com/watch?v=rqqVJpf1IWo</t>
  </si>
  <si>
    <t>https://www.youtube.com/watch?v=pDLbgQx6h14</t>
  </si>
  <si>
    <t>https://www.youtube.com/watch?v=vlVkqSIh1Dc</t>
  </si>
  <si>
    <t>https://www.youtube.com/watch?v=uPNurLI48FA</t>
  </si>
  <si>
    <t>https://www.youtube.com/watch?v=J3cob5AYHWs</t>
  </si>
  <si>
    <t>https://www.youtube.com/watch?v=okemNDjxZh8</t>
  </si>
  <si>
    <t>https://www.youtube.com/watch?v=7iAPSmtCLRQ</t>
  </si>
  <si>
    <t>https://www.youtube.com/watch?v=BMZInnJ40pE</t>
  </si>
  <si>
    <t>https://www.youtube.com/watch?v=2VUAY9lxP20</t>
  </si>
  <si>
    <t>https://www.youtube.com/watch?v=X45U3_mdzyU</t>
  </si>
  <si>
    <t>https://www.youtube.com/watch?v=a3ZPdtmoS4U</t>
  </si>
  <si>
    <t>Dios con nosotros</t>
  </si>
  <si>
    <t>Karen Lafferty</t>
  </si>
  <si>
    <t>La fuerza del Espíritu</t>
  </si>
  <si>
    <t>https://www.mercaba.org/Musica/Cesareo%20Gabarain/La%20Fuerza%20del%20Espiritu/07%20-%20Creo%20en%20Dios%20Amor.mp3</t>
  </si>
  <si>
    <t>https://www.mercaba.org/Musica/Cesareo%20Gabarain/Al%20Atardecer%20de%20la%20Vida/01%20-%20Al%20atardecer%20de%20la%20vida.mp3</t>
  </si>
  <si>
    <t>https://www.mercaba.org/Musica/Cesareo%20Gabarain/Dios%20con%20Nosotros/07%20-%20Si%20vienes%20conmigo.mp3</t>
  </si>
  <si>
    <t>https://www.mercaba.org/Musica/Cesareo%20Gabarain/La%20Fuerza%20del%20Espiritu/02%20-%20A%20donde%20voy.mp3</t>
  </si>
  <si>
    <t>Jesús nuestro amigo</t>
  </si>
  <si>
    <t>https://www.mercaba.org/Musica/Cesareo%20Gabarain/Jesus%20Nuestro%20Amigo/03%20-%20Cristo%20te%20necesita.mp3</t>
  </si>
  <si>
    <t>https://www.mercaba.org/Musica/Cesareo%20Gabarain/La%20Fuerza%20del%20Espiritu/08%20-%20Siempre%20es%20Pentecost%C3%A9s.mp3</t>
  </si>
  <si>
    <t>https://www.mercaba.org/Musica/Cesareo%20Gabarain/Lampara%20de%20Barro/05%20dios%20es%20amor.mp3</t>
  </si>
  <si>
    <t>Lámpara de barro</t>
  </si>
  <si>
    <t>https://www.mercaba.org/Musica/Cesareo%20Gabarain/Liturgia%20y%20Cancion/15%20el%20ni%C3%B1o%20dios.mp3</t>
  </si>
  <si>
    <t>Liturgia y canción</t>
  </si>
  <si>
    <t>https://www.mercaba.org/Musica/Cesareo%20Gabarain/Eres%20Tu%20Maria/02%20-%20En%20el%20trabajo.mp3</t>
  </si>
  <si>
    <t>Eres tú, María</t>
  </si>
  <si>
    <t>https://www.mercaba.org/Musica/Cesareo%20Gabarain/La%20Fuerza%20del%20Espiritu/04%20-%20Dichoso%20el%20que%20ama.mp3</t>
  </si>
  <si>
    <t>https://www.mercaba.org/Musica/Cesareo%20Gabarain/Liturgia%20y%20Cancion/01%20esperando.mp3</t>
  </si>
  <si>
    <t>https://www.mercaba.org/Musica/Cesareo%20Gabarain/La%20Fuerza%20del%20Espiritu/06%20-%20Iglesia%20somos.mp3</t>
  </si>
  <si>
    <t>https://www.mercaba.org/Musica/Cesareo%20Gabarain/Ven%20Se%C3%B1or/02%20juntos%20como%20hermanos.mp3</t>
  </si>
  <si>
    <t>https://www.mercaba.org/Musica/Cesareo%20Gabarain/La%20Misa%20es%20una%20Fiesta/01%20la%20misa%20es%20una%20fiesta.mp3</t>
  </si>
  <si>
    <t>https://www.mercaba.org/Musica/Cesareo%20Gabarain/La%20Misa%20es%20una%20Fiesta/14%20la%20misa%20no%20termina.mp3</t>
  </si>
  <si>
    <t>https://www.mercaba.org/Musica/Cesareo%20Gabarain/Lampara%20de%20Barro/01%20solo%20el%20amor.mp3</t>
  </si>
  <si>
    <t>https://www.mercaba.org/Musica/Cesareo%20Gabarain/Dios%20con%20Nosotros/01%20-%20%C3%89xodo%20y%20liberaci%C3%B3n.mp3</t>
  </si>
  <si>
    <t>https://www.mercaba.org/Musica/Cesareo%20Gabarain/Dios%20con%20Nosotros/08%20-%20Pescador%20de%20hombres.mp3</t>
  </si>
  <si>
    <t>https://www.youtube.com/watch?v=IqsichcD4c0</t>
  </si>
  <si>
    <t>https://www.mercaba.org/Musica/Cesareo%20Gabarain/Al%20Atardecer%20de%20la%20Vida/14%20-%20La%20Bienaventuranzas.mp3</t>
  </si>
  <si>
    <t>https://www.youtube.com/watch?v=KZ6ZjyyZNLE</t>
  </si>
  <si>
    <t>https://www.mercaba.org/Musica/Cesareo%20Gabarain/Dios%20con%20Nosotros/09%20-%20Iglesia%20peregrina.mp3</t>
  </si>
  <si>
    <t>https://www.mercaba.org/Musica/Cesareo%20Gabarain/aclamaciones%20para%20la%20celebracion,%20gabarain%20(m)/02%20se%C3%B1or%20ten%20piedad.mp3</t>
  </si>
  <si>
    <t>https://www.mercaba.org/Musica/Cesareo%20Gabarain/La%20Misa%20es%20una%20Fiesta/02%20se%C3%B1or%20ten%20piedad.mp3</t>
  </si>
  <si>
    <t>https://www.mercaba.org/Musica/Cesareo%20Gabarain/La%20Misa%20es%20una%20Fiesta/08%20un%20ni%C3%B1o%20se%20te%20acerco.mp3</t>
  </si>
  <si>
    <t>https://www.mercaba.org/Musica/Cesareo%20Gabarain/Liturgia%20y%20Cancion/07%20una%20espiga.mp3</t>
  </si>
  <si>
    <t>https://www.mercaba.org/Musica/Cesareo%20Gabarain/Liturgia%20y%20Cancion/06%20nueva%20vida.mp3</t>
  </si>
  <si>
    <t>https://www.mercaba.org/Musica/Cesareo%20Gabarain/Jesus%20Nuestro%20Amigo/02%20-%20Vienen%20con%20alegr%C3%ADa.mp3</t>
  </si>
  <si>
    <t>https://www.mercaba.org/Musica/Cesareo%20Gabarain/La%20Misa%20es%20una%20Fiesta/17%20yo%20confio%20en%20ti.mp3</t>
  </si>
  <si>
    <t>https://www.mercaba.org/Musica/Cesareo%20Gabarain/Dios%20Hombre%20Mundo/08%20-%20Canci%C3%B3n%20del%20astronauta.mp3</t>
  </si>
  <si>
    <t>Dios, hombre, mundo</t>
  </si>
  <si>
    <t>https://www.mercaba.org/Musica/Cesareo%20Gabarain/Jesus%20Nuestro%20Amigo/06%20-%20Jes%C3%BAs%20nuestro%20amigo.mp3</t>
  </si>
  <si>
    <t>https://www.mercaba.org/Musica/Cesareo%20Gabarain/La%20Misa%20es%20una%20Fiesta/04%20ense%C3%B1ame%20se%C3%B1or.mp3</t>
  </si>
  <si>
    <t>https://www.mercaba.org/Musica/Cesareo%20Gabarain/La%20Misa%20es%20una%20Fiesta/05%20ojala%20escuchesis%20hoy%20su%20voz.mp3</t>
  </si>
  <si>
    <t>https://www.mercaba.org/Musica/Cesareo%20Gabarain/La%20Misa%20es%20una%20Fiesta/06%20haz%20se%C3%B1or.mp3</t>
  </si>
  <si>
    <t>https://www.mercaba.org/Musica/Cesareo%20Gabarain/aclamaciones%20para%20la%20celebracion,%20gabarain%20(m)/01%20porque%20nos%20invitas.mp3</t>
  </si>
  <si>
    <t>https://www.mercaba.org/Musica/Cesareo%20Gabarain/aclamaciones%20para%20la%20celebracion,%20gabarain%20(m)/03%20gloria.mp3</t>
  </si>
  <si>
    <t>https://www.mercaba.org/Musica/Cesareo%20Gabarain/aclamaciones%20para%20la%20celebracion,%20gabarain%20(m)/04%20salmo%20responsorial%20adviento.mp3</t>
  </si>
  <si>
    <t>https://www.mercaba.org/Musica/Cesareo%20Gabarain/aclamaciones%20para%20la%20celebracion,%20gabarain%20(m)/05%20salmo%20responsorial%20cuaresma.mp3</t>
  </si>
  <si>
    <t>https://www.mercaba.org/Musica/Cesareo%20Gabarain/aclamaciones%20para%20la%20celebracion,%20gabarain%20(m)/06%20salmo%20responsorial%20pascua.mp3</t>
  </si>
  <si>
    <t>https://www.mercaba.org/Musica/Cesareo%20Gabarain/aclamaciones%20para%20la%20celebracion,%20gabarain%20(m)/07%20salmo%20responsorial%20pentecostes.mp3</t>
  </si>
  <si>
    <t>https://www.mercaba.org/Musica/Cesareo%20Gabarain/aclamaciones%20para%20la%20celebracion,%20gabarain%20(m)/08%20antes%20del%20evangelio%2001.mp3</t>
  </si>
  <si>
    <t>https://www.mercaba.org/Musica/Cesareo%20Gabarain/aclamaciones%20para%20la%20celebracion,%20gabarain%20(m)/09%20antes%20del%20evangelio%2002.mp3</t>
  </si>
  <si>
    <t>https://www.mercaba.org/Musica/Cesareo%20Gabarain/aclamaciones%20para%20la%20celebracion,%20gabarain%20(m)/10%20despues%20del%20evangelio%2001.mp3</t>
  </si>
  <si>
    <t>https://www.mercaba.org/Musica/Cesareo%20Gabarain/aclamaciones%20para%20la%20celebracion,%20gabarain%20(m)/11%20despues%20del%20evangelio%2002.mp3</t>
  </si>
  <si>
    <t>https://www.mercaba.org/Musica/Cesareo%20Gabarain/aclamaciones%20para%20la%20celebracion,%20gabarain%20(m)/12%20despues%20de%20la%20consagracion%2001.mp3</t>
  </si>
  <si>
    <t>https://www.mercaba.org/Musica/Cesareo%20Gabarain/aclamaciones%20para%20la%20celebracion,%20gabarain%20(m)/13%20despues%20de%20la%20consagracion%2002.mp3</t>
  </si>
  <si>
    <t>https://www.mercaba.org/Musica/Cesareo%20Gabarain/aclamaciones%20para%20la%20celebracion,%20gabarain%20(m)/14%20por%20cristo.mp3</t>
  </si>
  <si>
    <t>https://www.mercaba.org/Musica/Cesareo%20Gabarain/aclamaciones%20para%20la%20celebracion,%20gabarain%20(m)/15%20por%20cristo.mp3</t>
  </si>
  <si>
    <t>https://www.mercaba.org/Musica/Cesareo%20Gabarain/aclamaciones%20para%20la%20celebracion,%20gabarain%20(m)/16%20cordero%20de%20dios.mp3</t>
  </si>
  <si>
    <t>https://www.mercaba.org/Musica/Cesareo%20Gabarain/aclamaciones%20para%20la%20celebracion,%20gabarain%20(m)/17%20aclamacion%20adviento.mp3</t>
  </si>
  <si>
    <t>https://www.mercaba.org/Musica/Cesareo%20Gabarain/aclamaciones%20para%20la%20celebracion,%20gabarain%20(m)/18%20aclamacion%20navidad.mp3</t>
  </si>
  <si>
    <t>https://www.mercaba.org/Musica/Cesareo%20Gabarain/aclamaciones%20para%20la%20celebracion,%20gabarain%20(m)/19%20aclamacion%20cuaresma.mp3</t>
  </si>
  <si>
    <t>https://www.mercaba.org/Musica/Cesareo%20Gabarain/aclamaciones%20para%20la%20celebracion,%20gabarain%20(m)/20%20aclamacion%20pascua.mp3</t>
  </si>
  <si>
    <t>Aclamaciones para la celebración eucarística</t>
  </si>
  <si>
    <t>Porque nos invitas</t>
  </si>
  <si>
    <t>Hacia ti, morada santa</t>
  </si>
  <si>
    <t>https://www.youtube.com/watch?v=VqCekCOZdcc</t>
  </si>
  <si>
    <t>Concédele, Señor, el descanso eterno</t>
  </si>
  <si>
    <t>Que los ángeles te lleven</t>
  </si>
  <si>
    <t>Morimos para vivir</t>
  </si>
  <si>
    <t>Abridme las puertas del triunfo</t>
  </si>
  <si>
    <t>No he de morir, viviré</t>
  </si>
  <si>
    <t>Yo soy el pan de la vida</t>
  </si>
  <si>
    <t>Yo soy la resurrección y la vida</t>
  </si>
  <si>
    <t>El descanso eterno</t>
  </si>
  <si>
    <t>Vive con Cristo</t>
  </si>
  <si>
    <t>En los brazos de Dios</t>
  </si>
  <si>
    <t>https://www.mercaba.org/Musica/Cesareo%20Gabarain/Al%20Atardecer%20de%20la%20Vida/02%20-%20Conc%C3%A9dele%20Se%C3%B1or,%20el%20descanso%20eterno.mp3</t>
  </si>
  <si>
    <t>https://www.mercaba.org/Musica/Cesareo%20Gabarain/Al%20Atardecer%20de%20la%20Vida/03%20-%20Que%20los%20%C3%A1ngeles%20te%20lleven.mp3</t>
  </si>
  <si>
    <t>https://www.mercaba.org/Musica/Cesareo%20Gabarain/Al%20Atardecer%20de%20la%20Vida/04%20-%20Morimos%20para%20vivir.mp3</t>
  </si>
  <si>
    <t>https://www.mercaba.org/Musica/Cesareo%20Gabarain/Al%20Atardecer%20de%20la%20Vida/05%20-%20Abridme%20las%20puertas%20del%20triunfo.mp3</t>
  </si>
  <si>
    <t>https://www.mercaba.org/Musica/Cesareo%20Gabarain/Al%20Atardecer%20de%20la%20Vida/06%20-%20No%20he%20de%20morir,vivir%C3%A9.mp3</t>
  </si>
  <si>
    <t>https://www.mercaba.org/Musica/Cesareo%20Gabarain/Al%20Atardecer%20de%20la%20Vida/07%20-%20Yo%20soy%20el%20pan%20de%20la%20vida.mp3</t>
  </si>
  <si>
    <t>https://www.mercaba.org/Musica/Cesareo%20Gabarain/Al%20Atardecer%20de%20la%20Vida/08%20-%20Yo%20soy%20la%20resurrecci%C3%B3n%20y%20la%20vida.mp3</t>
  </si>
  <si>
    <t>https://www.mercaba.org/Musica/Cesareo%20Gabarain/Al%20Atardecer%20de%20la%20Vida/09%20-%20Dichosos%20los%20que%20mueren%20en%20el%20Se%C3%B1or.mp3</t>
  </si>
  <si>
    <t>https://www.mercaba.org/Musica/Cesareo%20Gabarain/Al%20Atardecer%20de%20la%20Vida/10%20-%20El%20descanso%20eterno.mp3</t>
  </si>
  <si>
    <t>https://www.mercaba.org/Musica/Cesareo%20Gabarain/Al%20Atardecer%20de%20la%20Vida/11%20-%20Letan%C3%ADa%20por%20el%20difunto.mp3</t>
  </si>
  <si>
    <t>https://www.mercaba.org/Musica/Cesareo%20Gabarain/Al%20Atardecer%20de%20la%20Vida/12%20-%20Vive%20con%20Cristo.mp3</t>
  </si>
  <si>
    <t>https://www.mercaba.org/Musica/Cesareo%20Gabarain/Al%20Atardecer%20de%20la%20Vida/13%20-%20En%20los%20brazos%20de%20Dios.mp3</t>
  </si>
  <si>
    <t>Bendito eres, Señor</t>
  </si>
  <si>
    <t>La alegría en el perdón</t>
  </si>
  <si>
    <t>El joven rico</t>
  </si>
  <si>
    <t>Tuve hambre y me diste de comer</t>
  </si>
  <si>
    <t>Señor, Tú tienes palabras de vida eterna</t>
  </si>
  <si>
    <t>Cantando de alegría</t>
  </si>
  <si>
    <t>Solo Tú</t>
  </si>
  <si>
    <t>Tú que caminas sobre la mar</t>
  </si>
  <si>
    <t>Levántate y anda</t>
  </si>
  <si>
    <t>Camino de Emaús</t>
  </si>
  <si>
    <t>https://www.mercaba.org/Musica/Cesareo%20Gabarain/Bendito%20eres%20Se%C3%B1or/01%20-%20La%20Alegria%20En%20El%20Perd%C3%B3n.mp3</t>
  </si>
  <si>
    <t>https://www.mercaba.org/Musica/Cesareo%20Gabarain/Bendito%20eres%20Se%C3%B1or/02%20-%20EL%20Jov%C3%A9n%20Rico.mp3</t>
  </si>
  <si>
    <t>https://www.mercaba.org/Musica/Cesareo%20Gabarain/Bendito%20eres%20Se%C3%B1or/03%20-%20Tuve%20Hambre%20Y%20Me%20Diste%20De%20Comer.mp3</t>
  </si>
  <si>
    <t>https://www.mercaba.org/Musica/Cesareo%20Gabarain/Bendito%20eres%20Se%C3%B1or/04%20-%20Se%C3%B1or%20Tu%20Tienes%20Palabras%20De%20Vida%20Eterna.mp3</t>
  </si>
  <si>
    <t>https://www.mercaba.org/Musica/Cesareo%20Gabarain/Bendito%20eres%20Se%C3%B1or/05%20-%20Cantando%20De%20Alegria.mp3</t>
  </si>
  <si>
    <t>https://www.mercaba.org/Musica/Cesareo%20Gabarain/Bendito%20eres%20Se%C3%B1or/06%20-%20Solo%20T%C3%BA.mp3</t>
  </si>
  <si>
    <t>https://www.mercaba.org/Musica/Cesareo%20Gabarain/Bendito%20eres%20Se%C3%B1or/07%20-%20Tu%20Que%20Caminas%20Sobre%20La%20Mar.mp3</t>
  </si>
  <si>
    <t>https://www.mercaba.org/Musica/Cesareo%20Gabarain/Bendito%20eres%20Se%C3%B1or/08%20-%20Levantate%20Y%20Anda.mp3</t>
  </si>
  <si>
    <t>https://www.mercaba.org/Musica/Cesareo%20Gabarain/Bendito%20eres%20Se%C3%B1or/09%20-%20Bendito%20Eres%20Se%C3%B1or.mp3</t>
  </si>
  <si>
    <t>https://www.mercaba.org/Musica/Cesareo%20Gabarain/Bendito%20eres%20Se%C3%B1or/10%20-%20Camino%20De%20Ema%C3%BAs.mp3</t>
  </si>
  <si>
    <t>Cantando venimos</t>
  </si>
  <si>
    <t>Gloria a Dios</t>
  </si>
  <si>
    <t>Yo quisiera escuchar</t>
  </si>
  <si>
    <t>Gracias por tu palabra</t>
  </si>
  <si>
    <t>Como cantan los pájaros</t>
  </si>
  <si>
    <t>Somos un pueblo nacido</t>
  </si>
  <si>
    <t>https://www.mercaba.org/Musica/Cesareo%20Gabarain/Cantando%20Venimos/01%20-%20Cantando%20venimos.mp3</t>
  </si>
  <si>
    <t>https://www.mercaba.org/Musica/Cesareo%20Gabarain/Cantando%20Venimos/02%20-%20Gloria%20a%20Dios.mp3</t>
  </si>
  <si>
    <t>https://www.mercaba.org/Musica/Cesareo%20Gabarain/Cantando%20Venimos/03%20-%20Yo%20quisiera%20escuchar.mp3</t>
  </si>
  <si>
    <t>https://www.mercaba.org/Musica/Cesareo%20Gabarain/Cantando%20Venimos/04%20-%20Gracias%20por%20tu%20palabra.mp3</t>
  </si>
  <si>
    <t>https://www.mercaba.org/Musica/Cesareo%20Gabarain/Cantando%20Venimos/05%20-%20Padre%20nuestro.mp3</t>
  </si>
  <si>
    <t>https://www.mercaba.org/Musica/Cesareo%20Gabarain/Cantando%20Venimos/06%20-%20Como%20cantan%20los%20p%C3%A1jaros.mp3</t>
  </si>
  <si>
    <t>https://www.mercaba.org/Musica/Cesareo%20Gabarain/Cantando%20Venimos/07%20-%20Somos%20un%20pueblo%20nacido.mp3</t>
  </si>
  <si>
    <t>Cantos de entrada y comunión</t>
  </si>
  <si>
    <t>Dios no es una imagen de madera</t>
  </si>
  <si>
    <t>Dios hizo todas las cosas</t>
  </si>
  <si>
    <t>Yo tengo dentro de mí</t>
  </si>
  <si>
    <t>Creo en ti, Señor</t>
  </si>
  <si>
    <t>Dios nos ha hecho hermanos</t>
  </si>
  <si>
    <t>Una vida singular</t>
  </si>
  <si>
    <t>Dios está muy cerca de mí</t>
  </si>
  <si>
    <t>Hola, Jesús</t>
  </si>
  <si>
    <t>Ven conmigo</t>
  </si>
  <si>
    <t>Sé muy bien</t>
  </si>
  <si>
    <t>El pequeño David</t>
  </si>
  <si>
    <t>Ya viene el niñito</t>
  </si>
  <si>
    <t>Mis dos mamás</t>
  </si>
  <si>
    <t>Canción de juventud</t>
  </si>
  <si>
    <t>Catequesis y canción</t>
  </si>
  <si>
    <t>Nueva creación</t>
  </si>
  <si>
    <t>Bendito seas</t>
  </si>
  <si>
    <t>Cristo, nuestro Salvador</t>
  </si>
  <si>
    <t>Canto de esperanza</t>
  </si>
  <si>
    <t>Señor, me has llamado amigo</t>
  </si>
  <si>
    <t>Yo vi reír a Dios</t>
  </si>
  <si>
    <t>https://www.mercaba.org/Musica/Cesareo%20Gabarain/Catequesis%20y%20Cancion/01%20dios%20no%20es%20una%20imagen%20de%20madera.mp3</t>
  </si>
  <si>
    <t>https://www.mercaba.org/Musica/Cesareo%20Gabarain/Catequesis%20y%20Cancion/02%20dios%20hizo%20todas%20las%20cosas.mp3</t>
  </si>
  <si>
    <t>https://www.mercaba.org/Musica/Cesareo%20Gabarain/Catequesis%20y%20Cancion/03%20yo%20tengo%20dentro%20de%20mi.mp3</t>
  </si>
  <si>
    <t>https://www.mercaba.org/Musica/Cesareo%20Gabarain/Catequesis%20y%20Cancion/04%20creo%20en%20ti%20se%C3%B1or.mp3</t>
  </si>
  <si>
    <t>https://www.mercaba.org/Musica/Cesareo%20Gabarain/Catequesis%20y%20Cancion/05%20dios%20hos%20ha%20hecho%20hermanos.mp3</t>
  </si>
  <si>
    <t>https://www.mercaba.org/Musica/Cesareo%20Gabarain/Catequesis%20y%20Cancion/07%20una%20vida%20singular.mp3</t>
  </si>
  <si>
    <t>https://www.mercaba.org/Musica/Cesareo%20Gabarain/Catequesis%20y%20Cancion/08%20dios%20esta%20muy%20cerca%20de%20mi.mp3</t>
  </si>
  <si>
    <t>https://www.mercaba.org/Musica/Cesareo%20Gabarain/Catequesis%20y%20Cancion/09%20hola%20jesus.mp3</t>
  </si>
  <si>
    <t>https://www.mercaba.org/Musica/Cesareo%20Gabarain/Catequesis%20y%20Cancion/10%20ven%20conmigo.mp3</t>
  </si>
  <si>
    <t>https://www.mercaba.org/Musica/Cesareo%20Gabarain/Catequesis%20y%20Cancion/11%20se%20muy%20bien.mp3</t>
  </si>
  <si>
    <t>https://www.mercaba.org/Musica/Cesareo%20Gabarain/Catequesis%20y%20Cancion/12%20el%20peque%C3%B1o%20david.mp3</t>
  </si>
  <si>
    <t>https://www.mercaba.org/Musica/Cesareo%20Gabarain/Catequesis%20y%20Cancion/13%20ya%20viene%20el%20ni%C3%B1ito.mp3</t>
  </si>
  <si>
    <t>https://www.mercaba.org/Musica/Cesareo%20Gabarain/Catequesis%20y%20Cancion/14%20mis%20dos%20mamas.mp3</t>
  </si>
  <si>
    <t>https://www.mercaba.org/Musica/Cesareo%20Gabarain/Catequesis%20y%20Cancion/15%20cancion%20de%20juventud.mp3</t>
  </si>
  <si>
    <t>https://www.mercaba.org/Musica/Cesareo%20Gabarain/Dios%20con%20Nosotros/02%20-%20Nueva%20creaci%C3%B3n.mp3</t>
  </si>
  <si>
    <t>https://www.mercaba.org/Musica/Cesareo%20Gabarain/Dios%20con%20Nosotros/03%20-%20Bendito%20seas.mp3</t>
  </si>
  <si>
    <t>https://www.mercaba.org/Musica/Cesareo%20Gabarain/Dios%20con%20Nosotros/04%20-%20Cristo,%20nuestro%20Salvador.mp3</t>
  </si>
  <si>
    <t>https://www.mercaba.org/Musica/Cesareo%20Gabarain/Dios%20con%20Nosotros/05%20-%20Canto%20de%20esperanza.mp3</t>
  </si>
  <si>
    <t>https://www.mercaba.org/Musica/Cesareo%20Gabarain/Dios%20con%20Nosotros/06%20-%20Se%C3%B1or,%20me%20has%20llamado%20amigo.mp3</t>
  </si>
  <si>
    <t>https://www.mercaba.org/Musica/Cesareo%20Gabarain/Dios%20con%20Nosotros/10%20-%20Yo%20vi%20re%C3%ADr%20a%20Dios.mp3</t>
  </si>
  <si>
    <t>https://www.mercaba.org/Musica/Cesareo%20Gabarain/Dios%20Hombre%20Mundo/01%20-%20Por%20el%20aire%20vuela%20el%20p%C3%A1jaro.mp3</t>
  </si>
  <si>
    <t>https://www.mercaba.org/Musica/Cesareo%20Gabarain/Dios%20Hombre%20Mundo/02%20-%20Aleluya,%20mi%20padre%20Dios%20me%20quiere.mp3</t>
  </si>
  <si>
    <t>https://www.mercaba.org/Musica/Cesareo%20Gabarain/Dios%20Hombre%20Mundo/03%20-%20Dios%20es%20alegre.mp3</t>
  </si>
  <si>
    <t>https://www.mercaba.org/Musica/Cesareo%20Gabarain/Dios%20Hombre%20Mundo/04%20-%20Buenos%20d%C3%ADas,%20Se%C3%B1or.mp3</t>
  </si>
  <si>
    <t>https://www.mercaba.org/Musica/Cesareo%20Gabarain/Dios%20Hombre%20Mundo/05%20-%20L%C3%A1mpara%20de%20barro.mp3</t>
  </si>
  <si>
    <t>https://www.mercaba.org/Musica/Cesareo%20Gabarain/Dios%20Hombre%20Mundo/06%20-%20Una%20roca%20inm%C3%B3vil.mp3</t>
  </si>
  <si>
    <t>https://www.mercaba.org/Musica/Cesareo%20Gabarain/Dios%20Hombre%20Mundo/10%20-%20Padre%20bueno,%20Dios%20alegre.mp3</t>
  </si>
  <si>
    <t>https://www.mercaba.org/Musica/Cesareo%20Gabarain/Dios%20Hombre%20Mundo/11%20-%20Hoy%20Se%C3%B1or%20te%20damos%20gracias.mp3</t>
  </si>
  <si>
    <t>https://www.mercaba.org/Musica/Cesareo%20Gabarain/Dios%20Hombre%20Mundo/12%20-%20Demos%20gracias%20al%20Se%C3%B1or.mp3</t>
  </si>
  <si>
    <t>Por el aire vuela el pájaro</t>
  </si>
  <si>
    <t>Aleluya, mi Padre Dios me quiere</t>
  </si>
  <si>
    <t>Dios es alegre</t>
  </si>
  <si>
    <t>Buenos días, Señor</t>
  </si>
  <si>
    <t>Una roca inmóvil</t>
  </si>
  <si>
    <t>Padre bueno, Dios alegre</t>
  </si>
  <si>
    <t>Demos gracias al Señor</t>
  </si>
  <si>
    <t>Se acerca el Señor</t>
  </si>
  <si>
    <t>Aclama al Señor tierra entera</t>
  </si>
  <si>
    <t>Habla, Señor, que tu siervo escucha</t>
  </si>
  <si>
    <t>Año</t>
  </si>
  <si>
    <t>https://www.youtube.com/watch?v=A0xhZ_NFhlc</t>
  </si>
  <si>
    <t>Mi casa está en ruinas</t>
  </si>
  <si>
    <t>Gloria a Dios en los cielos</t>
  </si>
  <si>
    <t>Cómo te podré pagar</t>
  </si>
  <si>
    <t>Quiero ser</t>
  </si>
  <si>
    <t>En el mismo barco</t>
  </si>
  <si>
    <t>Sea</t>
  </si>
  <si>
    <t>Causa de tu providencia</t>
  </si>
  <si>
    <t>No se hablan</t>
  </si>
  <si>
    <t>Libérame</t>
  </si>
  <si>
    <t>Si no tengo amor</t>
  </si>
  <si>
    <t>Vejados y abatidos</t>
  </si>
  <si>
    <t>Cuánto dura el amor</t>
  </si>
  <si>
    <t>Tú, mi pilar</t>
  </si>
  <si>
    <t>Qué mas quieres</t>
  </si>
  <si>
    <t>Cincuenta</t>
  </si>
  <si>
    <t>Padre y madre</t>
  </si>
  <si>
    <t>Sé fiel</t>
  </si>
  <si>
    <t>Donde tú quieras</t>
  </si>
  <si>
    <t>Renacer en libertad</t>
  </si>
  <si>
    <t>Quién puede amar</t>
  </si>
  <si>
    <t>Y allí estás tú</t>
  </si>
  <si>
    <t>Fuente viva</t>
  </si>
  <si>
    <t>Uno en el amor</t>
  </si>
  <si>
    <t>https://www.youtube.com/watch?v=uP3F9yJdWO8</t>
  </si>
  <si>
    <t>https://www.youtube.com/watch?v=PH2HbPv8xkY</t>
  </si>
  <si>
    <t>Ver con claridad</t>
  </si>
  <si>
    <t>https://www.youtube.com/watch?v=iPEF1PDg4jk</t>
  </si>
  <si>
    <t>https://www.youtube.com/watch?v=2Eb67pp-UQA</t>
  </si>
  <si>
    <t>https://www.youtube.com/watch?v=qaXDpkNKYu0</t>
  </si>
  <si>
    <t>https://www.youtube.com/watch?v=kPY1EZTtjDU</t>
  </si>
  <si>
    <t>https://www.youtube.com/watch?v=mB7qXih-1ec</t>
  </si>
  <si>
    <t>https://www.youtube.com/watch?v=gqWVl9aXtjE</t>
  </si>
  <si>
    <t>https://www.youtube.com/watch?v=haISnUGFeOU</t>
  </si>
  <si>
    <t>https://www.youtube.com/watch?v=GfQ4wEdBLAY</t>
  </si>
  <si>
    <t>https://www.youtube.com/watch?v=0XMbYZwSFmI</t>
  </si>
  <si>
    <t>https://www.youtube.com/watch?v=6eZB0NIW6p4</t>
  </si>
  <si>
    <t>https://www.youtube.com/watch?v=IdvTzCgMTKc</t>
  </si>
  <si>
    <t>https://www.youtube.com/watch?v=0P58Nuik1kc</t>
  </si>
  <si>
    <t>https://www.youtube.com/watch?v=QP1Olb9SHdw</t>
  </si>
  <si>
    <t>https://www.youtube.com/watch?v=sbhAo151gOg</t>
  </si>
  <si>
    <t>https://www.youtube.com/watch?v=DM6oIsuv_DA</t>
  </si>
  <si>
    <t>https://www.youtube.com/watch?v=J6tEJUJRGY0</t>
  </si>
  <si>
    <t>https://www.youtube.com/watch?v=gObavlJavp4</t>
  </si>
  <si>
    <t>https://www.youtube.com/watch?v=AiDiWxO9bNc</t>
  </si>
  <si>
    <t>https://www.youtube.com/watch?v=vlLKDVtLZKM</t>
  </si>
  <si>
    <t>https://www.youtube.com/watch?v=DLRnhn_xSDY</t>
  </si>
  <si>
    <t>Jesús - Los pasos y las huellas de Cristo (I)</t>
  </si>
  <si>
    <t>Jesús - Los pasos y las huellas de Cristo (II)</t>
  </si>
  <si>
    <t>Jesús, quién eres tú</t>
  </si>
  <si>
    <t>El Reino está cerca</t>
  </si>
  <si>
    <t>Nadie es profeta en su tierra</t>
  </si>
  <si>
    <t>Los mercaderes del templo</t>
  </si>
  <si>
    <t>A tu altar he llegado</t>
  </si>
  <si>
    <t>La fe del centurión</t>
  </si>
  <si>
    <t>Amad a los enemigos</t>
  </si>
  <si>
    <t>Desapercibido</t>
  </si>
  <si>
    <t>Dónde está tu tesoro</t>
  </si>
  <si>
    <t>Echad las redes</t>
  </si>
  <si>
    <t>Ovejas entre lobos</t>
  </si>
  <si>
    <t>Multiplicación de panes y peces</t>
  </si>
  <si>
    <t>Hombres de poca fe</t>
  </si>
  <si>
    <t>La oveja perdida</t>
  </si>
  <si>
    <t>Toma tu cruz y sígueme</t>
  </si>
  <si>
    <t>Darás la mitad de tus bienes</t>
  </si>
  <si>
    <t>Dejadlos venir a mí</t>
  </si>
  <si>
    <t>El juicio final</t>
  </si>
  <si>
    <t>Jesús, tú eres</t>
  </si>
  <si>
    <t>https://www.youtube.com/watch?v=IZtUcnJqAJc</t>
  </si>
  <si>
    <t>https://www.youtube.com/watch?v=nMWE0KgA6mM</t>
  </si>
  <si>
    <t>https://www.youtube.com/watch?v=BlCUAk5XirY</t>
  </si>
  <si>
    <t>Deseos</t>
  </si>
  <si>
    <t>https://www.youtube.com/watch?v=URsXU5HdYPA</t>
  </si>
  <si>
    <t>https://www.youtube.com/watch?v=vTDvcmtFKRs</t>
  </si>
  <si>
    <t>https://www.youtube.com/watch?v=H2FZt-789Pg</t>
  </si>
  <si>
    <t>https://www.youtube.com/watch?v=9UFUpNZn-gA</t>
  </si>
  <si>
    <t>https://www.youtube.com/watch?v=Sv1dCpQ3rPA</t>
  </si>
  <si>
    <t>https://www.youtube.com/watch?v=V35ePsVpcmA</t>
  </si>
  <si>
    <t>https://www.youtube.com/watch?v=_DuYYSyzLmU</t>
  </si>
  <si>
    <t>https://www.youtube.com/watch?v=uJSV4Ti86qw</t>
  </si>
  <si>
    <t>https://www.youtube.com/watch?v=0KEto5PoW9g</t>
  </si>
  <si>
    <t>https://www.youtube.com/watch?v=rOl35N4fC4M</t>
  </si>
  <si>
    <t>https://www.youtube.com/watch?v=PAuHE3Csl1g</t>
  </si>
  <si>
    <t>https://www.youtube.com/watch?v=aUo7eR5DvTE</t>
  </si>
  <si>
    <t>https://www.youtube.com/watch?v=avjmUcIMC7A</t>
  </si>
  <si>
    <t>https://www.youtube.com/watch?v=reo5W-tQj7s</t>
  </si>
  <si>
    <t>https://www.youtube.com/watch?v=gEirKDo2sqM</t>
  </si>
  <si>
    <t>https://www.youtube.com/watch?v=F2cvYvn1y20</t>
  </si>
  <si>
    <t>https://www.youtube.com/watch?v=3pi0l84EUvM</t>
  </si>
  <si>
    <t>https://www.youtube.com/watch?v=bW_scriToHc</t>
  </si>
  <si>
    <t>https://www.youtube.com/watch?v=99XEDtJAzZI</t>
  </si>
  <si>
    <t>https://www.youtube.com/watch?v=qwqrACsNb-M</t>
  </si>
  <si>
    <t>https://www.youtube.com/watch?v=vsyP7TsniC8</t>
  </si>
  <si>
    <t>https://www.youtube.com/watch?v=s6oVmptDpc8</t>
  </si>
  <si>
    <t>https://www.youtube.com/watch?v=-GZIccRfkWc</t>
  </si>
  <si>
    <t>https://www.youtube.com/watch?v=H3Uol9XuKDM</t>
  </si>
  <si>
    <t>https://www.youtube.com/watch?v=L4kPP-xdnns</t>
  </si>
  <si>
    <t>https://www.youtube.com/watch?v=uCoQHo-y6c0</t>
  </si>
  <si>
    <t>https://www.youtube.com/watch?v=W9Q2GQiXI7Y</t>
  </si>
  <si>
    <t>https://www.youtube.com/watch?v=JqJgRm_9QHw</t>
  </si>
  <si>
    <t>https://www.youtube.com/watch?v=TMH959zYDgc</t>
  </si>
  <si>
    <t>https://www.youtube.com/watch?v=oRMA7UVVj9s</t>
  </si>
  <si>
    <t>https://www.youtube.com/watch?v=_f8G4_-D0No</t>
  </si>
  <si>
    <t>https://www.youtube.com/watch?v=VVGx3gxX628</t>
  </si>
  <si>
    <t>https://www.youtube.com/watch?v=nxvdxT4xNuY</t>
  </si>
  <si>
    <t>https://www.youtube.com/watch?v=YoIgNsfC1qc</t>
  </si>
  <si>
    <t>https://www.youtube.com/watch?v=RT4Vx3DQPZ0</t>
  </si>
  <si>
    <t>https://www.youtube.com/watch?v=TuNzKm3PNpE</t>
  </si>
  <si>
    <t>https://www.youtube.com/watch?v=v88VhpJzJ98</t>
  </si>
  <si>
    <t>https://www.youtube.com/watch?v=JApsSmgVhoc</t>
  </si>
  <si>
    <t>https://www.youtube.com/watch?v=Vq47OD_qzwo</t>
  </si>
  <si>
    <t>https://www.youtube.com/watch?v=D5aF8zJ8uww</t>
  </si>
  <si>
    <t>https://www.youtube.com/watch?v=BD-ImmxVv_Q</t>
  </si>
  <si>
    <t>https://www.youtube.com/watch?v=ptD76TSHP_w</t>
  </si>
  <si>
    <t>https://www.youtube.com/watch?v=ptiwP7lEFnU</t>
  </si>
  <si>
    <t>https://www.youtube.com/watch?v=-YWv-o1vgJ8</t>
  </si>
  <si>
    <t>https://www.youtube.com/watch?v=WEJFvUWRW5I</t>
  </si>
  <si>
    <t>https://www.youtube.com/watch?v=B4_ajqK8wwM</t>
  </si>
  <si>
    <t>https://www.youtube.com/watch?v=HrlRnLh_GgQ</t>
  </si>
  <si>
    <t>https://www.youtube.com/watch?v=QvEJXlJMVfM</t>
  </si>
  <si>
    <t>https://www.youtube.com/watch?v=-GRe7Udua-s</t>
  </si>
  <si>
    <t>https://www.youtube.com/watch?v=H1m4ix1FNgA</t>
  </si>
  <si>
    <t>https://www.youtube.com/watch?v=hlAeEJ_tdqc</t>
  </si>
  <si>
    <t>https://www.youtube.com/watch?v=VxNOIL1sAU0</t>
  </si>
  <si>
    <t>https://www.youtube.com/watch?v=7RVmVtwhJTU</t>
  </si>
  <si>
    <t>https://www.youtube.com/watch?v=U3sDX5cyfZg</t>
  </si>
  <si>
    <t>https://www.youtube.com/watch?v=dAeqG_XtJRU</t>
  </si>
  <si>
    <t>https://www.youtube.com/watch?v=XQbOVJU4MIU</t>
  </si>
  <si>
    <t>https://www.youtube.com/watch?v=wmySfbCJJWs</t>
  </si>
  <si>
    <t>https://www.youtube.com/watch?v=zkn38Teipxg</t>
  </si>
  <si>
    <t>https://www.youtube.com/watch?v=TbrAVxh_cTE</t>
  </si>
  <si>
    <t>https://www.youtube.com/watch?v=An2nTchVifw</t>
  </si>
  <si>
    <t>https://www.youtube.com/watch?v=62Umd6omt-8</t>
  </si>
  <si>
    <t>https://www.youtube.com/watch?v=lQts8v5ZoSw</t>
  </si>
  <si>
    <t>https://www.youtube.com/watch?v=YE0NNkvc5vw</t>
  </si>
  <si>
    <t>https://www.youtube.com/watch?v=rEvrhMpsy9k</t>
  </si>
  <si>
    <t>https://www.youtube.com/watch?v=9N9l3P8WmW8</t>
  </si>
  <si>
    <t>https://www.youtube.com/watch?v=0rJCf81Z2Ew</t>
  </si>
  <si>
    <t>https://www.youtube.com/watch?v=R8Ep_yMDY-I</t>
  </si>
  <si>
    <t>https://www.youtube.com/watch?v=MYUICsugyB8</t>
  </si>
  <si>
    <t>https://www.youtube.com/watch?v=y9FWhAAGBZ8</t>
  </si>
  <si>
    <t>https://www.youtube.com/watch?v=TounQ5IIZM0</t>
  </si>
  <si>
    <t>https://www.youtube.com/watch?v=om6PBxqY2TM</t>
  </si>
  <si>
    <t>https://www.youtube.com/watch?v=j79wJJIX92Y</t>
  </si>
  <si>
    <t>https://www.youtube.com/watch?v=RD5-MWLaeWo</t>
  </si>
  <si>
    <t>https://www.youtube.com/watch?v=Mg6JMOegZZc</t>
  </si>
  <si>
    <t>https://www.youtube.com/watch?v=GM8G5Wcpxo0</t>
  </si>
  <si>
    <t>https://www.youtube.com/watch?v=J3wufSYJgXM</t>
  </si>
  <si>
    <t>https://www.youtube.com/watch?v=_Up1QGBKIlk</t>
  </si>
  <si>
    <t>https://www.youtube.com/watch?v=quda_td_tyQ</t>
  </si>
  <si>
    <t>https://www.youtube.com/watch?v=zv67sWvDUHI</t>
  </si>
  <si>
    <t>https://www.youtube.com/watch?v=7Q4tAud6Ao0</t>
  </si>
  <si>
    <t>https://www.youtube.com/watch?v=Q4rvhsLMt5s</t>
  </si>
  <si>
    <t>https://www.youtube.com/watch?v=c4EKS6yapQ4</t>
  </si>
  <si>
    <t>https://www.youtube.com/watch?v=G8LdGtyxL9c</t>
  </si>
  <si>
    <t>https://www.youtube.com/watch?v=oThGW093mP8</t>
  </si>
  <si>
    <t>https://www.youtube.com/watch?v=eePoU43j7ug</t>
  </si>
  <si>
    <t>https://www.youtube.com/watch?v=ux35LmePPE0</t>
  </si>
  <si>
    <t>https://www.youtube.com/watch?v=-BmRF0Cx6Q8</t>
  </si>
  <si>
    <t>https://www.youtube.com/watch?v=e07KsQDAz44</t>
  </si>
  <si>
    <t>https://www.youtube.com/watch?v=tczYaCJo35w</t>
  </si>
  <si>
    <t>https://www.youtube.com/watch?v=bkJ_Fzl4-Ac</t>
  </si>
  <si>
    <t>https://www.youtube.com/watch?v=Sd_dDlTQXqw</t>
  </si>
  <si>
    <t>https://www.youtube.com/watch?v=qCkjZICYjB0</t>
  </si>
  <si>
    <t>https://www.youtube.com/watch?v=8BJbn9CxbEs</t>
  </si>
  <si>
    <t>https://www.youtube.com/watch?v=KYLCk4B15Is</t>
  </si>
  <si>
    <t>https://www.youtube.com/watch?v=zW3gP0Orqbw</t>
  </si>
  <si>
    <t>https://www.youtube.com/watch?v=gp8UWZi3g-o</t>
  </si>
  <si>
    <t>https://www.youtube.com/watch?v=cnQaAs7OTW0</t>
  </si>
  <si>
    <t>https://www.youtube.com/watch?v=8FOpXZruF1Y</t>
  </si>
  <si>
    <t>https://www.youtube.com/watch?v=tWZJHcvp-do</t>
  </si>
  <si>
    <t>https://www.youtube.com/watch?v=0HlCxk3ndqg</t>
  </si>
  <si>
    <t>https://www.youtube.com/watch?v=QCNI8AdYVtc</t>
  </si>
  <si>
    <t>https://www.youtube.com/watch?v=1je9OwJzloc</t>
  </si>
  <si>
    <t>https://www.youtube.com/watch?v=witDnA3ho5M</t>
  </si>
  <si>
    <t>https://www.youtube.com/watch?v=jRa3UiLLeRg</t>
  </si>
  <si>
    <t>https://www.youtube.com/watch?v=ro0mCdvDLhg</t>
  </si>
  <si>
    <t>https://www.youtube.com/watch?v=CCnIxqn73co</t>
  </si>
  <si>
    <t>https://www.youtube.com/watch?v=gJ4fuGyZaQM</t>
  </si>
  <si>
    <t>https://www.youtube.com/watch?v=SDdgEijul-o</t>
  </si>
  <si>
    <t>https://www.youtube.com/watch?v=ly6Ie6m8ihU</t>
  </si>
  <si>
    <t>https://www.youtube.com/watch?v=diWBjjrOduY</t>
  </si>
  <si>
    <t>https://www.youtube.com/watch?v=Avni3wEtcUI</t>
  </si>
  <si>
    <t>https://www.youtube.com/watch?v=5XFZudnURrY</t>
  </si>
  <si>
    <t>https://www.youtube.com/watch?v=51fAtEUHUio</t>
  </si>
  <si>
    <t>Fieles y unidos</t>
  </si>
  <si>
    <t>Enséñame a quererme</t>
  </si>
  <si>
    <t>Talithakum</t>
  </si>
  <si>
    <t>https://www.youtube.com/watch?v=oxZ8PBwaliY</t>
  </si>
  <si>
    <t>https://www.youtube.com/watch?v=VoC0XlyF1is</t>
  </si>
  <si>
    <t>https://www.youtube.com/watch?v=0kTwLgdeRyY</t>
  </si>
  <si>
    <t>He deseado ardientemente</t>
  </si>
  <si>
    <t>https://www.youtube.com/watch?v=I2G3Wx0qVxQ</t>
  </si>
  <si>
    <t>Palabra del Señor</t>
  </si>
  <si>
    <t>Tu Palabra, Señor, es la verdad</t>
  </si>
  <si>
    <t>Aclamad el misterio</t>
  </si>
  <si>
    <t>En medio de la noche</t>
  </si>
  <si>
    <t>Dindón, dilín, dindán</t>
  </si>
  <si>
    <t>Dios ama tanto a los hombres</t>
  </si>
  <si>
    <t>A media noche en un portal</t>
  </si>
  <si>
    <t>La navidad es</t>
  </si>
  <si>
    <t>Niño hambriento</t>
  </si>
  <si>
    <t>Dios es bueno</t>
  </si>
  <si>
    <t>La historia ocurrió</t>
  </si>
  <si>
    <t>Los cielos y la tierra</t>
  </si>
  <si>
    <t>Como a su Madre acuden</t>
  </si>
  <si>
    <t>Hoy he vuelto</t>
  </si>
  <si>
    <t>Antes que el mundo hiciera</t>
  </si>
  <si>
    <t>María es esa mujer</t>
  </si>
  <si>
    <t>Muy de mañana</t>
  </si>
  <si>
    <t>Cristo nuestro hermano</t>
  </si>
  <si>
    <t>Luz de la mañana</t>
  </si>
  <si>
    <t>Dijo que sí María</t>
  </si>
  <si>
    <t>https://www.mercaba.org/Musica/Cesareo%20Gabarain/En%20Medio%20de%20la%20Noche/01%20en%20medio%20de%20la%20noche.mp3</t>
  </si>
  <si>
    <t>https://www.mercaba.org/Musica/Cesareo%20Gabarain/En%20Medio%20de%20la%20Noche/02%20dindon%20dilin%20dindan.mp3</t>
  </si>
  <si>
    <t>https://www.mercaba.org/Musica/Cesareo%20Gabarain/En%20Medio%20de%20la%20Noche/03%20dios%20ama%20tanto%20a%20los%20hombres.mp3</t>
  </si>
  <si>
    <t>https://www.mercaba.org/Musica/Cesareo%20Gabarain/En%20Medio%20de%20la%20Noche/04%20vamos%20amigos.mp3</t>
  </si>
  <si>
    <t>https://www.mercaba.org/Musica/Cesareo%20Gabarain/En%20Medio%20de%20la%20Noche/05%20a%20media%20noche%20en%20un%20portal.mp3</t>
  </si>
  <si>
    <t>https://www.mercaba.org/Musica/Cesareo%20Gabarain/En%20Medio%20de%20la%20Noche/06%20quien%20eres%20tu.mp3</t>
  </si>
  <si>
    <t>https://www.mercaba.org/Musica/Cesareo%20Gabarain/En%20Medio%20de%20la%20Noche/07%20la%20navidad%20es.mp3</t>
  </si>
  <si>
    <t>https://www.mercaba.org/Musica/Cesareo%20Gabarain/En%20Medio%20de%20la%20Noche/08%20ni%C3%B1o%20hambriento.mp3</t>
  </si>
  <si>
    <t>https://www.mercaba.org/Musica/Cesareo%20Gabarain/En%20Medio%20de%20la%20Noche/09%20dios%20es%20bueno.mp3</t>
  </si>
  <si>
    <t>https://www.mercaba.org/Musica/Cesareo%20Gabarain/En%20Medio%20de%20la%20Noche/10%20la%20historia%20ocurrio.mp3</t>
  </si>
  <si>
    <t>https://www.mercaba.org/Musica/Cesareo%20Gabarain/Eres%20Tu%20Maria/01%20-%20Los%20cielos%20y%20la%20tierra.mp3</t>
  </si>
  <si>
    <t>https://www.mercaba.org/Musica/Cesareo%20Gabarain/Eres%20Tu%20Maria/03%20-%20Como%20a%20su%20Madre%20acuden.mp3</t>
  </si>
  <si>
    <t>https://www.mercaba.org/Musica/Cesareo%20Gabarain/Eres%20Tu%20Maria/04%20-%20Hoy%20he%20vuelto.mp3</t>
  </si>
  <si>
    <t>https://www.mercaba.org/Musica/Cesareo%20Gabarain/Eres%20Tu%20Maria/08%20-%20Cristo%20nuestro%20hermano.mp3</t>
  </si>
  <si>
    <t>https://www.mercaba.org/Musica/Cesareo%20Gabarain/Eres%20Tu%20Maria/05%20-%20Antes%20que%20el%20mundo%20hiciera.mp3</t>
  </si>
  <si>
    <t>https://www.mercaba.org/Musica/Cesareo%20Gabarain/Eres%20Tu%20Maria/06%20-%20Mar%C3%ADa%20es%20esa%20mujer.mp3</t>
  </si>
  <si>
    <t>https://www.mercaba.org/Musica/Cesareo%20Gabarain/Eres%20Tu%20Maria/07%20-%20Muy%20de%20ma%C3%B1ana.mp3</t>
  </si>
  <si>
    <t>https://www.mercaba.org/Musica/Cesareo%20Gabarain/Eres%20Tu%20Maria/09%20-%20Luz%20de%20la%20ma%C3%B1ana.mp3</t>
  </si>
  <si>
    <t>https://www.mercaba.org/Musica/Cesareo%20Gabarain/Eres%20Tu%20Maria/10%20-%20Dijo%20que%20s%C3%AD%20Mar%C3%ADa.mp3</t>
  </si>
  <si>
    <t>https://www.mercaba.org/Musica/Cesareo%20Gabarain/Cantos%20de%20Entrada%20y%20Comunion/01%20-%20Adviento%20(Canto%20de%20entrada).mp3</t>
  </si>
  <si>
    <t>https://www.mercaba.org/Musica/Cesareo%20Gabarain/Cantos%20de%20Entrada%20y%20Comunion/02%20-%20Adviento%20(Canto%20de%20comuni%C3%B3n).mp3</t>
  </si>
  <si>
    <t>https://www.mercaba.org/Musica/Cesareo%20Gabarain/Cantos%20de%20Entrada%20y%20Comunion/03%20-%20Navidad%20(Canto%20de%20entrada).mp3</t>
  </si>
  <si>
    <t>https://www.mercaba.org/Musica/Cesareo%20Gabarain/Cantos%20de%20Entrada%20y%20Comunion/04%20-%20Navidad%20(Canto%20de%20comuni%C3%B3n).mp3</t>
  </si>
  <si>
    <t>https://www.mercaba.org/Musica/Cesareo%20Gabarain/Cantos%20de%20Entrada%20y%20Comunion/05%20-%20Antes%20del%20evangelio%20(Adviento,%20Navidad,%20Cuaresma%20Pascua%20y%20Pentecost%C3%A9s).mp3</t>
  </si>
  <si>
    <t>https://www.mercaba.org/Musica/Cesareo%20Gabarain/Cantos%20de%20Entrada%20y%20Comunion/07%20-%20Cuaresma%20(Canto%20de%20comuni%C3%B3n).mp3</t>
  </si>
  <si>
    <t>https://www.mercaba.org/Musica/Cesareo%20Gabarain/Cantos%20de%20Entrada%20y%20Comunion/08%20-%20Pascua%20(Canto%20de%20entrada).mp3</t>
  </si>
  <si>
    <t>https://www.mercaba.org/Musica/Cesareo%20Gabarain/Cantos%20de%20Entrada%20y%20Comunion/09%20-%20Pascua%20(Canto%20de%20comuni%C3%B3n).mp3</t>
  </si>
  <si>
    <t>https://www.mercaba.org/Musica/Cesareo%20Gabarain/Cantos%20de%20Entrada%20y%20Comunion/10%20-%20Pentecost%C3%A9s%20(Canto%20de%20entrada).mp3</t>
  </si>
  <si>
    <t>https://www.mercaba.org/Musica/Cesareo%20Gabarain/Cantos%20de%20Entrada%20y%20Comunion/11%20-%20Pentecost%C3%A9s%20(Canto%20de%20comuni%C3%B3n).mp3</t>
  </si>
  <si>
    <t>Esperamos tu venida</t>
  </si>
  <si>
    <t>Alégrese el cielo</t>
  </si>
  <si>
    <t>Dios no quiere la muerte</t>
  </si>
  <si>
    <t>Cristo resucitó</t>
  </si>
  <si>
    <t>Id por el mundo</t>
  </si>
  <si>
    <t>Ven, Señor, no tardes más</t>
  </si>
  <si>
    <t>Levántate, que está llegando</t>
  </si>
  <si>
    <t>Un niño nos ha nacido</t>
  </si>
  <si>
    <t>Ven, Dios nacido en un portal</t>
  </si>
  <si>
    <t>Aleluya III</t>
  </si>
  <si>
    <t>Aleluya IV</t>
  </si>
  <si>
    <t>Aleluya V</t>
  </si>
  <si>
    <t>Tomad y comed, yo soy vuestro Pan</t>
  </si>
  <si>
    <t>Ven y llénanos</t>
  </si>
  <si>
    <t>https://www.youtube.com/watch?v=rj0h9sYSYnI</t>
  </si>
  <si>
    <t>33 El musical</t>
  </si>
  <si>
    <t>Padre nuestro (Cantando venimos)</t>
  </si>
  <si>
    <t>https://www.mercaba.org/Musica/Cesareo%20Gabarain/La%20Misa%20es%20una%20Fiesta/03%20gloria%20gloria.mp3</t>
  </si>
  <si>
    <t>https://www.mercaba.org/Musica/Cesareo%20Gabarain/La%20Misa%20es%20una%20Fiesta/07%20creo%20se%C3%B1or.mp3</t>
  </si>
  <si>
    <t>https://www.mercaba.org/Musica/Cesareo%20Gabarain/La%20Misa%20es%20una%20Fiesta/09%20santo%20santo.mp3</t>
  </si>
  <si>
    <t>https://www.mercaba.org/Musica/Cesareo%20Gabarain/La%20Misa%20es%20una%20Fiesta/11%20padre%20nuestro.mp3</t>
  </si>
  <si>
    <t>https://www.mercaba.org/Musica/Cesareo%20Gabarain/La%20Misa%20es%20una%20Fiesta/12%20tu%20nos%20invitas%20jesus.mp3</t>
  </si>
  <si>
    <t>https://www.mercaba.org/Musica/Cesareo%20Gabarain/La%20Misa%20es%20una%20Fiesta/13%20tan%20cerca%20de%20mi.mp3</t>
  </si>
  <si>
    <t>https://www.mercaba.org/Musica/Cesareo%20Gabarain/La%20Misa%20es%20una%20Fiesta/15%20ya%20llega%20ya%20llega.mp3</t>
  </si>
  <si>
    <t>https://www.mercaba.org/Musica/Cesareo%20Gabarain/La%20Misa%20es%20una%20Fiesta/16%20danos%20se%C3%B1or.mp3</t>
  </si>
  <si>
    <t>https://www.mercaba.org/Musica/Cesareo%20Gabarain/La%20Misa%20es%20una%20Fiesta/19%20creo%20en%20dios%20padre.mp3</t>
  </si>
  <si>
    <t>Gloria, gloria</t>
  </si>
  <si>
    <t>Creo, Señor</t>
  </si>
  <si>
    <t>Tú nos invitas, Jesús</t>
  </si>
  <si>
    <t>Ya llega, ya llega</t>
  </si>
  <si>
    <t>Danos, Señor</t>
  </si>
  <si>
    <t>Creo en Dios Padre</t>
  </si>
  <si>
    <t>https://www.mercaba.org/Musica/Cesareo%20Gabarain/Lampara%20de%20Barro/02%20junto%20al%20mar.mp3</t>
  </si>
  <si>
    <t>https://www.mercaba.org/Musica/Cesareo%20Gabarain/Lampara%20de%20Barro/03%20buen%20pastor.mp3</t>
  </si>
  <si>
    <t>https://www.mercaba.org/Musica/Cesareo%20Gabarain/Lampara%20de%20Barro/04%20samaritana.mp3</t>
  </si>
  <si>
    <t>https://www.mercaba.org/Musica/Cesareo%20Gabarain/Lampara%20de%20Barro/06%20mi%20amigo%20vive.mp3</t>
  </si>
  <si>
    <t>https://www.mercaba.org/Musica/Cesareo%20Gabarain/Lampara%20de%20Barro/08%20tu%20pones%20lo%20demas.mp3</t>
  </si>
  <si>
    <t>Junto al mar</t>
  </si>
  <si>
    <t>Samaritana</t>
  </si>
  <si>
    <t>Mi amigo vive</t>
  </si>
  <si>
    <t>Tú pones lo demás</t>
  </si>
  <si>
    <t>Padre nuestro (Lámpara de barro)</t>
  </si>
  <si>
    <t>Caminaré en presencia del Señor (Palazón)</t>
  </si>
  <si>
    <t>Caminaré en presencia del Señor (Espinosa)</t>
  </si>
  <si>
    <t>ACORDES</t>
  </si>
  <si>
    <t>https://www.youtube.com/watch?v=-fYxJtrHbLI</t>
  </si>
  <si>
    <t>Que hable la verdad</t>
  </si>
  <si>
    <t>Creemos en el amor</t>
  </si>
  <si>
    <t>Un pueblo que camina</t>
  </si>
  <si>
    <t>Todo nos habla de ti</t>
  </si>
  <si>
    <t>Sacramentos: cantos para la liturgia de hoy</t>
  </si>
  <si>
    <t>Tú estás aquí</t>
  </si>
  <si>
    <t>Recibe a tu siervo</t>
  </si>
  <si>
    <t>Hermano Francisco</t>
  </si>
  <si>
    <t>Alabado seas, mi Señor</t>
  </si>
  <si>
    <t>Las huellas del crucificado</t>
  </si>
  <si>
    <t>Dos buscadores del absoluto</t>
  </si>
  <si>
    <t>Francisco, Evangelio vivo</t>
  </si>
  <si>
    <t>Francisco, repara mi Iglesia</t>
  </si>
  <si>
    <t>Hermana Clara</t>
  </si>
  <si>
    <t>Quiero llamar hermanos a todos</t>
  </si>
  <si>
    <t>Hermano lobo</t>
  </si>
  <si>
    <t>Plegaria a Nuestra Señora de los Ángeles</t>
  </si>
  <si>
    <t>Hazme, Señor, instrumento de tu paz</t>
  </si>
  <si>
    <t>La perfecta alegría</t>
  </si>
  <si>
    <t>Alaba a tu Señor</t>
  </si>
  <si>
    <t>Cantando la alegría</t>
  </si>
  <si>
    <t>Dios confió en Él</t>
  </si>
  <si>
    <t>Busca una esperanza</t>
  </si>
  <si>
    <t>Dios y el hombre</t>
  </si>
  <si>
    <t>El viñador</t>
  </si>
  <si>
    <t>Quiero buscar</t>
  </si>
  <si>
    <t>La fuerza escondida</t>
  </si>
  <si>
    <t>Muerte y vida</t>
  </si>
  <si>
    <t>Quiero decirte que sí</t>
  </si>
  <si>
    <t>El Señor es nuestra luz</t>
  </si>
  <si>
    <t>Perdón, Señor</t>
  </si>
  <si>
    <t>Unidos en caridad</t>
  </si>
  <si>
    <t>Tarde en Caná</t>
  </si>
  <si>
    <t>La paz esté con vosotros</t>
  </si>
  <si>
    <t>https://www.mercaba.org/Musica/Cesareo%20Gabarain/aclamaciones%20para%20la%20celebracion,%20gabarain%20(m)/21%20aclamacion%20pentecostes.mp3</t>
  </si>
  <si>
    <t>Por Cristo (I)</t>
  </si>
  <si>
    <t>Por Cristo (II)</t>
  </si>
  <si>
    <t>Cristo resucitó (I)</t>
  </si>
  <si>
    <t>Cristo resucitó (II)</t>
  </si>
  <si>
    <t>https://www.mercaba.org/Musica/Cesareo%20Gabarain/Hermano%20Francisco/02%20-%20Alabado%20Seas%20Mi%20Se%C3%B1or.mp3</t>
  </si>
  <si>
    <t>https://www.mercaba.org/Musica/Cesareo%20Gabarain/Hermano%20Francisco/03%20-%20Las%20Huellas%20Del%20Crucificado.mp3</t>
  </si>
  <si>
    <t>https://www.mercaba.org/Musica/Cesareo%20Gabarain/Hermano%20Francisco/04%20-%20Dos%20Buscadores%20Del%20Absoluto.mp3</t>
  </si>
  <si>
    <t>https://www.mercaba.org/Musica/Cesareo%20Gabarain/Hermano%20Francisco/05%20-%20Francisco%20Evangelio%20Vivo.mp3</t>
  </si>
  <si>
    <t>https://www.mercaba.org/Musica/Cesareo%20Gabarain/Hermano%20Francisco/06%20-%20Francisco%20Repara%20Mi%20Iglesia.mp3</t>
  </si>
  <si>
    <t>https://www.mercaba.org/Musica/Cesareo%20Gabarain/Hermano%20Francisco/07%20-%20Hermana%20Clara.mp3</t>
  </si>
  <si>
    <t>https://www.mercaba.org/Musica/Cesareo%20Gabarain/Hermano%20Francisco/08%20-%20Quiero%20Llamar%20Hemanos%20A%20Todos.mp3</t>
  </si>
  <si>
    <t>https://www.mercaba.org/Musica/Cesareo%20Gabarain/Hermano%20Francisco/09%20-%20Hermano%20Lobo.mp3</t>
  </si>
  <si>
    <t>https://www.mercaba.org/Musica/Cesareo%20Gabarain/Hermano%20Francisco/10%20-%20Plegaria%20A%20Nuestra%20Se%C3%B1ora%20De%20Los%20Angeles.mp3</t>
  </si>
  <si>
    <t>https://www.mercaba.org/Musica/Cesareo%20Gabarain/Hermano%20Francisco/11%20-%20Hasme%20Se%C3%B1or%20Instrumento%20De%20Tu%20Paz.mp3</t>
  </si>
  <si>
    <t>https://www.mercaba.org/Musica/Cesareo%20Gabarain/Hermano%20Francisco/12%20-%20La%20Perfecta%20Alegria.mp3</t>
  </si>
  <si>
    <t>https://www.mercaba.org/Musica/Cesareo%20Gabarain/Jesus%20Nuestro%20Amigo/01%20-%20Alaba%20a%20tu%20Se%C3%B1or.mp3</t>
  </si>
  <si>
    <t>https://www.mercaba.org/Musica/Cesareo%20Gabarain/Jesus%20Nuestro%20Amigo/04%20-%20Cantando%20la%20alegr%C3%ADa.mp3</t>
  </si>
  <si>
    <t>https://www.mercaba.org/Musica/Cesareo%20Gabarain/Jesus%20Nuestro%20Amigo/05%20-%20Dios%20confi%C3%B3%20en%20%C3%89l.mp3</t>
  </si>
  <si>
    <t>https://www.mercaba.org/Musica/Cesareo%20Gabarain/Jesus%20Nuestro%20Amigo/07%20-%20Busca%20una%20esperanza.mp3</t>
  </si>
  <si>
    <t>https://www.mercaba.org/Musica/Cesareo%20Gabarain/Jesus%20Nuestro%20Amigo/08%20-%20Cada%20ma%C3%B1ana.mp3</t>
  </si>
  <si>
    <t>https://www.mercaba.org/Musica/Cesareo%20Gabarain/Jesus%20Nuestro%20Amigo/09%20-%20Dios%20y%20el%20hombre.mp3</t>
  </si>
  <si>
    <t>https://www.mercaba.org/Musica/Cesareo%20Gabarain/Jesus%20Nuestro%20Amigo/10%20-%20El%20vi%C3%B1ador.mp3</t>
  </si>
  <si>
    <t>https://www.mercaba.org/Musica/Cesareo%20Gabarain/La%20Fuerza%20del%20Espiritu/01%20-%20Quiero%20buscar.mp3</t>
  </si>
  <si>
    <t>https://www.mercaba.org/Musica/Cesareo%20Gabarain/La%20Fuerza%20del%20Espiritu/03%20-%20La%20fuerza%20escondida.mp3</t>
  </si>
  <si>
    <t>https://www.mercaba.org/Musica/Cesareo%20Gabarain/La%20Fuerza%20del%20Espiritu/05%20-%20Muerte%20y%20Vida.mp3</t>
  </si>
  <si>
    <t>https://www.mercaba.org/Musica/Cesareo%20Gabarain/La%20Fuerza%20del%20Espiritu/09%20-%20Quiero%20decirte%20que%20s%C3%AD.mp3</t>
  </si>
  <si>
    <t>https://www.mercaba.org/Musica/Cesareo%20Gabarain/La%20Fuerza%20del%20Espiritu/10%20-%20Testigos.mp3</t>
  </si>
  <si>
    <t>https://www.mercaba.org/Musica/Cesareo%20Gabarain/Liturgia%20y%20Cancion/02%20el%20se%C3%B1or%20es%20nuestra%20luz.mp3</t>
  </si>
  <si>
    <t>https://www.mercaba.org/Musica/Cesareo%20Gabarain/Liturgia%20y%20Cancion/03%20perdon%20se%C3%B1or.mp3</t>
  </si>
  <si>
    <t>https://www.mercaba.org/Musica/Cesareo%20Gabarain/Liturgia%20y%20Cancion/04%20cristo%20resucito.mp3</t>
  </si>
  <si>
    <t>https://www.mercaba.org/Musica/Cesareo%20Gabarain/Liturgia%20y%20Cancion/05%20unidos%20en%20caridad.mp3</t>
  </si>
  <si>
    <t>https://www.mercaba.org/Musica/Cesareo%20Gabarain/Liturgia%20y%20Cancion/09%20tarde%20en%20cana.mp3</t>
  </si>
  <si>
    <t>https://www.mercaba.org/Musica/Cesareo%20Gabarain/Liturgia%20y%20Cancion/12%20creo%20se%C3%B1or.mp3</t>
  </si>
  <si>
    <t>https://www.mercaba.org/Musica/Cesareo%20Gabarain/Liturgia%20y%20Cancion/13%20santo%20santo%20santo.mp3</t>
  </si>
  <si>
    <t>https://www.mercaba.org/Musica/Cesareo%20Gabarain/Liturgia%20y%20Cancion/14%20la%20paz%20este%20con%20vosotros.mp3</t>
  </si>
  <si>
    <t>https://www.mercaba.org/Musica/Cesareo%20Gabarain/Liturgia%20y%20Cancion/16%20amigos.mp3</t>
  </si>
  <si>
    <t>Santo (II)</t>
  </si>
  <si>
    <t>Santo (I)</t>
  </si>
  <si>
    <t>Madre del Amor</t>
  </si>
  <si>
    <t>https://www.mercaba.org/Musica/Cesareo%20Gabarain/Madre%20del%20Amor/01%20hoy%20te%20quiero%20cantar.mp3</t>
  </si>
  <si>
    <t>Hoy te quiero cantar</t>
  </si>
  <si>
    <t>Buscando al Hijo</t>
  </si>
  <si>
    <t>Tú no eres así</t>
  </si>
  <si>
    <t>En tu casa no hay milagros</t>
  </si>
  <si>
    <t>Junto a la Cruz</t>
  </si>
  <si>
    <t>María del Evangelio</t>
  </si>
  <si>
    <t>Si un niño llora</t>
  </si>
  <si>
    <t>Una boda en Caná</t>
  </si>
  <si>
    <t>https://www.mercaba.org/Musica/Cesareo%20Gabarain/Madre%20del%20Amor/02%20buscando%20al%20hijo.mp3</t>
  </si>
  <si>
    <t>https://www.mercaba.org/Musica/Cesareo%20Gabarain/Madre%20del%20Amor/03%20tu%20no%20eres%20asi.mp3</t>
  </si>
  <si>
    <t>https://www.mercaba.org/Musica/Cesareo%20Gabarain/Madre%20del%20Amor/04%20en%20tu%20casa%20no%20hay%20milagros.mp3</t>
  </si>
  <si>
    <t>https://www.mercaba.org/Musica/Cesareo%20Gabarain/Madre%20del%20Amor/05%20junto%20a%20la%20cruz.mp3</t>
  </si>
  <si>
    <t>https://www.mercaba.org/Musica/Cesareo%20Gabarain/Madre%20del%20Amor/06%20maria%20del%20evangelio.mp3</t>
  </si>
  <si>
    <t>https://www.mercaba.org/Musica/Cesareo%20Gabarain/Madre%20del%20Amor/07%20si%20un%20ni%C3%B1o%20llora.mp3</t>
  </si>
  <si>
    <t>https://www.mercaba.org/Musica/Cesareo%20Gabarain/Madre%20del%20Amor/08%20caminando.mp3</t>
  </si>
  <si>
    <t>https://www.mercaba.org/Musica/Cesareo%20Gabarain/Madre%20del%20Amor/09%20una%20boda%20en%20cana.mp3</t>
  </si>
  <si>
    <t>https://www.mercaba.org/Musica/Cesareo%20Gabarain/Madre%20del%20Amor/10%20ense%C3%B1anos%20a%20orar.mp3</t>
  </si>
  <si>
    <t>No fue fácil, María</t>
  </si>
  <si>
    <t>Llena de gracia</t>
  </si>
  <si>
    <t>En Caná de Galilea</t>
  </si>
  <si>
    <t>Bendita tú eres</t>
  </si>
  <si>
    <t>Bendito quien escucha la palabra</t>
  </si>
  <si>
    <t>Feliz la que ha creído</t>
  </si>
  <si>
    <t>Puente y camino</t>
  </si>
  <si>
    <t>Nos acompañas en el camino</t>
  </si>
  <si>
    <t>Madre de la unidad</t>
  </si>
  <si>
    <t>Madre de misericordia</t>
  </si>
  <si>
    <t>https://www.mercaba.org/Musica/Cesareo%20Gabarain/Madre%20del%20Redentor/01%20-%20No%20fue%20f%C3%A1cil,%20Mar%C3%ADa.mp3</t>
  </si>
  <si>
    <t>https://www.mercaba.org/Musica/Cesareo%20Gabarain/Madre%20del%20Redentor/02%20-%20Llena%20de%20gracia.mp3</t>
  </si>
  <si>
    <t>https://www.mercaba.org/Musica/Cesareo%20Gabarain/Madre%20del%20Redentor/03%20-%20En%20Can%C3%A1%20de%20Galilea.mp3</t>
  </si>
  <si>
    <t>https://www.mercaba.org/Musica/Cesareo%20Gabarain/Madre%20del%20Redentor/04%20-%20Bendita%20t%C3%BA%20eres.mp3</t>
  </si>
  <si>
    <t>https://www.mercaba.org/Musica/Cesareo%20Gabarain/Madre%20del%20Redentor/05%20-%20Madre%20del%20Redentor.mp3</t>
  </si>
  <si>
    <t>https://www.mercaba.org/Musica/Cesareo%20Gabarain/Madre%20del%20Redentor/06%20-%20Bendito%20quien%20escucha%20la%20Palabra.mp3</t>
  </si>
  <si>
    <t>https://www.mercaba.org/Musica/Cesareo%20Gabarain/Madre%20del%20Redentor/07%20-%20Feliz%20la%20que%20ha%20creido.mp3</t>
  </si>
  <si>
    <t>https://www.mercaba.org/Musica/Cesareo%20Gabarain/Madre%20del%20Redentor/08%20-%20Puente%20y%20camino.mp3</t>
  </si>
  <si>
    <t>https://www.mercaba.org/Musica/Cesareo%20Gabarain/Madre%20del%20Redentor/09%20-%20Nos%20acompa%C3%B1as%20en%20el%20camino.mp3</t>
  </si>
  <si>
    <t>https://www.mercaba.org/Musica/Cesareo%20Gabarain/Madre%20del%20Redentor/10%20-%20Madre%20de%20la%20unidad.mp3</t>
  </si>
  <si>
    <t>https://www.mercaba.org/Musica/Cesareo%20Gabarain/Madre%20del%20Redentor/11%20-%20Madre%20de%20misericordia.mp3</t>
  </si>
  <si>
    <t>María siempre</t>
  </si>
  <si>
    <t>Estrella y camino</t>
  </si>
  <si>
    <t>Madre de nuestra alegría</t>
  </si>
  <si>
    <t>Humilde nazarena</t>
  </si>
  <si>
    <t>Madre de los pobres</t>
  </si>
  <si>
    <t>Madre dolorosa</t>
  </si>
  <si>
    <t>Del cielo vino</t>
  </si>
  <si>
    <t>Siempre acudimos a ti</t>
  </si>
  <si>
    <t>Nana de Belén</t>
  </si>
  <si>
    <t>Madre del amor</t>
  </si>
  <si>
    <t>Más bella es María</t>
  </si>
  <si>
    <t>Madre de la Iglesia</t>
  </si>
  <si>
    <t>https://www.mercaba.org/Musica/Cesareo%20Gabarain/Maria%20Siempre/01%20estrella%20y%20camino.mp3</t>
  </si>
  <si>
    <t>https://www.mercaba.org/Musica/Cesareo%20Gabarain/Maria%20Siempre/02%20madre%20de%20nuestra%20alegria.mp3</t>
  </si>
  <si>
    <t>https://www.mercaba.org/Musica/Cesareo%20Gabarain/Maria%20Siempre/04%20humilde%20nazarena.mp3</t>
  </si>
  <si>
    <t>https://www.mercaba.org/Musica/Cesareo%20Gabarain/Maria%20Siempre/05%20madre%20de%20los%20pobres.mp3</t>
  </si>
  <si>
    <t>https://www.mercaba.org/Musica/Cesareo%20Gabarain/Maria%20Siempre/06%20madre%20dolorosa.mp3</t>
  </si>
  <si>
    <t>https://www.mercaba.org/Musica/Cesareo%20Gabarain/Maria%20Siempre/07%20del%20cielo%20vino.mp3</t>
  </si>
  <si>
    <t>https://www.mercaba.org/Musica/Cesareo%20Gabarain/Maria%20Siempre/08%20siempre%20acudimos%20a%20ti.mp3</t>
  </si>
  <si>
    <t>https://www.mercaba.org/Musica/Cesareo%20Gabarain/Maria%20Siempre/09%20nana%20de%20belen.mp3</t>
  </si>
  <si>
    <t>https://www.mercaba.org/Musica/Cesareo%20Gabarain/Maria%20Siempre/10%20madre%20del%20amor.mp3</t>
  </si>
  <si>
    <t>https://www.mercaba.org/Musica/Cesareo%20Gabarain/Maria%20Siempre/11%20mas%20bella%20es%20maria.mp3</t>
  </si>
  <si>
    <t>https://www.mercaba.org/Musica/Cesareo%20Gabarain/Maria%20Siempre/12%20madre%20de%20la%20iglesia.mp3</t>
  </si>
  <si>
    <t>https://www.youtube.com/watch?v=HcKNbqZWSXU</t>
  </si>
  <si>
    <t>https://www.youtube.com/watch?v=NJeIeIrDrKY</t>
  </si>
  <si>
    <t>https://www.youtube.com/watch?v=ohs3c9t1xB4</t>
  </si>
  <si>
    <t>https://www.youtube.com/watch?v=3oARi-eSF20</t>
  </si>
  <si>
    <t>No apaguéis vuestro amor</t>
  </si>
  <si>
    <t>Una familia</t>
  </si>
  <si>
    <t>Señor, Tú me has ungido</t>
  </si>
  <si>
    <t>Yo soy el agua viva</t>
  </si>
  <si>
    <t>Hemos conocido el amor</t>
  </si>
  <si>
    <t>Por la cruz a la luz</t>
  </si>
  <si>
    <t>Gloria al Señor</t>
  </si>
  <si>
    <t>Caminaré en presencia del Señor (Gabarain)</t>
  </si>
  <si>
    <t>Señor, conviértenos a ti</t>
  </si>
  <si>
    <t>Te adoramos, oh, Cristo</t>
  </si>
  <si>
    <t>Nostalgia de Dios</t>
  </si>
  <si>
    <t>En ti confío</t>
  </si>
  <si>
    <t>Soy yo, soy yo</t>
  </si>
  <si>
    <t>Como un huérfano</t>
  </si>
  <si>
    <t>En el taller de Nazaret</t>
  </si>
  <si>
    <t>En un pesebre</t>
  </si>
  <si>
    <t>Rezamos al cantar</t>
  </si>
  <si>
    <t>Dame tu perdón</t>
  </si>
  <si>
    <t>En Belén nació Jesús</t>
  </si>
  <si>
    <t>Oh, libertad</t>
  </si>
  <si>
    <t>Ansia de Dios</t>
  </si>
  <si>
    <t>El Señor es mi pastor (I)</t>
  </si>
  <si>
    <t>El Señor es mi pastor (II)</t>
  </si>
  <si>
    <t>https://www.mercaba.org/Musica/Cesareo%20Gabarain/No%20Apagueis%20Vuestro%20Amor/01%20no%20apagueis%20vuestro%20amor.mp3</t>
  </si>
  <si>
    <t>https://www.mercaba.org/Musica/Cesareo%20Gabarain/No%20Apagueis%20Vuestro%20Amor/02%20una%20familia.mp3</t>
  </si>
  <si>
    <t>https://www.mercaba.org/Musica/Cesareo%20Gabarain/No%20Apagueis%20Vuestro%20Amor/03%20se%C3%B1or,%20tu%20me%20has%20ungido.mp3</t>
  </si>
  <si>
    <t>https://www.mercaba.org/Musica/Cesareo%20Gabarain/No%20Apagueis%20Vuestro%20Amor/04%20yo%20soy%20el%20agua%20viva.mp3</t>
  </si>
  <si>
    <t>https://www.mercaba.org/Musica/Cesareo%20Gabarain/No%20Apagueis%20Vuestro%20Amor/05%20hemos%20conocido%20el%20amor.mp3</t>
  </si>
  <si>
    <t>https://www.mercaba.org/Musica/Cesareo%20Gabarain/No%20Apagueis%20Vuestro%20Amor/06%20por%20la%20cruz%20a%20la%20luz.mp3</t>
  </si>
  <si>
    <t>https://www.mercaba.org/Musica/Cesareo%20Gabarain/No%20Apagueis%20Vuestro%20Amor/07%20gloria%20al%20se%C3%B1or.mp3</t>
  </si>
  <si>
    <t>https://www.mercaba.org/Musica/Cesareo%20Gabarain/No%20Apagueis%20Vuestro%20Amor/08%20caminare%20en%20presencia%20del%20se%C3%B1or.mp3</t>
  </si>
  <si>
    <t>https://www.mercaba.org/Musica/Cesareo%20Gabarain/No%20Apagueis%20Vuestro%20Amor/09%20se%C3%B1or,%20conviertenos%20a%20ti.mp3</t>
  </si>
  <si>
    <t>https://www.mercaba.org/Musica/Cesareo%20Gabarain/No%20Apagueis%20Vuestro%20Amor/10%20te%20adoramos%20oh%20cristo.mp3</t>
  </si>
  <si>
    <t>https://www.mercaba.org/Musica/Cesareo%20Gabarain/No%20Apagueis%20Vuestro%20Amor/11%20tanto%20amo%20dios%20al%20mundo.mp3</t>
  </si>
  <si>
    <t>https://www.mercaba.org/Musica/Cesareo%20Gabarain/No%20Apagueis%20Vuestro%20Amor/12%20escucha%20se%C3%B1or.mp3</t>
  </si>
  <si>
    <t>https://www.mercaba.org/Musica/Cesareo%20Gabarain/No%20Apagueis%20Vuestro%20Amor/13%20mi%20alma%20esta%20sedienta.mp3</t>
  </si>
  <si>
    <t>https://www.mercaba.org/Musica/Cesareo%20Gabarain/Nostalgia%20de%20Dios/01%20en%20ti%20confio.mp3</t>
  </si>
  <si>
    <t>https://www.mercaba.org/Musica/Cesareo%20Gabarain/Nostalgia%20de%20Dios/02%20el%20se%C3%B1or%20es%20mi%20pastor.mp3</t>
  </si>
  <si>
    <t>https://www.mercaba.org/Musica/Cesareo%20Gabarain/Nostalgia%20de%20Dios/03%20soy%20yo%20soy%20yo.mp3</t>
  </si>
  <si>
    <t>https://www.mercaba.org/Musica/Cesareo%20Gabarain/Nostalgia%20de%20Dios/04%20gracias%20se%C3%B1or.mp3</t>
  </si>
  <si>
    <t>https://www.mercaba.org/Musica/Cesareo%20Gabarain/Nostalgia%20de%20Dios/05%20como%20un%20huerfano.mp3</t>
  </si>
  <si>
    <t>https://www.mercaba.org/Musica/Cesareo%20Gabarain/Nostalgia%20de%20Dios/06%20en%20el%20taller%20de%20nazaret.mp3</t>
  </si>
  <si>
    <t>https://www.mercaba.org/Musica/Cesareo%20Gabarain/Nostalgia%20de%20Dios/07%20en%20un%20pesebre.mp3</t>
  </si>
  <si>
    <t>https://www.mercaba.org/Musica/Cesareo%20Gabarain/Nostalgia%20de%20Dios/08%20rezamos%20al%20cantar.mp3</t>
  </si>
  <si>
    <t>https://www.mercaba.org/Musica/Cesareo%20Gabarain/Nostalgia%20de%20Dios/09%20dame%20tu%20perdon.mp3</t>
  </si>
  <si>
    <t>https://www.mercaba.org/Musica/Cesareo%20Gabarain/Nostalgia%20de%20Dios/10%20en%20belen%20nacio%20jesus.mp3</t>
  </si>
  <si>
    <t>https://www.mercaba.org/Musica/Cesareo%20Gabarain/Nostalgia%20de%20Dios/11%20oh%20libertad.mp3</t>
  </si>
  <si>
    <t>https://www.mercaba.org/Musica/Cesareo%20Gabarain/Nostalgia%20de%20Dios/12%20ansia%20de%20dios.mp3</t>
  </si>
  <si>
    <t>https://www.mercaba.org/Musica/Cesareo%20Gabarain/Nostalgia%20de%20Dios/13%20bendito%20seas%20se%C3%B1or.mp3</t>
  </si>
  <si>
    <t>Porque eres madre</t>
  </si>
  <si>
    <t>Y salta el pequeño Juan</t>
  </si>
  <si>
    <t>A Jesús, que va a nacer</t>
  </si>
  <si>
    <t>Ruega por nosotros</t>
  </si>
  <si>
    <t>Santa María</t>
  </si>
  <si>
    <t>He visto a un Dios pequeñito</t>
  </si>
  <si>
    <t>https://www.mercaba.org/Musica/Cesareo%20Gabarain/Porque%20Eres%20Madre/01%20-%20Porque%20eres%20Madre.mp3</t>
  </si>
  <si>
    <t>https://www.mercaba.org/Musica/Cesareo%20Gabarain/Porque%20Eres%20Madre/02%20-%20Madre%20de%20Dios.mp3</t>
  </si>
  <si>
    <t>https://www.mercaba.org/Musica/Cesareo%20Gabarain/Porque%20Eres%20Madre/03%20-%20Y%20salta%20el%20peque%C3%B1o%20Juan.mp3</t>
  </si>
  <si>
    <t>https://www.mercaba.org/Musica/Cesareo%20Gabarain/Porque%20Eres%20Madre/04%20-%20A%20Jes%C3%BAs%20que%20va%20a%20nacer.mp3</t>
  </si>
  <si>
    <t>https://www.mercaba.org/Musica/Cesareo%20Gabarain/Porque%20Eres%20Madre/05%20-%20Ruega%20por%20nosotros.mp3</t>
  </si>
  <si>
    <t>https://www.mercaba.org/Musica/Cesareo%20Gabarain/Porque%20Eres%20Madre/06%20-%20Proclama%20mi%20alma.mp3</t>
  </si>
  <si>
    <t>https://www.mercaba.org/Musica/Cesareo%20Gabarain/Porque%20Eres%20Madre/07%20-%20Santa%20Mar%C3%ADa.mp3</t>
  </si>
  <si>
    <t>https://www.mercaba.org/Musica/Cesareo%20Gabarain/Porque%20Eres%20Madre/08%20-%20He%20visto%20a%20un%20Dios%20peque%C3%B1ito.mp3</t>
  </si>
  <si>
    <t>Un joven soy</t>
  </si>
  <si>
    <t>Cristo, horizonte del joven</t>
  </si>
  <si>
    <t>Te damos gracias</t>
  </si>
  <si>
    <t>Ven a vivir mi aventura</t>
  </si>
  <si>
    <t>Una joven nazarena</t>
  </si>
  <si>
    <t>Samuel</t>
  </si>
  <si>
    <t>El joven David</t>
  </si>
  <si>
    <t>Bienaventuranzas del joven</t>
  </si>
  <si>
    <t>El joven es levadura</t>
  </si>
  <si>
    <t>Merece la pena</t>
  </si>
  <si>
    <t>https://www.mercaba.org/Musica/Cesareo%20Gabarain/Un%20Joven%20Soy/01%20cristo%20horizonte%20del%20joven.mp3</t>
  </si>
  <si>
    <t>https://www.mercaba.org/Musica/Cesareo%20Gabarain/Un%20Joven%20Soy/02%20un%20joven%20soy.mp3</t>
  </si>
  <si>
    <t>https://www.mercaba.org/Musica/Cesareo%20Gabarain/Un%20Joven%20Soy/03%20te%20damos%20gracias.mp3</t>
  </si>
  <si>
    <t>https://www.mercaba.org/Musica/Cesareo%20Gabarain/Un%20Joven%20Soy/04%20ven%20a%20vivir%20mi%20aventura.mp3</t>
  </si>
  <si>
    <t>https://www.mercaba.org/Musica/Cesareo%20Gabarain/Un%20Joven%20Soy/05%20una%20joven%20nazarena.mp3</t>
  </si>
  <si>
    <t>https://www.mercaba.org/Musica/Cesareo%20Gabarain/Un%20Joven%20Soy/06%20samuel.mp3</t>
  </si>
  <si>
    <t>https://www.mercaba.org/Musica/Cesareo%20Gabarain/Un%20Joven%20Soy/07%20el%20joven%20david.mp3</t>
  </si>
  <si>
    <t>https://www.mercaba.org/Musica/Cesareo%20Gabarain/Un%20Joven%20Soy/08%20bienaventuranzas%20del%20joven.mp3</t>
  </si>
  <si>
    <t>https://www.mercaba.org/Musica/Cesareo%20Gabarain/Un%20Joven%20Soy/09%20el%20joven%20es%20levadura.mp3</t>
  </si>
  <si>
    <t>https://www.mercaba.org/Musica/Cesareo%20Gabarain/Un%20Joven%20Soy/10%20merece%20la%20pena.mp3</t>
  </si>
  <si>
    <t>Sufres, lloras, mueres</t>
  </si>
  <si>
    <t>En el tren de la vida</t>
  </si>
  <si>
    <t>Cansados de trabajar</t>
  </si>
  <si>
    <t>Mi padre Dios me quiere</t>
  </si>
  <si>
    <t>En tus murallas, Jericó</t>
  </si>
  <si>
    <t>Dios y esperanza en el sufrir</t>
  </si>
  <si>
    <t>Alguien me llama</t>
  </si>
  <si>
    <t>Señor, yo quiero ser cristiano</t>
  </si>
  <si>
    <t>Pan de vida</t>
  </si>
  <si>
    <t>Lejos voy</t>
  </si>
  <si>
    <t>El pan sabroso</t>
  </si>
  <si>
    <t>https://www.mercaba.org/Musica/Cesareo%20Gabarain/Ven%20Se%C3%B1or/01%20sufres%20lloras%20mueres.mp3</t>
  </si>
  <si>
    <t>https://www.mercaba.org/Musica/Cesareo%20Gabarain/Ven%20Se%C3%B1or/05%20en%20el%20tren%20de%20la%20vida.mp3</t>
  </si>
  <si>
    <t>https://www.mercaba.org/Musica/Cesareo%20Gabarain/Ven%20Se%C3%B1or/06%20cansados%20de%20trabajar.mp3</t>
  </si>
  <si>
    <t>https://www.mercaba.org/Musica/Cesareo%20Gabarain/Ven%20Se%C3%B1or/07%20mi%20padre%20dios%20me%20quiere.mp3</t>
  </si>
  <si>
    <t>https://www.mercaba.org/Musica/Cesareo%20Gabarain/Ven%20Se%C3%B1or/08%20en%20tus%20murallas%20jerico.mp3</t>
  </si>
  <si>
    <t>https://www.mercaba.org/Musica/Cesareo%20Gabarain/Ven%20Se%C3%B1or/09%20dios%20y%20esperanza%20en%20el%20sufrir.mp3</t>
  </si>
  <si>
    <t>https://www.mercaba.org/Musica/Cesareo%20Gabarain/Ven%20Se%C3%B1or/10%20ven%20se%C3%B1or.mp3</t>
  </si>
  <si>
    <t>https://www.mercaba.org/Musica/Cesareo%20Gabarain/Ven%20Se%C3%B1or/11%20alguien%20me%20llama.mp3</t>
  </si>
  <si>
    <t>https://www.mercaba.org/Musica/Cesareo%20Gabarain/Ven%20Se%C3%B1or/12%20se%C3%B1or%20yo%20quiero%20ser%20cristiano.mp3</t>
  </si>
  <si>
    <t>https://www.mercaba.org/Musica/Cesareo%20Gabarain/Ven%20Se%C3%B1or/13%20pan%20de%20vida.mp3</t>
  </si>
  <si>
    <t>https://www.mercaba.org/Musica/Cesareo%20Gabarain/Ven%20Se%C3%B1or/16%20lejos%20voy.mp3</t>
  </si>
  <si>
    <t>https://www.mercaba.org/Musica/Cesareo%20Gabarain/Ven%20Se%C3%B1or/17%20el%20pan%20sabroso.mp3</t>
  </si>
  <si>
    <t>https://www.youtube.com/watch?v=zYUi0gQOHRw</t>
  </si>
  <si>
    <t>https://www.youtube.com/watch?v=f77iMrF00io</t>
  </si>
  <si>
    <t>https://www.youtube.com/watch?v=7QupyANOkNE</t>
  </si>
  <si>
    <t>Preparad los caminos</t>
  </si>
  <si>
    <t>https://www.youtube.com/watch?v=duZ5xYG_-AM</t>
  </si>
  <si>
    <t>https://www.youtube.com/watch?v=A552gYV_9yU</t>
  </si>
  <si>
    <t>https://www.youtube.com/watch?v=djDejaGi-Fo</t>
  </si>
  <si>
    <t>https://www.youtube.com/watch?v=7vwTr1iYSAI</t>
  </si>
  <si>
    <t>https://www.youtube.com/watch?v=Zkb0odbIEmY</t>
  </si>
  <si>
    <t>https://www.youtube.com/watch?v=u7t4lAnL_mU</t>
  </si>
  <si>
    <t>https://www.youtube.com/watch?v=mPjkEumgIEU</t>
  </si>
  <si>
    <t>https://www.youtube.com/watch?v=f4FmaBeHM7s</t>
  </si>
  <si>
    <t>https://www.youtube.com/watch?v=JjKtFFNaSyc</t>
  </si>
  <si>
    <t>https://www.youtube.com/watch?v=JlxGvGOlKDo</t>
  </si>
  <si>
    <t>https://www.youtube.com/watch?v=jtFB-kh1tRc</t>
  </si>
  <si>
    <t>https://www.youtube.com/watch?v=STcA_6fl32Q</t>
  </si>
  <si>
    <t>https://www.youtube.com/watch?v=4gCnR2n05w8</t>
  </si>
  <si>
    <t>Vive hoy, vive aquí</t>
  </si>
  <si>
    <t>https://www.youtube.com/watch?v=u-_mO_KhCYY</t>
  </si>
  <si>
    <t>https://www.youtube.com/watch?v=NZRvlGUz2Pk</t>
  </si>
  <si>
    <t>https://www.youtube.com/watch?v=2UO6AGcVNFo</t>
  </si>
  <si>
    <t>Gilmer Torres Ruiz</t>
  </si>
  <si>
    <t>https://www.youtube.com/watch?v=r_M76oAFbZk</t>
  </si>
  <si>
    <t>Venimos a tu mesa</t>
  </si>
  <si>
    <t>https://www.youtube.com/watch?v=jEzxJ2AMUmk</t>
  </si>
  <si>
    <t>https://www.youtube.com/watch?v=H8vFcoTxezI</t>
  </si>
  <si>
    <t>Bienheureux</t>
  </si>
  <si>
    <t>Léah Pavageau</t>
  </si>
  <si>
    <t>https://www.youtube.com/watch?v=kADpRG3jUK0</t>
  </si>
  <si>
    <t>https://www.youtube.com/watch?v=AXvvMQYXtfc</t>
  </si>
  <si>
    <t>https://www.youtube.com/watch?v=UXp6nIrdRM4</t>
  </si>
  <si>
    <t>https://www.youtube.com/watch?v=_PBvJJw7kwk</t>
  </si>
  <si>
    <t>https://www.youtube.com/watch?v=j2f2EabkOwk</t>
  </si>
  <si>
    <t>https://www.youtube.com/watch?v=gX0k1HdL4u4</t>
  </si>
  <si>
    <t>El Señor nos llama</t>
  </si>
  <si>
    <t>Salmos para cantar I</t>
  </si>
  <si>
    <t>https://www.youtube.com/watch?v=FFTgyCq_FNE</t>
  </si>
  <si>
    <t>https://www.youtube.com/watch?v=Scsr9K02qpE</t>
  </si>
  <si>
    <t>https://www.youtube.com/watch?v=Fj-Sr1Uw3_E</t>
  </si>
  <si>
    <t>https://www.youtube.com/watch?v=5QJpnOYiRck</t>
  </si>
  <si>
    <t>https://www.youtube.com/watch?v=tOlvpQQn4ZA</t>
  </si>
  <si>
    <t>Comer tu pan</t>
  </si>
  <si>
    <t>https://www.youtube.com/watch?v=Vkahq3bnpZ4</t>
  </si>
  <si>
    <t>https://www.youtube.com/watch?v=6cZg1YXWugU</t>
  </si>
  <si>
    <t>https://www.youtube.com/watch?v=4xy7GrBxZEY</t>
  </si>
  <si>
    <t>https://www.youtube.com/watch?v=6aDLLuWwAkg</t>
  </si>
  <si>
    <t>Martín Verde Barajas</t>
  </si>
  <si>
    <t>https://www.youtube.com/watch?v=lUsUTzkKKsg</t>
  </si>
  <si>
    <t>https://www.youtube.com/watch?v=zBUox1ZtGcE</t>
  </si>
  <si>
    <t>https://www.youtube.com/watch?v=sNYI9ksztC0</t>
  </si>
  <si>
    <t>https://www.youtube.com/watch?v=chELSKIfgYQ</t>
  </si>
  <si>
    <t>https://www.youtube.com/watch?v=JwI255uLH1c</t>
  </si>
  <si>
    <t>https://www.youtube.com/watch?v=X5DknNmLvnI</t>
  </si>
  <si>
    <t>https://www.youtube.com/watch?v=AkLUAQN-Pfo</t>
  </si>
  <si>
    <t>https://www.youtube.com/watch?v=deartNdeluI</t>
  </si>
  <si>
    <t>Navidad y su estrella</t>
  </si>
  <si>
    <t>https://www.youtube.com/watch?v=k6iNXzX-sEc</t>
  </si>
  <si>
    <t>Esperando al Señor</t>
  </si>
  <si>
    <t>Ha nacido</t>
  </si>
  <si>
    <t>https://www.youtube.com/watch?v=bPMYa9-hIQE</t>
  </si>
  <si>
    <t>https://www.youtube.com/watch?v=qRD-tD4P55Q</t>
  </si>
  <si>
    <t>https://www.youtube.com/watch?v=MOJyuna2a9g</t>
  </si>
  <si>
    <t>https://www.youtube.com/watch?v=jKZ0J65M5FY</t>
  </si>
  <si>
    <t>https://www.youtube.com/watch?v=3xiwX4mx_Kk</t>
  </si>
  <si>
    <t>https://www.youtube.com/watch?v=TVvA6eF2HxE</t>
  </si>
  <si>
    <t>https://www.youtube.com/watch?v=1WWGmMnR3-w</t>
  </si>
  <si>
    <t>https://www.youtube.com/watch?v=edEXVnvS5cM</t>
  </si>
  <si>
    <t>https://www.youtube.com/watch?v=PGzQTQShf8A</t>
  </si>
  <si>
    <t>https://www.youtube.com/watch?v=7BTm5fqQ_gI</t>
  </si>
  <si>
    <t>https://www.youtube.com/watch?v=5PCixdWT1q8</t>
  </si>
  <si>
    <t>https://www.youtube.com/watch?v=qWxGT7TUZ5g</t>
  </si>
  <si>
    <t>Peregrina de la fe</t>
  </si>
  <si>
    <t>https://www.youtube.com/watch?v=4uSmLyVh7Ec</t>
  </si>
  <si>
    <t>https://www.youtube.com/watch?v=IPY8F4ZkhDk</t>
  </si>
  <si>
    <t>Canciones</t>
  </si>
  <si>
    <t>Salmos de muerte y de gloria</t>
  </si>
  <si>
    <t>El profeta</t>
  </si>
  <si>
    <t>https://www.mercaba.org/Musica/Ricardo%20cantalapiedra/El%20Profeta/03%20queremos.mp3</t>
  </si>
  <si>
    <t>https://www.mercaba.org/Musica/Ricardo%20cantalapiedra/Canciones%20de%20Ricardo%20C/10%20gritare.mp3</t>
  </si>
  <si>
    <t>https://www.mercaba.org/Musica/Ricardo%20cantalapiedra/Canciones%20de%20Ricardo%20C/01%20un%20hombre%20vulgar.mp3</t>
  </si>
  <si>
    <t>https://www.mercaba.org/Musica/Ricardo%20cantalapiedra/Canciones%20de%20Ricardo%20C/02%20pajaro%20viajero%20y%20de%20pueblo%20en%20pueblo.mp3</t>
  </si>
  <si>
    <t>https://www.mercaba.org/Musica/Ricardo%20cantalapiedra/Canciones%20de%20Ricardo%20C/04%20pajaro%20herido%20y%20cancion%208.mp3</t>
  </si>
  <si>
    <t>https://www.mercaba.org/Musica/Ricardo%20cantalapiedra/Canciones%20de%20Ricardo%20C/05%20balada%20de%20juan%20espa%C3%B1ol.mp3</t>
  </si>
  <si>
    <t>https://www.mercaba.org/Musica/Ricardo%20cantalapiedra/Canciones%20de%20Ricardo%20C/07%20cancion%20del%20que%20se%20va.mp3</t>
  </si>
  <si>
    <t>https://www.mercaba.org/Musica/Ricardo%20cantalapiedra/Canciones%20de%20Ricardo%20C/08%20coplas%20de%20la%20pena%20negra.mp3</t>
  </si>
  <si>
    <t>https://www.mercaba.org/Musica/Ricardo%20cantalapiedra/El%20Profeta/07%20equivocos.mp3</t>
  </si>
  <si>
    <t>Un hombre vulgar</t>
  </si>
  <si>
    <t>Pájaro viajero</t>
  </si>
  <si>
    <t>Pájaro herido</t>
  </si>
  <si>
    <t>Balada de Juan Español</t>
  </si>
  <si>
    <t>Canción del que se va</t>
  </si>
  <si>
    <t>Coplas de la pena negra</t>
  </si>
  <si>
    <t>Hay un lugar</t>
  </si>
  <si>
    <t>No te conozco</t>
  </si>
  <si>
    <t>https://www.mercaba.org/Musica/Ricardo%20cantalapiedra/Canciones%20de%20Ricardo%20C/09%20hay%20un%20lugar.mp3</t>
  </si>
  <si>
    <t>https://www.mercaba.org/Musica/Ricardo%20cantalapiedra/Canciones%20de%20Ricardo%20C/11%20no%20te%20conozco.mp3</t>
  </si>
  <si>
    <t>https://www.mercaba.org/Musica/Ricardo%20cantalapiedra/El%20Profeta/01%20donde%20estan%20los%20profetas.mp3</t>
  </si>
  <si>
    <t>https://www.mercaba.org/Musica/Ricardo%20cantalapiedra/El%20Profeta/02%20en%20lo%20alto%20-%20Shortcut.lnk</t>
  </si>
  <si>
    <t>Dónde están los profetas</t>
  </si>
  <si>
    <t>En lo alto</t>
  </si>
  <si>
    <t>Canción para no matar</t>
  </si>
  <si>
    <t>Exurge</t>
  </si>
  <si>
    <t>El peregrino</t>
  </si>
  <si>
    <t>Malaventuranzas</t>
  </si>
  <si>
    <t>La casa de mi amigo</t>
  </si>
  <si>
    <t>El trovador</t>
  </si>
  <si>
    <t>https://www.mercaba.org/Musica/Ricardo%20cantalapiedra/El%20Profeta/04%20cancion%20para%20no%20matar.mp3</t>
  </si>
  <si>
    <t>https://www.mercaba.org/Musica/Ricardo%20cantalapiedra/El%20Profeta/05%20maranatha.mp3</t>
  </si>
  <si>
    <t>https://www.mercaba.org/Musica/Ricardo%20cantalapiedra/El%20Profeta/06%20exurge.mp3</t>
  </si>
  <si>
    <t>https://www.mercaba.org/Musica/Ricardo%20cantalapiedra/El%20Profeta/08%20el%20peregrino.mp3</t>
  </si>
  <si>
    <t>https://www.mercaba.org/Musica/Ricardo%20cantalapiedra/El%20Profeta/09%20malaventuranzas.mp3</t>
  </si>
  <si>
    <t>https://www.mercaba.org/Musica/Ricardo%20cantalapiedra/El%20Profeta/10%20el%20profeta.mp3</t>
  </si>
  <si>
    <t>https://www.mercaba.org/Musica/Ricardo%20cantalapiedra/El%20Profeta/11%20la%20casa%20de%20mi%20amigo.mp3</t>
  </si>
  <si>
    <t>https://www.mercaba.org/Musica/Ricardo%20cantalapiedra/El%20Profeta/12%20el%20trovador.mp3</t>
  </si>
  <si>
    <t>https://www.mercaba.org/Musica/Ricardo%20cantalapiedra/Salmos%20de%20Muerte%20y%20de%20Gloria/01%20hosanna.mp3</t>
  </si>
  <si>
    <t>https://www.mercaba.org/Musica/Ricardo%20cantalapiedra/Salmos%20de%20Muerte%20y%20de%20Gloria/05%20a%20ti%20encomiendo%20mi%20vida.mp3</t>
  </si>
  <si>
    <t>https://www.mercaba.org/Musica/Ricardo%20cantalapiedra/Salmos%20de%20Muerte%20y%20de%20Gloria/07%20adoracion%20de%20la%20cruz.mp3</t>
  </si>
  <si>
    <t>https://www.mercaba.org/Musica/Ricardo%20cantalapiedra/Salmos%20de%20Muerte%20y%20de%20Gloria/08%20alabad%20el%20nombre%20de%20yave.mp3</t>
  </si>
  <si>
    <t>https://www.mercaba.org/Musica/Ricardo%20cantalapiedra/Salmos%20de%20Muerte%20y%20de%20Gloria/12%20salmo%20117.mp3</t>
  </si>
  <si>
    <t>https://www.mercaba.org/Musica/Ricardo%20cantalapiedra/Salmos%20de%20Muerte%20y%20de%20Gloria/14%20canto%20de%20gloria.mp3</t>
  </si>
  <si>
    <t>A ti encomiendo mi vida</t>
  </si>
  <si>
    <t>Adoración de la Cruz</t>
  </si>
  <si>
    <t>Alabad el nombre de Yahveh</t>
  </si>
  <si>
    <t>Canto de gloria</t>
  </si>
  <si>
    <t>https://www.youtube.com/watch?v=-b7sloqg_JY</t>
  </si>
  <si>
    <t>https://www.youtube.com/watch?v=OtLioBqdV0k</t>
  </si>
  <si>
    <t>https://www.youtube.com/watch?v=m7wIlP14v-s</t>
  </si>
  <si>
    <t>https://www.youtube.com/watch?v=UGyCl72CKNE</t>
  </si>
  <si>
    <t>https://www.youtube.com/watch?v=XQtBVu6GVVA</t>
  </si>
  <si>
    <t>https://www.youtube.com/watch?v=pUleNXoHA4g</t>
  </si>
  <si>
    <t>https://www.youtube.com/watch?v=4kAE7PJc-vM</t>
  </si>
  <si>
    <t>https://www.youtube.com/watch?v=sZ3lTBGmM9k</t>
  </si>
  <si>
    <t>https://www.youtube.com/watch?v=Cs4CwgYpXfw</t>
  </si>
  <si>
    <t>https://www.youtube.com/watch?v=lvG5MyhMJgo</t>
  </si>
  <si>
    <t>https://www.youtube.com/watch?v=IPOzv7-mYFQ</t>
  </si>
  <si>
    <t>https://www.youtube.com/watch?v=6KDoBnuW8dI</t>
  </si>
  <si>
    <t>https://www.youtube.com/watch?v=38zZt_pVBRg</t>
  </si>
  <si>
    <t>https://www.youtube.com/watch?v=eqWhQVRxqos</t>
  </si>
  <si>
    <t>https://www.youtube.com/watch?v=mgqF4UOiQ5s</t>
  </si>
  <si>
    <t>https://www.youtube.com/watch?v=KCz52R_caK4</t>
  </si>
  <si>
    <t>https://www.youtube.com/watch?v=xOPhxWQmOgY</t>
  </si>
  <si>
    <t>https://www.youtube.com/watch?v=qiBlHzPst6U</t>
  </si>
  <si>
    <t>https://www.youtube.com/watch?v=ULEQzpjwKKo</t>
  </si>
  <si>
    <t>https://www.youtube.com/watch?v=CAQizIZD-EU</t>
  </si>
  <si>
    <t>https://www.youtube.com/watch?v=hsUXe0rEYT8</t>
  </si>
  <si>
    <t>https://www.youtube.com/watch?v=YdB1e5Uc9Yw</t>
  </si>
  <si>
    <t>https://www.youtube.com/watch?v=h3n31TAVvTc</t>
  </si>
  <si>
    <t>https://www.youtube.com/watch?v=-8N_8xMLL4M</t>
  </si>
  <si>
    <t>https://www.youtube.com/watch?v=waQqeP1rddE</t>
  </si>
  <si>
    <t>https://www.youtube.com/watch?v=mmU59J1MAYA</t>
  </si>
  <si>
    <t>https://www.youtube.com/watch?v=Ibb66bg9ZvM</t>
  </si>
  <si>
    <t>https://www.youtube.com/watch?v=TK3PX68nRwY</t>
  </si>
  <si>
    <t>https://www.youtube.com/watch?v=TF0bU1zwRJA</t>
  </si>
  <si>
    <t>https://www.youtube.com/watch?v=j9bBBpdTUE0</t>
  </si>
  <si>
    <t>https://www.youtube.com/watch?v=06BRu-Dki48</t>
  </si>
  <si>
    <t>https://www.youtube.com/watch?v=SCiKjoLuK2A</t>
  </si>
  <si>
    <t>https://www.youtube.com/watch?v=-mIXEWppi-k</t>
  </si>
  <si>
    <t>https://www.youtube.com/watch?v=Y7i2-T097gU</t>
  </si>
  <si>
    <t>https://www.youtube.com/watch?v=NGEVVMTGiPE</t>
  </si>
  <si>
    <t>https://www.youtube.com/watch?v=VzK3IL1_FZs</t>
  </si>
  <si>
    <t>https://www.youtube.com/watch?v=0jaSunweaZc</t>
  </si>
  <si>
    <t>https://www.youtube.com/watch?v=ZHqiASVzwpg</t>
  </si>
  <si>
    <t>https://www.youtube.com/watch?v=FwSKN6LHfU4</t>
  </si>
  <si>
    <t>https://www.youtube.com/watch?v=NCpBrd400pQ</t>
  </si>
  <si>
    <t>https://www.youtube.com/watch?v=xPmSsQZ6dVU</t>
  </si>
  <si>
    <t>https://open.spotify.com/intl-es/track/0Yv5G7BDcctDbInEvGQTo8?si=d4506da66e1c4e72</t>
  </si>
  <si>
    <t>https://open.spotify.com/intl-es/track/0RQlT4UW5znqGnbHSpk798?si=aa9a3e749da542b7</t>
  </si>
  <si>
    <t>https://open.spotify.com/intl-es/track/3pj6B4B6E5oWbEbafEQAUt?si=6da97a65035b4676</t>
  </si>
  <si>
    <t>https://open.spotify.com/intl-es/track/0wEMrHzDqaERVVdFp0CZiF?si=8ac3f5cfb93c4b94</t>
  </si>
  <si>
    <t>https://open.spotify.com/intl-es/track/6PUBheOBEdlt5EEwSP0FRn?si=f98a541d11414e56</t>
  </si>
  <si>
    <t>https://open.spotify.com/intl-es/track/0GUSEo8WNS9ZdMBZQCAnzT?si=410f30e45674487c</t>
  </si>
  <si>
    <t>https://open.spotify.com/intl-es/track/6ieQ7X8V5cpueMptQCiX1p?si=b32fcafbd5db4d52</t>
  </si>
  <si>
    <t>https://open.spotify.com/intl-es/track/37yaNhjAx3aZ8ocdAdRoLQ?si=4ea8f1a9ca294372</t>
  </si>
  <si>
    <t>https://www.youtube.com/watch?v=IaJHD3LTufY</t>
  </si>
  <si>
    <t>https://www.youtube.com/watch?v=LAm6fIEzM2c</t>
  </si>
  <si>
    <t>https://www.youtube.com/watch?v=l0ecBAeN1Y8</t>
  </si>
  <si>
    <t>https://www.youtube.com/watch?v=FQ1FaaSSj54</t>
  </si>
  <si>
    <t>Adviento, María y Navidad</t>
  </si>
  <si>
    <t>Hoy he vuelto de lejos</t>
  </si>
  <si>
    <t>Nuevos cantos para la misa</t>
  </si>
  <si>
    <t>Cristo libertador</t>
  </si>
  <si>
    <t>Viviremos con Él</t>
  </si>
  <si>
    <t>Nuevos cantos para el año litúrgico</t>
  </si>
  <si>
    <t>12 canciones religiosas y litúrgicas para el siglo XXI</t>
  </si>
  <si>
    <t>15 cantos para la cena del Señor</t>
  </si>
  <si>
    <t>16 cantos para la misa</t>
  </si>
  <si>
    <t>24 cantos de Adviento y Navidad</t>
  </si>
  <si>
    <t>Cantos para participar y vivir la misa</t>
  </si>
  <si>
    <t>Cantos para una comunidad evangelizadora</t>
  </si>
  <si>
    <t>Cristo vive</t>
  </si>
  <si>
    <t>Nuevos cantos de Adviento y Navidad</t>
  </si>
  <si>
    <t>Siguiendo las pisadas de Cristo</t>
  </si>
  <si>
    <t>Caminando desde oriente</t>
  </si>
  <si>
    <t>Con el alba les despide</t>
  </si>
  <si>
    <t>En Belén de la Virgen María</t>
  </si>
  <si>
    <t>En la cena de Nochebuena</t>
  </si>
  <si>
    <t>Estrella y flor aurora</t>
  </si>
  <si>
    <t>Los ángeles cantando están</t>
  </si>
  <si>
    <t>María, madre de gracia</t>
  </si>
  <si>
    <t>Natus est dei filius</t>
  </si>
  <si>
    <t>Preparemos los caminos</t>
  </si>
  <si>
    <t>Proclama mi alma la salvación</t>
  </si>
  <si>
    <t>Se levanta la mañana</t>
  </si>
  <si>
    <t>Sopla el viento</t>
  </si>
  <si>
    <t>Yo soy un pastorcillo</t>
  </si>
  <si>
    <t>El Espíritu de Dios</t>
  </si>
  <si>
    <t>Queremos construir una ciudad</t>
  </si>
  <si>
    <t>Libertador de Nazaret</t>
  </si>
  <si>
    <t>Entre los nacidos</t>
  </si>
  <si>
    <t>Quién vendrá a Sicar</t>
  </si>
  <si>
    <t>En la mañana de la resurrección</t>
  </si>
  <si>
    <t>Jerusalén</t>
  </si>
  <si>
    <t>Por nuestro amor murió el Señor</t>
  </si>
  <si>
    <t>Rebelde</t>
  </si>
  <si>
    <t>Sube a la montaña</t>
  </si>
  <si>
    <t>Tú, Señor, me llamas</t>
  </si>
  <si>
    <t>Cultivaré mi alma en la fe</t>
  </si>
  <si>
    <t>Dichosos los pobres de espíritu</t>
  </si>
  <si>
    <t>En oración venimos hoy</t>
  </si>
  <si>
    <t>Fiesta del banquete</t>
  </si>
  <si>
    <t>Fuente bautismal</t>
  </si>
  <si>
    <t>Iglesia santa, abre tus brazos</t>
  </si>
  <si>
    <t>Juntos marchamos a ti</t>
  </si>
  <si>
    <t>Pedro, Pablo, Juan y Andrés</t>
  </si>
  <si>
    <t>Si vivimos, vivimos para Él</t>
  </si>
  <si>
    <t>Ten piedad, Señor</t>
  </si>
  <si>
    <t>Dios es Amor</t>
  </si>
  <si>
    <t>Cristo es el camino</t>
  </si>
  <si>
    <t>Venid, aclamemos</t>
  </si>
  <si>
    <t>Estrella y flor</t>
  </si>
  <si>
    <t>Pan sabroso</t>
  </si>
  <si>
    <t>El señor nos invita</t>
  </si>
  <si>
    <t>Cantemos hoy el amor</t>
  </si>
  <si>
    <t>Porque eres bueno, Señor</t>
  </si>
  <si>
    <t>Delante de tu altar</t>
  </si>
  <si>
    <t>Oh, sagrado convite</t>
  </si>
  <si>
    <t>Mesías de liberación</t>
  </si>
  <si>
    <t>Se acerca la liberación</t>
  </si>
  <si>
    <t>En el silencio de un portal</t>
  </si>
  <si>
    <t>Apóstoles dichosos son</t>
  </si>
  <si>
    <t>Sólo Él es el camino</t>
  </si>
  <si>
    <t>Fariseos</t>
  </si>
  <si>
    <t>Ten piedad, gritaba en el camino</t>
  </si>
  <si>
    <t>Eloi, eloi, Jerusalen</t>
  </si>
  <si>
    <t>Llora la virgen</t>
  </si>
  <si>
    <t>Paz para respirar</t>
  </si>
  <si>
    <t>Natus est</t>
  </si>
  <si>
    <t>Cerca está</t>
  </si>
  <si>
    <t>Tú me llamas por mi nombre</t>
  </si>
  <si>
    <t>En el lago</t>
  </si>
  <si>
    <t>Vestido de sol</t>
  </si>
  <si>
    <t>Dichosos son sobre los montes</t>
  </si>
  <si>
    <t>Se buscan jóvenes</t>
  </si>
  <si>
    <t>Quédate, Señor</t>
  </si>
  <si>
    <t>Señor del alba</t>
  </si>
  <si>
    <t>Siervo de Yahveh</t>
  </si>
  <si>
    <t>Hay una casa muy cerca</t>
  </si>
  <si>
    <t>Siempre hay algo que crear</t>
  </si>
  <si>
    <t>El señor es mi pastor</t>
  </si>
  <si>
    <t>Por el valle de mis padres</t>
  </si>
  <si>
    <t>Misioneros</t>
  </si>
  <si>
    <t>Quisieron comprar mi arpa</t>
  </si>
  <si>
    <t>Al alzar mis manos</t>
  </si>
  <si>
    <t>Dios nos da su pan</t>
  </si>
  <si>
    <t>En la fiesta del domingo</t>
  </si>
  <si>
    <t>Venid a la cena</t>
  </si>
  <si>
    <t>Oh, cruz fiel</t>
  </si>
  <si>
    <t>Aleluya, gloria al Señor</t>
  </si>
  <si>
    <t>Aclamemos al señor, aleluya</t>
  </si>
  <si>
    <t>Llevemos al señor</t>
  </si>
  <si>
    <t>Un himno de alabanza</t>
  </si>
  <si>
    <t>Oh, Señor, delante de ti</t>
  </si>
  <si>
    <t>Venid aclamemos al Señor</t>
  </si>
  <si>
    <t>De madrugada vino a mi barca</t>
  </si>
  <si>
    <t>Al alzar mis manos en oración</t>
  </si>
  <si>
    <t>Eloi, eloi</t>
  </si>
  <si>
    <t>Llora la virgen en la cruz</t>
  </si>
  <si>
    <t>Y vendrá</t>
  </si>
  <si>
    <t>Un arco íris de sol y nieve</t>
  </si>
  <si>
    <t>Tres reyes magos llegan de oriente</t>
  </si>
  <si>
    <t>Porque mi niño no tiene nada</t>
  </si>
  <si>
    <t>Como busca la cierva herida</t>
  </si>
  <si>
    <t>A tus manos, Señor, encomiendo mi espíritu</t>
  </si>
  <si>
    <t>Con amor te presento, Señor</t>
  </si>
  <si>
    <t>Creo que Cristo vive</t>
  </si>
  <si>
    <t>A la hora de nona</t>
  </si>
  <si>
    <t>Cristo es la resurrección</t>
  </si>
  <si>
    <t>Dale el descanso, Señor</t>
  </si>
  <si>
    <t>Cristo es nuestra paz</t>
  </si>
  <si>
    <t>Despidamos al hermano</t>
  </si>
  <si>
    <t>Himno a Jesucristo</t>
  </si>
  <si>
    <t>Se acercaron los niños al Señor</t>
  </si>
  <si>
    <t>Día de fiesta en tu altar</t>
  </si>
  <si>
    <t>Somos hermanas en Cristo</t>
  </si>
  <si>
    <t>Llega la luz</t>
  </si>
  <si>
    <t>Me Ilamaste</t>
  </si>
  <si>
    <t>La noche ya se acerca</t>
  </si>
  <si>
    <t>En el nombre del Padre</t>
  </si>
  <si>
    <t>Alaba al Señor, alma mía</t>
  </si>
  <si>
    <t>La cañada</t>
  </si>
  <si>
    <t>Tú eres el Dios de los pobres</t>
  </si>
  <si>
    <t>Viva la gente</t>
  </si>
  <si>
    <t>Hosana al Rey de los cielos</t>
  </si>
  <si>
    <t>Delante de ti, Señor, mi Dios</t>
  </si>
  <si>
    <t>Por amor, por amor</t>
  </si>
  <si>
    <t>Aleluya en canon</t>
  </si>
  <si>
    <t>Quisiera estar, Señor, en tu presencia</t>
  </si>
  <si>
    <t>El gran convite</t>
  </si>
  <si>
    <t>Dentro de mí</t>
  </si>
  <si>
    <t>Gracias, Señor, por el hermano día</t>
  </si>
  <si>
    <t>María, llena de gracia</t>
  </si>
  <si>
    <t>Con alegría y hermandad</t>
  </si>
  <si>
    <t>Gloria a Cristo Señor</t>
  </si>
  <si>
    <t>Canta con júbilo</t>
  </si>
  <si>
    <t>Oh, divino niño</t>
  </si>
  <si>
    <t>Nació en la Nochebuena</t>
  </si>
  <si>
    <t>Aleluya navideño</t>
  </si>
  <si>
    <t>Al altar donde tú vienes</t>
  </si>
  <si>
    <t>Santo, santo, santo</t>
  </si>
  <si>
    <t>Cordero de dios que quitas el pecado</t>
  </si>
  <si>
    <t>El Señor nos invita a su mesa</t>
  </si>
  <si>
    <t>El Señor nos da su pan</t>
  </si>
  <si>
    <t>Hizo un banquete el Señor</t>
  </si>
  <si>
    <t>Nos habló el Señor del pan del cielo</t>
  </si>
  <si>
    <t>Nada te turbe, nada te espante</t>
  </si>
  <si>
    <t>Himno al patrón de la parroquia</t>
  </si>
  <si>
    <t>Vamos a preparar el camino del Señor</t>
  </si>
  <si>
    <t>Aurora y clavel</t>
  </si>
  <si>
    <t>Yo soy un pastorcito</t>
  </si>
  <si>
    <t>Nace el niño y en un portal</t>
  </si>
  <si>
    <t>Tres reyes magos</t>
  </si>
  <si>
    <t>Oh, niño divino</t>
  </si>
  <si>
    <t>Un arcoíris</t>
  </si>
  <si>
    <t>En el silencio del portal</t>
  </si>
  <si>
    <t>https://www.mercaba.org/Musica/Carmelo%20Erdozain/24%20cantos%20de%20adviento%20y%20navidad,%20carmelo%20erdozain/04%20preparad%20el%20camino%20al%20se%C3%B1or.mp3</t>
  </si>
  <si>
    <t>Preparad el camino al Señor (II)</t>
  </si>
  <si>
    <t>Envíame a mí</t>
  </si>
  <si>
    <t>Obras Misionales Pontificias</t>
  </si>
  <si>
    <t>https://www.youtube.com/watch?v=YfxqHTPzmfQ</t>
  </si>
  <si>
    <t>15 canciones famosas para las celebraciones</t>
  </si>
  <si>
    <t>https://www.mercaba.org/Musica/Carmelo%20Erdozain/12%20canciones%20religiosas%20y%20liturgicas,%20carmelo%20erdozain/01%20himno%20a%20jesucristo.mp3</t>
  </si>
  <si>
    <t>https://www.mercaba.org/Musica/Carmelo%20Erdozain/12%20canciones%20religiosas%20y%20liturgicas,%20carmelo%20erdozain/02%20proclama%20mi%20alma.mp3</t>
  </si>
  <si>
    <t>https://www.mercaba.org/Musica/Carmelo%20Erdozain/12%20canciones%20religiosas%20y%20liturgicas,%20carmelo%20erdozain/03%20se%20acercaron%20los%20ni%C3%B1os%20al%20se%C3%B1or.mp3</t>
  </si>
  <si>
    <t>https://www.mercaba.org/Musica/Carmelo%20Erdozain/12%20canciones%20religiosas%20y%20liturgicas,%20carmelo%20erdozain/04%20dia%20de%20fiesta%20en%20tu%20altar.mp3</t>
  </si>
  <si>
    <t>Señor, ten piedad (II)</t>
  </si>
  <si>
    <t>Señor, ten piedad (I)</t>
  </si>
  <si>
    <t>https://www.mercaba.org/Musica/Carmelo%20Erdozain/12%20canciones%20religiosas%20y%20liturgicas,%20carmelo%20erdozain/05%20se%C3%B1or%20ten%20piedad.mp3</t>
  </si>
  <si>
    <t>https://www.mercaba.org/Musica/Carmelo%20Erdozain/12%20canciones%20religiosas%20y%20liturgicas,%20carmelo%20erdozain/06%20aleluya,%20aleluya.mp3</t>
  </si>
  <si>
    <t>https://www.mercaba.org/Musica/Carmelo%20Erdozain/12%20canciones%20religiosas%20y%20liturgicas,%20carmelo%20erdozain/07%20santo,%20santo.mp3</t>
  </si>
  <si>
    <t>Aleluya (I)</t>
  </si>
  <si>
    <t>Aleluya (II)</t>
  </si>
  <si>
    <t>Aleluya (III)</t>
  </si>
  <si>
    <t>Aleluya (IV)</t>
  </si>
  <si>
    <t>Santo (III)</t>
  </si>
  <si>
    <t>Santo (IV)</t>
  </si>
  <si>
    <t>https://www.mercaba.org/Musica/Carmelo%20Erdozain/24%20cantos%20de%20adviento%20y%20navidad,%20carmelo%20erdozain/15%20yo%20soy%20un%20pastorcito.mp3</t>
  </si>
  <si>
    <t>https://www.mercaba.org/Musica/Carmelo%20Erdozain/24%20cantos%20de%20adviento%20y%20navidad,%20carmelo%20erdozain/2%20vamos%20a%20preparar%20el%20camino%20del%20señor.mp3</t>
  </si>
  <si>
    <t>https://www.mercaba.org/Musica/Carmelo%20Erdozain/24%20cantos%20de%20adviento%20y%20navidad,%20carmelo%20erdozain/3%20se%20acerca%20el%20reino%20de%20dios.mp3</t>
  </si>
  <si>
    <t>https://www.mercaba.org/Musica/Carmelo%20Erdozain/24%20cantos%20de%20adviento%20y%20navidad,%20carmelo%20erdozain/9%20aurora%20y%20clavel.mp3</t>
  </si>
  <si>
    <t>https://www.mercaba.org/Musica/Carmelo%20Erdozain/24%20cantos%20de%20adviento%20y%20navidad,%20carmelo%20erdozain/16%20la%20cañada.mp3</t>
  </si>
  <si>
    <t>https://www.mercaba.org/Musica/Carmelo%20Erdozain/24%20cantos%20de%20adviento%20y%20navidad,%20carmelo%20erdozain/17%20nace%20el%20niño%20y%20en%20un%20portal.mp3</t>
  </si>
  <si>
    <t>https://www.mercaba.org/Musica/Carmelo%20Erdozain/24%20cantos%20de%20adviento%20y%20navidad,%20carmelo%20erdozain/19%20tres%20reyes%20magos.mp3</t>
  </si>
  <si>
    <t>https://www.mercaba.org/Musica/Carmelo%20Erdozain/24%20cantos%20de%20adviento%20y%20navidad,%20carmelo%20erdozain/20%20oh%20niño%20divino.mp3</t>
  </si>
  <si>
    <t>https://www.mercaba.org/Musica/Carmelo%20Erdozain/24%20cantos%20de%20adviento%20y%20navidad,%20carmelo%20erdozain/22%20un%20arcoiris.mp3</t>
  </si>
  <si>
    <t>https://www.mercaba.org/Musica/Carmelo%20Erdozain/24%20cantos%20de%20adviento%20y%20navidad,%20carmelo%20erdozain/23%20en%20el%20silencio%20del%20portal.mp3</t>
  </si>
  <si>
    <t>https://www.mercaba.org/Musica/Carmelo%20Erdozain/Cantos%20para%20Participar%20y%20Vivir/1%20hosana%20al%20rey%20de%20los%20cielos.mp3</t>
  </si>
  <si>
    <t>https://www.mercaba.org/Musica/Carmelo%20Erdozain/Cantos%20para%20Participar%20y%20Vivir/2%20delante%20de%20ti%20señor%20mi%20dios.mp3</t>
  </si>
  <si>
    <t>https://www.mercaba.org/Musica/Carmelo%20Erdozain/Cantos%20para%20Participar%20y%20Vivir/3%20por%20amor%20por%20amor.mp3</t>
  </si>
  <si>
    <t>https://www.mercaba.org/Musica/Carmelo%20Erdozain/Cantos%20para%20Participar%20y%20Vivir/4%20aleluya%20en%20canon.mp3</t>
  </si>
  <si>
    <t>https://www.mercaba.org/Musica/Carmelo%20Erdozain/Cantos%20para%20Participar%20y%20Vivir/5%20quiera%20estar%20señor%20en%20tu%20presencia.mp3</t>
  </si>
  <si>
    <t>https://www.mercaba.org/Musica/Carmelo%20Erdozain/Cantos%20para%20Participar%20y%20Vivir/6%20el%20gran%20convite.mp3</t>
  </si>
  <si>
    <t>https://www.mercaba.org/Musica/Carmelo%20Erdozain/Cantos%20para%20Participar%20y%20Vivir/8%20gracias%20señor%20por%20el%20hermano%20dia.mp3</t>
  </si>
  <si>
    <t>https://www.mercaba.org/Musica/Carmelo%20Erdozain/Cantos%20para%20Participar%20y%20Vivir/9%20maria%20llena%20de%20gracia.mp3</t>
  </si>
  <si>
    <t>https://www.mercaba.org/Musica/Carmelo%20Erdozain/Cantos%20para%20Participar%20y%20Vivir/10%20con%20alegria%20y%20hermandad.mp3</t>
  </si>
  <si>
    <t>https://www.mercaba.org/Musica/Carmelo%20Erdozain/Cantos%20para%20Participar%20y%20Vivir/11%20gloria%20a%20cristo%20señor.mp3</t>
  </si>
  <si>
    <t>https://www.mercaba.org/Musica/Carmelo%20Erdozain/Cantos%20para%20Participar%20y%20Vivir/12%20canta%20con%20jubilo.mp3</t>
  </si>
  <si>
    <t>https://www.mercaba.org/Musica/Carmelo%20Erdozain/Cantos%20para%20Participar%20y%20Vivir/13%20oh%20divino%20niño.mp3</t>
  </si>
  <si>
    <t>https://www.mercaba.org/Musica/Carmelo%20Erdozain/Cantos%20para%20Participar%20y%20Vivir/14%20nacio%20en%20la%20nochebuena.mp3</t>
  </si>
  <si>
    <t>https://www.mercaba.org/Musica/Carmelo%20Erdozain/Cantos%20para%20Participar%20y%20Vivir/15%20aleluya%20navideño.mp3</t>
  </si>
  <si>
    <t>https://www.mercaba.org/Musica/Carmelo%20Erdozain/Cantos%20para%20una%20Comunidad%20Evangelizadora/1%20siempre%20hay%20algo%20que%20crear.mp3</t>
  </si>
  <si>
    <t>https://www.mercaba.org/Musica/Carmelo%20Erdozain/Cantos%20para%20una%20Comunidad%20Evangelizadora/2%20id%20por%20el%20mundo.mp3</t>
  </si>
  <si>
    <t>https://www.mercaba.org/Musica/Carmelo%20Erdozain/Cantos%20para%20una%20Comunidad%20Evangelizadora/4%20el%20señor%20es%20mi%20pastor.mp3</t>
  </si>
  <si>
    <t>https://www.mercaba.org/Musica/Carmelo%20Erdozain/Cantos%20para%20una%20Comunidad%20Evangelizadora/5%20por%20el%20valle%20de%20mis%20padres.mp3</t>
  </si>
  <si>
    <t>https://www.mercaba.org/Musica/Carmelo%20Erdozain/Cantos%20para%20una%20Comunidad%20Evangelizadora/6%20misioneros.mp3</t>
  </si>
  <si>
    <t>https://www.mercaba.org/Musica/Carmelo%20Erdozain/Cantos%20para%20una%20Comunidad%20Evangelizadora/7%20quisieron%20comprar%20mi%20arpa.mp3</t>
  </si>
  <si>
    <t>https://www.mercaba.org/Musica/Carmelo%20Erdozain/Cantos%20para%20una%20Comunidad%20Evangelizadora/8%20al%20alzar%20mis%20manos.mp3</t>
  </si>
  <si>
    <t>https://www.mercaba.org/Musica/Carmelo%20Erdozain/Cantos%20para%20una%20Comunidad%20Evangelizadora/9%20dios%20nos%20da%20su%20pan.mp3</t>
  </si>
  <si>
    <t>https://www.mercaba.org/Musica/Carmelo%20Erdozain/Cantos%20para%20una%20Comunidad%20Evangelizadora/10%20mas%20alla%20javier.mp3</t>
  </si>
  <si>
    <t>https://www.mercaba.org/Musica/Carmelo%20Erdozain/Cerca%20esta%20el%20Señor/1%20cerca%20esta%20el%20señor.mp3</t>
  </si>
  <si>
    <t>https://www.mercaba.org/Musica/Carmelo%20Erdozain/Cerca%20esta%20el%20Señor/2%20santo.mp3</t>
  </si>
  <si>
    <t>https://www.mercaba.org/Musica/Carmelo%20Erdozain/Cerca%20esta%20el%20Señor/3%20arriesgate.mp3</t>
  </si>
  <si>
    <t>https://www.mercaba.org/Musica/Carmelo%20Erdozain/Cerca%20esta%20el%20Señor/4%20la%20fiesta%20del%20señor.mp3</t>
  </si>
  <si>
    <t>https://www.mercaba.org/Musica/Carmelo%20Erdozain/Cerca%20esta%20el%20Señor/5%20este%20pan%20y%20vino.mp3</t>
  </si>
  <si>
    <t>https://www.mercaba.org/Musica/Carmelo%20Erdozain/Cerca%20esta%20el%20Señor/6%20el%20espiritu%20de%20dios.mp3</t>
  </si>
  <si>
    <t>https://www.mercaba.org/Musica/Carmelo%20Erdozain/Cerca%20esta%20el%20Señor/7%20queremos%20construir%20una%20ciudad.mp3</t>
  </si>
  <si>
    <t>https://www.mercaba.org/Musica/Carmelo%20Erdozain/Cerca%20esta%20el%20Señor/8%20libertador%20de%20nazaret.mp3</t>
  </si>
  <si>
    <t>https://www.mercaba.org/Musica/Carmelo%20Erdozain/Cerca%20esta%20el%20Señor/9%20hagase%20en%20mi.mp3</t>
  </si>
  <si>
    <t>https://www.mercaba.org/Musica/Carmelo%20Erdozain/Cerca%20esta%20el%20Señor/10%20entre%20los%20nacidos.mp3</t>
  </si>
  <si>
    <t>https://www.mercaba.org/Musica/Carmelo%20Erdozain/Cerca%20esta%20el%20Señor/11%20quien%20vendra%20a%20sicar.mp3</t>
  </si>
  <si>
    <t>https://www.mercaba.org/Musica/Carmelo%20Erdozain/Dios%20es%20Amor/1%20dios%20es%20amor.mp3</t>
  </si>
  <si>
    <t>https://www.mercaba.org/Musica/Carmelo%20Erdozain/Dios%20es%20Amor/2%20cristo%20es%20el%20camino.mp3</t>
  </si>
  <si>
    <t>https://www.mercaba.org/Musica/Carmelo%20Erdozain/Dios%20es%20Amor/3%20venid%20aclamemos.mp3</t>
  </si>
  <si>
    <t>https://www.mercaba.org/Musica/Carmelo%20Erdozain/Dios%20es%20Amor/4%20señor%20ten%20piedad.mp3</t>
  </si>
  <si>
    <t>https://www.mercaba.org/Musica/Carmelo%20Erdozain/Dios%20es%20Amor/5%20aleluya.mp3</t>
  </si>
  <si>
    <t>https://www.mercaba.org/Musica/Carmelo%20Erdozain/Dios%20es%20Amor/6%20estrella%20y%20flor.mp3</t>
  </si>
  <si>
    <t>https://www.mercaba.org/Musica/Carmelo%20Erdozain/Dios%20es%20Amor/7%20pan%20sabroso.mp3</t>
  </si>
  <si>
    <t>https://www.mercaba.org/Musica/Carmelo%20Erdozain/Dios%20es%20Amor/8%20santo.mp3</t>
  </si>
  <si>
    <t>https://www.mercaba.org/Musica/Carmelo%20Erdozain/Dios%20es%20Amor/9%20padre%20nuestro.mp3</t>
  </si>
  <si>
    <t>https://www.mercaba.org/Musica/Carmelo%20Erdozain/Dios%20es%20Amor/10%20el%20señor%20nos%20invita.mp3</t>
  </si>
  <si>
    <t>https://www.mercaba.org/Musica/Carmelo%20Erdozain/Dios%20es%20Amor/11%20se%20levanta%20la%20mañana.mp3</t>
  </si>
  <si>
    <t>https://www.mercaba.org/Musica/Carmelo%20Erdozain/Dios%20es%20Amor/12%20cantemos%20hoy%20el%20amor.mp3</t>
  </si>
  <si>
    <t>https://www.mercaba.org/Musica/Carmelo%20Erdozain/Hoy%20he%20Vuelto%20de%20Lejos/1%20hoy%20vuelvo%20de%20lejos.mp3</t>
  </si>
  <si>
    <t>https://www.mercaba.org/Musica/Carmelo%20Erdozain/Hoy%20he%20Vuelto%20de%20Lejos/3%20porque%20eres%20bueno%20señor.mp3</t>
  </si>
  <si>
    <t>https://www.mercaba.org/Musica/Carmelo%20Erdozain/Hoy%20he%20Vuelto%20de%20Lejos/4%20compartir%20junto%20al%20señor.mp3</t>
  </si>
  <si>
    <t>https://www.mercaba.org/Musica/Carmelo%20Erdozain/Hoy%20he%20Vuelto%20de%20Lejos/5%20padre%20nuestro.mp3</t>
  </si>
  <si>
    <t>https://www.mercaba.org/Musica/Carmelo%20Erdozain/Hoy%20he%20Vuelto%20de%20Lejos/6%20hosana%20hosana.mp3</t>
  </si>
  <si>
    <t>https://www.mercaba.org/Musica/Carmelo%20Erdozain/Hoy%20he%20Vuelto%20de%20Lejos/7%20delante%20de%20tu%20altar.mp3</t>
  </si>
  <si>
    <t>https://www.mercaba.org/Musica/Carmelo%20Erdozain/Hoy%20he%20Vuelto%20de%20Lejos/8%20oh%20sagrado%20convite.mp3</t>
  </si>
  <si>
    <t>https://www.mercaba.org/Musica/Carmelo%20Erdozain/Hoy%20he%20Vuelto%20de%20Lejos/9%20cristo%20por%20nosotros%20se%20sometio.mp3</t>
  </si>
  <si>
    <t>https://www.mercaba.org/Musica/Carmelo%20Erdozain/Hoy%20he%20Vuelto%20de%20Lejos/10%20gracias%20señor%20por%20tu%20palabra.mp3</t>
  </si>
  <si>
    <t>https://www.mercaba.org/Musica/Carmelo%20Erdozain/Mesias%20de%20Liberacion/1%20se%20acerca%20la%20liberacion.mp3</t>
  </si>
  <si>
    <t>https://www.mercaba.org/Musica/Carmelo%20Erdozain/Mesias%20de%20Liberacion/2%20en%20el%20silencio%20de%20un%20portal.mp3</t>
  </si>
  <si>
    <t>https://www.mercaba.org/Musica/Carmelo%20Erdozain/Mesias%20de%20Liberacion/3%20apostoles%20dichosos%20son.mp3</t>
  </si>
  <si>
    <t>https://www.mercaba.org/Musica/Carmelo%20Erdozain/Mesias%20de%20Liberacion/4%20solo%20el%20es%20el%20camino.mp3</t>
  </si>
  <si>
    <t>https://www.mercaba.org/Musica/Carmelo%20Erdozain/Mesias%20de%20Liberacion/5%20fariseos.mp3</t>
  </si>
  <si>
    <t>https://www.mercaba.org/Musica/Carmelo%20Erdozain/Mesias%20de%20Liberacion/6%20ten%20piedad%20gritaba%20en%20el%20camino.mp3</t>
  </si>
  <si>
    <t>https://www.mercaba.org/Musica/Carmelo%20Erdozain/Mesias%20de%20Liberacion/7%20eloi%20eloi%20jerusalen.mp3</t>
  </si>
  <si>
    <t>https://www.mercaba.org/Musica/Carmelo%20Erdozain/Mesias%20de%20Liberacion/8%20llora%20la%20virgen.mp3</t>
  </si>
  <si>
    <t>https://www.mercaba.org/Musica/Carmelo%20Erdozain/Mesias%20de%20Liberacion/9%20resucito%20aleluya.mp3</t>
  </si>
  <si>
    <t>https://www.mercaba.org/Musica/Carmelo%20Erdozain/Nuevos%20Cantos%20de%20Adviento/5%20paz%20para%20respirar.mp3</t>
  </si>
  <si>
    <t>https://www.mercaba.org/Musica/Carmelo%20Erdozain/Nuevos%20Cantos%20de%20Adviento/8%20natus%20est.mp3</t>
  </si>
  <si>
    <t>https://www.mercaba.org/Musica/Carmelo%20Erdozain/Nuevos%20Cantos%20Para%20el%20Año%20Liturgico/1%20se%20acerca%20el%20reino%20de%20dios.mp3</t>
  </si>
  <si>
    <t>https://www.mercaba.org/Musica/Carmelo%20Erdozain/Nuevos%20Cantos%20Para%20el%20Año%20Liturgico/2%20dios%20te%20salve%20maria.mp3</t>
  </si>
  <si>
    <t>https://www.mercaba.org/Musica/Carmelo%20Erdozain/Nuevos%20Cantos%20Para%20el%20Año%20Liturgico/4%20en%20la%20fiesta%20del%20domingo.mp3</t>
  </si>
  <si>
    <t>https://www.mercaba.org/Musica/Carmelo%20Erdozain/Nuevos%20Cantos%20Para%20el%20Año%20Liturgico/5%20oh%20mi%20dios%20crea%20en%20mi.mp3</t>
  </si>
  <si>
    <t>https://www.mercaba.org/Musica/Carmelo%20Erdozain/Nuevos%20Cantos%20Para%20el%20Año%20Liturgico/6%20venid%20a%20la%20cena.mp3</t>
  </si>
  <si>
    <t>https://www.mercaba.org/Musica/Carmelo%20Erdozain/Nuevos%20Cantos%20Para%20el%20Año%20Liturgico/7%20oh%20cruz%20fiel.mp3</t>
  </si>
  <si>
    <t>https://www.mercaba.org/Musica/Carmelo%20Erdozain/Nuevos%20Cantos%20Para%20el%20Año%20Liturgico/8%20cristo%20resucito.mp3</t>
  </si>
  <si>
    <t>https://www.mercaba.org/Musica/Carmelo%20Erdozain/Nuevos%20Cantos%20Para%20el%20Año%20Liturgico/9%20ven%20espiritu%20santo.mp3</t>
  </si>
  <si>
    <t>https://www.mercaba.org/Musica/Carmelo%20Erdozain/Preparad%20los%20Caminos/1%20vamos%20a%20preparar%20el%20camino.mp3</t>
  </si>
  <si>
    <t>https://www.mercaba.org/Musica/Carmelo%20Erdozain/Preparad%20los%20Caminos/2%20levantate%20pueblo%20mio.mp3 </t>
  </si>
  <si>
    <t>https://www.mercaba.org/Musica/Carmelo%20Erdozain/Preparad%20los%20Caminos/4%20la%20virgen%20sueña%20caminos.mp3</t>
  </si>
  <si>
    <t>https://www.mercaba.org/Musica/Carmelo%20Erdozain/Preparad%20los%20Caminos/6%20nace%20el%20niño%20en%20un%20portal.mp3</t>
  </si>
  <si>
    <t>https://www.mercaba.org/Musica/Carmelo%20Erdozain/Preparad%20los%20Caminos/7%20un%20arco%20iris%20de%20sol%20y%20nieve.mp3</t>
  </si>
  <si>
    <t>https://www.mercaba.org/Musica/Carmelo%20Erdozain/Preparad%20los%20Caminos/8%20tres%20reyes%20magos%20llegan%20de%20oriente.mp3</t>
  </si>
  <si>
    <t>https://www.mercaba.org/Musica/Carmelo%20Erdozain/Preparad%20los%20Caminos/9%20porque%20mi%20niño%20no%20tiene%20nada.mp3</t>
  </si>
  <si>
    <t>https://www.mercaba.org/Musica/Carmelo%20Erdozain/Preparad%20los%20Caminos/10%20llega%20el%20dia.mp3</t>
  </si>
  <si>
    <t>https://www.mercaba.org/Musica/Carmelo%20Erdozain/Ven%20y%20Sigueme/2%20tu%20me%20llamas%20por%20mi%20nombre.mp3</t>
  </si>
  <si>
    <t>https://www.mercaba.org/Musica/Carmelo%20Erdozain/Ven%20y%20Sigueme/3%20en%20el%20lago.mp3</t>
  </si>
  <si>
    <t>https://www.mercaba.org/Musica/Carmelo%20Erdozain/Ven%20y%20Sigueme/4%20vestido%20de%20sol.mp3</t>
  </si>
  <si>
    <t>https://www.mercaba.org/Musica/Carmelo%20Erdozain/Ven%20y%20Sigueme/5%20dichosos%20son%20sobre%20los%20montes.mp3</t>
  </si>
  <si>
    <t>https://www.mercaba.org/Musica/Carmelo%20Erdozain/Ven%20y%20Sigueme/6%20se%20buscan%20jovenes.mp3</t>
  </si>
  <si>
    <t>https://www.mercaba.org/Musica/Carmelo%20Erdozain/Ven%20y%20Sigueme/7%20quedate%20señor.mp3</t>
  </si>
  <si>
    <t>https://www.mercaba.org/Musica/Carmelo%20Erdozain/Ven%20y%20Sigueme/8%20señor%20del%20alba.mp3</t>
  </si>
  <si>
    <t>https://www.mercaba.org/Musica/Carmelo%20Erdozain/Ven%20y%20Sigueme/9%20siervo%20de%20yave.mp3</t>
  </si>
  <si>
    <t>https://www.mercaba.org/Musica/Carmelo%20Erdozain/Ven%20y%20Sigueme/10%20hay%20una%20casa%20muy%20cerca.mp3</t>
  </si>
  <si>
    <t>https://www.mercaba.org/Musica/Carmelo%20Erdozain/12%20canciones%20religiosas%20y%20liturgicas,%20carmelo%20erdozain/8%20somos%20hermanas%20en%20cristo.mp3</t>
  </si>
  <si>
    <t>https://www.mercaba.org/Musica/Carmelo%20Erdozain/12%20canciones%20religiosas%20y%20liturgicas,%20carmelo%20erdozain/9%20llega%20la%20luz.mp3</t>
  </si>
  <si>
    <t>https://www.mercaba.org/Musica/Carmelo%20Erdozain/12%20canciones%20religiosas%20y%20liturgicas,%20carmelo%20erdozain/10%20me%20Ilamaste.mp3</t>
  </si>
  <si>
    <t>https://www.mercaba.org/Musica/Carmelo%20Erdozain/12%20canciones%20religiosas%20y%20liturgicas,%20carmelo%20erdozain/11%20Ia%20noche%20ya%20se%20acerca.mp3</t>
  </si>
  <si>
    <t>https://www.mercaba.org/Musica/Carmelo%20Erdozain/12%20canciones%20religiosas%20y%20liturgicas,%20carmelo%20erdozain/12%20en%20el%20nombre%20del%20padre.mp3</t>
  </si>
  <si>
    <t>https://www.mercaba.org/Musica/Carmelo%20Erdozain/15%20canciones%20famosas,%20carmelo%20erdozain/alaba%20al%20se%C3%B1or,%20alma%20mia.mp3</t>
  </si>
  <si>
    <t>https://www.mercaba.org/Musica/Carmelo%20Erdozain/15%20canciones%20famosas,%20carmelo%20erdozain/aleluya.mp3</t>
  </si>
  <si>
    <t>https://www.mercaba.org/Musica/Carmelo%20Erdozain/15%20canciones%20famosas,%20carmelo%20erdozain/viva%20la%20gente.mp3</t>
  </si>
  <si>
    <t>https://www.mercaba.org/Musica/Carmelo%20Erdozain/15%20canciones%20famosas,%20carmelo%20erdozain/tu%20eres%20el%20dios%20de%20los%20pobres.mp3</t>
  </si>
  <si>
    <t>https://www.mercaba.org/Musica/Carmelo%20Erdozain/15%20cantos%20para%20la%20cena%20del%20se%C3%B1or,%20carmelo%20erdozain/01%20cristo%20nos%20reune%20en%20torno%20a%20su%20altar.mp3</t>
  </si>
  <si>
    <t>https://www.mercaba.org/Musica/Carmelo%20Erdozain/15%20cantos%20para%20la%20cena%20del%20se%C3%B1or,%20carmelo%20erdozain/02%20se%C3%B1or%20ten%20piedad.mp3</t>
  </si>
  <si>
    <t>https://www.mercaba.org/Musica/Carmelo%20Erdozain/15%20cantos%20para%20la%20cena%20del%20se%C3%B1or,%20carmelo%20erdozain/03%20kyrie%20eleison.mp3</t>
  </si>
  <si>
    <t>https://www.mercaba.org/Musica/Religiosa/Carmelo%20Erdozain/15%20cantos%20para%20la%20cena%20del%20se%C3%B1or,%20carmelo%20erdozain/04%20gloria%20a%20dios%20en%2020el%20cielo.mp3</t>
  </si>
  <si>
    <t>https://www.mercaba.org/Musica/Carmelo%20Erdozain/15%20cantos%20para%20la%20cena%20del%20se%C3%B1or,%20carmelo%20erdozain/05%20aleluya%20aleluya.mp3</t>
  </si>
  <si>
    <t>https://www.mercaba.org/Musica/Carmelo%20Erdozain/15%20cantos%20para%20la%20cena%20del%20se%C3%B1or,%20carmelo%20erdozain/06%20al%20altar%20donde%20tu%20vienes.mp3</t>
  </si>
  <si>
    <t>https://www.mercaba.org/Musica/Carmelo%20Erdozain/15%20cantos%20para%20la%20cena%20del%20se%C3%B1or,%20carmelo%20erdozain/07%20santo%20santo%20santo.mp3</t>
  </si>
  <si>
    <t>https://www.mercaba.org/Musica/Carmelo%20Erdozain/15%20cantos%20para%20la%20cena%20del%20se%C3%B1or,%20carmelo%20erdozain/08%20padre%20nuestro%20que%20estas%20en%20el%20cielo.mp3</t>
  </si>
  <si>
    <t>https://www.mercaba.org/Musica/Carmelo%20Erdozain/15%20cantos%20para%20la%20cena%20del%20se%C3%B1or,%20carmelo%20erdozain/09%20cordero%20de%20dios%20que%20quitas%20el%20pecado.mp3</t>
  </si>
  <si>
    <t>https://www.mercaba.org/Musica/Carmelo%20Erdozain/15%20cantos%20para%20la%20cena%20del%20se%C3%B1or,%20carmelo%20erdozain/10%20el%20se%C3%B1or%20nos%20invita%20a%20su%20mesa.mp3</t>
  </si>
  <si>
    <t>https://www.mercaba.org/Musica/Carmelo%20Erdozain/15%20cantos%20para%20la%20cena%20del%20se%C3%B1or,%20carmelo%20erdozain/11%20el%20se%C3%B1or%20nos%20da%20su%20pan.mp3</t>
  </si>
  <si>
    <t>https://www.mercaba.org/Musica/Carmelo%20Erdozain/15%20cantos%20para%20la%20cena%20del%20se%C3%B1or,%20carmelo%20erdozain/12%20hizo%20un%20banquete%20el%20se%C3%B1or.mp3</t>
  </si>
  <si>
    <t>https://www.mercaba.org/Musica/Carmelo%20Erdozain/15%20cantos%20para%20la%20cena%20del%20se%C3%B1or,%20carmelo%20erdozain/13%20nos%20hablo%20el%20se%C3%B1or%20del%20pan%20del%20cielo.mp3</t>
  </si>
  <si>
    <t>https://www.mercaba.org/Musica/Carmelo%20Erdozain/15%20cantos%20para%20la%20cena%20del%20se%C3%B1or,%20carmelo%20erdozain/14%20nada%20te%20turbe%20nada%20te%20espante.mp3</t>
  </si>
  <si>
    <t>https://www.mercaba.org/Musica/Carmelo%20Erdozain/15%20cantos%20para%20la%20cena%20del%20se%C3%B1or,%20carmelo%20erdozain/15%20himno%20al%20patron%20de%20la%20parroquia.mp3</t>
  </si>
  <si>
    <t>https://www.mercaba.org/Musica/Carmelo%20Erdozain/24%20cantos%20de%20adviento%20y%20navidad,%20carmelo%20erdozain/05%20la%20virgen%20sue%C3%B1a%20caminos.mp3</t>
  </si>
  <si>
    <t>https://www.mercaba.org/Musica/Adviento%20y%20Navidad/Adviento%20Maria%20y%20Navidad/abre%20tu%20tienda%20al%20se%C3%B1or.mp3</t>
  </si>
  <si>
    <t>https://www.mercaba.org/Musica/Adviento%20y%20Navidad/Adviento%20Maria%20y%20Navidad/caminando%20desde%20oriente.mp3</t>
  </si>
  <si>
    <t>https://www.mercaba.org/Musica/Adviento%20y%20Navidad/Adviento%20Maria%20y%20Navidad/con%20el%20alba%20les%20despide.mp3</t>
  </si>
  <si>
    <t>https://www.mercaba.org/Musica/Adviento%20y%20Navidad/Adviento%20Maria%20y%20Navidad/dios%20te%20salve%20maria.mp3</t>
  </si>
  <si>
    <t>https://www.mercaba.org/Musica/Adviento%20y%20Navidad/Adviento%20Maria%20y%20Navidad/en%20belen%20de%20la%20virgen%20maria.mp3</t>
  </si>
  <si>
    <t>https://www.mercaba.org/Musica/Adviento%20y%20Navidad/Adviento%20Maria%20y%20Navidad/en%20la%20cena%20de%20la%20nochebuena.mp3</t>
  </si>
  <si>
    <t>https://www.mercaba.org/Musica/Adviento%20y%20Navidad/Adviento%20Maria%20y%20Navidad/estrella%20y%20flor%20aurora.mp3</t>
  </si>
  <si>
    <t>https://www.mercaba.org/Musica/Adviento%20y%20Navidad/Adviento%20Maria%20y%20Navidad/maria%20madre%20de%20gracia.mp3</t>
  </si>
  <si>
    <t>https://www.mercaba.org/Musica/Adviento%20y%20Navidad/Adviento%20Maria%20y%20Navidad/natus%20est%20dei%20filius.mp3</t>
  </si>
  <si>
    <t>https://www.mercaba.org/Musica/Adviento%20y%20Navidad/Adviento%20Maria%20y%20Navidad/tened%20encendida%20la%20lampara.mp3</t>
  </si>
  <si>
    <t>https://www.mercaba.org/Musica/Adviento%20y%20Navidad/Adviento%20Maria%20y%20Navidad/yo%20soy%20un%20pastorcillo.mp3</t>
  </si>
  <si>
    <t>https://www.mercaba.org/Musica/Adviento%20y%20Navidad/Adviento%20Maria%20y%20Navidad/llego%20la%20noche.mp3</t>
  </si>
  <si>
    <t>https://www.mercaba.org/Musica/Adviento%20y%20Navidad/Adviento%20Maria%20y%20Navidad/preparemos%20los%20caminos.mp3</t>
  </si>
  <si>
    <t>https://www.mercaba.org/Musica/Adviento%20y%20Navidad/Adviento%20Maria%20y%20Navidad/sopla%20el%20viento.mp3</t>
  </si>
  <si>
    <t>https://www.mercaba.org/Musica/Adviento%20y%20Navidad/Adviento%20Maria%20y%20Navidad/los%20angeles%20cantando%20estan.mp3</t>
  </si>
  <si>
    <t>https://www.mercaba.org/Musica/Adviento%20y%20Navidad/Adviento%20Maria%20y%20Navidad/preparad%20el%20camino%20al%20se%C3%B1or.mp3</t>
  </si>
  <si>
    <t>https://www.mercaba.org/Musica/Adviento%20y%20Navidad/Adviento%20Maria%20y%20Navidad/proclama%20mi%20alma%20la%20salvacion.mp3</t>
  </si>
  <si>
    <t>https://www.mercaba.org/Musica/Carmelo%20Erdozain/Cantos%20para%20Participar%20y%20Vivir/07dentro%20de%20mi.mp3</t>
  </si>
  <si>
    <t>https://www.youtube.com/watch?v=WVaTTAJn_ZU</t>
  </si>
  <si>
    <t>https://www.youtube.com/watch?v=OjWTRrWLdrQ</t>
  </si>
  <si>
    <t>https://www.youtube.com/watch?v=cjkYK0AaMMo</t>
  </si>
  <si>
    <t>https://www.youtube.com/watch?v=CxYrUBCa3M4</t>
  </si>
  <si>
    <t>https://www.youtube.com/watch?v=kZY1bm0IDbU</t>
  </si>
  <si>
    <t>https://www.youtube.com/watch?v=OD3Yj5kUc6Q</t>
  </si>
  <si>
    <t>https://www.youtube.com/watch?v=71PlHBqYhZY</t>
  </si>
  <si>
    <t>https://www.youtube.com/watch?v=m0rBVM4gFYs</t>
  </si>
  <si>
    <t>https://www.youtube.com/watch?v=ewNloRJ0sFc</t>
  </si>
  <si>
    <t>https://www.youtube.com/watch?v=8rVImgQpIp0</t>
  </si>
  <si>
    <t>https://www.youtube.com/watch?v=ZmzRZjMiNV4</t>
  </si>
  <si>
    <t>https://www.youtube.com/watch?v=aSuFz3-qUXw</t>
  </si>
  <si>
    <t>https://www.youtube.com/watch?v=nZDxxea7EhE</t>
  </si>
  <si>
    <t>https://www.youtube.com/watch?v=jo5dJ1ttPjw</t>
  </si>
  <si>
    <t>https://www.youtube.com/watch?v=Kr-t7koASpI</t>
  </si>
  <si>
    <t>https://www.youtube.com/watch?v=8i8zNIiXw_g</t>
  </si>
  <si>
    <t>https://www.youtube.com/watch?v=di1FQXWzAig</t>
  </si>
  <si>
    <t>https://www.youtube.com/watch?v=pEIoHBo-M_Q</t>
  </si>
  <si>
    <t>https://www.youtube.com/watch?v=XnnBwZlwQHA</t>
  </si>
  <si>
    <t>https://www.youtube.com/watch?v=2W16QSoZi1s</t>
  </si>
  <si>
    <t>https://www.youtube.com/watch?v=fBfuawjSwh4</t>
  </si>
  <si>
    <t>Cantemos al Señor de tierra y cielo</t>
  </si>
  <si>
    <t>https://www.mercaba.org/Musica/Carmelo%20Erdozain/Hoy%20he%20Vuelto%20de%20Lejos/02%20cantemos%20al%20se%C3%B1or%20de%20tierra%20y%20cielo.mp3</t>
  </si>
  <si>
    <t>https://www.mercaba.org/Musica/Carmelo%20Erdozain/Preparad%20los%20Caminos/03%20ven%20salvador.mp3</t>
  </si>
  <si>
    <t>https://www.mercaba.org/Musica/Carmelo%20Erdozain/Preparad%20los%20Caminos/05%20y%20vendra.mp3</t>
  </si>
  <si>
    <t>https://www.youtube.com/watch?v=DooDEKVhTDg</t>
  </si>
  <si>
    <t>https://www.youtube.com/watch?v=fbkBLsrA2Jc</t>
  </si>
  <si>
    <t>https://www.youtube.com/watch?v=AHNvdH2P0EA</t>
  </si>
  <si>
    <t>https://www.youtube.com/watch?v=iZrNTFD3Nlo</t>
  </si>
  <si>
    <t>https://www.youtube.com/watch?v=NW4R_iVKjXU</t>
  </si>
  <si>
    <t>https://www.youtube.com/watch?v=wLmNxQ_zD_4</t>
  </si>
  <si>
    <t>https://www.youtube.com/watch?v=ZauZKnDdtaY</t>
  </si>
  <si>
    <t>https://www.youtube.com/watch?v=qVALbhceGiI</t>
  </si>
  <si>
    <t>https://www.youtube.com/watch?v=UKj4QqCQUss</t>
  </si>
  <si>
    <t>https://www.youtube.com/watch?v=X6eKoHsyLuc</t>
  </si>
  <si>
    <t>Padre nuestro (I)</t>
  </si>
  <si>
    <t>Padre nuestro (II)</t>
  </si>
  <si>
    <t>https://www.youtube.com/watch?v=YN5oGhDdAaU</t>
  </si>
  <si>
    <t>https://www.youtube.com/watch?v=uQx3ssd8QSU</t>
  </si>
  <si>
    <t>https://www.youtube.com/watch?v=GbRsIIbFzlg</t>
  </si>
  <si>
    <t>15 nuevos cantos para la misa</t>
  </si>
  <si>
    <t>Padre nuestro (III)</t>
  </si>
  <si>
    <t>https://www.youtube.com/watch?v=D3XN5ezH3JQ</t>
  </si>
  <si>
    <t>https://www.youtube.com/watch?v=I19VbFqOAg4</t>
  </si>
  <si>
    <t>https://www.youtube.com/watch?v=GdCfmbKld9Q</t>
  </si>
  <si>
    <t>https://www.youtube.com/watch?v=WuybiveUKOM</t>
  </si>
  <si>
    <t>Alejandro Labajos</t>
  </si>
  <si>
    <t>A tu modo</t>
  </si>
  <si>
    <t>https://www.youtube.com/watch?v=GOo4y4wCx58</t>
  </si>
  <si>
    <t>https://www.youtube.com/watch?v=FfwD-idNooE</t>
  </si>
  <si>
    <t>Cristo nos une en torno a su altar</t>
  </si>
  <si>
    <t>En ti está la fuente de vida</t>
  </si>
  <si>
    <t>https://www.youtube.com/watch?v=71k2_V4lwoM</t>
  </si>
  <si>
    <t>Jesús, único Salvador del mundo</t>
  </si>
  <si>
    <t>https://www.youtube.com/watch?v=FEmbGQxotOc</t>
  </si>
  <si>
    <t>https://www.youtube.com/watch?v=i2E0Jwa7Qcg</t>
  </si>
  <si>
    <t>https://tealabamos.com/wp-content/mp3/en-quien-me-fijare.mp3</t>
  </si>
  <si>
    <t>https://www.youtube.com/watch?v=lY93nyzGnKQ</t>
  </si>
  <si>
    <t>https://www.youtube.com/watch?v=my2LXvyk6d8</t>
  </si>
  <si>
    <t>https://www.youtube.com/watch?v=Ja7eDyml05k</t>
  </si>
  <si>
    <t>Maestro, te seguiré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</si>
</sst>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  <xf numFmtId="10" fontId="0" fillId="0" borderId="0" xfId="1" applyNumberFormat="1" applyFont="1"/>
    <xf numFmtId="0" fontId="3" fillId="6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right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4" fillId="0" borderId="0" xfId="2" applyAlignment="1">
      <alignment horizontal="left" vertical="center"/>
    </xf>
  </cellXfs>
  <cellStyles count="3">
    <cellStyle name="Hipervínculo" xfId="2" builtinId="8"/>
    <cellStyle name="Normal" xfId="0" builtinId="0"/>
    <cellStyle name="Porcentaje" xfId="1" builtinId="5"/>
  </cellStyles>
  <dxfs count="58"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0F-4FBE-A7DC-1091ED160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0F-4FBE-A7DC-1091ED160E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0F-4FBE-A7DC-1091ED160E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0F-4FBE-A7DC-1091ED160E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0F-4FBE-A7DC-1091ED160E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0F-4FBE-A7DC-1091ED160E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0F-4FBE-A7DC-1091ED160E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0F-4FBE-A7DC-1091ED160E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0F-4FBE-A7DC-1091ED160E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C0F-4FBE-A7DC-1091ED160E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C0F-4FBE-A7DC-1091ED160E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C0F-4FBE-A7DC-1091ED160E2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C0F-4FBE-A7DC-1091ED160E2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C0F-4FBE-A7DC-1091ED160E2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C0F-4FBE-A7DC-1091ED160E2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C0F-4FBE-A7DC-1091ED160E2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C0F-4FBE-A7DC-1091ED160E2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C0F-4FBE-A7DC-1091ED160E2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C0F-4FBE-A7DC-1091ED160E2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C0F-4FBE-A7DC-1091ED160E2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C0F-4FBE-A7DC-1091ED160E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Resumen!$A$5:$A$25</c:f>
              <c:strCache>
                <c:ptCount val="19"/>
                <c:pt idx="0">
                  <c:v>Aleluya</c:v>
                </c:pt>
                <c:pt idx="1">
                  <c:v>Antífonas</c:v>
                </c:pt>
                <c:pt idx="2">
                  <c:v>Comunión</c:v>
                </c:pt>
                <c:pt idx="3">
                  <c:v>Cordero de Dios</c:v>
                </c:pt>
                <c:pt idx="4">
                  <c:v>Despedida</c:v>
                </c:pt>
                <c:pt idx="5">
                  <c:v>Entrada</c:v>
                </c:pt>
                <c:pt idx="6">
                  <c:v>Especiales</c:v>
                </c:pt>
                <c:pt idx="7">
                  <c:v>Espíritu</c:v>
                </c:pt>
                <c:pt idx="8">
                  <c:v>Gloria</c:v>
                </c:pt>
                <c:pt idx="9">
                  <c:v>María</c:v>
                </c:pt>
                <c:pt idx="10">
                  <c:v>Navidad</c:v>
                </c:pt>
                <c:pt idx="11">
                  <c:v>Ofertorio</c:v>
                </c:pt>
                <c:pt idx="12">
                  <c:v>Padrenuestro</c:v>
                </c:pt>
                <c:pt idx="13">
                  <c:v>Paz</c:v>
                </c:pt>
                <c:pt idx="14">
                  <c:v>Perdón - Agua</c:v>
                </c:pt>
                <c:pt idx="15">
                  <c:v>Santo</c:v>
                </c:pt>
                <c:pt idx="16">
                  <c:v>TaizéESP</c:v>
                </c:pt>
                <c:pt idx="17">
                  <c:v>TaizéORIG</c:v>
                </c:pt>
                <c:pt idx="18">
                  <c:v>0</c:v>
                </c:pt>
              </c:strCache>
            </c:strRef>
          </c:cat>
          <c:val>
            <c:numRef>
              <c:f>Resumen!$B$5:$B$25</c:f>
              <c:numCache>
                <c:formatCode>General</c:formatCode>
                <c:ptCount val="21"/>
                <c:pt idx="0">
                  <c:v>11</c:v>
                </c:pt>
                <c:pt idx="1">
                  <c:v>44</c:v>
                </c:pt>
                <c:pt idx="2">
                  <c:v>83</c:v>
                </c:pt>
                <c:pt idx="3">
                  <c:v>6</c:v>
                </c:pt>
                <c:pt idx="4">
                  <c:v>9</c:v>
                </c:pt>
                <c:pt idx="5">
                  <c:v>44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24</c:v>
                </c:pt>
                <c:pt idx="10">
                  <c:v>20</c:v>
                </c:pt>
                <c:pt idx="11">
                  <c:v>20</c:v>
                </c:pt>
                <c:pt idx="12">
                  <c:v>6</c:v>
                </c:pt>
                <c:pt idx="13">
                  <c:v>10</c:v>
                </c:pt>
                <c:pt idx="14">
                  <c:v>9</c:v>
                </c:pt>
                <c:pt idx="15">
                  <c:v>14</c:v>
                </c:pt>
                <c:pt idx="16">
                  <c:v>78</c:v>
                </c:pt>
                <c:pt idx="1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C0F-4FBE-A7DC-1091ED160E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247200</xdr:colOff>
      <xdr:row>49</xdr:row>
      <xdr:rowOff>125280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936F2E-DEC4-4D4E-B95C-B62D6697C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C2D4C4-F497-425E-BD7F-77583C1AFE41}" name="Tabla4" displayName="Tabla4" ref="A1:E396" totalsRowShown="0">
  <autoFilter ref="A1:E396" xr:uid="{F6C2D4C4-F497-425E-BD7F-77583C1AFE41}"/>
  <tableColumns count="5">
    <tableColumn id="1" xr3:uid="{7CDED6B1-8460-4E79-92FA-3DA23BCB4417}" name="Número" dataDxfId="31"/>
    <tableColumn id="2" xr3:uid="{42541581-BBEF-4977-A0F7-19127C28F8EA}" name="Título"/>
    <tableColumn id="7" xr3:uid="{8AD23868-7E0F-44D5-B074-E8C5AAE3C82E}" name="Autor"/>
    <tableColumn id="3" xr3:uid="{DA6C0F7F-65A5-4BAE-AB88-9F7B4FABD730}" name="En el nuevo?" dataDxfId="30">
      <calculatedColumnFormula>IF(ISNUMBER(MATCH(Tabla4[[#This Row],[Título]],CantoralDB[Título],0)),"OK","-")</calculatedColumnFormula>
    </tableColumn>
    <tableColumn id="5" xr3:uid="{466DD19F-4910-4551-952E-B749836A3806}" name="En HTML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4F1D7-C913-4624-9E81-EEC7EA3DB678}" name="CantoralDB" displayName="CantoralDB" ref="A1:X2553" totalsRowShown="0" headerRowDxfId="57" dataDxfId="56">
  <autoFilter ref="A1:X2553" xr:uid="{E5A23D2C-4E40-4F63-A29F-33A92F43E326}"/>
  <sortState xmlns:xlrd2="http://schemas.microsoft.com/office/spreadsheetml/2017/richdata2" ref="A2:X2553">
    <sortCondition ref="Q2:Q2553"/>
    <sortCondition ref="M2:M2553"/>
    <sortCondition ref="N2:N2553"/>
    <sortCondition ref="O2:O2553"/>
    <sortCondition ref="B2:B2553"/>
  </sortState>
  <tableColumns count="24">
    <tableColumn id="1" xr3:uid="{28F9D52F-B373-4C16-9EB0-742FA80033B2}" name="#" dataDxfId="55">
      <calculatedColumnFormula>ROW(CantoralDB[[#This Row],[Título]])-1</calculatedColumnFormula>
    </tableColumn>
    <tableColumn id="2" xr3:uid="{8468C75C-A50A-4C13-9585-253E65D1C6DC}" name="Título" dataDxfId="54"/>
    <tableColumn id="3" xr3:uid="{860A58D5-5018-4B01-997E-FA1C7E10466E}" name="Momento" dataDxfId="53"/>
    <tableColumn id="5" xr3:uid="{BDD40DF6-5222-45C7-B2A9-85AC09EA0C11}" name="Número" dataDxfId="52"/>
    <tableColumn id="13" xr3:uid="{2A4DE54D-0F8D-43BE-9573-247B4685B078}" name="Número antiguo" dataDxfId="51"/>
    <tableColumn id="9" xr3:uid="{206AD9B5-42C6-450A-8AA3-0E19AC6C1635}" name="Número RCC" dataDxfId="50"/>
    <tableColumn id="4" xr3:uid="{0E9BA84A-E858-4602-8F8B-95ED2B3D75FA}" name="Origen" dataDxfId="49"/>
    <tableColumn id="6" xr3:uid="{57824645-9E68-44A2-9134-D5857E10EADA}" name="Tono" dataDxfId="48"/>
    <tableColumn id="12" xr3:uid="{FCDACF5A-E37B-4F05-B1E9-5CF8377C8A32}" name="Cejilla" dataDxfId="47"/>
    <tableColumn id="16" xr3:uid="{74F0636D-DDF0-48ED-9EC8-CFB6D218D249}" name="html" dataDxfId="46"/>
    <tableColumn id="7" xr3:uid="{67618C69-BDD7-4BD9-946B-34E3F47B3C35}" name="Ag/Gr" dataDxfId="45"/>
    <tableColumn id="21" xr3:uid="{42087BCE-8000-474B-996C-5C6901AA7438}" name="Columna1" dataDxfId="44"/>
    <tableColumn id="8" xr3:uid="{DB3187B6-7C5F-47A0-9227-10A3F954B33E}" name="Autor" dataDxfId="43"/>
    <tableColumn id="19" xr3:uid="{F618DFF5-BA49-4E4C-8924-E0352B5F3782}" name="Álbum" dataDxfId="42"/>
    <tableColumn id="20" xr3:uid="{0B89F2F7-32E5-4B3D-9943-AE682BFC216A}" name="Nº" dataDxfId="41"/>
    <tableColumn id="11" xr3:uid="{0DFC89C4-A590-4C0F-9ED3-818EBC5ED1FD}" name="Año" dataDxfId="40"/>
    <tableColumn id="18" xr3:uid="{8D0C09FC-5BDC-42E2-A6A2-AFA51ECF62BD}" name="Carpeta" dataDxfId="39">
      <calculatedColumnFormula array="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calculatedColumnFormula>
    </tableColumn>
    <tableColumn id="24" xr3:uid="{58E4DBD3-E4CB-496C-A861-99A7A5FDDC1F}" name="Sección" dataDxfId="38">
      <calculatedColumnFormula array="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calculatedColumnFormula>
    </tableColumn>
    <tableColumn id="22" xr3:uid="{87814BA7-B2F9-4543-B1EB-FED007B048FE}" name="Ruta" dataDxfId="37">
      <calculatedColumnFormula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calculatedColumnFormula>
    </tableColumn>
    <tableColumn id="10" xr3:uid="{C4C3E0B7-D315-4C4D-8176-86C93940C00E}" name="Referencia" dataDxfId="36"/>
    <tableColumn id="17" xr3:uid="{CA8CE824-9C3A-4210-80CC-1944C295CBF1}" name="Linked" dataDxfId="35"/>
    <tableColumn id="15" xr3:uid="{9FCFA60A-F350-4627-8B5D-B60C03A16C40}" name="link" dataDxfId="34"/>
    <tableColumn id="23" xr3:uid="{C94C48E6-541E-4213-940B-0A99D953D361}" name="index.html" dataDxfId="33">
      <calculatedColumnFormula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calculatedColumnFormula>
    </tableColumn>
    <tableColumn id="26" xr3:uid="{EDD5BD0B-0378-43F8-BE71-0DD5E0F2139E}" name="check" dataDxfId="32">
      <calculatedColumnFormula>_xlfn.TEXTBEFORE(_xlfn.TEXTAFTER(CantoralDB[[#This Row],[index.html]],"&gt;"),"&gt;")&amp;"&gt;"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3F1345-10E9-4BD7-B3DC-48AA30FD4BD9}" name="Autores" displayName="Autores" ref="A1:F36" totalsRowShown="0">
  <autoFilter ref="A1:F36" xr:uid="{F03F1345-10E9-4BD7-B3DC-48AA30FD4BD9}"/>
  <sortState xmlns:xlrd2="http://schemas.microsoft.com/office/spreadsheetml/2017/richdata2" ref="A2:E26">
    <sortCondition ref="A1:A26"/>
  </sortState>
  <tableColumns count="6">
    <tableColumn id="5" xr3:uid="{03D13075-46D7-456D-A5DC-0BEFC678D8A1}" name="#"/>
    <tableColumn id="1" xr3:uid="{705AA997-5055-45D5-BCFB-0762C26FB639}" name="Autor"/>
    <tableColumn id="2" xr3:uid="{95733EA1-F339-4A18-A224-A28DE8594FDA}" name="Secciones" dataDxfId="29">
      <calculatedColumnFormula>LOWER(SUBSTITUTE(SUBSTITUTE(SUBSTITUTE(SUBSTITUTE(SUBSTITUTE(SUBSTITUTE(SUBSTITUTE(SUBSTITUTE(SUBSTITUTE(SUBSTITUTE(SUBSTITUTE(Autores[[#This Row],[Autor]],"á","a"),"é","e"),"í","i"),"ó","o"),"ú","u")," ","_"),"¿",""),"?",""),"¡",""),"!",""),",",""))</calculatedColumnFormula>
    </tableColumn>
    <tableColumn id="3" xr3:uid="{27032B50-95DC-4FA2-9A29-FEC7A1520AD1}" name="id" dataDxfId="28">
      <calculatedColumnFormula>IF(Autores[[#This Row],[id_lado]]="i",
LEFT(SUBSTITUTE(SUBSTITUTE(Autores[[#This Row],[Secciones]],"_",""),"/",""),4),
LEFT(SUBSTITUTE(SUBSTITUTE(_xlfn.TEXTAFTER(Autores[[#This Row],[Secciones]],"_",-1),"_",""),"/",""),4))</calculatedColumnFormula>
    </tableColumn>
    <tableColumn id="4" xr3:uid="{4E379360-AAF6-402E-A9F4-1E2F2092C441}" name="id_lado"/>
    <tableColumn id="6" xr3:uid="{B93B5D74-12AB-49ED-882D-7F3364F9872F}" name="html" dataDxfId="27">
      <calculatedColumnFormula>"&lt;a href=""#"&amp;Autores[[#This Row],[id]]&amp;""" class=""btn-indice""&gt;"&amp;Autores[[#This Row],[Autor]]&amp;"&lt;/a&gt;"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200718-0F31-410F-AF46-1547ED1544AD}" name="Categorías" displayName="Categorías" ref="A1:A19" totalsRowShown="0">
  <autoFilter ref="A1:A19" xr:uid="{29200718-0F31-410F-AF46-1547ED1544AD}"/>
  <tableColumns count="1">
    <tableColumn id="1" xr3:uid="{028590B8-BC66-455A-99C3-BE08053FFCC5}" name="Categorí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3180A-6BA4-4B4A-8234-F06744FE5A85}" name="Tabla2" displayName="Tabla2" ref="A1:J192" totalsRowShown="0" headerRowDxfId="26" dataDxfId="25">
  <autoFilter ref="A1:J192" xr:uid="{1873180A-6BA4-4B4A-8234-F06744FE5A85}"/>
  <tableColumns count="10">
    <tableColumn id="10" xr3:uid="{2FD7DDC6-FB48-4199-8DD6-F60F8557AB5D}" name="Núm" dataDxfId="24">
      <calculatedColumnFormula>ROW(Tabla2[[#This Row],[Taizé]])-1</calculatedColumnFormula>
    </tableColumn>
    <tableColumn id="1" xr3:uid="{C050135E-7F5B-4CC0-A526-1AFC1728A3E0}" name="Taizé" dataDxfId="23"/>
    <tableColumn id="9" xr3:uid="{B74F8AB2-9832-40FB-A64E-784A3E9F1C6A}" name="2018-2019" dataDxfId="22"/>
    <tableColumn id="7" xr3:uid="{E61BFD7F-1AF7-4812-AA22-36B3F8E1DEC2}" name="2020-2021" dataDxfId="21"/>
    <tableColumn id="6" xr3:uid="{AB50F679-302E-4542-9FC0-04CF5D53D122}" name="2023-2024" dataDxfId="20"/>
    <tableColumn id="2" xr3:uid="{2E7155EB-888D-439C-9E36-47C9AC89B92A}" name="Columna1" dataDxfId="19"/>
    <tableColumn id="3" xr3:uid="{EF0CEA37-31CF-4F5C-87D1-BFE43E99F766}" name="Columna2" dataDxfId="18"/>
    <tableColumn id="4" xr3:uid="{F7AB2284-6C89-4A29-9E66-5F507EC503AC}" name="Columna3" dataDxfId="17"/>
    <tableColumn id="5" xr3:uid="{3774AC68-B43A-4A65-A2E9-84B0B6F66875}" name="Columna4" dataDxfId="16"/>
    <tableColumn id="8" xr3:uid="{CA9EF22D-29E2-4EAE-B820-1DE3481B3A43}" name="Español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youtube.com/watch?v=deartNdeluI" TargetMode="External"/><Relationship Id="rId21" Type="http://schemas.openxmlformats.org/officeDocument/2006/relationships/hyperlink" Target="https://www.youtube.com/watch?v=c06HqJKSRBU" TargetMode="External"/><Relationship Id="rId170" Type="http://schemas.openxmlformats.org/officeDocument/2006/relationships/hyperlink" Target="https://www.youtube.com/watch?v=l5KM7IsSTKo" TargetMode="External"/><Relationship Id="rId268" Type="http://schemas.openxmlformats.org/officeDocument/2006/relationships/hyperlink" Target="https://www.youtube.com/watch?v=dzZd_u-StZI" TargetMode="External"/><Relationship Id="rId475" Type="http://schemas.openxmlformats.org/officeDocument/2006/relationships/hyperlink" Target="https://www.maristes.cat/sites/default/files/content/nodes/recurs/file/9157/07graciasportudon.wav" TargetMode="External"/><Relationship Id="rId682" Type="http://schemas.openxmlformats.org/officeDocument/2006/relationships/hyperlink" Target="https://www.youtube.com/watch?v=8ke4CsNDfN0" TargetMode="External"/><Relationship Id="rId128" Type="http://schemas.openxmlformats.org/officeDocument/2006/relationships/hyperlink" Target="https://www.youtube.com/watch?v=KKq9VKHhUgM" TargetMode="External"/><Relationship Id="rId335" Type="http://schemas.openxmlformats.org/officeDocument/2006/relationships/hyperlink" Target="https://www.youtube.com/watch?v=BUk4HldkYHQ" TargetMode="External"/><Relationship Id="rId542" Type="http://schemas.openxmlformats.org/officeDocument/2006/relationships/hyperlink" Target="https://www.maristes.cat/sites/default/files/content/nodes/recurs/file/8845/9tusonrisanolavi.mp3" TargetMode="External"/><Relationship Id="rId987" Type="http://schemas.openxmlformats.org/officeDocument/2006/relationships/hyperlink" Target="https://open.spotify.com/intl-es/track/6kV3XfTXXeTlu088nmtjHn?si=d6b8aeceea86417b" TargetMode="External"/><Relationship Id="rId1172" Type="http://schemas.openxmlformats.org/officeDocument/2006/relationships/hyperlink" Target="https://www.youtube.com/watch?v=2VUAY9lxP20" TargetMode="External"/><Relationship Id="rId402" Type="http://schemas.openxmlformats.org/officeDocument/2006/relationships/hyperlink" Target="https://www.maristes.cat/sites/default/files/content/nodes/recurs/file/9030/08-padredelhombre.mp3" TargetMode="External"/><Relationship Id="rId847" Type="http://schemas.openxmlformats.org/officeDocument/2006/relationships/hyperlink" Target="https://www.youtube.com/watch?v=tj6jkdiJI2Y" TargetMode="External"/><Relationship Id="rId1032" Type="http://schemas.openxmlformats.org/officeDocument/2006/relationships/hyperlink" Target="https://www.youtube.com/watch?v=Yncstu1OEk4" TargetMode="External"/><Relationship Id="rId1477" Type="http://schemas.openxmlformats.org/officeDocument/2006/relationships/hyperlink" Target="https://www.mercaba.org/Musica/Cesareo%20Gabarain/Nostalgia%20de%20Dios/13%20bendito%20seas%20se%C3%B1or.mp3" TargetMode="External"/><Relationship Id="rId1684" Type="http://schemas.openxmlformats.org/officeDocument/2006/relationships/hyperlink" Target="https://www.mercaba.org/Musica/Carmelo%20Erdozain/Cantos%20para%20Participar%20y%20Vivir/4%20aleluya%20en%20canon.mp3" TargetMode="External"/><Relationship Id="rId707" Type="http://schemas.openxmlformats.org/officeDocument/2006/relationships/hyperlink" Target="https://www.youtube.com/watch?v=7ig4AfuKpXY" TargetMode="External"/><Relationship Id="rId914" Type="http://schemas.openxmlformats.org/officeDocument/2006/relationships/hyperlink" Target="https://www.youtube.com/watch?v=9zhCMVuoNHU" TargetMode="External"/><Relationship Id="rId1337" Type="http://schemas.openxmlformats.org/officeDocument/2006/relationships/hyperlink" Target="https://www.youtube.com/watch?v=oRMA7UVVj9s" TargetMode="External"/><Relationship Id="rId1544" Type="http://schemas.openxmlformats.org/officeDocument/2006/relationships/hyperlink" Target="https://www.mercaba.org/Musica/Ricardo%20cantalapiedra/Canciones%20de%20Ricardo%20C/08%20coplas%20de%20la%20pena%20negra.mp3" TargetMode="External"/><Relationship Id="rId1751" Type="http://schemas.openxmlformats.org/officeDocument/2006/relationships/hyperlink" Target="https://www.mercaba.org/Musica/Carmelo%20Erdozain/Nuevos%20Cantos%20Para%20el%20A&#241;o%20Liturgico/9%20ven%20espiritu%20santo.mp3" TargetMode="External"/><Relationship Id="rId43" Type="http://schemas.openxmlformats.org/officeDocument/2006/relationships/hyperlink" Target="https://www.youtube.com/watch?v=Qz-wm_PxJwQ" TargetMode="External"/><Relationship Id="rId1404" Type="http://schemas.openxmlformats.org/officeDocument/2006/relationships/hyperlink" Target="https://www.youtube.com/watch?v=cnQaAs7OTW0" TargetMode="External"/><Relationship Id="rId1611" Type="http://schemas.openxmlformats.org/officeDocument/2006/relationships/hyperlink" Target="https://open.spotify.com/intl-es/track/6ieQ7X8V5cpueMptQCiX1p?si=b32fcafbd5db4d52" TargetMode="External"/><Relationship Id="rId192" Type="http://schemas.openxmlformats.org/officeDocument/2006/relationships/hyperlink" Target="https://www.youtube.com/watch?v=2x_nQzLGLZw" TargetMode="External"/><Relationship Id="rId1709" Type="http://schemas.openxmlformats.org/officeDocument/2006/relationships/hyperlink" Target="https://www.mercaba.org/Musica/Carmelo%20Erdozain/Cerca%20esta%20el%20Se&#241;or/8%20libertador%20de%20nazaret.mp3" TargetMode="External"/><Relationship Id="rId497" Type="http://schemas.openxmlformats.org/officeDocument/2006/relationships/hyperlink" Target="https://www.maristes.cat/sites/default/files/content/nodes/recurs/file/8901/1pregonpascual.mp3" TargetMode="External"/><Relationship Id="rId357" Type="http://schemas.openxmlformats.org/officeDocument/2006/relationships/hyperlink" Target="https://www.maristes.cat/sites/default/files/content/nodes/recurs/file/9464/trackno10.mp3" TargetMode="External"/><Relationship Id="rId1194" Type="http://schemas.openxmlformats.org/officeDocument/2006/relationships/hyperlink" Target="https://www.mercaba.org/Musica/Cesareo%20Gabarain/Dios%20con%20Nosotros/09%20-%20Iglesia%20peregrina.mp3" TargetMode="External"/><Relationship Id="rId217" Type="http://schemas.openxmlformats.org/officeDocument/2006/relationships/hyperlink" Target="https://www.youtube.com/watch?v=YkIH8b0QMs0" TargetMode="External"/><Relationship Id="rId564" Type="http://schemas.openxmlformats.org/officeDocument/2006/relationships/hyperlink" Target="https://www.maristes.cat/sites/default/files/content/nodes/recurs/file/8944/9hermanoconfiaendios.mp3" TargetMode="External"/><Relationship Id="rId771" Type="http://schemas.openxmlformats.org/officeDocument/2006/relationships/hyperlink" Target="https://www.youtube.com/watch?v=UwEar1JhMYI" TargetMode="External"/><Relationship Id="rId869" Type="http://schemas.openxmlformats.org/officeDocument/2006/relationships/hyperlink" Target="https://www.youtube.com/watch?v=BWALkbiwBTw" TargetMode="External"/><Relationship Id="rId1499" Type="http://schemas.openxmlformats.org/officeDocument/2006/relationships/hyperlink" Target="https://www.youtube.com/watch?v=H8vFcoTxezI" TargetMode="External"/><Relationship Id="rId424" Type="http://schemas.openxmlformats.org/officeDocument/2006/relationships/hyperlink" Target="https://www.maristes.cat/sites/default/files/content/nodes/recurs/file/8930/trackno06.mp3" TargetMode="External"/><Relationship Id="rId631" Type="http://schemas.openxmlformats.org/officeDocument/2006/relationships/hyperlink" Target="https://www.youtube.com/watch?v=06KdbYF8Q6Y" TargetMode="External"/><Relationship Id="rId729" Type="http://schemas.openxmlformats.org/officeDocument/2006/relationships/hyperlink" Target="https://www.youtube.com/watch?v=1ElpNZVhSnQ" TargetMode="External"/><Relationship Id="rId1054" Type="http://schemas.openxmlformats.org/officeDocument/2006/relationships/hyperlink" Target="https://www.youtube.com/watch?v=l5szV3_nYq4" TargetMode="External"/><Relationship Id="rId1261" Type="http://schemas.openxmlformats.org/officeDocument/2006/relationships/hyperlink" Target="https://www.mercaba.org/Musica/Cesareo%20Gabarain/Catequesis%20y%20Cancion/10%20ven%20conmigo.mp3" TargetMode="External"/><Relationship Id="rId1359" Type="http://schemas.openxmlformats.org/officeDocument/2006/relationships/hyperlink" Target="https://www.youtube.com/watch?v=VxNOIL1sAU0" TargetMode="External"/><Relationship Id="rId936" Type="http://schemas.openxmlformats.org/officeDocument/2006/relationships/hyperlink" Target="https://www.youtube.com/watch?v=lBptuQOHTlU" TargetMode="External"/><Relationship Id="rId1121" Type="http://schemas.openxmlformats.org/officeDocument/2006/relationships/hyperlink" Target="https://www.youtube.com/watch?v=pxOlXWBCT-g" TargetMode="External"/><Relationship Id="rId1219" Type="http://schemas.openxmlformats.org/officeDocument/2006/relationships/hyperlink" Target="https://www.mercaba.org/Musica/Cesareo%20Gabarain/aclamaciones%20para%20la%20celebracion,%20gabarain%20(m)/17%20aclamacion%20adviento.mp3" TargetMode="External"/><Relationship Id="rId1566" Type="http://schemas.openxmlformats.org/officeDocument/2006/relationships/hyperlink" Target="https://www.youtube.com/watch?v=m7wIlP14v-s" TargetMode="External"/><Relationship Id="rId1773" Type="http://schemas.openxmlformats.org/officeDocument/2006/relationships/hyperlink" Target="https://www.youtube.com/watch?v=71PlHBqYhZY" TargetMode="External"/><Relationship Id="rId65" Type="http://schemas.openxmlformats.org/officeDocument/2006/relationships/hyperlink" Target="https://www.youtube.com/watch?v=u6cOz4g4_0I" TargetMode="External"/><Relationship Id="rId1426" Type="http://schemas.openxmlformats.org/officeDocument/2006/relationships/hyperlink" Target="https://www.mercaba.org/Musica/Cesareo%20Gabarain/En%20Medio%20de%20la%20Noche/02%20dindon%20dilin%20dindan.mp3" TargetMode="External"/><Relationship Id="rId1633" Type="http://schemas.openxmlformats.org/officeDocument/2006/relationships/hyperlink" Target="https://www.mercaba.org/Musica/Carmelo%20Erdozain/15%20canciones%20famosas,%20carmelo%20erdozain/viva%20la%20gente.mp3" TargetMode="External"/><Relationship Id="rId1700" Type="http://schemas.openxmlformats.org/officeDocument/2006/relationships/hyperlink" Target="https://www.mercaba.org/Musica/Carmelo%20Erdozain/Cantos%20para%20una%20Comunidad%20Evangelizadora/9%20dios%20nos%20da%20su%20pan.mp3" TargetMode="External"/><Relationship Id="rId281" Type="http://schemas.openxmlformats.org/officeDocument/2006/relationships/hyperlink" Target="https://www.youtube.com/watch?v=bB9XvVIANp8" TargetMode="External"/><Relationship Id="rId141" Type="http://schemas.openxmlformats.org/officeDocument/2006/relationships/hyperlink" Target="https://www.youtube.com/watch?v=Ci6dfFOm4_k" TargetMode="External"/><Relationship Id="rId379" Type="http://schemas.openxmlformats.org/officeDocument/2006/relationships/hyperlink" Target="https://www.maristes.cat/sites/default/files/content/nodes/recurs/file/8781/7conlosninos.mp3" TargetMode="External"/><Relationship Id="rId586" Type="http://schemas.openxmlformats.org/officeDocument/2006/relationships/hyperlink" Target="https://www.maristes.cat/sites/default/files/content/nodes/recurs/file/8806/4sientotullamadaelsenoreslaesperanzaelsenorestaaquicaminadacogemedios.mp3" TargetMode="External"/><Relationship Id="rId793" Type="http://schemas.openxmlformats.org/officeDocument/2006/relationships/hyperlink" Target="https://www.youtube.com/watch?v=6dKNkU_vNKs" TargetMode="External"/><Relationship Id="rId7" Type="http://schemas.openxmlformats.org/officeDocument/2006/relationships/hyperlink" Target="https://www.youtube.com/watch?v=QkZqaN8wdf4" TargetMode="External"/><Relationship Id="rId239" Type="http://schemas.openxmlformats.org/officeDocument/2006/relationships/hyperlink" Target="https://www.youtube.com/watch?v=9n2aAG_DLGk" TargetMode="External"/><Relationship Id="rId446" Type="http://schemas.openxmlformats.org/officeDocument/2006/relationships/hyperlink" Target="https://www.maristes.cat/sites/default/files/content/nodes/recurs/file/8799/9diosenlaciudad.mp3" TargetMode="External"/><Relationship Id="rId653" Type="http://schemas.openxmlformats.org/officeDocument/2006/relationships/hyperlink" Target="https://www.youtube.com/watch?v=ceNH003raFI" TargetMode="External"/><Relationship Id="rId1076" Type="http://schemas.openxmlformats.org/officeDocument/2006/relationships/hyperlink" Target="https://www.youtube.com/watch?v=H_Mc--VmCHQ" TargetMode="External"/><Relationship Id="rId1283" Type="http://schemas.openxmlformats.org/officeDocument/2006/relationships/hyperlink" Target="https://www.youtube.com/watch?v=uP3F9yJdWO8" TargetMode="External"/><Relationship Id="rId1490" Type="http://schemas.openxmlformats.org/officeDocument/2006/relationships/hyperlink" Target="https://www.youtube.com/watch?v=JlxGvGOlKDo" TargetMode="External"/><Relationship Id="rId306" Type="http://schemas.openxmlformats.org/officeDocument/2006/relationships/hyperlink" Target="https://www.youtube.com/watch?v=m1QR_OWTTBQ" TargetMode="External"/><Relationship Id="rId860" Type="http://schemas.openxmlformats.org/officeDocument/2006/relationships/hyperlink" Target="https://www.youtube.com/watch?v=3kh9igqJvIQ" TargetMode="External"/><Relationship Id="rId958" Type="http://schemas.openxmlformats.org/officeDocument/2006/relationships/hyperlink" Target="https://www.youtube.com/watch?v=ha8OsVlw5VM" TargetMode="External"/><Relationship Id="rId1143" Type="http://schemas.openxmlformats.org/officeDocument/2006/relationships/hyperlink" Target="https://www.youtube.com/watch?v=sTgTt78-lRA" TargetMode="External"/><Relationship Id="rId1588" Type="http://schemas.openxmlformats.org/officeDocument/2006/relationships/hyperlink" Target="https://www.youtube.com/watch?v=waQqeP1rddE" TargetMode="External"/><Relationship Id="rId1795" Type="http://schemas.openxmlformats.org/officeDocument/2006/relationships/hyperlink" Target="https://www.youtube.com/watch?v=AHNvdH2P0EA" TargetMode="External"/><Relationship Id="rId87" Type="http://schemas.openxmlformats.org/officeDocument/2006/relationships/hyperlink" Target="https://www.youtube.com/watch?v=dBfTYMaagdc" TargetMode="External"/><Relationship Id="rId513" Type="http://schemas.openxmlformats.org/officeDocument/2006/relationships/hyperlink" Target="https://www.maristes.cat/sites/default/files/content/nodes/recurs/file/8975/4danostuespiritu.mp3" TargetMode="External"/><Relationship Id="rId720" Type="http://schemas.openxmlformats.org/officeDocument/2006/relationships/hyperlink" Target="https://www.youtube.com/watch?v=FJGbSahSwjw" TargetMode="External"/><Relationship Id="rId818" Type="http://schemas.openxmlformats.org/officeDocument/2006/relationships/hyperlink" Target="https://www.youtube.com/watch?v=vkBzkZ9B5yM" TargetMode="External"/><Relationship Id="rId1350" Type="http://schemas.openxmlformats.org/officeDocument/2006/relationships/hyperlink" Target="https://www.youtube.com/watch?v=ptiwP7lEFnU" TargetMode="External"/><Relationship Id="rId1448" Type="http://schemas.openxmlformats.org/officeDocument/2006/relationships/hyperlink" Target="https://www.mercaba.org/Musica/Cesareo%20Gabarain/Cantos%20de%20Entrada%20y%20Comunion/05%20-%20Antes%20del%20evangelio%20(Adviento,%20Navidad,%20Cuaresma%20Pascua%20y%20Pentecost%C3%A9s).mp3" TargetMode="External"/><Relationship Id="rId1655" Type="http://schemas.openxmlformats.org/officeDocument/2006/relationships/hyperlink" Target="https://www.mercaba.org/Musica/Adviento%20y%20Navidad/Adviento%20Maria%20y%20Navidad/en%20belen%20de%20la%20virgen%20maria.mp3" TargetMode="External"/><Relationship Id="rId1003" Type="http://schemas.openxmlformats.org/officeDocument/2006/relationships/hyperlink" Target="https://www.youtube.com/watch?v=k3Bi49pML-w" TargetMode="External"/><Relationship Id="rId1210" Type="http://schemas.openxmlformats.org/officeDocument/2006/relationships/hyperlink" Target="https://www.mercaba.org/Musica/Cesareo%20Gabarain/aclamaciones%20para%20la%20celebracion,%20gabarain%20(m)/08%20antes%20del%20evangelio%2001.mp3" TargetMode="External"/><Relationship Id="rId1308" Type="http://schemas.openxmlformats.org/officeDocument/2006/relationships/hyperlink" Target="https://www.youtube.com/watch?v=URsXU5HdYPA" TargetMode="External"/><Relationship Id="rId1515" Type="http://schemas.openxmlformats.org/officeDocument/2006/relationships/hyperlink" Target="https://www.youtube.com/watch?v=lUsUTzkKKsg" TargetMode="External"/><Relationship Id="rId1722" Type="http://schemas.openxmlformats.org/officeDocument/2006/relationships/hyperlink" Target="https://www.mercaba.org/Musica/Carmelo%20Erdozain/Dios%20es%20Amor/10%20el%20se&#241;or%20nos%20invita.mp3" TargetMode="External"/><Relationship Id="rId14" Type="http://schemas.openxmlformats.org/officeDocument/2006/relationships/hyperlink" Target="https://www.youtube.com/watch?v=OuQldRxC9WM" TargetMode="External"/><Relationship Id="rId163" Type="http://schemas.openxmlformats.org/officeDocument/2006/relationships/hyperlink" Target="https://www.youtube.com/watch?v=ViFGpblE-20" TargetMode="External"/><Relationship Id="rId370" Type="http://schemas.openxmlformats.org/officeDocument/2006/relationships/hyperlink" Target="https://www.maristes.cat/sites/default/files/content/nodes/recurs/file/8682/10cantodemaria.mp3" TargetMode="External"/><Relationship Id="rId230" Type="http://schemas.openxmlformats.org/officeDocument/2006/relationships/hyperlink" Target="https://www.youtube.com/watch?v=kkQ9rAbqjMw" TargetMode="External"/><Relationship Id="rId468" Type="http://schemas.openxmlformats.org/officeDocument/2006/relationships/hyperlink" Target="https://www.maristes.cat/sites/default/files/content/nodes/recurs/file/8722/9gloriaadios.mp3" TargetMode="External"/><Relationship Id="rId675" Type="http://schemas.openxmlformats.org/officeDocument/2006/relationships/hyperlink" Target="https://www.youtube.com/watch?v=Zkwri57b4gY" TargetMode="External"/><Relationship Id="rId882" Type="http://schemas.openxmlformats.org/officeDocument/2006/relationships/hyperlink" Target="https://www.youtube.com/watch?v=44YVarFD5A8" TargetMode="External"/><Relationship Id="rId1098" Type="http://schemas.openxmlformats.org/officeDocument/2006/relationships/hyperlink" Target="https://www.youtube.com/watch?v=T4RfyEdxNBY" TargetMode="External"/><Relationship Id="rId328" Type="http://schemas.openxmlformats.org/officeDocument/2006/relationships/hyperlink" Target="https://www.youtube.com/watch?v=H9EmhoD7EZ0" TargetMode="External"/><Relationship Id="rId535" Type="http://schemas.openxmlformats.org/officeDocument/2006/relationships/hyperlink" Target="https://www.maristes.cat/sites/default/files/content/nodes/recurs/file/8835/2tuserasmihermano.mp3" TargetMode="External"/><Relationship Id="rId742" Type="http://schemas.openxmlformats.org/officeDocument/2006/relationships/hyperlink" Target="https://www.youtube.com/watch?v=yTtfvJTUZtg" TargetMode="External"/><Relationship Id="rId1165" Type="http://schemas.openxmlformats.org/officeDocument/2006/relationships/hyperlink" Target="https://www.youtube.com/watch?v=pDLbgQx6h14" TargetMode="External"/><Relationship Id="rId1372" Type="http://schemas.openxmlformats.org/officeDocument/2006/relationships/hyperlink" Target="https://www.youtube.com/watch?v=9N9l3P8WmW8" TargetMode="External"/><Relationship Id="rId602" Type="http://schemas.openxmlformats.org/officeDocument/2006/relationships/hyperlink" Target="https://www.maristes.cat/sites/default/files/content/nodes/recurs/file/8966/10suena.mp3" TargetMode="External"/><Relationship Id="rId1025" Type="http://schemas.openxmlformats.org/officeDocument/2006/relationships/hyperlink" Target="https://www.youtube.com/watch?v=pogsTHrqkxU" TargetMode="External"/><Relationship Id="rId1232" Type="http://schemas.openxmlformats.org/officeDocument/2006/relationships/hyperlink" Target="https://www.mercaba.org/Musica/Cesareo%20Gabarain/Al%20Atardecer%20de%20la%20Vida/10%20-%20El%20descanso%20eterno.mp3" TargetMode="External"/><Relationship Id="rId1677" Type="http://schemas.openxmlformats.org/officeDocument/2006/relationships/hyperlink" Target="https://www.mercaba.org/Musica/Carmelo%20Erdozain/24%20cantos%20de%20adviento%20y%20navidad,%20carmelo%20erdozain/19%20tres%20reyes%20magos.mp3" TargetMode="External"/><Relationship Id="rId907" Type="http://schemas.openxmlformats.org/officeDocument/2006/relationships/hyperlink" Target="https://www.youtube.com/watch?v=wMrfIGvAMIA" TargetMode="External"/><Relationship Id="rId1537" Type="http://schemas.openxmlformats.org/officeDocument/2006/relationships/hyperlink" Target="https://www.mercaba.org/Musica/Ricardo%20cantalapiedra/El%20Profeta/03%20queremos.mp3" TargetMode="External"/><Relationship Id="rId1744" Type="http://schemas.openxmlformats.org/officeDocument/2006/relationships/hyperlink" Target="https://www.mercaba.org/Musica/Carmelo%20Erdozain/Nuevos%20Cantos%20Para%20el%20A&#241;o%20Liturgico/1%20se%20acerca%20el%20reino%20de%20dios.mp3" TargetMode="External"/><Relationship Id="rId36" Type="http://schemas.openxmlformats.org/officeDocument/2006/relationships/hyperlink" Target="https://www.youtube.com/watch?v=88t9_VW5z6o" TargetMode="External"/><Relationship Id="rId1604" Type="http://schemas.openxmlformats.org/officeDocument/2006/relationships/hyperlink" Target="https://www.youtube.com/watch?v=xPmSsQZ6dVU" TargetMode="External"/><Relationship Id="rId185" Type="http://schemas.openxmlformats.org/officeDocument/2006/relationships/hyperlink" Target="https://www.youtube.com/watch?v=_YzyoKmsedU" TargetMode="External"/><Relationship Id="rId1811" Type="http://schemas.openxmlformats.org/officeDocument/2006/relationships/hyperlink" Target="https://www.youtube.com/watch?v=PGzQTQShf8A" TargetMode="External"/><Relationship Id="rId392" Type="http://schemas.openxmlformats.org/officeDocument/2006/relationships/hyperlink" Target="https://www.maristes.cat/sites/default/files/content/nodes/recurs/file/8921/8mantasdecarton.mp3" TargetMode="External"/><Relationship Id="rId697" Type="http://schemas.openxmlformats.org/officeDocument/2006/relationships/hyperlink" Target="https://www.youtube.com/watch?v=aAwwifOLThM" TargetMode="External"/><Relationship Id="rId252" Type="http://schemas.openxmlformats.org/officeDocument/2006/relationships/hyperlink" Target="https://www.youtube.com/watch?v=RElUzQhbeJ8" TargetMode="External"/><Relationship Id="rId1187" Type="http://schemas.openxmlformats.org/officeDocument/2006/relationships/hyperlink" Target="https://www.mercaba.org/Musica/Cesareo%20Gabarain/La%20Misa%20es%20una%20Fiesta/01%20la%20misa%20es%20una%20fiesta.mp3" TargetMode="External"/><Relationship Id="rId112" Type="http://schemas.openxmlformats.org/officeDocument/2006/relationships/hyperlink" Target="https://www.youtube.com/watch?v=FdCON1gniwo" TargetMode="External"/><Relationship Id="rId557" Type="http://schemas.openxmlformats.org/officeDocument/2006/relationships/hyperlink" Target="https://www.maristes.cat/sites/default/files/content/nodes/recurs/file/8889/12esperadalsenor.mp3" TargetMode="External"/><Relationship Id="rId764" Type="http://schemas.openxmlformats.org/officeDocument/2006/relationships/hyperlink" Target="https://www.youtube.com/watch?v=rJU70C-RODA" TargetMode="External"/><Relationship Id="rId971" Type="http://schemas.openxmlformats.org/officeDocument/2006/relationships/hyperlink" Target="https://www.youtube.com/watch?v=wCMsCF8HMuA" TargetMode="External"/><Relationship Id="rId1394" Type="http://schemas.openxmlformats.org/officeDocument/2006/relationships/hyperlink" Target="https://www.youtube.com/watch?v=-BmRF0Cx6Q8" TargetMode="External"/><Relationship Id="rId1699" Type="http://schemas.openxmlformats.org/officeDocument/2006/relationships/hyperlink" Target="https://www.mercaba.org/Musica/Carmelo%20Erdozain/Cantos%20para%20una%20Comunidad%20Evangelizadora/8%20al%20alzar%20mis%20manos.mp3" TargetMode="External"/><Relationship Id="rId417" Type="http://schemas.openxmlformats.org/officeDocument/2006/relationships/hyperlink" Target="https://www.maristes.cat/sites/default/files/content/nodes/recurs/file/9021/12anteelespejo.mp3" TargetMode="External"/><Relationship Id="rId624" Type="http://schemas.openxmlformats.org/officeDocument/2006/relationships/hyperlink" Target="https://www.youtube.com/watch?v=GwuVLMz99vY" TargetMode="External"/><Relationship Id="rId831" Type="http://schemas.openxmlformats.org/officeDocument/2006/relationships/hyperlink" Target="https://www.youtube.com/watch?v=ZEGAQNARgbc" TargetMode="External"/><Relationship Id="rId1047" Type="http://schemas.openxmlformats.org/officeDocument/2006/relationships/hyperlink" Target="https://www.youtube.com/watch?v=JFwjv-xY-Mw" TargetMode="External"/><Relationship Id="rId1254" Type="http://schemas.openxmlformats.org/officeDocument/2006/relationships/hyperlink" Target="https://www.mercaba.org/Musica/Cesareo%20Gabarain/Catequesis%20y%20Cancion/02%20dios%20hizo%20todas%20las%20cosas.mp3" TargetMode="External"/><Relationship Id="rId1461" Type="http://schemas.openxmlformats.org/officeDocument/2006/relationships/hyperlink" Target="https://www.mercaba.org/Musica/Cesareo%20Gabarain/La%20Misa%20es%20una%20Fiesta/15%20ya%20llega%20ya%20llega.mp3" TargetMode="External"/><Relationship Id="rId929" Type="http://schemas.openxmlformats.org/officeDocument/2006/relationships/hyperlink" Target="https://www.youtube.com/watch?v=bdipK6NtEWs" TargetMode="External"/><Relationship Id="rId1114" Type="http://schemas.openxmlformats.org/officeDocument/2006/relationships/hyperlink" Target="https://www.youtube.com/watch?v=nhsCBGwQ07M" TargetMode="External"/><Relationship Id="rId1321" Type="http://schemas.openxmlformats.org/officeDocument/2006/relationships/hyperlink" Target="https://www.youtube.com/watch?v=reo5W-tQj7s" TargetMode="External"/><Relationship Id="rId1559" Type="http://schemas.openxmlformats.org/officeDocument/2006/relationships/hyperlink" Target="https://www.mercaba.org/Musica/Ricardo%20cantalapiedra/Salmos%20de%20Muerte%20y%20de%20Gloria/05%20a%20ti%20encomiendo%20mi%20vida.mp3" TargetMode="External"/><Relationship Id="rId1766" Type="http://schemas.openxmlformats.org/officeDocument/2006/relationships/hyperlink" Target="https://www.mercaba.org/Musica/Carmelo%20Erdozain/Ven%20y%20Sigueme/8%20se&#241;or%20del%20alba.mp3" TargetMode="External"/><Relationship Id="rId58" Type="http://schemas.openxmlformats.org/officeDocument/2006/relationships/hyperlink" Target="https://www.youtube.com/watch?v=GMGRgvLtwj8" TargetMode="External"/><Relationship Id="rId1419" Type="http://schemas.openxmlformats.org/officeDocument/2006/relationships/hyperlink" Target="https://www.youtube.com/watch?v=5XFZudnURrY" TargetMode="External"/><Relationship Id="rId1626" Type="http://schemas.openxmlformats.org/officeDocument/2006/relationships/hyperlink" Target="https://www.mercaba.org/Musica/Carmelo%20Erdozain/12%20canciones%20religiosas%20y%20liturgicas,%20carmelo%20erdozain/9%20llega%20la%20luz.mp3" TargetMode="External"/><Relationship Id="rId274" Type="http://schemas.openxmlformats.org/officeDocument/2006/relationships/hyperlink" Target="https://www.youtube.com/watch?v=1w-gdh41WHM" TargetMode="External"/><Relationship Id="rId481" Type="http://schemas.openxmlformats.org/officeDocument/2006/relationships/hyperlink" Target="https://www.maristes.cat/sites/default/files/content/nodes/recurs/file/8758/8confiadrecurrid.mp3" TargetMode="External"/><Relationship Id="rId134" Type="http://schemas.openxmlformats.org/officeDocument/2006/relationships/hyperlink" Target="https://www.youtube.com/watch?v=KTXKG-zCKAM" TargetMode="External"/><Relationship Id="rId579" Type="http://schemas.openxmlformats.org/officeDocument/2006/relationships/hyperlink" Target="https://www.maristes.cat/sites/default/files/content/nodes/recurs/file/8737/11tuyyoesteaquel.mp3" TargetMode="External"/><Relationship Id="rId786" Type="http://schemas.openxmlformats.org/officeDocument/2006/relationships/hyperlink" Target="https://www.youtube.com/watch?v=pkFZjv20p_c" TargetMode="External"/><Relationship Id="rId993" Type="http://schemas.openxmlformats.org/officeDocument/2006/relationships/hyperlink" Target="https://open.spotify.com/intl-es/track/62lc6MaGErWI1amP96JSlh?si=b505d0203a37492e" TargetMode="External"/><Relationship Id="rId341" Type="http://schemas.openxmlformats.org/officeDocument/2006/relationships/hyperlink" Target="https://www.youtube.com/watch?v=4t3qx24ub9Y" TargetMode="External"/><Relationship Id="rId439" Type="http://schemas.openxmlformats.org/officeDocument/2006/relationships/hyperlink" Target="https://www.maristes.cat/sites/default/files/content/nodes/recurs/file/8874/9tealabosenor.mp3" TargetMode="External"/><Relationship Id="rId646" Type="http://schemas.openxmlformats.org/officeDocument/2006/relationships/hyperlink" Target="https://www.youtube.com/watch?v=k_nV6Q-B53Y" TargetMode="External"/><Relationship Id="rId1069" Type="http://schemas.openxmlformats.org/officeDocument/2006/relationships/hyperlink" Target="https://www.youtube.com/watch?v=essw1fppwDY" TargetMode="External"/><Relationship Id="rId1276" Type="http://schemas.openxmlformats.org/officeDocument/2006/relationships/hyperlink" Target="https://www.mercaba.org/Musica/Cesareo%20Gabarain/Dios%20Hombre%20Mundo/04%20-%20Buenos%20d%C3%ADas,%20Se%C3%B1or.mp3" TargetMode="External"/><Relationship Id="rId1483" Type="http://schemas.openxmlformats.org/officeDocument/2006/relationships/hyperlink" Target="https://www.youtube.com/watch?v=djDejaGi-Fo" TargetMode="External"/><Relationship Id="rId201" Type="http://schemas.openxmlformats.org/officeDocument/2006/relationships/hyperlink" Target="https://www.youtube.com/watch?v=q8L6K4bQH6A" TargetMode="External"/><Relationship Id="rId506" Type="http://schemas.openxmlformats.org/officeDocument/2006/relationships/hyperlink" Target="https://www.maristes.cat/sites/default/files/content/nodes/recurs/file/8910/10salvecompanerannuestra.mp3" TargetMode="External"/><Relationship Id="rId853" Type="http://schemas.openxmlformats.org/officeDocument/2006/relationships/hyperlink" Target="https://www.youtube.com/watch?v=CiFC6AIKPjA" TargetMode="External"/><Relationship Id="rId1136" Type="http://schemas.openxmlformats.org/officeDocument/2006/relationships/hyperlink" Target="https://www.youtube.com/watch?v=Y6X_6_oivHM" TargetMode="External"/><Relationship Id="rId1690" Type="http://schemas.openxmlformats.org/officeDocument/2006/relationships/hyperlink" Target="https://www.mercaba.org/Musica/Carmelo%20Erdozain/Cantos%20para%20Participar%20y%20Vivir/13%20oh%20divino%20ni&#241;o.mp3" TargetMode="External"/><Relationship Id="rId1788" Type="http://schemas.openxmlformats.org/officeDocument/2006/relationships/hyperlink" Target="https://www.youtube.com/watch?v=2W16QSoZi1s" TargetMode="External"/><Relationship Id="rId713" Type="http://schemas.openxmlformats.org/officeDocument/2006/relationships/hyperlink" Target="https://www.youtube.com/watch?v=G-wFc9gQJ_8" TargetMode="External"/><Relationship Id="rId920" Type="http://schemas.openxmlformats.org/officeDocument/2006/relationships/hyperlink" Target="https://www.youtube.com/watch?v=8y4mHMa_GaM" TargetMode="External"/><Relationship Id="rId1343" Type="http://schemas.openxmlformats.org/officeDocument/2006/relationships/hyperlink" Target="https://www.youtube.com/watch?v=TuNzKm3PNpE" TargetMode="External"/><Relationship Id="rId1550" Type="http://schemas.openxmlformats.org/officeDocument/2006/relationships/hyperlink" Target="https://www.mercaba.org/Musica/Ricardo%20cantalapiedra/El%20Profeta/04%20cancion%20para%20no%20matar.mp3" TargetMode="External"/><Relationship Id="rId1648" Type="http://schemas.openxmlformats.org/officeDocument/2006/relationships/hyperlink" Target="https://www.mercaba.org/Musica/Carmelo%20Erdozain/15%20cantos%20para%20la%20cena%20del%20se%C3%B1or,%20carmelo%20erdozain/15%20himno%20al%20patron%20de%20la%20parroquia.mp3" TargetMode="External"/><Relationship Id="rId1203" Type="http://schemas.openxmlformats.org/officeDocument/2006/relationships/hyperlink" Target="https://www.mercaba.org/Musica/Cesareo%20Gabarain/aclamaciones%20para%20la%20celebracion,%20gabarain%20(m)/01%20porque%20nos%20invitas.mp3" TargetMode="External"/><Relationship Id="rId1410" Type="http://schemas.openxmlformats.org/officeDocument/2006/relationships/hyperlink" Target="https://www.youtube.com/watch?v=witDnA3ho5M" TargetMode="External"/><Relationship Id="rId1508" Type="http://schemas.openxmlformats.org/officeDocument/2006/relationships/hyperlink" Target="https://www.youtube.com/watch?v=Fj-Sr1Uw3_E" TargetMode="External"/><Relationship Id="rId1715" Type="http://schemas.openxmlformats.org/officeDocument/2006/relationships/hyperlink" Target="https://www.mercaba.org/Musica/Carmelo%20Erdozain/Dios%20es%20Amor/3%20venid%20aclamemos.mp3" TargetMode="External"/><Relationship Id="rId296" Type="http://schemas.openxmlformats.org/officeDocument/2006/relationships/hyperlink" Target="https://www.youtube.com/watch?v=DXEMaCElAj0" TargetMode="External"/><Relationship Id="rId156" Type="http://schemas.openxmlformats.org/officeDocument/2006/relationships/hyperlink" Target="https://www.youtube.com/watch?v=BcAfMxMzCQg" TargetMode="External"/><Relationship Id="rId363" Type="http://schemas.openxmlformats.org/officeDocument/2006/relationships/hyperlink" Target="https://www.maristes.cat/sites/default/files/content/nodes/recurs/file/8674/2gloriaadios.mp3" TargetMode="External"/><Relationship Id="rId570" Type="http://schemas.openxmlformats.org/officeDocument/2006/relationships/hyperlink" Target="https://www.maristes.cat/sites/default/files/content/nodes/recurs/file/8727/02miciudad.mp3" TargetMode="External"/><Relationship Id="rId223" Type="http://schemas.openxmlformats.org/officeDocument/2006/relationships/hyperlink" Target="https://www.youtube.com/watch?v=84v4bhXR4Os" TargetMode="External"/><Relationship Id="rId430" Type="http://schemas.openxmlformats.org/officeDocument/2006/relationships/hyperlink" Target="https://www.maristes.cat/sites/default/files/content/nodes/recurs/file/8924/escuchamaria.mp3" TargetMode="External"/><Relationship Id="rId668" Type="http://schemas.openxmlformats.org/officeDocument/2006/relationships/hyperlink" Target="https://www.youtube.com/watch?v=kChSEF696us" TargetMode="External"/><Relationship Id="rId875" Type="http://schemas.openxmlformats.org/officeDocument/2006/relationships/hyperlink" Target="https://www.youtube.com/watch?v=9APEZKs_gdw" TargetMode="External"/><Relationship Id="rId1060" Type="http://schemas.openxmlformats.org/officeDocument/2006/relationships/hyperlink" Target="https://www.youtube.com/watch?v=jsVOS_fEQns" TargetMode="External"/><Relationship Id="rId1298" Type="http://schemas.openxmlformats.org/officeDocument/2006/relationships/hyperlink" Target="https://www.youtube.com/watch?v=sbhAo151gOg" TargetMode="External"/><Relationship Id="rId528" Type="http://schemas.openxmlformats.org/officeDocument/2006/relationships/hyperlink" Target="https://www.maristes.cat/sites/default/files/content/nodes/recurs/file/8990/kairoi-profetadelafamilia-05-supalabra.mp3" TargetMode="External"/><Relationship Id="rId735" Type="http://schemas.openxmlformats.org/officeDocument/2006/relationships/hyperlink" Target="https://www.youtube.com/watch?v=in8sjfCrqa0" TargetMode="External"/><Relationship Id="rId942" Type="http://schemas.openxmlformats.org/officeDocument/2006/relationships/hyperlink" Target="https://www.youtube.com/watch?v=SaFivgV85OU" TargetMode="External"/><Relationship Id="rId1158" Type="http://schemas.openxmlformats.org/officeDocument/2006/relationships/hyperlink" Target="https://www.youtube.com/watch?v=b-to-m7Emeo" TargetMode="External"/><Relationship Id="rId1365" Type="http://schemas.openxmlformats.org/officeDocument/2006/relationships/hyperlink" Target="https://www.youtube.com/watch?v=zkn38Teipxg" TargetMode="External"/><Relationship Id="rId1572" Type="http://schemas.openxmlformats.org/officeDocument/2006/relationships/hyperlink" Target="https://www.youtube.com/watch?v=Cs4CwgYpXfw" TargetMode="External"/><Relationship Id="rId1018" Type="http://schemas.openxmlformats.org/officeDocument/2006/relationships/hyperlink" Target="https://www.youtube.com/watch?v=6g_R6fNOmNo" TargetMode="External"/><Relationship Id="rId1225" Type="http://schemas.openxmlformats.org/officeDocument/2006/relationships/hyperlink" Target="https://www.mercaba.org/Musica/Cesareo%20Gabarain/Al%20Atardecer%20de%20la%20Vida/03%20-%20Que%20los%20%C3%A1ngeles%20te%20lleven.mp3" TargetMode="External"/><Relationship Id="rId1432" Type="http://schemas.openxmlformats.org/officeDocument/2006/relationships/hyperlink" Target="https://www.mercaba.org/Musica/Cesareo%20Gabarain/En%20Medio%20de%20la%20Noche/08%20ni%C3%B1o%20hambriento.mp3" TargetMode="External"/><Relationship Id="rId71" Type="http://schemas.openxmlformats.org/officeDocument/2006/relationships/hyperlink" Target="https://www.youtube.com/watch?v=_GSxlJx804c" TargetMode="External"/><Relationship Id="rId802" Type="http://schemas.openxmlformats.org/officeDocument/2006/relationships/hyperlink" Target="https://www.youtube.com/watch?v=DbYsg8g2bVw" TargetMode="External"/><Relationship Id="rId1737" Type="http://schemas.openxmlformats.org/officeDocument/2006/relationships/hyperlink" Target="https://www.mercaba.org/Musica/Carmelo%20Erdozain/Mesias%20de%20Liberacion/5%20fariseos.mp3" TargetMode="External"/><Relationship Id="rId29" Type="http://schemas.openxmlformats.org/officeDocument/2006/relationships/hyperlink" Target="https://www.youtube.com/watch?v=slxWCex0heQ" TargetMode="External"/><Relationship Id="rId178" Type="http://schemas.openxmlformats.org/officeDocument/2006/relationships/hyperlink" Target="https://www.youtube.com/watch?v=WD16YktIWxw" TargetMode="External"/><Relationship Id="rId1804" Type="http://schemas.openxmlformats.org/officeDocument/2006/relationships/hyperlink" Target="https://www.youtube.com/watch?v=uQx3ssd8QSU" TargetMode="External"/><Relationship Id="rId385" Type="http://schemas.openxmlformats.org/officeDocument/2006/relationships/hyperlink" Target="https://www.maristes.cat/sites/default/files/content/nodes/recurs/file/8914/1testigosdelsenor.mp3" TargetMode="External"/><Relationship Id="rId592" Type="http://schemas.openxmlformats.org/officeDocument/2006/relationships/hyperlink" Target="https://www.maristes.cat/sites/default/files/content/nodes/recurs/file/8814/12tucaminoytuverdad.mp3" TargetMode="External"/><Relationship Id="rId245" Type="http://schemas.openxmlformats.org/officeDocument/2006/relationships/hyperlink" Target="https://www.youtube.com/watch?v=oFyuywjs-C4" TargetMode="External"/><Relationship Id="rId452" Type="http://schemas.openxmlformats.org/officeDocument/2006/relationships/hyperlink" Target="https://www.maristes.cat/sites/default/files/content/nodes/recurs/file/8854/5nuestrabuenamadre.mp3" TargetMode="External"/><Relationship Id="rId897" Type="http://schemas.openxmlformats.org/officeDocument/2006/relationships/hyperlink" Target="https://www.youtube.com/watch?v=QxdY1jl_mbo" TargetMode="External"/><Relationship Id="rId1082" Type="http://schemas.openxmlformats.org/officeDocument/2006/relationships/hyperlink" Target="https://www.youtube.com/watch?v=XtUWmCv3dNs" TargetMode="External"/><Relationship Id="rId105" Type="http://schemas.openxmlformats.org/officeDocument/2006/relationships/hyperlink" Target="https://www.youtube.com/watch?v=rjkRaYrYbp0" TargetMode="External"/><Relationship Id="rId312" Type="http://schemas.openxmlformats.org/officeDocument/2006/relationships/hyperlink" Target="https://www.youtube.com/watch?v=Vzh4sOGppno" TargetMode="External"/><Relationship Id="rId757" Type="http://schemas.openxmlformats.org/officeDocument/2006/relationships/hyperlink" Target="https://www.youtube.com/watch?v=YOSAx_gBTXc" TargetMode="External"/><Relationship Id="rId964" Type="http://schemas.openxmlformats.org/officeDocument/2006/relationships/hyperlink" Target="https://www.youtube.com/watch?v=frPiM5SPG9c" TargetMode="External"/><Relationship Id="rId1387" Type="http://schemas.openxmlformats.org/officeDocument/2006/relationships/hyperlink" Target="https://www.youtube.com/watch?v=7Q4tAud6Ao0" TargetMode="External"/><Relationship Id="rId1594" Type="http://schemas.openxmlformats.org/officeDocument/2006/relationships/hyperlink" Target="https://www.youtube.com/watch?v=06BRu-Dki48" TargetMode="External"/><Relationship Id="rId93" Type="http://schemas.openxmlformats.org/officeDocument/2006/relationships/hyperlink" Target="https://www.youtube.com/watch?v=Y1NtbTjDslI" TargetMode="External"/><Relationship Id="rId617" Type="http://schemas.openxmlformats.org/officeDocument/2006/relationships/hyperlink" Target="https://www.youtube.com/watch?v=6A3AS5oavA0" TargetMode="External"/><Relationship Id="rId824" Type="http://schemas.openxmlformats.org/officeDocument/2006/relationships/hyperlink" Target="https://www.youtube.com/watch?v=7b1v7i4KRPs" TargetMode="External"/><Relationship Id="rId1247" Type="http://schemas.openxmlformats.org/officeDocument/2006/relationships/hyperlink" Target="https://www.mercaba.org/Musica/Cesareo%20Gabarain/Cantando%20Venimos/02%20-%20Gloria%20a%20Dios.mp3" TargetMode="External"/><Relationship Id="rId1454" Type="http://schemas.openxmlformats.org/officeDocument/2006/relationships/hyperlink" Target="https://www.mercaba.org/Musica/Cesareo%20Gabarain/Cantos%20de%20Entrada%20y%20Comunion/11%20-%20Pentecost%C3%A9s%20(Canto%20de%20comuni%C3%B3n).mp3" TargetMode="External"/><Relationship Id="rId1661" Type="http://schemas.openxmlformats.org/officeDocument/2006/relationships/hyperlink" Target="https://www.mercaba.org/Musica/Adviento%20y%20Navidad/Adviento%20Maria%20y%20Navidad/natus%20est%20dei%20filius.mp3" TargetMode="External"/><Relationship Id="rId1107" Type="http://schemas.openxmlformats.org/officeDocument/2006/relationships/hyperlink" Target="https://www.youtube.com/watch?v=q6mlU-y8VMc" TargetMode="External"/><Relationship Id="rId1314" Type="http://schemas.openxmlformats.org/officeDocument/2006/relationships/hyperlink" Target="https://www.youtube.com/watch?v=_DuYYSyzLmU" TargetMode="External"/><Relationship Id="rId1521" Type="http://schemas.openxmlformats.org/officeDocument/2006/relationships/hyperlink" Target="https://www.youtube.com/watch?v=AkLUAQN-Pfo" TargetMode="External"/><Relationship Id="rId1759" Type="http://schemas.openxmlformats.org/officeDocument/2006/relationships/hyperlink" Target="https://www.mercaba.org/Musica/Carmelo%20Erdozain/Preparad%20los%20Caminos/10%20llega%20el%20dia.mp3" TargetMode="External"/><Relationship Id="rId1619" Type="http://schemas.openxmlformats.org/officeDocument/2006/relationships/hyperlink" Target="https://www.mercaba.org/Musica/Carmelo%20Erdozain/12%20canciones%20religiosas%20y%20liturgicas,%20carmelo%20erdozain/02%20proclama%20mi%20alma.mp3" TargetMode="External"/><Relationship Id="rId20" Type="http://schemas.openxmlformats.org/officeDocument/2006/relationships/hyperlink" Target="https://www.youtube.com/watch?v=g7vRXBpL10k" TargetMode="External"/><Relationship Id="rId267" Type="http://schemas.openxmlformats.org/officeDocument/2006/relationships/hyperlink" Target="https://www.youtube.com/watch?v=WNjdqIG2W6Y" TargetMode="External"/><Relationship Id="rId474" Type="http://schemas.openxmlformats.org/officeDocument/2006/relationships/hyperlink" Target="https://www.maristes.cat/sites/default/files/content/nodes/recurs/file/9156/06caminar.wav" TargetMode="External"/><Relationship Id="rId127" Type="http://schemas.openxmlformats.org/officeDocument/2006/relationships/hyperlink" Target="https://www.youtube.com/watch?v=KJ2iyL3Baw4" TargetMode="External"/><Relationship Id="rId681" Type="http://schemas.openxmlformats.org/officeDocument/2006/relationships/hyperlink" Target="https://www.youtube.com/watch?v=Qm-d9hg6fMg" TargetMode="External"/><Relationship Id="rId779" Type="http://schemas.openxmlformats.org/officeDocument/2006/relationships/hyperlink" Target="https://www.youtube.com/watch?v=fV9XsKsjZpQ" TargetMode="External"/><Relationship Id="rId986" Type="http://schemas.openxmlformats.org/officeDocument/2006/relationships/hyperlink" Target="https://open.spotify.com/intl-es/track/2bC2Iiuh9dsOg1VG9bOGVk?si=af7c8eea8e734cf9" TargetMode="External"/><Relationship Id="rId334" Type="http://schemas.openxmlformats.org/officeDocument/2006/relationships/hyperlink" Target="https://www.youtube.com/watch?v=jP7zsYKbaKw" TargetMode="External"/><Relationship Id="rId541" Type="http://schemas.openxmlformats.org/officeDocument/2006/relationships/hyperlink" Target="https://www.maristes.cat/sites/default/files/content/nodes/recurs/file/8844/8gritolibertad.mp3" TargetMode="External"/><Relationship Id="rId639" Type="http://schemas.openxmlformats.org/officeDocument/2006/relationships/hyperlink" Target="https://www.youtube.com/watch?v=-SxCIMC0IqM" TargetMode="External"/><Relationship Id="rId1171" Type="http://schemas.openxmlformats.org/officeDocument/2006/relationships/hyperlink" Target="https://www.youtube.com/watch?v=BMZInnJ40pE" TargetMode="External"/><Relationship Id="rId1269" Type="http://schemas.openxmlformats.org/officeDocument/2006/relationships/hyperlink" Target="https://www.mercaba.org/Musica/Cesareo%20Gabarain/Dios%20con%20Nosotros/04%20-%20Cristo,%20nuestro%20Salvador.mp3" TargetMode="External"/><Relationship Id="rId1476" Type="http://schemas.openxmlformats.org/officeDocument/2006/relationships/hyperlink" Target="https://www.youtube.com/watch?v=3oARi-eSF20" TargetMode="External"/><Relationship Id="rId401" Type="http://schemas.openxmlformats.org/officeDocument/2006/relationships/hyperlink" Target="https://www.maristes.cat/sites/default/files/content/nodes/recurs/file/9029/07-perdonaquetelodiga.mp3" TargetMode="External"/><Relationship Id="rId846" Type="http://schemas.openxmlformats.org/officeDocument/2006/relationships/hyperlink" Target="https://www.youtube.com/watch?v=94AmBap4yqc" TargetMode="External"/><Relationship Id="rId1031" Type="http://schemas.openxmlformats.org/officeDocument/2006/relationships/hyperlink" Target="https://www.youtube.com/watch?v=c8sHx3sTdqA" TargetMode="External"/><Relationship Id="rId1129" Type="http://schemas.openxmlformats.org/officeDocument/2006/relationships/hyperlink" Target="https://www.youtube.com/watch?v=ljHynM0-OuQ" TargetMode="External"/><Relationship Id="rId1683" Type="http://schemas.openxmlformats.org/officeDocument/2006/relationships/hyperlink" Target="https://www.mercaba.org/Musica/Carmelo%20Erdozain/Cantos%20para%20Participar%20y%20Vivir/3%20por%20amor%20por%20amor.mp3" TargetMode="External"/><Relationship Id="rId706" Type="http://schemas.openxmlformats.org/officeDocument/2006/relationships/hyperlink" Target="https://www.youtube.com/watch?v=Yr8TIVPiWOE" TargetMode="External"/><Relationship Id="rId913" Type="http://schemas.openxmlformats.org/officeDocument/2006/relationships/hyperlink" Target="https://www.youtube.com/watch?v=vaOxPi2bIPA" TargetMode="External"/><Relationship Id="rId1336" Type="http://schemas.openxmlformats.org/officeDocument/2006/relationships/hyperlink" Target="https://www.youtube.com/watch?v=TMH959zYDgc" TargetMode="External"/><Relationship Id="rId1543" Type="http://schemas.openxmlformats.org/officeDocument/2006/relationships/hyperlink" Target="https://www.mercaba.org/Musica/Ricardo%20cantalapiedra/Canciones%20de%20Ricardo%20C/07%20cancion%20del%20que%20se%20va.mp3" TargetMode="External"/><Relationship Id="rId1750" Type="http://schemas.openxmlformats.org/officeDocument/2006/relationships/hyperlink" Target="https://www.mercaba.org/Musica/Carmelo%20Erdozain/Nuevos%20Cantos%20Para%20el%20A&#241;o%20Liturgico/8%20cristo%20resucito.mp3" TargetMode="External"/><Relationship Id="rId42" Type="http://schemas.openxmlformats.org/officeDocument/2006/relationships/hyperlink" Target="https://www.youtube.com/watch?v=pBDC7TRhCYY" TargetMode="External"/><Relationship Id="rId1403" Type="http://schemas.openxmlformats.org/officeDocument/2006/relationships/hyperlink" Target="https://www.youtube.com/watch?v=gp8UWZi3g-o" TargetMode="External"/><Relationship Id="rId1610" Type="http://schemas.openxmlformats.org/officeDocument/2006/relationships/hyperlink" Target="https://open.spotify.com/intl-es/track/0GUSEo8WNS9ZdMBZQCAnzT?si=410f30e45674487c" TargetMode="External"/><Relationship Id="rId191" Type="http://schemas.openxmlformats.org/officeDocument/2006/relationships/hyperlink" Target="https://www.youtube.com/watch?v=4BUZeMEt5LY" TargetMode="External"/><Relationship Id="rId1708" Type="http://schemas.openxmlformats.org/officeDocument/2006/relationships/hyperlink" Target="https://www.mercaba.org/Musica/Carmelo%20Erdozain/Cerca%20esta%20el%20Se&#241;or/7%20queremos%20construir%20una%20ciudad.mp3" TargetMode="External"/><Relationship Id="rId289" Type="http://schemas.openxmlformats.org/officeDocument/2006/relationships/hyperlink" Target="https://www.youtube.com/watch?v=qiO84KzqwK4" TargetMode="External"/><Relationship Id="rId496" Type="http://schemas.openxmlformats.org/officeDocument/2006/relationships/hyperlink" Target="https://www.maristes.cat/sites/default/files/content/nodes/recurs/file/8750/12tueresmaria.mp3" TargetMode="External"/><Relationship Id="rId149" Type="http://schemas.openxmlformats.org/officeDocument/2006/relationships/hyperlink" Target="https://www.youtube.com/watch?v=1uwHUrkgnFE" TargetMode="External"/><Relationship Id="rId356" Type="http://schemas.openxmlformats.org/officeDocument/2006/relationships/hyperlink" Target="https://www.maristes.cat/sites/default/files/content/nodes/recurs/file/9463/trackno09.mp3" TargetMode="External"/><Relationship Id="rId563" Type="http://schemas.openxmlformats.org/officeDocument/2006/relationships/hyperlink" Target="https://www.maristes.cat/sites/default/files/content/nodes/recurs/file/8943/8frasesmarcelino.mp3" TargetMode="External"/><Relationship Id="rId770" Type="http://schemas.openxmlformats.org/officeDocument/2006/relationships/hyperlink" Target="https://www.youtube.com/watch?v=tXCrm0ObU9s" TargetMode="External"/><Relationship Id="rId1193" Type="http://schemas.openxmlformats.org/officeDocument/2006/relationships/hyperlink" Target="https://www.youtube.com/watch?v=KZ6ZjyyZNLE" TargetMode="External"/><Relationship Id="rId216" Type="http://schemas.openxmlformats.org/officeDocument/2006/relationships/hyperlink" Target="https://www.youtube.com/watch?v=vfJvQe4NN7I" TargetMode="External"/><Relationship Id="rId423" Type="http://schemas.openxmlformats.org/officeDocument/2006/relationships/hyperlink" Target="https://www.maristes.cat/sites/default/files/content/nodes/recurs/file/8929/trackno05.mp3" TargetMode="External"/><Relationship Id="rId868" Type="http://schemas.openxmlformats.org/officeDocument/2006/relationships/hyperlink" Target="https://www.youtube.com/watch?v=hpyfVcKI26U" TargetMode="External"/><Relationship Id="rId1053" Type="http://schemas.openxmlformats.org/officeDocument/2006/relationships/hyperlink" Target="https://www.youtube.com/watch?v=ucGpxmL4UNI" TargetMode="External"/><Relationship Id="rId1260" Type="http://schemas.openxmlformats.org/officeDocument/2006/relationships/hyperlink" Target="https://www.mercaba.org/Musica/Cesareo%20Gabarain/Catequesis%20y%20Cancion/09%20hola%20jesus.mp3" TargetMode="External"/><Relationship Id="rId1498" Type="http://schemas.openxmlformats.org/officeDocument/2006/relationships/hyperlink" Target="https://www.youtube.com/watch?v=jEzxJ2AMUmk" TargetMode="External"/><Relationship Id="rId630" Type="http://schemas.openxmlformats.org/officeDocument/2006/relationships/hyperlink" Target="https://www.youtube.com/watch?v=E1dvSpZwsvI" TargetMode="External"/><Relationship Id="rId728" Type="http://schemas.openxmlformats.org/officeDocument/2006/relationships/hyperlink" Target="https://www.youtube.com/watch?v=8UUf3RdUsuM" TargetMode="External"/><Relationship Id="rId935" Type="http://schemas.openxmlformats.org/officeDocument/2006/relationships/hyperlink" Target="https://www.youtube.com/watch?v=ez5pIGVEcSs" TargetMode="External"/><Relationship Id="rId1358" Type="http://schemas.openxmlformats.org/officeDocument/2006/relationships/hyperlink" Target="https://www.youtube.com/watch?v=hlAeEJ_tdqc" TargetMode="External"/><Relationship Id="rId1565" Type="http://schemas.openxmlformats.org/officeDocument/2006/relationships/hyperlink" Target="https://www.youtube.com/watch?v=OtLioBqdV0k" TargetMode="External"/><Relationship Id="rId1772" Type="http://schemas.openxmlformats.org/officeDocument/2006/relationships/hyperlink" Target="https://www.youtube.com/watch?v=OD3Yj5kUc6Q" TargetMode="External"/><Relationship Id="rId64" Type="http://schemas.openxmlformats.org/officeDocument/2006/relationships/hyperlink" Target="https://www.youtube.com/watch?v=XMcY8AO0YTw" TargetMode="External"/><Relationship Id="rId1120" Type="http://schemas.openxmlformats.org/officeDocument/2006/relationships/hyperlink" Target="https://www.youtube.com/watch?v=8O9zFr7y77A" TargetMode="External"/><Relationship Id="rId1218" Type="http://schemas.openxmlformats.org/officeDocument/2006/relationships/hyperlink" Target="https://www.mercaba.org/Musica/Cesareo%20Gabarain/aclamaciones%20para%20la%20celebracion,%20gabarain%20(m)/16%20cordero%20de%20dios.mp3" TargetMode="External"/><Relationship Id="rId1425" Type="http://schemas.openxmlformats.org/officeDocument/2006/relationships/hyperlink" Target="https://www.mercaba.org/Musica/Cesareo%20Gabarain/En%20Medio%20de%20la%20Noche/01%20en%20medio%20de%20la%20noche.mp3" TargetMode="External"/><Relationship Id="rId1632" Type="http://schemas.openxmlformats.org/officeDocument/2006/relationships/hyperlink" Target="https://www.mercaba.org/Musica/Carmelo%20Erdozain/15%20canciones%20famosas,%20carmelo%20erdozain/tu%20eres%20el%20dios%20de%20los%20pobres.mp3" TargetMode="External"/><Relationship Id="rId280" Type="http://schemas.openxmlformats.org/officeDocument/2006/relationships/hyperlink" Target="https://www.youtube.com/watch?v=OyLq7J3--AI" TargetMode="External"/><Relationship Id="rId140" Type="http://schemas.openxmlformats.org/officeDocument/2006/relationships/hyperlink" Target="https://www.youtube.com/watch?v=olJfjn3LP7g" TargetMode="External"/><Relationship Id="rId378" Type="http://schemas.openxmlformats.org/officeDocument/2006/relationships/hyperlink" Target="https://www.maristes.cat/sites/default/files/content/nodes/recurs/file/8780/6nochesilenciosa.mp3" TargetMode="External"/><Relationship Id="rId585" Type="http://schemas.openxmlformats.org/officeDocument/2006/relationships/hyperlink" Target="https://www.maristes.cat/sites/default/files/content/nodes/recurs/file/8808/6ensumesahayamor.mp3" TargetMode="External"/><Relationship Id="rId792" Type="http://schemas.openxmlformats.org/officeDocument/2006/relationships/hyperlink" Target="https://www.youtube.com/watch?v=kZtCs6pBF9I" TargetMode="External"/><Relationship Id="rId6" Type="http://schemas.openxmlformats.org/officeDocument/2006/relationships/hyperlink" Target="https://www.youtube.com/watch?v=rTuBMwY_p9Q" TargetMode="External"/><Relationship Id="rId238" Type="http://schemas.openxmlformats.org/officeDocument/2006/relationships/hyperlink" Target="https://www.youtube.com/watch?v=ttQ5r2EJ2do" TargetMode="External"/><Relationship Id="rId445" Type="http://schemas.openxmlformats.org/officeDocument/2006/relationships/hyperlink" Target="https://www.maristes.cat/sites/default/files/content/nodes/recurs/file/8793/6unavida.mp3" TargetMode="External"/><Relationship Id="rId652" Type="http://schemas.openxmlformats.org/officeDocument/2006/relationships/hyperlink" Target="https://www.youtube.com/watch?v=pPeiwHhNOGo" TargetMode="External"/><Relationship Id="rId1075" Type="http://schemas.openxmlformats.org/officeDocument/2006/relationships/hyperlink" Target="https://www.youtube.com/watch?v=sPTgKhS4IkI" TargetMode="External"/><Relationship Id="rId1282" Type="http://schemas.openxmlformats.org/officeDocument/2006/relationships/hyperlink" Target="https://www.youtube.com/watch?v=A0xhZ_NFhlc" TargetMode="External"/><Relationship Id="rId305" Type="http://schemas.openxmlformats.org/officeDocument/2006/relationships/hyperlink" Target="https://www.youtube.com/watch?v=Sy742IRghic" TargetMode="External"/><Relationship Id="rId512" Type="http://schemas.openxmlformats.org/officeDocument/2006/relationships/hyperlink" Target="https://www.maristes.cat/sites/default/files/content/nodes/recurs/file/8973/3encomunidad.mp3" TargetMode="External"/><Relationship Id="rId957" Type="http://schemas.openxmlformats.org/officeDocument/2006/relationships/hyperlink" Target="https://www.youtube.com/watch?v=LRn2qmk1u2Q" TargetMode="External"/><Relationship Id="rId1142" Type="http://schemas.openxmlformats.org/officeDocument/2006/relationships/hyperlink" Target="https://www.youtube.com/watch?v=uL_-6eG4Gts" TargetMode="External"/><Relationship Id="rId1587" Type="http://schemas.openxmlformats.org/officeDocument/2006/relationships/hyperlink" Target="https://www.youtube.com/watch?v=-8N_8xMLL4M" TargetMode="External"/><Relationship Id="rId1794" Type="http://schemas.openxmlformats.org/officeDocument/2006/relationships/hyperlink" Target="https://www.youtube.com/watch?v=fbkBLsrA2Jc" TargetMode="External"/><Relationship Id="rId86" Type="http://schemas.openxmlformats.org/officeDocument/2006/relationships/hyperlink" Target="https://www.youtube.com/watch?v=lDFdbMtE-Kc" TargetMode="External"/><Relationship Id="rId817" Type="http://schemas.openxmlformats.org/officeDocument/2006/relationships/hyperlink" Target="https://www.youtube.com/watch?v=3fsEZMXcW9U" TargetMode="External"/><Relationship Id="rId1002" Type="http://schemas.openxmlformats.org/officeDocument/2006/relationships/hyperlink" Target="https://www.youtube.com/watch?v=ye1JDzKI0AI" TargetMode="External"/><Relationship Id="rId1447" Type="http://schemas.openxmlformats.org/officeDocument/2006/relationships/hyperlink" Target="https://www.mercaba.org/Musica/Cesareo%20Gabarain/Cantos%20de%20Entrada%20y%20Comunion/04%20-%20Navidad%20(Canto%20de%20comuni%C3%B3n).mp3" TargetMode="External"/><Relationship Id="rId1654" Type="http://schemas.openxmlformats.org/officeDocument/2006/relationships/hyperlink" Target="https://www.mercaba.org/Musica/Adviento%20y%20Navidad/Adviento%20Maria%20y%20Navidad/dios%20te%20salve%20maria.mp3" TargetMode="External"/><Relationship Id="rId1307" Type="http://schemas.openxmlformats.org/officeDocument/2006/relationships/hyperlink" Target="https://www.youtube.com/watch?v=BlCUAk5XirY" TargetMode="External"/><Relationship Id="rId1514" Type="http://schemas.openxmlformats.org/officeDocument/2006/relationships/hyperlink" Target="https://www.youtube.com/watch?v=6aDLLuWwAkg" TargetMode="External"/><Relationship Id="rId1721" Type="http://schemas.openxmlformats.org/officeDocument/2006/relationships/hyperlink" Target="https://www.mercaba.org/Musica/Carmelo%20Erdozain/Dios%20es%20Amor/9%20padre%20nuestro.mp3" TargetMode="External"/><Relationship Id="rId13" Type="http://schemas.openxmlformats.org/officeDocument/2006/relationships/hyperlink" Target="https://www.youtube.com/watch?v=LEj4ybN6Ovc" TargetMode="External"/><Relationship Id="rId1819" Type="http://schemas.openxmlformats.org/officeDocument/2006/relationships/hyperlink" Target="https://www.youtube.com/watch?v=Ja7eDyml05k" TargetMode="External"/><Relationship Id="rId162" Type="http://schemas.openxmlformats.org/officeDocument/2006/relationships/hyperlink" Target="https://www.youtube.com/watch?v=A_0k2261UAM" TargetMode="External"/><Relationship Id="rId467" Type="http://schemas.openxmlformats.org/officeDocument/2006/relationships/hyperlink" Target="https://www.maristes.cat/sites/default/files/content/nodes/recurs/file/8721/8padremepongoentusmanos.mp3" TargetMode="External"/><Relationship Id="rId1097" Type="http://schemas.openxmlformats.org/officeDocument/2006/relationships/hyperlink" Target="https://www.youtube.com/watch?v=4ntcNU8rYkA" TargetMode="External"/><Relationship Id="rId674" Type="http://schemas.openxmlformats.org/officeDocument/2006/relationships/hyperlink" Target="https://www.youtube.com/watch?v=dpJysvioGk0" TargetMode="External"/><Relationship Id="rId881" Type="http://schemas.openxmlformats.org/officeDocument/2006/relationships/hyperlink" Target="https://www.youtube.com/watch?v=-yQfvcWxtBA" TargetMode="External"/><Relationship Id="rId979" Type="http://schemas.openxmlformats.org/officeDocument/2006/relationships/hyperlink" Target="https://open.spotify.com/intl-es/track/0iEwaEXoK5F9G01lCuIsg3?si=0e8a1509bc20468c" TargetMode="External"/><Relationship Id="rId327" Type="http://schemas.openxmlformats.org/officeDocument/2006/relationships/hyperlink" Target="https://www.youtube.com/watch?v=3AqnrfBVJ_g" TargetMode="External"/><Relationship Id="rId534" Type="http://schemas.openxmlformats.org/officeDocument/2006/relationships/hyperlink" Target="https://www.maristes.cat/sites/default/files/content/nodes/recurs/file/8834/1cristosenor.mp3" TargetMode="External"/><Relationship Id="rId741" Type="http://schemas.openxmlformats.org/officeDocument/2006/relationships/hyperlink" Target="https://www.youtube.com/watch?v=0LG_MYoiQhs" TargetMode="External"/><Relationship Id="rId839" Type="http://schemas.openxmlformats.org/officeDocument/2006/relationships/hyperlink" Target="https://www.youtube.com/watch?v=G65qK43jixw" TargetMode="External"/><Relationship Id="rId1164" Type="http://schemas.openxmlformats.org/officeDocument/2006/relationships/hyperlink" Target="https://www.youtube.com/watch?v=rqqVJpf1IWo" TargetMode="External"/><Relationship Id="rId1371" Type="http://schemas.openxmlformats.org/officeDocument/2006/relationships/hyperlink" Target="https://www.youtube.com/watch?v=rEvrhMpsy9k" TargetMode="External"/><Relationship Id="rId1469" Type="http://schemas.openxmlformats.org/officeDocument/2006/relationships/hyperlink" Target="https://www.mercaba.org/Musica/Cesareo%20Gabarain/Lampara%20de%20Barro/06%20mi%20amigo%20vive.mp3" TargetMode="External"/><Relationship Id="rId601" Type="http://schemas.openxmlformats.org/officeDocument/2006/relationships/hyperlink" Target="https://www.maristes.cat/sites/default/files/content/nodes/recurs/file/8964/9diosdelavida.mp3" TargetMode="External"/><Relationship Id="rId1024" Type="http://schemas.openxmlformats.org/officeDocument/2006/relationships/hyperlink" Target="https://www.youtube.com/watch?v=4nj2ZWMp9GU" TargetMode="External"/><Relationship Id="rId1231" Type="http://schemas.openxmlformats.org/officeDocument/2006/relationships/hyperlink" Target="https://www.mercaba.org/Musica/Cesareo%20Gabarain/Al%20Atardecer%20de%20la%20Vida/09%20-%20Dichosos%20los%20que%20mueren%20en%20el%20Se%C3%B1or.mp3" TargetMode="External"/><Relationship Id="rId1676" Type="http://schemas.openxmlformats.org/officeDocument/2006/relationships/hyperlink" Target="https://www.mercaba.org/Musica/Carmelo%20Erdozain/24%20cantos%20de%20adviento%20y%20navidad,%20carmelo%20erdozain/17%20nace%20el%20ni&#241;o%20y%20en%20un%20portal.mp3" TargetMode="External"/><Relationship Id="rId906" Type="http://schemas.openxmlformats.org/officeDocument/2006/relationships/hyperlink" Target="https://www.youtube.com/watch?v=vuFzfGsMjzI" TargetMode="External"/><Relationship Id="rId1329" Type="http://schemas.openxmlformats.org/officeDocument/2006/relationships/hyperlink" Target="https://www.youtube.com/watch?v=s6oVmptDpc8" TargetMode="External"/><Relationship Id="rId1536" Type="http://schemas.openxmlformats.org/officeDocument/2006/relationships/hyperlink" Target="https://www.youtube.com/watch?v=IPY8F4ZkhDk" TargetMode="External"/><Relationship Id="rId1743" Type="http://schemas.openxmlformats.org/officeDocument/2006/relationships/hyperlink" Target="https://www.mercaba.org/Musica/Carmelo%20Erdozain/Nuevos%20Cantos%20de%20Adviento/8%20natus%20est.mp3" TargetMode="External"/><Relationship Id="rId35" Type="http://schemas.openxmlformats.org/officeDocument/2006/relationships/hyperlink" Target="https://www.youtube.com/watch?v=rpwi0PjxShU" TargetMode="External"/><Relationship Id="rId1603" Type="http://schemas.openxmlformats.org/officeDocument/2006/relationships/hyperlink" Target="https://www.youtube.com/watch?v=NCpBrd400pQ" TargetMode="External"/><Relationship Id="rId1810" Type="http://schemas.openxmlformats.org/officeDocument/2006/relationships/hyperlink" Target="https://www.youtube.com/watch?v=GOo4y4wCx58" TargetMode="External"/><Relationship Id="rId184" Type="http://schemas.openxmlformats.org/officeDocument/2006/relationships/hyperlink" Target="https://www.youtube.com/watch?v=uMTi9Cd8n0o" TargetMode="External"/><Relationship Id="rId391" Type="http://schemas.openxmlformats.org/officeDocument/2006/relationships/hyperlink" Target="https://www.maristes.cat/sites/default/files/content/nodes/recurs/file/8920/7pintadeluz.mp3" TargetMode="External"/><Relationship Id="rId251" Type="http://schemas.openxmlformats.org/officeDocument/2006/relationships/hyperlink" Target="https://www.youtube.com/watch?v=IQeABrlhh4I" TargetMode="External"/><Relationship Id="rId489" Type="http://schemas.openxmlformats.org/officeDocument/2006/relationships/hyperlink" Target="https://www.maristes.cat/sites/default/files/content/nodes/recurs/file/8742/4magnificat.mp3" TargetMode="External"/><Relationship Id="rId696" Type="http://schemas.openxmlformats.org/officeDocument/2006/relationships/hyperlink" Target="https://www.youtube.com/watch?v=kxO47mE_tJ4" TargetMode="External"/><Relationship Id="rId349" Type="http://schemas.openxmlformats.org/officeDocument/2006/relationships/hyperlink" Target="https://www.maristes.cat/sites/default/files/content/nodes/recurs/file/9456/trackno02.mp3" TargetMode="External"/><Relationship Id="rId556" Type="http://schemas.openxmlformats.org/officeDocument/2006/relationships/hyperlink" Target="https://www.maristes.cat/sites/default/files/content/nodes/recurs/file/8888/11tepediranlavida.mp3" TargetMode="External"/><Relationship Id="rId763" Type="http://schemas.openxmlformats.org/officeDocument/2006/relationships/hyperlink" Target="https://www.youtube.com/watch?v=oQFIfndLnUI" TargetMode="External"/><Relationship Id="rId1186" Type="http://schemas.openxmlformats.org/officeDocument/2006/relationships/hyperlink" Target="https://www.mercaba.org/Musica/Cesareo%20Gabarain/Ven%20Se%C3%B1or/02%20juntos%20como%20hermanos.mp3" TargetMode="External"/><Relationship Id="rId1393" Type="http://schemas.openxmlformats.org/officeDocument/2006/relationships/hyperlink" Target="https://www.youtube.com/watch?v=ux35LmePPE0" TargetMode="External"/><Relationship Id="rId111" Type="http://schemas.openxmlformats.org/officeDocument/2006/relationships/hyperlink" Target="https://www.youtube.com/watch?v=qnsDYLOMPI8" TargetMode="External"/><Relationship Id="rId209" Type="http://schemas.openxmlformats.org/officeDocument/2006/relationships/hyperlink" Target="https://www.youtube.com/watch?v=oiNypT5ksds" TargetMode="External"/><Relationship Id="rId416" Type="http://schemas.openxmlformats.org/officeDocument/2006/relationships/hyperlink" Target="https://www.maristes.cat/sites/default/files/content/nodes/recurs/file/9020/11asuimagenysemejanza.mp3" TargetMode="External"/><Relationship Id="rId970" Type="http://schemas.openxmlformats.org/officeDocument/2006/relationships/hyperlink" Target="https://www.youtube.com/watch?v=PNWy5eJfkuc" TargetMode="External"/><Relationship Id="rId1046" Type="http://schemas.openxmlformats.org/officeDocument/2006/relationships/hyperlink" Target="https://www.youtube.com/watch?v=04NVt3acr6s" TargetMode="External"/><Relationship Id="rId1253" Type="http://schemas.openxmlformats.org/officeDocument/2006/relationships/hyperlink" Target="https://www.mercaba.org/Musica/Cesareo%20Gabarain/Catequesis%20y%20Cancion/01%20dios%20no%20es%20una%20imagen%20de%20madera.mp3" TargetMode="External"/><Relationship Id="rId1698" Type="http://schemas.openxmlformats.org/officeDocument/2006/relationships/hyperlink" Target="https://www.mercaba.org/Musica/Carmelo%20Erdozain/Cantos%20para%20una%20Comunidad%20Evangelizadora/7%20quisieron%20comprar%20mi%20arpa.mp3" TargetMode="External"/><Relationship Id="rId623" Type="http://schemas.openxmlformats.org/officeDocument/2006/relationships/hyperlink" Target="https://www.youtube.com/watch?v=Lcu-M5vwOi8" TargetMode="External"/><Relationship Id="rId830" Type="http://schemas.openxmlformats.org/officeDocument/2006/relationships/hyperlink" Target="https://www.youtube.com/watch?v=b_POvLgDP1o" TargetMode="External"/><Relationship Id="rId928" Type="http://schemas.openxmlformats.org/officeDocument/2006/relationships/hyperlink" Target="https://www.youtube.com/watch?v=QOyUsQRly0A" TargetMode="External"/><Relationship Id="rId1460" Type="http://schemas.openxmlformats.org/officeDocument/2006/relationships/hyperlink" Target="https://www.mercaba.org/Musica/Cesareo%20Gabarain/La%20Misa%20es%20una%20Fiesta/12%20tu%20nos%20invitas%20jesus.mp3" TargetMode="External"/><Relationship Id="rId1558" Type="http://schemas.openxmlformats.org/officeDocument/2006/relationships/hyperlink" Target="https://www.mercaba.org/Musica/Ricardo%20cantalapiedra/Salmos%20de%20Muerte%20y%20de%20Gloria/01%20hosanna.mp3" TargetMode="External"/><Relationship Id="rId1765" Type="http://schemas.openxmlformats.org/officeDocument/2006/relationships/hyperlink" Target="https://www.mercaba.org/Musica/Carmelo%20Erdozain/Ven%20y%20Sigueme/7%20quedate%20se&#241;or.mp3" TargetMode="External"/><Relationship Id="rId57" Type="http://schemas.openxmlformats.org/officeDocument/2006/relationships/hyperlink" Target="https://www.youtube.com/watch?v=XEL7TtXsEpc" TargetMode="External"/><Relationship Id="rId1113" Type="http://schemas.openxmlformats.org/officeDocument/2006/relationships/hyperlink" Target="https://www.youtube.com/watch?v=KFnzG3tH2q0" TargetMode="External"/><Relationship Id="rId1320" Type="http://schemas.openxmlformats.org/officeDocument/2006/relationships/hyperlink" Target="https://www.youtube.com/watch?v=avjmUcIMC7A" TargetMode="External"/><Relationship Id="rId1418" Type="http://schemas.openxmlformats.org/officeDocument/2006/relationships/hyperlink" Target="https://www.youtube.com/watch?v=Avni3wEtcUI" TargetMode="External"/><Relationship Id="rId1625" Type="http://schemas.openxmlformats.org/officeDocument/2006/relationships/hyperlink" Target="https://www.mercaba.org/Musica/Carmelo%20Erdozain/12%20canciones%20religiosas%20y%20liturgicas,%20carmelo%20erdozain/8%20somos%20hermanas%20en%20cristo.mp3" TargetMode="External"/><Relationship Id="rId273" Type="http://schemas.openxmlformats.org/officeDocument/2006/relationships/hyperlink" Target="https://www.youtube.com/watch?v=fJJnaTKysEk" TargetMode="External"/><Relationship Id="rId480" Type="http://schemas.openxmlformats.org/officeDocument/2006/relationships/hyperlink" Target="https://www.maristes.cat/sites/default/files/content/nodes/recurs/file/8756/6piensoenusted.mp3" TargetMode="External"/><Relationship Id="rId133" Type="http://schemas.openxmlformats.org/officeDocument/2006/relationships/hyperlink" Target="https://www.youtube.com/watch?v=itWkxcUtT8A" TargetMode="External"/><Relationship Id="rId340" Type="http://schemas.openxmlformats.org/officeDocument/2006/relationships/hyperlink" Target="https://www.youtube.com/watch?v=cCc4XYUHxpE" TargetMode="External"/><Relationship Id="rId578" Type="http://schemas.openxmlformats.org/officeDocument/2006/relationships/hyperlink" Target="https://www.maristes.cat/sites/default/files/content/nodes/recurs/file/8736/10mehicieronasi.mp3" TargetMode="External"/><Relationship Id="rId785" Type="http://schemas.openxmlformats.org/officeDocument/2006/relationships/hyperlink" Target="https://www.youtube.com/watch?v=u5JDSOKxxnQ" TargetMode="External"/><Relationship Id="rId992" Type="http://schemas.openxmlformats.org/officeDocument/2006/relationships/hyperlink" Target="https://open.spotify.com/intl-es/track/6HqlZFyiOZN8P7oyumwmDz?si=c050e3a4f06b417d" TargetMode="External"/><Relationship Id="rId200" Type="http://schemas.openxmlformats.org/officeDocument/2006/relationships/hyperlink" Target="https://www.youtube.com/watch?v=uua9EyonIEM" TargetMode="External"/><Relationship Id="rId438" Type="http://schemas.openxmlformats.org/officeDocument/2006/relationships/hyperlink" Target="https://www.maristes.cat/sites/default/files/content/nodes/recurs/file/8873/8padredelasmisericordias.mp3" TargetMode="External"/><Relationship Id="rId645" Type="http://schemas.openxmlformats.org/officeDocument/2006/relationships/hyperlink" Target="https://www.youtube.com/watch?v=4yNJyu7Tazs" TargetMode="External"/><Relationship Id="rId852" Type="http://schemas.openxmlformats.org/officeDocument/2006/relationships/hyperlink" Target="https://www.youtube.com/watch?v=ZySnjUi2pFI" TargetMode="External"/><Relationship Id="rId1068" Type="http://schemas.openxmlformats.org/officeDocument/2006/relationships/hyperlink" Target="https://www.youtube.com/watch?v=Q0T9NrWxbd8" TargetMode="External"/><Relationship Id="rId1275" Type="http://schemas.openxmlformats.org/officeDocument/2006/relationships/hyperlink" Target="https://www.mercaba.org/Musica/Cesareo%20Gabarain/Dios%20Hombre%20Mundo/03%20-%20Dios%20es%20alegre.mp3" TargetMode="External"/><Relationship Id="rId1482" Type="http://schemas.openxmlformats.org/officeDocument/2006/relationships/hyperlink" Target="https://www.youtube.com/watch?v=A552gYV_9yU" TargetMode="External"/><Relationship Id="rId505" Type="http://schemas.openxmlformats.org/officeDocument/2006/relationships/hyperlink" Target="https://www.maristes.cat/sites/default/files/content/nodes/recurs/file/8909/9quenonosdenelpanbanadoensangre.mp3" TargetMode="External"/><Relationship Id="rId712" Type="http://schemas.openxmlformats.org/officeDocument/2006/relationships/hyperlink" Target="https://www.youtube.com/watch?v=5G3BZYLyg6c" TargetMode="External"/><Relationship Id="rId1135" Type="http://schemas.openxmlformats.org/officeDocument/2006/relationships/hyperlink" Target="https://www.youtube.com/watch?v=-Dct2_m5GnQ" TargetMode="External"/><Relationship Id="rId1342" Type="http://schemas.openxmlformats.org/officeDocument/2006/relationships/hyperlink" Target="https://www.youtube.com/watch?v=RT4Vx3DQPZ0" TargetMode="External"/><Relationship Id="rId1787" Type="http://schemas.openxmlformats.org/officeDocument/2006/relationships/hyperlink" Target="https://www.youtube.com/watch?v=XnnBwZlwQHA" TargetMode="External"/><Relationship Id="rId79" Type="http://schemas.openxmlformats.org/officeDocument/2006/relationships/hyperlink" Target="https://www.youtube.com/watch?v=fklGOlPLTys" TargetMode="External"/><Relationship Id="rId1202" Type="http://schemas.openxmlformats.org/officeDocument/2006/relationships/hyperlink" Target="https://www.mercaba.org/Musica/Cesareo%20Gabarain/Jesus%20Nuestro%20Amigo/06%20-%20Jes%C3%BAs%20nuestro%20amigo.mp3" TargetMode="External"/><Relationship Id="rId1647" Type="http://schemas.openxmlformats.org/officeDocument/2006/relationships/hyperlink" Target="https://www.mercaba.org/Musica/Carmelo%20Erdozain/15%20cantos%20para%20la%20cena%20del%20se%C3%B1or,%20carmelo%20erdozain/14%20nada%20te%20turbe%20nada%20te%20espante.mp3" TargetMode="External"/><Relationship Id="rId1507" Type="http://schemas.openxmlformats.org/officeDocument/2006/relationships/hyperlink" Target="https://www.youtube.com/watch?v=Scsr9K02qpE" TargetMode="External"/><Relationship Id="rId1714" Type="http://schemas.openxmlformats.org/officeDocument/2006/relationships/hyperlink" Target="https://www.mercaba.org/Musica/Carmelo%20Erdozain/Dios%20es%20Amor/2%20cristo%20es%20el%20camino.mp3" TargetMode="External"/><Relationship Id="rId295" Type="http://schemas.openxmlformats.org/officeDocument/2006/relationships/hyperlink" Target="https://www.youtube.com/watch?v=deV_j92OeMQ" TargetMode="External"/><Relationship Id="rId155" Type="http://schemas.openxmlformats.org/officeDocument/2006/relationships/hyperlink" Target="https://www.youtube.com/watch?v=-2WX_yU1n8c" TargetMode="External"/><Relationship Id="rId362" Type="http://schemas.openxmlformats.org/officeDocument/2006/relationships/hyperlink" Target="https://www.maristes.cat/sites/default/files/content/nodes/recurs/file/8673/1labondaddelsenor.mp3" TargetMode="External"/><Relationship Id="rId1297" Type="http://schemas.openxmlformats.org/officeDocument/2006/relationships/hyperlink" Target="https://www.youtube.com/watch?v=QP1Olb9SHdw" TargetMode="External"/><Relationship Id="rId222" Type="http://schemas.openxmlformats.org/officeDocument/2006/relationships/hyperlink" Target="https://www.youtube.com/watch?v=02Gg55dWUYo" TargetMode="External"/><Relationship Id="rId667" Type="http://schemas.openxmlformats.org/officeDocument/2006/relationships/hyperlink" Target="https://www.youtube.com/watch?v=UHGO6GMUHuY" TargetMode="External"/><Relationship Id="rId874" Type="http://schemas.openxmlformats.org/officeDocument/2006/relationships/hyperlink" Target="https://www.youtube.com/watch?v=nktGI5wIkx8" TargetMode="External"/><Relationship Id="rId527" Type="http://schemas.openxmlformats.org/officeDocument/2006/relationships/hyperlink" Target="https://www.maristes.cat/sites/default/files/content/nodes/recurs/file/8989/kairoi-profetadelafamilia-04-siempresicelebrare.mp3" TargetMode="External"/><Relationship Id="rId734" Type="http://schemas.openxmlformats.org/officeDocument/2006/relationships/hyperlink" Target="https://www.youtube.com/watch?v=d24kzOMC0fA" TargetMode="External"/><Relationship Id="rId941" Type="http://schemas.openxmlformats.org/officeDocument/2006/relationships/hyperlink" Target="https://www.youtube.com/watch?v=tYfR4WjESh4" TargetMode="External"/><Relationship Id="rId1157" Type="http://schemas.openxmlformats.org/officeDocument/2006/relationships/hyperlink" Target="https://www.youtube.com/watch?v=ZWynTIKr1XQ" TargetMode="External"/><Relationship Id="rId1364" Type="http://schemas.openxmlformats.org/officeDocument/2006/relationships/hyperlink" Target="https://www.youtube.com/watch?v=wmySfbCJJWs" TargetMode="External"/><Relationship Id="rId1571" Type="http://schemas.openxmlformats.org/officeDocument/2006/relationships/hyperlink" Target="https://www.youtube.com/watch?v=sZ3lTBGmM9k" TargetMode="External"/><Relationship Id="rId70" Type="http://schemas.openxmlformats.org/officeDocument/2006/relationships/hyperlink" Target="https://www.youtube.com/watch?v=mC0dGlHYC-s" TargetMode="External"/><Relationship Id="rId801" Type="http://schemas.openxmlformats.org/officeDocument/2006/relationships/hyperlink" Target="https://www.youtube.com/watch?v=5ymVMHshf0M" TargetMode="External"/><Relationship Id="rId1017" Type="http://schemas.openxmlformats.org/officeDocument/2006/relationships/hyperlink" Target="https://www.youtube.com/watch?v=NpVc6nGwuz0" TargetMode="External"/><Relationship Id="rId1224" Type="http://schemas.openxmlformats.org/officeDocument/2006/relationships/hyperlink" Target="https://www.mercaba.org/Musica/Cesareo%20Gabarain/Al%20Atardecer%20de%20la%20Vida/02%20-%20Conc%C3%A9dele%20Se%C3%B1or,%20el%20descanso%20eterno.mp3" TargetMode="External"/><Relationship Id="rId1431" Type="http://schemas.openxmlformats.org/officeDocument/2006/relationships/hyperlink" Target="https://www.mercaba.org/Musica/Cesareo%20Gabarain/En%20Medio%20de%20la%20Noche/07%20la%20navidad%20es.mp3" TargetMode="External"/><Relationship Id="rId1669" Type="http://schemas.openxmlformats.org/officeDocument/2006/relationships/hyperlink" Target="https://www.mercaba.org/Musica/Carmelo%20Erdozain/Cantos%20para%20Participar%20y%20Vivir/8%20gracias%20se&#241;or%20por%20el%20hermano%20dia.mp3" TargetMode="External"/><Relationship Id="rId1529" Type="http://schemas.openxmlformats.org/officeDocument/2006/relationships/hyperlink" Target="https://www.youtube.com/watch?v=TVvA6eF2HxE" TargetMode="External"/><Relationship Id="rId1736" Type="http://schemas.openxmlformats.org/officeDocument/2006/relationships/hyperlink" Target="https://www.mercaba.org/Musica/Carmelo%20Erdozain/Mesias%20de%20Liberacion/4%20solo%20el%20es%20el%20camino.mp3" TargetMode="External"/><Relationship Id="rId28" Type="http://schemas.openxmlformats.org/officeDocument/2006/relationships/hyperlink" Target="https://www.youtube.com/watch?v=HsegwQSLVi4" TargetMode="External"/><Relationship Id="rId1803" Type="http://schemas.openxmlformats.org/officeDocument/2006/relationships/hyperlink" Target="https://www.youtube.com/watch?v=YN5oGhDdAaU" TargetMode="External"/><Relationship Id="rId177" Type="http://schemas.openxmlformats.org/officeDocument/2006/relationships/hyperlink" Target="https://www.youtube.com/watch?v=M4XFEIgvIkc" TargetMode="External"/><Relationship Id="rId384" Type="http://schemas.openxmlformats.org/officeDocument/2006/relationships/hyperlink" Target="https://www.maristes.cat/sites/default/files/content/nodes/recurs/file/8787/12xerinola.mp3" TargetMode="External"/><Relationship Id="rId591" Type="http://schemas.openxmlformats.org/officeDocument/2006/relationships/hyperlink" Target="https://www.maristes.cat/sites/default/files/content/nodes/recurs/file/8813/11somostestigos.mp3" TargetMode="External"/><Relationship Id="rId244" Type="http://schemas.openxmlformats.org/officeDocument/2006/relationships/hyperlink" Target="https://www.youtube.com/watch?v=-C3UQdfgbn0" TargetMode="External"/><Relationship Id="rId689" Type="http://schemas.openxmlformats.org/officeDocument/2006/relationships/hyperlink" Target="https://www.youtube.com/watch?v=BUWYxwx2WnQ" TargetMode="External"/><Relationship Id="rId896" Type="http://schemas.openxmlformats.org/officeDocument/2006/relationships/hyperlink" Target="https://www.youtube.com/watch?v=MFOUEI5wN3w" TargetMode="External"/><Relationship Id="rId1081" Type="http://schemas.openxmlformats.org/officeDocument/2006/relationships/hyperlink" Target="https://www.youtube.com/watch?v=ncuAoDXMGoc" TargetMode="External"/><Relationship Id="rId451" Type="http://schemas.openxmlformats.org/officeDocument/2006/relationships/hyperlink" Target="https://www.maristes.cat/sites/default/files/content/nodes/recurs/file/8853/4unavidaquebuscalibertad.mp3" TargetMode="External"/><Relationship Id="rId549" Type="http://schemas.openxmlformats.org/officeDocument/2006/relationships/hyperlink" Target="https://www.maristes.cat/sites/default/files/content/nodes/recurs/file/8881/4lalibertadvivedelespiritu.mp3" TargetMode="External"/><Relationship Id="rId756" Type="http://schemas.openxmlformats.org/officeDocument/2006/relationships/hyperlink" Target="https://www.youtube.com/watch?v=qYikNLCKQhc" TargetMode="External"/><Relationship Id="rId1179" Type="http://schemas.openxmlformats.org/officeDocument/2006/relationships/hyperlink" Target="https://www.mercaba.org/Musica/Cesareo%20Gabarain/Jesus%20Nuestro%20Amigo/03%20-%20Cristo%20te%20necesita.mp3" TargetMode="External"/><Relationship Id="rId1386" Type="http://schemas.openxmlformats.org/officeDocument/2006/relationships/hyperlink" Target="https://www.youtube.com/watch?v=zv67sWvDUHI" TargetMode="External"/><Relationship Id="rId1593" Type="http://schemas.openxmlformats.org/officeDocument/2006/relationships/hyperlink" Target="https://www.youtube.com/watch?v=j9bBBpdTUE0" TargetMode="External"/><Relationship Id="rId104" Type="http://schemas.openxmlformats.org/officeDocument/2006/relationships/hyperlink" Target="https://www.youtube.com/watch?v=VANIjWEpnJU" TargetMode="External"/><Relationship Id="rId311" Type="http://schemas.openxmlformats.org/officeDocument/2006/relationships/hyperlink" Target="https://www.youtube.com/watch?v=gQCN6ZPCACA" TargetMode="External"/><Relationship Id="rId409" Type="http://schemas.openxmlformats.org/officeDocument/2006/relationships/hyperlink" Target="https://www.maristes.cat/sites/default/files/content/nodes/recurs/file/9012/3cartaaungeneral.mp3" TargetMode="External"/><Relationship Id="rId963" Type="http://schemas.openxmlformats.org/officeDocument/2006/relationships/hyperlink" Target="https://www.youtube.com/watch?v=rb24HDWkCnA" TargetMode="External"/><Relationship Id="rId1039" Type="http://schemas.openxmlformats.org/officeDocument/2006/relationships/hyperlink" Target="https://www.youtube.com/watch?v=qvuS9PuT0fY" TargetMode="External"/><Relationship Id="rId1246" Type="http://schemas.openxmlformats.org/officeDocument/2006/relationships/hyperlink" Target="https://www.mercaba.org/Musica/Cesareo%20Gabarain/Cantando%20Venimos/01%20-%20Cantando%20venimos.mp3" TargetMode="External"/><Relationship Id="rId92" Type="http://schemas.openxmlformats.org/officeDocument/2006/relationships/hyperlink" Target="https://www.youtube.com/watch?v=HUt_S2UOKUc" TargetMode="External"/><Relationship Id="rId616" Type="http://schemas.openxmlformats.org/officeDocument/2006/relationships/hyperlink" Target="https://www.youtube.com/watch?v=BKouxXuTeME" TargetMode="External"/><Relationship Id="rId823" Type="http://schemas.openxmlformats.org/officeDocument/2006/relationships/hyperlink" Target="https://www.youtube.com/watch?v=rW9EmUWG3oc" TargetMode="External"/><Relationship Id="rId1453" Type="http://schemas.openxmlformats.org/officeDocument/2006/relationships/hyperlink" Target="https://www.mercaba.org/Musica/Cesareo%20Gabarain/Cantos%20de%20Entrada%20y%20Comunion/10%20-%20Pentecost%C3%A9s%20(Canto%20de%20entrada).mp3" TargetMode="External"/><Relationship Id="rId1660" Type="http://schemas.openxmlformats.org/officeDocument/2006/relationships/hyperlink" Target="https://www.mercaba.org/Musica/Adviento%20y%20Navidad/Adviento%20Maria%20y%20Navidad/maria%20madre%20de%20gracia.mp3" TargetMode="External"/><Relationship Id="rId1758" Type="http://schemas.openxmlformats.org/officeDocument/2006/relationships/hyperlink" Target="https://www.mercaba.org/Musica/Carmelo%20Erdozain/Preparad%20los%20Caminos/9%20porque%20mi%20ni&#241;o%20no%20tiene%20nada.mp3" TargetMode="External"/><Relationship Id="rId1106" Type="http://schemas.openxmlformats.org/officeDocument/2006/relationships/hyperlink" Target="https://www.youtube.com/watch?v=owXLVlK6UbY" TargetMode="External"/><Relationship Id="rId1313" Type="http://schemas.openxmlformats.org/officeDocument/2006/relationships/hyperlink" Target="https://www.youtube.com/watch?v=V35ePsVpcmA" TargetMode="External"/><Relationship Id="rId1520" Type="http://schemas.openxmlformats.org/officeDocument/2006/relationships/hyperlink" Target="https://www.youtube.com/watch?v=X5DknNmLvnI" TargetMode="External"/><Relationship Id="rId1618" Type="http://schemas.openxmlformats.org/officeDocument/2006/relationships/hyperlink" Target="https://www.mercaba.org/Musica/Carmelo%20Erdozain/12%20canciones%20religiosas%20y%20liturgicas,%20carmelo%20erdozain/01%20himno%20a%20jesucristo.mp3" TargetMode="External"/><Relationship Id="rId199" Type="http://schemas.openxmlformats.org/officeDocument/2006/relationships/hyperlink" Target="https://www.youtube.com/watch?v=Rd44mxX21vA" TargetMode="External"/><Relationship Id="rId266" Type="http://schemas.openxmlformats.org/officeDocument/2006/relationships/hyperlink" Target="https://www.youtube.com/watch?v=aGte73Z0ASU" TargetMode="External"/><Relationship Id="rId473" Type="http://schemas.openxmlformats.org/officeDocument/2006/relationships/hyperlink" Target="https://www.maristes.cat/sites/default/files/content/nodes/recurs/file/9155/05diremosquesi.wav" TargetMode="External"/><Relationship Id="rId680" Type="http://schemas.openxmlformats.org/officeDocument/2006/relationships/hyperlink" Target="https://www.youtube.com/watch?v=PYM4YOByV58" TargetMode="External"/><Relationship Id="rId126" Type="http://schemas.openxmlformats.org/officeDocument/2006/relationships/hyperlink" Target="https://www.youtube.com/watch?v=EVlne-7YycA" TargetMode="External"/><Relationship Id="rId333" Type="http://schemas.openxmlformats.org/officeDocument/2006/relationships/hyperlink" Target="https://www.youtube.com/watch?v=55gD-KwdjSs" TargetMode="External"/><Relationship Id="rId540" Type="http://schemas.openxmlformats.org/officeDocument/2006/relationships/hyperlink" Target="https://www.maristes.cat/sites/default/files/content/nodes/recurs/file/8843/7tieneelsida.mp3" TargetMode="External"/><Relationship Id="rId778" Type="http://schemas.openxmlformats.org/officeDocument/2006/relationships/hyperlink" Target="https://www.youtube.com/watch?v=eHJgXYCzfG0" TargetMode="External"/><Relationship Id="rId985" Type="http://schemas.openxmlformats.org/officeDocument/2006/relationships/hyperlink" Target="https://open.spotify.com/intl-es/track/5Bbi2OqBscgsb9GLPPvIeY?si=e179971c09254637" TargetMode="External"/><Relationship Id="rId1170" Type="http://schemas.openxmlformats.org/officeDocument/2006/relationships/hyperlink" Target="https://www.youtube.com/watch?v=7iAPSmtCLRQ" TargetMode="External"/><Relationship Id="rId638" Type="http://schemas.openxmlformats.org/officeDocument/2006/relationships/hyperlink" Target="https://www.youtube.com/watch?v=eOBu5UoUIjk" TargetMode="External"/><Relationship Id="rId845" Type="http://schemas.openxmlformats.org/officeDocument/2006/relationships/hyperlink" Target="https://www.youtube.com/watch?v=TEt70DEsH_Y" TargetMode="External"/><Relationship Id="rId1030" Type="http://schemas.openxmlformats.org/officeDocument/2006/relationships/hyperlink" Target="https://www.youtube.com/watch?v=i3OXfZ24gwY" TargetMode="External"/><Relationship Id="rId1268" Type="http://schemas.openxmlformats.org/officeDocument/2006/relationships/hyperlink" Target="https://www.mercaba.org/Musica/Cesareo%20Gabarain/Dios%20con%20Nosotros/03%20-%20Bendito%20seas.mp3" TargetMode="External"/><Relationship Id="rId1475" Type="http://schemas.openxmlformats.org/officeDocument/2006/relationships/hyperlink" Target="https://www.youtube.com/watch?v=ohs3c9t1xB4" TargetMode="External"/><Relationship Id="rId1682" Type="http://schemas.openxmlformats.org/officeDocument/2006/relationships/hyperlink" Target="https://www.mercaba.org/Musica/Carmelo%20Erdozain/Cantos%20para%20Participar%20y%20Vivir/2%20delante%20de%20ti%20se&#241;or%20mi%20dios.mp3" TargetMode="External"/><Relationship Id="rId400" Type="http://schemas.openxmlformats.org/officeDocument/2006/relationships/hyperlink" Target="https://www.maristes.cat/sites/default/files/content/nodes/recurs/file/9028/06-rebosandonombres.mp3" TargetMode="External"/><Relationship Id="rId705" Type="http://schemas.openxmlformats.org/officeDocument/2006/relationships/hyperlink" Target="https://www.youtube.com/watch?v=YhJY2Yk3dp0" TargetMode="External"/><Relationship Id="rId1128" Type="http://schemas.openxmlformats.org/officeDocument/2006/relationships/hyperlink" Target="https://www.youtube.com/watch?v=epPas0k9yBo" TargetMode="External"/><Relationship Id="rId1335" Type="http://schemas.openxmlformats.org/officeDocument/2006/relationships/hyperlink" Target="https://www.youtube.com/watch?v=JqJgRm_9QHw" TargetMode="External"/><Relationship Id="rId1542" Type="http://schemas.openxmlformats.org/officeDocument/2006/relationships/hyperlink" Target="https://www.mercaba.org/Musica/Ricardo%20cantalapiedra/Canciones%20de%20Ricardo%20C/05%20balada%20de%20juan%20espa%C3%B1ol.mp3" TargetMode="External"/><Relationship Id="rId912" Type="http://schemas.openxmlformats.org/officeDocument/2006/relationships/hyperlink" Target="https://www.youtube.com/watch?v=0kl0jwsFjQg" TargetMode="External"/><Relationship Id="rId41" Type="http://schemas.openxmlformats.org/officeDocument/2006/relationships/hyperlink" Target="https://www.youtube.com/watch?v=nJ18Li5H2Gw" TargetMode="External"/><Relationship Id="rId1402" Type="http://schemas.openxmlformats.org/officeDocument/2006/relationships/hyperlink" Target="https://www.youtube.com/watch?v=zW3gP0Orqbw" TargetMode="External"/><Relationship Id="rId1707" Type="http://schemas.openxmlformats.org/officeDocument/2006/relationships/hyperlink" Target="https://www.mercaba.org/Musica/Carmelo%20Erdozain/Cerca%20esta%20el%20Se&#241;or/6%20el%20espiritu%20de%20dios.mp3" TargetMode="External"/><Relationship Id="rId190" Type="http://schemas.openxmlformats.org/officeDocument/2006/relationships/hyperlink" Target="https://www.youtube.com/watch?v=s0bRyeGJwDc" TargetMode="External"/><Relationship Id="rId288" Type="http://schemas.openxmlformats.org/officeDocument/2006/relationships/hyperlink" Target="https://www.youtube.com/watch?v=xxZV0bQ1lls" TargetMode="External"/><Relationship Id="rId495" Type="http://schemas.openxmlformats.org/officeDocument/2006/relationships/hyperlink" Target="https://www.maristes.cat/sites/default/files/content/nodes/recurs/file/8749/11madre.mp3" TargetMode="External"/><Relationship Id="rId148" Type="http://schemas.openxmlformats.org/officeDocument/2006/relationships/hyperlink" Target="https://www.youtube.com/watch?v=7KVXWdRV7TY" TargetMode="External"/><Relationship Id="rId355" Type="http://schemas.openxmlformats.org/officeDocument/2006/relationships/hyperlink" Target="https://www.maristes.cat/sites/default/files/content/nodes/recurs/file/9462/trackno08.mp3" TargetMode="External"/><Relationship Id="rId562" Type="http://schemas.openxmlformats.org/officeDocument/2006/relationships/hyperlink" Target="https://www.maristes.cat/sites/default/files/content/nodes/recurs/file/8794/7entornoalpan.mp3" TargetMode="External"/><Relationship Id="rId1192" Type="http://schemas.openxmlformats.org/officeDocument/2006/relationships/hyperlink" Target="https://www.mercaba.org/Musica/Cesareo%20Gabarain/Al%20Atardecer%20de%20la%20Vida/14%20-%20La%20Bienaventuranzas.mp3" TargetMode="External"/><Relationship Id="rId215" Type="http://schemas.openxmlformats.org/officeDocument/2006/relationships/hyperlink" Target="https://www.youtube.com/watch?v=YmZR-UhTY2E" TargetMode="External"/><Relationship Id="rId422" Type="http://schemas.openxmlformats.org/officeDocument/2006/relationships/hyperlink" Target="https://www.maristes.cat/sites/default/files/content/nodes/recurs/file/8928/trackno04.mp3" TargetMode="External"/><Relationship Id="rId867" Type="http://schemas.openxmlformats.org/officeDocument/2006/relationships/hyperlink" Target="https://www.youtube.com/watch?v=qIXB0br_ctc" TargetMode="External"/><Relationship Id="rId1052" Type="http://schemas.openxmlformats.org/officeDocument/2006/relationships/hyperlink" Target="https://www.youtube.com/watch?v=Pa5iR9BwNko" TargetMode="External"/><Relationship Id="rId1497" Type="http://schemas.openxmlformats.org/officeDocument/2006/relationships/hyperlink" Target="https://www.youtube.com/watch?v=r_M76oAFbZk" TargetMode="External"/><Relationship Id="rId727" Type="http://schemas.openxmlformats.org/officeDocument/2006/relationships/hyperlink" Target="https://www.youtube.com/watch?v=9RWGkSz_dX4" TargetMode="External"/><Relationship Id="rId934" Type="http://schemas.openxmlformats.org/officeDocument/2006/relationships/hyperlink" Target="https://www.youtube.com/watch?v=ecuHob18VYY" TargetMode="External"/><Relationship Id="rId1357" Type="http://schemas.openxmlformats.org/officeDocument/2006/relationships/hyperlink" Target="https://www.youtube.com/watch?v=H1m4ix1FNgA" TargetMode="External"/><Relationship Id="rId1564" Type="http://schemas.openxmlformats.org/officeDocument/2006/relationships/hyperlink" Target="https://www.youtube.com/watch?v=-b7sloqg_JY" TargetMode="External"/><Relationship Id="rId1771" Type="http://schemas.openxmlformats.org/officeDocument/2006/relationships/hyperlink" Target="https://www.youtube.com/watch?v=kZY1bm0IDbU" TargetMode="External"/><Relationship Id="rId63" Type="http://schemas.openxmlformats.org/officeDocument/2006/relationships/hyperlink" Target="https://www.youtube.com/watch?v=GvfT0gPkWdM" TargetMode="External"/><Relationship Id="rId1217" Type="http://schemas.openxmlformats.org/officeDocument/2006/relationships/hyperlink" Target="https://www.mercaba.org/Musica/Cesareo%20Gabarain/aclamaciones%20para%20la%20celebracion,%20gabarain%20(m)/15%20por%20cristo.mp3" TargetMode="External"/><Relationship Id="rId1424" Type="http://schemas.openxmlformats.org/officeDocument/2006/relationships/hyperlink" Target="https://www.youtube.com/watch?v=I2G3Wx0qVxQ" TargetMode="External"/><Relationship Id="rId1631" Type="http://schemas.openxmlformats.org/officeDocument/2006/relationships/hyperlink" Target="https://www.mercaba.org/Musica/Carmelo%20Erdozain/15%20canciones%20famosas,%20carmelo%20erdozain/aleluya.mp3" TargetMode="External"/><Relationship Id="rId1729" Type="http://schemas.openxmlformats.org/officeDocument/2006/relationships/hyperlink" Target="https://www.mercaba.org/Musica/Carmelo%20Erdozain/Hoy%20he%20Vuelto%20de%20Lejos/7%20delante%20de%20tu%20altar.mp3" TargetMode="External"/><Relationship Id="rId377" Type="http://schemas.openxmlformats.org/officeDocument/2006/relationships/hyperlink" Target="https://www.maristes.cat/sites/default/files/content/nodes/recurs/file/8779/5eldinosaurio.mp3" TargetMode="External"/><Relationship Id="rId584" Type="http://schemas.openxmlformats.org/officeDocument/2006/relationships/hyperlink" Target="https://www.maristes.cat/sites/default/files/content/nodes/recurs/file/8807/5mariamadredeldolor.mp3" TargetMode="External"/><Relationship Id="rId5" Type="http://schemas.openxmlformats.org/officeDocument/2006/relationships/hyperlink" Target="https://www.youtube.com/watch?v=qo5JMT-K6zw" TargetMode="External"/><Relationship Id="rId237" Type="http://schemas.openxmlformats.org/officeDocument/2006/relationships/hyperlink" Target="https://www.youtube.com/watch?v=-WyiKl9S5Ts" TargetMode="External"/><Relationship Id="rId791" Type="http://schemas.openxmlformats.org/officeDocument/2006/relationships/hyperlink" Target="https://www.youtube.com/watch?v=hNE9e1fglXs" TargetMode="External"/><Relationship Id="rId889" Type="http://schemas.openxmlformats.org/officeDocument/2006/relationships/hyperlink" Target="https://www.youtube.com/watch?v=dWbjPRB7O1w" TargetMode="External"/><Relationship Id="rId1074" Type="http://schemas.openxmlformats.org/officeDocument/2006/relationships/hyperlink" Target="https://www.youtube.com/watch?v=CBEhUL5vyc8" TargetMode="External"/><Relationship Id="rId444" Type="http://schemas.openxmlformats.org/officeDocument/2006/relationships/hyperlink" Target="https://www.maristes.cat/sites/default/files/content/nodes/recurs/file/8791/4nino.mp3" TargetMode="External"/><Relationship Id="rId651" Type="http://schemas.openxmlformats.org/officeDocument/2006/relationships/hyperlink" Target="https://www.youtube.com/watch?v=y2S6ljsbEEE" TargetMode="External"/><Relationship Id="rId749" Type="http://schemas.openxmlformats.org/officeDocument/2006/relationships/hyperlink" Target="https://www.youtube.com/watch?v=qzqdu9SzdUA" TargetMode="External"/><Relationship Id="rId1281" Type="http://schemas.openxmlformats.org/officeDocument/2006/relationships/hyperlink" Target="https://www.mercaba.org/Musica/Cesareo%20Gabarain/Dios%20Hombre%20Mundo/11%20-%20Hoy%20Se%C3%B1or%20te%20damos%20gracias.mp3" TargetMode="External"/><Relationship Id="rId1379" Type="http://schemas.openxmlformats.org/officeDocument/2006/relationships/hyperlink" Target="https://www.youtube.com/watch?v=j79wJJIX92Y" TargetMode="External"/><Relationship Id="rId1586" Type="http://schemas.openxmlformats.org/officeDocument/2006/relationships/hyperlink" Target="https://www.youtube.com/watch?v=h3n31TAVvTc" TargetMode="External"/><Relationship Id="rId304" Type="http://schemas.openxmlformats.org/officeDocument/2006/relationships/hyperlink" Target="https://www.youtube.com/watch?v=6psKSWI-gS0" TargetMode="External"/><Relationship Id="rId511" Type="http://schemas.openxmlformats.org/officeDocument/2006/relationships/hyperlink" Target="https://www.maristes.cat/sites/default/files/content/nodes/recurs/file/8971/2hacedloqueelosdiga.mp3" TargetMode="External"/><Relationship Id="rId609" Type="http://schemas.openxmlformats.org/officeDocument/2006/relationships/hyperlink" Target="https://www.maristes.cat/sites/default/files/content/nodes/recurs/file/8769/7tusenor.mp3" TargetMode="External"/><Relationship Id="rId956" Type="http://schemas.openxmlformats.org/officeDocument/2006/relationships/hyperlink" Target="https://www.youtube.com/watch?v=dbdoPhG1LKw" TargetMode="External"/><Relationship Id="rId1141" Type="http://schemas.openxmlformats.org/officeDocument/2006/relationships/hyperlink" Target="https://www.youtube.com/watch?v=X-1cBXSuJv4" TargetMode="External"/><Relationship Id="rId1239" Type="http://schemas.openxmlformats.org/officeDocument/2006/relationships/hyperlink" Target="https://www.mercaba.org/Musica/Cesareo%20Gabarain/Bendito%20eres%20Se%C3%B1or/04%20-%20Se%C3%B1or%20Tu%20Tienes%20Palabras%20De%20Vida%20Eterna.mp3" TargetMode="External"/><Relationship Id="rId1793" Type="http://schemas.openxmlformats.org/officeDocument/2006/relationships/hyperlink" Target="https://www.youtube.com/watch?v=DooDEKVhTDg" TargetMode="External"/><Relationship Id="rId85" Type="http://schemas.openxmlformats.org/officeDocument/2006/relationships/hyperlink" Target="https://www.youtube.com/watch?v=j4LvbRmaQio" TargetMode="External"/><Relationship Id="rId816" Type="http://schemas.openxmlformats.org/officeDocument/2006/relationships/hyperlink" Target="https://www.youtube.com/watch?v=y124lUn49WQ" TargetMode="External"/><Relationship Id="rId1001" Type="http://schemas.openxmlformats.org/officeDocument/2006/relationships/hyperlink" Target="https://www.youtube.com/watch?v=YUSJ1gsqMYk" TargetMode="External"/><Relationship Id="rId1446" Type="http://schemas.openxmlformats.org/officeDocument/2006/relationships/hyperlink" Target="https://www.mercaba.org/Musica/Cesareo%20Gabarain/Cantos%20de%20Entrada%20y%20Comunion/03%20-%20Navidad%20(Canto%20de%20entrada).mp3" TargetMode="External"/><Relationship Id="rId1653" Type="http://schemas.openxmlformats.org/officeDocument/2006/relationships/hyperlink" Target="https://www.mercaba.org/Musica/Adviento%20y%20Navidad/Adviento%20Maria%20y%20Navidad/con%20el%20alba%20les%20despide.mp3" TargetMode="External"/><Relationship Id="rId1306" Type="http://schemas.openxmlformats.org/officeDocument/2006/relationships/hyperlink" Target="https://www.youtube.com/watch?v=nMWE0KgA6mM" TargetMode="External"/><Relationship Id="rId1513" Type="http://schemas.openxmlformats.org/officeDocument/2006/relationships/hyperlink" Target="https://www.youtube.com/watch?v=4xy7GrBxZEY" TargetMode="External"/><Relationship Id="rId1720" Type="http://schemas.openxmlformats.org/officeDocument/2006/relationships/hyperlink" Target="https://www.mercaba.org/Musica/Carmelo%20Erdozain/Dios%20es%20Amor/8%20santo.mp3" TargetMode="External"/><Relationship Id="rId12" Type="http://schemas.openxmlformats.org/officeDocument/2006/relationships/hyperlink" Target="https://www.youtube.com/watch?v=yNUuh1LJ--E" TargetMode="External"/><Relationship Id="rId1818" Type="http://schemas.openxmlformats.org/officeDocument/2006/relationships/hyperlink" Target="https://www.youtube.com/watch?v=my2LXvyk6d8" TargetMode="External"/><Relationship Id="rId161" Type="http://schemas.openxmlformats.org/officeDocument/2006/relationships/hyperlink" Target="https://www.youtube.com/watch?v=7jrPsZ2oZ8A" TargetMode="External"/><Relationship Id="rId399" Type="http://schemas.openxmlformats.org/officeDocument/2006/relationships/hyperlink" Target="https://www.maristes.cat/sites/default/files/content/nodes/recurs/file/9027/05-decirtunombremaria.mp3" TargetMode="External"/><Relationship Id="rId259" Type="http://schemas.openxmlformats.org/officeDocument/2006/relationships/hyperlink" Target="https://www.youtube.com/watch?v=fu2tmhW7A1w" TargetMode="External"/><Relationship Id="rId466" Type="http://schemas.openxmlformats.org/officeDocument/2006/relationships/hyperlink" Target="https://www.maristes.cat/sites/default/files/content/nodes/recurs/file/8720/7vensenorjesus.mp3" TargetMode="External"/><Relationship Id="rId673" Type="http://schemas.openxmlformats.org/officeDocument/2006/relationships/hyperlink" Target="https://www.youtube.com/watch?v=bpt-RXAsVJ0" TargetMode="External"/><Relationship Id="rId880" Type="http://schemas.openxmlformats.org/officeDocument/2006/relationships/hyperlink" Target="https://www.youtube.com/watch?v=4tPYE84toRw" TargetMode="External"/><Relationship Id="rId1096" Type="http://schemas.openxmlformats.org/officeDocument/2006/relationships/hyperlink" Target="https://www.youtube.com/watch?v=TQlQi2AHvzQ" TargetMode="External"/><Relationship Id="rId119" Type="http://schemas.openxmlformats.org/officeDocument/2006/relationships/hyperlink" Target="https://www.youtube.com/watch?v=D4_cGAjTqdo" TargetMode="External"/><Relationship Id="rId326" Type="http://schemas.openxmlformats.org/officeDocument/2006/relationships/hyperlink" Target="https://www.youtube.com/watch?v=pQLd28okoSM" TargetMode="External"/><Relationship Id="rId533" Type="http://schemas.openxmlformats.org/officeDocument/2006/relationships/hyperlink" Target="https://www.maristes.cat/sites/default/files/content/nodes/recurs/file/8995/kairoi-profetadelafamilia-10-elpoemadelapiedra.mp3" TargetMode="External"/><Relationship Id="rId978" Type="http://schemas.openxmlformats.org/officeDocument/2006/relationships/hyperlink" Target="https://open.spotify.com/intl-es/track/5qspUpcBqHzdozbLPrCSFZ?si=7849e67df0ac418f" TargetMode="External"/><Relationship Id="rId1163" Type="http://schemas.openxmlformats.org/officeDocument/2006/relationships/hyperlink" Target="https://www.youtube.com/watch?v=r3pAMvCBxV0" TargetMode="External"/><Relationship Id="rId1370" Type="http://schemas.openxmlformats.org/officeDocument/2006/relationships/hyperlink" Target="https://www.youtube.com/watch?v=YE0NNkvc5vw" TargetMode="External"/><Relationship Id="rId740" Type="http://schemas.openxmlformats.org/officeDocument/2006/relationships/hyperlink" Target="https://www.youtube.com/watch?v=7d1Y5tiOnMs" TargetMode="External"/><Relationship Id="rId838" Type="http://schemas.openxmlformats.org/officeDocument/2006/relationships/hyperlink" Target="https://www.youtube.com/watch?v=TcVPy1H66A8" TargetMode="External"/><Relationship Id="rId1023" Type="http://schemas.openxmlformats.org/officeDocument/2006/relationships/hyperlink" Target="https://www.youtube.com/watch?v=7i-woateYWY" TargetMode="External"/><Relationship Id="rId1468" Type="http://schemas.openxmlformats.org/officeDocument/2006/relationships/hyperlink" Target="https://www.mercaba.org/Musica/Cesareo%20Gabarain/Lampara%20de%20Barro/04%20samaritana.mp3" TargetMode="External"/><Relationship Id="rId1675" Type="http://schemas.openxmlformats.org/officeDocument/2006/relationships/hyperlink" Target="https://www.mercaba.org/Musica/Carmelo%20Erdozain/24%20cantos%20de%20adviento%20y%20navidad,%20carmelo%20erdozain/16%20la%20ca&#241;ada.mp3" TargetMode="External"/><Relationship Id="rId600" Type="http://schemas.openxmlformats.org/officeDocument/2006/relationships/hyperlink" Target="https://www.maristes.cat/sites/default/files/content/nodes/recurs/file/8963/8entisolodescanso.mp3" TargetMode="External"/><Relationship Id="rId1230" Type="http://schemas.openxmlformats.org/officeDocument/2006/relationships/hyperlink" Target="https://www.mercaba.org/Musica/Cesareo%20Gabarain/Al%20Atardecer%20de%20la%20Vida/08%20-%20Yo%20soy%20la%20resurrecci%C3%B3n%20y%20la%20vida.mp3" TargetMode="External"/><Relationship Id="rId1328" Type="http://schemas.openxmlformats.org/officeDocument/2006/relationships/hyperlink" Target="https://www.youtube.com/watch?v=vsyP7TsniC8" TargetMode="External"/><Relationship Id="rId1535" Type="http://schemas.openxmlformats.org/officeDocument/2006/relationships/hyperlink" Target="https://www.youtube.com/watch?v=4uSmLyVh7Ec" TargetMode="External"/><Relationship Id="rId905" Type="http://schemas.openxmlformats.org/officeDocument/2006/relationships/hyperlink" Target="https://www.youtube.com/watch?v=wtsXEFvqpNo" TargetMode="External"/><Relationship Id="rId1742" Type="http://schemas.openxmlformats.org/officeDocument/2006/relationships/hyperlink" Target="https://www.mercaba.org/Musica/Carmelo%20Erdozain/Nuevos%20Cantos%20de%20Adviento/5%20paz%20para%20respirar.mp3" TargetMode="External"/><Relationship Id="rId34" Type="http://schemas.openxmlformats.org/officeDocument/2006/relationships/hyperlink" Target="https://www.youtube.com/watch?v=DcnvRmnrm0s" TargetMode="External"/><Relationship Id="rId1602" Type="http://schemas.openxmlformats.org/officeDocument/2006/relationships/hyperlink" Target="https://www.youtube.com/watch?v=FwSKN6LHfU4" TargetMode="External"/><Relationship Id="rId183" Type="http://schemas.openxmlformats.org/officeDocument/2006/relationships/hyperlink" Target="https://www.youtube.com/watch?v=nNYwcUQSJcY" TargetMode="External"/><Relationship Id="rId390" Type="http://schemas.openxmlformats.org/officeDocument/2006/relationships/hyperlink" Target="https://www.maristes.cat/sites/default/files/content/nodes/recurs/file/8919/6teresatoda.mp3" TargetMode="External"/><Relationship Id="rId250" Type="http://schemas.openxmlformats.org/officeDocument/2006/relationships/hyperlink" Target="https://www.youtube.com/watch?v=bOkdEJoSAjE" TargetMode="External"/><Relationship Id="rId488" Type="http://schemas.openxmlformats.org/officeDocument/2006/relationships/hyperlink" Target="https://www.maristes.cat/sites/default/files/content/nodes/recurs/file/8741/3madredeloshijospobres.mp3" TargetMode="External"/><Relationship Id="rId695" Type="http://schemas.openxmlformats.org/officeDocument/2006/relationships/hyperlink" Target="https://www.youtube.com/watch?v=R8xCu-J9jJM" TargetMode="External"/><Relationship Id="rId110" Type="http://schemas.openxmlformats.org/officeDocument/2006/relationships/hyperlink" Target="https://www.youtube.com/watch?v=RTonT2xmMZ4" TargetMode="External"/><Relationship Id="rId348" Type="http://schemas.openxmlformats.org/officeDocument/2006/relationships/hyperlink" Target="https://www.maristes.cat/sites/default/files/content/nodes/recurs/file/9455/trackno01.mp3" TargetMode="External"/><Relationship Id="rId555" Type="http://schemas.openxmlformats.org/officeDocument/2006/relationships/hyperlink" Target="https://www.maristes.cat/sites/default/files/content/nodes/recurs/file/8887/10sontestigos.mp3" TargetMode="External"/><Relationship Id="rId762" Type="http://schemas.openxmlformats.org/officeDocument/2006/relationships/hyperlink" Target="https://www.youtube.com/watch?v=pI7PZ0Wvr5M" TargetMode="External"/><Relationship Id="rId1185" Type="http://schemas.openxmlformats.org/officeDocument/2006/relationships/hyperlink" Target="https://www.mercaba.org/Musica/Cesareo%20Gabarain/La%20Fuerza%20del%20Espiritu/06%20-%20Iglesia%20somos.mp3" TargetMode="External"/><Relationship Id="rId1392" Type="http://schemas.openxmlformats.org/officeDocument/2006/relationships/hyperlink" Target="https://www.youtube.com/watch?v=eePoU43j7ug" TargetMode="External"/><Relationship Id="rId208" Type="http://schemas.openxmlformats.org/officeDocument/2006/relationships/hyperlink" Target="https://www.youtube.com/watch?v=k7C2L4BE6J0" TargetMode="External"/><Relationship Id="rId415" Type="http://schemas.openxmlformats.org/officeDocument/2006/relationships/hyperlink" Target="https://www.maristes.cat/sites/default/files/content/nodes/recurs/file/9019/10undiosquehuele.mp3" TargetMode="External"/><Relationship Id="rId622" Type="http://schemas.openxmlformats.org/officeDocument/2006/relationships/hyperlink" Target="https://www.youtube.com/watch?v=bDCL8xRyN4A" TargetMode="External"/><Relationship Id="rId1045" Type="http://schemas.openxmlformats.org/officeDocument/2006/relationships/hyperlink" Target="https://www.youtube.com/watch?v=9n_qgN58_Pk" TargetMode="External"/><Relationship Id="rId1252" Type="http://schemas.openxmlformats.org/officeDocument/2006/relationships/hyperlink" Target="https://www.mercaba.org/Musica/Cesareo%20Gabarain/Cantando%20Venimos/07%20-%20Somos%20un%20pueblo%20nacido.mp3" TargetMode="External"/><Relationship Id="rId1697" Type="http://schemas.openxmlformats.org/officeDocument/2006/relationships/hyperlink" Target="https://www.mercaba.org/Musica/Carmelo%20Erdozain/Cantos%20para%20una%20Comunidad%20Evangelizadora/6%20misioneros.mp3" TargetMode="External"/><Relationship Id="rId927" Type="http://schemas.openxmlformats.org/officeDocument/2006/relationships/hyperlink" Target="https://www.youtube.com/watch?v=C9dNLZ8XhTw" TargetMode="External"/><Relationship Id="rId1112" Type="http://schemas.openxmlformats.org/officeDocument/2006/relationships/hyperlink" Target="https://www.youtube.com/watch?v=gFiTLiFIC_g" TargetMode="External"/><Relationship Id="rId1557" Type="http://schemas.openxmlformats.org/officeDocument/2006/relationships/hyperlink" Target="https://www.mercaba.org/Musica/Ricardo%20cantalapiedra/El%20Profeta/12%20el%20trovador.mp3" TargetMode="External"/><Relationship Id="rId1764" Type="http://schemas.openxmlformats.org/officeDocument/2006/relationships/hyperlink" Target="https://www.mercaba.org/Musica/Carmelo%20Erdozain/Ven%20y%20Sigueme/6%20se%20buscan%20jovenes.mp3" TargetMode="External"/><Relationship Id="rId56" Type="http://schemas.openxmlformats.org/officeDocument/2006/relationships/hyperlink" Target="https://www.youtube.com/watch?v=pxDsn6De9WM" TargetMode="External"/><Relationship Id="rId1417" Type="http://schemas.openxmlformats.org/officeDocument/2006/relationships/hyperlink" Target="https://www.youtube.com/watch?v=diWBjjrOduY" TargetMode="External"/><Relationship Id="rId1624" Type="http://schemas.openxmlformats.org/officeDocument/2006/relationships/hyperlink" Target="https://www.mercaba.org/Musica/Carmelo%20Erdozain/12%20canciones%20religiosas%20y%20liturgicas,%20carmelo%20erdozain/07%20santo,%20santo.mp3" TargetMode="External"/><Relationship Id="rId272" Type="http://schemas.openxmlformats.org/officeDocument/2006/relationships/hyperlink" Target="https://www.youtube.com/watch?v=COWNBhI4qnA" TargetMode="External"/><Relationship Id="rId577" Type="http://schemas.openxmlformats.org/officeDocument/2006/relationships/hyperlink" Target="https://www.maristes.cat/sites/default/files/content/nodes/recurs/file/8735/09notengoanadie.mp3" TargetMode="External"/><Relationship Id="rId132" Type="http://schemas.openxmlformats.org/officeDocument/2006/relationships/hyperlink" Target="https://www.youtube.com/watch?v=wwZ3zEt_vc0" TargetMode="External"/><Relationship Id="rId784" Type="http://schemas.openxmlformats.org/officeDocument/2006/relationships/hyperlink" Target="https://www.youtube.com/watch?v=zUed26NaIz0" TargetMode="External"/><Relationship Id="rId991" Type="http://schemas.openxmlformats.org/officeDocument/2006/relationships/hyperlink" Target="https://open.spotify.com/intl-es/track/3xbEsRidrWC5c3pMViSFJa?si=58e2fda79a4f43ef" TargetMode="External"/><Relationship Id="rId1067" Type="http://schemas.openxmlformats.org/officeDocument/2006/relationships/hyperlink" Target="https://www.youtube.com/watch?v=tr3XrswwoNk" TargetMode="External"/><Relationship Id="rId437" Type="http://schemas.openxmlformats.org/officeDocument/2006/relationships/hyperlink" Target="https://www.maristes.cat/sites/default/files/content/nodes/recurs/file/8872/7oracionasanfrancisco.mp3" TargetMode="External"/><Relationship Id="rId644" Type="http://schemas.openxmlformats.org/officeDocument/2006/relationships/hyperlink" Target="https://www.youtube.com/watch?v=HP0E62Vb1tI" TargetMode="External"/><Relationship Id="rId851" Type="http://schemas.openxmlformats.org/officeDocument/2006/relationships/hyperlink" Target="https://www.youtube.com/watch?v=8-WurxcHaSE" TargetMode="External"/><Relationship Id="rId1274" Type="http://schemas.openxmlformats.org/officeDocument/2006/relationships/hyperlink" Target="https://www.mercaba.org/Musica/Cesareo%20Gabarain/Dios%20Hombre%20Mundo/02%20-%20Aleluya,%20mi%20padre%20Dios%20me%20quiere.mp3" TargetMode="External"/><Relationship Id="rId1481" Type="http://schemas.openxmlformats.org/officeDocument/2006/relationships/hyperlink" Target="https://www.youtube.com/watch?v=duZ5xYG_-AM" TargetMode="External"/><Relationship Id="rId1579" Type="http://schemas.openxmlformats.org/officeDocument/2006/relationships/hyperlink" Target="https://www.youtube.com/watch?v=KCz52R_caK4" TargetMode="External"/><Relationship Id="rId504" Type="http://schemas.openxmlformats.org/officeDocument/2006/relationships/hyperlink" Target="https://www.maristes.cat/sites/default/files/content/nodes/recurs/file/8908/8elbrujomugandino.mp3" TargetMode="External"/><Relationship Id="rId711" Type="http://schemas.openxmlformats.org/officeDocument/2006/relationships/hyperlink" Target="https://www.youtube.com/watch?v=PEW4y8pprpk" TargetMode="External"/><Relationship Id="rId949" Type="http://schemas.openxmlformats.org/officeDocument/2006/relationships/hyperlink" Target="https://www.youtube.com/watch?v=cYVMWpDDlqY" TargetMode="External"/><Relationship Id="rId1134" Type="http://schemas.openxmlformats.org/officeDocument/2006/relationships/hyperlink" Target="https://www.youtube.com/watch?v=TUzfRLO_Nes" TargetMode="External"/><Relationship Id="rId1341" Type="http://schemas.openxmlformats.org/officeDocument/2006/relationships/hyperlink" Target="https://www.youtube.com/watch?v=YoIgNsfC1qc" TargetMode="External"/><Relationship Id="rId1786" Type="http://schemas.openxmlformats.org/officeDocument/2006/relationships/hyperlink" Target="https://www.youtube.com/watch?v=pEIoHBo-M_Q" TargetMode="External"/><Relationship Id="rId78" Type="http://schemas.openxmlformats.org/officeDocument/2006/relationships/hyperlink" Target="https://www.youtube.com/watch?v=_TROLLdmeT4" TargetMode="External"/><Relationship Id="rId809" Type="http://schemas.openxmlformats.org/officeDocument/2006/relationships/hyperlink" Target="https://www.youtube.com/watch?v=wVgFMm2OtTU" TargetMode="External"/><Relationship Id="rId1201" Type="http://schemas.openxmlformats.org/officeDocument/2006/relationships/hyperlink" Target="https://www.mercaba.org/Musica/Cesareo%20Gabarain/Dios%20Hombre%20Mundo/08%20-%20Canci%C3%B3n%20del%20astronauta.mp3" TargetMode="External"/><Relationship Id="rId1439" Type="http://schemas.openxmlformats.org/officeDocument/2006/relationships/hyperlink" Target="https://www.mercaba.org/Musica/Cesareo%20Gabarain/Eres%20Tu%20Maria/06%20-%20Mar%C3%ADa%20es%20esa%20mujer.mp3" TargetMode="External"/><Relationship Id="rId1646" Type="http://schemas.openxmlformats.org/officeDocument/2006/relationships/hyperlink" Target="https://www.mercaba.org/Musica/Carmelo%20Erdozain/15%20cantos%20para%20la%20cena%20del%20se%C3%B1or,%20carmelo%20erdozain/13%20nos%20hablo%20el%20se%C3%B1or%20del%20pan%20del%20cielo.mp3" TargetMode="External"/><Relationship Id="rId1506" Type="http://schemas.openxmlformats.org/officeDocument/2006/relationships/hyperlink" Target="https://www.youtube.com/watch?v=FFTgyCq_FNE" TargetMode="External"/><Relationship Id="rId1713" Type="http://schemas.openxmlformats.org/officeDocument/2006/relationships/hyperlink" Target="https://www.mercaba.org/Musica/Carmelo%20Erdozain/Dios%20es%20Amor/1%20dios%20es%20amor.mp3" TargetMode="External"/><Relationship Id="rId294" Type="http://schemas.openxmlformats.org/officeDocument/2006/relationships/hyperlink" Target="https://www.youtube.com/watch?v=5asZBdicpPs" TargetMode="External"/><Relationship Id="rId154" Type="http://schemas.openxmlformats.org/officeDocument/2006/relationships/hyperlink" Target="https://www.youtube.com/watch?v=K0s1qQbn-vA" TargetMode="External"/><Relationship Id="rId361" Type="http://schemas.openxmlformats.org/officeDocument/2006/relationships/hyperlink" Target="https://www.maristes.cat/sites/default/files/content/nodes/recurs/file/9468/trackno14.mp3" TargetMode="External"/><Relationship Id="rId599" Type="http://schemas.openxmlformats.org/officeDocument/2006/relationships/hyperlink" Target="https://www.maristes.cat/sites/default/files/content/nodes/recurs/file/8961/7soymujer.mp3" TargetMode="External"/><Relationship Id="rId459" Type="http://schemas.openxmlformats.org/officeDocument/2006/relationships/hyperlink" Target="https://www.maristes.cat/sites/default/files/content/nodes/recurs/file/8865/12nacidosdelacruz.mp3" TargetMode="External"/><Relationship Id="rId666" Type="http://schemas.openxmlformats.org/officeDocument/2006/relationships/hyperlink" Target="https://www.youtube.com/watch?v=TxrkTH4keL4" TargetMode="External"/><Relationship Id="rId873" Type="http://schemas.openxmlformats.org/officeDocument/2006/relationships/hyperlink" Target="https://www.youtube.com/watch?v=e0tLbdOmtm4" TargetMode="External"/><Relationship Id="rId1089" Type="http://schemas.openxmlformats.org/officeDocument/2006/relationships/hyperlink" Target="https://www.youtube.com/watch?v=R3fAEFB---w" TargetMode="External"/><Relationship Id="rId1296" Type="http://schemas.openxmlformats.org/officeDocument/2006/relationships/hyperlink" Target="https://www.youtube.com/watch?v=0P58Nuik1kc" TargetMode="External"/><Relationship Id="rId221" Type="http://schemas.openxmlformats.org/officeDocument/2006/relationships/hyperlink" Target="https://www.youtube.com/watch?v=f_siJHeN8B8" TargetMode="External"/><Relationship Id="rId319" Type="http://schemas.openxmlformats.org/officeDocument/2006/relationships/hyperlink" Target="https://www.youtube.com/watch?v=GLYi3ca7t9k" TargetMode="External"/><Relationship Id="rId526" Type="http://schemas.openxmlformats.org/officeDocument/2006/relationships/hyperlink" Target="https://www.maristes.cat/sites/default/files/content/nodes/recurs/file/8988/kairoi-profetadelafamilia-03-comotu.mp3" TargetMode="External"/><Relationship Id="rId1156" Type="http://schemas.openxmlformats.org/officeDocument/2006/relationships/hyperlink" Target="https://www.youtube.com/watch?v=_xaaNbGe70g" TargetMode="External"/><Relationship Id="rId1363" Type="http://schemas.openxmlformats.org/officeDocument/2006/relationships/hyperlink" Target="https://www.youtube.com/watch?v=XQbOVJU4MIU" TargetMode="External"/><Relationship Id="rId733" Type="http://schemas.openxmlformats.org/officeDocument/2006/relationships/hyperlink" Target="https://www.youtube.com/watch?v=z_34X0UEVQo" TargetMode="External"/><Relationship Id="rId940" Type="http://schemas.openxmlformats.org/officeDocument/2006/relationships/hyperlink" Target="https://www.youtube.com/watch?v=JmV7CgVv69U" TargetMode="External"/><Relationship Id="rId1016" Type="http://schemas.openxmlformats.org/officeDocument/2006/relationships/hyperlink" Target="https://www.youtube.com/watch?v=ycxrKgHVqiE" TargetMode="External"/><Relationship Id="rId1570" Type="http://schemas.openxmlformats.org/officeDocument/2006/relationships/hyperlink" Target="https://www.youtube.com/watch?v=4kAE7PJc-vM" TargetMode="External"/><Relationship Id="rId1668" Type="http://schemas.openxmlformats.org/officeDocument/2006/relationships/hyperlink" Target="https://www.mercaba.org/Musica/Carmelo%20Erdozain/Cantos%20para%20Participar%20y%20Vivir/07dentro%20de%20mi.mp3" TargetMode="External"/><Relationship Id="rId800" Type="http://schemas.openxmlformats.org/officeDocument/2006/relationships/hyperlink" Target="https://www.youtube.com/watch?v=kPy_uaYmsKQ" TargetMode="External"/><Relationship Id="rId1223" Type="http://schemas.openxmlformats.org/officeDocument/2006/relationships/hyperlink" Target="https://www.youtube.com/watch?v=VqCekCOZdcc" TargetMode="External"/><Relationship Id="rId1430" Type="http://schemas.openxmlformats.org/officeDocument/2006/relationships/hyperlink" Target="https://www.mercaba.org/Musica/Cesareo%20Gabarain/En%20Medio%20de%20la%20Noche/06%20quien%20eres%20tu.mp3" TargetMode="External"/><Relationship Id="rId1528" Type="http://schemas.openxmlformats.org/officeDocument/2006/relationships/hyperlink" Target="https://www.youtube.com/watch?v=3xiwX4mx_Kk" TargetMode="External"/><Relationship Id="rId1735" Type="http://schemas.openxmlformats.org/officeDocument/2006/relationships/hyperlink" Target="https://www.mercaba.org/Musica/Carmelo%20Erdozain/Mesias%20de%20Liberacion/3%20apostoles%20dichosos%20son.mp3" TargetMode="External"/><Relationship Id="rId27" Type="http://schemas.openxmlformats.org/officeDocument/2006/relationships/hyperlink" Target="https://www.youtube.com/watch?v=KwQwKNU8Q1I" TargetMode="External"/><Relationship Id="rId1802" Type="http://schemas.openxmlformats.org/officeDocument/2006/relationships/hyperlink" Target="https://www.youtube.com/watch?v=X6eKoHsyLuc" TargetMode="External"/><Relationship Id="rId176" Type="http://schemas.openxmlformats.org/officeDocument/2006/relationships/hyperlink" Target="https://www.youtube.com/watch?v=EPtnds2jpnA" TargetMode="External"/><Relationship Id="rId383" Type="http://schemas.openxmlformats.org/officeDocument/2006/relationships/hyperlink" Target="https://www.maristes.cat/sites/default/files/content/nodes/recurs/file/8786/11alsenorcantad.mp3" TargetMode="External"/><Relationship Id="rId590" Type="http://schemas.openxmlformats.org/officeDocument/2006/relationships/hyperlink" Target="https://www.maristes.cat/sites/default/files/content/nodes/recurs/file/8812/10jesusresucitahoy.mp3" TargetMode="External"/><Relationship Id="rId243" Type="http://schemas.openxmlformats.org/officeDocument/2006/relationships/hyperlink" Target="https://www.youtube.com/watch?v=sLNRD6BdB9k" TargetMode="External"/><Relationship Id="rId450" Type="http://schemas.openxmlformats.org/officeDocument/2006/relationships/hyperlink" Target="https://www.maristes.cat/sites/default/files/content/nodes/recurs/file/8852/3deseopaz.mp3" TargetMode="External"/><Relationship Id="rId688" Type="http://schemas.openxmlformats.org/officeDocument/2006/relationships/hyperlink" Target="https://www.youtube.com/watch?v=JepPDaMU6EE" TargetMode="External"/><Relationship Id="rId895" Type="http://schemas.openxmlformats.org/officeDocument/2006/relationships/hyperlink" Target="https://www.youtube.com/watch?v=Wa8wl7xodjU" TargetMode="External"/><Relationship Id="rId1080" Type="http://schemas.openxmlformats.org/officeDocument/2006/relationships/hyperlink" Target="https://www.youtube.com/watch?v=myfcAQyd3z8" TargetMode="External"/><Relationship Id="rId103" Type="http://schemas.openxmlformats.org/officeDocument/2006/relationships/hyperlink" Target="https://www.youtube.com/watch?v=w5AMvAr5B4M" TargetMode="External"/><Relationship Id="rId310" Type="http://schemas.openxmlformats.org/officeDocument/2006/relationships/hyperlink" Target="https://www.youtube.com/watch?v=iM-4A_PZkRI" TargetMode="External"/><Relationship Id="rId548" Type="http://schemas.openxmlformats.org/officeDocument/2006/relationships/hyperlink" Target="https://www.maristes.cat/sites/default/files/content/nodes/recurs/file/8880/3notemais.mp3" TargetMode="External"/><Relationship Id="rId755" Type="http://schemas.openxmlformats.org/officeDocument/2006/relationships/hyperlink" Target="https://www.youtube.com/watch?v=CTqZhoWmD-I" TargetMode="External"/><Relationship Id="rId962" Type="http://schemas.openxmlformats.org/officeDocument/2006/relationships/hyperlink" Target="https://www.youtube.com/watch?v=Rsz6KruYK7Q" TargetMode="External"/><Relationship Id="rId1178" Type="http://schemas.openxmlformats.org/officeDocument/2006/relationships/hyperlink" Target="https://www.mercaba.org/Musica/Cesareo%20Gabarain/La%20Fuerza%20del%20Espiritu/02%20-%20A%20donde%20voy.mp3" TargetMode="External"/><Relationship Id="rId1385" Type="http://schemas.openxmlformats.org/officeDocument/2006/relationships/hyperlink" Target="https://www.youtube.com/watch?v=quda_td_tyQ" TargetMode="External"/><Relationship Id="rId1592" Type="http://schemas.openxmlformats.org/officeDocument/2006/relationships/hyperlink" Target="https://www.youtube.com/watch?v=TF0bU1zwRJA" TargetMode="External"/><Relationship Id="rId91" Type="http://schemas.openxmlformats.org/officeDocument/2006/relationships/hyperlink" Target="https://www.youtube.com/watch?v=DAJJQqX3wgQ" TargetMode="External"/><Relationship Id="rId408" Type="http://schemas.openxmlformats.org/officeDocument/2006/relationships/hyperlink" Target="https://www.maristes.cat/sites/default/files/content/nodes/recurs/file/9011/2traselcristal.mp3" TargetMode="External"/><Relationship Id="rId615" Type="http://schemas.openxmlformats.org/officeDocument/2006/relationships/hyperlink" Target="https://www.youtube.com/watch?v=CE5cp6VPFA4" TargetMode="External"/><Relationship Id="rId822" Type="http://schemas.openxmlformats.org/officeDocument/2006/relationships/hyperlink" Target="https://www.youtube.com/watch?v=mZBPREwsQpw" TargetMode="External"/><Relationship Id="rId1038" Type="http://schemas.openxmlformats.org/officeDocument/2006/relationships/hyperlink" Target="https://www.youtube.com/watch?v=CqWvZ_X5kqk" TargetMode="External"/><Relationship Id="rId1245" Type="http://schemas.openxmlformats.org/officeDocument/2006/relationships/hyperlink" Target="https://www.mercaba.org/Musica/Cesareo%20Gabarain/Bendito%20eres%20Se%C3%B1or/10%20-%20Camino%20De%20Ema%C3%BAs.mp3" TargetMode="External"/><Relationship Id="rId1452" Type="http://schemas.openxmlformats.org/officeDocument/2006/relationships/hyperlink" Target="https://www.mercaba.org/Musica/Cesareo%20Gabarain/Cantos%20de%20Entrada%20y%20Comunion/09%20-%20Pascua%20(Canto%20de%20comuni%C3%B3n).mp3" TargetMode="External"/><Relationship Id="rId1105" Type="http://schemas.openxmlformats.org/officeDocument/2006/relationships/hyperlink" Target="https://www.youtube.com/watch?v=bULIGsnw4mM" TargetMode="External"/><Relationship Id="rId1312" Type="http://schemas.openxmlformats.org/officeDocument/2006/relationships/hyperlink" Target="https://www.youtube.com/watch?v=Sv1dCpQ3rPA" TargetMode="External"/><Relationship Id="rId1757" Type="http://schemas.openxmlformats.org/officeDocument/2006/relationships/hyperlink" Target="https://www.mercaba.org/Musica/Carmelo%20Erdozain/Preparad%20los%20Caminos/8%20tres%20reyes%20magos%20llegan%20de%20oriente.mp3" TargetMode="External"/><Relationship Id="rId49" Type="http://schemas.openxmlformats.org/officeDocument/2006/relationships/hyperlink" Target="https://www.youtube.com/watch?v=XIpdZwkbdnY" TargetMode="External"/><Relationship Id="rId1617" Type="http://schemas.openxmlformats.org/officeDocument/2006/relationships/hyperlink" Target="https://www.youtube.com/watch?v=YfxqHTPzmfQ" TargetMode="External"/><Relationship Id="rId198" Type="http://schemas.openxmlformats.org/officeDocument/2006/relationships/hyperlink" Target="https://www.youtube.com/watch?v=fIyvDz4mqR4" TargetMode="External"/><Relationship Id="rId265" Type="http://schemas.openxmlformats.org/officeDocument/2006/relationships/hyperlink" Target="https://www.youtube.com/watch?v=reYQRNcWiTc" TargetMode="External"/><Relationship Id="rId472" Type="http://schemas.openxmlformats.org/officeDocument/2006/relationships/hyperlink" Target="https://www.maristes.cat/sites/default/files/content/nodes/recurs/file/9153/03entornoalpan.wav" TargetMode="External"/><Relationship Id="rId125" Type="http://schemas.openxmlformats.org/officeDocument/2006/relationships/hyperlink" Target="https://www.youtube.com/watch?v=J50fiBcxihg" TargetMode="External"/><Relationship Id="rId332" Type="http://schemas.openxmlformats.org/officeDocument/2006/relationships/hyperlink" Target="https://www.youtube.com/watch?v=DuaCVtri6QU" TargetMode="External"/><Relationship Id="rId777" Type="http://schemas.openxmlformats.org/officeDocument/2006/relationships/hyperlink" Target="https://www.youtube.com/watch?v=c10O88qSKBM" TargetMode="External"/><Relationship Id="rId984" Type="http://schemas.openxmlformats.org/officeDocument/2006/relationships/hyperlink" Target="https://open.spotify.com/intl-es/track/4804HkPmQkwCH2kF3kwhg6?si=eb80aaa66dfa442b" TargetMode="External"/><Relationship Id="rId637" Type="http://schemas.openxmlformats.org/officeDocument/2006/relationships/hyperlink" Target="https://www.youtube.com/watch?v=N_SouvyZ5v8" TargetMode="External"/><Relationship Id="rId844" Type="http://schemas.openxmlformats.org/officeDocument/2006/relationships/hyperlink" Target="https://www.youtube.com/watch?v=vltzGzkiyXs" TargetMode="External"/><Relationship Id="rId1267" Type="http://schemas.openxmlformats.org/officeDocument/2006/relationships/hyperlink" Target="https://www.mercaba.org/Musica/Cesareo%20Gabarain/Dios%20con%20Nosotros/02%20-%20Nueva%20creaci%C3%B3n.mp3" TargetMode="External"/><Relationship Id="rId1474" Type="http://schemas.openxmlformats.org/officeDocument/2006/relationships/hyperlink" Target="https://www.youtube.com/watch?v=NJeIeIrDrKY" TargetMode="External"/><Relationship Id="rId1681" Type="http://schemas.openxmlformats.org/officeDocument/2006/relationships/hyperlink" Target="https://www.mercaba.org/Musica/Carmelo%20Erdozain/Cantos%20para%20Participar%20y%20Vivir/1%20hosana%20al%20rey%20de%20los%20cielos.mp3" TargetMode="External"/><Relationship Id="rId704" Type="http://schemas.openxmlformats.org/officeDocument/2006/relationships/hyperlink" Target="https://www.youtube.com/watch?v=MYfyoRi3t8I" TargetMode="External"/><Relationship Id="rId911" Type="http://schemas.openxmlformats.org/officeDocument/2006/relationships/hyperlink" Target="https://www.youtube.com/watch?v=jmVqAKiaUmw" TargetMode="External"/><Relationship Id="rId1127" Type="http://schemas.openxmlformats.org/officeDocument/2006/relationships/hyperlink" Target="https://www.youtube.com/watch?v=aVlNChN4pFI" TargetMode="External"/><Relationship Id="rId1334" Type="http://schemas.openxmlformats.org/officeDocument/2006/relationships/hyperlink" Target="https://www.youtube.com/watch?v=W9Q2GQiXI7Y" TargetMode="External"/><Relationship Id="rId1541" Type="http://schemas.openxmlformats.org/officeDocument/2006/relationships/hyperlink" Target="https://www.mercaba.org/Musica/Ricardo%20cantalapiedra/Canciones%20de%20Ricardo%20C/04%20pajaro%20herido%20y%20cancion%208.mp3" TargetMode="External"/><Relationship Id="rId1779" Type="http://schemas.openxmlformats.org/officeDocument/2006/relationships/hyperlink" Target="https://www.youtube.com/watch?v=ZmzRZjMiNV4" TargetMode="External"/><Relationship Id="rId40" Type="http://schemas.openxmlformats.org/officeDocument/2006/relationships/hyperlink" Target="https://www.youtube.com/watch?v=mAfFgnBZTEQ" TargetMode="External"/><Relationship Id="rId1401" Type="http://schemas.openxmlformats.org/officeDocument/2006/relationships/hyperlink" Target="https://www.youtube.com/watch?v=KYLCk4B15Is" TargetMode="External"/><Relationship Id="rId1639" Type="http://schemas.openxmlformats.org/officeDocument/2006/relationships/hyperlink" Target="https://www.mercaba.org/Musica/Carmelo%20Erdozain/15%20cantos%20para%20la%20cena%20del%20se%C3%B1or,%20carmelo%20erdozain/06%20al%20altar%20donde%20tu%20vienes.mp3" TargetMode="External"/><Relationship Id="rId1706" Type="http://schemas.openxmlformats.org/officeDocument/2006/relationships/hyperlink" Target="https://www.mercaba.org/Musica/Carmelo%20Erdozain/Cerca%20esta%20el%20Se&#241;or/5%20este%20pan%20y%20vino.mp3" TargetMode="External"/><Relationship Id="rId287" Type="http://schemas.openxmlformats.org/officeDocument/2006/relationships/hyperlink" Target="https://www.youtube.com/watch?v=D5K6cKhO5rY" TargetMode="External"/><Relationship Id="rId494" Type="http://schemas.openxmlformats.org/officeDocument/2006/relationships/hyperlink" Target="https://www.maristes.cat/sites/default/files/content/nodes/recurs/file/8748/10tueresdelsenor.mp3" TargetMode="External"/><Relationship Id="rId147" Type="http://schemas.openxmlformats.org/officeDocument/2006/relationships/hyperlink" Target="https://www.youtube.com/watch?v=SZExwPSdQco" TargetMode="External"/><Relationship Id="rId354" Type="http://schemas.openxmlformats.org/officeDocument/2006/relationships/hyperlink" Target="https://www.maristes.cat/sites/default/files/content/nodes/recurs/file/9461/trackno07.mp3" TargetMode="External"/><Relationship Id="rId799" Type="http://schemas.openxmlformats.org/officeDocument/2006/relationships/hyperlink" Target="https://www.youtube.com/watch?v=i34kWAIwwbU" TargetMode="External"/><Relationship Id="rId1191" Type="http://schemas.openxmlformats.org/officeDocument/2006/relationships/hyperlink" Target="https://www.youtube.com/watch?v=IqsichcD4c0" TargetMode="External"/><Relationship Id="rId561" Type="http://schemas.openxmlformats.org/officeDocument/2006/relationships/hyperlink" Target="https://www.maristes.cat/sites/default/files/content/nodes/recurs/file/8941/6hermanoentreloshombres.mp3" TargetMode="External"/><Relationship Id="rId659" Type="http://schemas.openxmlformats.org/officeDocument/2006/relationships/hyperlink" Target="https://www.youtube.com/watch?v=gcME5Kiuw80" TargetMode="External"/><Relationship Id="rId866" Type="http://schemas.openxmlformats.org/officeDocument/2006/relationships/hyperlink" Target="https://www.youtube.com/watch?v=Z5mSr5RAlyc" TargetMode="External"/><Relationship Id="rId1289" Type="http://schemas.openxmlformats.org/officeDocument/2006/relationships/hyperlink" Target="https://www.youtube.com/watch?v=mB7qXih-1ec" TargetMode="External"/><Relationship Id="rId1496" Type="http://schemas.openxmlformats.org/officeDocument/2006/relationships/hyperlink" Target="https://www.youtube.com/watch?v=2UO6AGcVNFo" TargetMode="External"/><Relationship Id="rId214" Type="http://schemas.openxmlformats.org/officeDocument/2006/relationships/hyperlink" Target="https://www.youtube.com/watch?v=k8ZSWfFxi0I" TargetMode="External"/><Relationship Id="rId421" Type="http://schemas.openxmlformats.org/officeDocument/2006/relationships/hyperlink" Target="https://www.maristes.cat/sites/default/files/content/nodes/recurs/file/8927/trackno03.mp3" TargetMode="External"/><Relationship Id="rId519" Type="http://schemas.openxmlformats.org/officeDocument/2006/relationships/hyperlink" Target="https://www.maristes.cat/sites/default/files/content/nodes/recurs/file/8981/10creoenti.mp3" TargetMode="External"/><Relationship Id="rId1051" Type="http://schemas.openxmlformats.org/officeDocument/2006/relationships/hyperlink" Target="https://www.youtube.com/watch?v=MCA1U_Jz2U8" TargetMode="External"/><Relationship Id="rId1149" Type="http://schemas.openxmlformats.org/officeDocument/2006/relationships/hyperlink" Target="https://www.youtube.com/watch?v=9dWgy79NBHc" TargetMode="External"/><Relationship Id="rId1356" Type="http://schemas.openxmlformats.org/officeDocument/2006/relationships/hyperlink" Target="https://www.youtube.com/watch?v=-GRe7Udua-s" TargetMode="External"/><Relationship Id="rId726" Type="http://schemas.openxmlformats.org/officeDocument/2006/relationships/hyperlink" Target="https://www.youtube.com/watch?v=hQk705tQH6U" TargetMode="External"/><Relationship Id="rId933" Type="http://schemas.openxmlformats.org/officeDocument/2006/relationships/hyperlink" Target="https://www.youtube.com/watch?v=_oFThiCZqmw" TargetMode="External"/><Relationship Id="rId1009" Type="http://schemas.openxmlformats.org/officeDocument/2006/relationships/hyperlink" Target="https://www.youtube.com/watch?v=1xzvehe-ahE" TargetMode="External"/><Relationship Id="rId1563" Type="http://schemas.openxmlformats.org/officeDocument/2006/relationships/hyperlink" Target="https://www.mercaba.org/Musica/Ricardo%20cantalapiedra/Salmos%20de%20Muerte%20y%20de%20Gloria/14%20canto%20de%20gloria.mp3" TargetMode="External"/><Relationship Id="rId1770" Type="http://schemas.openxmlformats.org/officeDocument/2006/relationships/hyperlink" Target="https://www.youtube.com/watch?v=cjkYK0AaMMo" TargetMode="External"/><Relationship Id="rId62" Type="http://schemas.openxmlformats.org/officeDocument/2006/relationships/hyperlink" Target="https://www.youtube.com/watch?v=frguu9_KWfQ" TargetMode="External"/><Relationship Id="rId1216" Type="http://schemas.openxmlformats.org/officeDocument/2006/relationships/hyperlink" Target="https://www.mercaba.org/Musica/Cesareo%20Gabarain/aclamaciones%20para%20la%20celebracion,%20gabarain%20(m)/14%20por%20cristo.mp3" TargetMode="External"/><Relationship Id="rId1423" Type="http://schemas.openxmlformats.org/officeDocument/2006/relationships/hyperlink" Target="https://www.youtube.com/watch?v=0kTwLgdeRyY" TargetMode="External"/><Relationship Id="rId1630" Type="http://schemas.openxmlformats.org/officeDocument/2006/relationships/hyperlink" Target="https://www.mercaba.org/Musica/Carmelo%20Erdozain/15%20canciones%20famosas,%20carmelo%20erdozain/alaba%20al%20se%C3%B1or,%20alma%20mia.mp3" TargetMode="External"/><Relationship Id="rId1728" Type="http://schemas.openxmlformats.org/officeDocument/2006/relationships/hyperlink" Target="https://www.mercaba.org/Musica/Carmelo%20Erdozain/Hoy%20he%20Vuelto%20de%20Lejos/6%20hosana%20hosana.mp3" TargetMode="External"/><Relationship Id="rId169" Type="http://schemas.openxmlformats.org/officeDocument/2006/relationships/hyperlink" Target="https://www.youtube.com/watch?v=tfVOkXfSv6U" TargetMode="External"/><Relationship Id="rId376" Type="http://schemas.openxmlformats.org/officeDocument/2006/relationships/hyperlink" Target="https://www.maristes.cat/sites/default/files/content/nodes/recurs/file/8778/4kuakuakua.mp3" TargetMode="External"/><Relationship Id="rId583" Type="http://schemas.openxmlformats.org/officeDocument/2006/relationships/hyperlink" Target="https://www.maristes.cat/sites/default/files/content/nodes/recurs/file/8806/4sientotullamadaelsenoreslaesperanzaelsenorestaaquicaminadacogemedios.mp3" TargetMode="External"/><Relationship Id="rId790" Type="http://schemas.openxmlformats.org/officeDocument/2006/relationships/hyperlink" Target="https://www.youtube.com/watch?v=6T91M6qcBrw" TargetMode="External"/><Relationship Id="rId4" Type="http://schemas.openxmlformats.org/officeDocument/2006/relationships/hyperlink" Target="https://www.youtube.com/watch?v=amcNuPkMSdY" TargetMode="External"/><Relationship Id="rId236" Type="http://schemas.openxmlformats.org/officeDocument/2006/relationships/hyperlink" Target="https://www.youtube.com/watch?v=dZTir5oCH8Y" TargetMode="External"/><Relationship Id="rId443" Type="http://schemas.openxmlformats.org/officeDocument/2006/relationships/hyperlink" Target="https://www.maristes.cat/sites/default/files/content/nodes/recurs/file/8790/3comomarcelino.mp3" TargetMode="External"/><Relationship Id="rId650" Type="http://schemas.openxmlformats.org/officeDocument/2006/relationships/hyperlink" Target="https://www.youtube.com/watch?v=hEweJKc1xgs" TargetMode="External"/><Relationship Id="rId888" Type="http://schemas.openxmlformats.org/officeDocument/2006/relationships/hyperlink" Target="https://www.youtube.com/watch?v=eV6hkAwXonA" TargetMode="External"/><Relationship Id="rId1073" Type="http://schemas.openxmlformats.org/officeDocument/2006/relationships/hyperlink" Target="https://www.youtube.com/watch?v=K63ellFKbFA" TargetMode="External"/><Relationship Id="rId1280" Type="http://schemas.openxmlformats.org/officeDocument/2006/relationships/hyperlink" Target="https://www.mercaba.org/Musica/Cesareo%20Gabarain/Dios%20Hombre%20Mundo/12%20-%20Demos%20gracias%20al%20Se%C3%B1or.mp3" TargetMode="External"/><Relationship Id="rId303" Type="http://schemas.openxmlformats.org/officeDocument/2006/relationships/hyperlink" Target="https://www.youtube.com/watch?v=0oN0sinncvY" TargetMode="External"/><Relationship Id="rId748" Type="http://schemas.openxmlformats.org/officeDocument/2006/relationships/hyperlink" Target="https://www.youtube.com/watch?v=OIB8U3bgicc" TargetMode="External"/><Relationship Id="rId955" Type="http://schemas.openxmlformats.org/officeDocument/2006/relationships/hyperlink" Target="https://www.youtube.com/watch?v=BvRe5YpoFHA" TargetMode="External"/><Relationship Id="rId1140" Type="http://schemas.openxmlformats.org/officeDocument/2006/relationships/hyperlink" Target="https://www.youtube.com/watch?v=gCqcDUT8b8k" TargetMode="External"/><Relationship Id="rId1378" Type="http://schemas.openxmlformats.org/officeDocument/2006/relationships/hyperlink" Target="https://www.youtube.com/watch?v=om6PBxqY2TM" TargetMode="External"/><Relationship Id="rId1585" Type="http://schemas.openxmlformats.org/officeDocument/2006/relationships/hyperlink" Target="https://www.youtube.com/watch?v=YdB1e5Uc9Yw" TargetMode="External"/><Relationship Id="rId1792" Type="http://schemas.openxmlformats.org/officeDocument/2006/relationships/hyperlink" Target="https://www.mercaba.org/Musica/Carmelo%20Erdozain/Preparad%20los%20Caminos/05%20y%20vendra.mp3" TargetMode="External"/><Relationship Id="rId84" Type="http://schemas.openxmlformats.org/officeDocument/2006/relationships/hyperlink" Target="https://www.youtube.com/watch?v=jrrbKXQPvog" TargetMode="External"/><Relationship Id="rId510" Type="http://schemas.openxmlformats.org/officeDocument/2006/relationships/hyperlink" Target="https://www.maristes.cat/sites/default/files/content/nodes/recurs/file/8969/1nacidosdemujer.mp3" TargetMode="External"/><Relationship Id="rId608" Type="http://schemas.openxmlformats.org/officeDocument/2006/relationships/hyperlink" Target="https://www.maristes.cat/sites/default/files/content/nodes/recurs/file/8768/6ensenanosaorar.mp3" TargetMode="External"/><Relationship Id="rId815" Type="http://schemas.openxmlformats.org/officeDocument/2006/relationships/hyperlink" Target="https://www.youtube.com/watch?v=K4YaOuSipq0" TargetMode="External"/><Relationship Id="rId1238" Type="http://schemas.openxmlformats.org/officeDocument/2006/relationships/hyperlink" Target="https://www.mercaba.org/Musica/Cesareo%20Gabarain/Bendito%20eres%20Se%C3%B1or/03%20-%20Tuve%20Hambre%20Y%20Me%20Diste%20De%20Comer.mp3" TargetMode="External"/><Relationship Id="rId1445" Type="http://schemas.openxmlformats.org/officeDocument/2006/relationships/hyperlink" Target="https://www.mercaba.org/Musica/Cesareo%20Gabarain/Cantos%20de%20Entrada%20y%20Comunion/02%20-%20Adviento%20(Canto%20de%20comuni%C3%B3n).mp3" TargetMode="External"/><Relationship Id="rId1652" Type="http://schemas.openxmlformats.org/officeDocument/2006/relationships/hyperlink" Target="https://www.mercaba.org/Musica/Adviento%20y%20Navidad/Adviento%20Maria%20y%20Navidad/caminando%20desde%20oriente.mp3" TargetMode="External"/><Relationship Id="rId1000" Type="http://schemas.openxmlformats.org/officeDocument/2006/relationships/hyperlink" Target="https://www.youtube.com/watch?v=jzE9G65V3uM" TargetMode="External"/><Relationship Id="rId1305" Type="http://schemas.openxmlformats.org/officeDocument/2006/relationships/hyperlink" Target="https://www.youtube.com/watch?v=IZtUcnJqAJc" TargetMode="External"/><Relationship Id="rId1512" Type="http://schemas.openxmlformats.org/officeDocument/2006/relationships/hyperlink" Target="https://www.youtube.com/watch?v=6cZg1YXWugU" TargetMode="External"/><Relationship Id="rId1817" Type="http://schemas.openxmlformats.org/officeDocument/2006/relationships/hyperlink" Target="https://www.youtube.com/watch?v=lY93nyzGnKQ" TargetMode="External"/><Relationship Id="rId11" Type="http://schemas.openxmlformats.org/officeDocument/2006/relationships/hyperlink" Target="https://www.youtube.com/watch?v=KmGoGRjkxOA" TargetMode="External"/><Relationship Id="rId398" Type="http://schemas.openxmlformats.org/officeDocument/2006/relationships/hyperlink" Target="https://www.maristes.cat/sites/default/files/content/nodes/recurs/file/9026/04-somosiglesia.mp3" TargetMode="External"/><Relationship Id="rId160" Type="http://schemas.openxmlformats.org/officeDocument/2006/relationships/hyperlink" Target="https://www.youtube.com/watch?v=Lj1cU_i2o8s" TargetMode="External"/><Relationship Id="rId258" Type="http://schemas.openxmlformats.org/officeDocument/2006/relationships/hyperlink" Target="https://www.youtube.com/watch?v=OmPfplp3eK8" TargetMode="External"/><Relationship Id="rId465" Type="http://schemas.openxmlformats.org/officeDocument/2006/relationships/hyperlink" Target="https://www.maristes.cat/sites/default/files/content/nodes/recurs/file/8719/6himnoadios.mp3" TargetMode="External"/><Relationship Id="rId672" Type="http://schemas.openxmlformats.org/officeDocument/2006/relationships/hyperlink" Target="https://www.youtube.com/watch?v=a1pKpLrHYkE" TargetMode="External"/><Relationship Id="rId1095" Type="http://schemas.openxmlformats.org/officeDocument/2006/relationships/hyperlink" Target="https://www.youtube.com/watch?v=3mX_KXHG654" TargetMode="External"/><Relationship Id="rId118" Type="http://schemas.openxmlformats.org/officeDocument/2006/relationships/hyperlink" Target="https://www.youtube.com/watch?v=CO-z-vko0Zs" TargetMode="External"/><Relationship Id="rId325" Type="http://schemas.openxmlformats.org/officeDocument/2006/relationships/hyperlink" Target="https://www.youtube.com/watch?v=cv2C78mBKAw" TargetMode="External"/><Relationship Id="rId532" Type="http://schemas.openxmlformats.org/officeDocument/2006/relationships/hyperlink" Target="https://www.maristes.cat/sites/default/files/content/nodes/recurs/file/8994/kairoi-profetadelafamilia-09-familias.mp3" TargetMode="External"/><Relationship Id="rId977" Type="http://schemas.openxmlformats.org/officeDocument/2006/relationships/hyperlink" Target="https://open.spotify.com/intl-es/track/1F0uLNlzSh6sN3COwrprqD?si=c753a1de92464054" TargetMode="External"/><Relationship Id="rId1162" Type="http://schemas.openxmlformats.org/officeDocument/2006/relationships/hyperlink" Target="https://www.youtube.com/watch?v=-tztpCSrBUE" TargetMode="External"/><Relationship Id="rId171" Type="http://schemas.openxmlformats.org/officeDocument/2006/relationships/hyperlink" Target="https://www.youtube.com/watch?v=dfTY2mvKbVI" TargetMode="External"/><Relationship Id="rId837" Type="http://schemas.openxmlformats.org/officeDocument/2006/relationships/hyperlink" Target="https://www.youtube.com/watch?v=usvRwJjwrlE" TargetMode="External"/><Relationship Id="rId1022" Type="http://schemas.openxmlformats.org/officeDocument/2006/relationships/hyperlink" Target="https://www.youtube.com/watch?v=F2hAv7cSEf4" TargetMode="External"/><Relationship Id="rId1467" Type="http://schemas.openxmlformats.org/officeDocument/2006/relationships/hyperlink" Target="https://www.mercaba.org/Musica/Cesareo%20Gabarain/Lampara%20de%20Barro/03%20buen%20pastor.mp3" TargetMode="External"/><Relationship Id="rId1674" Type="http://schemas.openxmlformats.org/officeDocument/2006/relationships/hyperlink" Target="https://www.mercaba.org/Musica/Carmelo%20Erdozain/24%20cantos%20de%20adviento%20y%20navidad,%20carmelo%20erdozain/15%20yo%20soy%20un%20pastorcito.mp3" TargetMode="External"/><Relationship Id="rId269" Type="http://schemas.openxmlformats.org/officeDocument/2006/relationships/hyperlink" Target="https://www.youtube.com/watch?v=dQyZXkA83hA" TargetMode="External"/><Relationship Id="rId476" Type="http://schemas.openxmlformats.org/officeDocument/2006/relationships/hyperlink" Target="https://www.maristes.cat/sites/default/files/content/nodes/recurs/file/9159/09somos.wav" TargetMode="External"/><Relationship Id="rId683" Type="http://schemas.openxmlformats.org/officeDocument/2006/relationships/hyperlink" Target="https://www.youtube.com/watch?v=mwRMT2_pi9c" TargetMode="External"/><Relationship Id="rId890" Type="http://schemas.openxmlformats.org/officeDocument/2006/relationships/hyperlink" Target="https://www.youtube.com/watch?v=c03aq5W2RIo" TargetMode="External"/><Relationship Id="rId904" Type="http://schemas.openxmlformats.org/officeDocument/2006/relationships/hyperlink" Target="https://www.youtube.com/watch?v=_zel1ySV9Lg" TargetMode="External"/><Relationship Id="rId1327" Type="http://schemas.openxmlformats.org/officeDocument/2006/relationships/hyperlink" Target="https://www.youtube.com/watch?v=qwqrACsNb-M" TargetMode="External"/><Relationship Id="rId1534" Type="http://schemas.openxmlformats.org/officeDocument/2006/relationships/hyperlink" Target="https://www.youtube.com/watch?v=qWxGT7TUZ5g" TargetMode="External"/><Relationship Id="rId1741" Type="http://schemas.openxmlformats.org/officeDocument/2006/relationships/hyperlink" Target="https://www.mercaba.org/Musica/Carmelo%20Erdozain/Mesias%20de%20Liberacion/9%20resucito%20aleluya.mp3" TargetMode="External"/><Relationship Id="rId33" Type="http://schemas.openxmlformats.org/officeDocument/2006/relationships/hyperlink" Target="https://www.youtube.com/watch?v=bpvx3uFc48I" TargetMode="External"/><Relationship Id="rId129" Type="http://schemas.openxmlformats.org/officeDocument/2006/relationships/hyperlink" Target="https://www.youtube.com/watch?v=nBv_jIXFtwM" TargetMode="External"/><Relationship Id="rId336" Type="http://schemas.openxmlformats.org/officeDocument/2006/relationships/hyperlink" Target="https://www.youtube.com/watch?v=Dmxva9tDmpg" TargetMode="External"/><Relationship Id="rId543" Type="http://schemas.openxmlformats.org/officeDocument/2006/relationships/hyperlink" Target="https://www.maristes.cat/sites/default/files/content/nodes/recurs/file/8846/10senordelahistoria.mp3" TargetMode="External"/><Relationship Id="rId988" Type="http://schemas.openxmlformats.org/officeDocument/2006/relationships/hyperlink" Target="https://open.spotify.com/intl-es/track/5sBvTtLJDKXUF0KadT1rKd?si=90aa0d87eb7d4492" TargetMode="External"/><Relationship Id="rId1173" Type="http://schemas.openxmlformats.org/officeDocument/2006/relationships/hyperlink" Target="https://www.youtube.com/watch?v=X45U3_mdzyU" TargetMode="External"/><Relationship Id="rId1380" Type="http://schemas.openxmlformats.org/officeDocument/2006/relationships/hyperlink" Target="https://www.youtube.com/watch?v=RD5-MWLaeWo" TargetMode="External"/><Relationship Id="rId1601" Type="http://schemas.openxmlformats.org/officeDocument/2006/relationships/hyperlink" Target="https://www.youtube.com/watch?v=ZHqiASVzwpg" TargetMode="External"/><Relationship Id="rId182" Type="http://schemas.openxmlformats.org/officeDocument/2006/relationships/hyperlink" Target="https://www.youtube.com/watch?v=9MdsXtTJ_zk" TargetMode="External"/><Relationship Id="rId403" Type="http://schemas.openxmlformats.org/officeDocument/2006/relationships/hyperlink" Target="https://www.maristes.cat/sites/default/files/content/nodes/recurs/file/9031/09-marcelino.mp3" TargetMode="External"/><Relationship Id="rId750" Type="http://schemas.openxmlformats.org/officeDocument/2006/relationships/hyperlink" Target="https://www.youtube.com/watch?v=qHxe8u2cwfM" TargetMode="External"/><Relationship Id="rId848" Type="http://schemas.openxmlformats.org/officeDocument/2006/relationships/hyperlink" Target="https://www.youtube.com/watch?v=vlYClW8-1Bk" TargetMode="External"/><Relationship Id="rId1033" Type="http://schemas.openxmlformats.org/officeDocument/2006/relationships/hyperlink" Target="https://www.youtube.com/watch?v=omOmEEMbohE" TargetMode="External"/><Relationship Id="rId1478" Type="http://schemas.openxmlformats.org/officeDocument/2006/relationships/hyperlink" Target="https://www.youtube.com/watch?v=zYUi0gQOHRw" TargetMode="External"/><Relationship Id="rId1685" Type="http://schemas.openxmlformats.org/officeDocument/2006/relationships/hyperlink" Target="https://www.mercaba.org/Musica/Carmelo%20Erdozain/Cantos%20para%20Participar%20y%20Vivir/5%20quiera%20estar%20se&#241;or%20en%20tu%20presencia.mp3" TargetMode="External"/><Relationship Id="rId487" Type="http://schemas.openxmlformats.org/officeDocument/2006/relationships/hyperlink" Target="https://www.maristes.cat/sites/default/files/content/nodes/recurs/file/8740/2tuestascerca.mp3" TargetMode="External"/><Relationship Id="rId610" Type="http://schemas.openxmlformats.org/officeDocument/2006/relationships/hyperlink" Target="https://www.maristes.cat/sites/default/files/content/nodes/recurs/file/8770/8esperandoconmaria.mp3" TargetMode="External"/><Relationship Id="rId694" Type="http://schemas.openxmlformats.org/officeDocument/2006/relationships/hyperlink" Target="https://www.youtube.com/watch?v=RvZpVRLfAbc" TargetMode="External"/><Relationship Id="rId708" Type="http://schemas.openxmlformats.org/officeDocument/2006/relationships/hyperlink" Target="https://www.youtube.com/watch?v=hpmGy83z4nc" TargetMode="External"/><Relationship Id="rId915" Type="http://schemas.openxmlformats.org/officeDocument/2006/relationships/hyperlink" Target="https://www.youtube.com/watch?v=R-hUB2gpn2Y" TargetMode="External"/><Relationship Id="rId1240" Type="http://schemas.openxmlformats.org/officeDocument/2006/relationships/hyperlink" Target="https://www.mercaba.org/Musica/Cesareo%20Gabarain/Bendito%20eres%20Se%C3%B1or/05%20-%20Cantando%20De%20Alegria.mp3" TargetMode="External"/><Relationship Id="rId1338" Type="http://schemas.openxmlformats.org/officeDocument/2006/relationships/hyperlink" Target="https://www.youtube.com/watch?v=_f8G4_-D0No" TargetMode="External"/><Relationship Id="rId1545" Type="http://schemas.openxmlformats.org/officeDocument/2006/relationships/hyperlink" Target="https://www.mercaba.org/Musica/Ricardo%20cantalapiedra/El%20Profeta/07%20equivocos.mp3" TargetMode="External"/><Relationship Id="rId347" Type="http://schemas.openxmlformats.org/officeDocument/2006/relationships/hyperlink" Target="https://www.youtube.com/watch?v=4A1EN1KgTfE" TargetMode="External"/><Relationship Id="rId999" Type="http://schemas.openxmlformats.org/officeDocument/2006/relationships/hyperlink" Target="https://open.spotify.com/intl-es/track/3qyzsR8y6ZqP1iRwxP5vpB?si=f88ceaba5dc447e9" TargetMode="External"/><Relationship Id="rId1100" Type="http://schemas.openxmlformats.org/officeDocument/2006/relationships/hyperlink" Target="https://www.youtube.com/watch?v=0jA_HUMcsu0" TargetMode="External"/><Relationship Id="rId1184" Type="http://schemas.openxmlformats.org/officeDocument/2006/relationships/hyperlink" Target="https://www.mercaba.org/Musica/Cesareo%20Gabarain/Liturgia%20y%20Cancion/01%20esperando.mp3" TargetMode="External"/><Relationship Id="rId1405" Type="http://schemas.openxmlformats.org/officeDocument/2006/relationships/hyperlink" Target="https://www.youtube.com/watch?v=8FOpXZruF1Y" TargetMode="External"/><Relationship Id="rId1752" Type="http://schemas.openxmlformats.org/officeDocument/2006/relationships/hyperlink" Target="https://www.mercaba.org/Musica/Carmelo%20Erdozain/Preparad%20los%20Caminos/1%20vamos%20a%20preparar%20el%20camino.mp3" TargetMode="External"/><Relationship Id="rId44" Type="http://schemas.openxmlformats.org/officeDocument/2006/relationships/hyperlink" Target="https://www.youtube.com/watch?v=MhwXqKZmy3Y" TargetMode="External"/><Relationship Id="rId554" Type="http://schemas.openxmlformats.org/officeDocument/2006/relationships/hyperlink" Target="https://www.maristes.cat/sites/default/files/content/nodes/recurs/file/8886/9delodebilsacafuerzasdios.mp3" TargetMode="External"/><Relationship Id="rId761" Type="http://schemas.openxmlformats.org/officeDocument/2006/relationships/hyperlink" Target="https://www.youtube.com/watch?v=hNoOoCllCFQ" TargetMode="External"/><Relationship Id="rId859" Type="http://schemas.openxmlformats.org/officeDocument/2006/relationships/hyperlink" Target="https://www.youtube.com/watch?v=oRmnNpXBFdw" TargetMode="External"/><Relationship Id="rId1391" Type="http://schemas.openxmlformats.org/officeDocument/2006/relationships/hyperlink" Target="https://www.youtube.com/watch?v=oThGW093mP8" TargetMode="External"/><Relationship Id="rId1489" Type="http://schemas.openxmlformats.org/officeDocument/2006/relationships/hyperlink" Target="https://www.youtube.com/watch?v=JjKtFFNaSyc" TargetMode="External"/><Relationship Id="rId1612" Type="http://schemas.openxmlformats.org/officeDocument/2006/relationships/hyperlink" Target="https://open.spotify.com/intl-es/track/37yaNhjAx3aZ8ocdAdRoLQ?si=4ea8f1a9ca294372" TargetMode="External"/><Relationship Id="rId1696" Type="http://schemas.openxmlformats.org/officeDocument/2006/relationships/hyperlink" Target="https://www.mercaba.org/Musica/Carmelo%20Erdozain/Cantos%20para%20una%20Comunidad%20Evangelizadora/5%20por%20el%20valle%20de%20mis%20padres.mp3" TargetMode="External"/><Relationship Id="rId193" Type="http://schemas.openxmlformats.org/officeDocument/2006/relationships/hyperlink" Target="https://www.youtube.com/watch?v=3MOtSAJWRCQ" TargetMode="External"/><Relationship Id="rId207" Type="http://schemas.openxmlformats.org/officeDocument/2006/relationships/hyperlink" Target="https://www.youtube.com/watch?v=HaldyC43baY" TargetMode="External"/><Relationship Id="rId414" Type="http://schemas.openxmlformats.org/officeDocument/2006/relationships/hyperlink" Target="https://www.maristes.cat/sites/default/files/content/nodes/recurs/file/9018/9unaiglesiadeexcluidos.mp3" TargetMode="External"/><Relationship Id="rId498" Type="http://schemas.openxmlformats.org/officeDocument/2006/relationships/hyperlink" Target="https://www.maristes.cat/sites/default/files/content/nodes/recurs/file/8902/2latinoamerica.mp3" TargetMode="External"/><Relationship Id="rId621" Type="http://schemas.openxmlformats.org/officeDocument/2006/relationships/hyperlink" Target="https://www.youtube.com/watch?v=dTv5uI_DRFo" TargetMode="External"/><Relationship Id="rId1044" Type="http://schemas.openxmlformats.org/officeDocument/2006/relationships/hyperlink" Target="https://www.youtube.com/watch?v=E3yopgS8Y40" TargetMode="External"/><Relationship Id="rId1251" Type="http://schemas.openxmlformats.org/officeDocument/2006/relationships/hyperlink" Target="https://www.mercaba.org/Musica/Cesareo%20Gabarain/Cantando%20Venimos/06%20-%20Como%20cantan%20los%20p%C3%A1jaros.mp3" TargetMode="External"/><Relationship Id="rId1349" Type="http://schemas.openxmlformats.org/officeDocument/2006/relationships/hyperlink" Target="https://www.youtube.com/watch?v=ptD76TSHP_w" TargetMode="External"/><Relationship Id="rId260" Type="http://schemas.openxmlformats.org/officeDocument/2006/relationships/hyperlink" Target="https://www.youtube.com/watch?v=zz6H2x8Up4U" TargetMode="External"/><Relationship Id="rId719" Type="http://schemas.openxmlformats.org/officeDocument/2006/relationships/hyperlink" Target="https://www.youtube.com/watch?v=V-pZp2OQm_0" TargetMode="External"/><Relationship Id="rId926" Type="http://schemas.openxmlformats.org/officeDocument/2006/relationships/hyperlink" Target="https://www.youtube.com/watch?v=lHbYTiVYUoE" TargetMode="External"/><Relationship Id="rId1111" Type="http://schemas.openxmlformats.org/officeDocument/2006/relationships/hyperlink" Target="https://www.youtube.com/watch?v=avWWebsy_fg" TargetMode="External"/><Relationship Id="rId1556" Type="http://schemas.openxmlformats.org/officeDocument/2006/relationships/hyperlink" Target="https://www.mercaba.org/Musica/Ricardo%20cantalapiedra/El%20Profeta/11%20la%20casa%20de%20mi%20amigo.mp3" TargetMode="External"/><Relationship Id="rId1763" Type="http://schemas.openxmlformats.org/officeDocument/2006/relationships/hyperlink" Target="https://www.mercaba.org/Musica/Carmelo%20Erdozain/Ven%20y%20Sigueme/5%20dichosos%20son%20sobre%20los%20montes.mp3" TargetMode="External"/><Relationship Id="rId55" Type="http://schemas.openxmlformats.org/officeDocument/2006/relationships/hyperlink" Target="https://www.youtube.com/watch?v=c23MnojHuak" TargetMode="External"/><Relationship Id="rId120" Type="http://schemas.openxmlformats.org/officeDocument/2006/relationships/hyperlink" Target="https://www.youtube.com/watch?v=isdWzLdAT4k" TargetMode="External"/><Relationship Id="rId358" Type="http://schemas.openxmlformats.org/officeDocument/2006/relationships/hyperlink" Target="https://www.maristes.cat/sites/default/files/content/nodes/recurs/file/9465/trackno11.mp3" TargetMode="External"/><Relationship Id="rId565" Type="http://schemas.openxmlformats.org/officeDocument/2006/relationships/hyperlink" Target="https://www.maristes.cat/sites/default/files/content/nodes/recurs/file/8945/10familiamarista.mp3" TargetMode="External"/><Relationship Id="rId772" Type="http://schemas.openxmlformats.org/officeDocument/2006/relationships/hyperlink" Target="https://www.youtube.com/watch?v=xetMYxSD-zI" TargetMode="External"/><Relationship Id="rId1195" Type="http://schemas.openxmlformats.org/officeDocument/2006/relationships/hyperlink" Target="https://www.mercaba.org/Musica/Cesareo%20Gabarain/La%20Misa%20es%20una%20Fiesta/02%20se%C3%B1or%20ten%20piedad.mp3" TargetMode="External"/><Relationship Id="rId1209" Type="http://schemas.openxmlformats.org/officeDocument/2006/relationships/hyperlink" Target="https://www.mercaba.org/Musica/Cesareo%20Gabarain/aclamaciones%20para%20la%20celebracion,%20gabarain%20(m)/07%20salmo%20responsorial%20pentecostes.mp3" TargetMode="External"/><Relationship Id="rId1416" Type="http://schemas.openxmlformats.org/officeDocument/2006/relationships/hyperlink" Target="https://www.youtube.com/watch?v=ly6Ie6m8ihU" TargetMode="External"/><Relationship Id="rId1623" Type="http://schemas.openxmlformats.org/officeDocument/2006/relationships/hyperlink" Target="https://www.mercaba.org/Musica/Carmelo%20Erdozain/12%20canciones%20religiosas%20y%20liturgicas,%20carmelo%20erdozain/06%20aleluya,%20aleluya.mp3" TargetMode="External"/><Relationship Id="rId218" Type="http://schemas.openxmlformats.org/officeDocument/2006/relationships/hyperlink" Target="https://www.youtube.com/watch?v=veJKN_Na9hA" TargetMode="External"/><Relationship Id="rId425" Type="http://schemas.openxmlformats.org/officeDocument/2006/relationships/hyperlink" Target="https://www.maristes.cat/sites/default/files/content/nodes/recurs/file/8932/trackno08.mp3" TargetMode="External"/><Relationship Id="rId632" Type="http://schemas.openxmlformats.org/officeDocument/2006/relationships/hyperlink" Target="https://www.youtube.com/watch?v=x-gJK52EB4c" TargetMode="External"/><Relationship Id="rId1055" Type="http://schemas.openxmlformats.org/officeDocument/2006/relationships/hyperlink" Target="https://www.youtube.com/watch?v=A9XrlEGNcBY" TargetMode="External"/><Relationship Id="rId1262" Type="http://schemas.openxmlformats.org/officeDocument/2006/relationships/hyperlink" Target="https://www.mercaba.org/Musica/Cesareo%20Gabarain/Catequesis%20y%20Cancion/11%20se%20muy%20bien.mp3" TargetMode="External"/><Relationship Id="rId271" Type="http://schemas.openxmlformats.org/officeDocument/2006/relationships/hyperlink" Target="https://www.youtube.com/watch?v=qk78HdSDSXI" TargetMode="External"/><Relationship Id="rId937" Type="http://schemas.openxmlformats.org/officeDocument/2006/relationships/hyperlink" Target="https://www.youtube.com/watch?v=GzwGjB13QyQ" TargetMode="External"/><Relationship Id="rId1122" Type="http://schemas.openxmlformats.org/officeDocument/2006/relationships/hyperlink" Target="https://www.youtube.com/watch?v=hJv-oTKFA7o" TargetMode="External"/><Relationship Id="rId1567" Type="http://schemas.openxmlformats.org/officeDocument/2006/relationships/hyperlink" Target="https://www.youtube.com/watch?v=UGyCl72CKNE" TargetMode="External"/><Relationship Id="rId1774" Type="http://schemas.openxmlformats.org/officeDocument/2006/relationships/hyperlink" Target="https://www.youtube.com/watch?v=m0rBVM4gFYs" TargetMode="External"/><Relationship Id="rId66" Type="http://schemas.openxmlformats.org/officeDocument/2006/relationships/hyperlink" Target="https://www.youtube.com/watch?v=4ufvex3-i34" TargetMode="External"/><Relationship Id="rId131" Type="http://schemas.openxmlformats.org/officeDocument/2006/relationships/hyperlink" Target="https://www.youtube.com/watch?v=nnPcZUPs2Vo" TargetMode="External"/><Relationship Id="rId369" Type="http://schemas.openxmlformats.org/officeDocument/2006/relationships/hyperlink" Target="https://www.maristes.cat/sites/default/files/content/nodes/recurs/file/8681/9atuladosenor.mp3" TargetMode="External"/><Relationship Id="rId576" Type="http://schemas.openxmlformats.org/officeDocument/2006/relationships/hyperlink" Target="https://www.maristes.cat/sites/default/files/content/nodes/recurs/file/8734/08solotrabajar.mp3" TargetMode="External"/><Relationship Id="rId783" Type="http://schemas.openxmlformats.org/officeDocument/2006/relationships/hyperlink" Target="https://www.youtube.com/watch?v=PkqND-ZEOcI" TargetMode="External"/><Relationship Id="rId990" Type="http://schemas.openxmlformats.org/officeDocument/2006/relationships/hyperlink" Target="https://open.spotify.com/intl-es/track/3Rbt9FAwOSM7zT8gEvXDQF?si=dbac8866a77b4fe9" TargetMode="External"/><Relationship Id="rId1427" Type="http://schemas.openxmlformats.org/officeDocument/2006/relationships/hyperlink" Target="https://www.mercaba.org/Musica/Cesareo%20Gabarain/En%20Medio%20de%20la%20Noche/03%20dios%20ama%20tanto%20a%20los%20hombres.mp3" TargetMode="External"/><Relationship Id="rId1634" Type="http://schemas.openxmlformats.org/officeDocument/2006/relationships/hyperlink" Target="https://www.mercaba.org/Musica/Carmelo%20Erdozain/15%20cantos%20para%20la%20cena%20del%20se%C3%B1or,%20carmelo%20erdozain/01%20cristo%20nos%20reune%20en%20torno%20a%20su%20altar.mp3" TargetMode="External"/><Relationship Id="rId229" Type="http://schemas.openxmlformats.org/officeDocument/2006/relationships/hyperlink" Target="https://www.youtube.com/watch?v=4LK-YuZrpvM" TargetMode="External"/><Relationship Id="rId436" Type="http://schemas.openxmlformats.org/officeDocument/2006/relationships/hyperlink" Target="https://www.maristes.cat/sites/default/files/content/nodes/recurs/file/8871/6yanoquedatiempo.mp3" TargetMode="External"/><Relationship Id="rId643" Type="http://schemas.openxmlformats.org/officeDocument/2006/relationships/hyperlink" Target="https://www.youtube.com/watch?v=f3uHOfRKv0s" TargetMode="External"/><Relationship Id="rId1066" Type="http://schemas.openxmlformats.org/officeDocument/2006/relationships/hyperlink" Target="https://www.youtube.com/watch?v=Vn9ighQoo7A" TargetMode="External"/><Relationship Id="rId1273" Type="http://schemas.openxmlformats.org/officeDocument/2006/relationships/hyperlink" Target="https://www.mercaba.org/Musica/Cesareo%20Gabarain/Dios%20Hombre%20Mundo/01%20-%20Por%20el%20aire%20vuela%20el%20p%C3%A1jaro.mp3" TargetMode="External"/><Relationship Id="rId1480" Type="http://schemas.openxmlformats.org/officeDocument/2006/relationships/hyperlink" Target="https://www.youtube.com/watch?v=7QupyANOkNE" TargetMode="External"/><Relationship Id="rId850" Type="http://schemas.openxmlformats.org/officeDocument/2006/relationships/hyperlink" Target="https://www.youtube.com/watch?v=LsSmcUoZs2s" TargetMode="External"/><Relationship Id="rId948" Type="http://schemas.openxmlformats.org/officeDocument/2006/relationships/hyperlink" Target="https://www.youtube.com/watch?v=WAPNK80PuOM" TargetMode="External"/><Relationship Id="rId1133" Type="http://schemas.openxmlformats.org/officeDocument/2006/relationships/hyperlink" Target="https://www.youtube.com/watch?v=wsPIcCKJFDA" TargetMode="External"/><Relationship Id="rId1578" Type="http://schemas.openxmlformats.org/officeDocument/2006/relationships/hyperlink" Target="https://www.youtube.com/watch?v=mgqF4UOiQ5s" TargetMode="External"/><Relationship Id="rId1701" Type="http://schemas.openxmlformats.org/officeDocument/2006/relationships/hyperlink" Target="https://www.mercaba.org/Musica/Carmelo%20Erdozain/Cantos%20para%20una%20Comunidad%20Evangelizadora/10%20mas%20alla%20javier.mp3" TargetMode="External"/><Relationship Id="rId1785" Type="http://schemas.openxmlformats.org/officeDocument/2006/relationships/hyperlink" Target="https://www.youtube.com/watch?v=di1FQXWzAig" TargetMode="External"/><Relationship Id="rId77" Type="http://schemas.openxmlformats.org/officeDocument/2006/relationships/hyperlink" Target="https://www.youtube.com/watch?v=brHjDAAPABQ" TargetMode="External"/><Relationship Id="rId282" Type="http://schemas.openxmlformats.org/officeDocument/2006/relationships/hyperlink" Target="https://www.youtube.com/watch?v=v-bg5xK1fck" TargetMode="External"/><Relationship Id="rId503" Type="http://schemas.openxmlformats.org/officeDocument/2006/relationships/hyperlink" Target="https://www.maristes.cat/sites/default/files/content/nodes/recurs/file/8907/7mascercadelsol.mp3" TargetMode="External"/><Relationship Id="rId587" Type="http://schemas.openxmlformats.org/officeDocument/2006/relationships/hyperlink" Target="https://www.maristes.cat/sites/default/files/content/nodes/recurs/file/8809/7llamadevida.mp3" TargetMode="External"/><Relationship Id="rId710" Type="http://schemas.openxmlformats.org/officeDocument/2006/relationships/hyperlink" Target="https://www.youtube.com/watch?v=Q1Ze4NaD9Ew" TargetMode="External"/><Relationship Id="rId808" Type="http://schemas.openxmlformats.org/officeDocument/2006/relationships/hyperlink" Target="https://www.youtube.com/watch?v=-SxCIMC0IqM" TargetMode="External"/><Relationship Id="rId1340" Type="http://schemas.openxmlformats.org/officeDocument/2006/relationships/hyperlink" Target="https://www.youtube.com/watch?v=nxvdxT4xNuY" TargetMode="External"/><Relationship Id="rId1438" Type="http://schemas.openxmlformats.org/officeDocument/2006/relationships/hyperlink" Target="https://www.mercaba.org/Musica/Cesareo%20Gabarain/Eres%20Tu%20Maria/05%20-%20Antes%20que%20el%20mundo%20hiciera.mp3" TargetMode="External"/><Relationship Id="rId1645" Type="http://schemas.openxmlformats.org/officeDocument/2006/relationships/hyperlink" Target="https://www.mercaba.org/Musica/Carmelo%20Erdozain/15%20cantos%20para%20la%20cena%20del%20se%C3%B1or,%20carmelo%20erdozain/12%20hizo%20un%20banquete%20el%20se%C3%B1or.mp3" TargetMode="External"/><Relationship Id="rId8" Type="http://schemas.openxmlformats.org/officeDocument/2006/relationships/hyperlink" Target="https://www.youtube.com/watch?v=xwdgg6PIhyA" TargetMode="External"/><Relationship Id="rId142" Type="http://schemas.openxmlformats.org/officeDocument/2006/relationships/hyperlink" Target="https://www.youtube.com/watch?v=tmLigitmH8c" TargetMode="External"/><Relationship Id="rId447" Type="http://schemas.openxmlformats.org/officeDocument/2006/relationships/hyperlink" Target="https://www.maristes.cat/sites/default/files/content/nodes/recurs/file/8801/11somosunafamilia.mp3" TargetMode="External"/><Relationship Id="rId794" Type="http://schemas.openxmlformats.org/officeDocument/2006/relationships/hyperlink" Target="https://www.youtube.com/watch?v=ba9NpRJCfiQ" TargetMode="External"/><Relationship Id="rId1077" Type="http://schemas.openxmlformats.org/officeDocument/2006/relationships/hyperlink" Target="https://www.youtube.com/watch?v=1B4xRtUj6Vg" TargetMode="External"/><Relationship Id="rId1200" Type="http://schemas.openxmlformats.org/officeDocument/2006/relationships/hyperlink" Target="https://www.mercaba.org/Musica/Cesareo%20Gabarain/La%20Misa%20es%20una%20Fiesta/17%20yo%20confio%20en%20ti.mp3" TargetMode="External"/><Relationship Id="rId654" Type="http://schemas.openxmlformats.org/officeDocument/2006/relationships/hyperlink" Target="https://www.youtube.com/watch?v=RsEHgxg9F2s" TargetMode="External"/><Relationship Id="rId861" Type="http://schemas.openxmlformats.org/officeDocument/2006/relationships/hyperlink" Target="https://www.youtube.com/watch?v=k9niro6bf1U" TargetMode="External"/><Relationship Id="rId959" Type="http://schemas.openxmlformats.org/officeDocument/2006/relationships/hyperlink" Target="https://www.youtube.com/watch?v=Fr8u-vCj9JY" TargetMode="External"/><Relationship Id="rId1284" Type="http://schemas.openxmlformats.org/officeDocument/2006/relationships/hyperlink" Target="https://www.youtube.com/watch?v=PH2HbPv8xkY" TargetMode="External"/><Relationship Id="rId1491" Type="http://schemas.openxmlformats.org/officeDocument/2006/relationships/hyperlink" Target="https://www.youtube.com/watch?v=jtFB-kh1tRc" TargetMode="External"/><Relationship Id="rId1505" Type="http://schemas.openxmlformats.org/officeDocument/2006/relationships/hyperlink" Target="https://www.youtube.com/watch?v=gX0k1HdL4u4" TargetMode="External"/><Relationship Id="rId1589" Type="http://schemas.openxmlformats.org/officeDocument/2006/relationships/hyperlink" Target="https://www.youtube.com/watch?v=mmU59J1MAYA" TargetMode="External"/><Relationship Id="rId1712" Type="http://schemas.openxmlformats.org/officeDocument/2006/relationships/hyperlink" Target="https://www.mercaba.org/Musica/Carmelo%20Erdozain/Cerca%20esta%20el%20Se&#241;or/11%20quien%20vendra%20a%20sicar.mp3" TargetMode="External"/><Relationship Id="rId293" Type="http://schemas.openxmlformats.org/officeDocument/2006/relationships/hyperlink" Target="https://www.youtube.com/watch?v=SO6hZLuU3L0" TargetMode="External"/><Relationship Id="rId307" Type="http://schemas.openxmlformats.org/officeDocument/2006/relationships/hyperlink" Target="https://www.youtube.com/watch?v=jv8uQXzbpzg" TargetMode="External"/><Relationship Id="rId514" Type="http://schemas.openxmlformats.org/officeDocument/2006/relationships/hyperlink" Target="https://www.maristes.cat/sites/default/files/content/nodes/recurs/file/8976/5adela.mp3" TargetMode="External"/><Relationship Id="rId721" Type="http://schemas.openxmlformats.org/officeDocument/2006/relationships/hyperlink" Target="https://www.youtube.com/watch?v=vwCVe0mKdPs" TargetMode="External"/><Relationship Id="rId1144" Type="http://schemas.openxmlformats.org/officeDocument/2006/relationships/hyperlink" Target="https://www.youtube.com/watch?v=B7RjgdWWhAA" TargetMode="External"/><Relationship Id="rId1351" Type="http://schemas.openxmlformats.org/officeDocument/2006/relationships/hyperlink" Target="https://www.youtube.com/watch?v=-YWv-o1vgJ8" TargetMode="External"/><Relationship Id="rId1449" Type="http://schemas.openxmlformats.org/officeDocument/2006/relationships/hyperlink" Target="https://www.mercaba.org/Musica/Cesareo%20Gabarain/Cantos%20de%20Entrada%20y%20Comunion/05%20-%20Antes%20del%20evangelio%20(Adviento,%20Navidad,%20Cuaresma%20Pascua%20y%20Pentecost%C3%A9s).mp3" TargetMode="External"/><Relationship Id="rId1796" Type="http://schemas.openxmlformats.org/officeDocument/2006/relationships/hyperlink" Target="https://www.youtube.com/watch?v=iZrNTFD3Nlo" TargetMode="External"/><Relationship Id="rId88" Type="http://schemas.openxmlformats.org/officeDocument/2006/relationships/hyperlink" Target="https://www.youtube.com/watch?v=rbEMCHRIF08" TargetMode="External"/><Relationship Id="rId153" Type="http://schemas.openxmlformats.org/officeDocument/2006/relationships/hyperlink" Target="https://www.youtube.com/watch?v=v9YZeJ4Defo" TargetMode="External"/><Relationship Id="rId360" Type="http://schemas.openxmlformats.org/officeDocument/2006/relationships/hyperlink" Target="https://www.maristes.cat/sites/default/files/content/nodes/recurs/file/9467/trackno13.mp3" TargetMode="External"/><Relationship Id="rId598" Type="http://schemas.openxmlformats.org/officeDocument/2006/relationships/hyperlink" Target="https://www.maristes.cat/sites/default/files/content/nodes/recurs/file/8960/6alfonsahermanayamiga.mp3" TargetMode="External"/><Relationship Id="rId819" Type="http://schemas.openxmlformats.org/officeDocument/2006/relationships/hyperlink" Target="https://www.youtube.com/watch?v=oMS0EjCl_Ek" TargetMode="External"/><Relationship Id="rId1004" Type="http://schemas.openxmlformats.org/officeDocument/2006/relationships/hyperlink" Target="https://www.youtube.com/watch?v=1VO3vBJV-HU" TargetMode="External"/><Relationship Id="rId1211" Type="http://schemas.openxmlformats.org/officeDocument/2006/relationships/hyperlink" Target="https://www.mercaba.org/Musica/Cesareo%20Gabarain/aclamaciones%20para%20la%20celebracion,%20gabarain%20(m)/09%20antes%20del%20evangelio%2002.mp3" TargetMode="External"/><Relationship Id="rId1656" Type="http://schemas.openxmlformats.org/officeDocument/2006/relationships/hyperlink" Target="https://www.mercaba.org/Musica/Adviento%20y%20Navidad/Adviento%20Maria%20y%20Navidad/en%20la%20cena%20de%20la%20nochebuena.mp3" TargetMode="External"/><Relationship Id="rId220" Type="http://schemas.openxmlformats.org/officeDocument/2006/relationships/hyperlink" Target="https://www.youtube.com/watch?v=5EmiuHppx3o" TargetMode="External"/><Relationship Id="rId458" Type="http://schemas.openxmlformats.org/officeDocument/2006/relationships/hyperlink" Target="https://www.maristes.cat/sites/default/files/content/nodes/recurs/file/8864/11noesfacil.mp3" TargetMode="External"/><Relationship Id="rId665" Type="http://schemas.openxmlformats.org/officeDocument/2006/relationships/hyperlink" Target="https://www.youtube.com/watch?v=SM42dNpjzgA" TargetMode="External"/><Relationship Id="rId872" Type="http://schemas.openxmlformats.org/officeDocument/2006/relationships/hyperlink" Target="https://www.youtube.com/watch?v=RgVSWsDBee8" TargetMode="External"/><Relationship Id="rId1088" Type="http://schemas.openxmlformats.org/officeDocument/2006/relationships/hyperlink" Target="https://www.youtube.com/watch?v=ZDZDhfoSjPs" TargetMode="External"/><Relationship Id="rId1295" Type="http://schemas.openxmlformats.org/officeDocument/2006/relationships/hyperlink" Target="https://www.youtube.com/watch?v=IdvTzCgMTKc" TargetMode="External"/><Relationship Id="rId1309" Type="http://schemas.openxmlformats.org/officeDocument/2006/relationships/hyperlink" Target="https://www.youtube.com/watch?v=vTDvcmtFKRs" TargetMode="External"/><Relationship Id="rId1516" Type="http://schemas.openxmlformats.org/officeDocument/2006/relationships/hyperlink" Target="https://www.youtube.com/watch?v=zBUox1ZtGcE" TargetMode="External"/><Relationship Id="rId1723" Type="http://schemas.openxmlformats.org/officeDocument/2006/relationships/hyperlink" Target="https://www.mercaba.org/Musica/Carmelo%20Erdozain/Dios%20es%20Amor/11%20se%20levanta%20la%20ma&#241;ana.mp3" TargetMode="External"/><Relationship Id="rId15" Type="http://schemas.openxmlformats.org/officeDocument/2006/relationships/hyperlink" Target="https://www.youtube.com/watch?v=gEbtIG9EbO4" TargetMode="External"/><Relationship Id="rId318" Type="http://schemas.openxmlformats.org/officeDocument/2006/relationships/hyperlink" Target="https://www.youtube.com/watch?v=R9tKPYBWdhg" TargetMode="External"/><Relationship Id="rId525" Type="http://schemas.openxmlformats.org/officeDocument/2006/relationships/hyperlink" Target="https://www.maristes.cat/sites/default/files/content/nodes/recurs/file/8987/kairoi-profetadelafamilia-02-profetadelafamilia.mp3" TargetMode="External"/><Relationship Id="rId732" Type="http://schemas.openxmlformats.org/officeDocument/2006/relationships/hyperlink" Target="https://www.youtube.com/watch?v=r22uqhWdgOM" TargetMode="External"/><Relationship Id="rId1155" Type="http://schemas.openxmlformats.org/officeDocument/2006/relationships/hyperlink" Target="https://www.youtube.com/watch?v=ytapsgp6tEY" TargetMode="External"/><Relationship Id="rId1362" Type="http://schemas.openxmlformats.org/officeDocument/2006/relationships/hyperlink" Target="https://www.youtube.com/watch?v=dAeqG_XtJRU" TargetMode="External"/><Relationship Id="rId99" Type="http://schemas.openxmlformats.org/officeDocument/2006/relationships/hyperlink" Target="https://www.youtube.com/watch?v=i75ZJtVbHMU" TargetMode="External"/><Relationship Id="rId164" Type="http://schemas.openxmlformats.org/officeDocument/2006/relationships/hyperlink" Target="https://www.youtube.com/watch?v=syoA7IB505E" TargetMode="External"/><Relationship Id="rId371" Type="http://schemas.openxmlformats.org/officeDocument/2006/relationships/hyperlink" Target="https://www.maristes.cat/sites/default/files/content/nodes/recurs/file/8683/11tujesus.mp3" TargetMode="External"/><Relationship Id="rId1015" Type="http://schemas.openxmlformats.org/officeDocument/2006/relationships/hyperlink" Target="https://www.youtube.com/watch?v=8sutqVrdbHE" TargetMode="External"/><Relationship Id="rId1222" Type="http://schemas.openxmlformats.org/officeDocument/2006/relationships/hyperlink" Target="https://www.mercaba.org/Musica/Cesareo%20Gabarain/aclamaciones%20para%20la%20celebracion,%20gabarain%20(m)/20%20aclamacion%20pascua.mp3" TargetMode="External"/><Relationship Id="rId1667" Type="http://schemas.openxmlformats.org/officeDocument/2006/relationships/hyperlink" Target="https://www.mercaba.org/Musica/Adviento%20y%20Navidad/Adviento%20Maria%20y%20Navidad/yo%20soy%20un%20pastorcillo.mp3" TargetMode="External"/><Relationship Id="rId469" Type="http://schemas.openxmlformats.org/officeDocument/2006/relationships/hyperlink" Target="https://www.maristes.cat/sites/default/files/content/nodes/recurs/file/8723/10tumesondeas.mp3" TargetMode="External"/><Relationship Id="rId676" Type="http://schemas.openxmlformats.org/officeDocument/2006/relationships/hyperlink" Target="https://www.youtube.com/watch?v=ri2lolcTu2c" TargetMode="External"/><Relationship Id="rId883" Type="http://schemas.openxmlformats.org/officeDocument/2006/relationships/hyperlink" Target="https://www.youtube.com/watch?v=n8Lxe3tdS88" TargetMode="External"/><Relationship Id="rId1099" Type="http://schemas.openxmlformats.org/officeDocument/2006/relationships/hyperlink" Target="https://www.youtube.com/watch?v=TlP4FNMFlrU" TargetMode="External"/><Relationship Id="rId1527" Type="http://schemas.openxmlformats.org/officeDocument/2006/relationships/hyperlink" Target="https://www.youtube.com/watch?v=jKZ0J65M5FY" TargetMode="External"/><Relationship Id="rId1734" Type="http://schemas.openxmlformats.org/officeDocument/2006/relationships/hyperlink" Target="https://www.mercaba.org/Musica/Carmelo%20Erdozain/Mesias%20de%20Liberacion/2%20en%20el%20silencio%20de%20un%20portal.mp3" TargetMode="External"/><Relationship Id="rId26" Type="http://schemas.openxmlformats.org/officeDocument/2006/relationships/hyperlink" Target="https://www.youtube.com/watch?v=oJ8DIOKwxhU" TargetMode="External"/><Relationship Id="rId231" Type="http://schemas.openxmlformats.org/officeDocument/2006/relationships/hyperlink" Target="https://www.youtube.com/watch?v=VZaTnm-0NEk" TargetMode="External"/><Relationship Id="rId329" Type="http://schemas.openxmlformats.org/officeDocument/2006/relationships/hyperlink" Target="https://www.youtube.com/watch?v=uWKLF2cLJxs" TargetMode="External"/><Relationship Id="rId536" Type="http://schemas.openxmlformats.org/officeDocument/2006/relationships/hyperlink" Target="https://www.maristes.cat/sites/default/files/content/nodes/recurs/file/8836/3cristo.mp3" TargetMode="External"/><Relationship Id="rId1166" Type="http://schemas.openxmlformats.org/officeDocument/2006/relationships/hyperlink" Target="https://www.youtube.com/watch?v=vlVkqSIh1Dc" TargetMode="External"/><Relationship Id="rId1373" Type="http://schemas.openxmlformats.org/officeDocument/2006/relationships/hyperlink" Target="https://www.youtube.com/watch?v=0rJCf81Z2Ew" TargetMode="External"/><Relationship Id="rId175" Type="http://schemas.openxmlformats.org/officeDocument/2006/relationships/hyperlink" Target="https://www.youtube.com/watch?v=QWTEC0j2zlc" TargetMode="External"/><Relationship Id="rId743" Type="http://schemas.openxmlformats.org/officeDocument/2006/relationships/hyperlink" Target="https://www.youtube.com/watch?v=hWzXJz98vII" TargetMode="External"/><Relationship Id="rId950" Type="http://schemas.openxmlformats.org/officeDocument/2006/relationships/hyperlink" Target="https://www.youtube.com/watch?v=-y5MDGjleA4" TargetMode="External"/><Relationship Id="rId1026" Type="http://schemas.openxmlformats.org/officeDocument/2006/relationships/hyperlink" Target="https://www.youtube.com/watch?v=UAUvFhJqWLM" TargetMode="External"/><Relationship Id="rId1580" Type="http://schemas.openxmlformats.org/officeDocument/2006/relationships/hyperlink" Target="https://www.youtube.com/watch?v=xOPhxWQmOgY" TargetMode="External"/><Relationship Id="rId1678" Type="http://schemas.openxmlformats.org/officeDocument/2006/relationships/hyperlink" Target="https://www.mercaba.org/Musica/Carmelo%20Erdozain/24%20cantos%20de%20adviento%20y%20navidad,%20carmelo%20erdozain/20%20oh%20ni&#241;o%20divino.mp3" TargetMode="External"/><Relationship Id="rId1801" Type="http://schemas.openxmlformats.org/officeDocument/2006/relationships/hyperlink" Target="https://www.youtube.com/watch?v=UKj4QqCQUss" TargetMode="External"/><Relationship Id="rId382" Type="http://schemas.openxmlformats.org/officeDocument/2006/relationships/hyperlink" Target="https://www.maristes.cat/sites/default/files/content/nodes/recurs/file/8785/10kikiki.mp3" TargetMode="External"/><Relationship Id="rId603" Type="http://schemas.openxmlformats.org/officeDocument/2006/relationships/hyperlink" Target="https://www.maristes.cat/sites/default/files/content/nodes/recurs/file/8763/1pazenlatierra.mp3" TargetMode="External"/><Relationship Id="rId687" Type="http://schemas.openxmlformats.org/officeDocument/2006/relationships/hyperlink" Target="https://www.youtube.com/watch?v=EXYVDjJ8ynY" TargetMode="External"/><Relationship Id="rId810" Type="http://schemas.openxmlformats.org/officeDocument/2006/relationships/hyperlink" Target="https://www.youtube.com/watch?v=gXdX0VFYsdE" TargetMode="External"/><Relationship Id="rId908" Type="http://schemas.openxmlformats.org/officeDocument/2006/relationships/hyperlink" Target="https://www.youtube.com/watch?v=HJ_OZQ80CS0" TargetMode="External"/><Relationship Id="rId1233" Type="http://schemas.openxmlformats.org/officeDocument/2006/relationships/hyperlink" Target="https://www.mercaba.org/Musica/Cesareo%20Gabarain/Al%20Atardecer%20de%20la%20Vida/11%20-%20Letan%C3%ADa%20por%20el%20difunto.mp3" TargetMode="External"/><Relationship Id="rId1440" Type="http://schemas.openxmlformats.org/officeDocument/2006/relationships/hyperlink" Target="https://www.mercaba.org/Musica/Cesareo%20Gabarain/Eres%20Tu%20Maria/07%20-%20Muy%20de%20ma%C3%B1ana.mp3" TargetMode="External"/><Relationship Id="rId1538" Type="http://schemas.openxmlformats.org/officeDocument/2006/relationships/hyperlink" Target="https://www.mercaba.org/Musica/Ricardo%20cantalapiedra/Canciones%20de%20Ricardo%20C/10%20gritare.mp3" TargetMode="External"/><Relationship Id="rId242" Type="http://schemas.openxmlformats.org/officeDocument/2006/relationships/hyperlink" Target="https://www.youtube.com/watch?v=yrAt-NbhINY" TargetMode="External"/><Relationship Id="rId894" Type="http://schemas.openxmlformats.org/officeDocument/2006/relationships/hyperlink" Target="https://www.youtube.com/watch?v=cpsPNa8mB14" TargetMode="External"/><Relationship Id="rId1177" Type="http://schemas.openxmlformats.org/officeDocument/2006/relationships/hyperlink" Target="https://www.mercaba.org/Musica/Cesareo%20Gabarain/Dios%20con%20Nosotros/07%20-%20Si%20vienes%20conmigo.mp3" TargetMode="External"/><Relationship Id="rId1300" Type="http://schemas.openxmlformats.org/officeDocument/2006/relationships/hyperlink" Target="https://www.youtube.com/watch?v=J6tEJUJRGY0" TargetMode="External"/><Relationship Id="rId1745" Type="http://schemas.openxmlformats.org/officeDocument/2006/relationships/hyperlink" Target="https://www.mercaba.org/Musica/Carmelo%20Erdozain/Nuevos%20Cantos%20Para%20el%20A&#241;o%20Liturgico/2%20dios%20te%20salve%20maria.mp3" TargetMode="External"/><Relationship Id="rId37" Type="http://schemas.openxmlformats.org/officeDocument/2006/relationships/hyperlink" Target="https://www.youtube.com/watch?v=Kpyl0DDOr1M" TargetMode="External"/><Relationship Id="rId102" Type="http://schemas.openxmlformats.org/officeDocument/2006/relationships/hyperlink" Target="https://www.youtube.com/watch?v=vNXQst4FtQQ" TargetMode="External"/><Relationship Id="rId547" Type="http://schemas.openxmlformats.org/officeDocument/2006/relationships/hyperlink" Target="https://www.maristes.cat/sites/default/files/content/nodes/recurs/file/8879/2cuandolamuerte.mp3" TargetMode="External"/><Relationship Id="rId754" Type="http://schemas.openxmlformats.org/officeDocument/2006/relationships/hyperlink" Target="https://www.youtube.com/watch?v=cBSxAdMItjA" TargetMode="External"/><Relationship Id="rId961" Type="http://schemas.openxmlformats.org/officeDocument/2006/relationships/hyperlink" Target="https://www.youtube.com/watch?v=m02931E7zn4" TargetMode="External"/><Relationship Id="rId1384" Type="http://schemas.openxmlformats.org/officeDocument/2006/relationships/hyperlink" Target="https://www.youtube.com/watch?v=_Up1QGBKIlk" TargetMode="External"/><Relationship Id="rId1591" Type="http://schemas.openxmlformats.org/officeDocument/2006/relationships/hyperlink" Target="https://www.youtube.com/watch?v=TK3PX68nRwY" TargetMode="External"/><Relationship Id="rId1605" Type="http://schemas.openxmlformats.org/officeDocument/2006/relationships/hyperlink" Target="https://open.spotify.com/intl-es/track/0Yv5G7BDcctDbInEvGQTo8?si=d4506da66e1c4e72" TargetMode="External"/><Relationship Id="rId1689" Type="http://schemas.openxmlformats.org/officeDocument/2006/relationships/hyperlink" Target="https://www.mercaba.org/Musica/Carmelo%20Erdozain/Cantos%20para%20Participar%20y%20Vivir/12%20canta%20con%20jubilo.mp3" TargetMode="External"/><Relationship Id="rId1812" Type="http://schemas.openxmlformats.org/officeDocument/2006/relationships/hyperlink" Target="https://www.youtube.com/watch?v=FfwD-idNooE" TargetMode="External"/><Relationship Id="rId90" Type="http://schemas.openxmlformats.org/officeDocument/2006/relationships/hyperlink" Target="https://www.youtube.com/watch?v=yUDCiU7cpJs" TargetMode="External"/><Relationship Id="rId186" Type="http://schemas.openxmlformats.org/officeDocument/2006/relationships/hyperlink" Target="https://www.youtube.com/watch?v=9uwJOZgkAS0" TargetMode="External"/><Relationship Id="rId393" Type="http://schemas.openxmlformats.org/officeDocument/2006/relationships/hyperlink" Target="https://www.maristes.cat/sites/default/files/content/nodes/recurs/file/8922/9sonarunmundomasfeliz.mp3" TargetMode="External"/><Relationship Id="rId407" Type="http://schemas.openxmlformats.org/officeDocument/2006/relationships/hyperlink" Target="https://www.maristes.cat/sites/default/files/content/nodes/recurs/file/9010/1mundodeensueno.mp3" TargetMode="External"/><Relationship Id="rId614" Type="http://schemas.openxmlformats.org/officeDocument/2006/relationships/hyperlink" Target="https://www.maristes.cat/sites/default/files/content/nodes/recurs/file/8774/12padreperdon.mp3" TargetMode="External"/><Relationship Id="rId821" Type="http://schemas.openxmlformats.org/officeDocument/2006/relationships/hyperlink" Target="https://www.youtube.com/watch?v=kYFXO4924cU" TargetMode="External"/><Relationship Id="rId1037" Type="http://schemas.openxmlformats.org/officeDocument/2006/relationships/hyperlink" Target="https://www.youtube.com/watch?v=h2km26Tghac" TargetMode="External"/><Relationship Id="rId1244" Type="http://schemas.openxmlformats.org/officeDocument/2006/relationships/hyperlink" Target="https://www.mercaba.org/Musica/Cesareo%20Gabarain/Bendito%20eres%20Se%C3%B1or/09%20-%20Bendito%20Eres%20Se%C3%B1or.mp3" TargetMode="External"/><Relationship Id="rId1451" Type="http://schemas.openxmlformats.org/officeDocument/2006/relationships/hyperlink" Target="https://www.mercaba.org/Musica/Cesareo%20Gabarain/Cantos%20de%20Entrada%20y%20Comunion/08%20-%20Pascua%20(Canto%20de%20entrada).mp3" TargetMode="External"/><Relationship Id="rId253" Type="http://schemas.openxmlformats.org/officeDocument/2006/relationships/hyperlink" Target="https://www.youtube.com/watch?v=pt7xwqSOeD8" TargetMode="External"/><Relationship Id="rId460" Type="http://schemas.openxmlformats.org/officeDocument/2006/relationships/hyperlink" Target="https://www.maristes.cat/sites/default/files/content/nodes/recurs/file/8712/1jesusessenor.mp3" TargetMode="External"/><Relationship Id="rId698" Type="http://schemas.openxmlformats.org/officeDocument/2006/relationships/hyperlink" Target="https://www.youtube.com/watch?v=7bxo4YH1jpg" TargetMode="External"/><Relationship Id="rId919" Type="http://schemas.openxmlformats.org/officeDocument/2006/relationships/hyperlink" Target="https://www.youtube.com/watch?v=KVPpDw9q_EY" TargetMode="External"/><Relationship Id="rId1090" Type="http://schemas.openxmlformats.org/officeDocument/2006/relationships/hyperlink" Target="https://www.youtube.com/watch?v=EdObwcO2lpE" TargetMode="External"/><Relationship Id="rId1104" Type="http://schemas.openxmlformats.org/officeDocument/2006/relationships/hyperlink" Target="https://www.youtube.com/watch?v=aAvA20UfjO4" TargetMode="External"/><Relationship Id="rId1311" Type="http://schemas.openxmlformats.org/officeDocument/2006/relationships/hyperlink" Target="https://www.youtube.com/watch?v=9UFUpNZn-gA" TargetMode="External"/><Relationship Id="rId1549" Type="http://schemas.openxmlformats.org/officeDocument/2006/relationships/hyperlink" Target="https://www.mercaba.org/Musica/Ricardo%20cantalapiedra/El%20Profeta/02%20en%20lo%20alto%20-%20Shortcut.lnk" TargetMode="External"/><Relationship Id="rId1756" Type="http://schemas.openxmlformats.org/officeDocument/2006/relationships/hyperlink" Target="https://www.mercaba.org/Musica/Carmelo%20Erdozain/Preparad%20los%20Caminos/7%20un%20arco%20iris%20de%20sol%20y%20nieve.mp3" TargetMode="External"/><Relationship Id="rId48" Type="http://schemas.openxmlformats.org/officeDocument/2006/relationships/hyperlink" Target="https://www.youtube.com/watch?v=0cJgahJq6_c" TargetMode="External"/><Relationship Id="rId113" Type="http://schemas.openxmlformats.org/officeDocument/2006/relationships/hyperlink" Target="https://www.youtube.com/watch?v=I9i4iMWccHE" TargetMode="External"/><Relationship Id="rId320" Type="http://schemas.openxmlformats.org/officeDocument/2006/relationships/hyperlink" Target="https://www.youtube.com/watch?v=KUVZLX-0iCs" TargetMode="External"/><Relationship Id="rId558" Type="http://schemas.openxmlformats.org/officeDocument/2006/relationships/hyperlink" Target="https://www.maristes.cat/sites/default/files/content/nodes/recurs/file/8936/1uncorazonsinfronteras.mp3" TargetMode="External"/><Relationship Id="rId765" Type="http://schemas.openxmlformats.org/officeDocument/2006/relationships/hyperlink" Target="https://www.youtube.com/watch?v=OufUpQWr7O4" TargetMode="External"/><Relationship Id="rId972" Type="http://schemas.openxmlformats.org/officeDocument/2006/relationships/hyperlink" Target="https://open.spotify.com/intl-es/track/45hdRERkPk24IlujX4dlXq?si=4544995abc384cf4" TargetMode="External"/><Relationship Id="rId1188" Type="http://schemas.openxmlformats.org/officeDocument/2006/relationships/hyperlink" Target="https://www.mercaba.org/Musica/Cesareo%20Gabarain/La%20Misa%20es%20una%20Fiesta/14%20la%20misa%20no%20termina.mp3" TargetMode="External"/><Relationship Id="rId1395" Type="http://schemas.openxmlformats.org/officeDocument/2006/relationships/hyperlink" Target="https://www.youtube.com/watch?v=e07KsQDAz44" TargetMode="External"/><Relationship Id="rId1409" Type="http://schemas.openxmlformats.org/officeDocument/2006/relationships/hyperlink" Target="https://www.youtube.com/watch?v=1je9OwJzloc" TargetMode="External"/><Relationship Id="rId1616" Type="http://schemas.openxmlformats.org/officeDocument/2006/relationships/hyperlink" Target="https://www.youtube.com/watch?v=FQ1FaaSSj54" TargetMode="External"/><Relationship Id="rId197" Type="http://schemas.openxmlformats.org/officeDocument/2006/relationships/hyperlink" Target="https://www.youtube.com/watch?v=RnWapq6keNQ" TargetMode="External"/><Relationship Id="rId418" Type="http://schemas.openxmlformats.org/officeDocument/2006/relationships/hyperlink" Target="https://www.maristes.cat/sites/default/files/content/nodes/recurs/file/9022/13angelremix.mp3" TargetMode="External"/><Relationship Id="rId625" Type="http://schemas.openxmlformats.org/officeDocument/2006/relationships/hyperlink" Target="https://www.youtube.com/watch?v=gQTkSndgz-E" TargetMode="External"/><Relationship Id="rId832" Type="http://schemas.openxmlformats.org/officeDocument/2006/relationships/hyperlink" Target="https://www.youtube.com/watch?v=2JyC93ZnfWg" TargetMode="External"/><Relationship Id="rId1048" Type="http://schemas.openxmlformats.org/officeDocument/2006/relationships/hyperlink" Target="https://www.youtube.com/watch?v=U2UIr2XOcW4" TargetMode="External"/><Relationship Id="rId1255" Type="http://schemas.openxmlformats.org/officeDocument/2006/relationships/hyperlink" Target="https://www.mercaba.org/Musica/Cesareo%20Gabarain/Catequesis%20y%20Cancion/03%20yo%20tengo%20dentro%20de%20mi.mp3" TargetMode="External"/><Relationship Id="rId1462" Type="http://schemas.openxmlformats.org/officeDocument/2006/relationships/hyperlink" Target="https://www.mercaba.org/Musica/Cesareo%20Gabarain/La%20Misa%20es%20una%20Fiesta/16%20danos%20se%C3%B1or.mp3" TargetMode="External"/><Relationship Id="rId264" Type="http://schemas.openxmlformats.org/officeDocument/2006/relationships/hyperlink" Target="https://www.youtube.com/watch?v=hvJPN4-Nq_Y" TargetMode="External"/><Relationship Id="rId471" Type="http://schemas.openxmlformats.org/officeDocument/2006/relationships/hyperlink" Target="https://www.maristes.cat/sites/default/files/content/nodes/recurs/file/8725/12cantajerusalen.mp3" TargetMode="External"/><Relationship Id="rId1115" Type="http://schemas.openxmlformats.org/officeDocument/2006/relationships/hyperlink" Target="https://www.youtube.com/watch?v=osze-c7wvC4" TargetMode="External"/><Relationship Id="rId1322" Type="http://schemas.openxmlformats.org/officeDocument/2006/relationships/hyperlink" Target="https://www.youtube.com/watch?v=gEirKDo2sqM" TargetMode="External"/><Relationship Id="rId1767" Type="http://schemas.openxmlformats.org/officeDocument/2006/relationships/hyperlink" Target="https://www.mercaba.org/Musica/Carmelo%20Erdozain/Ven%20y%20Sigueme/9%20siervo%20de%20yave.mp3" TargetMode="External"/><Relationship Id="rId59" Type="http://schemas.openxmlformats.org/officeDocument/2006/relationships/hyperlink" Target="https://www.youtube.com/watch?v=hqiJ3iVRTAI" TargetMode="External"/><Relationship Id="rId124" Type="http://schemas.openxmlformats.org/officeDocument/2006/relationships/hyperlink" Target="https://www.youtube.com/watch?v=nkHMfFhFKsc" TargetMode="External"/><Relationship Id="rId569" Type="http://schemas.openxmlformats.org/officeDocument/2006/relationships/hyperlink" Target="https://www.maristes.cat/sites/default/files/content/nodes/recurs/file/8726/01sintonia.mp3" TargetMode="External"/><Relationship Id="rId776" Type="http://schemas.openxmlformats.org/officeDocument/2006/relationships/hyperlink" Target="https://www.youtube.com/watch?v=ihDexwHojPk" TargetMode="External"/><Relationship Id="rId983" Type="http://schemas.openxmlformats.org/officeDocument/2006/relationships/hyperlink" Target="https://open.spotify.com/intl-es/track/1AiP0ESlQhVMuzxXpsmcyp?si=291920fa66fa4318" TargetMode="External"/><Relationship Id="rId1199" Type="http://schemas.openxmlformats.org/officeDocument/2006/relationships/hyperlink" Target="https://www.mercaba.org/Musica/Cesareo%20Gabarain/Jesus%20Nuestro%20Amigo/02%20-%20Vienen%20con%20alegr%C3%ADa.mp3" TargetMode="External"/><Relationship Id="rId1627" Type="http://schemas.openxmlformats.org/officeDocument/2006/relationships/hyperlink" Target="https://www.mercaba.org/Musica/Carmelo%20Erdozain/12%20canciones%20religiosas%20y%20liturgicas,%20carmelo%20erdozain/10%20me%20Ilamaste.mp3" TargetMode="External"/><Relationship Id="rId331" Type="http://schemas.openxmlformats.org/officeDocument/2006/relationships/hyperlink" Target="https://www.youtube.com/watch?v=O9T7mrMtU40" TargetMode="External"/><Relationship Id="rId429" Type="http://schemas.openxmlformats.org/officeDocument/2006/relationships/hyperlink" Target="https://www.maristes.cat/sites/default/files/content/nodes/recurs/file/8935/trackno11.mp3" TargetMode="External"/><Relationship Id="rId636" Type="http://schemas.openxmlformats.org/officeDocument/2006/relationships/hyperlink" Target="https://www.youtube.com/watch?v=Y6HucpyMSyA" TargetMode="External"/><Relationship Id="rId1059" Type="http://schemas.openxmlformats.org/officeDocument/2006/relationships/hyperlink" Target="https://www.youtube.com/watch?v=VaUhMm4fo7U" TargetMode="External"/><Relationship Id="rId1266" Type="http://schemas.openxmlformats.org/officeDocument/2006/relationships/hyperlink" Target="https://www.mercaba.org/Musica/Cesareo%20Gabarain/Catequesis%20y%20Cancion/15%20cancion%20de%20juventud.mp3" TargetMode="External"/><Relationship Id="rId1473" Type="http://schemas.openxmlformats.org/officeDocument/2006/relationships/hyperlink" Target="https://www.youtube.com/watch?v=HcKNbqZWSXU" TargetMode="External"/><Relationship Id="rId843" Type="http://schemas.openxmlformats.org/officeDocument/2006/relationships/hyperlink" Target="https://www.youtube.com/watch?v=2bal7MXuQs4" TargetMode="External"/><Relationship Id="rId1126" Type="http://schemas.openxmlformats.org/officeDocument/2006/relationships/hyperlink" Target="https://www.youtube.com/watch?v=gbgN4ZrzV2U" TargetMode="External"/><Relationship Id="rId1680" Type="http://schemas.openxmlformats.org/officeDocument/2006/relationships/hyperlink" Target="https://www.mercaba.org/Musica/Carmelo%20Erdozain/24%20cantos%20de%20adviento%20y%20navidad,%20carmelo%20erdozain/23%20en%20el%20silencio%20del%20portal.mp3" TargetMode="External"/><Relationship Id="rId1778" Type="http://schemas.openxmlformats.org/officeDocument/2006/relationships/hyperlink" Target="https://www.youtube.com/watch?v=CxYrUBCa3M4" TargetMode="External"/><Relationship Id="rId275" Type="http://schemas.openxmlformats.org/officeDocument/2006/relationships/hyperlink" Target="https://www.youtube.com/watch?v=gUOmUJxIPUE" TargetMode="External"/><Relationship Id="rId482" Type="http://schemas.openxmlformats.org/officeDocument/2006/relationships/hyperlink" Target="https://www.maristes.cat/sites/default/files/content/nodes/recurs/file/8759/9hermanitosdemaria.mp3" TargetMode="External"/><Relationship Id="rId703" Type="http://schemas.openxmlformats.org/officeDocument/2006/relationships/hyperlink" Target="https://www.youtube.com/watch?v=mCkrIz-CXgQ" TargetMode="External"/><Relationship Id="rId910" Type="http://schemas.openxmlformats.org/officeDocument/2006/relationships/hyperlink" Target="https://www.youtube.com/watch?v=SQQXOKJYv4M" TargetMode="External"/><Relationship Id="rId1333" Type="http://schemas.openxmlformats.org/officeDocument/2006/relationships/hyperlink" Target="https://www.youtube.com/watch?v=uCoQHo-y6c0" TargetMode="External"/><Relationship Id="rId1540" Type="http://schemas.openxmlformats.org/officeDocument/2006/relationships/hyperlink" Target="https://www.mercaba.org/Musica/Ricardo%20cantalapiedra/Canciones%20de%20Ricardo%20C/02%20pajaro%20viajero%20y%20de%20pueblo%20en%20pueblo.mp3" TargetMode="External"/><Relationship Id="rId1638" Type="http://schemas.openxmlformats.org/officeDocument/2006/relationships/hyperlink" Target="https://www.mercaba.org/Musica/Carmelo%20Erdozain/15%20cantos%20para%20la%20cena%20del%20se%C3%B1or,%20carmelo%20erdozain/05%20aleluya%20aleluya.mp3" TargetMode="External"/><Relationship Id="rId135" Type="http://schemas.openxmlformats.org/officeDocument/2006/relationships/hyperlink" Target="https://www.youtube.com/watch?v=LcIMZM6gAgQ" TargetMode="External"/><Relationship Id="rId342" Type="http://schemas.openxmlformats.org/officeDocument/2006/relationships/hyperlink" Target="https://www.youtube.com/watch?v=YJYPcdOhCJo" TargetMode="External"/><Relationship Id="rId787" Type="http://schemas.openxmlformats.org/officeDocument/2006/relationships/hyperlink" Target="https://www.youtube.com/watch?v=tg3b_a_TlHo" TargetMode="External"/><Relationship Id="rId994" Type="http://schemas.openxmlformats.org/officeDocument/2006/relationships/hyperlink" Target="https://open.spotify.com/intl-es/track/4OoVaD7BKohRJsia101fQ1?si=fb4a693f9fdb4f65" TargetMode="External"/><Relationship Id="rId1400" Type="http://schemas.openxmlformats.org/officeDocument/2006/relationships/hyperlink" Target="https://www.youtube.com/watch?v=8BJbn9CxbEs" TargetMode="External"/><Relationship Id="rId202" Type="http://schemas.openxmlformats.org/officeDocument/2006/relationships/hyperlink" Target="https://www.youtube.com/watch?v=vDkFeSq6wd0" TargetMode="External"/><Relationship Id="rId647" Type="http://schemas.openxmlformats.org/officeDocument/2006/relationships/hyperlink" Target="https://www.youtube.com/watch?v=gUbwARp-L5o" TargetMode="External"/><Relationship Id="rId854" Type="http://schemas.openxmlformats.org/officeDocument/2006/relationships/hyperlink" Target="https://www.youtube.com/watch?v=e0Wy6ybLtjY" TargetMode="External"/><Relationship Id="rId1277" Type="http://schemas.openxmlformats.org/officeDocument/2006/relationships/hyperlink" Target="https://www.mercaba.org/Musica/Cesareo%20Gabarain/Dios%20Hombre%20Mundo/05%20-%20L%C3%A1mpara%20de%20barro.mp3" TargetMode="External"/><Relationship Id="rId1484" Type="http://schemas.openxmlformats.org/officeDocument/2006/relationships/hyperlink" Target="https://www.youtube.com/watch?v=7vwTr1iYSAI" TargetMode="External"/><Relationship Id="rId1691" Type="http://schemas.openxmlformats.org/officeDocument/2006/relationships/hyperlink" Target="https://www.mercaba.org/Musica/Carmelo%20Erdozain/Cantos%20para%20Participar%20y%20Vivir/14%20nacio%20en%20la%20nochebuena.mp3" TargetMode="External"/><Relationship Id="rId1705" Type="http://schemas.openxmlformats.org/officeDocument/2006/relationships/hyperlink" Target="https://www.mercaba.org/Musica/Carmelo%20Erdozain/Cerca%20esta%20el%20Se&#241;or/4%20la%20fiesta%20del%20se&#241;or.mp3" TargetMode="External"/><Relationship Id="rId286" Type="http://schemas.openxmlformats.org/officeDocument/2006/relationships/hyperlink" Target="https://www.youtube.com/watch?v=J7ubJWGKpw0" TargetMode="External"/><Relationship Id="rId493" Type="http://schemas.openxmlformats.org/officeDocument/2006/relationships/hyperlink" Target="https://www.maristes.cat/sites/default/files/content/nodes/recurs/file/8747/9arcillaentresusmanos.mp3" TargetMode="External"/><Relationship Id="rId507" Type="http://schemas.openxmlformats.org/officeDocument/2006/relationships/hyperlink" Target="https://www.maristes.cat/sites/default/files/content/nodes/recurs/file/8911/11elbardelbosnio.mp3" TargetMode="External"/><Relationship Id="rId714" Type="http://schemas.openxmlformats.org/officeDocument/2006/relationships/hyperlink" Target="https://www.youtube.com/watch?v=CzMY7Ka_sZU" TargetMode="External"/><Relationship Id="rId921" Type="http://schemas.openxmlformats.org/officeDocument/2006/relationships/hyperlink" Target="https://www.youtube.com/watch?v=lMD9lqxEOdY" TargetMode="External"/><Relationship Id="rId1137" Type="http://schemas.openxmlformats.org/officeDocument/2006/relationships/hyperlink" Target="https://www.youtube.com/watch?v=KrkwEZjYiE4" TargetMode="External"/><Relationship Id="rId1344" Type="http://schemas.openxmlformats.org/officeDocument/2006/relationships/hyperlink" Target="https://www.youtube.com/watch?v=v88VhpJzJ98" TargetMode="External"/><Relationship Id="rId1551" Type="http://schemas.openxmlformats.org/officeDocument/2006/relationships/hyperlink" Target="https://www.mercaba.org/Musica/Ricardo%20cantalapiedra/El%20Profeta/05%20maranatha.mp3" TargetMode="External"/><Relationship Id="rId1789" Type="http://schemas.openxmlformats.org/officeDocument/2006/relationships/hyperlink" Target="https://www.youtube.com/watch?v=fBfuawjSwh4" TargetMode="External"/><Relationship Id="rId50" Type="http://schemas.openxmlformats.org/officeDocument/2006/relationships/hyperlink" Target="https://www.youtube.com/watch?v=nMpaTTNWk_M" TargetMode="External"/><Relationship Id="rId146" Type="http://schemas.openxmlformats.org/officeDocument/2006/relationships/hyperlink" Target="https://www.youtube.com/watch?v=RoDc0b7n_eQ" TargetMode="External"/><Relationship Id="rId353" Type="http://schemas.openxmlformats.org/officeDocument/2006/relationships/hyperlink" Target="https://www.maristes.cat/sites/default/files/content/nodes/recurs/file/9460/trackno06.mp3" TargetMode="External"/><Relationship Id="rId560" Type="http://schemas.openxmlformats.org/officeDocument/2006/relationships/hyperlink" Target="https://www.maristes.cat/sites/default/files/content/nodes/recurs/file/8938/3construyenoslacasa.mp3" TargetMode="External"/><Relationship Id="rId798" Type="http://schemas.openxmlformats.org/officeDocument/2006/relationships/hyperlink" Target="https://www.youtube.com/watch?v=2Es8vuYZvhg" TargetMode="External"/><Relationship Id="rId1190" Type="http://schemas.openxmlformats.org/officeDocument/2006/relationships/hyperlink" Target="https://www.mercaba.org/Musica/Cesareo%20Gabarain/Dios%20con%20Nosotros/01%20-%20%C3%89xodo%20y%20liberaci%C3%B3n.mp3" TargetMode="External"/><Relationship Id="rId1204" Type="http://schemas.openxmlformats.org/officeDocument/2006/relationships/hyperlink" Target="https://www.mercaba.org/Musica/Cesareo%20Gabarain/aclamaciones%20para%20la%20celebracion,%20gabarain%20(m)/02%20se%C3%B1or%20ten%20piedad.mp3" TargetMode="External"/><Relationship Id="rId1411" Type="http://schemas.openxmlformats.org/officeDocument/2006/relationships/hyperlink" Target="https://www.youtube.com/watch?v=jRa3UiLLeRg" TargetMode="External"/><Relationship Id="rId1649" Type="http://schemas.openxmlformats.org/officeDocument/2006/relationships/hyperlink" Target="https://www.mercaba.org/Musica/Carmelo%20Erdozain/24%20cantos%20de%20adviento%20y%20navidad,%20carmelo%20erdozain/04%20preparad%20el%20camino%20al%20se%C3%B1or.mp3" TargetMode="External"/><Relationship Id="rId213" Type="http://schemas.openxmlformats.org/officeDocument/2006/relationships/hyperlink" Target="https://www.youtube.com/watch?v=fa1m9mxeILw" TargetMode="External"/><Relationship Id="rId420" Type="http://schemas.openxmlformats.org/officeDocument/2006/relationships/hyperlink" Target="https://www.maristes.cat/sites/default/files/content/nodes/recurs/file/8926/trackno02.mp3" TargetMode="External"/><Relationship Id="rId658" Type="http://schemas.openxmlformats.org/officeDocument/2006/relationships/hyperlink" Target="https://www.youtube.com/watch?v=7R7eJUetKrQ" TargetMode="External"/><Relationship Id="rId865" Type="http://schemas.openxmlformats.org/officeDocument/2006/relationships/hyperlink" Target="https://www.youtube.com/watch?v=cR12p7MeUlA" TargetMode="External"/><Relationship Id="rId1050" Type="http://schemas.openxmlformats.org/officeDocument/2006/relationships/hyperlink" Target="https://www.youtube.com/watch?v=p3KxOnwly-s" TargetMode="External"/><Relationship Id="rId1288" Type="http://schemas.openxmlformats.org/officeDocument/2006/relationships/hyperlink" Target="https://www.youtube.com/watch?v=kPY1EZTtjDU" TargetMode="External"/><Relationship Id="rId1495" Type="http://schemas.openxmlformats.org/officeDocument/2006/relationships/hyperlink" Target="https://www.youtube.com/watch?v=NZRvlGUz2Pk" TargetMode="External"/><Relationship Id="rId1509" Type="http://schemas.openxmlformats.org/officeDocument/2006/relationships/hyperlink" Target="https://www.youtube.com/watch?v=5QJpnOYiRck" TargetMode="External"/><Relationship Id="rId1716" Type="http://schemas.openxmlformats.org/officeDocument/2006/relationships/hyperlink" Target="https://www.mercaba.org/Musica/Carmelo%20Erdozain/Dios%20es%20Amor/4%20se&#241;or%20ten%20piedad.mp3" TargetMode="External"/><Relationship Id="rId297" Type="http://schemas.openxmlformats.org/officeDocument/2006/relationships/hyperlink" Target="https://www.youtube.com/watch?v=dLzGuOi5Azs" TargetMode="External"/><Relationship Id="rId518" Type="http://schemas.openxmlformats.org/officeDocument/2006/relationships/hyperlink" Target="https://www.maristes.cat/sites/default/files/content/nodes/recurs/file/8980/9credo.mp3" TargetMode="External"/><Relationship Id="rId725" Type="http://schemas.openxmlformats.org/officeDocument/2006/relationships/hyperlink" Target="https://www.youtube.com/watch?v=24kg82reMgI" TargetMode="External"/><Relationship Id="rId932" Type="http://schemas.openxmlformats.org/officeDocument/2006/relationships/hyperlink" Target="https://www.youtube.com/watch?v=sDh87ZVsOzA" TargetMode="External"/><Relationship Id="rId1148" Type="http://schemas.openxmlformats.org/officeDocument/2006/relationships/hyperlink" Target="https://www.youtube.com/watch?v=1PbEyr1PQAw" TargetMode="External"/><Relationship Id="rId1355" Type="http://schemas.openxmlformats.org/officeDocument/2006/relationships/hyperlink" Target="https://www.youtube.com/watch?v=QvEJXlJMVfM" TargetMode="External"/><Relationship Id="rId1562" Type="http://schemas.openxmlformats.org/officeDocument/2006/relationships/hyperlink" Target="https://www.mercaba.org/Musica/Ricardo%20cantalapiedra/Salmos%20de%20Muerte%20y%20de%20Gloria/12%20salmo%20117.mp3" TargetMode="External"/><Relationship Id="rId157" Type="http://schemas.openxmlformats.org/officeDocument/2006/relationships/hyperlink" Target="https://www.youtube.com/watch?v=cPv999ecqJg" TargetMode="External"/><Relationship Id="rId364" Type="http://schemas.openxmlformats.org/officeDocument/2006/relationships/hyperlink" Target="https://www.maristes.cat/sites/default/files/content/nodes/recurs/file/8675/3quedateaquisenor.mp3" TargetMode="External"/><Relationship Id="rId1008" Type="http://schemas.openxmlformats.org/officeDocument/2006/relationships/hyperlink" Target="https://www.youtube.com/watch?v=1iS5gE68JCc" TargetMode="External"/><Relationship Id="rId1215" Type="http://schemas.openxmlformats.org/officeDocument/2006/relationships/hyperlink" Target="https://www.mercaba.org/Musica/Cesareo%20Gabarain/aclamaciones%20para%20la%20celebracion,%20gabarain%20(m)/13%20despues%20de%20la%20consagracion%2002.mp3" TargetMode="External"/><Relationship Id="rId1422" Type="http://schemas.openxmlformats.org/officeDocument/2006/relationships/hyperlink" Target="https://www.youtube.com/watch?v=VoC0XlyF1is" TargetMode="External"/><Relationship Id="rId61" Type="http://schemas.openxmlformats.org/officeDocument/2006/relationships/hyperlink" Target="https://www.youtube.com/watch?v=w7lGynBausw" TargetMode="External"/><Relationship Id="rId571" Type="http://schemas.openxmlformats.org/officeDocument/2006/relationships/hyperlink" Target="https://www.maristes.cat/sites/default/files/content/nodes/recurs/file/8728/03mananaquiensabra.mp3" TargetMode="External"/><Relationship Id="rId669" Type="http://schemas.openxmlformats.org/officeDocument/2006/relationships/hyperlink" Target="https://www.youtube.com/watch?v=DSzvbHUxI9g" TargetMode="External"/><Relationship Id="rId876" Type="http://schemas.openxmlformats.org/officeDocument/2006/relationships/hyperlink" Target="https://www.youtube.com/watch?v=JBgAx8LFAVU" TargetMode="External"/><Relationship Id="rId1299" Type="http://schemas.openxmlformats.org/officeDocument/2006/relationships/hyperlink" Target="https://www.youtube.com/watch?v=DM6oIsuv_DA" TargetMode="External"/><Relationship Id="rId1727" Type="http://schemas.openxmlformats.org/officeDocument/2006/relationships/hyperlink" Target="https://www.mercaba.org/Musica/Carmelo%20Erdozain/Hoy%20he%20Vuelto%20de%20Lejos/5%20padre%20nuestro.mp3" TargetMode="External"/><Relationship Id="rId19" Type="http://schemas.openxmlformats.org/officeDocument/2006/relationships/hyperlink" Target="https://www.youtube.com/watch?v=fwSvlqMZsDQ" TargetMode="External"/><Relationship Id="rId224" Type="http://schemas.openxmlformats.org/officeDocument/2006/relationships/hyperlink" Target="https://www.youtube.com/watch?v=4KYRRDSt-eQ" TargetMode="External"/><Relationship Id="rId431" Type="http://schemas.openxmlformats.org/officeDocument/2006/relationships/hyperlink" Target="https://www.maristes.cat/sites/default/files/content/nodes/recurs/file/8866/1clarahijadelaluz.mp3" TargetMode="External"/><Relationship Id="rId529" Type="http://schemas.openxmlformats.org/officeDocument/2006/relationships/hyperlink" Target="https://www.maristes.cat/sites/default/files/content/nodes/recurs/file/8991/kairoi-profetadelafamilia-06-santafamilia.mp3" TargetMode="External"/><Relationship Id="rId736" Type="http://schemas.openxmlformats.org/officeDocument/2006/relationships/hyperlink" Target="https://www.youtube.com/watch?v=byMmFWW9JzU" TargetMode="External"/><Relationship Id="rId1061" Type="http://schemas.openxmlformats.org/officeDocument/2006/relationships/hyperlink" Target="https://www.youtube.com/watch?v=DmEKZL8xxHA" TargetMode="External"/><Relationship Id="rId1159" Type="http://schemas.openxmlformats.org/officeDocument/2006/relationships/hyperlink" Target="https://www.youtube.com/watch?v=B7fdgJ_6Y7M" TargetMode="External"/><Relationship Id="rId1366" Type="http://schemas.openxmlformats.org/officeDocument/2006/relationships/hyperlink" Target="https://www.youtube.com/watch?v=TbrAVxh_cTE" TargetMode="External"/><Relationship Id="rId168" Type="http://schemas.openxmlformats.org/officeDocument/2006/relationships/hyperlink" Target="https://www.youtube.com/watch?v=ZsFW8cbRCr4" TargetMode="External"/><Relationship Id="rId943" Type="http://schemas.openxmlformats.org/officeDocument/2006/relationships/hyperlink" Target="https://www.youtube.com/watch?v=B4yUBi6qlPE" TargetMode="External"/><Relationship Id="rId1019" Type="http://schemas.openxmlformats.org/officeDocument/2006/relationships/hyperlink" Target="https://www.youtube.com/watch?v=zDGYchYL5is" TargetMode="External"/><Relationship Id="rId1573" Type="http://schemas.openxmlformats.org/officeDocument/2006/relationships/hyperlink" Target="https://www.youtube.com/watch?v=lvG5MyhMJgo" TargetMode="External"/><Relationship Id="rId1780" Type="http://schemas.openxmlformats.org/officeDocument/2006/relationships/hyperlink" Target="https://www.youtube.com/watch?v=aSuFz3-qUXw" TargetMode="External"/><Relationship Id="rId72" Type="http://schemas.openxmlformats.org/officeDocument/2006/relationships/hyperlink" Target="https://www.youtube.com/watch?v=r1mS6MB3YbA" TargetMode="External"/><Relationship Id="rId375" Type="http://schemas.openxmlformats.org/officeDocument/2006/relationships/hyperlink" Target="https://www.maristes.cat/sites/default/files/content/nodes/recurs/file/8777/3amigos.mp3" TargetMode="External"/><Relationship Id="rId582" Type="http://schemas.openxmlformats.org/officeDocument/2006/relationships/hyperlink" Target="https://www.maristes.cat/sites/default/files/content/nodes/recurs/file/8805/3enlacruznosdaslavida.mp3" TargetMode="External"/><Relationship Id="rId803" Type="http://schemas.openxmlformats.org/officeDocument/2006/relationships/hyperlink" Target="https://www.youtube.com/watch?v=r2qPCFvjB7w" TargetMode="External"/><Relationship Id="rId1226" Type="http://schemas.openxmlformats.org/officeDocument/2006/relationships/hyperlink" Target="https://www.mercaba.org/Musica/Cesareo%20Gabarain/Al%20Atardecer%20de%20la%20Vida/04%20-%20Morimos%20para%20vivir.mp3" TargetMode="External"/><Relationship Id="rId1433" Type="http://schemas.openxmlformats.org/officeDocument/2006/relationships/hyperlink" Target="https://www.mercaba.org/Musica/Cesareo%20Gabarain/En%20Medio%20de%20la%20Noche/09%20dios%20es%20bueno.mp3" TargetMode="External"/><Relationship Id="rId1640" Type="http://schemas.openxmlformats.org/officeDocument/2006/relationships/hyperlink" Target="https://www.mercaba.org/Musica/Carmelo%20Erdozain/15%20cantos%20para%20la%20cena%20del%20se%C3%B1or,%20carmelo%20erdozain/07%20santo%20santo%20santo.mp3" TargetMode="External"/><Relationship Id="rId1738" Type="http://schemas.openxmlformats.org/officeDocument/2006/relationships/hyperlink" Target="https://www.mercaba.org/Musica/Carmelo%20Erdozain/Mesias%20de%20Liberacion/6%20ten%20piedad%20gritaba%20en%20el%20camino.mp3" TargetMode="External"/><Relationship Id="rId3" Type="http://schemas.openxmlformats.org/officeDocument/2006/relationships/hyperlink" Target="https://www.youtube.com/watch?v=_Ro7UwTGu-s" TargetMode="External"/><Relationship Id="rId235" Type="http://schemas.openxmlformats.org/officeDocument/2006/relationships/hyperlink" Target="https://www.youtube.com/watch?v=sEmVkGTXxHQ" TargetMode="External"/><Relationship Id="rId442" Type="http://schemas.openxmlformats.org/officeDocument/2006/relationships/hyperlink" Target="https://www.maristes.cat/sites/default/files/content/nodes/recurs/file/8788/1jesusesverdad.mp3" TargetMode="External"/><Relationship Id="rId887" Type="http://schemas.openxmlformats.org/officeDocument/2006/relationships/hyperlink" Target="https://www.youtube.com/watch?v=G-kG0aZxFpA" TargetMode="External"/><Relationship Id="rId1072" Type="http://schemas.openxmlformats.org/officeDocument/2006/relationships/hyperlink" Target="https://www.youtube.com/watch?v=Fcug9JfTMnw" TargetMode="External"/><Relationship Id="rId1500" Type="http://schemas.openxmlformats.org/officeDocument/2006/relationships/hyperlink" Target="https://www.youtube.com/watch?v=kADpRG3jUK0" TargetMode="External"/><Relationship Id="rId302" Type="http://schemas.openxmlformats.org/officeDocument/2006/relationships/hyperlink" Target="https://www.youtube.com/watch?v=vso4qoebDkk" TargetMode="External"/><Relationship Id="rId747" Type="http://schemas.openxmlformats.org/officeDocument/2006/relationships/hyperlink" Target="https://www.youtube.com/watch?v=npjgYMt2pHc" TargetMode="External"/><Relationship Id="rId954" Type="http://schemas.openxmlformats.org/officeDocument/2006/relationships/hyperlink" Target="https://www.youtube.com/watch?v=75pS65XwjAU" TargetMode="External"/><Relationship Id="rId1377" Type="http://schemas.openxmlformats.org/officeDocument/2006/relationships/hyperlink" Target="https://www.youtube.com/watch?v=TounQ5IIZM0" TargetMode="External"/><Relationship Id="rId1584" Type="http://schemas.openxmlformats.org/officeDocument/2006/relationships/hyperlink" Target="https://www.youtube.com/watch?v=hsUXe0rEYT8" TargetMode="External"/><Relationship Id="rId1791" Type="http://schemas.openxmlformats.org/officeDocument/2006/relationships/hyperlink" Target="https://www.mercaba.org/Musica/Carmelo%20Erdozain/Preparad%20los%20Caminos/03%20ven%20salvador.mp3" TargetMode="External"/><Relationship Id="rId1805" Type="http://schemas.openxmlformats.org/officeDocument/2006/relationships/hyperlink" Target="https://www.youtube.com/watch?v=GbRsIIbFzlg" TargetMode="External"/><Relationship Id="rId83" Type="http://schemas.openxmlformats.org/officeDocument/2006/relationships/hyperlink" Target="https://www.youtube.com/watch?v=KMkavUMfU_w" TargetMode="External"/><Relationship Id="rId179" Type="http://schemas.openxmlformats.org/officeDocument/2006/relationships/hyperlink" Target="https://www.youtube.com/watch?v=wdMoEm9LETQ" TargetMode="External"/><Relationship Id="rId386" Type="http://schemas.openxmlformats.org/officeDocument/2006/relationships/hyperlink" Target="https://www.maristes.cat/sites/default/files/content/nodes/recurs/file/8915/2confianzaendios.mp3" TargetMode="External"/><Relationship Id="rId593" Type="http://schemas.openxmlformats.org/officeDocument/2006/relationships/hyperlink" Target="https://www.maristes.cat/sites/default/files/content/nodes/recurs/file/8954/1seguiramando.mp3" TargetMode="External"/><Relationship Id="rId607" Type="http://schemas.openxmlformats.org/officeDocument/2006/relationships/hyperlink" Target="https://www.maristes.cat/sites/default/files/content/nodes/recurs/file/8767/5elamoresnuestrocanto.mp3" TargetMode="External"/><Relationship Id="rId814" Type="http://schemas.openxmlformats.org/officeDocument/2006/relationships/hyperlink" Target="https://www.youtube.com/watch?v=fKmF4zTdT_0" TargetMode="External"/><Relationship Id="rId1237" Type="http://schemas.openxmlformats.org/officeDocument/2006/relationships/hyperlink" Target="https://www.mercaba.org/Musica/Cesareo%20Gabarain/Bendito%20eres%20Se%C3%B1or/02%20-%20EL%20Jov%C3%A9n%20Rico.mp3" TargetMode="External"/><Relationship Id="rId1444" Type="http://schemas.openxmlformats.org/officeDocument/2006/relationships/hyperlink" Target="https://www.mercaba.org/Musica/Cesareo%20Gabarain/Cantos%20de%20Entrada%20y%20Comunion/01%20-%20Adviento%20(Canto%20de%20entrada).mp3" TargetMode="External"/><Relationship Id="rId1651" Type="http://schemas.openxmlformats.org/officeDocument/2006/relationships/hyperlink" Target="https://www.mercaba.org/Musica/Adviento%20y%20Navidad/Adviento%20Maria%20y%20Navidad/abre%20tu%20tienda%20al%20se%C3%B1or.mp3" TargetMode="External"/><Relationship Id="rId246" Type="http://schemas.openxmlformats.org/officeDocument/2006/relationships/hyperlink" Target="https://www.youtube.com/watch?v=lBrWCEHK4Bw" TargetMode="External"/><Relationship Id="rId453" Type="http://schemas.openxmlformats.org/officeDocument/2006/relationships/hyperlink" Target="https://www.maristes.cat/sites/default/files/content/nodes/recurs/file/8855/6senoryonosoydigno.mp3" TargetMode="External"/><Relationship Id="rId660" Type="http://schemas.openxmlformats.org/officeDocument/2006/relationships/hyperlink" Target="https://www.youtube.com/watch?v=V2DwSllqWZw" TargetMode="External"/><Relationship Id="rId898" Type="http://schemas.openxmlformats.org/officeDocument/2006/relationships/hyperlink" Target="https://www.youtube.com/watch?v=LmUtuHsHGlU" TargetMode="External"/><Relationship Id="rId1083" Type="http://schemas.openxmlformats.org/officeDocument/2006/relationships/hyperlink" Target="https://www.youtube.com/watch?v=z9cOGxgU5wk" TargetMode="External"/><Relationship Id="rId1290" Type="http://schemas.openxmlformats.org/officeDocument/2006/relationships/hyperlink" Target="https://www.youtube.com/watch?v=gqWVl9aXtjE" TargetMode="External"/><Relationship Id="rId1304" Type="http://schemas.openxmlformats.org/officeDocument/2006/relationships/hyperlink" Target="https://www.youtube.com/watch?v=DLRnhn_xSDY" TargetMode="External"/><Relationship Id="rId1511" Type="http://schemas.openxmlformats.org/officeDocument/2006/relationships/hyperlink" Target="https://www.youtube.com/watch?v=Vkahq3bnpZ4" TargetMode="External"/><Relationship Id="rId1749" Type="http://schemas.openxmlformats.org/officeDocument/2006/relationships/hyperlink" Target="https://www.mercaba.org/Musica/Carmelo%20Erdozain/Nuevos%20Cantos%20Para%20el%20A&#241;o%20Liturgico/7%20oh%20cruz%20fiel.mp3" TargetMode="External"/><Relationship Id="rId106" Type="http://schemas.openxmlformats.org/officeDocument/2006/relationships/hyperlink" Target="https://www.youtube.com/watch?v=399BIn0bl1k" TargetMode="External"/><Relationship Id="rId313" Type="http://schemas.openxmlformats.org/officeDocument/2006/relationships/hyperlink" Target="https://www.youtube.com/watch?v=gaw6l2e5e4I" TargetMode="External"/><Relationship Id="rId758" Type="http://schemas.openxmlformats.org/officeDocument/2006/relationships/hyperlink" Target="https://www.youtube.com/watch?v=0NrRTyvWvFg" TargetMode="External"/><Relationship Id="rId965" Type="http://schemas.openxmlformats.org/officeDocument/2006/relationships/hyperlink" Target="https://www.youtube.com/watch?v=os6wOS6G52w" TargetMode="External"/><Relationship Id="rId1150" Type="http://schemas.openxmlformats.org/officeDocument/2006/relationships/hyperlink" Target="https://www.youtube.com/watch?v=NgtvajcOb8c" TargetMode="External"/><Relationship Id="rId1388" Type="http://schemas.openxmlformats.org/officeDocument/2006/relationships/hyperlink" Target="https://www.youtube.com/watch?v=Q4rvhsLMt5s" TargetMode="External"/><Relationship Id="rId1595" Type="http://schemas.openxmlformats.org/officeDocument/2006/relationships/hyperlink" Target="https://www.youtube.com/watch?v=SCiKjoLuK2A" TargetMode="External"/><Relationship Id="rId1609" Type="http://schemas.openxmlformats.org/officeDocument/2006/relationships/hyperlink" Target="https://open.spotify.com/intl-es/track/6PUBheOBEdlt5EEwSP0FRn?si=f98a541d11414e56" TargetMode="External"/><Relationship Id="rId1816" Type="http://schemas.openxmlformats.org/officeDocument/2006/relationships/hyperlink" Target="https://tealabamos.com/wp-content/mp3/en-quien-me-fijare.mp3" TargetMode="External"/><Relationship Id="rId10" Type="http://schemas.openxmlformats.org/officeDocument/2006/relationships/hyperlink" Target="https://www.youtube.com/watch?v=Mj9ZrtLyHh0" TargetMode="External"/><Relationship Id="rId94" Type="http://schemas.openxmlformats.org/officeDocument/2006/relationships/hyperlink" Target="https://www.youtube.com/watch?v=FFzeyL8gSpE" TargetMode="External"/><Relationship Id="rId397" Type="http://schemas.openxmlformats.org/officeDocument/2006/relationships/hyperlink" Target="https://www.maristes.cat/sites/default/files/content/nodes/recurs/file/9025/03-plegaria.mp3" TargetMode="External"/><Relationship Id="rId520" Type="http://schemas.openxmlformats.org/officeDocument/2006/relationships/hyperlink" Target="https://www.maristes.cat/sites/default/files/content/nodes/recurs/file/8982/11alastresdelatarde.mp3" TargetMode="External"/><Relationship Id="rId618" Type="http://schemas.openxmlformats.org/officeDocument/2006/relationships/hyperlink" Target="https://www.youtube.com/watch?v=BG0dJBl5euk" TargetMode="External"/><Relationship Id="rId825" Type="http://schemas.openxmlformats.org/officeDocument/2006/relationships/hyperlink" Target="https://www.youtube.com/watch?v=jiOvAIKYcSI" TargetMode="External"/><Relationship Id="rId1248" Type="http://schemas.openxmlformats.org/officeDocument/2006/relationships/hyperlink" Target="https://www.mercaba.org/Musica/Cesareo%20Gabarain/Cantando%20Venimos/03%20-%20Yo%20quisiera%20escuchar.mp3" TargetMode="External"/><Relationship Id="rId1455" Type="http://schemas.openxmlformats.org/officeDocument/2006/relationships/hyperlink" Target="https://www.youtube.com/watch?v=rj0h9sYSYnI" TargetMode="External"/><Relationship Id="rId1662" Type="http://schemas.openxmlformats.org/officeDocument/2006/relationships/hyperlink" Target="https://www.mercaba.org/Musica/Adviento%20y%20Navidad/Adviento%20Maria%20y%20Navidad/preparad%20el%20camino%20al%20se%C3%B1or.mp3" TargetMode="External"/><Relationship Id="rId257" Type="http://schemas.openxmlformats.org/officeDocument/2006/relationships/hyperlink" Target="https://www.youtube.com/watch?v=KALbqxsIhVA" TargetMode="External"/><Relationship Id="rId464" Type="http://schemas.openxmlformats.org/officeDocument/2006/relationships/hyperlink" Target="https://www.maristes.cat/sites/default/files/content/nodes/recurs/file/8718/5oraciondelpobre.mp3" TargetMode="External"/><Relationship Id="rId1010" Type="http://schemas.openxmlformats.org/officeDocument/2006/relationships/hyperlink" Target="https://www.youtube.com/watch?v=7CuAQHo-k-k" TargetMode="External"/><Relationship Id="rId1094" Type="http://schemas.openxmlformats.org/officeDocument/2006/relationships/hyperlink" Target="https://www.youtube.com/watch?v=yt5vcTT-p-c" TargetMode="External"/><Relationship Id="rId1108" Type="http://schemas.openxmlformats.org/officeDocument/2006/relationships/hyperlink" Target="https://www.youtube.com/watch?v=XMW4yOvm3Kk" TargetMode="External"/><Relationship Id="rId1315" Type="http://schemas.openxmlformats.org/officeDocument/2006/relationships/hyperlink" Target="https://www.youtube.com/watch?v=uJSV4Ti86qw" TargetMode="External"/><Relationship Id="rId117" Type="http://schemas.openxmlformats.org/officeDocument/2006/relationships/hyperlink" Target="https://www.youtube.com/watch?v=5cqIy7aOPck" TargetMode="External"/><Relationship Id="rId671" Type="http://schemas.openxmlformats.org/officeDocument/2006/relationships/hyperlink" Target="https://www.youtube.com/watch?v=2B9x8InUa5w" TargetMode="External"/><Relationship Id="rId769" Type="http://schemas.openxmlformats.org/officeDocument/2006/relationships/hyperlink" Target="https://www.youtube.com/watch?v=Sq7WgjUc4Z8" TargetMode="External"/><Relationship Id="rId976" Type="http://schemas.openxmlformats.org/officeDocument/2006/relationships/hyperlink" Target="https://open.spotify.com/intl-es/track/1kITt1STB7aHSkauwzNJCs?si=fb887986370844d7" TargetMode="External"/><Relationship Id="rId1399" Type="http://schemas.openxmlformats.org/officeDocument/2006/relationships/hyperlink" Target="https://www.youtube.com/watch?v=qCkjZICYjB0" TargetMode="External"/><Relationship Id="rId324" Type="http://schemas.openxmlformats.org/officeDocument/2006/relationships/hyperlink" Target="https://www.youtube.com/watch?v=2eN1wiAitXQ" TargetMode="External"/><Relationship Id="rId531" Type="http://schemas.openxmlformats.org/officeDocument/2006/relationships/hyperlink" Target="https://www.maristes.cat/sites/default/files/content/nodes/recurs/file/8993/kairoi-profetadelafamilia-08-tumirada.mp3" TargetMode="External"/><Relationship Id="rId629" Type="http://schemas.openxmlformats.org/officeDocument/2006/relationships/hyperlink" Target="https://www.youtube.com/watch?v=NX8Qj5zB_b4" TargetMode="External"/><Relationship Id="rId1161" Type="http://schemas.openxmlformats.org/officeDocument/2006/relationships/hyperlink" Target="https://www.youtube.com/watch?v=3IJ08pHIEqE" TargetMode="External"/><Relationship Id="rId1259" Type="http://schemas.openxmlformats.org/officeDocument/2006/relationships/hyperlink" Target="https://www.mercaba.org/Musica/Cesareo%20Gabarain/Catequesis%20y%20Cancion/08%20dios%20esta%20muy%20cerca%20de%20mi.mp3" TargetMode="External"/><Relationship Id="rId1466" Type="http://schemas.openxmlformats.org/officeDocument/2006/relationships/hyperlink" Target="https://www.mercaba.org/Musica/Cesareo%20Gabarain/Lampara%20de%20Barro/02%20junto%20al%20mar.mp3" TargetMode="External"/><Relationship Id="rId836" Type="http://schemas.openxmlformats.org/officeDocument/2006/relationships/hyperlink" Target="https://www.youtube.com/watch?v=2DhAlA34aMs" TargetMode="External"/><Relationship Id="rId1021" Type="http://schemas.openxmlformats.org/officeDocument/2006/relationships/hyperlink" Target="https://www.youtube.com/watch?v=3YeyAI09Elg" TargetMode="External"/><Relationship Id="rId1119" Type="http://schemas.openxmlformats.org/officeDocument/2006/relationships/hyperlink" Target="https://www.youtube.com/watch?v=sxGnfJq8oIY" TargetMode="External"/><Relationship Id="rId1673" Type="http://schemas.openxmlformats.org/officeDocument/2006/relationships/hyperlink" Target="https://www.mercaba.org/Musica/Carmelo%20Erdozain/24%20cantos%20de%20adviento%20y%20navidad,%20carmelo%20erdozain/9%20aurora%20y%20clavel.mp3" TargetMode="External"/><Relationship Id="rId903" Type="http://schemas.openxmlformats.org/officeDocument/2006/relationships/hyperlink" Target="https://www.youtube.com/watch?v=UqyH3j-nhmU" TargetMode="External"/><Relationship Id="rId1326" Type="http://schemas.openxmlformats.org/officeDocument/2006/relationships/hyperlink" Target="https://www.youtube.com/watch?v=99XEDtJAzZI" TargetMode="External"/><Relationship Id="rId1533" Type="http://schemas.openxmlformats.org/officeDocument/2006/relationships/hyperlink" Target="https://www.youtube.com/watch?v=5PCixdWT1q8" TargetMode="External"/><Relationship Id="rId1740" Type="http://schemas.openxmlformats.org/officeDocument/2006/relationships/hyperlink" Target="https://www.mercaba.org/Musica/Carmelo%20Erdozain/Mesias%20de%20Liberacion/8%20llora%20la%20virgen.mp3" TargetMode="External"/><Relationship Id="rId32" Type="http://schemas.openxmlformats.org/officeDocument/2006/relationships/hyperlink" Target="https://www.youtube.com/watch?v=1axSWF5kWVc" TargetMode="External"/><Relationship Id="rId1600" Type="http://schemas.openxmlformats.org/officeDocument/2006/relationships/hyperlink" Target="https://www.youtube.com/watch?v=0jaSunweaZc" TargetMode="External"/><Relationship Id="rId181" Type="http://schemas.openxmlformats.org/officeDocument/2006/relationships/hyperlink" Target="https://www.youtube.com/watch?v=tBiFnURhKtg" TargetMode="External"/><Relationship Id="rId279" Type="http://schemas.openxmlformats.org/officeDocument/2006/relationships/hyperlink" Target="https://www.youtube.com/watch?v=G9CiQqXwiXs" TargetMode="External"/><Relationship Id="rId486" Type="http://schemas.openxmlformats.org/officeDocument/2006/relationships/hyperlink" Target="https://www.maristes.cat/sites/default/files/content/nodes/recurs/file/8739/1avemaria.mp3" TargetMode="External"/><Relationship Id="rId693" Type="http://schemas.openxmlformats.org/officeDocument/2006/relationships/hyperlink" Target="https://www.youtube.com/watch?v=TpsyCkKu26c" TargetMode="External"/><Relationship Id="rId139" Type="http://schemas.openxmlformats.org/officeDocument/2006/relationships/hyperlink" Target="https://www.youtube.com/watch?v=oSPCNIvKDsk" TargetMode="External"/><Relationship Id="rId346" Type="http://schemas.openxmlformats.org/officeDocument/2006/relationships/hyperlink" Target="https://www.youtube.com/watch?v=Dgljc0WVuuc" TargetMode="External"/><Relationship Id="rId553" Type="http://schemas.openxmlformats.org/officeDocument/2006/relationships/hyperlink" Target="https://www.maristes.cat/sites/default/files/content/nodes/recurs/file/8885/8esmejorhablarcondios.mp3" TargetMode="External"/><Relationship Id="rId760" Type="http://schemas.openxmlformats.org/officeDocument/2006/relationships/hyperlink" Target="https://www.youtube.com/watch?v=POFPSgWaMbY" TargetMode="External"/><Relationship Id="rId998" Type="http://schemas.openxmlformats.org/officeDocument/2006/relationships/hyperlink" Target="https://open.spotify.com/intl-es/track/4FMooDZOIpW38Ujj1cJdQF?si=0b9493b8a0b44d1e" TargetMode="External"/><Relationship Id="rId1183" Type="http://schemas.openxmlformats.org/officeDocument/2006/relationships/hyperlink" Target="https://www.mercaba.org/Musica/Cesareo%20Gabarain/La%20Fuerza%20del%20Espiritu/04%20-%20Dichoso%20el%20que%20ama.mp3" TargetMode="External"/><Relationship Id="rId1390" Type="http://schemas.openxmlformats.org/officeDocument/2006/relationships/hyperlink" Target="https://www.youtube.com/watch?v=G8LdGtyxL9c" TargetMode="External"/><Relationship Id="rId206" Type="http://schemas.openxmlformats.org/officeDocument/2006/relationships/hyperlink" Target="https://www.youtube.com/watch?v=uX_oSn-_Qxk" TargetMode="External"/><Relationship Id="rId413" Type="http://schemas.openxmlformats.org/officeDocument/2006/relationships/hyperlink" Target="https://www.maristes.cat/sites/default/files/content/nodes/recurs/file/9017/8enquemundovives.mp3" TargetMode="External"/><Relationship Id="rId858" Type="http://schemas.openxmlformats.org/officeDocument/2006/relationships/hyperlink" Target="https://www.youtube.com/watch?v=kLnc_0SRQ-I" TargetMode="External"/><Relationship Id="rId1043" Type="http://schemas.openxmlformats.org/officeDocument/2006/relationships/hyperlink" Target="https://www.youtube.com/watch?v=RII6STqpNG0" TargetMode="External"/><Relationship Id="rId1488" Type="http://schemas.openxmlformats.org/officeDocument/2006/relationships/hyperlink" Target="https://www.youtube.com/watch?v=f4FmaBeHM7s" TargetMode="External"/><Relationship Id="rId1695" Type="http://schemas.openxmlformats.org/officeDocument/2006/relationships/hyperlink" Target="https://www.mercaba.org/Musica/Carmelo%20Erdozain/Cantos%20para%20una%20Comunidad%20Evangelizadora/4%20el%20se&#241;or%20es%20mi%20pastor.mp3" TargetMode="External"/><Relationship Id="rId620" Type="http://schemas.openxmlformats.org/officeDocument/2006/relationships/hyperlink" Target="https://www.youtube.com/watch?v=ZYLTEIGMYjw" TargetMode="External"/><Relationship Id="rId718" Type="http://schemas.openxmlformats.org/officeDocument/2006/relationships/hyperlink" Target="https://www.youtube.com/watch?v=VQipBQFKO4w" TargetMode="External"/><Relationship Id="rId925" Type="http://schemas.openxmlformats.org/officeDocument/2006/relationships/hyperlink" Target="https://www.youtube.com/watch?v=2wwfVdN_R3g" TargetMode="External"/><Relationship Id="rId1250" Type="http://schemas.openxmlformats.org/officeDocument/2006/relationships/hyperlink" Target="https://www.mercaba.org/Musica/Cesareo%20Gabarain/Cantando%20Venimos/05%20-%20Padre%20nuestro.mp3" TargetMode="External"/><Relationship Id="rId1348" Type="http://schemas.openxmlformats.org/officeDocument/2006/relationships/hyperlink" Target="https://www.youtube.com/watch?v=BD-ImmxVv_Q" TargetMode="External"/><Relationship Id="rId1555" Type="http://schemas.openxmlformats.org/officeDocument/2006/relationships/hyperlink" Target="https://www.mercaba.org/Musica/Ricardo%20cantalapiedra/El%20Profeta/10%20el%20profeta.mp3" TargetMode="External"/><Relationship Id="rId1762" Type="http://schemas.openxmlformats.org/officeDocument/2006/relationships/hyperlink" Target="https://www.mercaba.org/Musica/Carmelo%20Erdozain/Ven%20y%20Sigueme/4%20vestido%20de%20sol.mp3" TargetMode="External"/><Relationship Id="rId1110" Type="http://schemas.openxmlformats.org/officeDocument/2006/relationships/hyperlink" Target="https://www.youtube.com/watch?v=vILPEFlhGtM" TargetMode="External"/><Relationship Id="rId1208" Type="http://schemas.openxmlformats.org/officeDocument/2006/relationships/hyperlink" Target="https://www.mercaba.org/Musica/Cesareo%20Gabarain/aclamaciones%20para%20la%20celebracion,%20gabarain%20(m)/06%20salmo%20responsorial%20pascua.mp3" TargetMode="External"/><Relationship Id="rId1415" Type="http://schemas.openxmlformats.org/officeDocument/2006/relationships/hyperlink" Target="https://www.youtube.com/watch?v=SDdgEijul-o" TargetMode="External"/><Relationship Id="rId54" Type="http://schemas.openxmlformats.org/officeDocument/2006/relationships/hyperlink" Target="https://www.mercaba.org/Musica/Cesareo%20Gabarain/La%20Misa%20es%20una%20Fiesta/06%20haz%20se%C3%B1or.mp3" TargetMode="External"/><Relationship Id="rId1622" Type="http://schemas.openxmlformats.org/officeDocument/2006/relationships/hyperlink" Target="https://www.mercaba.org/Musica/Carmelo%20Erdozain/12%20canciones%20religiosas%20y%20liturgicas,%20carmelo%20erdozain/05%20se%C3%B1or%20ten%20piedad.mp3" TargetMode="External"/><Relationship Id="rId270" Type="http://schemas.openxmlformats.org/officeDocument/2006/relationships/hyperlink" Target="https://www.youtube.com/watch?v=R8uF_EBeaQk" TargetMode="External"/><Relationship Id="rId130" Type="http://schemas.openxmlformats.org/officeDocument/2006/relationships/hyperlink" Target="https://www.youtube.com/watch?v=By3i49DuO6M" TargetMode="External"/><Relationship Id="rId368" Type="http://schemas.openxmlformats.org/officeDocument/2006/relationships/hyperlink" Target="https://www.maristes.cat/sites/default/files/content/nodes/recurs/file/8680/8aleluya.mp3" TargetMode="External"/><Relationship Id="rId575" Type="http://schemas.openxmlformats.org/officeDocument/2006/relationships/hyperlink" Target="https://www.maristes.cat/sites/default/files/content/nodes/recurs/file/8733/07siempremegustodecirtehola.mp3" TargetMode="External"/><Relationship Id="rId782" Type="http://schemas.openxmlformats.org/officeDocument/2006/relationships/hyperlink" Target="https://www.youtube.com/watch?v=a4M8Pd7q7Xg" TargetMode="External"/><Relationship Id="rId228" Type="http://schemas.openxmlformats.org/officeDocument/2006/relationships/hyperlink" Target="https://www.youtube.com/watch?v=UjIU2wtKWcA" TargetMode="External"/><Relationship Id="rId435" Type="http://schemas.openxmlformats.org/officeDocument/2006/relationships/hyperlink" Target="https://www.maristes.cat/sites/default/files/content/nodes/recurs/file/8870/5canticodelascriaturas.mp3" TargetMode="External"/><Relationship Id="rId642" Type="http://schemas.openxmlformats.org/officeDocument/2006/relationships/hyperlink" Target="https://www.youtube.com/watch?v=rUsxwIHWjk0" TargetMode="External"/><Relationship Id="rId1065" Type="http://schemas.openxmlformats.org/officeDocument/2006/relationships/hyperlink" Target="https://www.youtube.com/watch?v=NjxWix9JXRc" TargetMode="External"/><Relationship Id="rId1272" Type="http://schemas.openxmlformats.org/officeDocument/2006/relationships/hyperlink" Target="https://www.mercaba.org/Musica/Cesareo%20Gabarain/Dios%20con%20Nosotros/10%20-%20Yo%20vi%20re%C3%ADr%20a%20Dios.mp3" TargetMode="External"/><Relationship Id="rId502" Type="http://schemas.openxmlformats.org/officeDocument/2006/relationships/hyperlink" Target="https://www.maristes.cat/sites/default/files/content/nodes/recurs/file/8906/6lamula.mp3" TargetMode="External"/><Relationship Id="rId947" Type="http://schemas.openxmlformats.org/officeDocument/2006/relationships/hyperlink" Target="https://www.youtube.com/watch?v=6lv8LnOMFgI" TargetMode="External"/><Relationship Id="rId1132" Type="http://schemas.openxmlformats.org/officeDocument/2006/relationships/hyperlink" Target="https://www.youtube.com/watch?v=VLS6ony07Nk" TargetMode="External"/><Relationship Id="rId1577" Type="http://schemas.openxmlformats.org/officeDocument/2006/relationships/hyperlink" Target="https://www.youtube.com/watch?v=eqWhQVRxqos" TargetMode="External"/><Relationship Id="rId1784" Type="http://schemas.openxmlformats.org/officeDocument/2006/relationships/hyperlink" Target="https://www.youtube.com/watch?v=8i8zNIiXw_g" TargetMode="External"/><Relationship Id="rId76" Type="http://schemas.openxmlformats.org/officeDocument/2006/relationships/hyperlink" Target="https://www.youtube.com/watch?v=71nzxwlVVWI" TargetMode="External"/><Relationship Id="rId807" Type="http://schemas.openxmlformats.org/officeDocument/2006/relationships/hyperlink" Target="https://www.youtube.com/watch?v=LXqtItOfjyY" TargetMode="External"/><Relationship Id="rId1437" Type="http://schemas.openxmlformats.org/officeDocument/2006/relationships/hyperlink" Target="https://www.mercaba.org/Musica/Cesareo%20Gabarain/Eres%20Tu%20Maria/04%20-%20Hoy%20he%20vuelto.mp3" TargetMode="External"/><Relationship Id="rId1644" Type="http://schemas.openxmlformats.org/officeDocument/2006/relationships/hyperlink" Target="https://www.mercaba.org/Musica/Carmelo%20Erdozain/15%20cantos%20para%20la%20cena%20del%20se%C3%B1or,%20carmelo%20erdozain/11%20el%20se%C3%B1or%20nos%20da%20su%20pan.mp3" TargetMode="External"/><Relationship Id="rId1504" Type="http://schemas.openxmlformats.org/officeDocument/2006/relationships/hyperlink" Target="https://www.youtube.com/watch?v=j2f2EabkOwk" TargetMode="External"/><Relationship Id="rId1711" Type="http://schemas.openxmlformats.org/officeDocument/2006/relationships/hyperlink" Target="https://www.mercaba.org/Musica/Carmelo%20Erdozain/Cerca%20esta%20el%20Se&#241;or/10%20entre%20los%20nacidos.mp3" TargetMode="External"/><Relationship Id="rId292" Type="http://schemas.openxmlformats.org/officeDocument/2006/relationships/hyperlink" Target="https://www.youtube.com/watch?v=j5yDXbnGSxg" TargetMode="External"/><Relationship Id="rId1809" Type="http://schemas.openxmlformats.org/officeDocument/2006/relationships/hyperlink" Target="https://www.youtube.com/watch?v=WuybiveUKOM" TargetMode="External"/><Relationship Id="rId597" Type="http://schemas.openxmlformats.org/officeDocument/2006/relationships/hyperlink" Target="https://www.maristes.cat/sites/default/files/content/nodes/recurs/file/8958/5nosmarcaelcaminar.mp3" TargetMode="External"/><Relationship Id="rId152" Type="http://schemas.openxmlformats.org/officeDocument/2006/relationships/hyperlink" Target="https://www.youtube.com/watch?v=hSQ17dDCQIw" TargetMode="External"/><Relationship Id="rId457" Type="http://schemas.openxmlformats.org/officeDocument/2006/relationships/hyperlink" Target="https://www.maristes.cat/sites/default/files/content/nodes/recurs/file/8863/10tullamada.mp3" TargetMode="External"/><Relationship Id="rId1087" Type="http://schemas.openxmlformats.org/officeDocument/2006/relationships/hyperlink" Target="https://www.youtube.com/watch?v=w7WooBzGaWQ" TargetMode="External"/><Relationship Id="rId1294" Type="http://schemas.openxmlformats.org/officeDocument/2006/relationships/hyperlink" Target="https://www.youtube.com/watch?v=6eZB0NIW6p4" TargetMode="External"/><Relationship Id="rId664" Type="http://schemas.openxmlformats.org/officeDocument/2006/relationships/hyperlink" Target="https://www.youtube.com/watch?v=7DLh0xVm4eI" TargetMode="External"/><Relationship Id="rId871" Type="http://schemas.openxmlformats.org/officeDocument/2006/relationships/hyperlink" Target="https://www.youtube.com/watch?v=h02A4Rcp3RM" TargetMode="External"/><Relationship Id="rId969" Type="http://schemas.openxmlformats.org/officeDocument/2006/relationships/hyperlink" Target="https://www.youtube.com/watch?v=9LVPExAdQtM" TargetMode="External"/><Relationship Id="rId1599" Type="http://schemas.openxmlformats.org/officeDocument/2006/relationships/hyperlink" Target="https://www.youtube.com/watch?v=VzK3IL1_FZs" TargetMode="External"/><Relationship Id="rId317" Type="http://schemas.openxmlformats.org/officeDocument/2006/relationships/hyperlink" Target="https://www.youtube.com/watch?v=2G4M56LVyyU" TargetMode="External"/><Relationship Id="rId524" Type="http://schemas.openxmlformats.org/officeDocument/2006/relationships/hyperlink" Target="https://www.maristes.cat/sites/default/files/content/nodes/recurs/file/8986/kairoi-profetadelafamilia-01-yfuistehogar.mp3" TargetMode="External"/><Relationship Id="rId731" Type="http://schemas.openxmlformats.org/officeDocument/2006/relationships/hyperlink" Target="https://www.youtube.com/watch?v=vGEwtfIkMV8" TargetMode="External"/><Relationship Id="rId1154" Type="http://schemas.openxmlformats.org/officeDocument/2006/relationships/hyperlink" Target="https://www.youtube.com/watch?v=KQz1IBqrdDU" TargetMode="External"/><Relationship Id="rId1361" Type="http://schemas.openxmlformats.org/officeDocument/2006/relationships/hyperlink" Target="https://www.youtube.com/watch?v=U3sDX5cyfZg" TargetMode="External"/><Relationship Id="rId1459" Type="http://schemas.openxmlformats.org/officeDocument/2006/relationships/hyperlink" Target="https://www.mercaba.org/Musica/Cesareo%20Gabarain/La%20Misa%20es%20una%20Fiesta/11%20padre%20nuestro.mp3" TargetMode="External"/><Relationship Id="rId98" Type="http://schemas.openxmlformats.org/officeDocument/2006/relationships/hyperlink" Target="https://www.youtube.com/watch?v=YF7YlGv4sQc" TargetMode="External"/><Relationship Id="rId829" Type="http://schemas.openxmlformats.org/officeDocument/2006/relationships/hyperlink" Target="https://www.youtube.com/watch?v=L42TNcU4KU8" TargetMode="External"/><Relationship Id="rId1014" Type="http://schemas.openxmlformats.org/officeDocument/2006/relationships/hyperlink" Target="https://www.youtube.com/watch?v=nQjn4RpTiEo" TargetMode="External"/><Relationship Id="rId1221" Type="http://schemas.openxmlformats.org/officeDocument/2006/relationships/hyperlink" Target="https://www.mercaba.org/Musica/Cesareo%20Gabarain/aclamaciones%20para%20la%20celebracion,%20gabarain%20(m)/19%20aclamacion%20cuaresma.mp3" TargetMode="External"/><Relationship Id="rId1666" Type="http://schemas.openxmlformats.org/officeDocument/2006/relationships/hyperlink" Target="https://www.mercaba.org/Musica/Adviento%20y%20Navidad/Adviento%20Maria%20y%20Navidad/tened%20encendida%20la%20lampara.mp3" TargetMode="External"/><Relationship Id="rId1319" Type="http://schemas.openxmlformats.org/officeDocument/2006/relationships/hyperlink" Target="https://www.youtube.com/watch?v=aUo7eR5DvTE" TargetMode="External"/><Relationship Id="rId1526" Type="http://schemas.openxmlformats.org/officeDocument/2006/relationships/hyperlink" Target="https://www.youtube.com/watch?v=MOJyuna2a9g" TargetMode="External"/><Relationship Id="rId1733" Type="http://schemas.openxmlformats.org/officeDocument/2006/relationships/hyperlink" Target="https://www.mercaba.org/Musica/Carmelo%20Erdozain/Mesias%20de%20Liberacion/1%20se%20acerca%20la%20liberacion.mp3" TargetMode="External"/><Relationship Id="rId25" Type="http://schemas.openxmlformats.org/officeDocument/2006/relationships/hyperlink" Target="https://www.youtube.com/watch?v=yiRuZloI6d0" TargetMode="External"/><Relationship Id="rId1800" Type="http://schemas.openxmlformats.org/officeDocument/2006/relationships/hyperlink" Target="https://www.youtube.com/watch?v=qVALbhceGiI" TargetMode="External"/><Relationship Id="rId174" Type="http://schemas.openxmlformats.org/officeDocument/2006/relationships/hyperlink" Target="https://www.youtube.com/watch?v=ys9P9JlWpAI" TargetMode="External"/><Relationship Id="rId381" Type="http://schemas.openxmlformats.org/officeDocument/2006/relationships/hyperlink" Target="https://www.maristes.cat/sites/default/files/content/nodes/recurs/file/8784/9alnacerelnuevodia.mp3" TargetMode="External"/><Relationship Id="rId241" Type="http://schemas.openxmlformats.org/officeDocument/2006/relationships/hyperlink" Target="https://www.youtube.com/watch?v=UtWdKrwdc0A" TargetMode="External"/><Relationship Id="rId479" Type="http://schemas.openxmlformats.org/officeDocument/2006/relationships/hyperlink" Target="https://www.maristes.cat/sites/default/files/content/nodes/recurs/file/8755/5dondehayaunnino.mp3" TargetMode="External"/><Relationship Id="rId686" Type="http://schemas.openxmlformats.org/officeDocument/2006/relationships/hyperlink" Target="https://www.youtube.com/watch?v=hcGQoRe0IiQ" TargetMode="External"/><Relationship Id="rId893" Type="http://schemas.openxmlformats.org/officeDocument/2006/relationships/hyperlink" Target="https://www.youtube.com/watch?v=yJdvAzVPNJQ" TargetMode="External"/><Relationship Id="rId339" Type="http://schemas.openxmlformats.org/officeDocument/2006/relationships/hyperlink" Target="https://www.youtube.com/watch?v=WxD4t8MvLr4" TargetMode="External"/><Relationship Id="rId546" Type="http://schemas.openxmlformats.org/officeDocument/2006/relationships/hyperlink" Target="https://www.maristes.cat/sites/default/files/content/nodes/recurs/file/8878/1sijesus.mp3" TargetMode="External"/><Relationship Id="rId753" Type="http://schemas.openxmlformats.org/officeDocument/2006/relationships/hyperlink" Target="https://www.youtube.com/watch?v=3QK_-Pw-5KE" TargetMode="External"/><Relationship Id="rId1176" Type="http://schemas.openxmlformats.org/officeDocument/2006/relationships/hyperlink" Target="https://www.mercaba.org/Musica/Cesareo%20Gabarain/Al%20Atardecer%20de%20la%20Vida/01%20-%20Al%20atardecer%20de%20la%20vida.mp3" TargetMode="External"/><Relationship Id="rId1383" Type="http://schemas.openxmlformats.org/officeDocument/2006/relationships/hyperlink" Target="https://www.youtube.com/watch?v=J3wufSYJgXM" TargetMode="External"/><Relationship Id="rId101" Type="http://schemas.openxmlformats.org/officeDocument/2006/relationships/hyperlink" Target="https://www.youtube.com/watch?v=bm2-d0SngNE" TargetMode="External"/><Relationship Id="rId406" Type="http://schemas.openxmlformats.org/officeDocument/2006/relationships/hyperlink" Target="https://www.maristes.cat/sites/default/files/content/nodes/recurs/file/9034/12-nopasana.mp3" TargetMode="External"/><Relationship Id="rId960" Type="http://schemas.openxmlformats.org/officeDocument/2006/relationships/hyperlink" Target="https://www.youtube.com/watch?v=9rqToBR9OL0" TargetMode="External"/><Relationship Id="rId1036" Type="http://schemas.openxmlformats.org/officeDocument/2006/relationships/hyperlink" Target="https://www.youtube.com/watch?v=Z7up0Vku2Ys" TargetMode="External"/><Relationship Id="rId1243" Type="http://schemas.openxmlformats.org/officeDocument/2006/relationships/hyperlink" Target="https://www.mercaba.org/Musica/Cesareo%20Gabarain/Bendito%20eres%20Se%C3%B1or/08%20-%20Levantate%20Y%20Anda.mp3" TargetMode="External"/><Relationship Id="rId1590" Type="http://schemas.openxmlformats.org/officeDocument/2006/relationships/hyperlink" Target="https://www.youtube.com/watch?v=Ibb66bg9ZvM" TargetMode="External"/><Relationship Id="rId1688" Type="http://schemas.openxmlformats.org/officeDocument/2006/relationships/hyperlink" Target="https://www.mercaba.org/Musica/Carmelo%20Erdozain/Cantos%20para%20Participar%20y%20Vivir/11%20gloria%20a%20cristo%20se&#241;or.mp3" TargetMode="External"/><Relationship Id="rId613" Type="http://schemas.openxmlformats.org/officeDocument/2006/relationships/hyperlink" Target="https://www.maristes.cat/sites/default/files/content/nodes/recurs/file/8773/11amaos.mp3" TargetMode="External"/><Relationship Id="rId820" Type="http://schemas.openxmlformats.org/officeDocument/2006/relationships/hyperlink" Target="https://www.youtube.com/watch?v=sSiMvxoqYZE" TargetMode="External"/><Relationship Id="rId918" Type="http://schemas.openxmlformats.org/officeDocument/2006/relationships/hyperlink" Target="https://www.youtube.com/watch?v=0bXFCYOhLRw" TargetMode="External"/><Relationship Id="rId1450" Type="http://schemas.openxmlformats.org/officeDocument/2006/relationships/hyperlink" Target="https://www.mercaba.org/Musica/Cesareo%20Gabarain/Cantos%20de%20Entrada%20y%20Comunion/07%20-%20Cuaresma%20(Canto%20de%20comuni%C3%B3n).mp3" TargetMode="External"/><Relationship Id="rId1548" Type="http://schemas.openxmlformats.org/officeDocument/2006/relationships/hyperlink" Target="https://www.mercaba.org/Musica/Ricardo%20cantalapiedra/El%20Profeta/01%20donde%20estan%20los%20profetas.mp3" TargetMode="External"/><Relationship Id="rId1755" Type="http://schemas.openxmlformats.org/officeDocument/2006/relationships/hyperlink" Target="https://www.mercaba.org/Musica/Carmelo%20Erdozain/Preparad%20los%20Caminos/6%20nace%20el%20ni&#241;o%20en%20un%20portal.mp3" TargetMode="External"/><Relationship Id="rId1103" Type="http://schemas.openxmlformats.org/officeDocument/2006/relationships/hyperlink" Target="https://www.youtube.com/watch?v=2m3sI-6SyMg" TargetMode="External"/><Relationship Id="rId1310" Type="http://schemas.openxmlformats.org/officeDocument/2006/relationships/hyperlink" Target="https://www.youtube.com/watch?v=H2FZt-789Pg" TargetMode="External"/><Relationship Id="rId1408" Type="http://schemas.openxmlformats.org/officeDocument/2006/relationships/hyperlink" Target="https://www.youtube.com/watch?v=QCNI8AdYVtc" TargetMode="External"/><Relationship Id="rId47" Type="http://schemas.openxmlformats.org/officeDocument/2006/relationships/hyperlink" Target="https://www.youtube.com/watch?v=wHyl-83H9Ro" TargetMode="External"/><Relationship Id="rId1615" Type="http://schemas.openxmlformats.org/officeDocument/2006/relationships/hyperlink" Target="https://www.youtube.com/watch?v=l0ecBAeN1Y8" TargetMode="External"/><Relationship Id="rId196" Type="http://schemas.openxmlformats.org/officeDocument/2006/relationships/hyperlink" Target="https://www.youtube.com/watch?v=7gnfg3bk6J4" TargetMode="External"/><Relationship Id="rId263" Type="http://schemas.openxmlformats.org/officeDocument/2006/relationships/hyperlink" Target="https://www.youtube.com/watch?v=ghhiDAZK3UE" TargetMode="External"/><Relationship Id="rId470" Type="http://schemas.openxmlformats.org/officeDocument/2006/relationships/hyperlink" Target="https://www.maristes.cat/sites/default/files/content/nodes/recurs/file/8724/11elaguadelsenor.mp3" TargetMode="External"/><Relationship Id="rId123" Type="http://schemas.openxmlformats.org/officeDocument/2006/relationships/hyperlink" Target="https://www.youtube.com/watch?v=7ADrrHHh-BE" TargetMode="External"/><Relationship Id="rId330" Type="http://schemas.openxmlformats.org/officeDocument/2006/relationships/hyperlink" Target="https://www.youtube.com/watch?v=VYFvhpdbaxg" TargetMode="External"/><Relationship Id="rId568" Type="http://schemas.openxmlformats.org/officeDocument/2006/relationships/hyperlink" Target="https://www.maristes.cat/sites/default/files/content/nodes/recurs/file/8949/14tuserashoychampagnat.mp3" TargetMode="External"/><Relationship Id="rId775" Type="http://schemas.openxmlformats.org/officeDocument/2006/relationships/hyperlink" Target="https://www.youtube.com/watch?v=GMJdR_DyBmI" TargetMode="External"/><Relationship Id="rId982" Type="http://schemas.openxmlformats.org/officeDocument/2006/relationships/hyperlink" Target="https://open.spotify.com/intl-es/track/52o5a93tqtQVT8H1mVa3rs?si=237aaccb37f94b68" TargetMode="External"/><Relationship Id="rId1198" Type="http://schemas.openxmlformats.org/officeDocument/2006/relationships/hyperlink" Target="https://www.mercaba.org/Musica/Cesareo%20Gabarain/Liturgia%20y%20Cancion/06%20nueva%20vida.mp3" TargetMode="External"/><Relationship Id="rId428" Type="http://schemas.openxmlformats.org/officeDocument/2006/relationships/hyperlink" Target="https://www.maristes.cat/sites/default/files/content/nodes/recurs/file/8933/trackno09.mp3" TargetMode="External"/><Relationship Id="rId635" Type="http://schemas.openxmlformats.org/officeDocument/2006/relationships/hyperlink" Target="https://www.youtube.com/watch?v=zu0Jh4W-SRI" TargetMode="External"/><Relationship Id="rId842" Type="http://schemas.openxmlformats.org/officeDocument/2006/relationships/hyperlink" Target="https://www.youtube.com/watch?v=xAmrzAu2szY" TargetMode="External"/><Relationship Id="rId1058" Type="http://schemas.openxmlformats.org/officeDocument/2006/relationships/hyperlink" Target="https://www.youtube.com/watch?v=GB2dK8cphAc" TargetMode="External"/><Relationship Id="rId1265" Type="http://schemas.openxmlformats.org/officeDocument/2006/relationships/hyperlink" Target="https://www.mercaba.org/Musica/Cesareo%20Gabarain/Catequesis%20y%20Cancion/14%20mis%20dos%20mamas.mp3" TargetMode="External"/><Relationship Id="rId1472" Type="http://schemas.openxmlformats.org/officeDocument/2006/relationships/hyperlink" Target="https://www.mercaba.org/Musica/Cesareo%20Gabarain/aclamaciones%20para%20la%20celebracion,%20gabarain%20(m)/21%20aclamacion%20pentecostes.mp3" TargetMode="External"/><Relationship Id="rId702" Type="http://schemas.openxmlformats.org/officeDocument/2006/relationships/hyperlink" Target="https://www.youtube.com/watch?v=exDZF93_lww" TargetMode="External"/><Relationship Id="rId1125" Type="http://schemas.openxmlformats.org/officeDocument/2006/relationships/hyperlink" Target="https://www.youtube.com/watch?v=bYuB0GiFeB8" TargetMode="External"/><Relationship Id="rId1332" Type="http://schemas.openxmlformats.org/officeDocument/2006/relationships/hyperlink" Target="https://www.youtube.com/watch?v=L4kPP-xdnns" TargetMode="External"/><Relationship Id="rId1777" Type="http://schemas.openxmlformats.org/officeDocument/2006/relationships/hyperlink" Target="https://www.youtube.com/watch?v=OjWTRrWLdrQ" TargetMode="External"/><Relationship Id="rId69" Type="http://schemas.openxmlformats.org/officeDocument/2006/relationships/hyperlink" Target="https://www.youtube.com/watch?v=iLeFoW2Z4j8" TargetMode="External"/><Relationship Id="rId1637" Type="http://schemas.openxmlformats.org/officeDocument/2006/relationships/hyperlink" Target="https://www.mercaba.org/Musica/Religiosa/Carmelo%20Erdozain/15%20cantos%20para%20la%20cena%20del%20se%C3%B1or,%20carmelo%20erdozain/04%20gloria%20a%20dios%20en%2020el%20cielo.mp3" TargetMode="External"/><Relationship Id="rId1704" Type="http://schemas.openxmlformats.org/officeDocument/2006/relationships/hyperlink" Target="https://www.mercaba.org/Musica/Carmelo%20Erdozain/Cerca%20esta%20el%20Se&#241;or/3%20arriesgate.mp3" TargetMode="External"/><Relationship Id="rId285" Type="http://schemas.openxmlformats.org/officeDocument/2006/relationships/hyperlink" Target="https://www.youtube.com/watch?v=NHF0rMqom5Y" TargetMode="External"/><Relationship Id="rId492" Type="http://schemas.openxmlformats.org/officeDocument/2006/relationships/hyperlink" Target="https://www.maristes.cat/sites/default/files/content/nodes/recurs/file/8745/7mariamusicadedios.mp3" TargetMode="External"/><Relationship Id="rId797" Type="http://schemas.openxmlformats.org/officeDocument/2006/relationships/hyperlink" Target="https://www.youtube.com/watch?v=qkoRnuJV6fI" TargetMode="External"/><Relationship Id="rId145" Type="http://schemas.openxmlformats.org/officeDocument/2006/relationships/hyperlink" Target="https://www.youtube.com/watch?v=HCtwvIyrFSk" TargetMode="External"/><Relationship Id="rId352" Type="http://schemas.openxmlformats.org/officeDocument/2006/relationships/hyperlink" Target="https://www.maristes.cat/sites/default/files/content/nodes/recurs/file/9459/trackno05.mp3" TargetMode="External"/><Relationship Id="rId1287" Type="http://schemas.openxmlformats.org/officeDocument/2006/relationships/hyperlink" Target="https://www.youtube.com/watch?v=qaXDpkNKYu0" TargetMode="External"/><Relationship Id="rId212" Type="http://schemas.openxmlformats.org/officeDocument/2006/relationships/hyperlink" Target="https://www.youtube.com/watch?v=vrRGe_GkKoE" TargetMode="External"/><Relationship Id="rId657" Type="http://schemas.openxmlformats.org/officeDocument/2006/relationships/hyperlink" Target="https://www.youtube.com/watch?v=uoEmNvmW6ec" TargetMode="External"/><Relationship Id="rId864" Type="http://schemas.openxmlformats.org/officeDocument/2006/relationships/hyperlink" Target="https://www.youtube.com/watch?v=Fjzhe0suUgM" TargetMode="External"/><Relationship Id="rId1494" Type="http://schemas.openxmlformats.org/officeDocument/2006/relationships/hyperlink" Target="https://www.youtube.com/watch?v=u-_mO_KhCYY" TargetMode="External"/><Relationship Id="rId1799" Type="http://schemas.openxmlformats.org/officeDocument/2006/relationships/hyperlink" Target="https://www.youtube.com/watch?v=ZauZKnDdtaY" TargetMode="External"/><Relationship Id="rId517" Type="http://schemas.openxmlformats.org/officeDocument/2006/relationships/hyperlink" Target="https://www.maristes.cat/sites/default/files/content/nodes/recurs/file/8979/8chaminade.mp3" TargetMode="External"/><Relationship Id="rId724" Type="http://schemas.openxmlformats.org/officeDocument/2006/relationships/hyperlink" Target="https://www.youtube.com/watch?v=9b0im0Xn4sQ" TargetMode="External"/><Relationship Id="rId931" Type="http://schemas.openxmlformats.org/officeDocument/2006/relationships/hyperlink" Target="https://www.youtube.com/watch?v=2JHrwn8Zegs" TargetMode="External"/><Relationship Id="rId1147" Type="http://schemas.openxmlformats.org/officeDocument/2006/relationships/hyperlink" Target="https://www.youtube.com/watch?v=n-VtzSIlgdo" TargetMode="External"/><Relationship Id="rId1354" Type="http://schemas.openxmlformats.org/officeDocument/2006/relationships/hyperlink" Target="https://www.youtube.com/watch?v=HrlRnLh_GgQ" TargetMode="External"/><Relationship Id="rId1561" Type="http://schemas.openxmlformats.org/officeDocument/2006/relationships/hyperlink" Target="https://www.mercaba.org/Musica/Ricardo%20cantalapiedra/Salmos%20de%20Muerte%20y%20de%20Gloria/08%20alabad%20el%20nombre%20de%20yave.mp3" TargetMode="External"/><Relationship Id="rId60" Type="http://schemas.openxmlformats.org/officeDocument/2006/relationships/hyperlink" Target="https://www.youtube.com/watch?v=RZHzMY27QHE" TargetMode="External"/><Relationship Id="rId1007" Type="http://schemas.openxmlformats.org/officeDocument/2006/relationships/hyperlink" Target="https://www.youtube.com/watch?v=y99Dt-hY3ZY" TargetMode="External"/><Relationship Id="rId1214" Type="http://schemas.openxmlformats.org/officeDocument/2006/relationships/hyperlink" Target="https://www.mercaba.org/Musica/Cesareo%20Gabarain/aclamaciones%20para%20la%20celebracion,%20gabarain%20(m)/12%20despues%20de%20la%20consagracion%2001.mp3" TargetMode="External"/><Relationship Id="rId1421" Type="http://schemas.openxmlformats.org/officeDocument/2006/relationships/hyperlink" Target="https://www.youtube.com/watch?v=oxZ8PBwaliY" TargetMode="External"/><Relationship Id="rId1659" Type="http://schemas.openxmlformats.org/officeDocument/2006/relationships/hyperlink" Target="https://www.mercaba.org/Musica/Adviento%20y%20Navidad/Adviento%20Maria%20y%20Navidad/los%20angeles%20cantando%20estan.mp3" TargetMode="External"/><Relationship Id="rId1519" Type="http://schemas.openxmlformats.org/officeDocument/2006/relationships/hyperlink" Target="https://www.youtube.com/watch?v=JwI255uLH1c" TargetMode="External"/><Relationship Id="rId1726" Type="http://schemas.openxmlformats.org/officeDocument/2006/relationships/hyperlink" Target="https://www.mercaba.org/Musica/Carmelo%20Erdozain/Hoy%20he%20Vuelto%20de%20Lejos/4%20compartir%20junto%20al%20se&#241;or.mp3" TargetMode="External"/><Relationship Id="rId18" Type="http://schemas.openxmlformats.org/officeDocument/2006/relationships/hyperlink" Target="https://www.youtube.com/watch?v=oo4lLrdpIBg" TargetMode="External"/><Relationship Id="rId167" Type="http://schemas.openxmlformats.org/officeDocument/2006/relationships/hyperlink" Target="https://www.youtube.com/watch?v=OIGlQ3VsgwU" TargetMode="External"/><Relationship Id="rId374" Type="http://schemas.openxmlformats.org/officeDocument/2006/relationships/hyperlink" Target="https://www.maristes.cat/sites/default/files/content/nodes/recurs/file/8776/2rockdepaz.mp3" TargetMode="External"/><Relationship Id="rId581" Type="http://schemas.openxmlformats.org/officeDocument/2006/relationships/hyperlink" Target="https://www.maristes.cat/sites/default/files/content/nodes/recurs/file/8804/2entucruzsigueshoy.mp3" TargetMode="External"/><Relationship Id="rId234" Type="http://schemas.openxmlformats.org/officeDocument/2006/relationships/hyperlink" Target="https://www.youtube.com/watch?v=HddiT1eexJw" TargetMode="External"/><Relationship Id="rId679" Type="http://schemas.openxmlformats.org/officeDocument/2006/relationships/hyperlink" Target="https://www.youtube.com/watch?v=5tSfxzp_5tg" TargetMode="External"/><Relationship Id="rId886" Type="http://schemas.openxmlformats.org/officeDocument/2006/relationships/hyperlink" Target="https://www.youtube.com/watch?v=1FYGlKuQPaE" TargetMode="External"/><Relationship Id="rId2" Type="http://schemas.openxmlformats.org/officeDocument/2006/relationships/hyperlink" Target="https://www.youtube.com/watch?v=QOoULjmeZ_0" TargetMode="External"/><Relationship Id="rId441" Type="http://schemas.openxmlformats.org/officeDocument/2006/relationships/hyperlink" Target="https://www.maristes.cat/sites/default/files/content/nodes/recurs/file/8876/11eldondelafraternidad.mp3" TargetMode="External"/><Relationship Id="rId539" Type="http://schemas.openxmlformats.org/officeDocument/2006/relationships/hyperlink" Target="https://www.maristes.cat/sites/default/files/content/nodes/recurs/file/8842/6dejaqueentuvidacanteel.mp3" TargetMode="External"/><Relationship Id="rId746" Type="http://schemas.openxmlformats.org/officeDocument/2006/relationships/hyperlink" Target="https://www.youtube.com/watch?v=iDByYdT4ItU" TargetMode="External"/><Relationship Id="rId1071" Type="http://schemas.openxmlformats.org/officeDocument/2006/relationships/hyperlink" Target="https://www.youtube.com/watch?v=0a3RrZJOsqY" TargetMode="External"/><Relationship Id="rId1169" Type="http://schemas.openxmlformats.org/officeDocument/2006/relationships/hyperlink" Target="https://www.youtube.com/watch?v=okemNDjxZh8" TargetMode="External"/><Relationship Id="rId1376" Type="http://schemas.openxmlformats.org/officeDocument/2006/relationships/hyperlink" Target="https://www.youtube.com/watch?v=y9FWhAAGBZ8" TargetMode="External"/><Relationship Id="rId1583" Type="http://schemas.openxmlformats.org/officeDocument/2006/relationships/hyperlink" Target="https://www.youtube.com/watch?v=CAQizIZD-EU" TargetMode="External"/><Relationship Id="rId301" Type="http://schemas.openxmlformats.org/officeDocument/2006/relationships/hyperlink" Target="https://www.youtube.com/watch?v=fujX8xwwvl0" TargetMode="External"/><Relationship Id="rId953" Type="http://schemas.openxmlformats.org/officeDocument/2006/relationships/hyperlink" Target="https://www.youtube.com/watch?v=ZLsxKjmTWvU" TargetMode="External"/><Relationship Id="rId1029" Type="http://schemas.openxmlformats.org/officeDocument/2006/relationships/hyperlink" Target="https://www.youtube.com/watch?v=7YWd9Xp6g3w" TargetMode="External"/><Relationship Id="rId1236" Type="http://schemas.openxmlformats.org/officeDocument/2006/relationships/hyperlink" Target="https://www.mercaba.org/Musica/Cesareo%20Gabarain/Bendito%20eres%20Se%C3%B1or/01%20-%20La%20Alegria%20En%20El%20Perd%C3%B3n.mp3" TargetMode="External"/><Relationship Id="rId1790" Type="http://schemas.openxmlformats.org/officeDocument/2006/relationships/hyperlink" Target="https://www.mercaba.org/Musica/Carmelo%20Erdozain/Hoy%20he%20Vuelto%20de%20Lejos/02%20cantemos%20al%20se%C3%B1or%20de%20tierra%20y%20cielo.mp3" TargetMode="External"/><Relationship Id="rId82" Type="http://schemas.openxmlformats.org/officeDocument/2006/relationships/hyperlink" Target="https://www.youtube.com/watch?v=ADhdS8a5DZ4" TargetMode="External"/><Relationship Id="rId606" Type="http://schemas.openxmlformats.org/officeDocument/2006/relationships/hyperlink" Target="https://www.maristes.cat/sites/default/files/content/nodes/recurs/file/8766/4tocareparati.mp3" TargetMode="External"/><Relationship Id="rId813" Type="http://schemas.openxmlformats.org/officeDocument/2006/relationships/hyperlink" Target="https://www.youtube.com/watch?v=Z-LOiyKAKvQ" TargetMode="External"/><Relationship Id="rId1443" Type="http://schemas.openxmlformats.org/officeDocument/2006/relationships/hyperlink" Target="https://www.mercaba.org/Musica/Cesareo%20Gabarain/Eres%20Tu%20Maria/10%20-%20Dijo%20que%20s%C3%AD%20Mar%C3%ADa.mp3" TargetMode="External"/><Relationship Id="rId1650" Type="http://schemas.openxmlformats.org/officeDocument/2006/relationships/hyperlink" Target="https://www.mercaba.org/Musica/Carmelo%20Erdozain/24%20cantos%20de%20adviento%20y%20navidad,%20carmelo%20erdozain/05%20la%20virgen%20sue%C3%B1a%20caminos.mp3" TargetMode="External"/><Relationship Id="rId1748" Type="http://schemas.openxmlformats.org/officeDocument/2006/relationships/hyperlink" Target="https://www.mercaba.org/Musica/Carmelo%20Erdozain/Nuevos%20Cantos%20Para%20el%20A&#241;o%20Liturgico/6%20venid%20a%20la%20cena.mp3" TargetMode="External"/><Relationship Id="rId1303" Type="http://schemas.openxmlformats.org/officeDocument/2006/relationships/hyperlink" Target="https://www.youtube.com/watch?v=vlLKDVtLZKM" TargetMode="External"/><Relationship Id="rId1510" Type="http://schemas.openxmlformats.org/officeDocument/2006/relationships/hyperlink" Target="https://www.youtube.com/watch?v=tOlvpQQn4ZA" TargetMode="External"/><Relationship Id="rId1608" Type="http://schemas.openxmlformats.org/officeDocument/2006/relationships/hyperlink" Target="https://open.spotify.com/intl-es/track/0wEMrHzDqaERVVdFp0CZiF?si=8ac3f5cfb93c4b94" TargetMode="External"/><Relationship Id="rId1815" Type="http://schemas.openxmlformats.org/officeDocument/2006/relationships/hyperlink" Target="https://www.youtube.com/watch?v=i2E0Jwa7Qcg" TargetMode="External"/><Relationship Id="rId189" Type="http://schemas.openxmlformats.org/officeDocument/2006/relationships/hyperlink" Target="https://www.youtube.com/watch?v=1vOOKFk4OpI" TargetMode="External"/><Relationship Id="rId396" Type="http://schemas.openxmlformats.org/officeDocument/2006/relationships/hyperlink" Target="https://www.maristes.cat/sites/default/files/content/nodes/recurs/file/9024/02-delamano.mp3" TargetMode="External"/><Relationship Id="rId256" Type="http://schemas.openxmlformats.org/officeDocument/2006/relationships/hyperlink" Target="https://www.youtube.com/watch?v=fHLr3WXywWY" TargetMode="External"/><Relationship Id="rId463" Type="http://schemas.openxmlformats.org/officeDocument/2006/relationships/hyperlink" Target="https://www.maristes.cat/sites/default/files/content/nodes/recurs/file/8717/4hablame.mp3" TargetMode="External"/><Relationship Id="rId670" Type="http://schemas.openxmlformats.org/officeDocument/2006/relationships/hyperlink" Target="https://www.youtube.com/watch?v=A53YevNFWVo" TargetMode="External"/><Relationship Id="rId1093" Type="http://schemas.openxmlformats.org/officeDocument/2006/relationships/hyperlink" Target="https://www.youtube.com/watch?v=Y9wRUHUQmtM" TargetMode="External"/><Relationship Id="rId116" Type="http://schemas.openxmlformats.org/officeDocument/2006/relationships/hyperlink" Target="https://www.youtube.com/watch?v=EOyvLOMQ0Vc" TargetMode="External"/><Relationship Id="rId323" Type="http://schemas.openxmlformats.org/officeDocument/2006/relationships/hyperlink" Target="https://www.youtube.com/watch?v=sYb8uETw2xg" TargetMode="External"/><Relationship Id="rId530" Type="http://schemas.openxmlformats.org/officeDocument/2006/relationships/hyperlink" Target="https://www.maristes.cat/sites/default/files/content/nodes/recurs/file/8992/kairoi-profetadelafamilia-07-jesusmariayjose.mp3" TargetMode="External"/><Relationship Id="rId768" Type="http://schemas.openxmlformats.org/officeDocument/2006/relationships/hyperlink" Target="https://www.youtube.com/watch?v=jJP1UYGyhuw" TargetMode="External"/><Relationship Id="rId975" Type="http://schemas.openxmlformats.org/officeDocument/2006/relationships/hyperlink" Target="https://open.spotify.com/intl-es/track/61c2KYQwdLDXO8i1jquizI?si=d911c8eb8adc4bb3" TargetMode="External"/><Relationship Id="rId1160" Type="http://schemas.openxmlformats.org/officeDocument/2006/relationships/hyperlink" Target="https://www.youtube.com/watch?v=otD_GSHLHgk" TargetMode="External"/><Relationship Id="rId1398" Type="http://schemas.openxmlformats.org/officeDocument/2006/relationships/hyperlink" Target="https://www.youtube.com/watch?v=Sd_dDlTQXqw" TargetMode="External"/><Relationship Id="rId628" Type="http://schemas.openxmlformats.org/officeDocument/2006/relationships/hyperlink" Target="https://www.youtube.com/watch?v=ViQlE2MpKes" TargetMode="External"/><Relationship Id="rId835" Type="http://schemas.openxmlformats.org/officeDocument/2006/relationships/hyperlink" Target="https://www.youtube.com/watch?v=NWJ5cOEhBcs" TargetMode="External"/><Relationship Id="rId1258" Type="http://schemas.openxmlformats.org/officeDocument/2006/relationships/hyperlink" Target="https://www.mercaba.org/Musica/Cesareo%20Gabarain/Catequesis%20y%20Cancion/07%20una%20vida%20singular.mp3" TargetMode="External"/><Relationship Id="rId1465" Type="http://schemas.openxmlformats.org/officeDocument/2006/relationships/hyperlink" Target="https://www.mercaba.org/Musica/Cesareo%20Gabarain/Lampara%20de%20Barro/05%20dios%20es%20amor.mp3" TargetMode="External"/><Relationship Id="rId1672" Type="http://schemas.openxmlformats.org/officeDocument/2006/relationships/hyperlink" Target="https://www.mercaba.org/Musica/Carmelo%20Erdozain/24%20cantos%20de%20adviento%20y%20navidad,%20carmelo%20erdozain/3%20se%20acerca%20el%20reino%20de%20dios.mp3" TargetMode="External"/><Relationship Id="rId1020" Type="http://schemas.openxmlformats.org/officeDocument/2006/relationships/hyperlink" Target="https://www.youtube.com/watch?v=t8P6eg12GDY" TargetMode="External"/><Relationship Id="rId1118" Type="http://schemas.openxmlformats.org/officeDocument/2006/relationships/hyperlink" Target="https://www.youtube.com/watch?v=wd4Ymh-lE6E" TargetMode="External"/><Relationship Id="rId1325" Type="http://schemas.openxmlformats.org/officeDocument/2006/relationships/hyperlink" Target="https://www.youtube.com/watch?v=bW_scriToHc" TargetMode="External"/><Relationship Id="rId1532" Type="http://schemas.openxmlformats.org/officeDocument/2006/relationships/hyperlink" Target="https://www.youtube.com/watch?v=7BTm5fqQ_gI" TargetMode="External"/><Relationship Id="rId902" Type="http://schemas.openxmlformats.org/officeDocument/2006/relationships/hyperlink" Target="https://www.youtube.com/watch?v=3UM4mgW5lFc" TargetMode="External"/><Relationship Id="rId31" Type="http://schemas.openxmlformats.org/officeDocument/2006/relationships/hyperlink" Target="https://www.youtube.com/watch?v=Jj8X5vv5LNY" TargetMode="External"/><Relationship Id="rId180" Type="http://schemas.openxmlformats.org/officeDocument/2006/relationships/hyperlink" Target="https://www.youtube.com/watch?v=SuhUIQHbI3s" TargetMode="External"/><Relationship Id="rId278" Type="http://schemas.openxmlformats.org/officeDocument/2006/relationships/hyperlink" Target="https://www.youtube.com/watch?v=EsOVYuZGAP0" TargetMode="External"/><Relationship Id="rId485" Type="http://schemas.openxmlformats.org/officeDocument/2006/relationships/hyperlink" Target="https://www.maristes.cat/sites/default/files/content/nodes/recurs/file/8762/12nuestrasvocescantan.mp3" TargetMode="External"/><Relationship Id="rId692" Type="http://schemas.openxmlformats.org/officeDocument/2006/relationships/hyperlink" Target="https://www.youtube.com/watch?v=PVryASaVosA" TargetMode="External"/><Relationship Id="rId138" Type="http://schemas.openxmlformats.org/officeDocument/2006/relationships/hyperlink" Target="https://www.youtube.com/watch?v=-VdcljDSRgU" TargetMode="External"/><Relationship Id="rId345" Type="http://schemas.openxmlformats.org/officeDocument/2006/relationships/hyperlink" Target="https://www.youtube.com/watch?v=7gb1Tq33ndk" TargetMode="External"/><Relationship Id="rId552" Type="http://schemas.openxmlformats.org/officeDocument/2006/relationships/hyperlink" Target="https://www.maristes.cat/sites/default/files/content/nodes/recurs/file/8884/7loabandonarontodo.mp3" TargetMode="External"/><Relationship Id="rId997" Type="http://schemas.openxmlformats.org/officeDocument/2006/relationships/hyperlink" Target="https://open.spotify.com/intl-es/track/7HmbcncwspOoj4ye48NTUX?si=96dfc4d12d734322" TargetMode="External"/><Relationship Id="rId1182" Type="http://schemas.openxmlformats.org/officeDocument/2006/relationships/hyperlink" Target="https://www.mercaba.org/Musica/Cesareo%20Gabarain/Eres%20Tu%20Maria/02%20-%20En%20el%20trabajo.mp3" TargetMode="External"/><Relationship Id="rId205" Type="http://schemas.openxmlformats.org/officeDocument/2006/relationships/hyperlink" Target="https://www.youtube.com/watch?v=GA6rUqfaYtA" TargetMode="External"/><Relationship Id="rId412" Type="http://schemas.openxmlformats.org/officeDocument/2006/relationships/hyperlink" Target="https://www.maristes.cat/sites/default/files/content/nodes/recurs/file/9015/6scaramouche.mp3" TargetMode="External"/><Relationship Id="rId857" Type="http://schemas.openxmlformats.org/officeDocument/2006/relationships/hyperlink" Target="https://www.youtube.com/watch?v=0FaI-o1DQrY" TargetMode="External"/><Relationship Id="rId1042" Type="http://schemas.openxmlformats.org/officeDocument/2006/relationships/hyperlink" Target="https://www.youtube.com/watch?v=hVch5BD4ZbY" TargetMode="External"/><Relationship Id="rId1487" Type="http://schemas.openxmlformats.org/officeDocument/2006/relationships/hyperlink" Target="https://www.youtube.com/watch?v=mPjkEumgIEU" TargetMode="External"/><Relationship Id="rId1694" Type="http://schemas.openxmlformats.org/officeDocument/2006/relationships/hyperlink" Target="https://www.mercaba.org/Musica/Carmelo%20Erdozain/Cantos%20para%20una%20Comunidad%20Evangelizadora/2%20id%20por%20el%20mundo.mp3" TargetMode="External"/><Relationship Id="rId717" Type="http://schemas.openxmlformats.org/officeDocument/2006/relationships/hyperlink" Target="https://www.youtube.com/watch?v=eXzcrgO4YFE" TargetMode="External"/><Relationship Id="rId924" Type="http://schemas.openxmlformats.org/officeDocument/2006/relationships/hyperlink" Target="https://www.youtube.com/watch?v=8XP8KdBvGQQ" TargetMode="External"/><Relationship Id="rId1347" Type="http://schemas.openxmlformats.org/officeDocument/2006/relationships/hyperlink" Target="https://www.youtube.com/watch?v=D5aF8zJ8uww" TargetMode="External"/><Relationship Id="rId1554" Type="http://schemas.openxmlformats.org/officeDocument/2006/relationships/hyperlink" Target="https://www.mercaba.org/Musica/Ricardo%20cantalapiedra/El%20Profeta/09%20malaventuranzas.mp3" TargetMode="External"/><Relationship Id="rId1761" Type="http://schemas.openxmlformats.org/officeDocument/2006/relationships/hyperlink" Target="https://www.mercaba.org/Musica/Carmelo%20Erdozain/Ven%20y%20Sigueme/3%20en%20el%20lago.mp3" TargetMode="External"/><Relationship Id="rId53" Type="http://schemas.openxmlformats.org/officeDocument/2006/relationships/hyperlink" Target="https://www.youtube.com/watch?v=6Hkwjq8gdQc" TargetMode="External"/><Relationship Id="rId1207" Type="http://schemas.openxmlformats.org/officeDocument/2006/relationships/hyperlink" Target="https://www.mercaba.org/Musica/Cesareo%20Gabarain/aclamaciones%20para%20la%20celebracion,%20gabarain%20(m)/05%20salmo%20responsorial%20cuaresma.mp3" TargetMode="External"/><Relationship Id="rId1414" Type="http://schemas.openxmlformats.org/officeDocument/2006/relationships/hyperlink" Target="https://www.youtube.com/watch?v=gJ4fuGyZaQM" TargetMode="External"/><Relationship Id="rId1621" Type="http://schemas.openxmlformats.org/officeDocument/2006/relationships/hyperlink" Target="https://www.mercaba.org/Musica/Carmelo%20Erdozain/12%20canciones%20religiosas%20y%20liturgicas,%20carmelo%20erdozain/04%20dia%20de%20fiesta%20en%20tu%20altar.mp3" TargetMode="External"/><Relationship Id="rId1719" Type="http://schemas.openxmlformats.org/officeDocument/2006/relationships/hyperlink" Target="https://www.mercaba.org/Musica/Carmelo%20Erdozain/Dios%20es%20Amor/7%20pan%20sabroso.mp3" TargetMode="External"/><Relationship Id="rId367" Type="http://schemas.openxmlformats.org/officeDocument/2006/relationships/hyperlink" Target="https://www.maristes.cat/sites/default/files/content/nodes/recurs/file/8679/7elespiritudelsenor.mp3" TargetMode="External"/><Relationship Id="rId574" Type="http://schemas.openxmlformats.org/officeDocument/2006/relationships/hyperlink" Target="https://www.maristes.cat/sites/default/files/content/nodes/recurs/file/8732/06quienmeayuda.mp3" TargetMode="External"/><Relationship Id="rId227" Type="http://schemas.openxmlformats.org/officeDocument/2006/relationships/hyperlink" Target="https://www.youtube.com/watch?v=DVm04FWhkV8" TargetMode="External"/><Relationship Id="rId781" Type="http://schemas.openxmlformats.org/officeDocument/2006/relationships/hyperlink" Target="https://www.youtube.com/watch?v=FK20qvW679Y" TargetMode="External"/><Relationship Id="rId879" Type="http://schemas.openxmlformats.org/officeDocument/2006/relationships/hyperlink" Target="https://www.youtube.com/watch?v=bO_KS85NMyE" TargetMode="External"/><Relationship Id="rId434" Type="http://schemas.openxmlformats.org/officeDocument/2006/relationships/hyperlink" Target="https://www.maristes.cat/sites/default/files/content/nodes/recurs/file/8869/4jesusteama.mp3" TargetMode="External"/><Relationship Id="rId641" Type="http://schemas.openxmlformats.org/officeDocument/2006/relationships/hyperlink" Target="https://www.youtube.com/watch?v=c60A4K7c7xo" TargetMode="External"/><Relationship Id="rId739" Type="http://schemas.openxmlformats.org/officeDocument/2006/relationships/hyperlink" Target="https://www.youtube.com/watch?v=KatC2n-q3dI" TargetMode="External"/><Relationship Id="rId1064" Type="http://schemas.openxmlformats.org/officeDocument/2006/relationships/hyperlink" Target="https://www.youtube.com/watch?v=57Iz4l5TRrU" TargetMode="External"/><Relationship Id="rId1271" Type="http://schemas.openxmlformats.org/officeDocument/2006/relationships/hyperlink" Target="https://www.mercaba.org/Musica/Cesareo%20Gabarain/Dios%20con%20Nosotros/06%20-%20Se%C3%B1or,%20me%20has%20llamado%20amigo.mp3" TargetMode="External"/><Relationship Id="rId1369" Type="http://schemas.openxmlformats.org/officeDocument/2006/relationships/hyperlink" Target="https://www.youtube.com/watch?v=lQts8v5ZoSw" TargetMode="External"/><Relationship Id="rId1576" Type="http://schemas.openxmlformats.org/officeDocument/2006/relationships/hyperlink" Target="https://www.youtube.com/watch?v=38zZt_pVBRg" TargetMode="External"/><Relationship Id="rId501" Type="http://schemas.openxmlformats.org/officeDocument/2006/relationships/hyperlink" Target="https://www.maristes.cat/sites/default/files/content/nodes/recurs/file/8905/5unkiriemas.mp3" TargetMode="External"/><Relationship Id="rId946" Type="http://schemas.openxmlformats.org/officeDocument/2006/relationships/hyperlink" Target="https://www.youtube.com/watch?v=reGIyPPVyyM" TargetMode="External"/><Relationship Id="rId1131" Type="http://schemas.openxmlformats.org/officeDocument/2006/relationships/hyperlink" Target="https://www.youtube.com/watch?v=WtNo-RjmcBM" TargetMode="External"/><Relationship Id="rId1229" Type="http://schemas.openxmlformats.org/officeDocument/2006/relationships/hyperlink" Target="https://www.mercaba.org/Musica/Cesareo%20Gabarain/Al%20Atardecer%20de%20la%20Vida/07%20-%20Yo%20soy%20el%20pan%20de%20la%20vida.mp3" TargetMode="External"/><Relationship Id="rId1783" Type="http://schemas.openxmlformats.org/officeDocument/2006/relationships/hyperlink" Target="https://www.youtube.com/watch?v=Kr-t7koASpI" TargetMode="External"/><Relationship Id="rId75" Type="http://schemas.openxmlformats.org/officeDocument/2006/relationships/hyperlink" Target="https://www.youtube.com/watch?v=8iFE-meAUI4" TargetMode="External"/><Relationship Id="rId806" Type="http://schemas.openxmlformats.org/officeDocument/2006/relationships/hyperlink" Target="https://www.youtube.com/watch?v=lUu9gLQKgNI" TargetMode="External"/><Relationship Id="rId1436" Type="http://schemas.openxmlformats.org/officeDocument/2006/relationships/hyperlink" Target="https://www.mercaba.org/Musica/Cesareo%20Gabarain/Eres%20Tu%20Maria/03%20-%20Como%20a%20su%20Madre%20acuden.mp3" TargetMode="External"/><Relationship Id="rId1643" Type="http://schemas.openxmlformats.org/officeDocument/2006/relationships/hyperlink" Target="https://www.mercaba.org/Musica/Carmelo%20Erdozain/15%20cantos%20para%20la%20cena%20del%20se%C3%B1or,%20carmelo%20erdozain/10%20el%20se%C3%B1or%20nos%20invita%20a%20su%20mesa.mp3" TargetMode="External"/><Relationship Id="rId1503" Type="http://schemas.openxmlformats.org/officeDocument/2006/relationships/hyperlink" Target="https://www.youtube.com/watch?v=_PBvJJw7kwk" TargetMode="External"/><Relationship Id="rId1710" Type="http://schemas.openxmlformats.org/officeDocument/2006/relationships/hyperlink" Target="https://www.mercaba.org/Musica/Carmelo%20Erdozain/Cerca%20esta%20el%20Se&#241;or/9%20hagase%20en%20mi.mp3" TargetMode="External"/><Relationship Id="rId291" Type="http://schemas.openxmlformats.org/officeDocument/2006/relationships/hyperlink" Target="https://www.youtube.com/watch?v=00JxYPaoy3o" TargetMode="External"/><Relationship Id="rId1808" Type="http://schemas.openxmlformats.org/officeDocument/2006/relationships/hyperlink" Target="https://www.youtube.com/watch?v=GdCfmbKld9Q" TargetMode="External"/><Relationship Id="rId151" Type="http://schemas.openxmlformats.org/officeDocument/2006/relationships/hyperlink" Target="https://www.youtube.com/watch?v=7_OFDsvHNVE" TargetMode="External"/><Relationship Id="rId389" Type="http://schemas.openxmlformats.org/officeDocument/2006/relationships/hyperlink" Target="https://www.maristes.cat/sites/default/files/content/nodes/recurs/file/8918/5fraternidad.mp3" TargetMode="External"/><Relationship Id="rId596" Type="http://schemas.openxmlformats.org/officeDocument/2006/relationships/hyperlink" Target="https://www.maristes.cat/sites/default/files/content/nodes/recurs/file/8957/4comomaria.mp3" TargetMode="External"/><Relationship Id="rId249" Type="http://schemas.openxmlformats.org/officeDocument/2006/relationships/hyperlink" Target="https://www.youtube.com/watch?v=lQQEXqby16w" TargetMode="External"/><Relationship Id="rId456" Type="http://schemas.openxmlformats.org/officeDocument/2006/relationships/hyperlink" Target="https://www.maristes.cat/sites/default/files/content/nodes/recurs/file/8862/9bienaventuranzas.mp3" TargetMode="External"/><Relationship Id="rId663" Type="http://schemas.openxmlformats.org/officeDocument/2006/relationships/hyperlink" Target="https://www.youtube.com/watch?v=IEhHCMeiSuc" TargetMode="External"/><Relationship Id="rId870" Type="http://schemas.openxmlformats.org/officeDocument/2006/relationships/hyperlink" Target="https://www.youtube.com/watch?v=ABHgC4sh2uY" TargetMode="External"/><Relationship Id="rId1086" Type="http://schemas.openxmlformats.org/officeDocument/2006/relationships/hyperlink" Target="https://www.youtube.com/watch?v=wCe1Z_eFnn0" TargetMode="External"/><Relationship Id="rId1293" Type="http://schemas.openxmlformats.org/officeDocument/2006/relationships/hyperlink" Target="https://www.youtube.com/watch?v=0XMbYZwSFmI" TargetMode="External"/><Relationship Id="rId109" Type="http://schemas.openxmlformats.org/officeDocument/2006/relationships/hyperlink" Target="https://www.youtube.com/watch?v=4RA9z_3Cc3U" TargetMode="External"/><Relationship Id="rId316" Type="http://schemas.openxmlformats.org/officeDocument/2006/relationships/hyperlink" Target="https://www.youtube.com/watch?v=fgqnkDOlXXY" TargetMode="External"/><Relationship Id="rId523" Type="http://schemas.openxmlformats.org/officeDocument/2006/relationships/hyperlink" Target="https://www.maristes.cat/sites/default/files/content/nodes/recurs/file/8985/14unsolocorazon.mp3" TargetMode="External"/><Relationship Id="rId968" Type="http://schemas.openxmlformats.org/officeDocument/2006/relationships/hyperlink" Target="https://www.youtube.com/watch?v=ubCNscvnoYI" TargetMode="External"/><Relationship Id="rId1153" Type="http://schemas.openxmlformats.org/officeDocument/2006/relationships/hyperlink" Target="https://www.youtube.com/watch?v=fikgAIg5M2U" TargetMode="External"/><Relationship Id="rId1598" Type="http://schemas.openxmlformats.org/officeDocument/2006/relationships/hyperlink" Target="https://www.youtube.com/watch?v=NGEVVMTGiPE" TargetMode="External"/><Relationship Id="rId97" Type="http://schemas.openxmlformats.org/officeDocument/2006/relationships/hyperlink" Target="https://www.youtube.com/watch?v=huv1QCkTcBs" TargetMode="External"/><Relationship Id="rId730" Type="http://schemas.openxmlformats.org/officeDocument/2006/relationships/hyperlink" Target="https://www.youtube.com/watch?v=G7gS0D6Dsk8" TargetMode="External"/><Relationship Id="rId828" Type="http://schemas.openxmlformats.org/officeDocument/2006/relationships/hyperlink" Target="https://www.youtube.com/watch?v=kVb4E74Ihcg" TargetMode="External"/><Relationship Id="rId1013" Type="http://schemas.openxmlformats.org/officeDocument/2006/relationships/hyperlink" Target="https://www.youtube.com/watch?v=ZIQNeRw6Evw" TargetMode="External"/><Relationship Id="rId1360" Type="http://schemas.openxmlformats.org/officeDocument/2006/relationships/hyperlink" Target="https://www.youtube.com/watch?v=7RVmVtwhJTU" TargetMode="External"/><Relationship Id="rId1458" Type="http://schemas.openxmlformats.org/officeDocument/2006/relationships/hyperlink" Target="https://www.mercaba.org/Musica/Cesareo%20Gabarain/La%20Misa%20es%20una%20Fiesta/09%20santo%20santo.mp3" TargetMode="External"/><Relationship Id="rId1665" Type="http://schemas.openxmlformats.org/officeDocument/2006/relationships/hyperlink" Target="https://www.mercaba.org/Musica/Adviento%20y%20Navidad/Adviento%20Maria%20y%20Navidad/sopla%20el%20viento.mp3" TargetMode="External"/><Relationship Id="rId1220" Type="http://schemas.openxmlformats.org/officeDocument/2006/relationships/hyperlink" Target="https://www.mercaba.org/Musica/Cesareo%20Gabarain/aclamaciones%20para%20la%20celebracion,%20gabarain%20(m)/18%20aclamacion%20navidad.mp3" TargetMode="External"/><Relationship Id="rId1318" Type="http://schemas.openxmlformats.org/officeDocument/2006/relationships/hyperlink" Target="https://www.youtube.com/watch?v=PAuHE3Csl1g" TargetMode="External"/><Relationship Id="rId1525" Type="http://schemas.openxmlformats.org/officeDocument/2006/relationships/hyperlink" Target="https://www.youtube.com/watch?v=qRD-tD4P55Q" TargetMode="External"/><Relationship Id="rId1732" Type="http://schemas.openxmlformats.org/officeDocument/2006/relationships/hyperlink" Target="https://www.mercaba.org/Musica/Carmelo%20Erdozain/Hoy%20he%20Vuelto%20de%20Lejos/10%20gracias%20se&#241;or%20por%20tu%20palabra.mp3" TargetMode="External"/><Relationship Id="rId24" Type="http://schemas.openxmlformats.org/officeDocument/2006/relationships/hyperlink" Target="https://www.youtube.com/watch?v=V86NBrzhSAo" TargetMode="External"/><Relationship Id="rId173" Type="http://schemas.openxmlformats.org/officeDocument/2006/relationships/hyperlink" Target="https://www.youtube.com/watch?v=uQ77we5P0_M" TargetMode="External"/><Relationship Id="rId380" Type="http://schemas.openxmlformats.org/officeDocument/2006/relationships/hyperlink" Target="https://www.maristes.cat/sites/default/files/content/nodes/recurs/file/8782/8keneechinekenna.mp3" TargetMode="External"/><Relationship Id="rId240" Type="http://schemas.openxmlformats.org/officeDocument/2006/relationships/hyperlink" Target="https://www.youtube.com/watch?v=_E1w-3HzchA" TargetMode="External"/><Relationship Id="rId478" Type="http://schemas.openxmlformats.org/officeDocument/2006/relationships/hyperlink" Target="https://www.maristes.cat/sites/default/files/content/nodes/recurs/file/8753/3hermitagecasadelsenor.mp3" TargetMode="External"/><Relationship Id="rId685" Type="http://schemas.openxmlformats.org/officeDocument/2006/relationships/hyperlink" Target="https://www.youtube.com/watch?v=I2m01aEaXkI" TargetMode="External"/><Relationship Id="rId892" Type="http://schemas.openxmlformats.org/officeDocument/2006/relationships/hyperlink" Target="https://www.youtube.com/watch?v=F2A3FYBB67o" TargetMode="External"/><Relationship Id="rId100" Type="http://schemas.openxmlformats.org/officeDocument/2006/relationships/hyperlink" Target="https://www.youtube.com/watch?v=2r_UBmzxztE" TargetMode="External"/><Relationship Id="rId338" Type="http://schemas.openxmlformats.org/officeDocument/2006/relationships/hyperlink" Target="https://www.youtube.com/watch?v=E_ZKsPdIe9E" TargetMode="External"/><Relationship Id="rId545" Type="http://schemas.openxmlformats.org/officeDocument/2006/relationships/hyperlink" Target="https://www.maristes.cat/sites/default/files/content/nodes/recurs/file/8848/12yonohepodidoserbueno.mp3" TargetMode="External"/><Relationship Id="rId752" Type="http://schemas.openxmlformats.org/officeDocument/2006/relationships/hyperlink" Target="https://www.youtube.com/watch?v=rHozyLHW_QI" TargetMode="External"/><Relationship Id="rId1175" Type="http://schemas.openxmlformats.org/officeDocument/2006/relationships/hyperlink" Target="https://www.mercaba.org/Musica/Cesareo%20Gabarain/La%20Fuerza%20del%20Espiritu/07%20-%20Creo%20en%20Dios%20Amor.mp3" TargetMode="External"/><Relationship Id="rId1382" Type="http://schemas.openxmlformats.org/officeDocument/2006/relationships/hyperlink" Target="https://www.youtube.com/watch?v=GM8G5Wcpxo0" TargetMode="External"/><Relationship Id="rId405" Type="http://schemas.openxmlformats.org/officeDocument/2006/relationships/hyperlink" Target="https://www.maristes.cat/sites/default/files/content/nodes/recurs/file/9033/11-siyocambiara.mp3" TargetMode="External"/><Relationship Id="rId612" Type="http://schemas.openxmlformats.org/officeDocument/2006/relationships/hyperlink" Target="https://www.maristes.cat/sites/default/files/content/nodes/recurs/file/8772/10padrenuestro.mp3" TargetMode="External"/><Relationship Id="rId1035" Type="http://schemas.openxmlformats.org/officeDocument/2006/relationships/hyperlink" Target="https://www.mercaba.org/Musica/Cesareo%20Gabarain/Dios%20con%20Nosotros/08%20-%20Pescador%20de%20hombres.mp3" TargetMode="External"/><Relationship Id="rId1242" Type="http://schemas.openxmlformats.org/officeDocument/2006/relationships/hyperlink" Target="https://www.mercaba.org/Musica/Cesareo%20Gabarain/Bendito%20eres%20Se%C3%B1or/07%20-%20Tu%20Que%20Caminas%20Sobre%20La%20Mar.mp3" TargetMode="External"/><Relationship Id="rId1687" Type="http://schemas.openxmlformats.org/officeDocument/2006/relationships/hyperlink" Target="https://www.mercaba.org/Musica/Carmelo%20Erdozain/Cantos%20para%20Participar%20y%20Vivir/10%20con%20alegria%20y%20hermandad.mp3" TargetMode="External"/><Relationship Id="rId917" Type="http://schemas.openxmlformats.org/officeDocument/2006/relationships/hyperlink" Target="https://www.youtube.com/watch?v=IkffnCL0BOU" TargetMode="External"/><Relationship Id="rId1102" Type="http://schemas.openxmlformats.org/officeDocument/2006/relationships/hyperlink" Target="https://www.youtube.com/watch?v=QKjhW4oaIrA" TargetMode="External"/><Relationship Id="rId1547" Type="http://schemas.openxmlformats.org/officeDocument/2006/relationships/hyperlink" Target="https://www.mercaba.org/Musica/Ricardo%20cantalapiedra/Canciones%20de%20Ricardo%20C/11%20no%20te%20conozco.mp3" TargetMode="External"/><Relationship Id="rId1754" Type="http://schemas.openxmlformats.org/officeDocument/2006/relationships/hyperlink" Target="https://www.mercaba.org/Musica/Carmelo%20Erdozain/Preparad%20los%20Caminos/4%20la%20virgen%20sue&#241;a%20caminos.mp3" TargetMode="External"/><Relationship Id="rId46" Type="http://schemas.openxmlformats.org/officeDocument/2006/relationships/hyperlink" Target="https://www.youtube.com/watch?v=v3KER0rmj3s" TargetMode="External"/><Relationship Id="rId1407" Type="http://schemas.openxmlformats.org/officeDocument/2006/relationships/hyperlink" Target="https://www.youtube.com/watch?v=0HlCxk3ndqg" TargetMode="External"/><Relationship Id="rId1614" Type="http://schemas.openxmlformats.org/officeDocument/2006/relationships/hyperlink" Target="https://www.youtube.com/watch?v=LAm6fIEzM2c" TargetMode="External"/><Relationship Id="rId1821" Type="http://schemas.openxmlformats.org/officeDocument/2006/relationships/table" Target="../tables/table2.xml"/><Relationship Id="rId195" Type="http://schemas.openxmlformats.org/officeDocument/2006/relationships/hyperlink" Target="https://www.youtube.com/watch?v=y0WWImWW0u0" TargetMode="External"/><Relationship Id="rId262" Type="http://schemas.openxmlformats.org/officeDocument/2006/relationships/hyperlink" Target="https://www.youtube.com/watch?v=xp2CZ51XMEo" TargetMode="External"/><Relationship Id="rId567" Type="http://schemas.openxmlformats.org/officeDocument/2006/relationships/hyperlink" Target="https://www.maristes.cat/sites/default/files/content/nodes/recurs/file/8948/13hermanoadios.mp3" TargetMode="External"/><Relationship Id="rId1197" Type="http://schemas.openxmlformats.org/officeDocument/2006/relationships/hyperlink" Target="https://www.mercaba.org/Musica/Cesareo%20Gabarain/Liturgia%20y%20Cancion/07%20una%20espiga.mp3" TargetMode="External"/><Relationship Id="rId122" Type="http://schemas.openxmlformats.org/officeDocument/2006/relationships/hyperlink" Target="https://www.youtube.com/watch?v=QAGi6jvnonM" TargetMode="External"/><Relationship Id="rId774" Type="http://schemas.openxmlformats.org/officeDocument/2006/relationships/hyperlink" Target="https://www.youtube.com/watch?v=nnFrxZra39I" TargetMode="External"/><Relationship Id="rId981" Type="http://schemas.openxmlformats.org/officeDocument/2006/relationships/hyperlink" Target="https://open.spotify.com/intl-es/track/4uJP6RGSfzBkoXfm8CACfz?si=73a58ca5c1414e95" TargetMode="External"/><Relationship Id="rId1057" Type="http://schemas.openxmlformats.org/officeDocument/2006/relationships/hyperlink" Target="https://www.youtube.com/watch?v=1sd9wQKZNQw" TargetMode="External"/><Relationship Id="rId427" Type="http://schemas.openxmlformats.org/officeDocument/2006/relationships/hyperlink" Target="https://www.maristes.cat/sites/default/files/content/nodes/recurs/file/8934/trackno10.mp3" TargetMode="External"/><Relationship Id="rId634" Type="http://schemas.openxmlformats.org/officeDocument/2006/relationships/hyperlink" Target="https://www.youtube.com/watch?v=s3ah9LVIprk" TargetMode="External"/><Relationship Id="rId841" Type="http://schemas.openxmlformats.org/officeDocument/2006/relationships/hyperlink" Target="https://www.youtube.com/watch?v=Etb_twj8Goo" TargetMode="External"/><Relationship Id="rId1264" Type="http://schemas.openxmlformats.org/officeDocument/2006/relationships/hyperlink" Target="https://www.mercaba.org/Musica/Cesareo%20Gabarain/Catequesis%20y%20Cancion/13%20ya%20viene%20el%20ni%C3%B1ito.mp3" TargetMode="External"/><Relationship Id="rId1471" Type="http://schemas.openxmlformats.org/officeDocument/2006/relationships/hyperlink" Target="https://www.youtube.com/watch?v=-fYxJtrHbLI" TargetMode="External"/><Relationship Id="rId1569" Type="http://schemas.openxmlformats.org/officeDocument/2006/relationships/hyperlink" Target="https://www.youtube.com/watch?v=pUleNXoHA4g" TargetMode="External"/><Relationship Id="rId701" Type="http://schemas.openxmlformats.org/officeDocument/2006/relationships/hyperlink" Target="https://www.youtube.com/watch?v=j5fUZM__VI4" TargetMode="External"/><Relationship Id="rId939" Type="http://schemas.openxmlformats.org/officeDocument/2006/relationships/hyperlink" Target="https://www.youtube.com/watch?v=wQoRNoFS_-k" TargetMode="External"/><Relationship Id="rId1124" Type="http://schemas.openxmlformats.org/officeDocument/2006/relationships/hyperlink" Target="https://www.youtube.com/watch?v=lPX674Wuk3w" TargetMode="External"/><Relationship Id="rId1331" Type="http://schemas.openxmlformats.org/officeDocument/2006/relationships/hyperlink" Target="https://www.youtube.com/watch?v=H3Uol9XuKDM" TargetMode="External"/><Relationship Id="rId1776" Type="http://schemas.openxmlformats.org/officeDocument/2006/relationships/hyperlink" Target="https://www.youtube.com/watch?v=8rVImgQpIp0" TargetMode="External"/><Relationship Id="rId68" Type="http://schemas.openxmlformats.org/officeDocument/2006/relationships/hyperlink" Target="https://www.youtube.com/watch?v=UruH6CJIS6M" TargetMode="External"/><Relationship Id="rId1429" Type="http://schemas.openxmlformats.org/officeDocument/2006/relationships/hyperlink" Target="https://www.mercaba.org/Musica/Cesareo%20Gabarain/En%20Medio%20de%20la%20Noche/05%20a%20media%20noche%20en%20un%20portal.mp3" TargetMode="External"/><Relationship Id="rId1636" Type="http://schemas.openxmlformats.org/officeDocument/2006/relationships/hyperlink" Target="https://www.mercaba.org/Musica/Carmelo%20Erdozain/15%20cantos%20para%20la%20cena%20del%20se%C3%B1or,%20carmelo%20erdozain/03%20kyrie%20eleison.mp3" TargetMode="External"/><Relationship Id="rId1703" Type="http://schemas.openxmlformats.org/officeDocument/2006/relationships/hyperlink" Target="https://www.mercaba.org/Musica/Carmelo%20Erdozain/Cerca%20esta%20el%20Se&#241;or/2%20santo.mp3" TargetMode="External"/><Relationship Id="rId284" Type="http://schemas.openxmlformats.org/officeDocument/2006/relationships/hyperlink" Target="https://www.youtube.com/watch?v=aC0uEwTgsYU" TargetMode="External"/><Relationship Id="rId491" Type="http://schemas.openxmlformats.org/officeDocument/2006/relationships/hyperlink" Target="https://www.maristes.cat/sites/default/files/content/nodes/recurs/file/8744/6graciasmadre.mp3" TargetMode="External"/><Relationship Id="rId144" Type="http://schemas.openxmlformats.org/officeDocument/2006/relationships/hyperlink" Target="https://www.youtube.com/watch?v=RDeL9aZBMlk" TargetMode="External"/><Relationship Id="rId589" Type="http://schemas.openxmlformats.org/officeDocument/2006/relationships/hyperlink" Target="https://www.maristes.cat/sites/default/files/content/nodes/recurs/file/8811/9pregonpascual.mp3" TargetMode="External"/><Relationship Id="rId796" Type="http://schemas.openxmlformats.org/officeDocument/2006/relationships/hyperlink" Target="https://www.youtube.com/watch?v=O2JKvhMNhyo" TargetMode="External"/><Relationship Id="rId351" Type="http://schemas.openxmlformats.org/officeDocument/2006/relationships/hyperlink" Target="https://www.maristes.cat/sites/default/files/content/nodes/recurs/file/9458/trackno04.mp3" TargetMode="External"/><Relationship Id="rId449" Type="http://schemas.openxmlformats.org/officeDocument/2006/relationships/hyperlink" Target="https://www.maristes.cat/sites/default/files/content/nodes/recurs/file/8851/2mehasseducidosenor.mp3" TargetMode="External"/><Relationship Id="rId656" Type="http://schemas.openxmlformats.org/officeDocument/2006/relationships/hyperlink" Target="https://www.youtube.com/watch?v=A6PxqOLW_nU" TargetMode="External"/><Relationship Id="rId863" Type="http://schemas.openxmlformats.org/officeDocument/2006/relationships/hyperlink" Target="https://www.youtube.com/watch?v=Cwjg6eBBZMo" TargetMode="External"/><Relationship Id="rId1079" Type="http://schemas.openxmlformats.org/officeDocument/2006/relationships/hyperlink" Target="https://www.youtube.com/watch?v=GvH7tLV37X4" TargetMode="External"/><Relationship Id="rId1286" Type="http://schemas.openxmlformats.org/officeDocument/2006/relationships/hyperlink" Target="https://www.youtube.com/watch?v=2Eb67pp-UQA" TargetMode="External"/><Relationship Id="rId1493" Type="http://schemas.openxmlformats.org/officeDocument/2006/relationships/hyperlink" Target="https://www.youtube.com/watch?v=4gCnR2n05w8" TargetMode="External"/><Relationship Id="rId211" Type="http://schemas.openxmlformats.org/officeDocument/2006/relationships/hyperlink" Target="https://www.youtube.com/watch?v=S9RQcjC7WD4" TargetMode="External"/><Relationship Id="rId309" Type="http://schemas.openxmlformats.org/officeDocument/2006/relationships/hyperlink" Target="https://www.youtube.com/watch?v=P8onw2SbEis" TargetMode="External"/><Relationship Id="rId516" Type="http://schemas.openxmlformats.org/officeDocument/2006/relationships/hyperlink" Target="https://www.maristes.cat/sites/default/files/content/nodes/recurs/file/8978/7pequenocorazon.mp3" TargetMode="External"/><Relationship Id="rId1146" Type="http://schemas.openxmlformats.org/officeDocument/2006/relationships/hyperlink" Target="https://www.youtube.com/watch?v=S_-1D4492Ec" TargetMode="External"/><Relationship Id="rId1798" Type="http://schemas.openxmlformats.org/officeDocument/2006/relationships/hyperlink" Target="https://www.youtube.com/watch?v=wLmNxQ_zD_4" TargetMode="External"/><Relationship Id="rId723" Type="http://schemas.openxmlformats.org/officeDocument/2006/relationships/hyperlink" Target="https://www.youtube.com/watch?v=m6N_QxNTGOc" TargetMode="External"/><Relationship Id="rId930" Type="http://schemas.openxmlformats.org/officeDocument/2006/relationships/hyperlink" Target="https://www.youtube.com/watch?v=Ecv7pTkrWSY" TargetMode="External"/><Relationship Id="rId1006" Type="http://schemas.openxmlformats.org/officeDocument/2006/relationships/hyperlink" Target="https://www.youtube.com/watch?v=51seIPuZr2I" TargetMode="External"/><Relationship Id="rId1353" Type="http://schemas.openxmlformats.org/officeDocument/2006/relationships/hyperlink" Target="https://www.youtube.com/watch?v=B4_ajqK8wwM" TargetMode="External"/><Relationship Id="rId1560" Type="http://schemas.openxmlformats.org/officeDocument/2006/relationships/hyperlink" Target="https://www.mercaba.org/Musica/Ricardo%20cantalapiedra/Salmos%20de%20Muerte%20y%20de%20Gloria/07%20adoracion%20de%20la%20cruz.mp3" TargetMode="External"/><Relationship Id="rId1658" Type="http://schemas.openxmlformats.org/officeDocument/2006/relationships/hyperlink" Target="https://www.mercaba.org/Musica/Adviento%20y%20Navidad/Adviento%20Maria%20y%20Navidad/llego%20la%20noche.mp3" TargetMode="External"/><Relationship Id="rId1213" Type="http://schemas.openxmlformats.org/officeDocument/2006/relationships/hyperlink" Target="https://www.mercaba.org/Musica/Cesareo%20Gabarain/aclamaciones%20para%20la%20celebracion,%20gabarain%20(m)/11%20despues%20del%20evangelio%2002.mp3" TargetMode="External"/><Relationship Id="rId1420" Type="http://schemas.openxmlformats.org/officeDocument/2006/relationships/hyperlink" Target="https://www.youtube.com/watch?v=51fAtEUHUio" TargetMode="External"/><Relationship Id="rId1518" Type="http://schemas.openxmlformats.org/officeDocument/2006/relationships/hyperlink" Target="https://www.youtube.com/watch?v=chELSKIfgYQ" TargetMode="External"/><Relationship Id="rId1725" Type="http://schemas.openxmlformats.org/officeDocument/2006/relationships/hyperlink" Target="https://www.mercaba.org/Musica/Carmelo%20Erdozain/Hoy%20he%20Vuelto%20de%20Lejos/3%20porque%20eres%20bueno%20se&#241;or.mp3" TargetMode="External"/><Relationship Id="rId17" Type="http://schemas.openxmlformats.org/officeDocument/2006/relationships/hyperlink" Target="https://www.youtube.com/watch?v=whLQp8Pq58g" TargetMode="External"/><Relationship Id="rId166" Type="http://schemas.openxmlformats.org/officeDocument/2006/relationships/hyperlink" Target="https://www.youtube.com/watch?v=EOdBhPwOKvs" TargetMode="External"/><Relationship Id="rId373" Type="http://schemas.openxmlformats.org/officeDocument/2006/relationships/hyperlink" Target="https://www.maristes.cat/sites/default/files/content/nodes/recurs/file/8775/1estuamigoes.mp3" TargetMode="External"/><Relationship Id="rId580" Type="http://schemas.openxmlformats.org/officeDocument/2006/relationships/hyperlink" Target="https://www.maristes.cat/sites/default/files/content/nodes/recurs/file/8803/1gloriahosana.mp3" TargetMode="External"/><Relationship Id="rId1" Type="http://schemas.openxmlformats.org/officeDocument/2006/relationships/hyperlink" Target="https://www.youtube.com/watch?v=sYD6wlOh578" TargetMode="External"/><Relationship Id="rId233" Type="http://schemas.openxmlformats.org/officeDocument/2006/relationships/hyperlink" Target="https://www.youtube.com/watch?v=WzusA3oOAyg" TargetMode="External"/><Relationship Id="rId440" Type="http://schemas.openxmlformats.org/officeDocument/2006/relationships/hyperlink" Target="https://www.maristes.cat/sites/default/files/content/nodes/recurs/file/8875/10sivamosdesnudosporcristo.mp3" TargetMode="External"/><Relationship Id="rId678" Type="http://schemas.openxmlformats.org/officeDocument/2006/relationships/hyperlink" Target="https://www.youtube.com/watch?v=svph2ni-aT8" TargetMode="External"/><Relationship Id="rId885" Type="http://schemas.openxmlformats.org/officeDocument/2006/relationships/hyperlink" Target="https://www.youtube.com/watch?v=mtMx1XR_eVA" TargetMode="External"/><Relationship Id="rId1070" Type="http://schemas.openxmlformats.org/officeDocument/2006/relationships/hyperlink" Target="https://www.youtube.com/watch?v=XSS8VwOlhno" TargetMode="External"/><Relationship Id="rId300" Type="http://schemas.openxmlformats.org/officeDocument/2006/relationships/hyperlink" Target="https://www.youtube.com/watch?v=LC7J6tTzUMo" TargetMode="External"/><Relationship Id="rId538" Type="http://schemas.openxmlformats.org/officeDocument/2006/relationships/hyperlink" Target="https://www.maristes.cat/sites/default/files/content/nodes/recurs/file/8841/5nohayllorosporunninomuerto.mp3" TargetMode="External"/><Relationship Id="rId745" Type="http://schemas.openxmlformats.org/officeDocument/2006/relationships/hyperlink" Target="https://www.youtube.com/watch?v=6liNeAKv9II" TargetMode="External"/><Relationship Id="rId952" Type="http://schemas.openxmlformats.org/officeDocument/2006/relationships/hyperlink" Target="https://www.youtube.com/watch?v=PZe14eFmXLs" TargetMode="External"/><Relationship Id="rId1168" Type="http://schemas.openxmlformats.org/officeDocument/2006/relationships/hyperlink" Target="https://www.youtube.com/watch?v=J3cob5AYHWs" TargetMode="External"/><Relationship Id="rId1375" Type="http://schemas.openxmlformats.org/officeDocument/2006/relationships/hyperlink" Target="https://www.youtube.com/watch?v=MYUICsugyB8" TargetMode="External"/><Relationship Id="rId1582" Type="http://schemas.openxmlformats.org/officeDocument/2006/relationships/hyperlink" Target="https://www.youtube.com/watch?v=ULEQzpjwKKo" TargetMode="External"/><Relationship Id="rId81" Type="http://schemas.openxmlformats.org/officeDocument/2006/relationships/hyperlink" Target="https://www.youtube.com/watch?v=LtDM7PhDCGc" TargetMode="External"/><Relationship Id="rId605" Type="http://schemas.openxmlformats.org/officeDocument/2006/relationships/hyperlink" Target="https://www.maristes.cat/sites/default/files/content/nodes/recurs/file/8765/3alabotubondad.mp3" TargetMode="External"/><Relationship Id="rId812" Type="http://schemas.openxmlformats.org/officeDocument/2006/relationships/hyperlink" Target="https://www.youtube.com/watch?v=beFI9hzhQxg" TargetMode="External"/><Relationship Id="rId1028" Type="http://schemas.openxmlformats.org/officeDocument/2006/relationships/hyperlink" Target="https://www.youtube.com/watch?v=f3lPKj3FytI" TargetMode="External"/><Relationship Id="rId1235" Type="http://schemas.openxmlformats.org/officeDocument/2006/relationships/hyperlink" Target="https://www.mercaba.org/Musica/Cesareo%20Gabarain/Al%20Atardecer%20de%20la%20Vida/13%20-%20En%20los%20brazos%20de%20Dios.mp3" TargetMode="External"/><Relationship Id="rId1442" Type="http://schemas.openxmlformats.org/officeDocument/2006/relationships/hyperlink" Target="https://www.mercaba.org/Musica/Cesareo%20Gabarain/Eres%20Tu%20Maria/09%20-%20Luz%20de%20la%20ma%C3%B1ana.mp3" TargetMode="External"/><Relationship Id="rId1302" Type="http://schemas.openxmlformats.org/officeDocument/2006/relationships/hyperlink" Target="https://www.youtube.com/watch?v=AiDiWxO9bNc" TargetMode="External"/><Relationship Id="rId1747" Type="http://schemas.openxmlformats.org/officeDocument/2006/relationships/hyperlink" Target="https://www.mercaba.org/Musica/Carmelo%20Erdozain/Nuevos%20Cantos%20Para%20el%20A&#241;o%20Liturgico/5%20oh%20mi%20dios%20crea%20en%20mi.mp3" TargetMode="External"/><Relationship Id="rId39" Type="http://schemas.openxmlformats.org/officeDocument/2006/relationships/hyperlink" Target="https://www.youtube.com/watch?v=XuoPNqY5n9A" TargetMode="External"/><Relationship Id="rId1607" Type="http://schemas.openxmlformats.org/officeDocument/2006/relationships/hyperlink" Target="https://open.spotify.com/intl-es/track/3pj6B4B6E5oWbEbafEQAUt?si=6da97a65035b4676" TargetMode="External"/><Relationship Id="rId1814" Type="http://schemas.openxmlformats.org/officeDocument/2006/relationships/hyperlink" Target="https://www.youtube.com/watch?v=FEmbGQxotOc" TargetMode="External"/><Relationship Id="rId188" Type="http://schemas.openxmlformats.org/officeDocument/2006/relationships/hyperlink" Target="https://www.youtube.com/watch?v=Y-WdtYun81k" TargetMode="External"/><Relationship Id="rId395" Type="http://schemas.openxmlformats.org/officeDocument/2006/relationships/hyperlink" Target="https://www.maristes.cat/sites/default/files/content/nodes/recurs/file/9023/01-corazonesnomadas.mp3" TargetMode="External"/><Relationship Id="rId255" Type="http://schemas.openxmlformats.org/officeDocument/2006/relationships/hyperlink" Target="https://www.youtube.com/watch?v=lLth0-Fxkhw" TargetMode="External"/><Relationship Id="rId462" Type="http://schemas.openxmlformats.org/officeDocument/2006/relationships/hyperlink" Target="https://www.maristes.cat/sites/default/files/content/nodes/recurs/file/8716/3jesusestaentrenosotros.mp3" TargetMode="External"/><Relationship Id="rId1092" Type="http://schemas.openxmlformats.org/officeDocument/2006/relationships/hyperlink" Target="https://www.youtube.com/watch?v=m8mhmmelotI" TargetMode="External"/><Relationship Id="rId1397" Type="http://schemas.openxmlformats.org/officeDocument/2006/relationships/hyperlink" Target="https://www.youtube.com/watch?v=bkJ_Fzl4-Ac" TargetMode="External"/><Relationship Id="rId115" Type="http://schemas.openxmlformats.org/officeDocument/2006/relationships/hyperlink" Target="https://www.youtube.com/watch?v=gqYzjQV9Asc" TargetMode="External"/><Relationship Id="rId322" Type="http://schemas.openxmlformats.org/officeDocument/2006/relationships/hyperlink" Target="https://www.youtube.com/watch?v=qIkWcuHH9VE" TargetMode="External"/><Relationship Id="rId767" Type="http://schemas.openxmlformats.org/officeDocument/2006/relationships/hyperlink" Target="https://www.youtube.com/watch?v=4jdTKrvnBQY" TargetMode="External"/><Relationship Id="rId974" Type="http://schemas.openxmlformats.org/officeDocument/2006/relationships/hyperlink" Target="https://open.spotify.com/intl-es/track/6IbstxKB9xS9RuQqDYTMks?si=823f8686723b438c" TargetMode="External"/><Relationship Id="rId627" Type="http://schemas.openxmlformats.org/officeDocument/2006/relationships/hyperlink" Target="https://www.youtube.com/watch?v=HXz2iuN3pDE" TargetMode="External"/><Relationship Id="rId834" Type="http://schemas.openxmlformats.org/officeDocument/2006/relationships/hyperlink" Target="https://www.youtube.com/watch?v=J3uXT8NqbFg" TargetMode="External"/><Relationship Id="rId1257" Type="http://schemas.openxmlformats.org/officeDocument/2006/relationships/hyperlink" Target="https://www.mercaba.org/Musica/Cesareo%20Gabarain/Catequesis%20y%20Cancion/05%20dios%20hos%20ha%20hecho%20hermanos.mp3" TargetMode="External"/><Relationship Id="rId1464" Type="http://schemas.openxmlformats.org/officeDocument/2006/relationships/hyperlink" Target="https://www.mercaba.org/Musica/Cesareo%20Gabarain/La%20Misa%20es%20una%20Fiesta/13%20tan%20cerca%20de%20mi.mp3" TargetMode="External"/><Relationship Id="rId1671" Type="http://schemas.openxmlformats.org/officeDocument/2006/relationships/hyperlink" Target="https://www.mercaba.org/Musica/Carmelo%20Erdozain/24%20cantos%20de%20adviento%20y%20navidad,%20carmelo%20erdozain/2%20vamos%20a%20preparar%20el%20camino%20del%20se&#241;or.mp3" TargetMode="External"/><Relationship Id="rId901" Type="http://schemas.openxmlformats.org/officeDocument/2006/relationships/hyperlink" Target="https://www.youtube.com/watch?v=4qqq7qILFS0" TargetMode="External"/><Relationship Id="rId1117" Type="http://schemas.openxmlformats.org/officeDocument/2006/relationships/hyperlink" Target="https://www.youtube.com/watch?v=g659Ssh5Rvk" TargetMode="External"/><Relationship Id="rId1324" Type="http://schemas.openxmlformats.org/officeDocument/2006/relationships/hyperlink" Target="https://www.youtube.com/watch?v=3pi0l84EUvM" TargetMode="External"/><Relationship Id="rId1531" Type="http://schemas.openxmlformats.org/officeDocument/2006/relationships/hyperlink" Target="https://www.youtube.com/watch?v=edEXVnvS5cM" TargetMode="External"/><Relationship Id="rId1769" Type="http://schemas.openxmlformats.org/officeDocument/2006/relationships/hyperlink" Target="https://www.youtube.com/watch?v=WVaTTAJn_ZU" TargetMode="External"/><Relationship Id="rId30" Type="http://schemas.openxmlformats.org/officeDocument/2006/relationships/hyperlink" Target="https://www.youtube.com/watch?v=k8ibpJ4NKTU" TargetMode="External"/><Relationship Id="rId1629" Type="http://schemas.openxmlformats.org/officeDocument/2006/relationships/hyperlink" Target="https://www.mercaba.org/Musica/Carmelo%20Erdozain/12%20canciones%20religiosas%20y%20liturgicas,%20carmelo%20erdozain/12%20en%20el%20nombre%20del%20padre.mp3" TargetMode="External"/><Relationship Id="rId277" Type="http://schemas.openxmlformats.org/officeDocument/2006/relationships/hyperlink" Target="https://www.youtube.com/watch?v=r7RX48keBJ0" TargetMode="External"/><Relationship Id="rId484" Type="http://schemas.openxmlformats.org/officeDocument/2006/relationships/hyperlink" Target="https://www.maristes.cat/sites/default/files/content/nodes/recurs/file/8761/11testamentoespiritual.mp3" TargetMode="External"/><Relationship Id="rId137" Type="http://schemas.openxmlformats.org/officeDocument/2006/relationships/hyperlink" Target="https://www.youtube.com/watch?v=ViaYUQp5RHk" TargetMode="External"/><Relationship Id="rId344" Type="http://schemas.openxmlformats.org/officeDocument/2006/relationships/hyperlink" Target="https://www.youtube.com/watch?v=GXgDkfu0eCM" TargetMode="External"/><Relationship Id="rId691" Type="http://schemas.openxmlformats.org/officeDocument/2006/relationships/hyperlink" Target="https://www.youtube.com/watch?v=vfIdWDJbPuY" TargetMode="External"/><Relationship Id="rId789" Type="http://schemas.openxmlformats.org/officeDocument/2006/relationships/hyperlink" Target="https://www.youtube.com/watch?v=xfmynEaYmU8" TargetMode="External"/><Relationship Id="rId996" Type="http://schemas.openxmlformats.org/officeDocument/2006/relationships/hyperlink" Target="https://open.spotify.com/intl-es/track/2whB5hr2rwWUx5muRQbENl?si=f7b48634c5094fc6" TargetMode="External"/><Relationship Id="rId551" Type="http://schemas.openxmlformats.org/officeDocument/2006/relationships/hyperlink" Target="https://www.maristes.cat/sites/default/files/content/nodes/recurs/file/8883/6quejatesipuedes.mp3" TargetMode="External"/><Relationship Id="rId649" Type="http://schemas.openxmlformats.org/officeDocument/2006/relationships/hyperlink" Target="https://www.youtube.com/watch?v=HBQkgtySUQM" TargetMode="External"/><Relationship Id="rId856" Type="http://schemas.openxmlformats.org/officeDocument/2006/relationships/hyperlink" Target="https://www.youtube.com/watch?v=PM7fWcQsnUw" TargetMode="External"/><Relationship Id="rId1181" Type="http://schemas.openxmlformats.org/officeDocument/2006/relationships/hyperlink" Target="https://www.mercaba.org/Musica/Cesareo%20Gabarain/Liturgia%20y%20Cancion/15%20el%20ni%C3%B1o%20dios.mp3" TargetMode="External"/><Relationship Id="rId1279" Type="http://schemas.openxmlformats.org/officeDocument/2006/relationships/hyperlink" Target="https://www.mercaba.org/Musica/Cesareo%20Gabarain/Dios%20Hombre%20Mundo/10%20-%20Padre%20bueno,%20Dios%20alegre.mp3" TargetMode="External"/><Relationship Id="rId1486" Type="http://schemas.openxmlformats.org/officeDocument/2006/relationships/hyperlink" Target="https://www.youtube.com/watch?v=u7t4lAnL_mU" TargetMode="External"/><Relationship Id="rId204" Type="http://schemas.openxmlformats.org/officeDocument/2006/relationships/hyperlink" Target="https://www.youtube.com/watch?v=7nf9CZeon9c" TargetMode="External"/><Relationship Id="rId411" Type="http://schemas.openxmlformats.org/officeDocument/2006/relationships/hyperlink" Target="https://www.maristes.cat/sites/default/files/content/nodes/recurs/file/9014/5angel.mp3" TargetMode="External"/><Relationship Id="rId509" Type="http://schemas.openxmlformats.org/officeDocument/2006/relationships/hyperlink" Target="https://www.maristes.cat/sites/default/files/content/nodes/recurs/file/8913/13depuraraza.mp3" TargetMode="External"/><Relationship Id="rId1041" Type="http://schemas.openxmlformats.org/officeDocument/2006/relationships/hyperlink" Target="https://www.youtube.com/watch?v=p2vJ0AkQq58" TargetMode="External"/><Relationship Id="rId1139" Type="http://schemas.openxmlformats.org/officeDocument/2006/relationships/hyperlink" Target="https://www.youtube.com/watch?v=nXhvAn69x4A" TargetMode="External"/><Relationship Id="rId1346" Type="http://schemas.openxmlformats.org/officeDocument/2006/relationships/hyperlink" Target="https://www.youtube.com/watch?v=Vq47OD_qzwo" TargetMode="External"/><Relationship Id="rId1693" Type="http://schemas.openxmlformats.org/officeDocument/2006/relationships/hyperlink" Target="https://www.mercaba.org/Musica/Carmelo%20Erdozain/Cantos%20para%20una%20Comunidad%20Evangelizadora/1%20siempre%20hay%20algo%20que%20crear.mp3" TargetMode="External"/><Relationship Id="rId716" Type="http://schemas.openxmlformats.org/officeDocument/2006/relationships/hyperlink" Target="https://www.youtube.com/watch?v=tbsRAE0DLVM" TargetMode="External"/><Relationship Id="rId923" Type="http://schemas.openxmlformats.org/officeDocument/2006/relationships/hyperlink" Target="https://www.youtube.com/watch?v=rrN6Wf1xFZs" TargetMode="External"/><Relationship Id="rId1553" Type="http://schemas.openxmlformats.org/officeDocument/2006/relationships/hyperlink" Target="https://www.mercaba.org/Musica/Ricardo%20cantalapiedra/El%20Profeta/08%20el%20peregrino.mp3" TargetMode="External"/><Relationship Id="rId1760" Type="http://schemas.openxmlformats.org/officeDocument/2006/relationships/hyperlink" Target="https://www.mercaba.org/Musica/Carmelo%20Erdozain/Ven%20y%20Sigueme/2%20tu%20me%20llamas%20por%20mi%20nombre.mp3" TargetMode="External"/><Relationship Id="rId52" Type="http://schemas.openxmlformats.org/officeDocument/2006/relationships/hyperlink" Target="https://www.mercaba.org/Musica/Cesareo%20Gabarain/La%20Misa%20es%20una%20Fiesta/05%20ojala%20escuchesis%20hoy%20su%20voz.mp3" TargetMode="External"/><Relationship Id="rId1206" Type="http://schemas.openxmlformats.org/officeDocument/2006/relationships/hyperlink" Target="https://www.mercaba.org/Musica/Cesareo%20Gabarain/aclamaciones%20para%20la%20celebracion,%20gabarain%20(m)/04%20salmo%20responsorial%20adviento.mp3" TargetMode="External"/><Relationship Id="rId1413" Type="http://schemas.openxmlformats.org/officeDocument/2006/relationships/hyperlink" Target="https://www.youtube.com/watch?v=CCnIxqn73co" TargetMode="External"/><Relationship Id="rId1620" Type="http://schemas.openxmlformats.org/officeDocument/2006/relationships/hyperlink" Target="https://www.mercaba.org/Musica/Carmelo%20Erdozain/12%20canciones%20religiosas%20y%20liturgicas,%20carmelo%20erdozain/03%20se%20acercaron%20los%20ni%C3%B1os%20al%20se%C3%B1or.mp3" TargetMode="External"/><Relationship Id="rId1718" Type="http://schemas.openxmlformats.org/officeDocument/2006/relationships/hyperlink" Target="https://www.mercaba.org/Musica/Carmelo%20Erdozain/Dios%20es%20Amor/6%20estrella%20y%20flor.mp3" TargetMode="External"/><Relationship Id="rId299" Type="http://schemas.openxmlformats.org/officeDocument/2006/relationships/hyperlink" Target="https://www.youtube.com/watch?v=1ESXXgzNJrg" TargetMode="External"/><Relationship Id="rId159" Type="http://schemas.openxmlformats.org/officeDocument/2006/relationships/hyperlink" Target="https://www.youtube.com/watch?v=PIDKlltZwHs" TargetMode="External"/><Relationship Id="rId366" Type="http://schemas.openxmlformats.org/officeDocument/2006/relationships/hyperlink" Target="https://www.maristes.cat/sites/default/files/content/nodes/recurs/file/8677/5marialamadrebuena.mp3" TargetMode="External"/><Relationship Id="rId573" Type="http://schemas.openxmlformats.org/officeDocument/2006/relationships/hyperlink" Target="https://www.maristes.cat/sites/default/files/content/nodes/recurs/file/8731/05nopuedojugar.mp3" TargetMode="External"/><Relationship Id="rId780" Type="http://schemas.openxmlformats.org/officeDocument/2006/relationships/hyperlink" Target="https://www.youtube.com/watch?v=UIUY93HA3aI" TargetMode="External"/><Relationship Id="rId226" Type="http://schemas.openxmlformats.org/officeDocument/2006/relationships/hyperlink" Target="https://www.youtube.com/watch?v=iTZOo_q1KA0" TargetMode="External"/><Relationship Id="rId433" Type="http://schemas.openxmlformats.org/officeDocument/2006/relationships/hyperlink" Target="https://www.maristes.cat/sites/default/files/content/nodes/recurs/file/8868/3rezarnoesotracosa.mp3" TargetMode="External"/><Relationship Id="rId878" Type="http://schemas.openxmlformats.org/officeDocument/2006/relationships/hyperlink" Target="https://www.youtube.com/watch?v=4LfFg_kLHq4" TargetMode="External"/><Relationship Id="rId1063" Type="http://schemas.openxmlformats.org/officeDocument/2006/relationships/hyperlink" Target="https://www.youtube.com/watch?v=KUvMNJ0u0kE" TargetMode="External"/><Relationship Id="rId1270" Type="http://schemas.openxmlformats.org/officeDocument/2006/relationships/hyperlink" Target="https://www.mercaba.org/Musica/Cesareo%20Gabarain/Dios%20con%20Nosotros/05%20-%20Canto%20de%20esperanza.mp3" TargetMode="External"/><Relationship Id="rId640" Type="http://schemas.openxmlformats.org/officeDocument/2006/relationships/hyperlink" Target="https://www.youtube.com/watch?v=lseBd7-XJXg" TargetMode="External"/><Relationship Id="rId738" Type="http://schemas.openxmlformats.org/officeDocument/2006/relationships/hyperlink" Target="https://www.youtube.com/watch?v=m1-TkJA8K7c" TargetMode="External"/><Relationship Id="rId945" Type="http://schemas.openxmlformats.org/officeDocument/2006/relationships/hyperlink" Target="https://www.youtube.com/watch?v=YVY4vSPc1C0" TargetMode="External"/><Relationship Id="rId1368" Type="http://schemas.openxmlformats.org/officeDocument/2006/relationships/hyperlink" Target="https://www.youtube.com/watch?v=62Umd6omt-8" TargetMode="External"/><Relationship Id="rId1575" Type="http://schemas.openxmlformats.org/officeDocument/2006/relationships/hyperlink" Target="https://www.youtube.com/watch?v=6KDoBnuW8dI" TargetMode="External"/><Relationship Id="rId1782" Type="http://schemas.openxmlformats.org/officeDocument/2006/relationships/hyperlink" Target="https://www.youtube.com/watch?v=jo5dJ1ttPjw" TargetMode="External"/><Relationship Id="rId74" Type="http://schemas.openxmlformats.org/officeDocument/2006/relationships/hyperlink" Target="https://www.youtube.com/watch?v=SkLaiznSbUs" TargetMode="External"/><Relationship Id="rId500" Type="http://schemas.openxmlformats.org/officeDocument/2006/relationships/hyperlink" Target="https://www.maristes.cat/sites/default/files/content/nodes/recurs/file/8904/4nosprecederan.mp3" TargetMode="External"/><Relationship Id="rId805" Type="http://schemas.openxmlformats.org/officeDocument/2006/relationships/hyperlink" Target="https://www.youtube.com/watch?v=PXaO49H64rs" TargetMode="External"/><Relationship Id="rId1130" Type="http://schemas.openxmlformats.org/officeDocument/2006/relationships/hyperlink" Target="https://www.youtube.com/watch?v=VY95PK8f-DY" TargetMode="External"/><Relationship Id="rId1228" Type="http://schemas.openxmlformats.org/officeDocument/2006/relationships/hyperlink" Target="https://www.mercaba.org/Musica/Cesareo%20Gabarain/Al%20Atardecer%20de%20la%20Vida/06%20-%20No%20he%20de%20morir,vivir%C3%A9.mp3" TargetMode="External"/><Relationship Id="rId1435" Type="http://schemas.openxmlformats.org/officeDocument/2006/relationships/hyperlink" Target="https://www.mercaba.org/Musica/Cesareo%20Gabarain/Eres%20Tu%20Maria/01%20-%20Los%20cielos%20y%20la%20tierra.mp3" TargetMode="External"/><Relationship Id="rId1642" Type="http://schemas.openxmlformats.org/officeDocument/2006/relationships/hyperlink" Target="https://www.mercaba.org/Musica/Carmelo%20Erdozain/15%20cantos%20para%20la%20cena%20del%20se%C3%B1or,%20carmelo%20erdozain/09%20cordero%20de%20dios%20que%20quitas%20el%20pecado.mp3" TargetMode="External"/><Relationship Id="rId1502" Type="http://schemas.openxmlformats.org/officeDocument/2006/relationships/hyperlink" Target="https://www.youtube.com/watch?v=UXp6nIrdRM4" TargetMode="External"/><Relationship Id="rId1807" Type="http://schemas.openxmlformats.org/officeDocument/2006/relationships/hyperlink" Target="https://www.youtube.com/watch?v=I19VbFqOAg4" TargetMode="External"/><Relationship Id="rId290" Type="http://schemas.openxmlformats.org/officeDocument/2006/relationships/hyperlink" Target="https://www.youtube.com/watch?v=7V5tJwSHF8g" TargetMode="External"/><Relationship Id="rId388" Type="http://schemas.openxmlformats.org/officeDocument/2006/relationships/hyperlink" Target="https://www.maristes.cat/sites/default/files/content/nodes/recurs/file/8917/4consencillocorazon.mp3" TargetMode="External"/><Relationship Id="rId150" Type="http://schemas.openxmlformats.org/officeDocument/2006/relationships/hyperlink" Target="https://www.youtube.com/watch?v=tmW2MgnLV1w" TargetMode="External"/><Relationship Id="rId595" Type="http://schemas.openxmlformats.org/officeDocument/2006/relationships/hyperlink" Target="https://www.maristes.cat/sites/default/files/content/nodes/recurs/file/8956/3jesuscambianos.mp3" TargetMode="External"/><Relationship Id="rId248" Type="http://schemas.openxmlformats.org/officeDocument/2006/relationships/hyperlink" Target="https://www.youtube.com/watch?v=axL5j6K2ZYM" TargetMode="External"/><Relationship Id="rId455" Type="http://schemas.openxmlformats.org/officeDocument/2006/relationships/hyperlink" Target="https://www.maristes.cat/sites/default/files/content/nodes/recurs/file/8861/8senormetienesanteti.mp3" TargetMode="External"/><Relationship Id="rId662" Type="http://schemas.openxmlformats.org/officeDocument/2006/relationships/hyperlink" Target="https://www.youtube.com/watch?v=TpCZ4pXNSr4" TargetMode="External"/><Relationship Id="rId1085" Type="http://schemas.openxmlformats.org/officeDocument/2006/relationships/hyperlink" Target="https://www.youtube.com/watch?v=7wBtBjYhVeI" TargetMode="External"/><Relationship Id="rId1292" Type="http://schemas.openxmlformats.org/officeDocument/2006/relationships/hyperlink" Target="https://www.youtube.com/watch?v=GfQ4wEdBLAY" TargetMode="External"/><Relationship Id="rId108" Type="http://schemas.openxmlformats.org/officeDocument/2006/relationships/hyperlink" Target="https://www.youtube.com/watch?v=NhFXwdlI3Fw" TargetMode="External"/><Relationship Id="rId315" Type="http://schemas.openxmlformats.org/officeDocument/2006/relationships/hyperlink" Target="https://www.youtube.com/watch?v=Ta9bQ5aR_Xk" TargetMode="External"/><Relationship Id="rId522" Type="http://schemas.openxmlformats.org/officeDocument/2006/relationships/hyperlink" Target="https://www.maristes.cat/sites/default/files/content/nodes/recurs/file/8984/13teseguire.mp3" TargetMode="External"/><Relationship Id="rId967" Type="http://schemas.openxmlformats.org/officeDocument/2006/relationships/hyperlink" Target="https://www.youtube.com/watch?v=vlZ3Nc9Ubf0" TargetMode="External"/><Relationship Id="rId1152" Type="http://schemas.openxmlformats.org/officeDocument/2006/relationships/hyperlink" Target="https://www.youtube.com/watch?v=9Nk6k0xFjiY" TargetMode="External"/><Relationship Id="rId1597" Type="http://schemas.openxmlformats.org/officeDocument/2006/relationships/hyperlink" Target="https://www.youtube.com/watch?v=Y7i2-T097gU" TargetMode="External"/><Relationship Id="rId96" Type="http://schemas.openxmlformats.org/officeDocument/2006/relationships/hyperlink" Target="https://www.youtube.com/watch?v=Nq78Btyn-s8" TargetMode="External"/><Relationship Id="rId827" Type="http://schemas.openxmlformats.org/officeDocument/2006/relationships/hyperlink" Target="https://www.youtube.com/watch?v=u9AN17vglfE" TargetMode="External"/><Relationship Id="rId1012" Type="http://schemas.openxmlformats.org/officeDocument/2006/relationships/hyperlink" Target="https://www.youtube.com/watch?v=Clg4KBXpWRw" TargetMode="External"/><Relationship Id="rId1457" Type="http://schemas.openxmlformats.org/officeDocument/2006/relationships/hyperlink" Target="https://www.mercaba.org/Musica/Cesareo%20Gabarain/La%20Misa%20es%20una%20Fiesta/07%20creo%20se%C3%B1or.mp3" TargetMode="External"/><Relationship Id="rId1664" Type="http://schemas.openxmlformats.org/officeDocument/2006/relationships/hyperlink" Target="https://www.mercaba.org/Musica/Adviento%20y%20Navidad/Adviento%20Maria%20y%20Navidad/proclama%20mi%20alma%20la%20salvacion.mp3" TargetMode="External"/><Relationship Id="rId1317" Type="http://schemas.openxmlformats.org/officeDocument/2006/relationships/hyperlink" Target="https://www.youtube.com/watch?v=rOl35N4fC4M" TargetMode="External"/><Relationship Id="rId1524" Type="http://schemas.openxmlformats.org/officeDocument/2006/relationships/hyperlink" Target="https://www.youtube.com/watch?v=bPMYa9-hIQE" TargetMode="External"/><Relationship Id="rId1731" Type="http://schemas.openxmlformats.org/officeDocument/2006/relationships/hyperlink" Target="https://www.mercaba.org/Musica/Carmelo%20Erdozain/Hoy%20he%20Vuelto%20de%20Lejos/9%20cristo%20por%20nosotros%20se%20sometio.mp3" TargetMode="External"/><Relationship Id="rId23" Type="http://schemas.openxmlformats.org/officeDocument/2006/relationships/hyperlink" Target="https://www.youtube.com/watch?v=PzhLaLRijl0" TargetMode="External"/><Relationship Id="rId172" Type="http://schemas.openxmlformats.org/officeDocument/2006/relationships/hyperlink" Target="https://www.youtube.com/watch?v=pdskwFwT3Mg" TargetMode="External"/><Relationship Id="rId477" Type="http://schemas.openxmlformats.org/officeDocument/2006/relationships/hyperlink" Target="https://www.maristes.cat/sites/default/files/content/nodes/recurs/file/8751/1unhimnosurgira.mp3" TargetMode="External"/><Relationship Id="rId684" Type="http://schemas.openxmlformats.org/officeDocument/2006/relationships/hyperlink" Target="https://www.youtube.com/watch?v=sJyIpYxlvqs" TargetMode="External"/><Relationship Id="rId337" Type="http://schemas.openxmlformats.org/officeDocument/2006/relationships/hyperlink" Target="https://www.youtube.com/watch?v=9-3PBwLcCQo" TargetMode="External"/><Relationship Id="rId891" Type="http://schemas.openxmlformats.org/officeDocument/2006/relationships/hyperlink" Target="https://www.youtube.com/watch?v=QK6In6mIcFs" TargetMode="External"/><Relationship Id="rId989" Type="http://schemas.openxmlformats.org/officeDocument/2006/relationships/hyperlink" Target="https://open.spotify.com/intl-es/track/7eC1exbRtDsvs1yHSPl1tM?si=088ffd5a6fb1499f" TargetMode="External"/><Relationship Id="rId544" Type="http://schemas.openxmlformats.org/officeDocument/2006/relationships/hyperlink" Target="https://www.maristes.cat/sites/default/files/content/nodes/recurs/file/8847/11memuerodehambre.mp3" TargetMode="External"/><Relationship Id="rId751" Type="http://schemas.openxmlformats.org/officeDocument/2006/relationships/hyperlink" Target="https://www.youtube.com/watch?v=5EmsBDwrZKs" TargetMode="External"/><Relationship Id="rId849" Type="http://schemas.openxmlformats.org/officeDocument/2006/relationships/hyperlink" Target="https://www.youtube.com/watch?v=TzEunLam4xo" TargetMode="External"/><Relationship Id="rId1174" Type="http://schemas.openxmlformats.org/officeDocument/2006/relationships/hyperlink" Target="https://www.youtube.com/watch?v=a3ZPdtmoS4U" TargetMode="External"/><Relationship Id="rId1381" Type="http://schemas.openxmlformats.org/officeDocument/2006/relationships/hyperlink" Target="https://www.youtube.com/watch?v=Mg6JMOegZZc" TargetMode="External"/><Relationship Id="rId1479" Type="http://schemas.openxmlformats.org/officeDocument/2006/relationships/hyperlink" Target="https://www.youtube.com/watch?v=f77iMrF00io" TargetMode="External"/><Relationship Id="rId1686" Type="http://schemas.openxmlformats.org/officeDocument/2006/relationships/hyperlink" Target="https://www.mercaba.org/Musica/Carmelo%20Erdozain/Cantos%20para%20Participar%20y%20Vivir/9%20maria%20llena%20de%20gracia.mp3" TargetMode="External"/><Relationship Id="rId404" Type="http://schemas.openxmlformats.org/officeDocument/2006/relationships/hyperlink" Target="https://www.maristes.cat/sites/default/files/content/nodes/recurs/file/9032/10-sientotudolor.mp3" TargetMode="External"/><Relationship Id="rId611" Type="http://schemas.openxmlformats.org/officeDocument/2006/relationships/hyperlink" Target="https://www.maristes.cat/sites/default/files/content/nodes/recurs/file/8771/9venespiritudedios.mp3" TargetMode="External"/><Relationship Id="rId1034" Type="http://schemas.openxmlformats.org/officeDocument/2006/relationships/hyperlink" Target="https://www.youtube.com/watch?v=if3U2fFvnQI" TargetMode="External"/><Relationship Id="rId1241" Type="http://schemas.openxmlformats.org/officeDocument/2006/relationships/hyperlink" Target="https://www.mercaba.org/Musica/Cesareo%20Gabarain/Bendito%20eres%20Se%C3%B1or/06%20-%20Solo%20T%C3%BA.mp3" TargetMode="External"/><Relationship Id="rId1339" Type="http://schemas.openxmlformats.org/officeDocument/2006/relationships/hyperlink" Target="https://www.youtube.com/watch?v=VVGx3gxX628" TargetMode="External"/><Relationship Id="rId709" Type="http://schemas.openxmlformats.org/officeDocument/2006/relationships/hyperlink" Target="https://www.youtube.com/watch?v=pi-j7Ume4KU" TargetMode="External"/><Relationship Id="rId916" Type="http://schemas.openxmlformats.org/officeDocument/2006/relationships/hyperlink" Target="https://www.youtube.com/watch?v=JQ0DxtLXOek" TargetMode="External"/><Relationship Id="rId1101" Type="http://schemas.openxmlformats.org/officeDocument/2006/relationships/hyperlink" Target="https://www.youtube.com/watch?v=KoGjWsmYOGk" TargetMode="External"/><Relationship Id="rId1546" Type="http://schemas.openxmlformats.org/officeDocument/2006/relationships/hyperlink" Target="https://www.mercaba.org/Musica/Ricardo%20cantalapiedra/Canciones%20de%20Ricardo%20C/09%20hay%20un%20lugar.mp3" TargetMode="External"/><Relationship Id="rId1753" Type="http://schemas.openxmlformats.org/officeDocument/2006/relationships/hyperlink" Target="https://www.mercaba.org/Musica/Carmelo%20Erdozain/Preparad%20los%20Caminos/2%20levantate%20pueblo%20mio.mp3&#160;" TargetMode="External"/><Relationship Id="rId45" Type="http://schemas.openxmlformats.org/officeDocument/2006/relationships/hyperlink" Target="https://www.youtube.com/watch?v=LHYuOBf5ReM" TargetMode="External"/><Relationship Id="rId1406" Type="http://schemas.openxmlformats.org/officeDocument/2006/relationships/hyperlink" Target="https://www.youtube.com/watch?v=tWZJHcvp-do" TargetMode="External"/><Relationship Id="rId1613" Type="http://schemas.openxmlformats.org/officeDocument/2006/relationships/hyperlink" Target="https://www.youtube.com/watch?v=IaJHD3LTufY" TargetMode="External"/><Relationship Id="rId1820" Type="http://schemas.openxmlformats.org/officeDocument/2006/relationships/printerSettings" Target="../printerSettings/printerSettings1.bin"/><Relationship Id="rId194" Type="http://schemas.openxmlformats.org/officeDocument/2006/relationships/hyperlink" Target="https://www.youtube.com/watch?v=vMDjZ5LLo24" TargetMode="External"/><Relationship Id="rId261" Type="http://schemas.openxmlformats.org/officeDocument/2006/relationships/hyperlink" Target="https://www.youtube.com/watch?v=NRqk6TvhYO8" TargetMode="External"/><Relationship Id="rId499" Type="http://schemas.openxmlformats.org/officeDocument/2006/relationships/hyperlink" Target="https://www.maristes.cat/sites/default/files/content/nodes/recurs/file/8903/3indigena.mp3" TargetMode="External"/><Relationship Id="rId359" Type="http://schemas.openxmlformats.org/officeDocument/2006/relationships/hyperlink" Target="https://www.maristes.cat/sites/default/files/content/nodes/recurs/file/9466/trackno12.mp3" TargetMode="External"/><Relationship Id="rId566" Type="http://schemas.openxmlformats.org/officeDocument/2006/relationships/hyperlink" Target="https://www.maristes.cat/sites/default/files/content/nodes/recurs/file/8947/12acuerdatemaria.mp3" TargetMode="External"/><Relationship Id="rId773" Type="http://schemas.openxmlformats.org/officeDocument/2006/relationships/hyperlink" Target="https://www.youtube.com/watch?v=jGCkrC9R6sc" TargetMode="External"/><Relationship Id="rId1196" Type="http://schemas.openxmlformats.org/officeDocument/2006/relationships/hyperlink" Target="https://www.mercaba.org/Musica/Cesareo%20Gabarain/La%20Misa%20es%20una%20Fiesta/08%20un%20ni%C3%B1o%20se%20te%20acerco.mp3" TargetMode="External"/><Relationship Id="rId121" Type="http://schemas.openxmlformats.org/officeDocument/2006/relationships/hyperlink" Target="https://www.youtube.com/watch?v=TB0gOPCxy7U" TargetMode="External"/><Relationship Id="rId219" Type="http://schemas.openxmlformats.org/officeDocument/2006/relationships/hyperlink" Target="https://www.youtube.com/watch?v=Jnutx7S18gI" TargetMode="External"/><Relationship Id="rId426" Type="http://schemas.openxmlformats.org/officeDocument/2006/relationships/hyperlink" Target="https://www.maristes.cat/sites/default/files/content/nodes/recurs/file/8931/trackno07.mp3" TargetMode="External"/><Relationship Id="rId633" Type="http://schemas.openxmlformats.org/officeDocument/2006/relationships/hyperlink" Target="https://www.youtube.com/watch?v=WNHK4BkEMis" TargetMode="External"/><Relationship Id="rId980" Type="http://schemas.openxmlformats.org/officeDocument/2006/relationships/hyperlink" Target="https://open.spotify.com/intl-es/track/0e4gJvX84bIefNwMWLoCAX?si=80b816c7eb584408" TargetMode="External"/><Relationship Id="rId1056" Type="http://schemas.openxmlformats.org/officeDocument/2006/relationships/hyperlink" Target="https://www.youtube.com/watch?v=sr5WqYk4GxM" TargetMode="External"/><Relationship Id="rId1263" Type="http://schemas.openxmlformats.org/officeDocument/2006/relationships/hyperlink" Target="https://www.mercaba.org/Musica/Cesareo%20Gabarain/Catequesis%20y%20Cancion/12%20el%20peque%C3%B1o%20david.mp3" TargetMode="External"/><Relationship Id="rId840" Type="http://schemas.openxmlformats.org/officeDocument/2006/relationships/hyperlink" Target="https://www.youtube.com/watch?v=8ETdEBpBplo" TargetMode="External"/><Relationship Id="rId938" Type="http://schemas.openxmlformats.org/officeDocument/2006/relationships/hyperlink" Target="https://www.youtube.com/watch?v=JDduda_l7QM" TargetMode="External"/><Relationship Id="rId1470" Type="http://schemas.openxmlformats.org/officeDocument/2006/relationships/hyperlink" Target="https://www.mercaba.org/Musica/Cesareo%20Gabarain/Lampara%20de%20Barro/08%20tu%20pones%20lo%20demas.mp3" TargetMode="External"/><Relationship Id="rId1568" Type="http://schemas.openxmlformats.org/officeDocument/2006/relationships/hyperlink" Target="https://www.youtube.com/watch?v=XQtBVu6GVVA" TargetMode="External"/><Relationship Id="rId1775" Type="http://schemas.openxmlformats.org/officeDocument/2006/relationships/hyperlink" Target="https://www.youtube.com/watch?v=ewNloRJ0sFc" TargetMode="External"/><Relationship Id="rId67" Type="http://schemas.openxmlformats.org/officeDocument/2006/relationships/hyperlink" Target="https://www.youtube.com/watch?v=2jyrVGKLpOk" TargetMode="External"/><Relationship Id="rId700" Type="http://schemas.openxmlformats.org/officeDocument/2006/relationships/hyperlink" Target="https://www.youtube.com/watch?v=MufGxgNFaDQ" TargetMode="External"/><Relationship Id="rId1123" Type="http://schemas.openxmlformats.org/officeDocument/2006/relationships/hyperlink" Target="https://www.youtube.com/watch?v=c4RyIW0bDp0" TargetMode="External"/><Relationship Id="rId1330" Type="http://schemas.openxmlformats.org/officeDocument/2006/relationships/hyperlink" Target="https://www.youtube.com/watch?v=-GZIccRfkWc" TargetMode="External"/><Relationship Id="rId1428" Type="http://schemas.openxmlformats.org/officeDocument/2006/relationships/hyperlink" Target="https://www.mercaba.org/Musica/Cesareo%20Gabarain/En%20Medio%20de%20la%20Noche/04%20vamos%20amigos.mp3" TargetMode="External"/><Relationship Id="rId1635" Type="http://schemas.openxmlformats.org/officeDocument/2006/relationships/hyperlink" Target="https://www.mercaba.org/Musica/Carmelo%20Erdozain/15%20cantos%20para%20la%20cena%20del%20se%C3%B1or,%20carmelo%20erdozain/02%20se%C3%B1or%20ten%20piedad.mp3" TargetMode="External"/><Relationship Id="rId1702" Type="http://schemas.openxmlformats.org/officeDocument/2006/relationships/hyperlink" Target="https://www.mercaba.org/Musica/Carmelo%20Erdozain/Cerca%20esta%20el%20Se&#241;or/1%20cerca%20esta%20el%20se&#241;or.mp3" TargetMode="External"/><Relationship Id="rId283" Type="http://schemas.openxmlformats.org/officeDocument/2006/relationships/hyperlink" Target="https://www.youtube.com/watch?v=Dxfg7DE88S4" TargetMode="External"/><Relationship Id="rId490" Type="http://schemas.openxmlformats.org/officeDocument/2006/relationships/hyperlink" Target="https://www.maristes.cat/sites/default/files/content/nodes/recurs/file/8743/5angelus.mp3" TargetMode="External"/><Relationship Id="rId143" Type="http://schemas.openxmlformats.org/officeDocument/2006/relationships/hyperlink" Target="https://www.youtube.com/watch?v=r35z2wxWeRg" TargetMode="External"/><Relationship Id="rId350" Type="http://schemas.openxmlformats.org/officeDocument/2006/relationships/hyperlink" Target="https://www.maristes.cat/sites/default/files/content/nodes/recurs/file/9457/trackno03.mp3" TargetMode="External"/><Relationship Id="rId588" Type="http://schemas.openxmlformats.org/officeDocument/2006/relationships/hyperlink" Target="https://www.maristes.cat/sites/default/files/content/nodes/recurs/file/8810/8vengatureino.mp3" TargetMode="External"/><Relationship Id="rId795" Type="http://schemas.openxmlformats.org/officeDocument/2006/relationships/hyperlink" Target="https://www.youtube.com/watch?v=jCCUQqkocdY" TargetMode="External"/><Relationship Id="rId9" Type="http://schemas.openxmlformats.org/officeDocument/2006/relationships/hyperlink" Target="https://www.youtube.com/watch?v=OwzdalM_9_c" TargetMode="External"/><Relationship Id="rId210" Type="http://schemas.openxmlformats.org/officeDocument/2006/relationships/hyperlink" Target="https://www.youtube.com/watch?v=1l9RnH6AYaw" TargetMode="External"/><Relationship Id="rId448" Type="http://schemas.openxmlformats.org/officeDocument/2006/relationships/hyperlink" Target="https://www.maristes.cat/sites/default/files/content/nodes/recurs/file/8850/1ereselfuegoelamor.mp3" TargetMode="External"/><Relationship Id="rId655" Type="http://schemas.openxmlformats.org/officeDocument/2006/relationships/hyperlink" Target="https://www.youtube.com/watch?v=p2U_BQdrb6w" TargetMode="External"/><Relationship Id="rId862" Type="http://schemas.openxmlformats.org/officeDocument/2006/relationships/hyperlink" Target="https://www.youtube.com/watch?v=ONwax9iCO0U" TargetMode="External"/><Relationship Id="rId1078" Type="http://schemas.openxmlformats.org/officeDocument/2006/relationships/hyperlink" Target="https://www.youtube.com/watch?v=faAcS5uS_6I" TargetMode="External"/><Relationship Id="rId1285" Type="http://schemas.openxmlformats.org/officeDocument/2006/relationships/hyperlink" Target="https://www.youtube.com/watch?v=iPEF1PDg4jk" TargetMode="External"/><Relationship Id="rId1492" Type="http://schemas.openxmlformats.org/officeDocument/2006/relationships/hyperlink" Target="https://www.youtube.com/watch?v=STcA_6fl32Q" TargetMode="External"/><Relationship Id="rId308" Type="http://schemas.openxmlformats.org/officeDocument/2006/relationships/hyperlink" Target="https://www.youtube.com/watch?v=u4eeTcDJQYc" TargetMode="External"/><Relationship Id="rId515" Type="http://schemas.openxmlformats.org/officeDocument/2006/relationships/hyperlink" Target="https://www.maristes.cat/sites/default/files/content/nodes/recurs/file/8977/6gloria.mp3" TargetMode="External"/><Relationship Id="rId722" Type="http://schemas.openxmlformats.org/officeDocument/2006/relationships/hyperlink" Target="https://www.youtube.com/watch?v=m6N_QxNTGOc" TargetMode="External"/><Relationship Id="rId1145" Type="http://schemas.openxmlformats.org/officeDocument/2006/relationships/hyperlink" Target="https://www.youtube.com/watch?v=f_f6yUgCHqA" TargetMode="External"/><Relationship Id="rId1352" Type="http://schemas.openxmlformats.org/officeDocument/2006/relationships/hyperlink" Target="https://www.youtube.com/watch?v=WEJFvUWRW5I" TargetMode="External"/><Relationship Id="rId1797" Type="http://schemas.openxmlformats.org/officeDocument/2006/relationships/hyperlink" Target="https://www.youtube.com/watch?v=NW4R_iVKjXU" TargetMode="External"/><Relationship Id="rId89" Type="http://schemas.openxmlformats.org/officeDocument/2006/relationships/hyperlink" Target="https://www.youtube.com/watch?v=VupYNeJ2s_c" TargetMode="External"/><Relationship Id="rId1005" Type="http://schemas.openxmlformats.org/officeDocument/2006/relationships/hyperlink" Target="https://www.youtube.com/watch?v=rL6gg12eE98" TargetMode="External"/><Relationship Id="rId1212" Type="http://schemas.openxmlformats.org/officeDocument/2006/relationships/hyperlink" Target="https://www.mercaba.org/Musica/Cesareo%20Gabarain/aclamaciones%20para%20la%20celebracion,%20gabarain%20(m)/10%20despues%20del%20evangelio%2001.mp3" TargetMode="External"/><Relationship Id="rId1657" Type="http://schemas.openxmlformats.org/officeDocument/2006/relationships/hyperlink" Target="https://www.mercaba.org/Musica/Adviento%20y%20Navidad/Adviento%20Maria%20y%20Navidad/estrella%20y%20flor%20aurora.mp3" TargetMode="External"/><Relationship Id="rId1517" Type="http://schemas.openxmlformats.org/officeDocument/2006/relationships/hyperlink" Target="https://www.youtube.com/watch?v=sNYI9ksztC0" TargetMode="External"/><Relationship Id="rId1724" Type="http://schemas.openxmlformats.org/officeDocument/2006/relationships/hyperlink" Target="https://www.mercaba.org/Musica/Carmelo%20Erdozain/Dios%20es%20Amor/12%20cantemos%20hoy%20el%20amor.mp3" TargetMode="External"/><Relationship Id="rId16" Type="http://schemas.openxmlformats.org/officeDocument/2006/relationships/hyperlink" Target="https://www.youtube.com/watch?v=tKSM_vijkgE" TargetMode="External"/><Relationship Id="rId165" Type="http://schemas.openxmlformats.org/officeDocument/2006/relationships/hyperlink" Target="https://www.youtube.com/watch?v=1xj8R5jOSbw" TargetMode="External"/><Relationship Id="rId372" Type="http://schemas.openxmlformats.org/officeDocument/2006/relationships/hyperlink" Target="https://www.maristes.cat/sites/default/files/content/nodes/recurs/file/8684/12venconmigoamigo.mp3" TargetMode="External"/><Relationship Id="rId677" Type="http://schemas.openxmlformats.org/officeDocument/2006/relationships/hyperlink" Target="https://www.youtube.com/watch?v=hPdMCyBmA-g" TargetMode="External"/><Relationship Id="rId232" Type="http://schemas.openxmlformats.org/officeDocument/2006/relationships/hyperlink" Target="https://www.youtube.com/watch?v=92w5QrtibpQ" TargetMode="External"/><Relationship Id="rId884" Type="http://schemas.openxmlformats.org/officeDocument/2006/relationships/hyperlink" Target="https://www.youtube.com/watch?v=QK9GoNofqAE" TargetMode="External"/><Relationship Id="rId537" Type="http://schemas.openxmlformats.org/officeDocument/2006/relationships/hyperlink" Target="https://www.maristes.cat/sites/default/files/content/nodes/recurs/file/8840/4alliestastu.mp3" TargetMode="External"/><Relationship Id="rId744" Type="http://schemas.openxmlformats.org/officeDocument/2006/relationships/hyperlink" Target="https://www.youtube.com/watch?v=UbCl2vh-VyU" TargetMode="External"/><Relationship Id="rId951" Type="http://schemas.openxmlformats.org/officeDocument/2006/relationships/hyperlink" Target="https://www.youtube.com/watch?v=pDD2leGBXLo" TargetMode="External"/><Relationship Id="rId1167" Type="http://schemas.openxmlformats.org/officeDocument/2006/relationships/hyperlink" Target="https://www.youtube.com/watch?v=uPNurLI48FA" TargetMode="External"/><Relationship Id="rId1374" Type="http://schemas.openxmlformats.org/officeDocument/2006/relationships/hyperlink" Target="https://www.youtube.com/watch?v=R8Ep_yMDY-I" TargetMode="External"/><Relationship Id="rId1581" Type="http://schemas.openxmlformats.org/officeDocument/2006/relationships/hyperlink" Target="https://www.youtube.com/watch?v=qiBlHzPst6U" TargetMode="External"/><Relationship Id="rId1679" Type="http://schemas.openxmlformats.org/officeDocument/2006/relationships/hyperlink" Target="https://www.mercaba.org/Musica/Carmelo%20Erdozain/24%20cantos%20de%20adviento%20y%20navidad,%20carmelo%20erdozain/22%20un%20arcoiris.mp3" TargetMode="External"/><Relationship Id="rId80" Type="http://schemas.openxmlformats.org/officeDocument/2006/relationships/hyperlink" Target="https://www.youtube.com/watch?v=4bUVc5RVIKY" TargetMode="External"/><Relationship Id="rId604" Type="http://schemas.openxmlformats.org/officeDocument/2006/relationships/hyperlink" Target="https://www.maristes.cat/sites/default/files/content/nodes/recurs/file/8764/2meestasllamando.mp3" TargetMode="External"/><Relationship Id="rId811" Type="http://schemas.openxmlformats.org/officeDocument/2006/relationships/hyperlink" Target="https://www.youtube.com/watch?v=P2JsZgXXWNI" TargetMode="External"/><Relationship Id="rId1027" Type="http://schemas.openxmlformats.org/officeDocument/2006/relationships/hyperlink" Target="https://www.youtube.com/watch?v=4UrsQiB2h-8" TargetMode="External"/><Relationship Id="rId1234" Type="http://schemas.openxmlformats.org/officeDocument/2006/relationships/hyperlink" Target="https://www.mercaba.org/Musica/Cesareo%20Gabarain/Al%20Atardecer%20de%20la%20Vida/12%20-%20Vive%20con%20Cristo.mp3" TargetMode="External"/><Relationship Id="rId1441" Type="http://schemas.openxmlformats.org/officeDocument/2006/relationships/hyperlink" Target="https://www.mercaba.org/Musica/Cesareo%20Gabarain/Eres%20Tu%20Maria/08%20-%20Cristo%20nuestro%20hermano.mp3" TargetMode="External"/><Relationship Id="rId909" Type="http://schemas.openxmlformats.org/officeDocument/2006/relationships/hyperlink" Target="https://www.youtube.com/watch?v=2_ZD_hlt9aE" TargetMode="External"/><Relationship Id="rId1301" Type="http://schemas.openxmlformats.org/officeDocument/2006/relationships/hyperlink" Target="https://www.youtube.com/watch?v=gObavlJavp4" TargetMode="External"/><Relationship Id="rId1539" Type="http://schemas.openxmlformats.org/officeDocument/2006/relationships/hyperlink" Target="https://www.mercaba.org/Musica/Ricardo%20cantalapiedra/Canciones%20de%20Ricardo%20C/01%20un%20hombre%20vulgar.mp3" TargetMode="External"/><Relationship Id="rId1746" Type="http://schemas.openxmlformats.org/officeDocument/2006/relationships/hyperlink" Target="https://www.mercaba.org/Musica/Carmelo%20Erdozain/Nuevos%20Cantos%20Para%20el%20A&#241;o%20Liturgico/4%20en%20la%20fiesta%20del%20domingo.mp3" TargetMode="External"/><Relationship Id="rId38" Type="http://schemas.openxmlformats.org/officeDocument/2006/relationships/hyperlink" Target="https://www.youtube.com/watch?v=RBbbPNeLt9c" TargetMode="External"/><Relationship Id="rId1606" Type="http://schemas.openxmlformats.org/officeDocument/2006/relationships/hyperlink" Target="https://open.spotify.com/intl-es/track/0RQlT4UW5znqGnbHSpk798?si=aa9a3e749da542b7" TargetMode="External"/><Relationship Id="rId1813" Type="http://schemas.openxmlformats.org/officeDocument/2006/relationships/hyperlink" Target="https://www.youtube.com/watch?v=71k2_V4lwoM" TargetMode="External"/><Relationship Id="rId187" Type="http://schemas.openxmlformats.org/officeDocument/2006/relationships/hyperlink" Target="https://www.youtube.com/watch?v=FiXNnUOjUdY" TargetMode="External"/><Relationship Id="rId394" Type="http://schemas.openxmlformats.org/officeDocument/2006/relationships/hyperlink" Target="https://www.maristes.cat/sites/default/files/content/nodes/recurs/file/8923/10hacialaluz.mp3" TargetMode="External"/><Relationship Id="rId254" Type="http://schemas.openxmlformats.org/officeDocument/2006/relationships/hyperlink" Target="https://www.youtube.com/watch?v=KTWM51GypWs" TargetMode="External"/><Relationship Id="rId699" Type="http://schemas.openxmlformats.org/officeDocument/2006/relationships/hyperlink" Target="https://www.youtube.com/watch?v=SrTLu4IjdSk" TargetMode="External"/><Relationship Id="rId1091" Type="http://schemas.openxmlformats.org/officeDocument/2006/relationships/hyperlink" Target="https://www.youtube.com/watch?v=DqMSVnUUJD8" TargetMode="External"/><Relationship Id="rId114" Type="http://schemas.openxmlformats.org/officeDocument/2006/relationships/hyperlink" Target="https://www.youtube.com/watch?v=on2AaQfFOEg" TargetMode="External"/><Relationship Id="rId461" Type="http://schemas.openxmlformats.org/officeDocument/2006/relationships/hyperlink" Target="https://www.maristes.cat/sites/default/files/content/nodes/recurs/file/8713/2yocantare.mp3" TargetMode="External"/><Relationship Id="rId559" Type="http://schemas.openxmlformats.org/officeDocument/2006/relationships/hyperlink" Target="https://www.maristes.cat/sites/default/files/content/nodes/recurs/file/8937/2buenamadre.mp3" TargetMode="External"/><Relationship Id="rId766" Type="http://schemas.openxmlformats.org/officeDocument/2006/relationships/hyperlink" Target="https://www.youtube.com/watch?v=-PZPYbkClzw" TargetMode="External"/><Relationship Id="rId1189" Type="http://schemas.openxmlformats.org/officeDocument/2006/relationships/hyperlink" Target="https://www.mercaba.org/Musica/Cesareo%20Gabarain/Lampara%20de%20Barro/01%20solo%20el%20amor.mp3" TargetMode="External"/><Relationship Id="rId1396" Type="http://schemas.openxmlformats.org/officeDocument/2006/relationships/hyperlink" Target="https://www.youtube.com/watch?v=tczYaCJo35w" TargetMode="External"/><Relationship Id="rId321" Type="http://schemas.openxmlformats.org/officeDocument/2006/relationships/hyperlink" Target="https://www.youtube.com/watch?v=0wsDHRh7brA" TargetMode="External"/><Relationship Id="rId419" Type="http://schemas.openxmlformats.org/officeDocument/2006/relationships/hyperlink" Target="https://www.maristes.cat/sites/default/files/content/nodes/recurs/file/8925/trackno01.mp3" TargetMode="External"/><Relationship Id="rId626" Type="http://schemas.openxmlformats.org/officeDocument/2006/relationships/hyperlink" Target="https://www.youtube.com/watch?v=Utg7wtSDJOU" TargetMode="External"/><Relationship Id="rId973" Type="http://schemas.openxmlformats.org/officeDocument/2006/relationships/hyperlink" Target="https://open.spotify.com/intl-es/track/5Fcz0xhDUSg7nUsrjFylAD?si=0d98458416ed4dbd" TargetMode="External"/><Relationship Id="rId1049" Type="http://schemas.openxmlformats.org/officeDocument/2006/relationships/hyperlink" Target="https://www.youtube.com/watch?v=F-J8uey3OQs" TargetMode="External"/><Relationship Id="rId1256" Type="http://schemas.openxmlformats.org/officeDocument/2006/relationships/hyperlink" Target="https://www.mercaba.org/Musica/Cesareo%20Gabarain/Catequesis%20y%20Cancion/04%20creo%20en%20ti%20se%C3%B1or.mp3" TargetMode="External"/><Relationship Id="rId833" Type="http://schemas.openxmlformats.org/officeDocument/2006/relationships/hyperlink" Target="https://www.youtube.com/watch?v=unA8KsLyp2Y" TargetMode="External"/><Relationship Id="rId1116" Type="http://schemas.openxmlformats.org/officeDocument/2006/relationships/hyperlink" Target="https://www.youtube.com/watch?v=zZOhUSdKCDA" TargetMode="External"/><Relationship Id="rId1463" Type="http://schemas.openxmlformats.org/officeDocument/2006/relationships/hyperlink" Target="https://www.mercaba.org/Musica/Cesareo%20Gabarain/La%20Misa%20es%20una%20Fiesta/19%20creo%20en%20dios%20padre.mp3" TargetMode="External"/><Relationship Id="rId1670" Type="http://schemas.openxmlformats.org/officeDocument/2006/relationships/hyperlink" Target="https://www.mercaba.org/Musica/Carmelo%20Erdozain/Hoy%20he%20Vuelto%20de%20Lejos/1%20hoy%20vuelvo%20de%20lejos.mp3" TargetMode="External"/><Relationship Id="rId1768" Type="http://schemas.openxmlformats.org/officeDocument/2006/relationships/hyperlink" Target="https://www.mercaba.org/Musica/Carmelo%20Erdozain/Ven%20y%20Sigueme/10%20hay%20una%20casa%20muy%20cerca.mp3" TargetMode="External"/><Relationship Id="rId900" Type="http://schemas.openxmlformats.org/officeDocument/2006/relationships/hyperlink" Target="https://www.youtube.com/watch?v=MRL3Ifsl3kE" TargetMode="External"/><Relationship Id="rId1323" Type="http://schemas.openxmlformats.org/officeDocument/2006/relationships/hyperlink" Target="https://www.youtube.com/watch?v=F2cvYvn1y20" TargetMode="External"/><Relationship Id="rId1530" Type="http://schemas.openxmlformats.org/officeDocument/2006/relationships/hyperlink" Target="https://www.youtube.com/watch?v=1WWGmMnR3-w" TargetMode="External"/><Relationship Id="rId1628" Type="http://schemas.openxmlformats.org/officeDocument/2006/relationships/hyperlink" Target="https://www.mercaba.org/Musica/Carmelo%20Erdozain/12%20canciones%20religiosas%20y%20liturgicas,%20carmelo%20erdozain/11%20Ia%20noche%20ya%20se%20acerca.mp3" TargetMode="External"/><Relationship Id="rId276" Type="http://schemas.openxmlformats.org/officeDocument/2006/relationships/hyperlink" Target="https://www.youtube.com/watch?v=3SRMDxeSDGg" TargetMode="External"/><Relationship Id="rId483" Type="http://schemas.openxmlformats.org/officeDocument/2006/relationships/hyperlink" Target="https://www.maristes.cat/sites/default/files/content/nodes/recurs/file/9454/10cortolaroca.mp3" TargetMode="External"/><Relationship Id="rId690" Type="http://schemas.openxmlformats.org/officeDocument/2006/relationships/hyperlink" Target="https://www.youtube.com/watch?v=yV0m5OAYpRA" TargetMode="External"/><Relationship Id="rId136" Type="http://schemas.openxmlformats.org/officeDocument/2006/relationships/hyperlink" Target="https://www.youtube.com/watch?v=XNaca0XeB8k" TargetMode="External"/><Relationship Id="rId343" Type="http://schemas.openxmlformats.org/officeDocument/2006/relationships/hyperlink" Target="https://www.youtube.com/watch?v=5s9NbfvVKAA" TargetMode="External"/><Relationship Id="rId550" Type="http://schemas.openxmlformats.org/officeDocument/2006/relationships/hyperlink" Target="https://www.maristes.cat/sites/default/files/content/nodes/recurs/file/8882/5quesepamosestar.mp3" TargetMode="External"/><Relationship Id="rId788" Type="http://schemas.openxmlformats.org/officeDocument/2006/relationships/hyperlink" Target="https://www.youtube.com/watch?v=fIHNsAvNBt4" TargetMode="External"/><Relationship Id="rId995" Type="http://schemas.openxmlformats.org/officeDocument/2006/relationships/hyperlink" Target="https://open.spotify.com/intl-es/track/3xOXxHhp0A7jhI1p8fynpD?si=60e9e30ae8994eff" TargetMode="External"/><Relationship Id="rId1180" Type="http://schemas.openxmlformats.org/officeDocument/2006/relationships/hyperlink" Target="https://www.mercaba.org/Musica/Cesareo%20Gabarain/La%20Fuerza%20del%20Espiritu/08%20-%20Siempre%20es%20Pentecost%C3%A9s.mp3" TargetMode="External"/><Relationship Id="rId203" Type="http://schemas.openxmlformats.org/officeDocument/2006/relationships/hyperlink" Target="https://www.youtube.com/watch?v=3VrPgxzSzuQ" TargetMode="External"/><Relationship Id="rId648" Type="http://schemas.openxmlformats.org/officeDocument/2006/relationships/hyperlink" Target="https://www.youtube.com/watch?v=gfl7-8zFXyU" TargetMode="External"/><Relationship Id="rId855" Type="http://schemas.openxmlformats.org/officeDocument/2006/relationships/hyperlink" Target="https://www.youtube.com/watch?v=bif1x_Xcv24" TargetMode="External"/><Relationship Id="rId1040" Type="http://schemas.openxmlformats.org/officeDocument/2006/relationships/hyperlink" Target="https://www.youtube.com/watch?v=WLgpsePLddQ" TargetMode="External"/><Relationship Id="rId1278" Type="http://schemas.openxmlformats.org/officeDocument/2006/relationships/hyperlink" Target="https://www.mercaba.org/Musica/Cesareo%20Gabarain/Dios%20Hombre%20Mundo/06%20-%20Una%20roca%20inm%C3%B3vil.mp3" TargetMode="External"/><Relationship Id="rId1485" Type="http://schemas.openxmlformats.org/officeDocument/2006/relationships/hyperlink" Target="https://www.youtube.com/watch?v=Zkb0odbIEmY" TargetMode="External"/><Relationship Id="rId1692" Type="http://schemas.openxmlformats.org/officeDocument/2006/relationships/hyperlink" Target="https://www.mercaba.org/Musica/Carmelo%20Erdozain/Cantos%20para%20Participar%20y%20Vivir/15%20aleluya%20navide&#241;o.mp3" TargetMode="External"/><Relationship Id="rId410" Type="http://schemas.openxmlformats.org/officeDocument/2006/relationships/hyperlink" Target="https://www.maristes.cat/sites/default/files/content/nodes/recurs/file/9013/4ungesto.mp3" TargetMode="External"/><Relationship Id="rId508" Type="http://schemas.openxmlformats.org/officeDocument/2006/relationships/hyperlink" Target="https://www.maristes.cat/sites/default/files/content/nodes/recurs/file/8912/12mimamitabuena.mp3" TargetMode="External"/><Relationship Id="rId715" Type="http://schemas.openxmlformats.org/officeDocument/2006/relationships/hyperlink" Target="https://www.youtube.com/watch?v=_tMst8n-W_4" TargetMode="External"/><Relationship Id="rId922" Type="http://schemas.openxmlformats.org/officeDocument/2006/relationships/hyperlink" Target="https://www.youtube.com/watch?v=uE5e-HqpIXs" TargetMode="External"/><Relationship Id="rId1138" Type="http://schemas.openxmlformats.org/officeDocument/2006/relationships/hyperlink" Target="https://www.youtube.com/watch?v=hGT1-iaMO3I" TargetMode="External"/><Relationship Id="rId1345" Type="http://schemas.openxmlformats.org/officeDocument/2006/relationships/hyperlink" Target="https://www.youtube.com/watch?v=JApsSmgVhoc" TargetMode="External"/><Relationship Id="rId1552" Type="http://schemas.openxmlformats.org/officeDocument/2006/relationships/hyperlink" Target="https://www.mercaba.org/Musica/Ricardo%20cantalapiedra/El%20Profeta/06%20exurge.mp3" TargetMode="External"/><Relationship Id="rId1205" Type="http://schemas.openxmlformats.org/officeDocument/2006/relationships/hyperlink" Target="https://www.mercaba.org/Musica/Cesareo%20Gabarain/aclamaciones%20para%20la%20celebracion,%20gabarain%20(m)/03%20gloria.mp3" TargetMode="External"/><Relationship Id="rId51" Type="http://schemas.openxmlformats.org/officeDocument/2006/relationships/hyperlink" Target="https://www.mercaba.org/Musica/Cesareo%20Gabarain/La%20Misa%20es%20una%20Fiesta/04%20ense%C3%B1ame%20se%C3%B1or.mp3" TargetMode="External"/><Relationship Id="rId1412" Type="http://schemas.openxmlformats.org/officeDocument/2006/relationships/hyperlink" Target="https://www.youtube.com/watch?v=ro0mCdvDLhg" TargetMode="External"/><Relationship Id="rId1717" Type="http://schemas.openxmlformats.org/officeDocument/2006/relationships/hyperlink" Target="https://www.mercaba.org/Musica/Carmelo%20Erdozain/Dios%20es%20Amor/5%20aleluya.mp3" TargetMode="External"/><Relationship Id="rId298" Type="http://schemas.openxmlformats.org/officeDocument/2006/relationships/hyperlink" Target="https://www.youtube.com/watch?v=nSgDho8GZJU" TargetMode="External"/><Relationship Id="rId158" Type="http://schemas.openxmlformats.org/officeDocument/2006/relationships/hyperlink" Target="https://www.youtube.com/watch?v=OL3mwDeezXg" TargetMode="External"/><Relationship Id="rId365" Type="http://schemas.openxmlformats.org/officeDocument/2006/relationships/hyperlink" Target="https://www.maristes.cat/sites/default/files/content/nodes/recurs/file/8676/4padrevuelvoati.mp3" TargetMode="External"/><Relationship Id="rId572" Type="http://schemas.openxmlformats.org/officeDocument/2006/relationships/hyperlink" Target="https://www.maristes.cat/sites/default/files/content/nodes/recurs/file/8730/04quisierahabernacido.mp3" TargetMode="External"/><Relationship Id="rId225" Type="http://schemas.openxmlformats.org/officeDocument/2006/relationships/hyperlink" Target="https://www.youtube.com/watch?v=A3KiVG030AI" TargetMode="External"/><Relationship Id="rId432" Type="http://schemas.openxmlformats.org/officeDocument/2006/relationships/hyperlink" Target="https://www.maristes.cat/sites/default/files/content/nodes/recurs/file/8867/2claraimagendedios.mp3" TargetMode="External"/><Relationship Id="rId877" Type="http://schemas.openxmlformats.org/officeDocument/2006/relationships/hyperlink" Target="https://www.youtube.com/watch?v=vtSjNBXs1h8" TargetMode="External"/><Relationship Id="rId1062" Type="http://schemas.openxmlformats.org/officeDocument/2006/relationships/hyperlink" Target="https://www.youtube.com/watch?v=FG74aDT1B78" TargetMode="External"/><Relationship Id="rId737" Type="http://schemas.openxmlformats.org/officeDocument/2006/relationships/hyperlink" Target="https://www.youtube.com/watch?v=IjXkGDZtdpI" TargetMode="External"/><Relationship Id="rId944" Type="http://schemas.openxmlformats.org/officeDocument/2006/relationships/hyperlink" Target="https://www.youtube.com/watch?v=hYJ1eV0pxzM" TargetMode="External"/><Relationship Id="rId1367" Type="http://schemas.openxmlformats.org/officeDocument/2006/relationships/hyperlink" Target="https://www.youtube.com/watch?v=An2nTchVifw" TargetMode="External"/><Relationship Id="rId1574" Type="http://schemas.openxmlformats.org/officeDocument/2006/relationships/hyperlink" Target="https://www.youtube.com/watch?v=IPOzv7-mYFQ" TargetMode="External"/><Relationship Id="rId1781" Type="http://schemas.openxmlformats.org/officeDocument/2006/relationships/hyperlink" Target="https://www.youtube.com/watch?v=nZDxxea7EhE" TargetMode="External"/><Relationship Id="rId73" Type="http://schemas.openxmlformats.org/officeDocument/2006/relationships/hyperlink" Target="https://www.youtube.com/watch?v=tvuawnjeHWQ" TargetMode="External"/><Relationship Id="rId804" Type="http://schemas.openxmlformats.org/officeDocument/2006/relationships/hyperlink" Target="https://www.youtube.com/watch?v=TjzRj0bejUw" TargetMode="External"/><Relationship Id="rId1227" Type="http://schemas.openxmlformats.org/officeDocument/2006/relationships/hyperlink" Target="https://www.mercaba.org/Musica/Cesareo%20Gabarain/Al%20Atardecer%20de%20la%20Vida/05%20-%20Abridme%20las%20puertas%20del%20triunfo.mp3" TargetMode="External"/><Relationship Id="rId1434" Type="http://schemas.openxmlformats.org/officeDocument/2006/relationships/hyperlink" Target="https://www.mercaba.org/Musica/Cesareo%20Gabarain/En%20Medio%20de%20la%20Noche/10%20la%20historia%20ocurrio.mp3" TargetMode="External"/><Relationship Id="rId1641" Type="http://schemas.openxmlformats.org/officeDocument/2006/relationships/hyperlink" Target="https://www.mercaba.org/Musica/Carmelo%20Erdozain/15%20cantos%20para%20la%20cena%20del%20se%C3%B1or,%20carmelo%20erdozain/08%20padre%20nuestro%20que%20estas%20en%20el%20cielo.mp3" TargetMode="External"/><Relationship Id="rId1501" Type="http://schemas.openxmlformats.org/officeDocument/2006/relationships/hyperlink" Target="https://www.youtube.com/watch?v=AXvvMQYXtfc" TargetMode="External"/><Relationship Id="rId1739" Type="http://schemas.openxmlformats.org/officeDocument/2006/relationships/hyperlink" Target="https://www.mercaba.org/Musica/Carmelo%20Erdozain/Mesias%20de%20Liberacion/7%20eloi%20eloi%20jerusalen.mp3" TargetMode="External"/><Relationship Id="rId1806" Type="http://schemas.openxmlformats.org/officeDocument/2006/relationships/hyperlink" Target="https://www.youtube.com/watch?v=D3XN5ezH3JQ" TargetMode="External"/><Relationship Id="rId387" Type="http://schemas.openxmlformats.org/officeDocument/2006/relationships/hyperlink" Target="https://www.maristes.cat/sites/default/files/content/nodes/recurs/file/8916/3enlaesperanzamadre.mp3" TargetMode="External"/><Relationship Id="rId594" Type="http://schemas.openxmlformats.org/officeDocument/2006/relationships/hyperlink" Target="https://www.maristes.cat/sites/default/files/content/nodes/recurs/file/8955/2ysevivelavida.mp3" TargetMode="External"/><Relationship Id="rId247" Type="http://schemas.openxmlformats.org/officeDocument/2006/relationships/hyperlink" Target="https://www.youtube.com/watch?v=mKH8F1OA6r8" TargetMode="External"/><Relationship Id="rId899" Type="http://schemas.openxmlformats.org/officeDocument/2006/relationships/hyperlink" Target="https://www.youtube.com/watch?v=2L3Nkx3CHHE" TargetMode="External"/><Relationship Id="rId1084" Type="http://schemas.openxmlformats.org/officeDocument/2006/relationships/hyperlink" Target="https://www.youtube.com/watch?v=cuOU6ExQgjQ" TargetMode="External"/><Relationship Id="rId107" Type="http://schemas.openxmlformats.org/officeDocument/2006/relationships/hyperlink" Target="https://www.youtube.com/watch?v=a41oNwOkVTY" TargetMode="External"/><Relationship Id="rId454" Type="http://schemas.openxmlformats.org/officeDocument/2006/relationships/hyperlink" Target="https://www.maristes.cat/sites/default/files/content/nodes/recurs/file/8856/7nodurmais.mp3" TargetMode="External"/><Relationship Id="rId661" Type="http://schemas.openxmlformats.org/officeDocument/2006/relationships/hyperlink" Target="https://www.youtube.com/watch?v=3g8Ju0IqFII" TargetMode="External"/><Relationship Id="rId759" Type="http://schemas.openxmlformats.org/officeDocument/2006/relationships/hyperlink" Target="https://www.youtube.com/watch?v=CdSkvbLrcno" TargetMode="External"/><Relationship Id="rId966" Type="http://schemas.openxmlformats.org/officeDocument/2006/relationships/hyperlink" Target="https://www.youtube.com/watch?v=gLUqpxttp_M" TargetMode="External"/><Relationship Id="rId1291" Type="http://schemas.openxmlformats.org/officeDocument/2006/relationships/hyperlink" Target="https://www.youtube.com/watch?v=haISnUGFeOU" TargetMode="External"/><Relationship Id="rId1389" Type="http://schemas.openxmlformats.org/officeDocument/2006/relationships/hyperlink" Target="https://www.youtube.com/watch?v=c4EKS6yapQ4" TargetMode="External"/><Relationship Id="rId1596" Type="http://schemas.openxmlformats.org/officeDocument/2006/relationships/hyperlink" Target="https://www.youtube.com/watch?v=-mIXEWppi-k" TargetMode="External"/><Relationship Id="rId314" Type="http://schemas.openxmlformats.org/officeDocument/2006/relationships/hyperlink" Target="https://www.youtube.com/watch?v=PMQ0E1Xe1ZA" TargetMode="External"/><Relationship Id="rId521" Type="http://schemas.openxmlformats.org/officeDocument/2006/relationships/hyperlink" Target="https://www.maristes.cat/sites/default/files/content/nodes/recurs/file/8983/12vinonuevo.mp3" TargetMode="External"/><Relationship Id="rId619" Type="http://schemas.openxmlformats.org/officeDocument/2006/relationships/hyperlink" Target="https://www.youtube.com/watch?v=aWqgzEHIBvs" TargetMode="External"/><Relationship Id="rId1151" Type="http://schemas.openxmlformats.org/officeDocument/2006/relationships/hyperlink" Target="https://www.youtube.com/watch?v=kCUp2TAmvHI" TargetMode="External"/><Relationship Id="rId1249" Type="http://schemas.openxmlformats.org/officeDocument/2006/relationships/hyperlink" Target="https://www.mercaba.org/Musica/Cesareo%20Gabarain/Cantando%20Venimos/04%20-%20Gracias%20por%20tu%20palabra.mp3" TargetMode="External"/><Relationship Id="rId95" Type="http://schemas.openxmlformats.org/officeDocument/2006/relationships/hyperlink" Target="https://www.youtube.com/watch?v=gcdzkTZWl0o" TargetMode="External"/><Relationship Id="rId826" Type="http://schemas.openxmlformats.org/officeDocument/2006/relationships/hyperlink" Target="https://www.youtube.com/watch?v=Jl1pNiAzL3I" TargetMode="External"/><Relationship Id="rId1011" Type="http://schemas.openxmlformats.org/officeDocument/2006/relationships/hyperlink" Target="https://www.youtube.com/watch?v=sgHZUaaDHc8" TargetMode="External"/><Relationship Id="rId1109" Type="http://schemas.openxmlformats.org/officeDocument/2006/relationships/hyperlink" Target="https://www.youtube.com/watch?v=PmFkVg2OF0o" TargetMode="External"/><Relationship Id="rId1456" Type="http://schemas.openxmlformats.org/officeDocument/2006/relationships/hyperlink" Target="https://www.mercaba.org/Musica/Cesareo%20Gabarain/La%20Misa%20es%20una%20Fiesta/03%20gloria%20gloria.mp3" TargetMode="External"/><Relationship Id="rId1663" Type="http://schemas.openxmlformats.org/officeDocument/2006/relationships/hyperlink" Target="https://www.mercaba.org/Musica/Adviento%20y%20Navidad/Adviento%20Maria%20y%20Navidad/preparemos%20los%20caminos.mp3" TargetMode="External"/><Relationship Id="rId1316" Type="http://schemas.openxmlformats.org/officeDocument/2006/relationships/hyperlink" Target="https://www.youtube.com/watch?v=0KEto5PoW9g" TargetMode="External"/><Relationship Id="rId1523" Type="http://schemas.openxmlformats.org/officeDocument/2006/relationships/hyperlink" Target="https://www.youtube.com/watch?v=k6iNXzX-sEc" TargetMode="External"/><Relationship Id="rId1730" Type="http://schemas.openxmlformats.org/officeDocument/2006/relationships/hyperlink" Target="https://www.mercaba.org/Musica/Carmelo%20Erdozain/Hoy%20he%20Vuelto%20de%20Lejos/8%20oh%20sagrado%20convite.mp3" TargetMode="External"/><Relationship Id="rId22" Type="http://schemas.openxmlformats.org/officeDocument/2006/relationships/hyperlink" Target="https://www.youtube.com/watch?v=i3PyJPPFJsQ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astoralmusical.es/inicio/tsnc" TargetMode="External"/><Relationship Id="rId1" Type="http://schemas.openxmlformats.org/officeDocument/2006/relationships/hyperlink" Target="https://pastoralmusical.es/inicio/gloyol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12CE-482F-4AD5-9E58-F99B41273073}">
  <sheetPr codeName="Hoja1"/>
  <dimension ref="A1:E398"/>
  <sheetViews>
    <sheetView workbookViewId="0"/>
    <sheetView workbookViewId="1"/>
  </sheetViews>
  <sheetFormatPr baseColWidth="10" defaultRowHeight="14.4" x14ac:dyDescent="0.3"/>
  <cols>
    <col min="1" max="1" width="10.109375" bestFit="1" customWidth="1"/>
    <col min="2" max="2" width="55.5546875" bestFit="1" customWidth="1"/>
    <col min="3" max="3" width="55.5546875" customWidth="1"/>
  </cols>
  <sheetData>
    <row r="1" spans="1:5" x14ac:dyDescent="0.3">
      <c r="A1" t="s">
        <v>643</v>
      </c>
      <c r="B1" t="s">
        <v>788</v>
      </c>
      <c r="C1" t="s">
        <v>477</v>
      </c>
      <c r="D1" t="s">
        <v>1158</v>
      </c>
      <c r="E1" t="s">
        <v>1477</v>
      </c>
    </row>
    <row r="2" spans="1:5" x14ac:dyDescent="0.3">
      <c r="A2" s="16">
        <v>1</v>
      </c>
      <c r="B2" t="s">
        <v>1</v>
      </c>
      <c r="C2" t="s">
        <v>486</v>
      </c>
      <c r="D2" t="str">
        <f>IF(ISNUMBER(MATCH(Tabla4[[#This Row],[Título]],CantoralDB[Título],0)),"OK","-")</f>
        <v>OK</v>
      </c>
      <c r="E2" t="s">
        <v>605</v>
      </c>
    </row>
    <row r="3" spans="1:5" x14ac:dyDescent="0.3">
      <c r="A3" s="16">
        <v>2</v>
      </c>
      <c r="B3" t="s">
        <v>1151</v>
      </c>
      <c r="C3" t="s">
        <v>480</v>
      </c>
      <c r="D3" t="str">
        <f>IF(ISNUMBER(MATCH(Tabla4[[#This Row],[Título]],CantoralDB[Título],0)),"OK","-")</f>
        <v>OK</v>
      </c>
      <c r="E3" t="s">
        <v>792</v>
      </c>
    </row>
    <row r="4" spans="1:5" x14ac:dyDescent="0.3">
      <c r="A4" s="16">
        <v>3</v>
      </c>
      <c r="B4" t="s">
        <v>1152</v>
      </c>
      <c r="C4" t="s">
        <v>2069</v>
      </c>
      <c r="D4" t="str">
        <f>IF(ISNUMBER(MATCH(Tabla4[[#This Row],[Título]],CantoralDB[Título],0)),"OK","-")</f>
        <v>OK</v>
      </c>
      <c r="E4" t="s">
        <v>792</v>
      </c>
    </row>
    <row r="5" spans="1:5" x14ac:dyDescent="0.3">
      <c r="A5" s="16">
        <v>4</v>
      </c>
      <c r="B5" t="s">
        <v>228</v>
      </c>
      <c r="C5" t="s">
        <v>490</v>
      </c>
      <c r="D5" t="str">
        <f>IF(ISNUMBER(MATCH(Tabla4[[#This Row],[Título]],CantoralDB[Título],0)),"OK","-")</f>
        <v>OK</v>
      </c>
      <c r="E5" t="s">
        <v>605</v>
      </c>
    </row>
    <row r="6" spans="1:5" x14ac:dyDescent="0.3">
      <c r="A6" s="16">
        <v>5</v>
      </c>
      <c r="B6" t="s">
        <v>1153</v>
      </c>
      <c r="C6" t="s">
        <v>2068</v>
      </c>
      <c r="D6" t="str">
        <f>IF(ISNUMBER(MATCH(Tabla4[[#This Row],[Título]],CantoralDB[Título],0)),"OK","-")</f>
        <v>OK</v>
      </c>
      <c r="E6" t="s">
        <v>792</v>
      </c>
    </row>
    <row r="7" spans="1:5" x14ac:dyDescent="0.3">
      <c r="A7" s="16">
        <v>6</v>
      </c>
      <c r="B7" t="s">
        <v>1154</v>
      </c>
      <c r="C7" t="s">
        <v>480</v>
      </c>
      <c r="D7" t="str">
        <f>IF(ISNUMBER(MATCH(Tabla4[[#This Row],[Título]],CantoralDB[Título],0)),"OK","-")</f>
        <v>OK</v>
      </c>
      <c r="E7" t="s">
        <v>792</v>
      </c>
    </row>
    <row r="8" spans="1:5" x14ac:dyDescent="0.3">
      <c r="A8" s="16">
        <v>7</v>
      </c>
      <c r="B8" t="s">
        <v>1155</v>
      </c>
      <c r="C8" t="s">
        <v>2068</v>
      </c>
      <c r="D8" t="str">
        <f>IF(ISNUMBER(MATCH(Tabla4[[#This Row],[Título]],CantoralDB[Título],0)),"OK","-")</f>
        <v>-</v>
      </c>
      <c r="E8" t="s">
        <v>792</v>
      </c>
    </row>
    <row r="9" spans="1:5" x14ac:dyDescent="0.3">
      <c r="A9" s="16">
        <v>8</v>
      </c>
      <c r="B9" t="s">
        <v>6</v>
      </c>
      <c r="C9" t="s">
        <v>478</v>
      </c>
      <c r="D9" t="str">
        <f>IF(ISNUMBER(MATCH(Tabla4[[#This Row],[Título]],CantoralDB[Título],0)),"OK","-")</f>
        <v>OK</v>
      </c>
      <c r="E9" t="s">
        <v>605</v>
      </c>
    </row>
    <row r="10" spans="1:5" x14ac:dyDescent="0.3">
      <c r="A10" s="16">
        <v>9</v>
      </c>
      <c r="B10" t="s">
        <v>8</v>
      </c>
      <c r="C10" t="s">
        <v>480</v>
      </c>
      <c r="D10" t="str">
        <f>IF(ISNUMBER(MATCH(Tabla4[[#This Row],[Título]],CantoralDB[Título],0)),"OK","-")</f>
        <v>OK</v>
      </c>
      <c r="E10" t="s">
        <v>605</v>
      </c>
    </row>
    <row r="11" spans="1:5" x14ac:dyDescent="0.3">
      <c r="A11" s="16">
        <v>10</v>
      </c>
      <c r="B11" t="s">
        <v>12</v>
      </c>
      <c r="C11" t="s">
        <v>2133</v>
      </c>
      <c r="D11" t="str">
        <f>IF(ISNUMBER(MATCH(Tabla4[[#This Row],[Título]],CantoralDB[Título],0)),"OK","-")</f>
        <v>OK</v>
      </c>
      <c r="E11" t="s">
        <v>605</v>
      </c>
    </row>
    <row r="12" spans="1:5" x14ac:dyDescent="0.3">
      <c r="A12" s="16">
        <v>11</v>
      </c>
      <c r="B12" t="s">
        <v>1156</v>
      </c>
      <c r="C12" t="s">
        <v>486</v>
      </c>
      <c r="D12" t="str">
        <f>IF(ISNUMBER(MATCH(Tabla4[[#This Row],[Título]],CantoralDB[Título],0)),"OK","-")</f>
        <v>OK</v>
      </c>
      <c r="E12" t="s">
        <v>792</v>
      </c>
    </row>
    <row r="13" spans="1:5" x14ac:dyDescent="0.3">
      <c r="A13" s="16">
        <v>12</v>
      </c>
      <c r="B13" t="s">
        <v>10</v>
      </c>
      <c r="C13" t="s">
        <v>484</v>
      </c>
      <c r="D13" t="str">
        <f>IF(ISNUMBER(MATCH(Tabla4[[#This Row],[Título]],CantoralDB[Título],0)),"OK","-")</f>
        <v>OK</v>
      </c>
      <c r="E13" t="s">
        <v>605</v>
      </c>
    </row>
    <row r="14" spans="1:5" x14ac:dyDescent="0.3">
      <c r="A14" s="16">
        <v>13</v>
      </c>
      <c r="B14" t="s">
        <v>19</v>
      </c>
      <c r="C14" t="s">
        <v>478</v>
      </c>
      <c r="D14" t="str">
        <f>IF(ISNUMBER(MATCH(Tabla4[[#This Row],[Título]],CantoralDB[Título],0)),"OK","-")</f>
        <v>OK</v>
      </c>
      <c r="E14" t="s">
        <v>605</v>
      </c>
    </row>
    <row r="15" spans="1:5" x14ac:dyDescent="0.3">
      <c r="A15" s="16">
        <v>14</v>
      </c>
      <c r="B15" t="s">
        <v>18</v>
      </c>
      <c r="C15" t="s">
        <v>486</v>
      </c>
      <c r="D15" t="str">
        <f>IF(ISNUMBER(MATCH(Tabla4[[#This Row],[Título]],CantoralDB[Título],0)),"OK","-")</f>
        <v>OK</v>
      </c>
      <c r="E15" t="s">
        <v>605</v>
      </c>
    </row>
    <row r="16" spans="1:5" x14ac:dyDescent="0.3">
      <c r="A16" s="16">
        <v>15</v>
      </c>
      <c r="B16" t="s">
        <v>1157</v>
      </c>
      <c r="C16" t="s">
        <v>2070</v>
      </c>
      <c r="D16" t="str">
        <f>IF(ISNUMBER(MATCH(Tabla4[[#This Row],[Título]],CantoralDB[Título],0)),"OK","-")</f>
        <v>OK</v>
      </c>
      <c r="E16" t="s">
        <v>792</v>
      </c>
    </row>
    <row r="17" spans="1:5" x14ac:dyDescent="0.3">
      <c r="A17" s="16">
        <v>16</v>
      </c>
      <c r="B17" t="s">
        <v>11</v>
      </c>
      <c r="C17" t="s">
        <v>490</v>
      </c>
      <c r="D17" t="str">
        <f>IF(ISNUMBER(MATCH(Tabla4[[#This Row],[Título]],CantoralDB[Título],0)),"OK","-")</f>
        <v>OK</v>
      </c>
      <c r="E17" t="s">
        <v>605</v>
      </c>
    </row>
    <row r="18" spans="1:5" x14ac:dyDescent="0.3">
      <c r="A18" s="16">
        <v>17</v>
      </c>
      <c r="B18" t="s">
        <v>1159</v>
      </c>
      <c r="C18" t="s">
        <v>515</v>
      </c>
      <c r="D18" t="str">
        <f>IF(ISNUMBER(MATCH(Tabla4[[#This Row],[Título]],CantoralDB[Título],0)),"OK","-")</f>
        <v>-</v>
      </c>
      <c r="E18" t="s">
        <v>792</v>
      </c>
    </row>
    <row r="19" spans="1:5" x14ac:dyDescent="0.3">
      <c r="A19" s="16">
        <v>18</v>
      </c>
      <c r="B19" t="s">
        <v>1160</v>
      </c>
      <c r="C19" t="s">
        <v>480</v>
      </c>
      <c r="D19" t="str">
        <f>IF(ISNUMBER(MATCH(Tabla4[[#This Row],[Título]],CantoralDB[Título],0)),"OK","-")</f>
        <v>-</v>
      </c>
      <c r="E19" t="s">
        <v>792</v>
      </c>
    </row>
    <row r="20" spans="1:5" x14ac:dyDescent="0.3">
      <c r="A20" s="16">
        <v>19</v>
      </c>
      <c r="B20" t="s">
        <v>9</v>
      </c>
      <c r="C20" t="s">
        <v>480</v>
      </c>
      <c r="D20" t="str">
        <f>IF(ISNUMBER(MATCH(Tabla4[[#This Row],[Título]],CantoralDB[Título],0)),"OK","-")</f>
        <v>OK</v>
      </c>
      <c r="E20" t="s">
        <v>605</v>
      </c>
    </row>
    <row r="21" spans="1:5" x14ac:dyDescent="0.3">
      <c r="A21" s="16">
        <v>20</v>
      </c>
      <c r="B21" t="s">
        <v>13</v>
      </c>
      <c r="C21" t="s">
        <v>482</v>
      </c>
      <c r="D21" t="str">
        <f>IF(ISNUMBER(MATCH(Tabla4[[#This Row],[Título]],CantoralDB[Título],0)),"OK","-")</f>
        <v>OK</v>
      </c>
      <c r="E21" t="s">
        <v>792</v>
      </c>
    </row>
    <row r="22" spans="1:5" x14ac:dyDescent="0.3">
      <c r="A22" s="16">
        <v>21</v>
      </c>
      <c r="B22" t="s">
        <v>21</v>
      </c>
      <c r="C22" t="s">
        <v>480</v>
      </c>
      <c r="D22" t="str">
        <f>IF(ISNUMBER(MATCH(Tabla4[[#This Row],[Título]],CantoralDB[Título],0)),"OK","-")</f>
        <v>OK</v>
      </c>
      <c r="E22" t="s">
        <v>605</v>
      </c>
    </row>
    <row r="23" spans="1:5" x14ac:dyDescent="0.3">
      <c r="A23" s="16">
        <v>22</v>
      </c>
      <c r="B23" t="s">
        <v>1161</v>
      </c>
      <c r="C23" t="s">
        <v>2069</v>
      </c>
      <c r="D23" t="str">
        <f>IF(ISNUMBER(MATCH(Tabla4[[#This Row],[Título]],CantoralDB[Título],0)),"OK","-")</f>
        <v>OK</v>
      </c>
      <c r="E23" t="s">
        <v>605</v>
      </c>
    </row>
    <row r="24" spans="1:5" x14ac:dyDescent="0.3">
      <c r="A24" s="16">
        <v>23</v>
      </c>
      <c r="B24" t="s">
        <v>203</v>
      </c>
      <c r="C24" t="s">
        <v>539</v>
      </c>
      <c r="D24" t="str">
        <f>IF(ISNUMBER(MATCH(Tabla4[[#This Row],[Título]],CantoralDB[Título],0)),"OK","-")</f>
        <v>OK</v>
      </c>
      <c r="E24" t="s">
        <v>605</v>
      </c>
    </row>
    <row r="25" spans="1:5" x14ac:dyDescent="0.3">
      <c r="A25" s="16">
        <v>24</v>
      </c>
      <c r="B25" t="s">
        <v>1162</v>
      </c>
      <c r="C25" t="s">
        <v>478</v>
      </c>
      <c r="D25" t="str">
        <f>IF(ISNUMBER(MATCH(Tabla4[[#This Row],[Título]],CantoralDB[Título],0)),"OK","-")</f>
        <v>OK</v>
      </c>
      <c r="E25" t="s">
        <v>605</v>
      </c>
    </row>
    <row r="26" spans="1:5" x14ac:dyDescent="0.3">
      <c r="A26" s="16">
        <v>25</v>
      </c>
      <c r="B26" t="s">
        <v>1163</v>
      </c>
      <c r="C26" t="s">
        <v>486</v>
      </c>
      <c r="D26" t="str">
        <f>IF(ISNUMBER(MATCH(Tabla4[[#This Row],[Título]],CantoralDB[Título],0)),"OK","-")</f>
        <v>OK</v>
      </c>
      <c r="E26" t="s">
        <v>792</v>
      </c>
    </row>
    <row r="27" spans="1:5" x14ac:dyDescent="0.3">
      <c r="A27" s="16">
        <v>26</v>
      </c>
      <c r="B27" t="s">
        <v>25</v>
      </c>
      <c r="C27" t="s">
        <v>484</v>
      </c>
      <c r="D27" t="str">
        <f>IF(ISNUMBER(MATCH(Tabla4[[#This Row],[Título]],CantoralDB[Título],0)),"OK","-")</f>
        <v>OK</v>
      </c>
      <c r="E27" t="s">
        <v>605</v>
      </c>
    </row>
    <row r="28" spans="1:5" x14ac:dyDescent="0.3">
      <c r="A28" s="16">
        <v>27</v>
      </c>
      <c r="B28" t="s">
        <v>1164</v>
      </c>
      <c r="C28" t="s">
        <v>480</v>
      </c>
      <c r="D28" t="str">
        <f>IF(ISNUMBER(MATCH(Tabla4[[#This Row],[Título]],CantoralDB[Título],0)),"OK","-")</f>
        <v>OK</v>
      </c>
      <c r="E28" t="s">
        <v>792</v>
      </c>
    </row>
    <row r="29" spans="1:5" x14ac:dyDescent="0.3">
      <c r="A29" s="16">
        <v>28</v>
      </c>
      <c r="B29" t="s">
        <v>3</v>
      </c>
      <c r="C29" t="s">
        <v>497</v>
      </c>
      <c r="D29" t="str">
        <f>IF(ISNUMBER(MATCH(Tabla4[[#This Row],[Título]],CantoralDB[Título],0)),"OK","-")</f>
        <v>OK</v>
      </c>
      <c r="E29" t="s">
        <v>605</v>
      </c>
    </row>
    <row r="30" spans="1:5" x14ac:dyDescent="0.3">
      <c r="A30" s="16">
        <v>29</v>
      </c>
      <c r="B30" t="s">
        <v>1165</v>
      </c>
      <c r="C30" t="s">
        <v>2072</v>
      </c>
      <c r="D30" t="str">
        <f>IF(ISNUMBER(MATCH(Tabla4[[#This Row],[Título]],CantoralDB[Título],0)),"OK","-")</f>
        <v>OK</v>
      </c>
      <c r="E30" t="s">
        <v>792</v>
      </c>
    </row>
    <row r="31" spans="1:5" x14ac:dyDescent="0.3">
      <c r="A31" s="16">
        <v>30</v>
      </c>
      <c r="B31" t="s">
        <v>1166</v>
      </c>
      <c r="C31" t="s">
        <v>2073</v>
      </c>
      <c r="D31" t="str">
        <f>IF(ISNUMBER(MATCH(Tabla4[[#This Row],[Título]],CantoralDB[Título],0)),"OK","-")</f>
        <v>OK</v>
      </c>
      <c r="E31" t="s">
        <v>792</v>
      </c>
    </row>
    <row r="32" spans="1:5" x14ac:dyDescent="0.3">
      <c r="A32" s="16">
        <v>31</v>
      </c>
      <c r="B32" t="s">
        <v>4</v>
      </c>
      <c r="C32" t="s">
        <v>2071</v>
      </c>
      <c r="D32" t="str">
        <f>IF(ISNUMBER(MATCH(Tabla4[[#This Row],[Título]],CantoralDB[Título],0)),"OK","-")</f>
        <v>OK</v>
      </c>
      <c r="E32" t="s">
        <v>605</v>
      </c>
    </row>
    <row r="33" spans="1:5" x14ac:dyDescent="0.3">
      <c r="A33" s="16">
        <v>32</v>
      </c>
      <c r="B33" t="s">
        <v>2</v>
      </c>
      <c r="C33" t="s">
        <v>479</v>
      </c>
      <c r="D33" t="str">
        <f>IF(ISNUMBER(MATCH(Tabla4[[#This Row],[Título]],CantoralDB[Título],0)),"OK","-")</f>
        <v>OK</v>
      </c>
      <c r="E33" t="s">
        <v>605</v>
      </c>
    </row>
    <row r="34" spans="1:5" x14ac:dyDescent="0.3">
      <c r="A34" s="16">
        <v>33</v>
      </c>
      <c r="B34" t="s">
        <v>1167</v>
      </c>
      <c r="C34" t="s">
        <v>486</v>
      </c>
      <c r="D34" t="str">
        <f>IF(ISNUMBER(MATCH(Tabla4[[#This Row],[Título]],CantoralDB[Título],0)),"OK","-")</f>
        <v>OK</v>
      </c>
      <c r="E34" t="s">
        <v>792</v>
      </c>
    </row>
    <row r="35" spans="1:5" x14ac:dyDescent="0.3">
      <c r="A35" s="16">
        <v>34</v>
      </c>
      <c r="B35" t="s">
        <v>27</v>
      </c>
      <c r="C35" t="s">
        <v>541</v>
      </c>
      <c r="D35" t="str">
        <f>IF(ISNUMBER(MATCH(Tabla4[[#This Row],[Título]],CantoralDB[Título],0)),"OK","-")</f>
        <v>OK</v>
      </c>
      <c r="E35" t="s">
        <v>605</v>
      </c>
    </row>
    <row r="36" spans="1:5" x14ac:dyDescent="0.3">
      <c r="A36" s="16">
        <v>35</v>
      </c>
      <c r="B36" t="s">
        <v>1168</v>
      </c>
      <c r="C36" t="s">
        <v>490</v>
      </c>
      <c r="D36" t="str">
        <f>IF(ISNUMBER(MATCH(Tabla4[[#This Row],[Título]],CantoralDB[Título],0)),"OK","-")</f>
        <v>OK</v>
      </c>
      <c r="E36" t="s">
        <v>605</v>
      </c>
    </row>
    <row r="37" spans="1:5" x14ac:dyDescent="0.3">
      <c r="A37" s="16">
        <v>36</v>
      </c>
      <c r="B37" t="s">
        <v>1171</v>
      </c>
      <c r="C37" t="s">
        <v>480</v>
      </c>
      <c r="D37" t="str">
        <f>IF(ISNUMBER(MATCH(Tabla4[[#This Row],[Título]],CantoralDB[Título],0)),"OK","-")</f>
        <v>-</v>
      </c>
      <c r="E37" t="s">
        <v>792</v>
      </c>
    </row>
    <row r="38" spans="1:5" x14ac:dyDescent="0.3">
      <c r="A38" s="16">
        <v>37</v>
      </c>
      <c r="B38" t="s">
        <v>1170</v>
      </c>
      <c r="C38" t="s">
        <v>507</v>
      </c>
      <c r="D38" t="str">
        <f>IF(ISNUMBER(MATCH(Tabla4[[#This Row],[Título]],CantoralDB[Título],0)),"OK","-")</f>
        <v>OK</v>
      </c>
      <c r="E38" t="s">
        <v>792</v>
      </c>
    </row>
    <row r="39" spans="1:5" x14ac:dyDescent="0.3">
      <c r="A39" s="16">
        <v>38</v>
      </c>
      <c r="B39" t="s">
        <v>28</v>
      </c>
      <c r="C39" t="s">
        <v>482</v>
      </c>
      <c r="D39" t="str">
        <f>IF(ISNUMBER(MATCH(Tabla4[[#This Row],[Título]],CantoralDB[Título],0)),"OK","-")</f>
        <v>OK</v>
      </c>
      <c r="E39" t="s">
        <v>605</v>
      </c>
    </row>
    <row r="40" spans="1:5" x14ac:dyDescent="0.3">
      <c r="A40" s="16">
        <v>39</v>
      </c>
      <c r="B40" t="s">
        <v>1169</v>
      </c>
      <c r="C40" t="s">
        <v>490</v>
      </c>
      <c r="D40" t="str">
        <f>IF(ISNUMBER(MATCH(Tabla4[[#This Row],[Título]],CantoralDB[Título],0)),"OK","-")</f>
        <v>-</v>
      </c>
      <c r="E40" t="s">
        <v>792</v>
      </c>
    </row>
    <row r="41" spans="1:5" x14ac:dyDescent="0.3">
      <c r="A41" s="16">
        <v>40</v>
      </c>
      <c r="B41" t="s">
        <v>544</v>
      </c>
      <c r="C41" t="s">
        <v>515</v>
      </c>
      <c r="D41" t="str">
        <f>IF(ISNUMBER(MATCH(Tabla4[[#This Row],[Título]],CantoralDB[Título],0)),"OK","-")</f>
        <v>OK</v>
      </c>
      <c r="E41" t="s">
        <v>605</v>
      </c>
    </row>
    <row r="42" spans="1:5" x14ac:dyDescent="0.3">
      <c r="A42" s="16">
        <v>41</v>
      </c>
      <c r="B42" t="s">
        <v>31</v>
      </c>
      <c r="C42" t="s">
        <v>480</v>
      </c>
      <c r="D42" t="str">
        <f>IF(ISNUMBER(MATCH(Tabla4[[#This Row],[Título]],CantoralDB[Título],0)),"OK","-")</f>
        <v>OK</v>
      </c>
      <c r="E42" t="s">
        <v>605</v>
      </c>
    </row>
    <row r="43" spans="1:5" x14ac:dyDescent="0.3">
      <c r="A43" s="16">
        <v>42</v>
      </c>
      <c r="B43" t="s">
        <v>237</v>
      </c>
      <c r="C43" t="s">
        <v>480</v>
      </c>
      <c r="D43" t="str">
        <f>IF(ISNUMBER(MATCH(Tabla4[[#This Row],[Título]],CantoralDB[Título],0)),"OK","-")</f>
        <v>OK</v>
      </c>
      <c r="E43" t="s">
        <v>605</v>
      </c>
    </row>
    <row r="44" spans="1:5" x14ac:dyDescent="0.3">
      <c r="A44" s="16">
        <v>43</v>
      </c>
      <c r="B44" t="s">
        <v>1172</v>
      </c>
      <c r="C44" t="s">
        <v>2074</v>
      </c>
      <c r="D44" t="str">
        <f>IF(ISNUMBER(MATCH(Tabla4[[#This Row],[Título]],CantoralDB[Título],0)),"OK","-")</f>
        <v>-</v>
      </c>
      <c r="E44" t="s">
        <v>792</v>
      </c>
    </row>
    <row r="45" spans="1:5" x14ac:dyDescent="0.3">
      <c r="A45" s="16">
        <v>44</v>
      </c>
      <c r="B45" t="s">
        <v>1173</v>
      </c>
      <c r="C45" t="s">
        <v>478</v>
      </c>
      <c r="D45" t="str">
        <f>IF(ISNUMBER(MATCH(Tabla4[[#This Row],[Título]],CantoralDB[Título],0)),"OK","-")</f>
        <v>OK</v>
      </c>
      <c r="E45" t="s">
        <v>792</v>
      </c>
    </row>
    <row r="46" spans="1:5" x14ac:dyDescent="0.3">
      <c r="A46" s="16">
        <v>45</v>
      </c>
      <c r="B46" t="s">
        <v>30</v>
      </c>
      <c r="C46" t="s">
        <v>497</v>
      </c>
      <c r="D46" t="str">
        <f>IF(ISNUMBER(MATCH(Tabla4[[#This Row],[Título]],CantoralDB[Título],0)),"OK","-")</f>
        <v>OK</v>
      </c>
      <c r="E46" t="s">
        <v>605</v>
      </c>
    </row>
    <row r="47" spans="1:5" x14ac:dyDescent="0.3">
      <c r="A47" s="16">
        <v>46</v>
      </c>
      <c r="B47" t="s">
        <v>1174</v>
      </c>
      <c r="C47" t="s">
        <v>2074</v>
      </c>
      <c r="D47" t="str">
        <f>IF(ISNUMBER(MATCH(Tabla4[[#This Row],[Título]],CantoralDB[Título],0)),"OK","-")</f>
        <v>OK</v>
      </c>
      <c r="E47" t="s">
        <v>792</v>
      </c>
    </row>
    <row r="48" spans="1:5" x14ac:dyDescent="0.3">
      <c r="A48" s="16">
        <v>47</v>
      </c>
      <c r="B48" t="s">
        <v>1175</v>
      </c>
      <c r="C48" t="s">
        <v>2075</v>
      </c>
      <c r="D48" t="str">
        <f>IF(ISNUMBER(MATCH(Tabla4[[#This Row],[Título]],CantoralDB[Título],0)),"OK","-")</f>
        <v>-</v>
      </c>
      <c r="E48" t="s">
        <v>792</v>
      </c>
    </row>
    <row r="49" spans="1:5" x14ac:dyDescent="0.3">
      <c r="A49" s="16">
        <v>48</v>
      </c>
      <c r="B49" t="s">
        <v>1176</v>
      </c>
      <c r="C49" t="s">
        <v>484</v>
      </c>
      <c r="D49" t="str">
        <f>IF(ISNUMBER(MATCH(Tabla4[[#This Row],[Título]],CantoralDB[Título],0)),"OK","-")</f>
        <v>OK</v>
      </c>
      <c r="E49" t="s">
        <v>792</v>
      </c>
    </row>
    <row r="50" spans="1:5" x14ac:dyDescent="0.3">
      <c r="A50" s="16">
        <v>49</v>
      </c>
      <c r="B50" t="s">
        <v>1177</v>
      </c>
      <c r="C50" t="s">
        <v>2078</v>
      </c>
      <c r="D50" t="str">
        <f>IF(ISNUMBER(MATCH(Tabla4[[#This Row],[Título]],CantoralDB[Título],0)),"OK","-")</f>
        <v>OK</v>
      </c>
      <c r="E50" t="s">
        <v>792</v>
      </c>
    </row>
    <row r="51" spans="1:5" x14ac:dyDescent="0.3">
      <c r="A51" s="16">
        <v>50</v>
      </c>
      <c r="B51" t="s">
        <v>32</v>
      </c>
      <c r="C51" t="s">
        <v>541</v>
      </c>
      <c r="D51" t="str">
        <f>IF(ISNUMBER(MATCH(Tabla4[[#This Row],[Título]],CantoralDB[Título],0)),"OK","-")</f>
        <v>OK</v>
      </c>
      <c r="E51" t="s">
        <v>605</v>
      </c>
    </row>
    <row r="52" spans="1:5" x14ac:dyDescent="0.3">
      <c r="A52" s="16">
        <v>51</v>
      </c>
      <c r="B52" t="s">
        <v>35</v>
      </c>
      <c r="C52" t="s">
        <v>478</v>
      </c>
      <c r="D52" t="str">
        <f>IF(ISNUMBER(MATCH(Tabla4[[#This Row],[Título]],CantoralDB[Título],0)),"OK","-")</f>
        <v>OK</v>
      </c>
      <c r="E52" t="s">
        <v>605</v>
      </c>
    </row>
    <row r="53" spans="1:5" x14ac:dyDescent="0.3">
      <c r="A53" s="16">
        <v>52</v>
      </c>
      <c r="B53" t="s">
        <v>33</v>
      </c>
      <c r="C53" t="s">
        <v>478</v>
      </c>
      <c r="D53" t="str">
        <f>IF(ISNUMBER(MATCH(Tabla4[[#This Row],[Título]],CantoralDB[Título],0)),"OK","-")</f>
        <v>OK</v>
      </c>
      <c r="E53" t="s">
        <v>605</v>
      </c>
    </row>
    <row r="54" spans="1:5" x14ac:dyDescent="0.3">
      <c r="A54" s="16">
        <v>53</v>
      </c>
      <c r="B54" t="s">
        <v>1178</v>
      </c>
      <c r="C54" t="s">
        <v>507</v>
      </c>
      <c r="D54" t="str">
        <f>IF(ISNUMBER(MATCH(Tabla4[[#This Row],[Título]],CantoralDB[Título],0)),"OK","-")</f>
        <v>OK</v>
      </c>
      <c r="E54" t="s">
        <v>792</v>
      </c>
    </row>
    <row r="55" spans="1:5" x14ac:dyDescent="0.3">
      <c r="A55" s="16" t="s">
        <v>1184</v>
      </c>
      <c r="B55" t="s">
        <v>1179</v>
      </c>
      <c r="C55" t="s">
        <v>485</v>
      </c>
      <c r="D55" t="str">
        <f>IF(ISNUMBER(MATCH(Tabla4[[#This Row],[Título]],CantoralDB[Título],0)),"OK","-")</f>
        <v>OK</v>
      </c>
      <c r="E55" t="s">
        <v>792</v>
      </c>
    </row>
    <row r="56" spans="1:5" x14ac:dyDescent="0.3">
      <c r="A56" s="16">
        <v>54</v>
      </c>
      <c r="B56" t="s">
        <v>1180</v>
      </c>
      <c r="C56" t="s">
        <v>2071</v>
      </c>
      <c r="D56" t="str">
        <f>IF(ISNUMBER(MATCH(Tabla4[[#This Row],[Título]],CantoralDB[Título],0)),"OK","-")</f>
        <v>OK</v>
      </c>
      <c r="E56" t="s">
        <v>792</v>
      </c>
    </row>
    <row r="57" spans="1:5" x14ac:dyDescent="0.3">
      <c r="A57" s="16">
        <v>55</v>
      </c>
      <c r="B57" t="s">
        <v>1181</v>
      </c>
      <c r="C57" t="s">
        <v>478</v>
      </c>
      <c r="D57" t="str">
        <f>IF(ISNUMBER(MATCH(Tabla4[[#This Row],[Título]],CantoralDB[Título],0)),"OK","-")</f>
        <v>OK</v>
      </c>
      <c r="E57" t="s">
        <v>792</v>
      </c>
    </row>
    <row r="58" spans="1:5" x14ac:dyDescent="0.3">
      <c r="A58" s="16">
        <v>56</v>
      </c>
      <c r="B58" t="s">
        <v>1182</v>
      </c>
      <c r="C58" t="s">
        <v>487</v>
      </c>
      <c r="D58" t="str">
        <f>IF(ISNUMBER(MATCH(Tabla4[[#This Row],[Título]],CantoralDB[Título],0)),"OK","-")</f>
        <v>OK</v>
      </c>
      <c r="E58" t="s">
        <v>792</v>
      </c>
    </row>
    <row r="59" spans="1:5" x14ac:dyDescent="0.3">
      <c r="A59" s="16">
        <v>57</v>
      </c>
      <c r="B59" t="s">
        <v>1183</v>
      </c>
      <c r="C59" t="s">
        <v>478</v>
      </c>
      <c r="D59" t="str">
        <f>IF(ISNUMBER(MATCH(Tabla4[[#This Row],[Título]],CantoralDB[Título],0)),"OK","-")</f>
        <v>OK</v>
      </c>
      <c r="E59" t="s">
        <v>792</v>
      </c>
    </row>
    <row r="60" spans="1:5" x14ac:dyDescent="0.3">
      <c r="A60" s="16">
        <v>58</v>
      </c>
      <c r="B60" t="s">
        <v>1185</v>
      </c>
      <c r="C60" t="s">
        <v>478</v>
      </c>
      <c r="D60" t="str">
        <f>IF(ISNUMBER(MATCH(Tabla4[[#This Row],[Título]],CantoralDB[Título],0)),"OK","-")</f>
        <v>OK</v>
      </c>
      <c r="E60" t="s">
        <v>792</v>
      </c>
    </row>
    <row r="61" spans="1:5" x14ac:dyDescent="0.3">
      <c r="A61" s="16">
        <v>59</v>
      </c>
      <c r="B61" t="s">
        <v>41</v>
      </c>
      <c r="C61" t="s">
        <v>478</v>
      </c>
      <c r="D61" t="str">
        <f>IF(ISNUMBER(MATCH(Tabla4[[#This Row],[Título]],CantoralDB[Título],0)),"OK","-")</f>
        <v>OK</v>
      </c>
      <c r="E61" t="s">
        <v>605</v>
      </c>
    </row>
    <row r="62" spans="1:5" x14ac:dyDescent="0.3">
      <c r="A62" s="16">
        <v>60</v>
      </c>
      <c r="B62" t="s">
        <v>36</v>
      </c>
      <c r="C62" t="s">
        <v>486</v>
      </c>
      <c r="D62" t="str">
        <f>IF(ISNUMBER(MATCH(Tabla4[[#This Row],[Título]],CantoralDB[Título],0)),"OK","-")</f>
        <v>OK</v>
      </c>
      <c r="E62" t="s">
        <v>605</v>
      </c>
    </row>
    <row r="63" spans="1:5" x14ac:dyDescent="0.3">
      <c r="A63" s="16">
        <v>61</v>
      </c>
      <c r="B63" t="s">
        <v>1186</v>
      </c>
      <c r="C63" t="s">
        <v>2077</v>
      </c>
      <c r="D63" t="str">
        <f>IF(ISNUMBER(MATCH(Tabla4[[#This Row],[Título]],CantoralDB[Título],0)),"OK","-")</f>
        <v>OK</v>
      </c>
      <c r="E63" t="s">
        <v>792</v>
      </c>
    </row>
    <row r="64" spans="1:5" x14ac:dyDescent="0.3">
      <c r="A64" s="16">
        <v>62</v>
      </c>
      <c r="B64" t="s">
        <v>1187</v>
      </c>
      <c r="C64" t="s">
        <v>480</v>
      </c>
      <c r="D64" t="str">
        <f>IF(ISNUMBER(MATCH(Tabla4[[#This Row],[Título]],CantoralDB[Título],0)),"OK","-")</f>
        <v>OK</v>
      </c>
      <c r="E64" t="s">
        <v>792</v>
      </c>
    </row>
    <row r="65" spans="1:5" x14ac:dyDescent="0.3">
      <c r="A65" s="16">
        <v>63</v>
      </c>
      <c r="B65" t="s">
        <v>40</v>
      </c>
      <c r="C65" t="s">
        <v>478</v>
      </c>
      <c r="D65" t="str">
        <f>IF(ISNUMBER(MATCH(Tabla4[[#This Row],[Título]],CantoralDB[Título],0)),"OK","-")</f>
        <v>OK</v>
      </c>
      <c r="E65" t="s">
        <v>605</v>
      </c>
    </row>
    <row r="66" spans="1:5" x14ac:dyDescent="0.3">
      <c r="A66" s="16">
        <v>64</v>
      </c>
      <c r="B66" t="s">
        <v>1188</v>
      </c>
      <c r="C66" t="s">
        <v>2076</v>
      </c>
      <c r="D66" t="str">
        <f>IF(ISNUMBER(MATCH(Tabla4[[#This Row],[Título]],CantoralDB[Título],0)),"OK","-")</f>
        <v>OK</v>
      </c>
      <c r="E66" t="s">
        <v>792</v>
      </c>
    </row>
    <row r="67" spans="1:5" x14ac:dyDescent="0.3">
      <c r="A67" s="16">
        <v>65</v>
      </c>
      <c r="B67" t="s">
        <v>39</v>
      </c>
      <c r="C67" t="s">
        <v>267</v>
      </c>
      <c r="D67" t="str">
        <f>IF(ISNUMBER(MATCH(Tabla4[[#This Row],[Título]],CantoralDB[Título],0)),"OK","-")</f>
        <v>OK</v>
      </c>
      <c r="E67" t="s">
        <v>605</v>
      </c>
    </row>
    <row r="68" spans="1:5" x14ac:dyDescent="0.3">
      <c r="A68" s="16" t="s">
        <v>1189</v>
      </c>
      <c r="B68" t="s">
        <v>34</v>
      </c>
      <c r="C68" t="s">
        <v>479</v>
      </c>
      <c r="D68" t="str">
        <f>IF(ISNUMBER(MATCH(Tabla4[[#This Row],[Título]],CantoralDB[Título],0)),"OK","-")</f>
        <v>OK</v>
      </c>
      <c r="E68" t="s">
        <v>605</v>
      </c>
    </row>
    <row r="69" spans="1:5" x14ac:dyDescent="0.3">
      <c r="A69" s="16">
        <v>66</v>
      </c>
      <c r="B69" t="s">
        <v>1190</v>
      </c>
      <c r="C69" t="s">
        <v>486</v>
      </c>
      <c r="D69" t="str">
        <f>IF(ISNUMBER(MATCH(Tabla4[[#This Row],[Título]],CantoralDB[Título],0)),"OK","-")</f>
        <v>OK</v>
      </c>
      <c r="E69" t="s">
        <v>792</v>
      </c>
    </row>
    <row r="70" spans="1:5" x14ac:dyDescent="0.3">
      <c r="A70" s="16">
        <v>67</v>
      </c>
      <c r="B70" t="s">
        <v>42</v>
      </c>
      <c r="C70" t="s">
        <v>486</v>
      </c>
      <c r="D70" t="str">
        <f>IF(ISNUMBER(MATCH(Tabla4[[#This Row],[Título]],CantoralDB[Título],0)),"OK","-")</f>
        <v>OK</v>
      </c>
      <c r="E70" t="s">
        <v>605</v>
      </c>
    </row>
    <row r="71" spans="1:5" x14ac:dyDescent="0.3">
      <c r="A71" s="16">
        <v>68</v>
      </c>
      <c r="B71" t="s">
        <v>1191</v>
      </c>
      <c r="C71" t="s">
        <v>478</v>
      </c>
      <c r="D71" t="str">
        <f>IF(ISNUMBER(MATCH(Tabla4[[#This Row],[Título]],CantoralDB[Título],0)),"OK","-")</f>
        <v>OK</v>
      </c>
      <c r="E71" t="s">
        <v>792</v>
      </c>
    </row>
    <row r="72" spans="1:5" x14ac:dyDescent="0.3">
      <c r="A72" s="16">
        <v>69</v>
      </c>
      <c r="B72" t="s">
        <v>1192</v>
      </c>
      <c r="C72" t="s">
        <v>2079</v>
      </c>
      <c r="D72" t="str">
        <f>IF(ISNUMBER(MATCH(Tabla4[[#This Row],[Título]],CantoralDB[Título],0)),"OK","-")</f>
        <v>OK</v>
      </c>
      <c r="E72" t="s">
        <v>792</v>
      </c>
    </row>
    <row r="73" spans="1:5" x14ac:dyDescent="0.3">
      <c r="A73" s="16">
        <v>70</v>
      </c>
      <c r="B73" t="s">
        <v>1193</v>
      </c>
      <c r="C73" t="s">
        <v>482</v>
      </c>
      <c r="D73" t="str">
        <f>IF(ISNUMBER(MATCH(Tabla4[[#This Row],[Título]],CantoralDB[Título],0)),"OK","-")</f>
        <v>OK</v>
      </c>
      <c r="E73" t="s">
        <v>792</v>
      </c>
    </row>
    <row r="74" spans="1:5" x14ac:dyDescent="0.3">
      <c r="A74" s="16">
        <v>71</v>
      </c>
      <c r="B74" t="s">
        <v>1194</v>
      </c>
      <c r="C74" t="s">
        <v>480</v>
      </c>
      <c r="D74" t="str">
        <f>IF(ISNUMBER(MATCH(Tabla4[[#This Row],[Título]],CantoralDB[Título],0)),"OK","-")</f>
        <v>OK</v>
      </c>
      <c r="E74" t="s">
        <v>792</v>
      </c>
    </row>
    <row r="75" spans="1:5" x14ac:dyDescent="0.3">
      <c r="A75" s="16">
        <v>72</v>
      </c>
      <c r="B75" t="s">
        <v>1195</v>
      </c>
      <c r="C75" t="s">
        <v>515</v>
      </c>
      <c r="D75" t="str">
        <f>IF(ISNUMBER(MATCH(Tabla4[[#This Row],[Título]],CantoralDB[Título],0)),"OK","-")</f>
        <v>OK</v>
      </c>
      <c r="E75" t="s">
        <v>792</v>
      </c>
    </row>
    <row r="76" spans="1:5" x14ac:dyDescent="0.3">
      <c r="A76" s="16">
        <v>73</v>
      </c>
      <c r="B76" t="s">
        <v>1196</v>
      </c>
      <c r="C76" t="s">
        <v>490</v>
      </c>
      <c r="D76" t="str">
        <f>IF(ISNUMBER(MATCH(Tabla4[[#This Row],[Título]],CantoralDB[Título],0)),"OK","-")</f>
        <v>-</v>
      </c>
      <c r="E76" t="s">
        <v>792</v>
      </c>
    </row>
    <row r="77" spans="1:5" x14ac:dyDescent="0.3">
      <c r="A77" s="16">
        <v>74</v>
      </c>
      <c r="B77" t="s">
        <v>1197</v>
      </c>
      <c r="C77" t="s">
        <v>2068</v>
      </c>
      <c r="D77" t="str">
        <f>IF(ISNUMBER(MATCH(Tabla4[[#This Row],[Título]],CantoralDB[Título],0)),"OK","-")</f>
        <v>OK</v>
      </c>
      <c r="E77" t="s">
        <v>792</v>
      </c>
    </row>
    <row r="78" spans="1:5" x14ac:dyDescent="0.3">
      <c r="A78" s="16">
        <v>75</v>
      </c>
      <c r="B78" t="s">
        <v>43</v>
      </c>
      <c r="C78" t="s">
        <v>490</v>
      </c>
      <c r="D78" t="str">
        <f>IF(ISNUMBER(MATCH(Tabla4[[#This Row],[Título]],CantoralDB[Título],0)),"OK","-")</f>
        <v>OK</v>
      </c>
      <c r="E78" t="s">
        <v>605</v>
      </c>
    </row>
    <row r="79" spans="1:5" x14ac:dyDescent="0.3">
      <c r="A79" s="16">
        <v>76</v>
      </c>
      <c r="B79" t="s">
        <v>1198</v>
      </c>
      <c r="C79" t="s">
        <v>507</v>
      </c>
      <c r="D79" t="str">
        <f>IF(ISNUMBER(MATCH(Tabla4[[#This Row],[Título]],CantoralDB[Título],0)),"OK","-")</f>
        <v>OK</v>
      </c>
      <c r="E79" t="s">
        <v>792</v>
      </c>
    </row>
    <row r="80" spans="1:5" x14ac:dyDescent="0.3">
      <c r="A80" s="16">
        <v>77</v>
      </c>
      <c r="B80" t="s">
        <v>46</v>
      </c>
      <c r="C80" t="s">
        <v>490</v>
      </c>
      <c r="D80" t="str">
        <f>IF(ISNUMBER(MATCH(Tabla4[[#This Row],[Título]],CantoralDB[Título],0)),"OK","-")</f>
        <v>OK</v>
      </c>
      <c r="E80" t="s">
        <v>605</v>
      </c>
    </row>
    <row r="81" spans="1:5" x14ac:dyDescent="0.3">
      <c r="A81" s="16">
        <v>78</v>
      </c>
      <c r="B81" t="s">
        <v>1199</v>
      </c>
      <c r="C81" t="s">
        <v>507</v>
      </c>
      <c r="D81" t="str">
        <f>IF(ISNUMBER(MATCH(Tabla4[[#This Row],[Título]],CantoralDB[Título],0)),"OK","-")</f>
        <v>OK</v>
      </c>
      <c r="E81" t="s">
        <v>792</v>
      </c>
    </row>
    <row r="82" spans="1:5" x14ac:dyDescent="0.3">
      <c r="A82" s="16">
        <v>79</v>
      </c>
      <c r="B82" t="s">
        <v>2110</v>
      </c>
      <c r="C82" t="s">
        <v>486</v>
      </c>
      <c r="D82" t="str">
        <f>IF(ISNUMBER(MATCH(Tabla4[[#This Row],[Título]],CantoralDB[Título],0)),"OK","-")</f>
        <v>OK</v>
      </c>
      <c r="E82" t="s">
        <v>792</v>
      </c>
    </row>
    <row r="83" spans="1:5" x14ac:dyDescent="0.3">
      <c r="A83" s="16">
        <v>80</v>
      </c>
      <c r="B83" t="s">
        <v>1200</v>
      </c>
      <c r="C83" t="s">
        <v>2078</v>
      </c>
      <c r="D83" t="str">
        <f>IF(ISNUMBER(MATCH(Tabla4[[#This Row],[Título]],CantoralDB[Título],0)),"OK","-")</f>
        <v>OK</v>
      </c>
      <c r="E83" t="s">
        <v>792</v>
      </c>
    </row>
    <row r="84" spans="1:5" x14ac:dyDescent="0.3">
      <c r="A84" s="16">
        <v>81</v>
      </c>
      <c r="B84" t="s">
        <v>1201</v>
      </c>
      <c r="C84" t="s">
        <v>2073</v>
      </c>
      <c r="D84" t="str">
        <f>IF(ISNUMBER(MATCH(Tabla4[[#This Row],[Título]],CantoralDB[Título],0)),"OK","-")</f>
        <v>OK</v>
      </c>
      <c r="E84" t="s">
        <v>605</v>
      </c>
    </row>
    <row r="85" spans="1:5" x14ac:dyDescent="0.3">
      <c r="A85" s="16" t="s">
        <v>1203</v>
      </c>
      <c r="B85" t="s">
        <v>1202</v>
      </c>
      <c r="C85" t="s">
        <v>478</v>
      </c>
      <c r="D85" t="str">
        <f>IF(ISNUMBER(MATCH(Tabla4[[#This Row],[Título]],CantoralDB[Título],0)),"OK","-")</f>
        <v>-</v>
      </c>
      <c r="E85" t="s">
        <v>792</v>
      </c>
    </row>
    <row r="86" spans="1:5" x14ac:dyDescent="0.3">
      <c r="A86" s="16">
        <v>82</v>
      </c>
      <c r="B86" t="s">
        <v>1204</v>
      </c>
      <c r="C86" t="s">
        <v>478</v>
      </c>
      <c r="D86" t="str">
        <f>IF(ISNUMBER(MATCH(Tabla4[[#This Row],[Título]],CantoralDB[Título],0)),"OK","-")</f>
        <v>OK</v>
      </c>
      <c r="E86" t="s">
        <v>792</v>
      </c>
    </row>
    <row r="87" spans="1:5" x14ac:dyDescent="0.3">
      <c r="A87" s="16">
        <v>83</v>
      </c>
      <c r="B87" t="s">
        <v>44</v>
      </c>
      <c r="C87" t="s">
        <v>2080</v>
      </c>
      <c r="D87" t="str">
        <f>IF(ISNUMBER(MATCH(Tabla4[[#This Row],[Título]],CantoralDB[Título],0)),"OK","-")</f>
        <v>OK</v>
      </c>
      <c r="E87" t="s">
        <v>605</v>
      </c>
    </row>
    <row r="88" spans="1:5" x14ac:dyDescent="0.3">
      <c r="A88" s="16">
        <v>84</v>
      </c>
      <c r="B88" t="s">
        <v>47</v>
      </c>
      <c r="C88" t="s">
        <v>484</v>
      </c>
      <c r="D88" t="str">
        <f>IF(ISNUMBER(MATCH(Tabla4[[#This Row],[Título]],CantoralDB[Título],0)),"OK","-")</f>
        <v>OK</v>
      </c>
      <c r="E88" t="s">
        <v>605</v>
      </c>
    </row>
    <row r="89" spans="1:5" x14ac:dyDescent="0.3">
      <c r="A89" s="16">
        <v>85</v>
      </c>
      <c r="B89" t="s">
        <v>1205</v>
      </c>
      <c r="C89" t="s">
        <v>2081</v>
      </c>
      <c r="D89" t="str">
        <f>IF(ISNUMBER(MATCH(Tabla4[[#This Row],[Título]],CantoralDB[Título],0)),"OK","-")</f>
        <v>OK</v>
      </c>
      <c r="E89" t="s">
        <v>792</v>
      </c>
    </row>
    <row r="90" spans="1:5" x14ac:dyDescent="0.3">
      <c r="A90" s="16">
        <v>86</v>
      </c>
      <c r="B90" t="s">
        <v>546</v>
      </c>
      <c r="C90" t="s">
        <v>515</v>
      </c>
      <c r="D90" t="str">
        <f>IF(ISNUMBER(MATCH(Tabla4[[#This Row],[Título]],CantoralDB[Título],0)),"OK","-")</f>
        <v>OK</v>
      </c>
      <c r="E90" t="s">
        <v>605</v>
      </c>
    </row>
    <row r="91" spans="1:5" x14ac:dyDescent="0.3">
      <c r="A91" s="16">
        <v>87</v>
      </c>
      <c r="B91" t="s">
        <v>1206</v>
      </c>
      <c r="C91" t="s">
        <v>478</v>
      </c>
      <c r="D91" t="str">
        <f>IF(ISNUMBER(MATCH(Tabla4[[#This Row],[Título]],CantoralDB[Título],0)),"OK","-")</f>
        <v>OK</v>
      </c>
      <c r="E91" t="s">
        <v>792</v>
      </c>
    </row>
    <row r="92" spans="1:5" x14ac:dyDescent="0.3">
      <c r="A92" s="16">
        <v>88</v>
      </c>
      <c r="B92" t="s">
        <v>1207</v>
      </c>
      <c r="C92" t="s">
        <v>485</v>
      </c>
      <c r="D92" t="str">
        <f>IF(ISNUMBER(MATCH(Tabla4[[#This Row],[Título]],CantoralDB[Título],0)),"OK","-")</f>
        <v>OK</v>
      </c>
      <c r="E92" t="s">
        <v>792</v>
      </c>
    </row>
    <row r="93" spans="1:5" x14ac:dyDescent="0.3">
      <c r="A93" s="16">
        <v>89</v>
      </c>
      <c r="B93" t="s">
        <v>1208</v>
      </c>
      <c r="C93" t="s">
        <v>482</v>
      </c>
      <c r="D93" t="str">
        <f>IF(ISNUMBER(MATCH(Tabla4[[#This Row],[Título]],CantoralDB[Título],0)),"OK","-")</f>
        <v>OK</v>
      </c>
      <c r="E93" t="s">
        <v>792</v>
      </c>
    </row>
    <row r="94" spans="1:5" x14ac:dyDescent="0.3">
      <c r="A94" s="16">
        <v>90</v>
      </c>
      <c r="B94" t="s">
        <v>1209</v>
      </c>
      <c r="C94" t="s">
        <v>486</v>
      </c>
      <c r="D94" t="str">
        <f>IF(ISNUMBER(MATCH(Tabla4[[#This Row],[Título]],CantoralDB[Título],0)),"OK","-")</f>
        <v>OK</v>
      </c>
      <c r="E94" t="s">
        <v>792</v>
      </c>
    </row>
    <row r="95" spans="1:5" x14ac:dyDescent="0.3">
      <c r="A95" s="16">
        <v>91</v>
      </c>
      <c r="B95" t="s">
        <v>1210</v>
      </c>
      <c r="C95" t="s">
        <v>480</v>
      </c>
      <c r="D95" t="str">
        <f>IF(ISNUMBER(MATCH(Tabla4[[#This Row],[Título]],CantoralDB[Título],0)),"OK","-")</f>
        <v>-</v>
      </c>
      <c r="E95" t="s">
        <v>792</v>
      </c>
    </row>
    <row r="96" spans="1:5" x14ac:dyDescent="0.3">
      <c r="A96" s="16">
        <v>92</v>
      </c>
      <c r="B96" t="s">
        <v>54</v>
      </c>
      <c r="C96" t="s">
        <v>541</v>
      </c>
      <c r="D96" t="str">
        <f>IF(ISNUMBER(MATCH(Tabla4[[#This Row],[Título]],CantoralDB[Título],0)),"OK","-")</f>
        <v>OK</v>
      </c>
      <c r="E96" t="s">
        <v>605</v>
      </c>
    </row>
    <row r="97" spans="1:5" x14ac:dyDescent="0.3">
      <c r="A97" s="16">
        <v>93</v>
      </c>
      <c r="B97" t="s">
        <v>1211</v>
      </c>
      <c r="C97" t="s">
        <v>480</v>
      </c>
      <c r="D97" t="str">
        <f>IF(ISNUMBER(MATCH(Tabla4[[#This Row],[Título]],CantoralDB[Título],0)),"OK","-")</f>
        <v>OK</v>
      </c>
      <c r="E97" t="s">
        <v>792</v>
      </c>
    </row>
    <row r="98" spans="1:5" x14ac:dyDescent="0.3">
      <c r="A98" s="16">
        <v>94</v>
      </c>
      <c r="B98" t="s">
        <v>58</v>
      </c>
      <c r="C98" t="s">
        <v>490</v>
      </c>
      <c r="D98" t="str">
        <f>IF(ISNUMBER(MATCH(Tabla4[[#This Row],[Título]],CantoralDB[Título],0)),"OK","-")</f>
        <v>OK</v>
      </c>
      <c r="E98" t="s">
        <v>605</v>
      </c>
    </row>
    <row r="99" spans="1:5" x14ac:dyDescent="0.3">
      <c r="A99" s="16">
        <v>95</v>
      </c>
      <c r="B99" t="s">
        <v>51</v>
      </c>
      <c r="C99" t="s">
        <v>515</v>
      </c>
      <c r="D99" t="str">
        <f>IF(ISNUMBER(MATCH(Tabla4[[#This Row],[Título]],CantoralDB[Título],0)),"OK","-")</f>
        <v>OK</v>
      </c>
      <c r="E99" t="s">
        <v>605</v>
      </c>
    </row>
    <row r="100" spans="1:5" x14ac:dyDescent="0.3">
      <c r="A100" s="16">
        <v>96</v>
      </c>
      <c r="B100" t="s">
        <v>52</v>
      </c>
      <c r="C100" t="s">
        <v>2080</v>
      </c>
      <c r="D100" t="str">
        <f>IF(ISNUMBER(MATCH(Tabla4[[#This Row],[Título]],CantoralDB[Título],0)),"OK","-")</f>
        <v>OK</v>
      </c>
      <c r="E100" t="s">
        <v>605</v>
      </c>
    </row>
    <row r="101" spans="1:5" x14ac:dyDescent="0.3">
      <c r="A101" s="16">
        <v>97</v>
      </c>
      <c r="B101" t="s">
        <v>1213</v>
      </c>
      <c r="C101" t="s">
        <v>2082</v>
      </c>
      <c r="D101" t="str">
        <f>IF(ISNUMBER(MATCH(Tabla4[[#This Row],[Título]],CantoralDB[Título],0)),"OK","-")</f>
        <v>OK</v>
      </c>
      <c r="E101" t="s">
        <v>792</v>
      </c>
    </row>
    <row r="102" spans="1:5" x14ac:dyDescent="0.3">
      <c r="A102" s="16">
        <v>98</v>
      </c>
      <c r="B102" t="s">
        <v>53</v>
      </c>
      <c r="C102" t="s">
        <v>480</v>
      </c>
      <c r="D102" t="str">
        <f>IF(ISNUMBER(MATCH(Tabla4[[#This Row],[Título]],CantoralDB[Título],0)),"OK","-")</f>
        <v>OK</v>
      </c>
      <c r="E102" t="s">
        <v>605</v>
      </c>
    </row>
    <row r="103" spans="1:5" x14ac:dyDescent="0.3">
      <c r="A103" s="16">
        <v>99</v>
      </c>
      <c r="B103" t="s">
        <v>1212</v>
      </c>
      <c r="C103" t="s">
        <v>480</v>
      </c>
      <c r="D103" t="str">
        <f>IF(ISNUMBER(MATCH(Tabla4[[#This Row],[Título]],CantoralDB[Título],0)),"OK","-")</f>
        <v>OK</v>
      </c>
      <c r="E103" t="s">
        <v>792</v>
      </c>
    </row>
    <row r="104" spans="1:5" x14ac:dyDescent="0.3">
      <c r="A104" s="16">
        <v>100</v>
      </c>
      <c r="B104" t="s">
        <v>1214</v>
      </c>
      <c r="C104" t="s">
        <v>480</v>
      </c>
      <c r="D104" t="str">
        <f>IF(ISNUMBER(MATCH(Tabla4[[#This Row],[Título]],CantoralDB[Título],0)),"OK","-")</f>
        <v>OK</v>
      </c>
      <c r="E104" t="s">
        <v>792</v>
      </c>
    </row>
    <row r="105" spans="1:5" x14ac:dyDescent="0.3">
      <c r="A105" s="16">
        <v>101</v>
      </c>
      <c r="B105" t="s">
        <v>57</v>
      </c>
      <c r="C105" t="s">
        <v>515</v>
      </c>
      <c r="D105" t="str">
        <f>IF(ISNUMBER(MATCH(Tabla4[[#This Row],[Título]],CantoralDB[Título],0)),"OK","-")</f>
        <v>OK</v>
      </c>
      <c r="E105" t="s">
        <v>605</v>
      </c>
    </row>
    <row r="106" spans="1:5" x14ac:dyDescent="0.3">
      <c r="A106" s="16">
        <v>102</v>
      </c>
      <c r="B106" t="s">
        <v>1215</v>
      </c>
      <c r="C106" t="s">
        <v>490</v>
      </c>
      <c r="D106" t="str">
        <f>IF(ISNUMBER(MATCH(Tabla4[[#This Row],[Título]],CantoralDB[Título],0)),"OK","-")</f>
        <v>OK</v>
      </c>
      <c r="E106" t="s">
        <v>792</v>
      </c>
    </row>
    <row r="107" spans="1:5" x14ac:dyDescent="0.3">
      <c r="A107" s="16">
        <v>103</v>
      </c>
      <c r="B107" t="s">
        <v>1216</v>
      </c>
      <c r="C107" t="s">
        <v>480</v>
      </c>
      <c r="D107" t="str">
        <f>IF(ISNUMBER(MATCH(Tabla4[[#This Row],[Título]],CantoralDB[Título],0)),"OK","-")</f>
        <v>OK</v>
      </c>
      <c r="E107" t="s">
        <v>792</v>
      </c>
    </row>
    <row r="108" spans="1:5" x14ac:dyDescent="0.3">
      <c r="A108" s="16">
        <v>104</v>
      </c>
      <c r="B108" t="s">
        <v>55</v>
      </c>
      <c r="C108" t="s">
        <v>515</v>
      </c>
      <c r="D108" t="str">
        <f>IF(ISNUMBER(MATCH(Tabla4[[#This Row],[Título]],CantoralDB[Título],0)),"OK","-")</f>
        <v>OK</v>
      </c>
      <c r="E108" t="s">
        <v>605</v>
      </c>
    </row>
    <row r="109" spans="1:5" x14ac:dyDescent="0.3">
      <c r="A109" s="16">
        <v>105</v>
      </c>
      <c r="B109" t="s">
        <v>1242</v>
      </c>
      <c r="C109" t="s">
        <v>482</v>
      </c>
      <c r="D109" t="str">
        <f>IF(ISNUMBER(MATCH(Tabla4[[#This Row],[Título]],CantoralDB[Título],0)),"OK","-")</f>
        <v>OK</v>
      </c>
      <c r="E109" t="s">
        <v>792</v>
      </c>
    </row>
    <row r="110" spans="1:5" x14ac:dyDescent="0.3">
      <c r="A110" s="16">
        <v>106</v>
      </c>
      <c r="B110" t="s">
        <v>62</v>
      </c>
      <c r="C110" t="s">
        <v>482</v>
      </c>
      <c r="D110" t="str">
        <f>IF(ISNUMBER(MATCH(Tabla4[[#This Row],[Título]],CantoralDB[Título],0)),"OK","-")</f>
        <v>OK</v>
      </c>
      <c r="E110" t="s">
        <v>605</v>
      </c>
    </row>
    <row r="111" spans="1:5" x14ac:dyDescent="0.3">
      <c r="A111" s="16">
        <v>107</v>
      </c>
      <c r="B111" t="s">
        <v>56</v>
      </c>
      <c r="C111" t="s">
        <v>515</v>
      </c>
      <c r="D111" t="str">
        <f>IF(ISNUMBER(MATCH(Tabla4[[#This Row],[Título]],CantoralDB[Título],0)),"OK","-")</f>
        <v>OK</v>
      </c>
      <c r="E111" t="s">
        <v>605</v>
      </c>
    </row>
    <row r="112" spans="1:5" x14ac:dyDescent="0.3">
      <c r="A112" s="16">
        <v>108</v>
      </c>
      <c r="B112" t="s">
        <v>2111</v>
      </c>
      <c r="C112" t="s">
        <v>490</v>
      </c>
      <c r="D112" t="str">
        <f>IF(ISNUMBER(MATCH(Tabla4[[#This Row],[Título]],CantoralDB[Título],0)),"OK","-")</f>
        <v>OK</v>
      </c>
      <c r="E112" t="s">
        <v>792</v>
      </c>
    </row>
    <row r="113" spans="1:5" x14ac:dyDescent="0.3">
      <c r="A113" s="16">
        <v>109</v>
      </c>
      <c r="B113" t="s">
        <v>1243</v>
      </c>
      <c r="C113" t="s">
        <v>501</v>
      </c>
      <c r="D113" t="str">
        <f>IF(ISNUMBER(MATCH(Tabla4[[#This Row],[Título]],CantoralDB[Título],0)),"OK","-")</f>
        <v>OK</v>
      </c>
      <c r="E113" t="s">
        <v>792</v>
      </c>
    </row>
    <row r="114" spans="1:5" x14ac:dyDescent="0.3">
      <c r="A114" s="16">
        <v>110</v>
      </c>
      <c r="B114" t="s">
        <v>1244</v>
      </c>
      <c r="C114" t="s">
        <v>480</v>
      </c>
      <c r="D114" t="str">
        <f>IF(ISNUMBER(MATCH(Tabla4[[#This Row],[Título]],CantoralDB[Título],0)),"OK","-")</f>
        <v>OK</v>
      </c>
      <c r="E114" t="s">
        <v>792</v>
      </c>
    </row>
    <row r="115" spans="1:5" x14ac:dyDescent="0.3">
      <c r="A115" s="16">
        <v>111</v>
      </c>
      <c r="B115" t="s">
        <v>61</v>
      </c>
      <c r="C115" t="s">
        <v>483</v>
      </c>
      <c r="D115" t="str">
        <f>IF(ISNUMBER(MATCH(Tabla4[[#This Row],[Título]],CantoralDB[Título],0)),"OK","-")</f>
        <v>OK</v>
      </c>
      <c r="E115" t="s">
        <v>605</v>
      </c>
    </row>
    <row r="116" spans="1:5" x14ac:dyDescent="0.3">
      <c r="A116" s="16">
        <v>112</v>
      </c>
      <c r="B116" t="s">
        <v>1247</v>
      </c>
      <c r="C116" t="s">
        <v>2068</v>
      </c>
      <c r="D116" t="str">
        <f>IF(ISNUMBER(MATCH(Tabla4[[#This Row],[Título]],CantoralDB[Título],0)),"OK","-")</f>
        <v>OK</v>
      </c>
      <c r="E116" t="s">
        <v>792</v>
      </c>
    </row>
    <row r="117" spans="1:5" x14ac:dyDescent="0.3">
      <c r="A117" s="16">
        <v>113</v>
      </c>
      <c r="B117" t="s">
        <v>66</v>
      </c>
      <c r="C117" t="s">
        <v>486</v>
      </c>
      <c r="D117" t="str">
        <f>IF(ISNUMBER(MATCH(Tabla4[[#This Row],[Título]],CantoralDB[Título],0)),"OK","-")</f>
        <v>OK</v>
      </c>
      <c r="E117" t="s">
        <v>605</v>
      </c>
    </row>
    <row r="118" spans="1:5" x14ac:dyDescent="0.3">
      <c r="A118" s="16">
        <v>114</v>
      </c>
      <c r="B118" t="s">
        <v>1246</v>
      </c>
      <c r="C118" t="s">
        <v>487</v>
      </c>
      <c r="D118" t="str">
        <f>IF(ISNUMBER(MATCH(Tabla4[[#This Row],[Título]],CantoralDB[Título],0)),"OK","-")</f>
        <v>OK</v>
      </c>
      <c r="E118" t="s">
        <v>792</v>
      </c>
    </row>
    <row r="119" spans="1:5" x14ac:dyDescent="0.3">
      <c r="A119" s="16">
        <v>115</v>
      </c>
      <c r="B119" t="s">
        <v>1245</v>
      </c>
      <c r="C119" t="s">
        <v>482</v>
      </c>
      <c r="D119" t="str">
        <f>IF(ISNUMBER(MATCH(Tabla4[[#This Row],[Título]],CantoralDB[Título],0)),"OK","-")</f>
        <v>OK</v>
      </c>
      <c r="E119" t="s">
        <v>792</v>
      </c>
    </row>
    <row r="120" spans="1:5" x14ac:dyDescent="0.3">
      <c r="A120" s="16">
        <v>116</v>
      </c>
      <c r="B120" t="s">
        <v>64</v>
      </c>
      <c r="C120" t="s">
        <v>478</v>
      </c>
      <c r="D120" t="str">
        <f>IF(ISNUMBER(MATCH(Tabla4[[#This Row],[Título]],CantoralDB[Título],0)),"OK","-")</f>
        <v>-</v>
      </c>
      <c r="E120" t="s">
        <v>605</v>
      </c>
    </row>
    <row r="121" spans="1:5" x14ac:dyDescent="0.3">
      <c r="A121" s="16">
        <v>117</v>
      </c>
      <c r="B121" t="s">
        <v>1248</v>
      </c>
      <c r="C121" t="s">
        <v>490</v>
      </c>
      <c r="D121" t="str">
        <f>IF(ISNUMBER(MATCH(Tabla4[[#This Row],[Título]],CantoralDB[Título],0)),"OK","-")</f>
        <v>-</v>
      </c>
      <c r="E121" t="s">
        <v>792</v>
      </c>
    </row>
    <row r="122" spans="1:5" x14ac:dyDescent="0.3">
      <c r="A122" s="16">
        <v>118</v>
      </c>
      <c r="B122" t="s">
        <v>1249</v>
      </c>
      <c r="C122" t="s">
        <v>501</v>
      </c>
      <c r="D122" t="str">
        <f>IF(ISNUMBER(MATCH(Tabla4[[#This Row],[Título]],CantoralDB[Título],0)),"OK","-")</f>
        <v>OK</v>
      </c>
      <c r="E122" t="s">
        <v>792</v>
      </c>
    </row>
    <row r="123" spans="1:5" x14ac:dyDescent="0.3">
      <c r="A123" s="16">
        <v>119</v>
      </c>
      <c r="B123" t="s">
        <v>1250</v>
      </c>
      <c r="C123" t="s">
        <v>2070</v>
      </c>
      <c r="D123" t="str">
        <f>IF(ISNUMBER(MATCH(Tabla4[[#This Row],[Título]],CantoralDB[Título],0)),"OK","-")</f>
        <v>-</v>
      </c>
      <c r="E123" t="s">
        <v>792</v>
      </c>
    </row>
    <row r="124" spans="1:5" x14ac:dyDescent="0.3">
      <c r="A124" s="16">
        <v>120</v>
      </c>
      <c r="B124" t="s">
        <v>1251</v>
      </c>
      <c r="C124" t="s">
        <v>485</v>
      </c>
      <c r="D124" t="str">
        <f>IF(ISNUMBER(MATCH(Tabla4[[#This Row],[Título]],CantoralDB[Título],0)),"OK","-")</f>
        <v>OK</v>
      </c>
      <c r="E124" t="s">
        <v>792</v>
      </c>
    </row>
    <row r="125" spans="1:5" x14ac:dyDescent="0.3">
      <c r="A125" s="16">
        <v>121</v>
      </c>
      <c r="B125" t="s">
        <v>930</v>
      </c>
      <c r="C125" t="s">
        <v>490</v>
      </c>
      <c r="D125" t="str">
        <f>IF(ISNUMBER(MATCH(Tabla4[[#This Row],[Título]],CantoralDB[Título],0)),"OK","-")</f>
        <v>OK</v>
      </c>
      <c r="E125" t="s">
        <v>605</v>
      </c>
    </row>
    <row r="126" spans="1:5" x14ac:dyDescent="0.3">
      <c r="A126" s="16">
        <v>122</v>
      </c>
      <c r="B126" t="s">
        <v>65</v>
      </c>
      <c r="C126" t="s">
        <v>484</v>
      </c>
      <c r="D126" t="str">
        <f>IF(ISNUMBER(MATCH(Tabla4[[#This Row],[Título]],CantoralDB[Título],0)),"OK","-")</f>
        <v>OK</v>
      </c>
      <c r="E126" t="s">
        <v>605</v>
      </c>
    </row>
    <row r="127" spans="1:5" x14ac:dyDescent="0.3">
      <c r="A127" s="16">
        <v>123</v>
      </c>
      <c r="B127" t="s">
        <v>1252</v>
      </c>
      <c r="C127" t="s">
        <v>2083</v>
      </c>
      <c r="D127" t="str">
        <f>IF(ISNUMBER(MATCH(Tabla4[[#This Row],[Título]],CantoralDB[Título],0)),"OK","-")</f>
        <v>OK</v>
      </c>
      <c r="E127" t="s">
        <v>792</v>
      </c>
    </row>
    <row r="128" spans="1:5" x14ac:dyDescent="0.3">
      <c r="A128" s="16">
        <v>124</v>
      </c>
      <c r="B128" t="s">
        <v>71</v>
      </c>
      <c r="C128" t="s">
        <v>2085</v>
      </c>
      <c r="D128" t="str">
        <f>IF(ISNUMBER(MATCH(Tabla4[[#This Row],[Título]],CantoralDB[Título],0)),"OK","-")</f>
        <v>OK</v>
      </c>
      <c r="E128" t="s">
        <v>605</v>
      </c>
    </row>
    <row r="129" spans="1:5" x14ac:dyDescent="0.3">
      <c r="A129" s="16">
        <v>125</v>
      </c>
      <c r="B129" t="s">
        <v>1253</v>
      </c>
      <c r="C129" t="s">
        <v>490</v>
      </c>
      <c r="D129" t="str">
        <f>IF(ISNUMBER(MATCH(Tabla4[[#This Row],[Título]],CantoralDB[Título],0)),"OK","-")</f>
        <v>OK</v>
      </c>
      <c r="E129" t="s">
        <v>792</v>
      </c>
    </row>
    <row r="130" spans="1:5" x14ac:dyDescent="0.3">
      <c r="A130" s="16">
        <v>126</v>
      </c>
      <c r="B130" t="s">
        <v>1254</v>
      </c>
      <c r="C130" t="s">
        <v>478</v>
      </c>
      <c r="D130" t="str">
        <f>IF(ISNUMBER(MATCH(Tabla4[[#This Row],[Título]],CantoralDB[Título],0)),"OK","-")</f>
        <v>OK</v>
      </c>
      <c r="E130" t="s">
        <v>792</v>
      </c>
    </row>
    <row r="131" spans="1:5" x14ac:dyDescent="0.3">
      <c r="A131" s="16">
        <v>127</v>
      </c>
      <c r="B131" t="s">
        <v>503</v>
      </c>
      <c r="C131" t="s">
        <v>2084</v>
      </c>
      <c r="D131" t="str">
        <f>IF(ISNUMBER(MATCH(Tabla4[[#This Row],[Título]],CantoralDB[Título],0)),"OK","-")</f>
        <v>OK</v>
      </c>
      <c r="E131" t="s">
        <v>605</v>
      </c>
    </row>
    <row r="132" spans="1:5" x14ac:dyDescent="0.3">
      <c r="A132" s="16">
        <v>128</v>
      </c>
      <c r="B132" t="s">
        <v>67</v>
      </c>
      <c r="C132" t="s">
        <v>480</v>
      </c>
      <c r="D132" t="str">
        <f>IF(ISNUMBER(MATCH(Tabla4[[#This Row],[Título]],CantoralDB[Título],0)),"OK","-")</f>
        <v>OK</v>
      </c>
      <c r="E132" t="s">
        <v>605</v>
      </c>
    </row>
    <row r="133" spans="1:5" x14ac:dyDescent="0.3">
      <c r="A133" s="16">
        <v>129</v>
      </c>
      <c r="B133" t="s">
        <v>1255</v>
      </c>
      <c r="C133" t="s">
        <v>497</v>
      </c>
      <c r="D133" t="str">
        <f>IF(ISNUMBER(MATCH(Tabla4[[#This Row],[Título]],CantoralDB[Título],0)),"OK","-")</f>
        <v>OK</v>
      </c>
      <c r="E133" t="s">
        <v>792</v>
      </c>
    </row>
    <row r="134" spans="1:5" x14ac:dyDescent="0.3">
      <c r="A134" s="16">
        <v>130</v>
      </c>
      <c r="B134" t="s">
        <v>1256</v>
      </c>
      <c r="C134" t="s">
        <v>479</v>
      </c>
      <c r="D134" t="str">
        <f>IF(ISNUMBER(MATCH(Tabla4[[#This Row],[Título]],CantoralDB[Título],0)),"OK","-")</f>
        <v>OK</v>
      </c>
      <c r="E134" t="s">
        <v>792</v>
      </c>
    </row>
    <row r="135" spans="1:5" x14ac:dyDescent="0.3">
      <c r="A135" s="16">
        <v>131</v>
      </c>
      <c r="B135" t="s">
        <v>1257</v>
      </c>
      <c r="C135" t="s">
        <v>2086</v>
      </c>
      <c r="D135" t="str">
        <f>IF(ISNUMBER(MATCH(Tabla4[[#This Row],[Título]],CantoralDB[Título],0)),"OK","-")</f>
        <v>OK</v>
      </c>
      <c r="E135" t="s">
        <v>792</v>
      </c>
    </row>
    <row r="136" spans="1:5" x14ac:dyDescent="0.3">
      <c r="A136" s="16">
        <v>132</v>
      </c>
      <c r="B136" t="s">
        <v>1258</v>
      </c>
      <c r="C136" t="s">
        <v>2076</v>
      </c>
      <c r="D136" t="str">
        <f>IF(ISNUMBER(MATCH(Tabla4[[#This Row],[Título]],CantoralDB[Título],0)),"OK","-")</f>
        <v>OK</v>
      </c>
      <c r="E136" t="s">
        <v>792</v>
      </c>
    </row>
    <row r="137" spans="1:5" x14ac:dyDescent="0.3">
      <c r="A137" s="16">
        <v>133</v>
      </c>
      <c r="B137" t="s">
        <v>1259</v>
      </c>
      <c r="C137" t="s">
        <v>482</v>
      </c>
      <c r="D137" t="str">
        <f>IF(ISNUMBER(MATCH(Tabla4[[#This Row],[Título]],CantoralDB[Título],0)),"OK","-")</f>
        <v>OK</v>
      </c>
      <c r="E137" t="s">
        <v>792</v>
      </c>
    </row>
    <row r="138" spans="1:5" x14ac:dyDescent="0.3">
      <c r="A138" s="16">
        <v>134</v>
      </c>
      <c r="B138" t="s">
        <v>1260</v>
      </c>
      <c r="C138" t="s">
        <v>2074</v>
      </c>
      <c r="D138" t="str">
        <f>IF(ISNUMBER(MATCH(Tabla4[[#This Row],[Título]],CantoralDB[Título],0)),"OK","-")</f>
        <v>OK</v>
      </c>
      <c r="E138" t="s">
        <v>792</v>
      </c>
    </row>
    <row r="139" spans="1:5" x14ac:dyDescent="0.3">
      <c r="A139" s="16">
        <v>135</v>
      </c>
      <c r="B139" t="s">
        <v>1261</v>
      </c>
      <c r="C139" t="s">
        <v>501</v>
      </c>
      <c r="D139" t="str">
        <f>IF(ISNUMBER(MATCH(Tabla4[[#This Row],[Título]],CantoralDB[Título],0)),"OK","-")</f>
        <v>OK</v>
      </c>
      <c r="E139" t="s">
        <v>792</v>
      </c>
    </row>
    <row r="140" spans="1:5" x14ac:dyDescent="0.3">
      <c r="A140" s="16">
        <v>136</v>
      </c>
      <c r="B140" t="s">
        <v>75</v>
      </c>
      <c r="C140" t="s">
        <v>478</v>
      </c>
      <c r="D140" t="str">
        <f>IF(ISNUMBER(MATCH(Tabla4[[#This Row],[Título]],CantoralDB[Título],0)),"OK","-")</f>
        <v>OK</v>
      </c>
      <c r="E140" t="s">
        <v>605</v>
      </c>
    </row>
    <row r="141" spans="1:5" x14ac:dyDescent="0.3">
      <c r="A141" s="16">
        <v>137</v>
      </c>
      <c r="B141" t="s">
        <v>1262</v>
      </c>
      <c r="C141" t="s">
        <v>478</v>
      </c>
      <c r="D141" t="str">
        <f>IF(ISNUMBER(MATCH(Tabla4[[#This Row],[Título]],CantoralDB[Título],0)),"OK","-")</f>
        <v>OK</v>
      </c>
      <c r="E141" t="s">
        <v>792</v>
      </c>
    </row>
    <row r="142" spans="1:5" x14ac:dyDescent="0.3">
      <c r="A142" s="16">
        <v>138</v>
      </c>
      <c r="B142" t="s">
        <v>77</v>
      </c>
      <c r="C142" t="s">
        <v>478</v>
      </c>
      <c r="D142" t="str">
        <f>IF(ISNUMBER(MATCH(Tabla4[[#This Row],[Título]],CantoralDB[Título],0)),"OK","-")</f>
        <v>OK</v>
      </c>
      <c r="E142" t="s">
        <v>605</v>
      </c>
    </row>
    <row r="143" spans="1:5" x14ac:dyDescent="0.3">
      <c r="A143" s="16">
        <v>139</v>
      </c>
      <c r="B143" t="s">
        <v>76</v>
      </c>
      <c r="C143" t="s">
        <v>2084</v>
      </c>
      <c r="D143" t="str">
        <f>IF(ISNUMBER(MATCH(Tabla4[[#This Row],[Título]],CantoralDB[Título],0)),"OK","-")</f>
        <v>OK</v>
      </c>
      <c r="E143" t="s">
        <v>605</v>
      </c>
    </row>
    <row r="144" spans="1:5" x14ac:dyDescent="0.3">
      <c r="A144" s="16">
        <v>140</v>
      </c>
      <c r="B144" t="s">
        <v>78</v>
      </c>
      <c r="C144" t="s">
        <v>490</v>
      </c>
      <c r="D144" t="str">
        <f>IF(ISNUMBER(MATCH(Tabla4[[#This Row],[Título]],CantoralDB[Título],0)),"OK","-")</f>
        <v>OK</v>
      </c>
      <c r="E144" t="s">
        <v>605</v>
      </c>
    </row>
    <row r="145" spans="1:5" x14ac:dyDescent="0.3">
      <c r="A145" s="16">
        <v>141</v>
      </c>
      <c r="B145" t="s">
        <v>80</v>
      </c>
      <c r="C145" t="s">
        <v>2087</v>
      </c>
      <c r="D145" t="str">
        <f>IF(ISNUMBER(MATCH(Tabla4[[#This Row],[Título]],CantoralDB[Título],0)),"OK","-")</f>
        <v>OK</v>
      </c>
      <c r="E145" t="s">
        <v>605</v>
      </c>
    </row>
    <row r="146" spans="1:5" x14ac:dyDescent="0.3">
      <c r="A146" s="16">
        <v>142</v>
      </c>
      <c r="B146" t="s">
        <v>79</v>
      </c>
      <c r="C146" t="s">
        <v>482</v>
      </c>
      <c r="D146" t="str">
        <f>IF(ISNUMBER(MATCH(Tabla4[[#This Row],[Título]],CantoralDB[Título],0)),"OK","-")</f>
        <v>OK</v>
      </c>
      <c r="E146" t="s">
        <v>605</v>
      </c>
    </row>
    <row r="147" spans="1:5" x14ac:dyDescent="0.3">
      <c r="A147" s="16">
        <v>143</v>
      </c>
      <c r="B147" t="s">
        <v>82</v>
      </c>
      <c r="C147" t="s">
        <v>2133</v>
      </c>
      <c r="D147" t="str">
        <f>IF(ISNUMBER(MATCH(Tabla4[[#This Row],[Título]],CantoralDB[Título],0)),"OK","-")</f>
        <v>OK</v>
      </c>
      <c r="E147" t="s">
        <v>605</v>
      </c>
    </row>
    <row r="148" spans="1:5" x14ac:dyDescent="0.3">
      <c r="A148" s="16">
        <v>144</v>
      </c>
      <c r="B148" t="s">
        <v>81</v>
      </c>
      <c r="C148" t="s">
        <v>2133</v>
      </c>
      <c r="D148" t="str">
        <f>IF(ISNUMBER(MATCH(Tabla4[[#This Row],[Título]],CantoralDB[Título],0)),"OK","-")</f>
        <v>OK</v>
      </c>
      <c r="E148" t="s">
        <v>605</v>
      </c>
    </row>
    <row r="149" spans="1:5" x14ac:dyDescent="0.3">
      <c r="A149" s="16">
        <v>145</v>
      </c>
      <c r="B149" t="s">
        <v>83</v>
      </c>
      <c r="C149" t="s">
        <v>482</v>
      </c>
      <c r="D149" t="str">
        <f>IF(ISNUMBER(MATCH(Tabla4[[#This Row],[Título]],CantoralDB[Título],0)),"OK","-")</f>
        <v>OK</v>
      </c>
      <c r="E149" t="s">
        <v>605</v>
      </c>
    </row>
    <row r="150" spans="1:5" x14ac:dyDescent="0.3">
      <c r="A150" s="16">
        <v>146</v>
      </c>
      <c r="B150" t="s">
        <v>1263</v>
      </c>
      <c r="C150" t="s">
        <v>2088</v>
      </c>
      <c r="D150" t="str">
        <f>IF(ISNUMBER(MATCH(Tabla4[[#This Row],[Título]],CantoralDB[Título],0)),"OK","-")</f>
        <v>OK</v>
      </c>
      <c r="E150" t="s">
        <v>792</v>
      </c>
    </row>
    <row r="151" spans="1:5" x14ac:dyDescent="0.3">
      <c r="A151" s="16">
        <v>147</v>
      </c>
      <c r="B151" t="s">
        <v>1264</v>
      </c>
      <c r="C151" t="s">
        <v>479</v>
      </c>
      <c r="D151" t="str">
        <f>IF(ISNUMBER(MATCH(Tabla4[[#This Row],[Título]],CantoralDB[Título],0)),"OK","-")</f>
        <v>OK</v>
      </c>
      <c r="E151" t="s">
        <v>792</v>
      </c>
    </row>
    <row r="152" spans="1:5" x14ac:dyDescent="0.3">
      <c r="A152" s="16">
        <v>148</v>
      </c>
      <c r="B152" t="s">
        <v>1265</v>
      </c>
      <c r="C152" t="s">
        <v>2070</v>
      </c>
      <c r="D152" t="str">
        <f>IF(ISNUMBER(MATCH(Tabla4[[#This Row],[Título]],CantoralDB[Título],0)),"OK","-")</f>
        <v>-</v>
      </c>
      <c r="E152" t="s">
        <v>792</v>
      </c>
    </row>
    <row r="153" spans="1:5" x14ac:dyDescent="0.3">
      <c r="A153" s="16">
        <v>149</v>
      </c>
      <c r="B153" t="s">
        <v>1266</v>
      </c>
      <c r="C153" t="s">
        <v>479</v>
      </c>
      <c r="D153" t="str">
        <f>IF(ISNUMBER(MATCH(Tabla4[[#This Row],[Título]],CantoralDB[Título],0)),"OK","-")</f>
        <v>OK</v>
      </c>
      <c r="E153" t="s">
        <v>792</v>
      </c>
    </row>
    <row r="154" spans="1:5" x14ac:dyDescent="0.3">
      <c r="A154" s="16">
        <v>150</v>
      </c>
      <c r="B154" t="s">
        <v>1267</v>
      </c>
      <c r="C154" t="s">
        <v>2085</v>
      </c>
      <c r="D154" t="str">
        <f>IF(ISNUMBER(MATCH(Tabla4[[#This Row],[Título]],CantoralDB[Título],0)),"OK","-")</f>
        <v>OK</v>
      </c>
      <c r="E154" t="s">
        <v>792</v>
      </c>
    </row>
    <row r="155" spans="1:5" x14ac:dyDescent="0.3">
      <c r="A155" s="16">
        <v>151</v>
      </c>
      <c r="B155" t="s">
        <v>1268</v>
      </c>
      <c r="C155" t="s">
        <v>486</v>
      </c>
      <c r="D155" t="str">
        <f>IF(ISNUMBER(MATCH(Tabla4[[#This Row],[Título]],CantoralDB[Título],0)),"OK","-")</f>
        <v>OK</v>
      </c>
      <c r="E155" t="s">
        <v>792</v>
      </c>
    </row>
    <row r="156" spans="1:5" x14ac:dyDescent="0.3">
      <c r="A156" s="16">
        <v>152</v>
      </c>
      <c r="B156" t="s">
        <v>86</v>
      </c>
      <c r="C156" t="s">
        <v>485</v>
      </c>
      <c r="D156" t="str">
        <f>IF(ISNUMBER(MATCH(Tabla4[[#This Row],[Título]],CantoralDB[Título],0)),"OK","-")</f>
        <v>OK</v>
      </c>
      <c r="E156" t="s">
        <v>605</v>
      </c>
    </row>
    <row r="157" spans="1:5" x14ac:dyDescent="0.3">
      <c r="A157" s="16">
        <v>153</v>
      </c>
      <c r="B157" t="s">
        <v>1269</v>
      </c>
      <c r="C157" t="s">
        <v>501</v>
      </c>
      <c r="D157" t="str">
        <f>IF(ISNUMBER(MATCH(Tabla4[[#This Row],[Título]],CantoralDB[Título],0)),"OK","-")</f>
        <v>OK</v>
      </c>
      <c r="E157" t="s">
        <v>792</v>
      </c>
    </row>
    <row r="158" spans="1:5" x14ac:dyDescent="0.3">
      <c r="A158" s="16">
        <v>154</v>
      </c>
      <c r="B158" t="s">
        <v>1270</v>
      </c>
      <c r="C158" t="s">
        <v>478</v>
      </c>
      <c r="D158" t="str">
        <f>IF(ISNUMBER(MATCH(Tabla4[[#This Row],[Título]],CantoralDB[Título],0)),"OK","-")</f>
        <v>OK</v>
      </c>
      <c r="E158" t="s">
        <v>792</v>
      </c>
    </row>
    <row r="159" spans="1:5" x14ac:dyDescent="0.3">
      <c r="A159" s="16">
        <v>155</v>
      </c>
      <c r="B159" t="s">
        <v>1271</v>
      </c>
      <c r="C159" t="s">
        <v>486</v>
      </c>
      <c r="D159" t="str">
        <f>IF(ISNUMBER(MATCH(Tabla4[[#This Row],[Título]],CantoralDB[Título],0)),"OK","-")</f>
        <v>OK</v>
      </c>
      <c r="E159" t="s">
        <v>792</v>
      </c>
    </row>
    <row r="160" spans="1:5" x14ac:dyDescent="0.3">
      <c r="A160" s="16">
        <v>156</v>
      </c>
      <c r="B160" t="s">
        <v>1272</v>
      </c>
      <c r="C160" t="s">
        <v>478</v>
      </c>
      <c r="D160" t="str">
        <f>IF(ISNUMBER(MATCH(Tabla4[[#This Row],[Título]],CantoralDB[Título],0)),"OK","-")</f>
        <v>OK</v>
      </c>
      <c r="E160" t="s">
        <v>792</v>
      </c>
    </row>
    <row r="161" spans="1:5" x14ac:dyDescent="0.3">
      <c r="A161" s="16">
        <v>157</v>
      </c>
      <c r="B161" t="s">
        <v>926</v>
      </c>
      <c r="C161" t="s">
        <v>267</v>
      </c>
      <c r="D161" t="str">
        <f>IF(ISNUMBER(MATCH(Tabla4[[#This Row],[Título]],CantoralDB[Título],0)),"OK","-")</f>
        <v>OK</v>
      </c>
      <c r="E161" t="s">
        <v>605</v>
      </c>
    </row>
    <row r="162" spans="1:5" x14ac:dyDescent="0.3">
      <c r="A162" s="16">
        <v>158</v>
      </c>
      <c r="B162" t="s">
        <v>87</v>
      </c>
      <c r="C162" t="s">
        <v>541</v>
      </c>
      <c r="D162" t="str">
        <f>IF(ISNUMBER(MATCH(Tabla4[[#This Row],[Título]],CantoralDB[Título],0)),"OK","-")</f>
        <v>OK</v>
      </c>
      <c r="E162" t="s">
        <v>605</v>
      </c>
    </row>
    <row r="163" spans="1:5" x14ac:dyDescent="0.3">
      <c r="A163" s="16">
        <v>159</v>
      </c>
      <c r="B163" t="s">
        <v>1273</v>
      </c>
      <c r="C163" t="s">
        <v>478</v>
      </c>
      <c r="D163" t="str">
        <f>IF(ISNUMBER(MATCH(Tabla4[[#This Row],[Título]],CantoralDB[Título],0)),"OK","-")</f>
        <v>OK</v>
      </c>
      <c r="E163" t="s">
        <v>792</v>
      </c>
    </row>
    <row r="164" spans="1:5" x14ac:dyDescent="0.3">
      <c r="A164" s="16">
        <v>160</v>
      </c>
      <c r="B164" t="s">
        <v>1274</v>
      </c>
      <c r="C164" t="s">
        <v>480</v>
      </c>
      <c r="D164" t="str">
        <f>IF(ISNUMBER(MATCH(Tabla4[[#This Row],[Título]],CantoralDB[Título],0)),"OK","-")</f>
        <v>OK</v>
      </c>
      <c r="E164" t="s">
        <v>792</v>
      </c>
    </row>
    <row r="165" spans="1:5" x14ac:dyDescent="0.3">
      <c r="A165" s="16">
        <v>161</v>
      </c>
      <c r="B165" t="s">
        <v>1275</v>
      </c>
      <c r="C165" t="s">
        <v>480</v>
      </c>
      <c r="D165" t="str">
        <f>IF(ISNUMBER(MATCH(Tabla4[[#This Row],[Título]],CantoralDB[Título],0)),"OK","-")</f>
        <v>OK</v>
      </c>
      <c r="E165" t="s">
        <v>792</v>
      </c>
    </row>
    <row r="166" spans="1:5" x14ac:dyDescent="0.3">
      <c r="A166" s="16">
        <v>162</v>
      </c>
      <c r="B166" t="s">
        <v>2112</v>
      </c>
      <c r="C166" t="s">
        <v>497</v>
      </c>
      <c r="D166" t="str">
        <f>IF(ISNUMBER(MATCH(Tabla4[[#This Row],[Título]],CantoralDB[Título],0)),"OK","-")</f>
        <v>OK</v>
      </c>
      <c r="E166" t="s">
        <v>792</v>
      </c>
    </row>
    <row r="167" spans="1:5" x14ac:dyDescent="0.3">
      <c r="A167" s="16">
        <v>163</v>
      </c>
      <c r="B167" t="s">
        <v>88</v>
      </c>
      <c r="C167" t="s">
        <v>490</v>
      </c>
      <c r="D167" t="str">
        <f>IF(ISNUMBER(MATCH(Tabla4[[#This Row],[Título]],CantoralDB[Título],0)),"OK","-")</f>
        <v>OK</v>
      </c>
      <c r="E167" t="s">
        <v>605</v>
      </c>
    </row>
    <row r="168" spans="1:5" x14ac:dyDescent="0.3">
      <c r="A168" s="16">
        <v>164</v>
      </c>
      <c r="B168" t="s">
        <v>128</v>
      </c>
      <c r="C168" t="s">
        <v>490</v>
      </c>
      <c r="D168" t="str">
        <f>IF(ISNUMBER(MATCH(Tabla4[[#This Row],[Título]],CantoralDB[Título],0)),"OK","-")</f>
        <v>OK</v>
      </c>
      <c r="E168" t="s">
        <v>605</v>
      </c>
    </row>
    <row r="169" spans="1:5" x14ac:dyDescent="0.3">
      <c r="A169" s="16">
        <v>165</v>
      </c>
      <c r="B169" t="s">
        <v>1276</v>
      </c>
      <c r="C169" t="s">
        <v>2071</v>
      </c>
      <c r="D169" t="str">
        <f>IF(ISNUMBER(MATCH(Tabla4[[#This Row],[Título]],CantoralDB[Título],0)),"OK","-")</f>
        <v>OK</v>
      </c>
      <c r="E169" t="s">
        <v>792</v>
      </c>
    </row>
    <row r="170" spans="1:5" x14ac:dyDescent="0.3">
      <c r="A170" s="16">
        <v>166</v>
      </c>
      <c r="B170" t="s">
        <v>94</v>
      </c>
      <c r="C170" t="s">
        <v>486</v>
      </c>
      <c r="D170" t="str">
        <f>IF(ISNUMBER(MATCH(Tabla4[[#This Row],[Título]],CantoralDB[Título],0)),"OK","-")</f>
        <v>OK</v>
      </c>
      <c r="E170" t="s">
        <v>605</v>
      </c>
    </row>
    <row r="171" spans="1:5" x14ac:dyDescent="0.3">
      <c r="A171" s="16">
        <v>167</v>
      </c>
      <c r="B171" t="s">
        <v>1277</v>
      </c>
      <c r="C171" t="s">
        <v>478</v>
      </c>
      <c r="D171" t="str">
        <f>IF(ISNUMBER(MATCH(Tabla4[[#This Row],[Título]],CantoralDB[Título],0)),"OK","-")</f>
        <v>OK</v>
      </c>
      <c r="E171" t="s">
        <v>792</v>
      </c>
    </row>
    <row r="172" spans="1:5" x14ac:dyDescent="0.3">
      <c r="A172" s="16">
        <v>168</v>
      </c>
      <c r="B172" t="s">
        <v>93</v>
      </c>
      <c r="C172" t="s">
        <v>2087</v>
      </c>
      <c r="D172" t="str">
        <f>IF(ISNUMBER(MATCH(Tabla4[[#This Row],[Título]],CantoralDB[Título],0)),"OK","-")</f>
        <v>OK</v>
      </c>
      <c r="E172" t="s">
        <v>605</v>
      </c>
    </row>
    <row r="173" spans="1:5" x14ac:dyDescent="0.3">
      <c r="A173" s="16">
        <v>169</v>
      </c>
      <c r="B173" t="s">
        <v>1278</v>
      </c>
      <c r="C173" t="s">
        <v>497</v>
      </c>
      <c r="D173" t="str">
        <f>IF(ISNUMBER(MATCH(Tabla4[[#This Row],[Título]],CantoralDB[Título],0)),"OK","-")</f>
        <v>OK</v>
      </c>
      <c r="E173" t="s">
        <v>792</v>
      </c>
    </row>
    <row r="174" spans="1:5" x14ac:dyDescent="0.3">
      <c r="A174" s="16">
        <v>170</v>
      </c>
      <c r="B174" t="s">
        <v>1279</v>
      </c>
      <c r="C174" t="s">
        <v>515</v>
      </c>
      <c r="D174" t="str">
        <f>IF(ISNUMBER(MATCH(Tabla4[[#This Row],[Título]],CantoralDB[Título],0)),"OK","-")</f>
        <v>OK</v>
      </c>
      <c r="E174" t="s">
        <v>792</v>
      </c>
    </row>
    <row r="175" spans="1:5" x14ac:dyDescent="0.3">
      <c r="A175" s="16">
        <v>171</v>
      </c>
      <c r="B175" t="s">
        <v>549</v>
      </c>
      <c r="C175" t="s">
        <v>539</v>
      </c>
      <c r="D175" t="str">
        <f>IF(ISNUMBER(MATCH(Tabla4[[#This Row],[Título]],CantoralDB[Título],0)),"OK","-")</f>
        <v>OK</v>
      </c>
      <c r="E175" t="s">
        <v>605</v>
      </c>
    </row>
    <row r="176" spans="1:5" x14ac:dyDescent="0.3">
      <c r="A176" s="16">
        <v>172</v>
      </c>
      <c r="B176" t="s">
        <v>1280</v>
      </c>
      <c r="C176" t="s">
        <v>507</v>
      </c>
      <c r="D176" t="str">
        <f>IF(ISNUMBER(MATCH(Tabla4[[#This Row],[Título]],CantoralDB[Título],0)),"OK","-")</f>
        <v>OK</v>
      </c>
      <c r="E176" t="s">
        <v>792</v>
      </c>
    </row>
    <row r="177" spans="1:5" x14ac:dyDescent="0.3">
      <c r="A177" s="16">
        <v>173</v>
      </c>
      <c r="B177" t="s">
        <v>414</v>
      </c>
      <c r="C177" t="s">
        <v>267</v>
      </c>
      <c r="D177" t="str">
        <f>IF(ISNUMBER(MATCH(Tabla4[[#This Row],[Título]],CantoralDB[Título],0)),"OK","-")</f>
        <v>OK</v>
      </c>
      <c r="E177" t="s">
        <v>605</v>
      </c>
    </row>
    <row r="178" spans="1:5" x14ac:dyDescent="0.3">
      <c r="A178" s="16">
        <v>174</v>
      </c>
      <c r="B178" t="s">
        <v>1281</v>
      </c>
      <c r="C178" t="s">
        <v>490</v>
      </c>
      <c r="D178" t="str">
        <f>IF(ISNUMBER(MATCH(Tabla4[[#This Row],[Título]],CantoralDB[Título],0)),"OK","-")</f>
        <v>OK</v>
      </c>
      <c r="E178" t="s">
        <v>792</v>
      </c>
    </row>
    <row r="179" spans="1:5" x14ac:dyDescent="0.3">
      <c r="A179" s="16">
        <v>175</v>
      </c>
      <c r="B179" t="s">
        <v>1282</v>
      </c>
      <c r="C179" t="s">
        <v>479</v>
      </c>
      <c r="D179" t="str">
        <f>IF(ISNUMBER(MATCH(Tabla4[[#This Row],[Título]],CantoralDB[Título],0)),"OK","-")</f>
        <v>OK</v>
      </c>
      <c r="E179" t="s">
        <v>605</v>
      </c>
    </row>
    <row r="180" spans="1:5" x14ac:dyDescent="0.3">
      <c r="A180" s="16">
        <v>176</v>
      </c>
      <c r="B180" t="s">
        <v>1283</v>
      </c>
      <c r="C180" t="s">
        <v>2077</v>
      </c>
      <c r="D180" t="str">
        <f>IF(ISNUMBER(MATCH(Tabla4[[#This Row],[Título]],CantoralDB[Título],0)),"OK","-")</f>
        <v>OK</v>
      </c>
      <c r="E180" t="s">
        <v>792</v>
      </c>
    </row>
    <row r="181" spans="1:5" x14ac:dyDescent="0.3">
      <c r="A181" s="16">
        <v>177</v>
      </c>
      <c r="B181" t="s">
        <v>1284</v>
      </c>
      <c r="C181" t="s">
        <v>2089</v>
      </c>
      <c r="D181" t="str">
        <f>IF(ISNUMBER(MATCH(Tabla4[[#This Row],[Título]],CantoralDB[Título],0)),"OK","-")</f>
        <v>OK</v>
      </c>
      <c r="E181" t="s">
        <v>792</v>
      </c>
    </row>
    <row r="182" spans="1:5" x14ac:dyDescent="0.3">
      <c r="A182" s="16">
        <v>178</v>
      </c>
      <c r="B182" t="s">
        <v>1285</v>
      </c>
      <c r="C182" t="s">
        <v>490</v>
      </c>
      <c r="D182" t="str">
        <f>IF(ISNUMBER(MATCH(Tabla4[[#This Row],[Título]],CantoralDB[Título],0)),"OK","-")</f>
        <v>OK</v>
      </c>
      <c r="E182" t="s">
        <v>792</v>
      </c>
    </row>
    <row r="183" spans="1:5" x14ac:dyDescent="0.3">
      <c r="A183" s="16">
        <v>179</v>
      </c>
      <c r="B183" t="s">
        <v>1286</v>
      </c>
      <c r="C183" t="s">
        <v>478</v>
      </c>
      <c r="D183" t="str">
        <f>IF(ISNUMBER(MATCH(Tabla4[[#This Row],[Título]],CantoralDB[Título],0)),"OK","-")</f>
        <v>OK</v>
      </c>
      <c r="E183" t="s">
        <v>792</v>
      </c>
    </row>
    <row r="184" spans="1:5" x14ac:dyDescent="0.3">
      <c r="A184" s="16">
        <v>180</v>
      </c>
      <c r="B184" t="s">
        <v>1287</v>
      </c>
      <c r="C184" t="s">
        <v>2090</v>
      </c>
      <c r="D184" t="str">
        <f>IF(ISNUMBER(MATCH(Tabla4[[#This Row],[Título]],CantoralDB[Título],0)),"OK","-")</f>
        <v>OK</v>
      </c>
      <c r="E184" t="s">
        <v>792</v>
      </c>
    </row>
    <row r="185" spans="1:5" x14ac:dyDescent="0.3">
      <c r="A185" s="16">
        <v>181</v>
      </c>
      <c r="B185" t="s">
        <v>1288</v>
      </c>
      <c r="C185" t="s">
        <v>485</v>
      </c>
      <c r="D185" t="str">
        <f>IF(ISNUMBER(MATCH(Tabla4[[#This Row],[Título]],CantoralDB[Título],0)),"OK","-")</f>
        <v>OK</v>
      </c>
      <c r="E185" t="s">
        <v>792</v>
      </c>
    </row>
    <row r="186" spans="1:5" x14ac:dyDescent="0.3">
      <c r="A186" s="16">
        <v>182</v>
      </c>
      <c r="B186" t="s">
        <v>1289</v>
      </c>
      <c r="C186" t="s">
        <v>2091</v>
      </c>
      <c r="D186" t="str">
        <f>IF(ISNUMBER(MATCH(Tabla4[[#This Row],[Título]],CantoralDB[Título],0)),"OK","-")</f>
        <v>OK</v>
      </c>
      <c r="E186" t="s">
        <v>792</v>
      </c>
    </row>
    <row r="187" spans="1:5" x14ac:dyDescent="0.3">
      <c r="A187" s="16">
        <v>183</v>
      </c>
      <c r="B187" t="s">
        <v>1290</v>
      </c>
      <c r="C187" t="s">
        <v>2084</v>
      </c>
      <c r="D187" t="str">
        <f>IF(ISNUMBER(MATCH(Tabla4[[#This Row],[Título]],CantoralDB[Título],0)),"OK","-")</f>
        <v>OK</v>
      </c>
      <c r="E187" t="s">
        <v>792</v>
      </c>
    </row>
    <row r="188" spans="1:5" x14ac:dyDescent="0.3">
      <c r="A188" s="16">
        <v>184</v>
      </c>
      <c r="B188" t="s">
        <v>2113</v>
      </c>
      <c r="C188" t="s">
        <v>478</v>
      </c>
      <c r="D188" t="str">
        <f>IF(ISNUMBER(MATCH(Tabla4[[#This Row],[Título]],CantoralDB[Título],0)),"OK","-")</f>
        <v>OK</v>
      </c>
      <c r="E188" t="s">
        <v>792</v>
      </c>
    </row>
    <row r="189" spans="1:5" x14ac:dyDescent="0.3">
      <c r="A189" s="16">
        <v>185</v>
      </c>
      <c r="B189" t="s">
        <v>1291</v>
      </c>
      <c r="C189" t="s">
        <v>501</v>
      </c>
      <c r="D189" t="str">
        <f>IF(ISNUMBER(MATCH(Tabla4[[#This Row],[Título]],CantoralDB[Título],0)),"OK","-")</f>
        <v>-</v>
      </c>
      <c r="E189" t="s">
        <v>792</v>
      </c>
    </row>
    <row r="190" spans="1:5" x14ac:dyDescent="0.3">
      <c r="A190" s="16">
        <v>186</v>
      </c>
      <c r="B190" t="s">
        <v>1292</v>
      </c>
      <c r="C190" t="s">
        <v>480</v>
      </c>
      <c r="D190" t="str">
        <f>IF(ISNUMBER(MATCH(Tabla4[[#This Row],[Título]],CantoralDB[Título],0)),"OK","-")</f>
        <v>-</v>
      </c>
      <c r="E190" t="s">
        <v>792</v>
      </c>
    </row>
    <row r="191" spans="1:5" x14ac:dyDescent="0.3">
      <c r="A191" s="16">
        <v>187</v>
      </c>
      <c r="B191" t="s">
        <v>420</v>
      </c>
      <c r="C191" t="s">
        <v>267</v>
      </c>
      <c r="D191" t="str">
        <f>IF(ISNUMBER(MATCH(Tabla4[[#This Row],[Título]],CantoralDB[Título],0)),"OK","-")</f>
        <v>OK</v>
      </c>
      <c r="E191" t="s">
        <v>792</v>
      </c>
    </row>
    <row r="192" spans="1:5" x14ac:dyDescent="0.3">
      <c r="A192" s="16">
        <v>188</v>
      </c>
      <c r="B192" t="s">
        <v>1293</v>
      </c>
      <c r="C192" t="s">
        <v>507</v>
      </c>
      <c r="D192" t="str">
        <f>IF(ISNUMBER(MATCH(Tabla4[[#This Row],[Título]],CantoralDB[Título],0)),"OK","-")</f>
        <v>OK</v>
      </c>
      <c r="E192" t="s">
        <v>792</v>
      </c>
    </row>
    <row r="193" spans="1:5" x14ac:dyDescent="0.3">
      <c r="A193" s="16">
        <v>189</v>
      </c>
      <c r="B193" t="s">
        <v>100</v>
      </c>
      <c r="C193" t="s">
        <v>478</v>
      </c>
      <c r="D193" t="str">
        <f>IF(ISNUMBER(MATCH(Tabla4[[#This Row],[Título]],CantoralDB[Título],0)),"OK","-")</f>
        <v>OK</v>
      </c>
      <c r="E193" t="s">
        <v>605</v>
      </c>
    </row>
    <row r="194" spans="1:5" x14ac:dyDescent="0.3">
      <c r="A194" s="16">
        <v>190</v>
      </c>
      <c r="B194" t="s">
        <v>1227</v>
      </c>
      <c r="C194" t="s">
        <v>2070</v>
      </c>
      <c r="D194" t="str">
        <f>IF(ISNUMBER(MATCH(Tabla4[[#This Row],[Título]],CantoralDB[Título],0)),"OK","-")</f>
        <v>-</v>
      </c>
      <c r="E194" t="s">
        <v>792</v>
      </c>
    </row>
    <row r="195" spans="1:5" x14ac:dyDescent="0.3">
      <c r="A195" s="16">
        <v>191</v>
      </c>
      <c r="B195" t="s">
        <v>101</v>
      </c>
      <c r="C195" t="s">
        <v>501</v>
      </c>
      <c r="D195" t="str">
        <f>IF(ISNUMBER(MATCH(Tabla4[[#This Row],[Título]],CantoralDB[Título],0)),"OK","-")</f>
        <v>OK</v>
      </c>
      <c r="E195" t="s">
        <v>605</v>
      </c>
    </row>
    <row r="196" spans="1:5" x14ac:dyDescent="0.3">
      <c r="A196" s="16">
        <v>192</v>
      </c>
      <c r="B196" t="s">
        <v>104</v>
      </c>
      <c r="C196" t="s">
        <v>507</v>
      </c>
      <c r="D196" t="str">
        <f>IF(ISNUMBER(MATCH(Tabla4[[#This Row],[Título]],CantoralDB[Título],0)),"OK","-")</f>
        <v>OK</v>
      </c>
      <c r="E196" t="s">
        <v>605</v>
      </c>
    </row>
    <row r="197" spans="1:5" x14ac:dyDescent="0.3">
      <c r="A197" s="16">
        <v>193</v>
      </c>
      <c r="B197" t="s">
        <v>102</v>
      </c>
      <c r="C197" t="s">
        <v>482</v>
      </c>
      <c r="D197" t="str">
        <f>IF(ISNUMBER(MATCH(Tabla4[[#This Row],[Título]],CantoralDB[Título],0)),"OK","-")</f>
        <v>OK</v>
      </c>
      <c r="E197" t="s">
        <v>605</v>
      </c>
    </row>
    <row r="198" spans="1:5" x14ac:dyDescent="0.3">
      <c r="A198" s="16">
        <v>194</v>
      </c>
      <c r="B198" t="s">
        <v>1294</v>
      </c>
      <c r="C198" t="s">
        <v>2069</v>
      </c>
      <c r="D198" t="str">
        <f>IF(ISNUMBER(MATCH(Tabla4[[#This Row],[Título]],CantoralDB[Título],0)),"OK","-")</f>
        <v>OK</v>
      </c>
      <c r="E198" t="s">
        <v>792</v>
      </c>
    </row>
    <row r="199" spans="1:5" x14ac:dyDescent="0.3">
      <c r="A199" s="16">
        <v>195</v>
      </c>
      <c r="B199" t="s">
        <v>107</v>
      </c>
      <c r="C199" t="s">
        <v>2068</v>
      </c>
      <c r="D199" t="str">
        <f>IF(ISNUMBER(MATCH(Tabla4[[#This Row],[Título]],CantoralDB[Título],0)),"OK","-")</f>
        <v>OK</v>
      </c>
      <c r="E199" t="s">
        <v>605</v>
      </c>
    </row>
    <row r="200" spans="1:5" x14ac:dyDescent="0.3">
      <c r="A200" s="16">
        <v>196</v>
      </c>
      <c r="B200" t="s">
        <v>1295</v>
      </c>
      <c r="C200" t="s">
        <v>483</v>
      </c>
      <c r="D200" t="str">
        <f>IF(ISNUMBER(MATCH(Tabla4[[#This Row],[Título]],CantoralDB[Título],0)),"OK","-")</f>
        <v>OK</v>
      </c>
      <c r="E200" t="s">
        <v>792</v>
      </c>
    </row>
    <row r="201" spans="1:5" x14ac:dyDescent="0.3">
      <c r="A201" s="16">
        <v>197</v>
      </c>
      <c r="B201" t="s">
        <v>1296</v>
      </c>
      <c r="C201" t="s">
        <v>487</v>
      </c>
      <c r="D201" t="str">
        <f>IF(ISNUMBER(MATCH(Tabla4[[#This Row],[Título]],CantoralDB[Título],0)),"OK","-")</f>
        <v>OK</v>
      </c>
      <c r="E201" t="s">
        <v>792</v>
      </c>
    </row>
    <row r="202" spans="1:5" x14ac:dyDescent="0.3">
      <c r="A202" s="16">
        <v>198</v>
      </c>
      <c r="B202" t="s">
        <v>106</v>
      </c>
      <c r="C202" t="s">
        <v>2092</v>
      </c>
      <c r="D202" t="str">
        <f>IF(ISNUMBER(MATCH(Tabla4[[#This Row],[Título]],CantoralDB[Título],0)),"OK","-")</f>
        <v>OK</v>
      </c>
      <c r="E202" t="s">
        <v>605</v>
      </c>
    </row>
    <row r="203" spans="1:5" x14ac:dyDescent="0.3">
      <c r="A203" s="16">
        <v>199</v>
      </c>
      <c r="B203" t="s">
        <v>1297</v>
      </c>
      <c r="C203" t="s">
        <v>2076</v>
      </c>
      <c r="D203" t="str">
        <f>IF(ISNUMBER(MATCH(Tabla4[[#This Row],[Título]],CantoralDB[Título],0)),"OK","-")</f>
        <v>OK</v>
      </c>
      <c r="E203" t="s">
        <v>792</v>
      </c>
    </row>
    <row r="204" spans="1:5" x14ac:dyDescent="0.3">
      <c r="A204" s="16">
        <v>200</v>
      </c>
      <c r="B204" t="s">
        <v>110</v>
      </c>
      <c r="C204" t="s">
        <v>501</v>
      </c>
      <c r="D204" t="str">
        <f>IF(ISNUMBER(MATCH(Tabla4[[#This Row],[Título]],CantoralDB[Título],0)),"OK","-")</f>
        <v>OK</v>
      </c>
      <c r="E204" t="s">
        <v>605</v>
      </c>
    </row>
    <row r="205" spans="1:5" x14ac:dyDescent="0.3">
      <c r="A205" s="16">
        <v>201</v>
      </c>
      <c r="B205" t="s">
        <v>109</v>
      </c>
      <c r="C205" t="s">
        <v>483</v>
      </c>
      <c r="D205" t="str">
        <f>IF(ISNUMBER(MATCH(Tabla4[[#This Row],[Título]],CantoralDB[Título],0)),"OK","-")</f>
        <v>OK</v>
      </c>
      <c r="E205" t="s">
        <v>605</v>
      </c>
    </row>
    <row r="206" spans="1:5" x14ac:dyDescent="0.3">
      <c r="A206" s="16">
        <v>202</v>
      </c>
      <c r="B206" t="s">
        <v>116</v>
      </c>
      <c r="C206" t="s">
        <v>507</v>
      </c>
      <c r="D206" t="str">
        <f>IF(ISNUMBER(MATCH(Tabla4[[#This Row],[Título]],CantoralDB[Título],0)),"OK","-")</f>
        <v>OK</v>
      </c>
      <c r="E206" t="s">
        <v>605</v>
      </c>
    </row>
    <row r="207" spans="1:5" x14ac:dyDescent="0.3">
      <c r="A207" s="16">
        <v>203</v>
      </c>
      <c r="B207" t="s">
        <v>114</v>
      </c>
      <c r="C207" t="s">
        <v>490</v>
      </c>
      <c r="D207" t="str">
        <f>IF(ISNUMBER(MATCH(Tabla4[[#This Row],[Título]],CantoralDB[Título],0)),"OK","-")</f>
        <v>OK</v>
      </c>
      <c r="E207" t="s">
        <v>605</v>
      </c>
    </row>
    <row r="208" spans="1:5" x14ac:dyDescent="0.3">
      <c r="A208" s="16">
        <v>204</v>
      </c>
      <c r="B208" t="s">
        <v>1298</v>
      </c>
      <c r="C208" t="s">
        <v>2076</v>
      </c>
      <c r="D208" t="str">
        <f>IF(ISNUMBER(MATCH(Tabla4[[#This Row],[Título]],CantoralDB[Título],0)),"OK","-")</f>
        <v>OK</v>
      </c>
      <c r="E208" t="s">
        <v>792</v>
      </c>
    </row>
    <row r="209" spans="1:5" x14ac:dyDescent="0.3">
      <c r="A209" s="16">
        <v>205</v>
      </c>
      <c r="B209" t="s">
        <v>117</v>
      </c>
      <c r="C209" t="s">
        <v>507</v>
      </c>
      <c r="D209" t="str">
        <f>IF(ISNUMBER(MATCH(Tabla4[[#This Row],[Título]],CantoralDB[Título],0)),"OK","-")</f>
        <v>OK</v>
      </c>
      <c r="E209" t="s">
        <v>605</v>
      </c>
    </row>
    <row r="210" spans="1:5" x14ac:dyDescent="0.3">
      <c r="A210" s="16">
        <v>206</v>
      </c>
      <c r="B210" t="s">
        <v>1299</v>
      </c>
      <c r="C210" t="s">
        <v>486</v>
      </c>
      <c r="D210" t="str">
        <f>IF(ISNUMBER(MATCH(Tabla4[[#This Row],[Título]],CantoralDB[Título],0)),"OK","-")</f>
        <v>OK</v>
      </c>
      <c r="E210" t="s">
        <v>792</v>
      </c>
    </row>
    <row r="211" spans="1:5" x14ac:dyDescent="0.3">
      <c r="A211" s="16">
        <v>207</v>
      </c>
      <c r="B211" t="s">
        <v>1300</v>
      </c>
      <c r="C211" t="s">
        <v>480</v>
      </c>
      <c r="D211" t="str">
        <f>IF(ISNUMBER(MATCH(Tabla4[[#This Row],[Título]],CantoralDB[Título],0)),"OK","-")</f>
        <v>-</v>
      </c>
      <c r="E211" t="s">
        <v>792</v>
      </c>
    </row>
    <row r="212" spans="1:5" x14ac:dyDescent="0.3">
      <c r="A212" s="16">
        <v>208</v>
      </c>
      <c r="B212" t="s">
        <v>246</v>
      </c>
      <c r="C212" t="s">
        <v>485</v>
      </c>
      <c r="D212" t="str">
        <f>IF(ISNUMBER(MATCH(Tabla4[[#This Row],[Título]],CantoralDB[Título],0)),"OK","-")</f>
        <v>OK</v>
      </c>
      <c r="E212" t="s">
        <v>605</v>
      </c>
    </row>
    <row r="213" spans="1:5" x14ac:dyDescent="0.3">
      <c r="A213" s="16">
        <v>209</v>
      </c>
      <c r="B213" t="s">
        <v>185</v>
      </c>
      <c r="C213" t="s">
        <v>487</v>
      </c>
      <c r="D213" t="str">
        <f>IF(ISNUMBER(MATCH(Tabla4[[#This Row],[Título]],CantoralDB[Título],0)),"OK","-")</f>
        <v>OK</v>
      </c>
      <c r="E213" t="s">
        <v>605</v>
      </c>
    </row>
    <row r="214" spans="1:5" x14ac:dyDescent="0.3">
      <c r="A214" s="16">
        <v>210</v>
      </c>
      <c r="B214" t="s">
        <v>1240</v>
      </c>
      <c r="C214" t="s">
        <v>501</v>
      </c>
      <c r="D214" t="str">
        <f>IF(ISNUMBER(MATCH(Tabla4[[#This Row],[Título]],CantoralDB[Título],0)),"OK","-")</f>
        <v>OK</v>
      </c>
      <c r="E214" t="s">
        <v>792</v>
      </c>
    </row>
    <row r="215" spans="1:5" x14ac:dyDescent="0.3">
      <c r="A215" s="16">
        <v>211</v>
      </c>
      <c r="B215" t="s">
        <v>118</v>
      </c>
      <c r="C215" t="s">
        <v>478</v>
      </c>
      <c r="D215" t="str">
        <f>IF(ISNUMBER(MATCH(Tabla4[[#This Row],[Título]],CantoralDB[Título],0)),"OK","-")</f>
        <v>OK</v>
      </c>
      <c r="E215" t="s">
        <v>605</v>
      </c>
    </row>
    <row r="216" spans="1:5" x14ac:dyDescent="0.3">
      <c r="A216" s="16">
        <v>212</v>
      </c>
      <c r="B216" t="s">
        <v>1301</v>
      </c>
      <c r="C216" t="s">
        <v>490</v>
      </c>
      <c r="D216" t="str">
        <f>IF(ISNUMBER(MATCH(Tabla4[[#This Row],[Título]],CantoralDB[Título],0)),"OK","-")</f>
        <v>OK</v>
      </c>
      <c r="E216" t="s">
        <v>792</v>
      </c>
    </row>
    <row r="217" spans="1:5" x14ac:dyDescent="0.3">
      <c r="A217" s="16">
        <v>213</v>
      </c>
      <c r="B217" t="s">
        <v>1302</v>
      </c>
      <c r="C217" t="s">
        <v>487</v>
      </c>
      <c r="D217" t="str">
        <f>IF(ISNUMBER(MATCH(Tabla4[[#This Row],[Título]],CantoralDB[Título],0)),"OK","-")</f>
        <v>-</v>
      </c>
      <c r="E217" t="s">
        <v>792</v>
      </c>
    </row>
    <row r="218" spans="1:5" x14ac:dyDescent="0.3">
      <c r="A218" s="16">
        <v>214</v>
      </c>
      <c r="B218" t="s">
        <v>113</v>
      </c>
      <c r="C218" t="s">
        <v>501</v>
      </c>
      <c r="D218" t="str">
        <f>IF(ISNUMBER(MATCH(Tabla4[[#This Row],[Título]],CantoralDB[Título],0)),"OK","-")</f>
        <v>OK</v>
      </c>
      <c r="E218" t="s">
        <v>605</v>
      </c>
    </row>
    <row r="219" spans="1:5" x14ac:dyDescent="0.3">
      <c r="A219" s="16">
        <v>215</v>
      </c>
      <c r="B219" t="s">
        <v>1303</v>
      </c>
      <c r="C219" t="s">
        <v>479</v>
      </c>
      <c r="D219" t="str">
        <f>IF(ISNUMBER(MATCH(Tabla4[[#This Row],[Título]],CantoralDB[Título],0)),"OK","-")</f>
        <v>OK</v>
      </c>
      <c r="E219" t="s">
        <v>792</v>
      </c>
    </row>
    <row r="220" spans="1:5" x14ac:dyDescent="0.3">
      <c r="A220" s="16">
        <v>216</v>
      </c>
      <c r="B220" t="s">
        <v>1304</v>
      </c>
      <c r="C220" t="s">
        <v>2133</v>
      </c>
      <c r="D220" t="str">
        <f>IF(ISNUMBER(MATCH(Tabla4[[#This Row],[Título]],CantoralDB[Título],0)),"OK","-")</f>
        <v>OK</v>
      </c>
      <c r="E220" t="s">
        <v>792</v>
      </c>
    </row>
    <row r="221" spans="1:5" x14ac:dyDescent="0.3">
      <c r="A221" s="16">
        <v>217</v>
      </c>
      <c r="B221" t="s">
        <v>121</v>
      </c>
      <c r="C221" t="s">
        <v>485</v>
      </c>
      <c r="D221" t="str">
        <f>IF(ISNUMBER(MATCH(Tabla4[[#This Row],[Título]],CantoralDB[Título],0)),"OK","-")</f>
        <v>OK</v>
      </c>
      <c r="E221" t="s">
        <v>605</v>
      </c>
    </row>
    <row r="222" spans="1:5" x14ac:dyDescent="0.3">
      <c r="A222" s="16">
        <v>218</v>
      </c>
      <c r="B222" t="s">
        <v>1305</v>
      </c>
      <c r="C222" t="s">
        <v>2078</v>
      </c>
      <c r="D222" t="str">
        <f>IF(ISNUMBER(MATCH(Tabla4[[#This Row],[Título]],CantoralDB[Título],0)),"OK","-")</f>
        <v>OK</v>
      </c>
      <c r="E222" t="s">
        <v>792</v>
      </c>
    </row>
    <row r="223" spans="1:5" x14ac:dyDescent="0.3">
      <c r="A223" s="16">
        <v>219</v>
      </c>
      <c r="B223" t="s">
        <v>1306</v>
      </c>
      <c r="C223" t="s">
        <v>2093</v>
      </c>
      <c r="D223" t="str">
        <f>IF(ISNUMBER(MATCH(Tabla4[[#This Row],[Título]],CantoralDB[Título],0)),"OK","-")</f>
        <v>OK</v>
      </c>
      <c r="E223" t="s">
        <v>792</v>
      </c>
    </row>
    <row r="224" spans="1:5" x14ac:dyDescent="0.3">
      <c r="A224" s="16">
        <v>220</v>
      </c>
      <c r="B224" t="s">
        <v>122</v>
      </c>
      <c r="C224" t="s">
        <v>490</v>
      </c>
      <c r="D224" t="str">
        <f>IF(ISNUMBER(MATCH(Tabla4[[#This Row],[Título]],CantoralDB[Título],0)),"OK","-")</f>
        <v>OK</v>
      </c>
      <c r="E224" t="s">
        <v>605</v>
      </c>
    </row>
    <row r="225" spans="1:5" x14ac:dyDescent="0.3">
      <c r="A225" s="16">
        <v>221</v>
      </c>
      <c r="B225" t="s">
        <v>119</v>
      </c>
      <c r="C225" t="s">
        <v>486</v>
      </c>
      <c r="D225" t="str">
        <f>IF(ISNUMBER(MATCH(Tabla4[[#This Row],[Título]],CantoralDB[Título],0)),"OK","-")</f>
        <v>OK</v>
      </c>
      <c r="E225" t="s">
        <v>605</v>
      </c>
    </row>
    <row r="226" spans="1:5" x14ac:dyDescent="0.3">
      <c r="A226" s="16">
        <v>222</v>
      </c>
      <c r="B226" t="s">
        <v>123</v>
      </c>
      <c r="C226" t="s">
        <v>490</v>
      </c>
      <c r="D226" t="str">
        <f>IF(ISNUMBER(MATCH(Tabla4[[#This Row],[Título]],CantoralDB[Título],0)),"OK","-")</f>
        <v>OK</v>
      </c>
      <c r="E226" t="s">
        <v>605</v>
      </c>
    </row>
    <row r="227" spans="1:5" x14ac:dyDescent="0.3">
      <c r="A227" s="16">
        <v>223</v>
      </c>
      <c r="B227" t="s">
        <v>1307</v>
      </c>
      <c r="C227" t="s">
        <v>2076</v>
      </c>
      <c r="D227" t="str">
        <f>IF(ISNUMBER(MATCH(Tabla4[[#This Row],[Título]],CantoralDB[Título],0)),"OK","-")</f>
        <v>OK</v>
      </c>
      <c r="E227" t="s">
        <v>792</v>
      </c>
    </row>
    <row r="228" spans="1:5" x14ac:dyDescent="0.3">
      <c r="A228" s="16">
        <v>224</v>
      </c>
      <c r="B228" t="s">
        <v>1308</v>
      </c>
      <c r="C228" t="s">
        <v>2090</v>
      </c>
      <c r="D228" t="str">
        <f>IF(ISNUMBER(MATCH(Tabla4[[#This Row],[Título]],CantoralDB[Título],0)),"OK","-")</f>
        <v>OK</v>
      </c>
      <c r="E228" t="s">
        <v>792</v>
      </c>
    </row>
    <row r="229" spans="1:5" x14ac:dyDescent="0.3">
      <c r="A229" s="16">
        <v>225</v>
      </c>
      <c r="B229" t="s">
        <v>126</v>
      </c>
      <c r="C229" t="s">
        <v>576</v>
      </c>
      <c r="D229" t="str">
        <f>IF(ISNUMBER(MATCH(Tabla4[[#This Row],[Título]],CantoralDB[Título],0)),"OK","-")</f>
        <v>OK</v>
      </c>
      <c r="E229" t="s">
        <v>605</v>
      </c>
    </row>
    <row r="230" spans="1:5" x14ac:dyDescent="0.3">
      <c r="A230" s="16">
        <v>226</v>
      </c>
      <c r="B230" t="s">
        <v>1309</v>
      </c>
      <c r="C230" t="s">
        <v>483</v>
      </c>
      <c r="D230" t="str">
        <f>IF(ISNUMBER(MATCH(Tabla4[[#This Row],[Título]],CantoralDB[Título],0)),"OK","-")</f>
        <v>OK</v>
      </c>
      <c r="E230" t="s">
        <v>792</v>
      </c>
    </row>
    <row r="231" spans="1:5" x14ac:dyDescent="0.3">
      <c r="A231" s="16">
        <v>227</v>
      </c>
      <c r="B231" t="s">
        <v>125</v>
      </c>
      <c r="C231" t="s">
        <v>480</v>
      </c>
      <c r="D231" t="str">
        <f>IF(ISNUMBER(MATCH(Tabla4[[#This Row],[Título]],CantoralDB[Título],0)),"OK","-")</f>
        <v>OK</v>
      </c>
      <c r="E231" t="s">
        <v>605</v>
      </c>
    </row>
    <row r="232" spans="1:5" x14ac:dyDescent="0.3">
      <c r="A232" s="16">
        <v>228</v>
      </c>
      <c r="B232" t="s">
        <v>1310</v>
      </c>
      <c r="C232" t="s">
        <v>2094</v>
      </c>
      <c r="D232" t="str">
        <f>IF(ISNUMBER(MATCH(Tabla4[[#This Row],[Título]],CantoralDB[Título],0)),"OK","-")</f>
        <v>-</v>
      </c>
      <c r="E232" t="s">
        <v>792</v>
      </c>
    </row>
    <row r="233" spans="1:5" x14ac:dyDescent="0.3">
      <c r="A233" s="16">
        <v>229</v>
      </c>
      <c r="B233" t="s">
        <v>1311</v>
      </c>
      <c r="C233" t="s">
        <v>507</v>
      </c>
      <c r="D233" t="str">
        <f>IF(ISNUMBER(MATCH(Tabla4[[#This Row],[Título]],CantoralDB[Título],0)),"OK","-")</f>
        <v>OK</v>
      </c>
      <c r="E233" t="s">
        <v>792</v>
      </c>
    </row>
    <row r="234" spans="1:5" x14ac:dyDescent="0.3">
      <c r="A234" s="16">
        <v>230</v>
      </c>
      <c r="B234" t="s">
        <v>1312</v>
      </c>
      <c r="C234" t="s">
        <v>2068</v>
      </c>
      <c r="D234" t="str">
        <f>IF(ISNUMBER(MATCH(Tabla4[[#This Row],[Título]],CantoralDB[Título],0)),"OK","-")</f>
        <v>OK</v>
      </c>
      <c r="E234" t="s">
        <v>792</v>
      </c>
    </row>
    <row r="235" spans="1:5" x14ac:dyDescent="0.3">
      <c r="A235" s="16">
        <v>231</v>
      </c>
      <c r="B235" t="s">
        <v>525</v>
      </c>
      <c r="C235" t="s">
        <v>516</v>
      </c>
      <c r="D235" t="str">
        <f>IF(ISNUMBER(MATCH(Tabla4[[#This Row],[Título]],CantoralDB[Título],0)),"OK","-")</f>
        <v>OK</v>
      </c>
      <c r="E235" t="s">
        <v>605</v>
      </c>
    </row>
    <row r="236" spans="1:5" x14ac:dyDescent="0.3">
      <c r="A236" s="16">
        <v>232</v>
      </c>
      <c r="B236" t="s">
        <v>1313</v>
      </c>
      <c r="C236" t="s">
        <v>480</v>
      </c>
      <c r="D236" t="str">
        <f>IF(ISNUMBER(MATCH(Tabla4[[#This Row],[Título]],CantoralDB[Título],0)),"OK","-")</f>
        <v>-</v>
      </c>
      <c r="E236" t="s">
        <v>792</v>
      </c>
    </row>
    <row r="237" spans="1:5" x14ac:dyDescent="0.3">
      <c r="A237" s="16">
        <v>233</v>
      </c>
      <c r="B237" t="s">
        <v>132</v>
      </c>
      <c r="C237" t="s">
        <v>501</v>
      </c>
      <c r="D237" t="str">
        <f>IF(ISNUMBER(MATCH(Tabla4[[#This Row],[Título]],CantoralDB[Título],0)),"OK","-")</f>
        <v>OK</v>
      </c>
      <c r="E237" t="s">
        <v>605</v>
      </c>
    </row>
    <row r="238" spans="1:5" x14ac:dyDescent="0.3">
      <c r="A238" s="16">
        <v>234</v>
      </c>
      <c r="B238" t="s">
        <v>134</v>
      </c>
      <c r="C238" t="s">
        <v>515</v>
      </c>
      <c r="D238" t="str">
        <f>IF(ISNUMBER(MATCH(Tabla4[[#This Row],[Título]],CantoralDB[Título],0)),"OK","-")</f>
        <v>OK</v>
      </c>
      <c r="E238" t="s">
        <v>605</v>
      </c>
    </row>
    <row r="239" spans="1:5" x14ac:dyDescent="0.3">
      <c r="A239" s="16">
        <v>235</v>
      </c>
      <c r="B239" t="s">
        <v>135</v>
      </c>
      <c r="C239" t="s">
        <v>515</v>
      </c>
      <c r="D239" t="str">
        <f>IF(ISNUMBER(MATCH(Tabla4[[#This Row],[Título]],CantoralDB[Título],0)),"OK","-")</f>
        <v>OK</v>
      </c>
      <c r="E239" t="s">
        <v>605</v>
      </c>
    </row>
    <row r="240" spans="1:5" x14ac:dyDescent="0.3">
      <c r="A240" s="16">
        <v>236</v>
      </c>
      <c r="B240" t="s">
        <v>1314</v>
      </c>
      <c r="C240" t="s">
        <v>501</v>
      </c>
      <c r="D240" t="str">
        <f>IF(ISNUMBER(MATCH(Tabla4[[#This Row],[Título]],CantoralDB[Título],0)),"OK","-")</f>
        <v>OK</v>
      </c>
      <c r="E240" t="s">
        <v>792</v>
      </c>
    </row>
    <row r="241" spans="1:5" x14ac:dyDescent="0.3">
      <c r="A241" s="16">
        <v>237</v>
      </c>
      <c r="B241" t="s">
        <v>138</v>
      </c>
      <c r="C241" t="s">
        <v>541</v>
      </c>
      <c r="D241" t="str">
        <f>IF(ISNUMBER(MATCH(Tabla4[[#This Row],[Título]],CantoralDB[Título],0)),"OK","-")</f>
        <v>OK</v>
      </c>
      <c r="E241" t="s">
        <v>605</v>
      </c>
    </row>
    <row r="242" spans="1:5" x14ac:dyDescent="0.3">
      <c r="A242" s="16">
        <v>238</v>
      </c>
      <c r="B242" t="s">
        <v>1315</v>
      </c>
      <c r="C242" t="s">
        <v>2075</v>
      </c>
      <c r="D242" t="str">
        <f>IF(ISNUMBER(MATCH(Tabla4[[#This Row],[Título]],CantoralDB[Título],0)),"OK","-")</f>
        <v>OK</v>
      </c>
      <c r="E242" t="s">
        <v>792</v>
      </c>
    </row>
    <row r="243" spans="1:5" x14ac:dyDescent="0.3">
      <c r="A243" s="16">
        <v>239</v>
      </c>
      <c r="B243" t="s">
        <v>1316</v>
      </c>
      <c r="C243" t="s">
        <v>541</v>
      </c>
      <c r="D243" t="str">
        <f>IF(ISNUMBER(MATCH(Tabla4[[#This Row],[Título]],CantoralDB[Título],0)),"OK","-")</f>
        <v>OK</v>
      </c>
      <c r="E243" t="s">
        <v>792</v>
      </c>
    </row>
    <row r="244" spans="1:5" x14ac:dyDescent="0.3">
      <c r="A244" s="16">
        <v>240</v>
      </c>
      <c r="B244" t="s">
        <v>1317</v>
      </c>
      <c r="C244" t="s">
        <v>480</v>
      </c>
      <c r="D244" t="str">
        <f>IF(ISNUMBER(MATCH(Tabla4[[#This Row],[Título]],CantoralDB[Título],0)),"OK","-")</f>
        <v>OK</v>
      </c>
      <c r="E244" t="s">
        <v>792</v>
      </c>
    </row>
    <row r="245" spans="1:5" x14ac:dyDescent="0.3">
      <c r="A245" s="16">
        <v>241</v>
      </c>
      <c r="B245" t="s">
        <v>137</v>
      </c>
      <c r="C245" t="s">
        <v>482</v>
      </c>
      <c r="D245" t="str">
        <f>IF(ISNUMBER(MATCH(Tabla4[[#This Row],[Título]],CantoralDB[Título],0)),"OK","-")</f>
        <v>OK</v>
      </c>
      <c r="E245" t="s">
        <v>605</v>
      </c>
    </row>
    <row r="246" spans="1:5" x14ac:dyDescent="0.3">
      <c r="A246" s="16">
        <v>242</v>
      </c>
      <c r="B246" t="s">
        <v>1318</v>
      </c>
      <c r="C246" t="s">
        <v>2091</v>
      </c>
      <c r="D246" t="str">
        <f>IF(ISNUMBER(MATCH(Tabla4[[#This Row],[Título]],CantoralDB[Título],0)),"OK","-")</f>
        <v>OK</v>
      </c>
      <c r="E246" t="s">
        <v>792</v>
      </c>
    </row>
    <row r="247" spans="1:5" x14ac:dyDescent="0.3">
      <c r="A247" s="16">
        <v>243</v>
      </c>
      <c r="B247" t="s">
        <v>1319</v>
      </c>
      <c r="C247" t="s">
        <v>490</v>
      </c>
      <c r="D247" t="str">
        <f>IF(ISNUMBER(MATCH(Tabla4[[#This Row],[Título]],CantoralDB[Título],0)),"OK","-")</f>
        <v>OK</v>
      </c>
      <c r="E247" t="s">
        <v>792</v>
      </c>
    </row>
    <row r="248" spans="1:5" x14ac:dyDescent="0.3">
      <c r="A248" s="16">
        <v>244</v>
      </c>
      <c r="B248" t="s">
        <v>1320</v>
      </c>
      <c r="C248" t="s">
        <v>478</v>
      </c>
      <c r="D248" t="str">
        <f>IF(ISNUMBER(MATCH(Tabla4[[#This Row],[Título]],CantoralDB[Título],0)),"OK","-")</f>
        <v>OK</v>
      </c>
      <c r="E248" t="s">
        <v>792</v>
      </c>
    </row>
    <row r="249" spans="1:5" x14ac:dyDescent="0.3">
      <c r="A249" s="16">
        <v>245</v>
      </c>
      <c r="B249" t="s">
        <v>1232</v>
      </c>
      <c r="C249" t="s">
        <v>480</v>
      </c>
      <c r="D249" t="str">
        <f>IF(ISNUMBER(MATCH(Tabla4[[#This Row],[Título]],CantoralDB[Título],0)),"OK","-")</f>
        <v>OK</v>
      </c>
      <c r="E249" t="s">
        <v>605</v>
      </c>
    </row>
    <row r="250" spans="1:5" x14ac:dyDescent="0.3">
      <c r="A250" s="16">
        <v>246</v>
      </c>
      <c r="B250" t="s">
        <v>1321</v>
      </c>
      <c r="C250" t="s">
        <v>541</v>
      </c>
      <c r="D250" t="str">
        <f>IF(ISNUMBER(MATCH(Tabla4[[#This Row],[Título]],CantoralDB[Título],0)),"OK","-")</f>
        <v>OK</v>
      </c>
      <c r="E250" t="s">
        <v>792</v>
      </c>
    </row>
    <row r="251" spans="1:5" x14ac:dyDescent="0.3">
      <c r="A251" s="16" t="s">
        <v>2095</v>
      </c>
      <c r="B251" t="s">
        <v>1322</v>
      </c>
      <c r="C251" t="s">
        <v>485</v>
      </c>
      <c r="D251" t="str">
        <f>IF(ISNUMBER(MATCH(Tabla4[[#This Row],[Título]],CantoralDB[Título],0)),"OK","-")</f>
        <v>OK</v>
      </c>
      <c r="E251" t="s">
        <v>792</v>
      </c>
    </row>
    <row r="252" spans="1:5" x14ac:dyDescent="0.3">
      <c r="A252" s="16">
        <v>247</v>
      </c>
      <c r="B252" t="s">
        <v>1323</v>
      </c>
      <c r="C252" t="s">
        <v>479</v>
      </c>
      <c r="D252" t="str">
        <f>IF(ISNUMBER(MATCH(Tabla4[[#This Row],[Título]],CantoralDB[Título],0)),"OK","-")</f>
        <v>OK</v>
      </c>
      <c r="E252" t="s">
        <v>792</v>
      </c>
    </row>
    <row r="253" spans="1:5" x14ac:dyDescent="0.3">
      <c r="A253" s="16">
        <v>248</v>
      </c>
      <c r="B253" t="s">
        <v>2096</v>
      </c>
      <c r="C253" t="s">
        <v>515</v>
      </c>
      <c r="D253" t="str">
        <f>IF(ISNUMBER(MATCH(Tabla4[[#This Row],[Título]],CantoralDB[Título],0)),"OK","-")</f>
        <v>OK</v>
      </c>
      <c r="E253" t="s">
        <v>792</v>
      </c>
    </row>
    <row r="254" spans="1:5" x14ac:dyDescent="0.3">
      <c r="A254" s="16">
        <v>249</v>
      </c>
      <c r="B254" t="s">
        <v>1324</v>
      </c>
      <c r="C254" t="s">
        <v>2074</v>
      </c>
      <c r="D254" t="str">
        <f>IF(ISNUMBER(MATCH(Tabla4[[#This Row],[Título]],CantoralDB[Título],0)),"OK","-")</f>
        <v>-</v>
      </c>
      <c r="E254" t="s">
        <v>792</v>
      </c>
    </row>
    <row r="255" spans="1:5" x14ac:dyDescent="0.3">
      <c r="A255" s="16">
        <v>250</v>
      </c>
      <c r="B255" t="s">
        <v>1325</v>
      </c>
      <c r="C255" t="s">
        <v>2074</v>
      </c>
      <c r="D255" t="str">
        <f>IF(ISNUMBER(MATCH(Tabla4[[#This Row],[Título]],CantoralDB[Título],0)),"OK","-")</f>
        <v>-</v>
      </c>
      <c r="E255" t="s">
        <v>792</v>
      </c>
    </row>
    <row r="256" spans="1:5" x14ac:dyDescent="0.3">
      <c r="A256" s="16">
        <v>251</v>
      </c>
      <c r="B256" t="s">
        <v>594</v>
      </c>
      <c r="C256" t="s">
        <v>482</v>
      </c>
      <c r="D256" t="str">
        <f>IF(ISNUMBER(MATCH(Tabla4[[#This Row],[Título]],CantoralDB[Título],0)),"OK","-")</f>
        <v>OK</v>
      </c>
      <c r="E256" t="s">
        <v>605</v>
      </c>
    </row>
    <row r="257" spans="1:5" x14ac:dyDescent="0.3">
      <c r="A257" s="16">
        <v>252</v>
      </c>
      <c r="B257" t="s">
        <v>1326</v>
      </c>
      <c r="C257" t="s">
        <v>483</v>
      </c>
      <c r="D257" t="str">
        <f>IF(ISNUMBER(MATCH(Tabla4[[#This Row],[Título]],CantoralDB[Título],0)),"OK","-")</f>
        <v>OK</v>
      </c>
      <c r="E257" t="s">
        <v>792</v>
      </c>
    </row>
    <row r="258" spans="1:5" x14ac:dyDescent="0.3">
      <c r="A258" s="16">
        <v>253</v>
      </c>
      <c r="B258" t="s">
        <v>1327</v>
      </c>
      <c r="C258" t="s">
        <v>2090</v>
      </c>
      <c r="D258" t="str">
        <f>IF(ISNUMBER(MATCH(Tabla4[[#This Row],[Título]],CantoralDB[Título],0)),"OK","-")</f>
        <v>OK</v>
      </c>
      <c r="E258" t="s">
        <v>792</v>
      </c>
    </row>
    <row r="259" spans="1:5" x14ac:dyDescent="0.3">
      <c r="A259" s="16">
        <v>254</v>
      </c>
      <c r="B259" t="s">
        <v>148</v>
      </c>
      <c r="C259" t="s">
        <v>490</v>
      </c>
      <c r="D259" t="str">
        <f>IF(ISNUMBER(MATCH(Tabla4[[#This Row],[Título]],CantoralDB[Título],0)),"OK","-")</f>
        <v>OK</v>
      </c>
      <c r="E259" t="s">
        <v>605</v>
      </c>
    </row>
    <row r="260" spans="1:5" x14ac:dyDescent="0.3">
      <c r="A260" s="16">
        <v>255</v>
      </c>
      <c r="B260" t="s">
        <v>142</v>
      </c>
      <c r="C260" t="s">
        <v>501</v>
      </c>
      <c r="D260" t="str">
        <f>IF(ISNUMBER(MATCH(Tabla4[[#This Row],[Título]],CantoralDB[Título],0)),"OK","-")</f>
        <v>OK</v>
      </c>
      <c r="E260" t="s">
        <v>605</v>
      </c>
    </row>
    <row r="261" spans="1:5" x14ac:dyDescent="0.3">
      <c r="A261" s="16">
        <v>256</v>
      </c>
      <c r="B261" t="s">
        <v>1328</v>
      </c>
      <c r="C261" t="s">
        <v>541</v>
      </c>
      <c r="D261" t="str">
        <f>IF(ISNUMBER(MATCH(Tabla4[[#This Row],[Título]],CantoralDB[Título],0)),"OK","-")</f>
        <v>OK</v>
      </c>
      <c r="E261" t="s">
        <v>792</v>
      </c>
    </row>
    <row r="262" spans="1:5" x14ac:dyDescent="0.3">
      <c r="A262" s="16">
        <v>257</v>
      </c>
      <c r="B262" t="s">
        <v>141</v>
      </c>
      <c r="C262" t="s">
        <v>507</v>
      </c>
      <c r="D262" t="str">
        <f>IF(ISNUMBER(MATCH(Tabla4[[#This Row],[Título]],CantoralDB[Título],0)),"OK","-")</f>
        <v>OK</v>
      </c>
      <c r="E262" t="s">
        <v>605</v>
      </c>
    </row>
    <row r="263" spans="1:5" x14ac:dyDescent="0.3">
      <c r="A263" s="16">
        <v>258</v>
      </c>
      <c r="B263" t="s">
        <v>140</v>
      </c>
      <c r="C263" t="s">
        <v>490</v>
      </c>
      <c r="D263" t="str">
        <f>IF(ISNUMBER(MATCH(Tabla4[[#This Row],[Título]],CantoralDB[Título],0)),"OK","-")</f>
        <v>OK</v>
      </c>
      <c r="E263" t="s">
        <v>605</v>
      </c>
    </row>
    <row r="264" spans="1:5" x14ac:dyDescent="0.3">
      <c r="A264" s="16">
        <v>259</v>
      </c>
      <c r="B264" t="s">
        <v>1329</v>
      </c>
      <c r="C264" t="s">
        <v>501</v>
      </c>
      <c r="D264" t="str">
        <f>IF(ISNUMBER(MATCH(Tabla4[[#This Row],[Título]],CantoralDB[Título],0)),"OK","-")</f>
        <v>-</v>
      </c>
      <c r="E264" t="s">
        <v>792</v>
      </c>
    </row>
    <row r="265" spans="1:5" x14ac:dyDescent="0.3">
      <c r="A265" s="16">
        <v>260</v>
      </c>
      <c r="B265" t="s">
        <v>1330</v>
      </c>
      <c r="C265" t="s">
        <v>541</v>
      </c>
      <c r="D265" t="str">
        <f>IF(ISNUMBER(MATCH(Tabla4[[#This Row],[Título]],CantoralDB[Título],0)),"OK","-")</f>
        <v>OK</v>
      </c>
      <c r="E265" t="s">
        <v>792</v>
      </c>
    </row>
    <row r="266" spans="1:5" x14ac:dyDescent="0.3">
      <c r="A266" s="16">
        <v>261</v>
      </c>
      <c r="B266" t="s">
        <v>1331</v>
      </c>
      <c r="C266" t="s">
        <v>478</v>
      </c>
      <c r="D266" t="str">
        <f>IF(ISNUMBER(MATCH(Tabla4[[#This Row],[Título]],CantoralDB[Título],0)),"OK","-")</f>
        <v>-</v>
      </c>
      <c r="E266" t="s">
        <v>792</v>
      </c>
    </row>
    <row r="267" spans="1:5" x14ac:dyDescent="0.3">
      <c r="A267" s="16">
        <v>262</v>
      </c>
      <c r="B267" t="s">
        <v>147</v>
      </c>
      <c r="C267" t="s">
        <v>490</v>
      </c>
      <c r="D267" t="str">
        <f>IF(ISNUMBER(MATCH(Tabla4[[#This Row],[Título]],CantoralDB[Título],0)),"OK","-")</f>
        <v>OK</v>
      </c>
      <c r="E267" t="s">
        <v>605</v>
      </c>
    </row>
    <row r="268" spans="1:5" x14ac:dyDescent="0.3">
      <c r="A268" s="16">
        <v>263</v>
      </c>
      <c r="B268" t="s">
        <v>1332</v>
      </c>
      <c r="C268" t="s">
        <v>2068</v>
      </c>
      <c r="D268" t="str">
        <f>IF(ISNUMBER(MATCH(Tabla4[[#This Row],[Título]],CantoralDB[Título],0)),"OK","-")</f>
        <v>OK</v>
      </c>
      <c r="E268" t="s">
        <v>792</v>
      </c>
    </row>
    <row r="269" spans="1:5" x14ac:dyDescent="0.3">
      <c r="A269" s="16">
        <v>264</v>
      </c>
      <c r="B269" t="s">
        <v>149</v>
      </c>
      <c r="C269" t="s">
        <v>486</v>
      </c>
      <c r="D269" t="str">
        <f>IF(ISNUMBER(MATCH(Tabla4[[#This Row],[Título]],CantoralDB[Título],0)),"OK","-")</f>
        <v>OK</v>
      </c>
      <c r="E269" t="s">
        <v>605</v>
      </c>
    </row>
    <row r="270" spans="1:5" x14ac:dyDescent="0.3">
      <c r="A270" s="16">
        <v>265</v>
      </c>
      <c r="B270" t="s">
        <v>145</v>
      </c>
      <c r="C270" t="s">
        <v>501</v>
      </c>
      <c r="D270" t="str">
        <f>IF(ISNUMBER(MATCH(Tabla4[[#This Row],[Título]],CantoralDB[Título],0)),"OK","-")</f>
        <v>OK</v>
      </c>
      <c r="E270" t="s">
        <v>605</v>
      </c>
    </row>
    <row r="271" spans="1:5" x14ac:dyDescent="0.3">
      <c r="A271" s="16">
        <v>266</v>
      </c>
      <c r="B271" t="s">
        <v>143</v>
      </c>
      <c r="C271" t="s">
        <v>482</v>
      </c>
      <c r="D271" t="str">
        <f>IF(ISNUMBER(MATCH(Tabla4[[#This Row],[Título]],CantoralDB[Título],0)),"OK","-")</f>
        <v>OK</v>
      </c>
      <c r="E271" t="s">
        <v>605</v>
      </c>
    </row>
    <row r="272" spans="1:5" x14ac:dyDescent="0.3">
      <c r="A272" s="16">
        <v>267</v>
      </c>
      <c r="B272" t="s">
        <v>1333</v>
      </c>
      <c r="C272" t="s">
        <v>2072</v>
      </c>
      <c r="D272" t="str">
        <f>IF(ISNUMBER(MATCH(Tabla4[[#This Row],[Título]],CantoralDB[Título],0)),"OK","-")</f>
        <v>OK</v>
      </c>
      <c r="E272" t="s">
        <v>792</v>
      </c>
    </row>
    <row r="273" spans="1:5" x14ac:dyDescent="0.3">
      <c r="A273" s="16">
        <v>268</v>
      </c>
      <c r="B273" t="s">
        <v>1334</v>
      </c>
      <c r="C273" t="s">
        <v>2069</v>
      </c>
      <c r="D273" t="str">
        <f>IF(ISNUMBER(MATCH(Tabla4[[#This Row],[Título]],CantoralDB[Título],0)),"OK","-")</f>
        <v>OK</v>
      </c>
      <c r="E273" t="s">
        <v>792</v>
      </c>
    </row>
    <row r="274" spans="1:5" x14ac:dyDescent="0.3">
      <c r="A274" s="16">
        <v>269</v>
      </c>
      <c r="B274" t="s">
        <v>1335</v>
      </c>
      <c r="C274" t="s">
        <v>490</v>
      </c>
      <c r="D274" t="str">
        <f>IF(ISNUMBER(MATCH(Tabla4[[#This Row],[Título]],CantoralDB[Título],0)),"OK","-")</f>
        <v>OK</v>
      </c>
      <c r="E274" t="s">
        <v>792</v>
      </c>
    </row>
    <row r="275" spans="1:5" x14ac:dyDescent="0.3">
      <c r="A275" s="16">
        <v>270</v>
      </c>
      <c r="B275" t="s">
        <v>152</v>
      </c>
      <c r="C275" t="s">
        <v>501</v>
      </c>
      <c r="D275" t="str">
        <f>IF(ISNUMBER(MATCH(Tabla4[[#This Row],[Título]],CantoralDB[Título],0)),"OK","-")</f>
        <v>OK</v>
      </c>
      <c r="E275" t="s">
        <v>605</v>
      </c>
    </row>
    <row r="276" spans="1:5" x14ac:dyDescent="0.3">
      <c r="A276" s="16">
        <v>271</v>
      </c>
      <c r="B276" t="s">
        <v>153</v>
      </c>
      <c r="C276" t="s">
        <v>482</v>
      </c>
      <c r="D276" t="str">
        <f>IF(ISNUMBER(MATCH(Tabla4[[#This Row],[Título]],CantoralDB[Título],0)),"OK","-")</f>
        <v>OK</v>
      </c>
      <c r="E276" t="s">
        <v>605</v>
      </c>
    </row>
    <row r="277" spans="1:5" x14ac:dyDescent="0.3">
      <c r="A277" s="16">
        <v>272</v>
      </c>
      <c r="B277" t="s">
        <v>476</v>
      </c>
      <c r="C277" t="s">
        <v>490</v>
      </c>
      <c r="D277" t="str">
        <f>IF(ISNUMBER(MATCH(Tabla4[[#This Row],[Título]],CantoralDB[Título],0)),"OK","-")</f>
        <v>OK</v>
      </c>
      <c r="E277" t="s">
        <v>605</v>
      </c>
    </row>
    <row r="278" spans="1:5" x14ac:dyDescent="0.3">
      <c r="A278" s="16">
        <v>273</v>
      </c>
      <c r="B278" t="s">
        <v>1336</v>
      </c>
      <c r="C278" t="s">
        <v>2075</v>
      </c>
      <c r="D278" t="str">
        <f>IF(ISNUMBER(MATCH(Tabla4[[#This Row],[Título]],CantoralDB[Título],0)),"OK","-")</f>
        <v>OK</v>
      </c>
      <c r="E278" t="s">
        <v>792</v>
      </c>
    </row>
    <row r="279" spans="1:5" x14ac:dyDescent="0.3">
      <c r="A279" s="16">
        <v>274</v>
      </c>
      <c r="B279" t="s">
        <v>154</v>
      </c>
      <c r="C279" t="s">
        <v>482</v>
      </c>
      <c r="D279" t="str">
        <f>IF(ISNUMBER(MATCH(Tabla4[[#This Row],[Título]],CantoralDB[Título],0)),"OK","-")</f>
        <v>OK</v>
      </c>
      <c r="E279" t="s">
        <v>605</v>
      </c>
    </row>
    <row r="280" spans="1:5" x14ac:dyDescent="0.3">
      <c r="A280" s="16">
        <v>275</v>
      </c>
      <c r="B280" t="s">
        <v>155</v>
      </c>
      <c r="C280" t="s">
        <v>484</v>
      </c>
      <c r="D280" t="str">
        <f>IF(ISNUMBER(MATCH(Tabla4[[#This Row],[Título]],CantoralDB[Título],0)),"OK","-")</f>
        <v>OK</v>
      </c>
      <c r="E280" t="s">
        <v>605</v>
      </c>
    </row>
    <row r="281" spans="1:5" x14ac:dyDescent="0.3">
      <c r="A281" s="16" t="s">
        <v>2097</v>
      </c>
      <c r="B281" t="s">
        <v>1337</v>
      </c>
      <c r="C281" t="s">
        <v>485</v>
      </c>
      <c r="D281" t="str">
        <f>IF(ISNUMBER(MATCH(Tabla4[[#This Row],[Título]],CantoralDB[Título],0)),"OK","-")</f>
        <v>OK</v>
      </c>
      <c r="E281" t="s">
        <v>792</v>
      </c>
    </row>
    <row r="282" spans="1:5" x14ac:dyDescent="0.3">
      <c r="A282" s="16">
        <v>276</v>
      </c>
      <c r="B282" t="s">
        <v>2098</v>
      </c>
      <c r="C282" t="s">
        <v>479</v>
      </c>
      <c r="D282" t="str">
        <f>IF(ISNUMBER(MATCH(Tabla4[[#This Row],[Título]],CantoralDB[Título],0)),"OK","-")</f>
        <v>OK</v>
      </c>
      <c r="E282" t="s">
        <v>792</v>
      </c>
    </row>
    <row r="283" spans="1:5" x14ac:dyDescent="0.3">
      <c r="A283" s="16">
        <v>277</v>
      </c>
      <c r="B283" t="s">
        <v>157</v>
      </c>
      <c r="C283" t="s">
        <v>490</v>
      </c>
      <c r="D283" t="str">
        <f>IF(ISNUMBER(MATCH(Tabla4[[#This Row],[Título]],CantoralDB[Título],0)),"OK","-")</f>
        <v>OK</v>
      </c>
      <c r="E283" t="s">
        <v>605</v>
      </c>
    </row>
    <row r="284" spans="1:5" x14ac:dyDescent="0.3">
      <c r="A284" s="16">
        <v>278</v>
      </c>
      <c r="B284" t="s">
        <v>163</v>
      </c>
      <c r="C284" t="s">
        <v>482</v>
      </c>
      <c r="D284" t="str">
        <f>IF(ISNUMBER(MATCH(Tabla4[[#This Row],[Título]],CantoralDB[Título],0)),"OK","-")</f>
        <v>OK</v>
      </c>
      <c r="E284" t="s">
        <v>605</v>
      </c>
    </row>
    <row r="285" spans="1:5" x14ac:dyDescent="0.3">
      <c r="A285" s="16">
        <v>279</v>
      </c>
      <c r="B285" t="s">
        <v>1338</v>
      </c>
      <c r="C285" t="s">
        <v>2077</v>
      </c>
      <c r="D285" t="str">
        <f>IF(ISNUMBER(MATCH(Tabla4[[#This Row],[Título]],CantoralDB[Título],0)),"OK","-")</f>
        <v>OK</v>
      </c>
      <c r="E285" t="s">
        <v>792</v>
      </c>
    </row>
    <row r="286" spans="1:5" x14ac:dyDescent="0.3">
      <c r="A286" s="16">
        <v>280</v>
      </c>
      <c r="B286" t="s">
        <v>1339</v>
      </c>
      <c r="C286" t="s">
        <v>2099</v>
      </c>
      <c r="D286" t="str">
        <f>IF(ISNUMBER(MATCH(Tabla4[[#This Row],[Título]],CantoralDB[Título],0)),"OK","-")</f>
        <v>OK</v>
      </c>
      <c r="E286" t="s">
        <v>792</v>
      </c>
    </row>
    <row r="287" spans="1:5" x14ac:dyDescent="0.3">
      <c r="A287" s="16">
        <v>281</v>
      </c>
      <c r="B287" t="s">
        <v>1340</v>
      </c>
      <c r="C287" t="s">
        <v>480</v>
      </c>
      <c r="D287" t="str">
        <f>IF(ISNUMBER(MATCH(Tabla4[[#This Row],[Título]],CantoralDB[Título],0)),"OK","-")</f>
        <v>-</v>
      </c>
      <c r="E287" t="s">
        <v>792</v>
      </c>
    </row>
    <row r="288" spans="1:5" x14ac:dyDescent="0.3">
      <c r="A288" s="16">
        <v>282</v>
      </c>
      <c r="B288" t="s">
        <v>1238</v>
      </c>
      <c r="C288" t="s">
        <v>541</v>
      </c>
      <c r="D288" t="str">
        <f>IF(ISNUMBER(MATCH(Tabla4[[#This Row],[Título]],CantoralDB[Título],0)),"OK","-")</f>
        <v>OK</v>
      </c>
      <c r="E288" t="s">
        <v>792</v>
      </c>
    </row>
    <row r="289" spans="1:5" x14ac:dyDescent="0.3">
      <c r="A289" s="16">
        <v>283</v>
      </c>
      <c r="B289" t="s">
        <v>160</v>
      </c>
      <c r="C289" t="s">
        <v>478</v>
      </c>
      <c r="D289" t="str">
        <f>IF(ISNUMBER(MATCH(Tabla4[[#This Row],[Título]],CantoralDB[Título],0)),"OK","-")</f>
        <v>OK</v>
      </c>
      <c r="E289" t="s">
        <v>605</v>
      </c>
    </row>
    <row r="290" spans="1:5" x14ac:dyDescent="0.3">
      <c r="A290" s="16">
        <v>284</v>
      </c>
      <c r="B290" t="s">
        <v>156</v>
      </c>
      <c r="C290" t="s">
        <v>478</v>
      </c>
      <c r="D290" t="str">
        <f>IF(ISNUMBER(MATCH(Tabla4[[#This Row],[Título]],CantoralDB[Título],0)),"OK","-")</f>
        <v>OK</v>
      </c>
      <c r="E290" t="s">
        <v>605</v>
      </c>
    </row>
    <row r="291" spans="1:5" x14ac:dyDescent="0.3">
      <c r="A291" s="16">
        <v>285</v>
      </c>
      <c r="B291" t="s">
        <v>158</v>
      </c>
      <c r="C291" t="s">
        <v>516</v>
      </c>
      <c r="D291" t="str">
        <f>IF(ISNUMBER(MATCH(Tabla4[[#This Row],[Título]],CantoralDB[Título],0)),"OK","-")</f>
        <v>OK</v>
      </c>
      <c r="E291" t="s">
        <v>605</v>
      </c>
    </row>
    <row r="292" spans="1:5" x14ac:dyDescent="0.3">
      <c r="A292" s="16">
        <v>286</v>
      </c>
      <c r="B292" t="s">
        <v>162</v>
      </c>
      <c r="C292" t="s">
        <v>2100</v>
      </c>
      <c r="D292" t="str">
        <f>IF(ISNUMBER(MATCH(Tabla4[[#This Row],[Título]],CantoralDB[Título],0)),"OK","-")</f>
        <v>OK</v>
      </c>
      <c r="E292" t="s">
        <v>605</v>
      </c>
    </row>
    <row r="293" spans="1:5" x14ac:dyDescent="0.3">
      <c r="A293" s="16">
        <v>287</v>
      </c>
      <c r="B293" t="s">
        <v>1341</v>
      </c>
      <c r="C293" t="s">
        <v>484</v>
      </c>
      <c r="D293" t="str">
        <f>IF(ISNUMBER(MATCH(Tabla4[[#This Row],[Título]],CantoralDB[Título],0)),"OK","-")</f>
        <v>OK</v>
      </c>
      <c r="E293" t="s">
        <v>792</v>
      </c>
    </row>
    <row r="294" spans="1:5" x14ac:dyDescent="0.3">
      <c r="A294" s="16">
        <v>288</v>
      </c>
      <c r="B294" t="s">
        <v>1342</v>
      </c>
      <c r="C294" t="s">
        <v>2071</v>
      </c>
      <c r="D294" t="str">
        <f>IF(ISNUMBER(MATCH(Tabla4[[#This Row],[Título]],CantoralDB[Título],0)),"OK","-")</f>
        <v>OK</v>
      </c>
      <c r="E294" t="s">
        <v>792</v>
      </c>
    </row>
    <row r="295" spans="1:5" x14ac:dyDescent="0.3">
      <c r="A295" s="16">
        <v>289</v>
      </c>
      <c r="B295" t="s">
        <v>1343</v>
      </c>
      <c r="C295" t="s">
        <v>515</v>
      </c>
      <c r="D295" t="str">
        <f>IF(ISNUMBER(MATCH(Tabla4[[#This Row],[Título]],CantoralDB[Título],0)),"OK","-")</f>
        <v>OK</v>
      </c>
      <c r="E295" t="s">
        <v>605</v>
      </c>
    </row>
    <row r="296" spans="1:5" x14ac:dyDescent="0.3">
      <c r="A296" s="16">
        <v>290</v>
      </c>
      <c r="B296" t="s">
        <v>1344</v>
      </c>
      <c r="C296" t="s">
        <v>478</v>
      </c>
      <c r="D296" t="str">
        <f>IF(ISNUMBER(MATCH(Tabla4[[#This Row],[Título]],CantoralDB[Título],0)),"OK","-")</f>
        <v>OK</v>
      </c>
      <c r="E296" t="s">
        <v>792</v>
      </c>
    </row>
    <row r="297" spans="1:5" x14ac:dyDescent="0.3">
      <c r="A297" s="16">
        <v>291</v>
      </c>
      <c r="B297" t="s">
        <v>1345</v>
      </c>
      <c r="C297" t="s">
        <v>485</v>
      </c>
      <c r="D297" t="str">
        <f>IF(ISNUMBER(MATCH(Tabla4[[#This Row],[Título]],CantoralDB[Título],0)),"OK","-")</f>
        <v>OK</v>
      </c>
      <c r="E297" t="s">
        <v>792</v>
      </c>
    </row>
    <row r="298" spans="1:5" x14ac:dyDescent="0.3">
      <c r="A298" s="16">
        <v>292</v>
      </c>
      <c r="B298" t="s">
        <v>1346</v>
      </c>
      <c r="C298" t="s">
        <v>482</v>
      </c>
      <c r="D298" t="str">
        <f>IF(ISNUMBER(MATCH(Tabla4[[#This Row],[Título]],CantoralDB[Título],0)),"OK","-")</f>
        <v>OK</v>
      </c>
      <c r="E298" t="s">
        <v>792</v>
      </c>
    </row>
    <row r="299" spans="1:5" x14ac:dyDescent="0.3">
      <c r="A299" s="16">
        <v>293</v>
      </c>
      <c r="B299" t="s">
        <v>2109</v>
      </c>
      <c r="C299" t="s">
        <v>2076</v>
      </c>
      <c r="D299" t="str">
        <f>IF(ISNUMBER(MATCH(Tabla4[[#This Row],[Título]],CantoralDB[Título],0)),"OK","-")</f>
        <v>OK</v>
      </c>
      <c r="E299" t="s">
        <v>792</v>
      </c>
    </row>
    <row r="300" spans="1:5" x14ac:dyDescent="0.3">
      <c r="A300" s="16">
        <v>294</v>
      </c>
      <c r="B300" t="s">
        <v>169</v>
      </c>
      <c r="C300" t="s">
        <v>487</v>
      </c>
      <c r="D300" t="str">
        <f>IF(ISNUMBER(MATCH(Tabla4[[#This Row],[Título]],CantoralDB[Título],0)),"OK","-")</f>
        <v>OK</v>
      </c>
      <c r="E300" t="s">
        <v>605</v>
      </c>
    </row>
    <row r="301" spans="1:5" x14ac:dyDescent="0.3">
      <c r="A301" s="16">
        <v>295</v>
      </c>
      <c r="B301" t="s">
        <v>1347</v>
      </c>
      <c r="C301" t="s">
        <v>507</v>
      </c>
      <c r="D301" t="str">
        <f>IF(ISNUMBER(MATCH(Tabla4[[#This Row],[Título]],CantoralDB[Título],0)),"OK","-")</f>
        <v>OK</v>
      </c>
      <c r="E301" t="s">
        <v>792</v>
      </c>
    </row>
    <row r="302" spans="1:5" x14ac:dyDescent="0.3">
      <c r="A302" s="16">
        <v>296</v>
      </c>
      <c r="B302" t="s">
        <v>1348</v>
      </c>
      <c r="C302" t="s">
        <v>478</v>
      </c>
      <c r="D302" t="str">
        <f>IF(ISNUMBER(MATCH(Tabla4[[#This Row],[Título]],CantoralDB[Título],0)),"OK","-")</f>
        <v>OK</v>
      </c>
      <c r="E302" t="s">
        <v>792</v>
      </c>
    </row>
    <row r="303" spans="1:5" x14ac:dyDescent="0.3">
      <c r="A303" s="16">
        <v>297</v>
      </c>
      <c r="B303" t="s">
        <v>1239</v>
      </c>
      <c r="C303" t="s">
        <v>490</v>
      </c>
      <c r="D303" t="str">
        <f>IF(ISNUMBER(MATCH(Tabla4[[#This Row],[Título]],CantoralDB[Título],0)),"OK","-")</f>
        <v>-</v>
      </c>
      <c r="E303" t="s">
        <v>792</v>
      </c>
    </row>
    <row r="304" spans="1:5" x14ac:dyDescent="0.3">
      <c r="A304" s="16">
        <v>300</v>
      </c>
      <c r="B304" t="s">
        <v>1217</v>
      </c>
      <c r="D304" t="str">
        <f>IF(ISNUMBER(MATCH(Tabla4[[#This Row],[Título]],CantoralDB[Título],0)),"OK","-")</f>
        <v>OK</v>
      </c>
      <c r="E304" t="s">
        <v>792</v>
      </c>
    </row>
    <row r="305" spans="1:5" x14ac:dyDescent="0.3">
      <c r="A305" s="16">
        <v>301</v>
      </c>
      <c r="B305" t="s">
        <v>1220</v>
      </c>
      <c r="D305" t="str">
        <f>IF(ISNUMBER(MATCH(Tabla4[[#This Row],[Título]],CantoralDB[Título],0)),"OK","-")</f>
        <v>OK</v>
      </c>
      <c r="E305" t="s">
        <v>792</v>
      </c>
    </row>
    <row r="306" spans="1:5" x14ac:dyDescent="0.3">
      <c r="A306" s="16">
        <v>302</v>
      </c>
      <c r="B306" t="s">
        <v>1221</v>
      </c>
      <c r="D306" t="str">
        <f>IF(ISNUMBER(MATCH(Tabla4[[#This Row],[Título]],CantoralDB[Título],0)),"OK","-")</f>
        <v>OK</v>
      </c>
      <c r="E306" t="s">
        <v>792</v>
      </c>
    </row>
    <row r="307" spans="1:5" x14ac:dyDescent="0.3">
      <c r="A307" s="16">
        <v>303</v>
      </c>
      <c r="B307" t="s">
        <v>69</v>
      </c>
      <c r="D307" t="str">
        <f>IF(ISNUMBER(MATCH(Tabla4[[#This Row],[Título]],CantoralDB[Título],0)),"OK","-")</f>
        <v>OK</v>
      </c>
      <c r="E307" t="s">
        <v>605</v>
      </c>
    </row>
    <row r="308" spans="1:5" x14ac:dyDescent="0.3">
      <c r="A308" s="16">
        <v>304</v>
      </c>
      <c r="B308" t="s">
        <v>1349</v>
      </c>
      <c r="D308" t="str">
        <f>IF(ISNUMBER(MATCH(Tabla4[[#This Row],[Título]],CantoralDB[Título],0)),"OK","-")</f>
        <v>-</v>
      </c>
      <c r="E308" t="s">
        <v>792</v>
      </c>
    </row>
    <row r="309" spans="1:5" x14ac:dyDescent="0.3">
      <c r="A309" s="16">
        <v>305</v>
      </c>
      <c r="B309" t="s">
        <v>1350</v>
      </c>
      <c r="D309" t="str">
        <f>IF(ISNUMBER(MATCH(Tabla4[[#This Row],[Título]],CantoralDB[Título],0)),"OK","-")</f>
        <v>OK</v>
      </c>
      <c r="E309" t="s">
        <v>792</v>
      </c>
    </row>
    <row r="310" spans="1:5" x14ac:dyDescent="0.3">
      <c r="A310" s="16">
        <v>306</v>
      </c>
      <c r="B310" t="s">
        <v>1224</v>
      </c>
      <c r="D310" t="str">
        <f>IF(ISNUMBER(MATCH(Tabla4[[#This Row],[Título]],CantoralDB[Título],0)),"OK","-")</f>
        <v>OK</v>
      </c>
      <c r="E310" t="s">
        <v>792</v>
      </c>
    </row>
    <row r="311" spans="1:5" x14ac:dyDescent="0.3">
      <c r="A311" s="16">
        <v>307</v>
      </c>
      <c r="B311" t="s">
        <v>1225</v>
      </c>
      <c r="D311" t="str">
        <f>IF(ISNUMBER(MATCH(Tabla4[[#This Row],[Título]],CantoralDB[Título],0)),"OK","-")</f>
        <v>OK</v>
      </c>
      <c r="E311" t="s">
        <v>792</v>
      </c>
    </row>
    <row r="312" spans="1:5" x14ac:dyDescent="0.3">
      <c r="A312" s="16">
        <v>308</v>
      </c>
      <c r="B312" t="s">
        <v>1351</v>
      </c>
      <c r="D312" t="str">
        <f>IF(ISNUMBER(MATCH(Tabla4[[#This Row],[Título]],CantoralDB[Título],0)),"OK","-")</f>
        <v>OK</v>
      </c>
      <c r="E312" t="s">
        <v>792</v>
      </c>
    </row>
    <row r="313" spans="1:5" x14ac:dyDescent="0.3">
      <c r="A313" s="16">
        <v>309</v>
      </c>
      <c r="B313" t="s">
        <v>1352</v>
      </c>
      <c r="D313" t="str">
        <f>IF(ISNUMBER(MATCH(Tabla4[[#This Row],[Título]],CantoralDB[Título],0)),"OK","-")</f>
        <v>OK</v>
      </c>
      <c r="E313" t="s">
        <v>792</v>
      </c>
    </row>
    <row r="314" spans="1:5" x14ac:dyDescent="0.3">
      <c r="A314" s="16">
        <v>310</v>
      </c>
      <c r="B314" t="s">
        <v>144</v>
      </c>
      <c r="D314" t="str">
        <f>IF(ISNUMBER(MATCH(Tabla4[[#This Row],[Título]],CantoralDB[Título],0)),"OK","-")</f>
        <v>OK</v>
      </c>
      <c r="E314" t="s">
        <v>605</v>
      </c>
    </row>
    <row r="315" spans="1:5" x14ac:dyDescent="0.3">
      <c r="A315" s="16">
        <v>311</v>
      </c>
      <c r="B315" t="s">
        <v>1353</v>
      </c>
      <c r="D315" t="str">
        <f>IF(ISNUMBER(MATCH(Tabla4[[#This Row],[Título]],CantoralDB[Título],0)),"OK","-")</f>
        <v>OK</v>
      </c>
      <c r="E315" t="s">
        <v>792</v>
      </c>
    </row>
    <row r="316" spans="1:5" x14ac:dyDescent="0.3">
      <c r="A316" s="16">
        <v>312</v>
      </c>
      <c r="B316" t="s">
        <v>1236</v>
      </c>
      <c r="D316" t="str">
        <f>IF(ISNUMBER(MATCH(Tabla4[[#This Row],[Título]],CantoralDB[Título],0)),"OK","-")</f>
        <v>-</v>
      </c>
      <c r="E316" t="s">
        <v>792</v>
      </c>
    </row>
    <row r="317" spans="1:5" x14ac:dyDescent="0.3">
      <c r="A317" s="16">
        <v>313</v>
      </c>
      <c r="B317" t="s">
        <v>111</v>
      </c>
      <c r="D317" t="str">
        <f>IF(ISNUMBER(MATCH(Tabla4[[#This Row],[Título]],CantoralDB[Título],0)),"OK","-")</f>
        <v>OK</v>
      </c>
      <c r="E317" t="s">
        <v>605</v>
      </c>
    </row>
    <row r="318" spans="1:5" x14ac:dyDescent="0.3">
      <c r="A318" s="16">
        <v>314</v>
      </c>
      <c r="B318" t="s">
        <v>1479</v>
      </c>
      <c r="D318" t="str">
        <f>IF(ISNUMBER(MATCH(Tabla4[[#This Row],[Título]],CantoralDB[Título],0)),"OK","-")</f>
        <v>OK</v>
      </c>
      <c r="E318" t="s">
        <v>792</v>
      </c>
    </row>
    <row r="319" spans="1:5" x14ac:dyDescent="0.3">
      <c r="A319" s="16">
        <v>315</v>
      </c>
      <c r="B319" t="s">
        <v>1354</v>
      </c>
      <c r="D319" t="str">
        <f>IF(ISNUMBER(MATCH(Tabla4[[#This Row],[Título]],CantoralDB[Título],0)),"OK","-")</f>
        <v>OK</v>
      </c>
      <c r="E319" t="s">
        <v>792</v>
      </c>
    </row>
    <row r="320" spans="1:5" x14ac:dyDescent="0.3">
      <c r="A320" s="16">
        <v>401</v>
      </c>
      <c r="B320" t="s">
        <v>5</v>
      </c>
      <c r="D320" t="str">
        <f>IF(ISNUMBER(MATCH(Tabla4[[#This Row],[Título]],CantoralDB[Título],0)),"OK","-")</f>
        <v>-</v>
      </c>
    </row>
    <row r="321" spans="1:4" x14ac:dyDescent="0.3">
      <c r="A321" s="16">
        <v>402</v>
      </c>
      <c r="B321" t="s">
        <v>7</v>
      </c>
      <c r="D321" t="str">
        <f>IF(ISNUMBER(MATCH(Tabla4[[#This Row],[Título]],CantoralDB[Título],0)),"OK","-")</f>
        <v>OK</v>
      </c>
    </row>
    <row r="322" spans="1:4" x14ac:dyDescent="0.3">
      <c r="A322" s="16">
        <v>403</v>
      </c>
      <c r="B322" t="s">
        <v>14</v>
      </c>
      <c r="D322" t="str">
        <f>IF(ISNUMBER(MATCH(Tabla4[[#This Row],[Título]],CantoralDB[Título],0)),"OK","-")</f>
        <v>OK</v>
      </c>
    </row>
    <row r="323" spans="1:4" x14ac:dyDescent="0.3">
      <c r="A323" s="16">
        <v>404</v>
      </c>
      <c r="B323" t="s">
        <v>1241</v>
      </c>
      <c r="D323" t="str">
        <f>IF(ISNUMBER(MATCH(Tabla4[[#This Row],[Título]],CantoralDB[Título],0)),"OK","-")</f>
        <v>-</v>
      </c>
    </row>
    <row r="324" spans="1:4" x14ac:dyDescent="0.3">
      <c r="A324" s="16">
        <v>405</v>
      </c>
      <c r="B324" t="s">
        <v>15</v>
      </c>
      <c r="D324" t="str">
        <f>IF(ISNUMBER(MATCH(Tabla4[[#This Row],[Título]],CantoralDB[Título],0)),"OK","-")</f>
        <v>OK</v>
      </c>
    </row>
    <row r="325" spans="1:4" x14ac:dyDescent="0.3">
      <c r="A325" s="16">
        <v>406</v>
      </c>
      <c r="B325" t="s">
        <v>16</v>
      </c>
      <c r="D325" t="str">
        <f>IF(ISNUMBER(MATCH(Tabla4[[#This Row],[Título]],CantoralDB[Título],0)),"OK","-")</f>
        <v>OK</v>
      </c>
    </row>
    <row r="326" spans="1:4" x14ac:dyDescent="0.3">
      <c r="A326" s="16">
        <v>407</v>
      </c>
      <c r="B326" t="s">
        <v>20</v>
      </c>
      <c r="D326" t="str">
        <f>IF(ISNUMBER(MATCH(Tabla4[[#This Row],[Título]],CantoralDB[Título],0)),"OK","-")</f>
        <v>OK</v>
      </c>
    </row>
    <row r="327" spans="1:4" x14ac:dyDescent="0.3">
      <c r="A327" s="16">
        <v>408</v>
      </c>
      <c r="B327" t="s">
        <v>22</v>
      </c>
      <c r="D327" t="str">
        <f>IF(ISNUMBER(MATCH(Tabla4[[#This Row],[Título]],CantoralDB[Título],0)),"OK","-")</f>
        <v>OK</v>
      </c>
    </row>
    <row r="328" spans="1:4" x14ac:dyDescent="0.3">
      <c r="A328" s="16">
        <v>409</v>
      </c>
      <c r="B328" t="s">
        <v>23</v>
      </c>
      <c r="D328" t="str">
        <f>IF(ISNUMBER(MATCH(Tabla4[[#This Row],[Título]],CantoralDB[Título],0)),"OK","-")</f>
        <v>OK</v>
      </c>
    </row>
    <row r="329" spans="1:4" x14ac:dyDescent="0.3">
      <c r="A329" s="16">
        <v>410</v>
      </c>
      <c r="B329" t="s">
        <v>24</v>
      </c>
      <c r="D329" t="str">
        <f>IF(ISNUMBER(MATCH(Tabla4[[#This Row],[Título]],CantoralDB[Título],0)),"OK","-")</f>
        <v>OK</v>
      </c>
    </row>
    <row r="330" spans="1:4" x14ac:dyDescent="0.3">
      <c r="A330" s="16">
        <v>411</v>
      </c>
      <c r="B330" t="s">
        <v>26</v>
      </c>
      <c r="D330" t="str">
        <f>IF(ISNUMBER(MATCH(Tabla4[[#This Row],[Título]],CantoralDB[Título],0)),"OK","-")</f>
        <v>OK</v>
      </c>
    </row>
    <row r="331" spans="1:4" x14ac:dyDescent="0.3">
      <c r="A331" s="16">
        <v>412</v>
      </c>
      <c r="B331" t="s">
        <v>1218</v>
      </c>
      <c r="D331" t="str">
        <f>IF(ISNUMBER(MATCH(Tabla4[[#This Row],[Título]],CantoralDB[Título],0)),"OK","-")</f>
        <v>OK</v>
      </c>
    </row>
    <row r="332" spans="1:4" x14ac:dyDescent="0.3">
      <c r="A332" s="16">
        <v>413</v>
      </c>
      <c r="B332" t="s">
        <v>29</v>
      </c>
      <c r="D332" t="str">
        <f>IF(ISNUMBER(MATCH(Tabla4[[#This Row],[Título]],CantoralDB[Título],0)),"OK","-")</f>
        <v>OK</v>
      </c>
    </row>
    <row r="333" spans="1:4" x14ac:dyDescent="0.3">
      <c r="A333" s="16">
        <v>414</v>
      </c>
      <c r="B333" t="s">
        <v>37</v>
      </c>
      <c r="D333" t="str">
        <f>IF(ISNUMBER(MATCH(Tabla4[[#This Row],[Título]],CantoralDB[Título],0)),"OK","-")</f>
        <v>OK</v>
      </c>
    </row>
    <row r="334" spans="1:4" x14ac:dyDescent="0.3">
      <c r="A334" s="16">
        <v>415</v>
      </c>
      <c r="B334" t="s">
        <v>38</v>
      </c>
      <c r="D334" t="str">
        <f>IF(ISNUMBER(MATCH(Tabla4[[#This Row],[Título]],CantoralDB[Título],0)),"OK","-")</f>
        <v>OK</v>
      </c>
    </row>
    <row r="335" spans="1:4" x14ac:dyDescent="0.3">
      <c r="A335" s="16">
        <v>416</v>
      </c>
      <c r="B335" t="s">
        <v>1222</v>
      </c>
      <c r="D335" t="str">
        <f>IF(ISNUMBER(MATCH(Tabla4[[#This Row],[Título]],CantoralDB[Título],0)),"OK","-")</f>
        <v>-</v>
      </c>
    </row>
    <row r="336" spans="1:4" x14ac:dyDescent="0.3">
      <c r="A336" s="16">
        <v>417</v>
      </c>
      <c r="B336" t="s">
        <v>45</v>
      </c>
      <c r="D336" t="str">
        <f>IF(ISNUMBER(MATCH(Tabla4[[#This Row],[Título]],CantoralDB[Título],0)),"OK","-")</f>
        <v>OK</v>
      </c>
    </row>
    <row r="337" spans="1:4" x14ac:dyDescent="0.3">
      <c r="A337" s="16">
        <v>418</v>
      </c>
      <c r="B337" t="s">
        <v>48</v>
      </c>
      <c r="D337" t="str">
        <f>IF(ISNUMBER(MATCH(Tabla4[[#This Row],[Título]],CantoralDB[Título],0)),"OK","-")</f>
        <v>OK</v>
      </c>
    </row>
    <row r="338" spans="1:4" x14ac:dyDescent="0.3">
      <c r="A338" s="16">
        <v>419</v>
      </c>
      <c r="B338" t="s">
        <v>49</v>
      </c>
      <c r="D338" t="str">
        <f>IF(ISNUMBER(MATCH(Tabla4[[#This Row],[Título]],CantoralDB[Título],0)),"OK","-")</f>
        <v>OK</v>
      </c>
    </row>
    <row r="339" spans="1:4" x14ac:dyDescent="0.3">
      <c r="A339" s="16">
        <v>420</v>
      </c>
      <c r="B339" t="s">
        <v>50</v>
      </c>
      <c r="D339" t="str">
        <f>IF(ISNUMBER(MATCH(Tabla4[[#This Row],[Título]],CantoralDB[Título],0)),"OK","-")</f>
        <v>OK</v>
      </c>
    </row>
    <row r="340" spans="1:4" x14ac:dyDescent="0.3">
      <c r="A340" s="16">
        <v>421</v>
      </c>
      <c r="B340" t="s">
        <v>1219</v>
      </c>
      <c r="D340" t="str">
        <f>IF(ISNUMBER(MATCH(Tabla4[[#This Row],[Título]],CantoralDB[Título],0)),"OK","-")</f>
        <v>-</v>
      </c>
    </row>
    <row r="341" spans="1:4" x14ac:dyDescent="0.3">
      <c r="A341" s="16">
        <v>422</v>
      </c>
      <c r="B341" t="s">
        <v>1223</v>
      </c>
      <c r="D341" t="str">
        <f>IF(ISNUMBER(MATCH(Tabla4[[#This Row],[Título]],CantoralDB[Título],0)),"OK","-")</f>
        <v>OK</v>
      </c>
    </row>
    <row r="342" spans="1:4" x14ac:dyDescent="0.3">
      <c r="A342" s="16">
        <v>423</v>
      </c>
      <c r="B342" t="s">
        <v>59</v>
      </c>
      <c r="D342" t="str">
        <f>IF(ISNUMBER(MATCH(Tabla4[[#This Row],[Título]],CantoralDB[Título],0)),"OK","-")</f>
        <v>OK</v>
      </c>
    </row>
    <row r="343" spans="1:4" x14ac:dyDescent="0.3">
      <c r="A343" s="16">
        <v>424</v>
      </c>
      <c r="B343" t="s">
        <v>60</v>
      </c>
      <c r="D343" t="str">
        <f>IF(ISNUMBER(MATCH(Tabla4[[#This Row],[Título]],CantoralDB[Título],0)),"OK","-")</f>
        <v>OK</v>
      </c>
    </row>
    <row r="344" spans="1:4" x14ac:dyDescent="0.3">
      <c r="A344" s="16">
        <v>425</v>
      </c>
      <c r="B344" t="s">
        <v>63</v>
      </c>
      <c r="D344" t="str">
        <f>IF(ISNUMBER(MATCH(Tabla4[[#This Row],[Título]],CantoralDB[Título],0)),"OK","-")</f>
        <v>OK</v>
      </c>
    </row>
    <row r="345" spans="1:4" x14ac:dyDescent="0.3">
      <c r="A345" s="16">
        <v>426</v>
      </c>
      <c r="B345" t="s">
        <v>68</v>
      </c>
      <c r="D345" t="str">
        <f>IF(ISNUMBER(MATCH(Tabla4[[#This Row],[Título]],CantoralDB[Título],0)),"OK","-")</f>
        <v>OK</v>
      </c>
    </row>
    <row r="346" spans="1:4" x14ac:dyDescent="0.3">
      <c r="A346" s="16">
        <v>427</v>
      </c>
      <c r="B346" t="s">
        <v>70</v>
      </c>
      <c r="D346" t="str">
        <f>IF(ISNUMBER(MATCH(Tabla4[[#This Row],[Título]],CantoralDB[Título],0)),"OK","-")</f>
        <v>OK</v>
      </c>
    </row>
    <row r="347" spans="1:4" x14ac:dyDescent="0.3">
      <c r="A347" s="16">
        <v>428</v>
      </c>
      <c r="B347" t="s">
        <v>72</v>
      </c>
      <c r="D347" t="str">
        <f>IF(ISNUMBER(MATCH(Tabla4[[#This Row],[Título]],CantoralDB[Título],0)),"OK","-")</f>
        <v>OK</v>
      </c>
    </row>
    <row r="348" spans="1:4" x14ac:dyDescent="0.3">
      <c r="A348" s="16">
        <v>429</v>
      </c>
      <c r="B348" t="s">
        <v>73</v>
      </c>
      <c r="D348" t="str">
        <f>IF(ISNUMBER(MATCH(Tabla4[[#This Row],[Título]],CantoralDB[Título],0)),"OK","-")</f>
        <v>OK</v>
      </c>
    </row>
    <row r="349" spans="1:4" x14ac:dyDescent="0.3">
      <c r="A349" s="16">
        <v>430</v>
      </c>
      <c r="B349" t="s">
        <v>74</v>
      </c>
      <c r="D349" t="str">
        <f>IF(ISNUMBER(MATCH(Tabla4[[#This Row],[Título]],CantoralDB[Título],0)),"OK","-")</f>
        <v>OK</v>
      </c>
    </row>
    <row r="350" spans="1:4" x14ac:dyDescent="0.3">
      <c r="A350" s="16">
        <v>431</v>
      </c>
      <c r="B350" t="s">
        <v>84</v>
      </c>
      <c r="D350" t="str">
        <f>IF(ISNUMBER(MATCH(Tabla4[[#This Row],[Título]],CantoralDB[Título],0)),"OK","-")</f>
        <v>OK</v>
      </c>
    </row>
    <row r="351" spans="1:4" x14ac:dyDescent="0.3">
      <c r="A351" s="16">
        <v>432</v>
      </c>
      <c r="B351" t="s">
        <v>85</v>
      </c>
      <c r="D351" t="str">
        <f>IF(ISNUMBER(MATCH(Tabla4[[#This Row],[Título]],CantoralDB[Título],0)),"OK","-")</f>
        <v>OK</v>
      </c>
    </row>
    <row r="352" spans="1:4" x14ac:dyDescent="0.3">
      <c r="A352" s="16">
        <v>433</v>
      </c>
      <c r="B352" t="s">
        <v>89</v>
      </c>
      <c r="D352" t="str">
        <f>IF(ISNUMBER(MATCH(Tabla4[[#This Row],[Título]],CantoralDB[Título],0)),"OK","-")</f>
        <v>OK</v>
      </c>
    </row>
    <row r="353" spans="1:4" x14ac:dyDescent="0.3">
      <c r="A353" s="16">
        <v>434</v>
      </c>
      <c r="B353" t="s">
        <v>90</v>
      </c>
      <c r="D353" t="str">
        <f>IF(ISNUMBER(MATCH(Tabla4[[#This Row],[Título]],CantoralDB[Título],0)),"OK","-")</f>
        <v>OK</v>
      </c>
    </row>
    <row r="354" spans="1:4" x14ac:dyDescent="0.3">
      <c r="A354" s="16">
        <v>435</v>
      </c>
      <c r="B354" t="s">
        <v>91</v>
      </c>
      <c r="D354" t="str">
        <f>IF(ISNUMBER(MATCH(Tabla4[[#This Row],[Título]],CantoralDB[Título],0)),"OK","-")</f>
        <v>OK</v>
      </c>
    </row>
    <row r="355" spans="1:4" x14ac:dyDescent="0.3">
      <c r="A355" s="16">
        <v>436</v>
      </c>
      <c r="B355" t="s">
        <v>92</v>
      </c>
      <c r="D355" t="str">
        <f>IF(ISNUMBER(MATCH(Tabla4[[#This Row],[Título]],CantoralDB[Título],0)),"OK","-")</f>
        <v>OK</v>
      </c>
    </row>
    <row r="356" spans="1:4" x14ac:dyDescent="0.3">
      <c r="A356" s="16">
        <v>437</v>
      </c>
      <c r="B356" t="s">
        <v>1226</v>
      </c>
      <c r="D356" t="str">
        <f>IF(ISNUMBER(MATCH(Tabla4[[#This Row],[Título]],CantoralDB[Título],0)),"OK","-")</f>
        <v>-</v>
      </c>
    </row>
    <row r="357" spans="1:4" x14ac:dyDescent="0.3">
      <c r="A357" s="16">
        <v>438</v>
      </c>
      <c r="B357" t="s">
        <v>95</v>
      </c>
      <c r="D357" t="str">
        <f>IF(ISNUMBER(MATCH(Tabla4[[#This Row],[Título]],CantoralDB[Título],0)),"OK","-")</f>
        <v>OK</v>
      </c>
    </row>
    <row r="358" spans="1:4" x14ac:dyDescent="0.3">
      <c r="A358" s="16">
        <v>439</v>
      </c>
      <c r="B358" t="s">
        <v>96</v>
      </c>
      <c r="D358" t="str">
        <f>IF(ISNUMBER(MATCH(Tabla4[[#This Row],[Título]],CantoralDB[Título],0)),"OK","-")</f>
        <v>OK</v>
      </c>
    </row>
    <row r="359" spans="1:4" x14ac:dyDescent="0.3">
      <c r="A359" s="16">
        <v>440</v>
      </c>
      <c r="B359" t="s">
        <v>97</v>
      </c>
      <c r="D359" t="str">
        <f>IF(ISNUMBER(MATCH(Tabla4[[#This Row],[Título]],CantoralDB[Título],0)),"OK","-")</f>
        <v>OK</v>
      </c>
    </row>
    <row r="360" spans="1:4" x14ac:dyDescent="0.3">
      <c r="A360" s="16">
        <v>441</v>
      </c>
      <c r="B360" t="s">
        <v>98</v>
      </c>
      <c r="D360" t="str">
        <f>IF(ISNUMBER(MATCH(Tabla4[[#This Row],[Título]],CantoralDB[Título],0)),"OK","-")</f>
        <v>OK</v>
      </c>
    </row>
    <row r="361" spans="1:4" x14ac:dyDescent="0.3">
      <c r="A361" s="16">
        <v>442</v>
      </c>
      <c r="B361" t="s">
        <v>99</v>
      </c>
      <c r="D361" t="str">
        <f>IF(ISNUMBER(MATCH(Tabla4[[#This Row],[Título]],CantoralDB[Título],0)),"OK","-")</f>
        <v>OK</v>
      </c>
    </row>
    <row r="362" spans="1:4" x14ac:dyDescent="0.3">
      <c r="A362" s="16">
        <v>443</v>
      </c>
      <c r="B362" t="s">
        <v>103</v>
      </c>
      <c r="D362" t="str">
        <f>IF(ISNUMBER(MATCH(Tabla4[[#This Row],[Título]],CantoralDB[Título],0)),"OK","-")</f>
        <v>OK</v>
      </c>
    </row>
    <row r="363" spans="1:4" x14ac:dyDescent="0.3">
      <c r="A363" s="16">
        <v>444</v>
      </c>
      <c r="B363" t="s">
        <v>105</v>
      </c>
      <c r="D363" t="str">
        <f>IF(ISNUMBER(MATCH(Tabla4[[#This Row],[Título]],CantoralDB[Título],0)),"OK","-")</f>
        <v>OK</v>
      </c>
    </row>
    <row r="364" spans="1:4" x14ac:dyDescent="0.3">
      <c r="A364" s="16">
        <v>445</v>
      </c>
      <c r="B364" t="s">
        <v>108</v>
      </c>
      <c r="D364" t="str">
        <f>IF(ISNUMBER(MATCH(Tabla4[[#This Row],[Título]],CantoralDB[Título],0)),"OK","-")</f>
        <v>OK</v>
      </c>
    </row>
    <row r="365" spans="1:4" x14ac:dyDescent="0.3">
      <c r="A365" s="16">
        <v>446</v>
      </c>
      <c r="B365" t="s">
        <v>1228</v>
      </c>
      <c r="D365" t="str">
        <f>IF(ISNUMBER(MATCH(Tabla4[[#This Row],[Título]],CantoralDB[Título],0)),"OK","-")</f>
        <v>-</v>
      </c>
    </row>
    <row r="366" spans="1:4" x14ac:dyDescent="0.3">
      <c r="A366" s="16">
        <v>447</v>
      </c>
      <c r="B366" t="s">
        <v>1229</v>
      </c>
      <c r="D366" t="str">
        <f>IF(ISNUMBER(MATCH(Tabla4[[#This Row],[Título]],CantoralDB[Título],0)),"OK","-")</f>
        <v>-</v>
      </c>
    </row>
    <row r="367" spans="1:4" x14ac:dyDescent="0.3">
      <c r="A367" s="16">
        <v>448</v>
      </c>
      <c r="B367" t="s">
        <v>112</v>
      </c>
      <c r="D367" t="str">
        <f>IF(ISNUMBER(MATCH(Tabla4[[#This Row],[Título]],CantoralDB[Título],0)),"OK","-")</f>
        <v>OK</v>
      </c>
    </row>
    <row r="368" spans="1:4" x14ac:dyDescent="0.3">
      <c r="A368" s="16">
        <v>449</v>
      </c>
      <c r="B368" t="s">
        <v>115</v>
      </c>
      <c r="D368" t="str">
        <f>IF(ISNUMBER(MATCH(Tabla4[[#This Row],[Título]],CantoralDB[Título],0)),"OK","-")</f>
        <v>OK</v>
      </c>
    </row>
    <row r="369" spans="1:4" x14ac:dyDescent="0.3">
      <c r="A369" s="16">
        <v>450</v>
      </c>
      <c r="B369" t="s">
        <v>120</v>
      </c>
      <c r="D369" t="str">
        <f>IF(ISNUMBER(MATCH(Tabla4[[#This Row],[Título]],CantoralDB[Título],0)),"OK","-")</f>
        <v>OK</v>
      </c>
    </row>
    <row r="370" spans="1:4" x14ac:dyDescent="0.3">
      <c r="A370" s="16">
        <v>451</v>
      </c>
      <c r="B370" t="s">
        <v>124</v>
      </c>
      <c r="D370" t="str">
        <f>IF(ISNUMBER(MATCH(Tabla4[[#This Row],[Título]],CantoralDB[Título],0)),"OK","-")</f>
        <v>OK</v>
      </c>
    </row>
    <row r="371" spans="1:4" x14ac:dyDescent="0.3">
      <c r="A371" s="16">
        <v>452</v>
      </c>
      <c r="B371" t="s">
        <v>1230</v>
      </c>
      <c r="D371" t="str">
        <f>IF(ISNUMBER(MATCH(Tabla4[[#This Row],[Título]],CantoralDB[Título],0)),"OK","-")</f>
        <v>-</v>
      </c>
    </row>
    <row r="372" spans="1:4" x14ac:dyDescent="0.3">
      <c r="A372" s="16">
        <v>453</v>
      </c>
      <c r="B372" t="s">
        <v>127</v>
      </c>
      <c r="D372" t="str">
        <f>IF(ISNUMBER(MATCH(Tabla4[[#This Row],[Título]],CantoralDB[Título],0)),"OK","-")</f>
        <v>OK</v>
      </c>
    </row>
    <row r="373" spans="1:4" x14ac:dyDescent="0.3">
      <c r="A373" s="16">
        <v>454</v>
      </c>
      <c r="B373" t="s">
        <v>1231</v>
      </c>
      <c r="D373" t="str">
        <f>IF(ISNUMBER(MATCH(Tabla4[[#This Row],[Título]],CantoralDB[Título],0)),"OK","-")</f>
        <v>-</v>
      </c>
    </row>
    <row r="374" spans="1:4" x14ac:dyDescent="0.3">
      <c r="A374" s="16">
        <v>455</v>
      </c>
      <c r="B374" t="s">
        <v>129</v>
      </c>
      <c r="D374" t="str">
        <f>IF(ISNUMBER(MATCH(Tabla4[[#This Row],[Título]],CantoralDB[Título],0)),"OK","-")</f>
        <v>OK</v>
      </c>
    </row>
    <row r="375" spans="1:4" x14ac:dyDescent="0.3">
      <c r="A375" s="16">
        <v>456</v>
      </c>
      <c r="B375" t="s">
        <v>1233</v>
      </c>
      <c r="D375" t="str">
        <f>IF(ISNUMBER(MATCH(Tabla4[[#This Row],[Título]],CantoralDB[Título],0)),"OK","-")</f>
        <v>-</v>
      </c>
    </row>
    <row r="376" spans="1:4" x14ac:dyDescent="0.3">
      <c r="A376" s="16">
        <v>457</v>
      </c>
      <c r="B376" t="s">
        <v>130</v>
      </c>
      <c r="D376" t="str">
        <f>IF(ISNUMBER(MATCH(Tabla4[[#This Row],[Título]],CantoralDB[Título],0)),"OK","-")</f>
        <v>OK</v>
      </c>
    </row>
    <row r="377" spans="1:4" x14ac:dyDescent="0.3">
      <c r="A377" s="16">
        <v>458</v>
      </c>
      <c r="B377" t="s">
        <v>1234</v>
      </c>
      <c r="D377" t="str">
        <f>IF(ISNUMBER(MATCH(Tabla4[[#This Row],[Título]],CantoralDB[Título],0)),"OK","-")</f>
        <v>-</v>
      </c>
    </row>
    <row r="378" spans="1:4" x14ac:dyDescent="0.3">
      <c r="A378" s="16">
        <v>459</v>
      </c>
      <c r="B378" t="s">
        <v>131</v>
      </c>
      <c r="D378" t="str">
        <f>IF(ISNUMBER(MATCH(Tabla4[[#This Row],[Título]],CantoralDB[Título],0)),"OK","-")</f>
        <v>OK</v>
      </c>
    </row>
    <row r="379" spans="1:4" x14ac:dyDescent="0.3">
      <c r="A379" s="16">
        <v>460</v>
      </c>
      <c r="B379" t="s">
        <v>133</v>
      </c>
      <c r="D379" t="str">
        <f>IF(ISNUMBER(MATCH(Tabla4[[#This Row],[Título]],CantoralDB[Título],0)),"OK","-")</f>
        <v>OK</v>
      </c>
    </row>
    <row r="380" spans="1:4" x14ac:dyDescent="0.3">
      <c r="A380" s="16">
        <v>461</v>
      </c>
      <c r="B380" t="s">
        <v>136</v>
      </c>
      <c r="D380" t="str">
        <f>IF(ISNUMBER(MATCH(Tabla4[[#This Row],[Título]],CantoralDB[Título],0)),"OK","-")</f>
        <v>OK</v>
      </c>
    </row>
    <row r="381" spans="1:4" x14ac:dyDescent="0.3">
      <c r="A381" s="16">
        <v>462</v>
      </c>
      <c r="B381" t="s">
        <v>1235</v>
      </c>
      <c r="D381" t="str">
        <f>IF(ISNUMBER(MATCH(Tabla4[[#This Row],[Título]],CantoralDB[Título],0)),"OK","-")</f>
        <v>-</v>
      </c>
    </row>
    <row r="382" spans="1:4" x14ac:dyDescent="0.3">
      <c r="A382" s="16">
        <v>463</v>
      </c>
      <c r="B382" t="s">
        <v>139</v>
      </c>
      <c r="D382" t="str">
        <f>IF(ISNUMBER(MATCH(Tabla4[[#This Row],[Título]],CantoralDB[Título],0)),"OK","-")</f>
        <v>OK</v>
      </c>
    </row>
    <row r="383" spans="1:4" x14ac:dyDescent="0.3">
      <c r="A383" s="16">
        <v>464</v>
      </c>
      <c r="B383" t="s">
        <v>140</v>
      </c>
      <c r="D383" t="str">
        <f>IF(ISNUMBER(MATCH(Tabla4[[#This Row],[Título]],CantoralDB[Título],0)),"OK","-")</f>
        <v>OK</v>
      </c>
    </row>
    <row r="384" spans="1:4" x14ac:dyDescent="0.3">
      <c r="A384" s="16">
        <v>465</v>
      </c>
      <c r="B384" t="s">
        <v>146</v>
      </c>
      <c r="D384" t="str">
        <f>IF(ISNUMBER(MATCH(Tabla4[[#This Row],[Título]],CantoralDB[Título],0)),"OK","-")</f>
        <v>OK</v>
      </c>
    </row>
    <row r="385" spans="1:4" x14ac:dyDescent="0.3">
      <c r="A385" s="16">
        <v>466</v>
      </c>
      <c r="B385" t="s">
        <v>455</v>
      </c>
      <c r="D385" t="str">
        <f>IF(ISNUMBER(MATCH(Tabla4[[#This Row],[Título]],CantoralDB[Título],0)),"OK","-")</f>
        <v>OK</v>
      </c>
    </row>
    <row r="386" spans="1:4" x14ac:dyDescent="0.3">
      <c r="A386" s="16">
        <v>467</v>
      </c>
      <c r="B386" t="s">
        <v>150</v>
      </c>
      <c r="D386" t="str">
        <f>IF(ISNUMBER(MATCH(Tabla4[[#This Row],[Título]],CantoralDB[Título],0)),"OK","-")</f>
        <v>OK</v>
      </c>
    </row>
    <row r="387" spans="1:4" x14ac:dyDescent="0.3">
      <c r="A387" s="16">
        <v>468</v>
      </c>
      <c r="B387" t="s">
        <v>151</v>
      </c>
      <c r="D387" t="str">
        <f>IF(ISNUMBER(MATCH(Tabla4[[#This Row],[Título]],CantoralDB[Título],0)),"OK","-")</f>
        <v>OK</v>
      </c>
    </row>
    <row r="388" spans="1:4" x14ac:dyDescent="0.3">
      <c r="A388" s="16">
        <v>469</v>
      </c>
      <c r="B388" t="s">
        <v>1237</v>
      </c>
      <c r="D388" t="str">
        <f>IF(ISNUMBER(MATCH(Tabla4[[#This Row],[Título]],CantoralDB[Título],0)),"OK","-")</f>
        <v>-</v>
      </c>
    </row>
    <row r="389" spans="1:4" x14ac:dyDescent="0.3">
      <c r="A389" s="16">
        <v>470</v>
      </c>
      <c r="B389" t="s">
        <v>159</v>
      </c>
      <c r="D389" t="str">
        <f>IF(ISNUMBER(MATCH(Tabla4[[#This Row],[Título]],CantoralDB[Título],0)),"OK","-")</f>
        <v>OK</v>
      </c>
    </row>
    <row r="390" spans="1:4" x14ac:dyDescent="0.3">
      <c r="A390" s="16">
        <v>471</v>
      </c>
      <c r="B390" t="s">
        <v>161</v>
      </c>
      <c r="D390" t="str">
        <f>IF(ISNUMBER(MATCH(Tabla4[[#This Row],[Título]],CantoralDB[Título],0)),"OK","-")</f>
        <v>OK</v>
      </c>
    </row>
    <row r="391" spans="1:4" x14ac:dyDescent="0.3">
      <c r="A391" s="16">
        <v>472</v>
      </c>
      <c r="B391" t="s">
        <v>164</v>
      </c>
      <c r="D391" t="str">
        <f>IF(ISNUMBER(MATCH(Tabla4[[#This Row],[Título]],CantoralDB[Título],0)),"OK","-")</f>
        <v>OK</v>
      </c>
    </row>
    <row r="392" spans="1:4" x14ac:dyDescent="0.3">
      <c r="A392" s="16">
        <v>473</v>
      </c>
      <c r="B392" t="s">
        <v>165</v>
      </c>
      <c r="D392" t="str">
        <f>IF(ISNUMBER(MATCH(Tabla4[[#This Row],[Título]],CantoralDB[Título],0)),"OK","-")</f>
        <v>OK</v>
      </c>
    </row>
    <row r="393" spans="1:4" x14ac:dyDescent="0.3">
      <c r="A393" s="16">
        <v>474</v>
      </c>
      <c r="B393" t="s">
        <v>166</v>
      </c>
      <c r="D393" t="str">
        <f>IF(ISNUMBER(MATCH(Tabla4[[#This Row],[Título]],CantoralDB[Título],0)),"OK","-")</f>
        <v>OK</v>
      </c>
    </row>
    <row r="394" spans="1:4" x14ac:dyDescent="0.3">
      <c r="A394" s="16">
        <v>475</v>
      </c>
      <c r="B394" t="s">
        <v>167</v>
      </c>
      <c r="D394" t="str">
        <f>IF(ISNUMBER(MATCH(Tabla4[[#This Row],[Título]],CantoralDB[Título],0)),"OK","-")</f>
        <v>OK</v>
      </c>
    </row>
    <row r="395" spans="1:4" x14ac:dyDescent="0.3">
      <c r="A395" s="16">
        <v>476</v>
      </c>
      <c r="B395" t="s">
        <v>170</v>
      </c>
      <c r="D395" t="str">
        <f>IF(ISNUMBER(MATCH(Tabla4[[#This Row],[Título]],CantoralDB[Título],0)),"OK","-")</f>
        <v>OK</v>
      </c>
    </row>
    <row r="396" spans="1:4" x14ac:dyDescent="0.3">
      <c r="A396" s="16">
        <v>477</v>
      </c>
      <c r="B396" t="s">
        <v>168</v>
      </c>
      <c r="D396" t="str">
        <f>IF(ISNUMBER(MATCH(Tabla4[[#This Row],[Título]],CantoralDB[Título],0)),"OK","-")</f>
        <v>OK</v>
      </c>
    </row>
    <row r="397" spans="1:4" x14ac:dyDescent="0.3">
      <c r="A397" s="16"/>
    </row>
    <row r="398" spans="1:4" x14ac:dyDescent="0.3">
      <c r="A398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6863-59EE-4A70-968A-874ACC493091}">
  <sheetPr codeName="Hoja2"/>
  <dimension ref="A1:AC2553"/>
  <sheetViews>
    <sheetView tabSelected="1" topLeftCell="A1536" zoomScale="85" zoomScaleNormal="85" workbookViewId="0">
      <selection activeCell="N1551" sqref="N1551"/>
    </sheetView>
    <sheetView tabSelected="1" topLeftCell="D1965" workbookViewId="1">
      <selection activeCell="V1978" sqref="V1978"/>
    </sheetView>
  </sheetViews>
  <sheetFormatPr baseColWidth="10" defaultColWidth="9.109375" defaultRowHeight="14.4" x14ac:dyDescent="0.3"/>
  <cols>
    <col min="1" max="1" width="6.44140625" style="1" bestFit="1" customWidth="1"/>
    <col min="2" max="2" width="39" style="1" customWidth="1"/>
    <col min="3" max="3" width="14.109375" hidden="1" customWidth="1"/>
    <col min="4" max="6" width="12.33203125" style="1" customWidth="1"/>
    <col min="7" max="7" width="8.21875" style="1" hidden="1" customWidth="1"/>
    <col min="8" max="8" width="10.6640625" style="1" customWidth="1"/>
    <col min="9" max="9" width="11.33203125" style="1" customWidth="1"/>
    <col min="10" max="10" width="9.109375" customWidth="1"/>
    <col min="11" max="12" width="9.109375" style="1" hidden="1" customWidth="1"/>
    <col min="13" max="13" width="26.88671875" style="1" customWidth="1"/>
    <col min="14" max="14" width="26.77734375" style="1" customWidth="1"/>
    <col min="15" max="16" width="7.6640625" style="1" customWidth="1"/>
    <col min="17" max="17" width="20.77734375" style="1" customWidth="1"/>
    <col min="18" max="18" width="16.6640625" style="1" hidden="1" customWidth="1"/>
    <col min="19" max="19" width="65.88671875" style="1" hidden="1" customWidth="1"/>
    <col min="20" max="20" width="14.109375" hidden="1" customWidth="1"/>
    <col min="21" max="21" width="26.33203125" hidden="1" customWidth="1"/>
    <col min="22" max="22" width="26.33203125" style="17" customWidth="1"/>
    <col min="23" max="23" width="26.33203125" customWidth="1"/>
    <col min="24" max="24" width="26.33203125" style="17" customWidth="1"/>
    <col min="25" max="25" width="9.109375" style="17"/>
    <col min="30" max="16384" width="9.109375" style="1"/>
  </cols>
  <sheetData>
    <row r="1" spans="1:29" x14ac:dyDescent="0.3">
      <c r="A1" s="1" t="s">
        <v>0</v>
      </c>
      <c r="B1" s="1" t="s">
        <v>788</v>
      </c>
      <c r="C1" s="1" t="s">
        <v>2122</v>
      </c>
      <c r="D1" s="1" t="s">
        <v>643</v>
      </c>
      <c r="E1" s="1" t="s">
        <v>1150</v>
      </c>
      <c r="F1" s="1" t="s">
        <v>2375</v>
      </c>
      <c r="G1" s="1" t="s">
        <v>207</v>
      </c>
      <c r="H1" s="1" t="s">
        <v>254</v>
      </c>
      <c r="I1" s="1" t="s">
        <v>2951</v>
      </c>
      <c r="J1" s="1" t="s">
        <v>2115</v>
      </c>
      <c r="K1" s="1" t="s">
        <v>2114</v>
      </c>
      <c r="L1" s="1" t="s">
        <v>271</v>
      </c>
      <c r="M1" s="1" t="s">
        <v>477</v>
      </c>
      <c r="N1" s="1" t="s">
        <v>2119</v>
      </c>
      <c r="O1" s="1" t="s">
        <v>2120</v>
      </c>
      <c r="P1" s="1" t="s">
        <v>4774</v>
      </c>
      <c r="Q1" s="1" t="s">
        <v>1833</v>
      </c>
      <c r="R1" s="1" t="s">
        <v>2123</v>
      </c>
      <c r="S1" s="1" t="s">
        <v>1017</v>
      </c>
      <c r="T1" s="1" t="s">
        <v>793</v>
      </c>
      <c r="U1" s="1" t="s">
        <v>2116</v>
      </c>
      <c r="V1" s="1" t="s">
        <v>2957</v>
      </c>
      <c r="W1" s="15" t="s">
        <v>2121</v>
      </c>
      <c r="X1" s="15" t="s">
        <v>2141</v>
      </c>
      <c r="Y1"/>
      <c r="Z1" s="1"/>
      <c r="AA1" s="1"/>
      <c r="AB1" s="1"/>
      <c r="AC1" s="1"/>
    </row>
    <row r="2" spans="1:29" x14ac:dyDescent="0.3">
      <c r="A2" s="1">
        <f>ROW(CantoralDB[[#This Row],[Título]])-1</f>
        <v>1</v>
      </c>
      <c r="B2" s="1" t="s">
        <v>1782</v>
      </c>
      <c r="C2" s="1"/>
      <c r="H2" s="1" t="s">
        <v>1024</v>
      </c>
      <c r="J2" s="1" t="s">
        <v>605</v>
      </c>
      <c r="M2" s="15" t="s">
        <v>499</v>
      </c>
      <c r="N2" s="1" t="s">
        <v>1506</v>
      </c>
      <c r="O2" s="15">
        <v>1</v>
      </c>
      <c r="P2" s="15">
        <v>2010</v>
      </c>
      <c r="Q2" s="15" t="str" cm="1">
        <f t="array" ref="Q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" s="15" t="str" cm="1">
        <f t="array" ref="R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canciones/ain_karem/yo_soy_el_que_vive.html</v>
      </c>
      <c r="T2" s="1"/>
      <c r="U2" s="1"/>
      <c r="V2" s="32" t="s">
        <v>4387</v>
      </c>
      <c r="W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href="canciones/ain_karem/yo_soy_el_que_vive.html"&gt;Yo soy el que vive&lt;/a&gt;&lt;/li&gt;</v>
      </c>
      <c r="X2" s="15" t="str">
        <f>_xlfn.TEXTBEFORE(_xlfn.TEXTAFTER(CantoralDB[[#This Row],[index.html]],"&gt;"),"&gt;")&amp;"&gt;"</f>
        <v>&lt;a href="canciones/ain_karem/yo_soy_el_que_vive.html"&gt;</v>
      </c>
      <c r="Y2"/>
      <c r="Z2" s="1"/>
      <c r="AA2" s="1"/>
      <c r="AB2" s="1"/>
      <c r="AC2" s="1"/>
    </row>
    <row r="3" spans="1:29" x14ac:dyDescent="0.3">
      <c r="A3" s="1">
        <f>ROW(CantoralDB[[#This Row],[Título]])-1</f>
        <v>2</v>
      </c>
      <c r="B3" s="1" t="s">
        <v>1783</v>
      </c>
      <c r="C3" s="1"/>
      <c r="H3" s="1" t="s">
        <v>472</v>
      </c>
      <c r="I3" s="1" t="s">
        <v>2945</v>
      </c>
      <c r="J3" s="1" t="s">
        <v>605</v>
      </c>
      <c r="M3" s="15" t="s">
        <v>499</v>
      </c>
      <c r="N3" s="1" t="s">
        <v>1506</v>
      </c>
      <c r="O3" s="15">
        <v>2</v>
      </c>
      <c r="P3" s="15">
        <v>2010</v>
      </c>
      <c r="Q3" s="15" t="str" cm="1">
        <f t="array" ref="Q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" s="15" t="str" cm="1">
        <f t="array" ref="R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canciones/ain_karem/que_se_alegren_tus_entrañas.html</v>
      </c>
      <c r="T3" s="1"/>
      <c r="U3" s="1"/>
      <c r="V3" s="32" t="s">
        <v>4388</v>
      </c>
      <c r="W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href="canciones/ain_karem/que_se_alegren_tus_entrañas.html"&gt;Que se alegren tus entrañas&lt;/a&gt;&lt;/li&gt;</v>
      </c>
      <c r="X3" s="15" t="str">
        <f>_xlfn.TEXTBEFORE(_xlfn.TEXTAFTER(CantoralDB[[#This Row],[index.html]],"&gt;"),"&gt;")&amp;"&gt;"</f>
        <v>&lt;a href="canciones/ain_karem/que_se_alegren_tus_entrañas.html"&gt;</v>
      </c>
      <c r="Y3"/>
      <c r="Z3" s="1"/>
      <c r="AA3" s="1"/>
      <c r="AB3" s="1"/>
      <c r="AC3" s="1"/>
    </row>
    <row r="4" spans="1:29" x14ac:dyDescent="0.3">
      <c r="A4" s="1">
        <f>ROW(CantoralDB[[#This Row],[Título]])-1</f>
        <v>3</v>
      </c>
      <c r="B4" s="1" t="s">
        <v>1784</v>
      </c>
      <c r="C4" s="1"/>
      <c r="H4" s="1" t="s">
        <v>529</v>
      </c>
      <c r="I4" s="1" t="s">
        <v>2946</v>
      </c>
      <c r="J4" s="1" t="s">
        <v>605</v>
      </c>
      <c r="M4" s="15" t="s">
        <v>499</v>
      </c>
      <c r="N4" s="1" t="s">
        <v>1506</v>
      </c>
      <c r="O4" s="15">
        <v>3</v>
      </c>
      <c r="P4" s="15">
        <v>2010</v>
      </c>
      <c r="Q4" s="15" t="str" cm="1">
        <f t="array" ref="Q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" s="15" t="str" cm="1">
        <f t="array" ref="R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canciones/ain_karem/palabra.html</v>
      </c>
      <c r="T4" s="1"/>
      <c r="U4" s="1"/>
      <c r="V4" s="32" t="s">
        <v>4389</v>
      </c>
      <c r="W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href="canciones/ain_karem/palabra.html"&gt;Palabra&lt;/a&gt;&lt;/li&gt;</v>
      </c>
      <c r="X4" s="15" t="str">
        <f>_xlfn.TEXTBEFORE(_xlfn.TEXTAFTER(CantoralDB[[#This Row],[index.html]],"&gt;"),"&gt;")&amp;"&gt;"</f>
        <v>&lt;a href="canciones/ain_karem/palabra.html"&gt;</v>
      </c>
      <c r="Y4"/>
      <c r="Z4" s="1"/>
      <c r="AA4" s="1"/>
      <c r="AB4" s="1"/>
      <c r="AC4" s="1"/>
    </row>
    <row r="5" spans="1:29" x14ac:dyDescent="0.3">
      <c r="A5" s="1">
        <f>ROW(CantoralDB[[#This Row],[Título]])-1</f>
        <v>4</v>
      </c>
      <c r="B5" s="1" t="s">
        <v>1785</v>
      </c>
      <c r="C5" s="1"/>
      <c r="H5" s="1" t="s">
        <v>1024</v>
      </c>
      <c r="I5" s="1" t="s">
        <v>2947</v>
      </c>
      <c r="J5" s="1" t="s">
        <v>605</v>
      </c>
      <c r="M5" s="15" t="s">
        <v>499</v>
      </c>
      <c r="N5" s="1" t="s">
        <v>1506</v>
      </c>
      <c r="O5" s="15">
        <v>4</v>
      </c>
      <c r="P5" s="15">
        <v>2010</v>
      </c>
      <c r="Q5" s="15" t="str" cm="1">
        <f t="array" ref="Q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" s="15" t="str" cm="1">
        <f t="array" ref="R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canciones/ain_karem/atraviesas.html</v>
      </c>
      <c r="T5" s="1"/>
      <c r="U5" s="1"/>
      <c r="V5" s="32" t="s">
        <v>4390</v>
      </c>
      <c r="W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href="canciones/ain_karem/atraviesas.html"&gt;Atraviesas&lt;/a&gt;&lt;/li&gt;</v>
      </c>
      <c r="X5" s="15" t="str">
        <f>_xlfn.TEXTBEFORE(_xlfn.TEXTAFTER(CantoralDB[[#This Row],[index.html]],"&gt;"),"&gt;")&amp;"&gt;"</f>
        <v>&lt;a href="canciones/ain_karem/atraviesas.html"&gt;</v>
      </c>
      <c r="Y5"/>
      <c r="Z5" s="1"/>
      <c r="AA5" s="1"/>
      <c r="AB5" s="1"/>
      <c r="AC5" s="1"/>
    </row>
    <row r="6" spans="1:29" x14ac:dyDescent="0.3">
      <c r="A6" s="1">
        <f>ROW(CantoralDB[[#This Row],[Título]])-1</f>
        <v>5</v>
      </c>
      <c r="B6" s="1" t="s">
        <v>1834</v>
      </c>
      <c r="C6" s="1"/>
      <c r="H6" s="1" t="s">
        <v>529</v>
      </c>
      <c r="I6" s="1" t="s">
        <v>2947</v>
      </c>
      <c r="J6" s="1" t="s">
        <v>605</v>
      </c>
      <c r="M6" s="15" t="s">
        <v>499</v>
      </c>
      <c r="N6" s="1" t="s">
        <v>1506</v>
      </c>
      <c r="O6" s="15">
        <v>5</v>
      </c>
      <c r="P6" s="15">
        <v>2010</v>
      </c>
      <c r="Q6" s="15" t="str" cm="1">
        <f t="array" ref="Q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" s="15" t="str" cm="1">
        <f t="array" ref="R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canciones/ain_karem/los_incontables.html</v>
      </c>
      <c r="T6" s="1"/>
      <c r="U6" s="1"/>
      <c r="V6" s="32" t="s">
        <v>4391</v>
      </c>
      <c r="W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href="canciones/ain_karem/los_incontables.html"&gt;Los incontables&lt;/a&gt;&lt;/li&gt;</v>
      </c>
      <c r="X6" s="15" t="str">
        <f>_xlfn.TEXTBEFORE(_xlfn.TEXTAFTER(CantoralDB[[#This Row],[index.html]],"&gt;"),"&gt;")&amp;"&gt;"</f>
        <v>&lt;a href="canciones/ain_karem/los_incontables.html"&gt;</v>
      </c>
      <c r="Y6"/>
      <c r="Z6" s="1"/>
      <c r="AA6" s="1"/>
      <c r="AB6" s="1"/>
      <c r="AC6" s="1"/>
    </row>
    <row r="7" spans="1:29" x14ac:dyDescent="0.3">
      <c r="A7" s="1">
        <f>ROW(CantoralDB[[#This Row],[Título]])-1</f>
        <v>6</v>
      </c>
      <c r="B7" s="1" t="s">
        <v>182</v>
      </c>
      <c r="C7" s="1" t="s">
        <v>200</v>
      </c>
      <c r="D7" s="1" t="s">
        <v>655</v>
      </c>
      <c r="G7" s="1" t="s">
        <v>208</v>
      </c>
      <c r="H7" s="1" t="s">
        <v>1027</v>
      </c>
      <c r="I7" s="1" t="s">
        <v>2948</v>
      </c>
      <c r="J7" s="1" t="s">
        <v>605</v>
      </c>
      <c r="M7" s="15" t="s">
        <v>499</v>
      </c>
      <c r="N7" s="1" t="s">
        <v>1506</v>
      </c>
      <c r="O7" s="15">
        <v>6</v>
      </c>
      <c r="P7" s="15">
        <v>2010</v>
      </c>
      <c r="Q7" s="15" t="str" cm="1">
        <f t="array" ref="Q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" s="15" t="str" cm="1">
        <f t="array" ref="R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canciones/ain_karem/he_venido_a_servir.html</v>
      </c>
      <c r="T7" s="1" t="s">
        <v>834</v>
      </c>
      <c r="U7" s="1"/>
      <c r="V7" s="32" t="s">
        <v>4392</v>
      </c>
      <c r="W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 data-momento="Antífonas" data-nnew="D20"&gt;&lt;a href="canciones/ain_karem/he_venido_a_servir.html"&gt;He venido a servir&lt;/a&gt;&lt;/li&gt;</v>
      </c>
      <c r="X7" s="15" t="str">
        <f>_xlfn.TEXTBEFORE(_xlfn.TEXTAFTER(CantoralDB[[#This Row],[index.html]],"&gt;"),"&gt;")&amp;"&gt;"</f>
        <v>&lt;a href="canciones/ain_karem/he_venido_a_servir.html"&gt;</v>
      </c>
      <c r="Y7"/>
      <c r="Z7" s="1"/>
      <c r="AA7" s="1"/>
      <c r="AB7" s="1"/>
      <c r="AC7" s="1"/>
    </row>
    <row r="8" spans="1:29" x14ac:dyDescent="0.3">
      <c r="A8" s="1">
        <f>ROW(CantoralDB[[#This Row],[Título]])-1</f>
        <v>7</v>
      </c>
      <c r="B8" s="1" t="s">
        <v>1786</v>
      </c>
      <c r="C8" s="1"/>
      <c r="H8" s="1" t="s">
        <v>472</v>
      </c>
      <c r="I8" s="1" t="s">
        <v>2948</v>
      </c>
      <c r="J8" s="1" t="s">
        <v>605</v>
      </c>
      <c r="M8" s="15" t="s">
        <v>499</v>
      </c>
      <c r="N8" s="1" t="s">
        <v>1506</v>
      </c>
      <c r="O8" s="15">
        <v>7</v>
      </c>
      <c r="P8" s="15">
        <v>2010</v>
      </c>
      <c r="Q8" s="15" t="str" cm="1">
        <f t="array" ref="Q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" s="15" t="str" cm="1">
        <f t="array" ref="R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canciones/ain_karem/palabra_encarnada.html</v>
      </c>
      <c r="T8" s="1"/>
      <c r="U8" s="1"/>
      <c r="V8" s="32" t="s">
        <v>4393</v>
      </c>
      <c r="W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href="canciones/ain_karem/palabra_encarnada.html"&gt;Palabra encarnada&lt;/a&gt;&lt;/li&gt;</v>
      </c>
      <c r="X8" s="15" t="str">
        <f>_xlfn.TEXTBEFORE(_xlfn.TEXTAFTER(CantoralDB[[#This Row],[index.html]],"&gt;"),"&gt;")&amp;"&gt;"</f>
        <v>&lt;a href="canciones/ain_karem/palabra_encarnada.html"&gt;</v>
      </c>
      <c r="Y8"/>
      <c r="Z8" s="1"/>
      <c r="AA8" s="1"/>
      <c r="AB8" s="1"/>
      <c r="AC8" s="1"/>
    </row>
    <row r="9" spans="1:29" x14ac:dyDescent="0.3">
      <c r="A9" s="1">
        <f>ROW(CantoralDB[[#This Row],[Título]])-1</f>
        <v>8</v>
      </c>
      <c r="B9" s="1" t="s">
        <v>1787</v>
      </c>
      <c r="C9" s="1"/>
      <c r="H9" s="1" t="s">
        <v>1024</v>
      </c>
      <c r="J9" s="1"/>
      <c r="M9" s="15" t="s">
        <v>499</v>
      </c>
      <c r="N9" s="1" t="s">
        <v>1506</v>
      </c>
      <c r="O9" s="15">
        <v>8</v>
      </c>
      <c r="P9" s="15">
        <v>2010</v>
      </c>
      <c r="Q9" s="15" t="str" cm="1">
        <f t="array" ref="Q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" s="15" t="str" cm="1">
        <f t="array" ref="R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canciones/ain_karem/kolokoso.html</v>
      </c>
      <c r="T9" s="1"/>
      <c r="U9" s="1"/>
      <c r="V9" s="32" t="s">
        <v>4394</v>
      </c>
      <c r="W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href="canciones/ain_karem/kolokoso.html"&gt;Kolokoso&lt;/a&gt;&lt;/li&gt;</v>
      </c>
      <c r="X9" s="15" t="str">
        <f>_xlfn.TEXTBEFORE(_xlfn.TEXTAFTER(CantoralDB[[#This Row],[index.html]],"&gt;"),"&gt;")&amp;"&gt;"</f>
        <v>&lt;a href="canciones/ain_karem/kolokoso.html"&gt;</v>
      </c>
      <c r="Y9"/>
      <c r="Z9" s="1"/>
      <c r="AA9" s="1"/>
      <c r="AB9" s="1"/>
      <c r="AC9" s="1"/>
    </row>
    <row r="10" spans="1:29" x14ac:dyDescent="0.3">
      <c r="A10" s="1">
        <f>ROW(CantoralDB[[#This Row],[Título]])-1</f>
        <v>9</v>
      </c>
      <c r="B10" s="1" t="s">
        <v>1788</v>
      </c>
      <c r="C10" s="1"/>
      <c r="H10" s="1" t="s">
        <v>1027</v>
      </c>
      <c r="I10" s="1" t="s">
        <v>2946</v>
      </c>
      <c r="J10" s="1" t="s">
        <v>605</v>
      </c>
      <c r="M10" s="15" t="s">
        <v>499</v>
      </c>
      <c r="N10" s="1" t="s">
        <v>1506</v>
      </c>
      <c r="O10" s="15">
        <v>9</v>
      </c>
      <c r="P10" s="15">
        <v>2010</v>
      </c>
      <c r="Q10" s="15" t="str" cm="1">
        <f t="array" ref="Q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" s="15" t="str" cm="1">
        <f t="array" ref="R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canciones/ain_karem/la_mujer_cananea.html</v>
      </c>
      <c r="T10" s="1"/>
      <c r="U10" s="1"/>
      <c r="V10" s="32" t="s">
        <v>4395</v>
      </c>
      <c r="W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href="canciones/ain_karem/la_mujer_cananea.html"&gt;La mujer cananea&lt;/a&gt;&lt;/li&gt;</v>
      </c>
      <c r="X10" s="15" t="str">
        <f>_xlfn.TEXTBEFORE(_xlfn.TEXTAFTER(CantoralDB[[#This Row],[index.html]],"&gt;"),"&gt;")&amp;"&gt;"</f>
        <v>&lt;a href="canciones/ain_karem/la_mujer_cananea.html"&gt;</v>
      </c>
      <c r="Y10"/>
      <c r="Z10" s="1"/>
      <c r="AA10" s="1"/>
      <c r="AB10" s="1"/>
      <c r="AC10" s="1"/>
    </row>
    <row r="11" spans="1:29" x14ac:dyDescent="0.3">
      <c r="A11" s="1">
        <f>ROW(CantoralDB[[#This Row],[Título]])-1</f>
        <v>10</v>
      </c>
      <c r="B11" s="1" t="s">
        <v>1789</v>
      </c>
      <c r="C11" s="1"/>
      <c r="H11" s="1" t="s">
        <v>1025</v>
      </c>
      <c r="J11" s="1" t="s">
        <v>605</v>
      </c>
      <c r="M11" s="15" t="s">
        <v>499</v>
      </c>
      <c r="N11" s="1" t="s">
        <v>1506</v>
      </c>
      <c r="O11" s="15">
        <v>10</v>
      </c>
      <c r="P11" s="15">
        <v>2010</v>
      </c>
      <c r="Q11" s="15" t="str" cm="1">
        <f t="array" ref="Q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" s="15" t="str" cm="1">
        <f t="array" ref="R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canciones/ain_karem/el_siervo.html</v>
      </c>
      <c r="T11" s="1"/>
      <c r="U11" s="1"/>
      <c r="V11" s="32" t="s">
        <v>4396</v>
      </c>
      <c r="W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href="canciones/ain_karem/el_siervo.html"&gt;El siervo&lt;/a&gt;&lt;/li&gt;</v>
      </c>
      <c r="X11" s="15" t="str">
        <f>_xlfn.TEXTBEFORE(_xlfn.TEXTAFTER(CantoralDB[[#This Row],[index.html]],"&gt;"),"&gt;")&amp;"&gt;"</f>
        <v>&lt;a href="canciones/ain_karem/el_siervo.html"&gt;</v>
      </c>
      <c r="Y11"/>
      <c r="Z11" s="1"/>
      <c r="AA11" s="1"/>
      <c r="AB11" s="1"/>
      <c r="AC11" s="1"/>
    </row>
    <row r="12" spans="1:29" x14ac:dyDescent="0.3">
      <c r="A12" s="1">
        <f>ROW(CantoralDB[[#This Row],[Título]])-1</f>
        <v>11</v>
      </c>
      <c r="B12" s="1" t="s">
        <v>1790</v>
      </c>
      <c r="C12" s="1"/>
      <c r="H12" s="1" t="s">
        <v>1024</v>
      </c>
      <c r="J12" s="1" t="s">
        <v>605</v>
      </c>
      <c r="M12" s="15" t="s">
        <v>499</v>
      </c>
      <c r="N12" s="1" t="s">
        <v>1506</v>
      </c>
      <c r="O12" s="15">
        <v>11</v>
      </c>
      <c r="P12" s="15">
        <v>2010</v>
      </c>
      <c r="Q12" s="15" t="str" cm="1">
        <f t="array" ref="Q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" s="15" t="str" cm="1">
        <f t="array" ref="R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canciones/ain_karem/la_moneda_perdida.html</v>
      </c>
      <c r="T12" s="1"/>
      <c r="U12" s="1"/>
      <c r="V12" s="32" t="s">
        <v>4397</v>
      </c>
      <c r="W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href="canciones/ain_karem/la_moneda_perdida.html"&gt;La moneda perdida&lt;/a&gt;&lt;/li&gt;</v>
      </c>
      <c r="X12" s="15" t="str">
        <f>_xlfn.TEXTBEFORE(_xlfn.TEXTAFTER(CantoralDB[[#This Row],[index.html]],"&gt;"),"&gt;")&amp;"&gt;"</f>
        <v>&lt;a href="canciones/ain_karem/la_moneda_perdida.html"&gt;</v>
      </c>
      <c r="Y12"/>
      <c r="Z12" s="1"/>
      <c r="AA12" s="1"/>
      <c r="AB12" s="1"/>
      <c r="AC12" s="1"/>
    </row>
    <row r="13" spans="1:29" x14ac:dyDescent="0.3">
      <c r="A13" s="1">
        <f>ROW(CantoralDB[[#This Row],[Título]])-1</f>
        <v>12</v>
      </c>
      <c r="B13" s="1" t="s">
        <v>1791</v>
      </c>
      <c r="C13" s="1"/>
      <c r="H13" s="1" t="s">
        <v>1027</v>
      </c>
      <c r="I13" s="1" t="s">
        <v>2946</v>
      </c>
      <c r="J13" s="1" t="s">
        <v>605</v>
      </c>
      <c r="M13" s="15" t="s">
        <v>499</v>
      </c>
      <c r="N13" s="1" t="s">
        <v>1506</v>
      </c>
      <c r="O13" s="15">
        <v>12</v>
      </c>
      <c r="P13" s="15">
        <v>2010</v>
      </c>
      <c r="Q13" s="15" t="str" cm="1">
        <f t="array" ref="Q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" s="15" t="str" cm="1">
        <f t="array" ref="R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canciones/ain_karem/señor_mio_y_dios_mio.html</v>
      </c>
      <c r="T13" s="1"/>
      <c r="U13" s="1"/>
      <c r="V13" s="32" t="s">
        <v>4398</v>
      </c>
      <c r="W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href="canciones/ain_karem/señor_mio_y_dios_mio.html"&gt;Señor mío y Dios mío&lt;/a&gt;&lt;/li&gt;</v>
      </c>
      <c r="X13" s="15" t="str">
        <f>_xlfn.TEXTBEFORE(_xlfn.TEXTAFTER(CantoralDB[[#This Row],[index.html]],"&gt;"),"&gt;")&amp;"&gt;"</f>
        <v>&lt;a href="canciones/ain_karem/señor_mio_y_dios_mio.html"&gt;</v>
      </c>
      <c r="Y13"/>
      <c r="Z13" s="1"/>
      <c r="AA13" s="1"/>
      <c r="AB13" s="1"/>
      <c r="AC13" s="1"/>
    </row>
    <row r="14" spans="1:29" x14ac:dyDescent="0.3">
      <c r="A14" s="1">
        <f>ROW(CantoralDB[[#This Row],[Título]])-1</f>
        <v>13</v>
      </c>
      <c r="B14" s="1" t="s">
        <v>1792</v>
      </c>
      <c r="C14" s="1"/>
      <c r="H14" s="1" t="s">
        <v>529</v>
      </c>
      <c r="J14" s="1" t="s">
        <v>605</v>
      </c>
      <c r="M14" s="15" t="s">
        <v>499</v>
      </c>
      <c r="N14" s="1" t="s">
        <v>1506</v>
      </c>
      <c r="O14" s="15">
        <v>13</v>
      </c>
      <c r="P14" s="15">
        <v>2010</v>
      </c>
      <c r="Q14" s="15" t="str" cm="1">
        <f t="array" ref="Q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4" s="15" t="str" cm="1">
        <f t="array" ref="R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canciones/ain_karem/dame_una_palabra.html</v>
      </c>
      <c r="T14" s="1"/>
      <c r="U14" s="1"/>
      <c r="V14" s="32" t="s">
        <v>4399</v>
      </c>
      <c r="W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href="canciones/ain_karem/dame_una_palabra.html"&gt;Dame una palabra&lt;/a&gt;&lt;/li&gt;</v>
      </c>
      <c r="X14" s="15" t="str">
        <f>_xlfn.TEXTBEFORE(_xlfn.TEXTAFTER(CantoralDB[[#This Row],[index.html]],"&gt;"),"&gt;")&amp;"&gt;"</f>
        <v>&lt;a href="canciones/ain_karem/dame_una_palabra.html"&gt;</v>
      </c>
      <c r="Y14"/>
      <c r="Z14" s="1"/>
      <c r="AA14" s="1"/>
      <c r="AB14" s="1"/>
      <c r="AC14" s="1"/>
    </row>
    <row r="15" spans="1:29" x14ac:dyDescent="0.3">
      <c r="A15" s="1">
        <f>ROW(CantoralDB[[#This Row],[Título]])-1</f>
        <v>14</v>
      </c>
      <c r="B15" s="1" t="s">
        <v>1793</v>
      </c>
      <c r="C15" s="1"/>
      <c r="H15" s="1" t="s">
        <v>1024</v>
      </c>
      <c r="I15" s="1" t="s">
        <v>2948</v>
      </c>
      <c r="J15" s="1" t="s">
        <v>605</v>
      </c>
      <c r="M15" s="15" t="s">
        <v>499</v>
      </c>
      <c r="N15" s="1" t="s">
        <v>1506</v>
      </c>
      <c r="O15" s="15">
        <v>14</v>
      </c>
      <c r="P15" s="15">
        <v>2010</v>
      </c>
      <c r="Q15" s="15" t="str" cm="1">
        <f t="array" ref="Q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5" s="15" t="str" cm="1">
        <f t="array" ref="R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canciones/ain_karem/somos_del_señor.html</v>
      </c>
      <c r="T15" s="1"/>
      <c r="U15" s="1"/>
      <c r="V15" s="32" t="s">
        <v>4400</v>
      </c>
      <c r="W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href="canciones/ain_karem/somos_del_señor.html"&gt;Somos del Señor&lt;/a&gt;&lt;/li&gt;</v>
      </c>
      <c r="X15" s="15" t="str">
        <f>_xlfn.TEXTBEFORE(_xlfn.TEXTAFTER(CantoralDB[[#This Row],[index.html]],"&gt;"),"&gt;")&amp;"&gt;"</f>
        <v>&lt;a href="canciones/ain_karem/somos_del_señor.html"&gt;</v>
      </c>
      <c r="Y15"/>
      <c r="Z15" s="1"/>
      <c r="AA15" s="1"/>
      <c r="AB15" s="1"/>
      <c r="AC15" s="1"/>
    </row>
    <row r="16" spans="1:29" x14ac:dyDescent="0.3">
      <c r="A16" s="1">
        <f>ROW(CantoralDB[[#This Row],[Título]])-1</f>
        <v>15</v>
      </c>
      <c r="B16" s="1" t="s">
        <v>1794</v>
      </c>
      <c r="C16" s="1"/>
      <c r="H16" s="1" t="s">
        <v>472</v>
      </c>
      <c r="I16" s="1" t="s">
        <v>2948</v>
      </c>
      <c r="J16" s="1" t="s">
        <v>605</v>
      </c>
      <c r="M16" s="15" t="s">
        <v>499</v>
      </c>
      <c r="N16" s="1" t="s">
        <v>1506</v>
      </c>
      <c r="O16" s="15">
        <v>15</v>
      </c>
      <c r="P16" s="15">
        <v>2010</v>
      </c>
      <c r="Q16" s="15" t="str" cm="1">
        <f t="array" ref="Q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6" s="15" t="str" cm="1">
        <f t="array" ref="R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canciones/ain_karem/fuertes_humildes_y_diligentes.html</v>
      </c>
      <c r="T16" s="1"/>
      <c r="U16" s="1"/>
      <c r="V16" s="32" t="s">
        <v>4401</v>
      </c>
      <c r="W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href="canciones/ain_karem/fuertes_humildes_y_diligentes.html"&gt;Fuertes, humildes y diligentes&lt;/a&gt;&lt;/li&gt;</v>
      </c>
      <c r="X16" s="15" t="str">
        <f>_xlfn.TEXTBEFORE(_xlfn.TEXTAFTER(CantoralDB[[#This Row],[index.html]],"&gt;"),"&gt;")&amp;"&gt;"</f>
        <v>&lt;a href="canciones/ain_karem/fuertes_humildes_y_diligentes.html"&gt;</v>
      </c>
      <c r="Y16"/>
      <c r="Z16" s="1"/>
      <c r="AA16" s="1"/>
      <c r="AB16" s="1"/>
      <c r="AC16" s="1"/>
    </row>
    <row r="17" spans="1:29" x14ac:dyDescent="0.3">
      <c r="A17" s="1">
        <f>ROW(CantoralDB[[#This Row],[Título]])-1</f>
        <v>16</v>
      </c>
      <c r="B17" s="1" t="s">
        <v>499</v>
      </c>
      <c r="C17" s="1"/>
      <c r="H17" s="1" t="s">
        <v>1027</v>
      </c>
      <c r="I17" s="1" t="s">
        <v>2948</v>
      </c>
      <c r="J17" s="1" t="s">
        <v>605</v>
      </c>
      <c r="M17" s="15" t="s">
        <v>499</v>
      </c>
      <c r="N17" s="1" t="s">
        <v>1503</v>
      </c>
      <c r="O17" s="15">
        <v>1</v>
      </c>
      <c r="P17" s="15">
        <v>2004</v>
      </c>
      <c r="Q17" s="15" t="str" cm="1">
        <f t="array" ref="Q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7" s="15" t="str" cm="1">
        <f t="array" ref="R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canciones/ain_karem/ain_karem.html</v>
      </c>
      <c r="T17" s="1"/>
      <c r="U17" s="1"/>
      <c r="V17" s="32" t="s">
        <v>3453</v>
      </c>
      <c r="W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href="canciones/ain_karem/ain_karem.html"&gt;Ain Karem&lt;/a&gt;&lt;/li&gt;</v>
      </c>
      <c r="X17" s="15" t="str">
        <f>_xlfn.TEXTBEFORE(_xlfn.TEXTAFTER(CantoralDB[[#This Row],[index.html]],"&gt;"),"&gt;")&amp;"&gt;"</f>
        <v>&lt;a href="canciones/ain_karem/ain_karem.html"&gt;</v>
      </c>
      <c r="Y17"/>
      <c r="Z17" s="1"/>
      <c r="AA17" s="1"/>
      <c r="AB17" s="1"/>
      <c r="AC17" s="1"/>
    </row>
    <row r="18" spans="1:29" x14ac:dyDescent="0.3">
      <c r="A18" s="1">
        <f>ROW(CantoralDB[[#This Row],[Título]])-1</f>
        <v>17</v>
      </c>
      <c r="B18" s="1" t="s">
        <v>1749</v>
      </c>
      <c r="C18" s="1"/>
      <c r="H18" s="1" t="s">
        <v>529</v>
      </c>
      <c r="I18" s="1" t="s">
        <v>2948</v>
      </c>
      <c r="J18" s="1" t="s">
        <v>605</v>
      </c>
      <c r="M18" s="15" t="s">
        <v>499</v>
      </c>
      <c r="N18" s="1" t="s">
        <v>1503</v>
      </c>
      <c r="O18" s="15">
        <v>2</v>
      </c>
      <c r="P18" s="15">
        <v>2004</v>
      </c>
      <c r="Q18" s="15" t="str" cm="1">
        <f t="array" ref="Q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8" s="15" t="str" cm="1">
        <f t="array" ref="R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canciones/ain_karem/te_basta_mi_gracia.html</v>
      </c>
      <c r="T18" s="1"/>
      <c r="U18" s="1"/>
      <c r="V18" s="32" t="s">
        <v>3454</v>
      </c>
      <c r="W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href="canciones/ain_karem/te_basta_mi_gracia.html"&gt;Te basta mi gracia&lt;/a&gt;&lt;/li&gt;</v>
      </c>
      <c r="X18" s="15" t="str">
        <f>_xlfn.TEXTBEFORE(_xlfn.TEXTAFTER(CantoralDB[[#This Row],[index.html]],"&gt;"),"&gt;")&amp;"&gt;"</f>
        <v>&lt;a href="canciones/ain_karem/te_basta_mi_gracia.html"&gt;</v>
      </c>
      <c r="Y18"/>
      <c r="Z18" s="1"/>
      <c r="AA18" s="1"/>
      <c r="AB18" s="1"/>
      <c r="AC18" s="1"/>
    </row>
    <row r="19" spans="1:29" x14ac:dyDescent="0.3">
      <c r="A19" s="1">
        <f>ROW(CantoralDB[[#This Row],[Título]])-1</f>
        <v>18</v>
      </c>
      <c r="B19" s="1" t="s">
        <v>2880</v>
      </c>
      <c r="C19" s="1"/>
      <c r="H19" s="1" t="s">
        <v>529</v>
      </c>
      <c r="I19" s="1" t="s">
        <v>2947</v>
      </c>
      <c r="J19" s="1" t="s">
        <v>605</v>
      </c>
      <c r="M19" s="15" t="s">
        <v>499</v>
      </c>
      <c r="N19" s="1" t="s">
        <v>1503</v>
      </c>
      <c r="O19" s="15">
        <v>3</v>
      </c>
      <c r="P19" s="15">
        <v>2004</v>
      </c>
      <c r="Q19" s="15" t="str" cm="1">
        <f t="array" ref="Q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9" s="15" t="str" cm="1">
        <f t="array" ref="R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canciones/ain_karem/poneos_en_pie.html</v>
      </c>
      <c r="T19" s="1"/>
      <c r="U19" s="1"/>
      <c r="V19" s="32" t="s">
        <v>3455</v>
      </c>
      <c r="W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href="canciones/ain_karem/poneos_en_pie.html"&gt;Poneos en pie&lt;/a&gt;&lt;/li&gt;</v>
      </c>
      <c r="X19" s="15" t="str">
        <f>_xlfn.TEXTBEFORE(_xlfn.TEXTAFTER(CantoralDB[[#This Row],[index.html]],"&gt;"),"&gt;")&amp;"&gt;"</f>
        <v>&lt;a href="canciones/ain_karem/poneos_en_pie.html"&gt;</v>
      </c>
      <c r="Y19"/>
      <c r="Z19" s="1"/>
      <c r="AA19" s="1"/>
      <c r="AB19" s="1"/>
      <c r="AC19" s="1"/>
    </row>
    <row r="20" spans="1:29" x14ac:dyDescent="0.3">
      <c r="A20" s="1">
        <f>ROW(CantoralDB[[#This Row],[Título]])-1</f>
        <v>19</v>
      </c>
      <c r="B20" s="1" t="s">
        <v>1750</v>
      </c>
      <c r="C20" s="1"/>
      <c r="H20" s="1" t="s">
        <v>1027</v>
      </c>
      <c r="I20" s="1" t="s">
        <v>2947</v>
      </c>
      <c r="J20" s="1" t="s">
        <v>605</v>
      </c>
      <c r="M20" s="15" t="s">
        <v>499</v>
      </c>
      <c r="N20" s="1" t="s">
        <v>1503</v>
      </c>
      <c r="O20" s="15">
        <v>4</v>
      </c>
      <c r="P20" s="15">
        <v>2004</v>
      </c>
      <c r="Q20" s="15" t="str" cm="1">
        <f t="array" ref="Q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0" s="15" t="str" cm="1">
        <f t="array" ref="R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canciones/ain_karem/se_mi_luz.html</v>
      </c>
      <c r="T20" s="1"/>
      <c r="U20" s="1"/>
      <c r="V20" s="32" t="s">
        <v>3456</v>
      </c>
      <c r="W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href="canciones/ain_karem/se_mi_luz.html"&gt;Sé mi luz&lt;/a&gt;&lt;/li&gt;</v>
      </c>
      <c r="X20" s="15" t="str">
        <f>_xlfn.TEXTBEFORE(_xlfn.TEXTAFTER(CantoralDB[[#This Row],[index.html]],"&gt;"),"&gt;")&amp;"&gt;"</f>
        <v>&lt;a href="canciones/ain_karem/se_mi_luz.html"&gt;</v>
      </c>
      <c r="Y20"/>
      <c r="Z20" s="1"/>
      <c r="AA20" s="1"/>
      <c r="AB20" s="1"/>
      <c r="AC20" s="1"/>
    </row>
    <row r="21" spans="1:29" x14ac:dyDescent="0.3">
      <c r="A21" s="1">
        <f>ROW(CantoralDB[[#This Row],[Título]])-1</f>
        <v>20</v>
      </c>
      <c r="B21" s="1" t="s">
        <v>1839</v>
      </c>
      <c r="C21" s="1"/>
      <c r="H21" s="1" t="s">
        <v>529</v>
      </c>
      <c r="I21" s="1" t="s">
        <v>2948</v>
      </c>
      <c r="J21" s="1" t="s">
        <v>605</v>
      </c>
      <c r="M21" s="15" t="s">
        <v>499</v>
      </c>
      <c r="N21" s="1" t="s">
        <v>1503</v>
      </c>
      <c r="O21" s="15">
        <v>5</v>
      </c>
      <c r="P21" s="15">
        <v>2004</v>
      </c>
      <c r="Q21" s="15" t="str" cm="1">
        <f t="array" ref="Q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1" s="15" t="str" cm="1">
        <f t="array" ref="R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canciones/ain_karem/como_podre_pagarte.html</v>
      </c>
      <c r="T21" s="1"/>
      <c r="U21" s="1"/>
      <c r="V21" s="32" t="s">
        <v>3457</v>
      </c>
      <c r="W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href="canciones/ain_karem/como_podre_pagarte.html"&gt;Cómo podré pagarte&lt;/a&gt;&lt;/li&gt;</v>
      </c>
      <c r="X21" s="15" t="str">
        <f>_xlfn.TEXTBEFORE(_xlfn.TEXTAFTER(CantoralDB[[#This Row],[index.html]],"&gt;"),"&gt;")&amp;"&gt;"</f>
        <v>&lt;a href="canciones/ain_karem/como_podre_pagarte.html"&gt;</v>
      </c>
      <c r="Y21"/>
      <c r="Z21" s="1"/>
      <c r="AA21" s="1"/>
      <c r="AB21" s="1"/>
      <c r="AC21" s="1"/>
    </row>
    <row r="22" spans="1:29" x14ac:dyDescent="0.3">
      <c r="A22" s="1">
        <f>ROW(CantoralDB[[#This Row],[Título]])-1</f>
        <v>21</v>
      </c>
      <c r="B22" s="1" t="s">
        <v>1751</v>
      </c>
      <c r="C22" s="1"/>
      <c r="H22" s="1" t="s">
        <v>529</v>
      </c>
      <c r="I22" s="1" t="s">
        <v>2945</v>
      </c>
      <c r="J22" s="1" t="s">
        <v>605</v>
      </c>
      <c r="M22" s="15" t="s">
        <v>499</v>
      </c>
      <c r="N22" s="1" t="s">
        <v>1503</v>
      </c>
      <c r="O22" s="15">
        <v>6</v>
      </c>
      <c r="P22" s="15">
        <v>2004</v>
      </c>
      <c r="Q22" s="15" t="str" cm="1">
        <f t="array" ref="Q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2" s="15" t="str" cm="1">
        <f t="array" ref="R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canciones/ain_karem/palabras_de_vida.html</v>
      </c>
      <c r="T22" s="1"/>
      <c r="U22" s="1"/>
      <c r="V22" s="32" t="s">
        <v>3458</v>
      </c>
      <c r="W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href="canciones/ain_karem/palabras_de_vida.html"&gt;Palabras de vida&lt;/a&gt;&lt;/li&gt;</v>
      </c>
      <c r="X22" s="15" t="str">
        <f>_xlfn.TEXTBEFORE(_xlfn.TEXTAFTER(CantoralDB[[#This Row],[index.html]],"&gt;"),"&gt;")&amp;"&gt;"</f>
        <v>&lt;a href="canciones/ain_karem/palabras_de_vida.html"&gt;</v>
      </c>
      <c r="Y22"/>
      <c r="Z22" s="1"/>
      <c r="AA22" s="1"/>
      <c r="AB22" s="1"/>
      <c r="AC22" s="1"/>
    </row>
    <row r="23" spans="1:29" x14ac:dyDescent="0.3">
      <c r="A23" s="1">
        <f>ROW(CantoralDB[[#This Row],[Título]])-1</f>
        <v>22</v>
      </c>
      <c r="B23" s="1" t="s">
        <v>1752</v>
      </c>
      <c r="C23" s="1"/>
      <c r="H23" s="1" t="s">
        <v>529</v>
      </c>
      <c r="I23" s="1" t="s">
        <v>2947</v>
      </c>
      <c r="J23" s="1" t="s">
        <v>605</v>
      </c>
      <c r="M23" s="15" t="s">
        <v>499</v>
      </c>
      <c r="N23" s="1" t="s">
        <v>1503</v>
      </c>
      <c r="O23" s="15">
        <v>7</v>
      </c>
      <c r="P23" s="15">
        <v>2004</v>
      </c>
      <c r="Q23" s="15" t="str" cm="1">
        <f t="array" ref="Q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3" s="15" t="str" cm="1">
        <f t="array" ref="R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canciones/ain_karem/seducida.html</v>
      </c>
      <c r="T23" s="1"/>
      <c r="U23" s="1"/>
      <c r="V23" s="32" t="s">
        <v>3459</v>
      </c>
      <c r="W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href="canciones/ain_karem/seducida.html"&gt;Seducida&lt;/a&gt;&lt;/li&gt;</v>
      </c>
      <c r="X23" s="15" t="str">
        <f>_xlfn.TEXTBEFORE(_xlfn.TEXTAFTER(CantoralDB[[#This Row],[index.html]],"&gt;"),"&gt;")&amp;"&gt;"</f>
        <v>&lt;a href="canciones/ain_karem/seducida.html"&gt;</v>
      </c>
      <c r="Y23"/>
      <c r="Z23" s="1"/>
      <c r="AA23" s="1"/>
      <c r="AB23" s="1"/>
      <c r="AC23" s="1"/>
    </row>
    <row r="24" spans="1:29" x14ac:dyDescent="0.3">
      <c r="A24" s="1">
        <f>ROW(CantoralDB[[#This Row],[Título]])-1</f>
        <v>23</v>
      </c>
      <c r="B24" s="1" t="s">
        <v>1753</v>
      </c>
      <c r="C24" s="1"/>
      <c r="H24" s="1" t="s">
        <v>529</v>
      </c>
      <c r="I24" s="1" t="s">
        <v>2946</v>
      </c>
      <c r="J24" s="1" t="s">
        <v>605</v>
      </c>
      <c r="M24" s="15" t="s">
        <v>499</v>
      </c>
      <c r="N24" s="1" t="s">
        <v>1503</v>
      </c>
      <c r="O24" s="15">
        <v>8</v>
      </c>
      <c r="P24" s="15">
        <v>2004</v>
      </c>
      <c r="Q24" s="15" t="str" cm="1">
        <f t="array" ref="Q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4" s="15" t="str" cm="1">
        <f t="array" ref="R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canciones/ain_karem/escucha.html</v>
      </c>
      <c r="T24" s="1"/>
      <c r="U24" s="1"/>
      <c r="V24" s="32" t="s">
        <v>3460</v>
      </c>
      <c r="W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href="canciones/ain_karem/escucha.html"&gt;Escucha&lt;/a&gt;&lt;/li&gt;</v>
      </c>
      <c r="X24" s="15" t="str">
        <f>_xlfn.TEXTBEFORE(_xlfn.TEXTAFTER(CantoralDB[[#This Row],[index.html]],"&gt;"),"&gt;")&amp;"&gt;"</f>
        <v>&lt;a href="canciones/ain_karem/escucha.html"&gt;</v>
      </c>
      <c r="Y24"/>
      <c r="Z24" s="1"/>
      <c r="AA24" s="1"/>
      <c r="AB24" s="1"/>
      <c r="AC24" s="1"/>
    </row>
    <row r="25" spans="1:29" x14ac:dyDescent="0.3">
      <c r="A25" s="1">
        <f>ROW(CantoralDB[[#This Row],[Título]])-1</f>
        <v>24</v>
      </c>
      <c r="B25" s="1" t="s">
        <v>1754</v>
      </c>
      <c r="C25" s="1"/>
      <c r="H25" s="1" t="s">
        <v>529</v>
      </c>
      <c r="J25" s="1" t="s">
        <v>605</v>
      </c>
      <c r="M25" s="15" t="s">
        <v>499</v>
      </c>
      <c r="N25" s="1" t="s">
        <v>1503</v>
      </c>
      <c r="O25" s="15">
        <v>9</v>
      </c>
      <c r="P25" s="15">
        <v>2004</v>
      </c>
      <c r="Q25" s="15" t="str" cm="1">
        <f t="array" ref="Q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5" s="15" t="str" cm="1">
        <f t="array" ref="R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canciones/ain_karem/ruah.html</v>
      </c>
      <c r="T25" s="1"/>
      <c r="U25" s="1"/>
      <c r="V25" s="32" t="s">
        <v>3461</v>
      </c>
      <c r="W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href="canciones/ain_karem/ruah.html"&gt;Ruah&lt;/a&gt;&lt;/li&gt;</v>
      </c>
      <c r="X25" s="15" t="str">
        <f>_xlfn.TEXTBEFORE(_xlfn.TEXTAFTER(CantoralDB[[#This Row],[index.html]],"&gt;"),"&gt;")&amp;"&gt;"</f>
        <v>&lt;a href="canciones/ain_karem/ruah.html"&gt;</v>
      </c>
      <c r="Y25"/>
      <c r="Z25" s="1"/>
      <c r="AA25" s="1"/>
      <c r="AB25" s="1"/>
      <c r="AC25" s="1"/>
    </row>
    <row r="26" spans="1:29" x14ac:dyDescent="0.3">
      <c r="A26" s="1">
        <f>ROW(CantoralDB[[#This Row],[Título]])-1</f>
        <v>25</v>
      </c>
      <c r="B26" s="1" t="s">
        <v>1755</v>
      </c>
      <c r="C26" s="1"/>
      <c r="H26" s="1" t="s">
        <v>529</v>
      </c>
      <c r="I26" s="1" t="s">
        <v>2945</v>
      </c>
      <c r="J26" s="1" t="s">
        <v>605</v>
      </c>
      <c r="M26" s="15" t="s">
        <v>499</v>
      </c>
      <c r="N26" s="1" t="s">
        <v>1503</v>
      </c>
      <c r="O26" s="15">
        <v>10</v>
      </c>
      <c r="P26" s="15">
        <v>2004</v>
      </c>
      <c r="Q26" s="15" t="str" cm="1">
        <f t="array" ref="Q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6" s="15" t="str" cm="1">
        <f t="array" ref="R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canciones/ain_karem/no_guardes_tu_vida.html</v>
      </c>
      <c r="T26" s="1"/>
      <c r="U26" s="1"/>
      <c r="V26" s="32" t="s">
        <v>3462</v>
      </c>
      <c r="W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href="canciones/ain_karem/no_guardes_tu_vida.html"&gt;No guardes tu vida&lt;/a&gt;&lt;/li&gt;</v>
      </c>
      <c r="X26" s="15" t="str">
        <f>_xlfn.TEXTBEFORE(_xlfn.TEXTAFTER(CantoralDB[[#This Row],[index.html]],"&gt;"),"&gt;")&amp;"&gt;"</f>
        <v>&lt;a href="canciones/ain_karem/no_guardes_tu_vida.html"&gt;</v>
      </c>
      <c r="Y26"/>
      <c r="Z26" s="1"/>
      <c r="AA26" s="1"/>
      <c r="AB26" s="1"/>
      <c r="AC26" s="1"/>
    </row>
    <row r="27" spans="1:29" x14ac:dyDescent="0.3">
      <c r="A27" s="1">
        <f>ROW(CantoralDB[[#This Row],[Título]])-1</f>
        <v>26</v>
      </c>
      <c r="B27" s="1" t="s">
        <v>1756</v>
      </c>
      <c r="C27" s="1"/>
      <c r="H27" s="1" t="s">
        <v>1027</v>
      </c>
      <c r="I27" s="1" t="s">
        <v>2946</v>
      </c>
      <c r="J27" s="1" t="s">
        <v>605</v>
      </c>
      <c r="M27" s="15" t="s">
        <v>499</v>
      </c>
      <c r="N27" s="1" t="s">
        <v>1503</v>
      </c>
      <c r="O27" s="15">
        <v>11</v>
      </c>
      <c r="P27" s="15">
        <v>2004</v>
      </c>
      <c r="Q27" s="15" t="str" cm="1">
        <f t="array" ref="Q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7" s="15" t="str" cm="1">
        <f t="array" ref="R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canciones/ain_karem/atraeme.html</v>
      </c>
      <c r="T27" s="1"/>
      <c r="U27" s="1"/>
      <c r="V27" s="32" t="s">
        <v>3463</v>
      </c>
      <c r="W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href="canciones/ain_karem/atraeme.html"&gt;Atráeme&lt;/a&gt;&lt;/li&gt;</v>
      </c>
      <c r="X27" s="15" t="str">
        <f>_xlfn.TEXTBEFORE(_xlfn.TEXTAFTER(CantoralDB[[#This Row],[index.html]],"&gt;"),"&gt;")&amp;"&gt;"</f>
        <v>&lt;a href="canciones/ain_karem/atraeme.html"&gt;</v>
      </c>
      <c r="Y27"/>
      <c r="Z27" s="1"/>
      <c r="AA27" s="1"/>
      <c r="AB27" s="1"/>
      <c r="AC27" s="1"/>
    </row>
    <row r="28" spans="1:29" x14ac:dyDescent="0.3">
      <c r="A28" s="1">
        <f>ROW(CantoralDB[[#This Row],[Título]])-1</f>
        <v>27</v>
      </c>
      <c r="B28" s="1" t="s">
        <v>1757</v>
      </c>
      <c r="C28" s="1"/>
      <c r="H28" s="1" t="s">
        <v>529</v>
      </c>
      <c r="I28" s="1" t="s">
        <v>2948</v>
      </c>
      <c r="J28" s="1" t="s">
        <v>605</v>
      </c>
      <c r="M28" s="15" t="s">
        <v>499</v>
      </c>
      <c r="N28" s="1" t="s">
        <v>1503</v>
      </c>
      <c r="O28" s="15">
        <v>12</v>
      </c>
      <c r="P28" s="15">
        <v>2004</v>
      </c>
      <c r="Q28" s="15" t="str" cm="1">
        <f t="array" ref="Q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8" s="15" t="str" cm="1">
        <f t="array" ref="R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canciones/ain_karem/dios_de_la_historia_bendice.html</v>
      </c>
      <c r="T28" s="1"/>
      <c r="U28" s="1"/>
      <c r="V28" s="32" t="s">
        <v>3464</v>
      </c>
      <c r="W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href="canciones/ain_karem/dios_de_la_historia_bendice.html"&gt;Dios de la historia, bendice&lt;/a&gt;&lt;/li&gt;</v>
      </c>
      <c r="X28" s="15" t="str">
        <f>_xlfn.TEXTBEFORE(_xlfn.TEXTAFTER(CantoralDB[[#This Row],[index.html]],"&gt;"),"&gt;")&amp;"&gt;"</f>
        <v>&lt;a href="canciones/ain_karem/dios_de_la_historia_bendice.html"&gt;</v>
      </c>
      <c r="Y28"/>
      <c r="AB28" s="1"/>
      <c r="AC28" s="1"/>
    </row>
    <row r="29" spans="1:29" x14ac:dyDescent="0.3">
      <c r="A29" s="1">
        <f>ROW(CantoralDB[[#This Row],[Título]])-1</f>
        <v>28</v>
      </c>
      <c r="B29" s="1" t="s">
        <v>1758</v>
      </c>
      <c r="C29" s="1"/>
      <c r="H29" s="1" t="s">
        <v>1027</v>
      </c>
      <c r="I29" s="1" t="s">
        <v>2949</v>
      </c>
      <c r="J29" s="1" t="s">
        <v>605</v>
      </c>
      <c r="M29" s="15" t="s">
        <v>499</v>
      </c>
      <c r="N29" s="1" t="s">
        <v>1503</v>
      </c>
      <c r="O29" s="15">
        <v>13</v>
      </c>
      <c r="P29" s="15">
        <v>2004</v>
      </c>
      <c r="Q29" s="15" t="str" cm="1">
        <f t="array" ref="Q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29" s="15" t="str" cm="1">
        <f t="array" ref="R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canciones/ain_karem/levantad_las_piedras.html</v>
      </c>
      <c r="T29" s="1"/>
      <c r="U29" s="1"/>
      <c r="V29" s="32" t="s">
        <v>3465</v>
      </c>
      <c r="W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href="canciones/ain_karem/levantad_las_piedras.html"&gt;Levantad las piedras&lt;/a&gt;&lt;/li&gt;</v>
      </c>
      <c r="X29" s="15" t="str">
        <f>_xlfn.TEXTBEFORE(_xlfn.TEXTAFTER(CantoralDB[[#This Row],[index.html]],"&gt;"),"&gt;")&amp;"&gt;"</f>
        <v>&lt;a href="canciones/ain_karem/levantad_las_piedras.html"&gt;</v>
      </c>
      <c r="Y29"/>
      <c r="Z29" s="1"/>
      <c r="AA29" s="1"/>
      <c r="AB29" s="1"/>
      <c r="AC29" s="1"/>
    </row>
    <row r="30" spans="1:29" x14ac:dyDescent="0.3">
      <c r="A30" s="1">
        <f>ROW(CantoralDB[[#This Row],[Título]])-1</f>
        <v>29</v>
      </c>
      <c r="B30" s="1" t="s">
        <v>193</v>
      </c>
      <c r="C30" s="1"/>
      <c r="H30" s="1" t="s">
        <v>529</v>
      </c>
      <c r="I30" s="1" t="s">
        <v>2949</v>
      </c>
      <c r="J30" s="1" t="s">
        <v>605</v>
      </c>
      <c r="M30" s="15" t="s">
        <v>499</v>
      </c>
      <c r="N30" s="1" t="s">
        <v>1507</v>
      </c>
      <c r="O30" s="15">
        <v>1</v>
      </c>
      <c r="P30" s="15">
        <v>2013</v>
      </c>
      <c r="Q30" s="15" t="str" cm="1">
        <f t="array" ref="Q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0" s="15" t="str" cm="1">
        <f t="array" ref="R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canciones/ain_karem/aleluya.html</v>
      </c>
      <c r="T30" s="1"/>
      <c r="U30" s="1"/>
      <c r="V30" s="32" t="s">
        <v>3466</v>
      </c>
      <c r="W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href="canciones/ain_karem/aleluya.html"&gt;Aleluya&lt;/a&gt;&lt;/li&gt;</v>
      </c>
      <c r="X30" s="15" t="str">
        <f>_xlfn.TEXTBEFORE(_xlfn.TEXTAFTER(CantoralDB[[#This Row],[index.html]],"&gt;"),"&gt;")&amp;"&gt;"</f>
        <v>&lt;a href="canciones/ain_karem/aleluya.html"&gt;</v>
      </c>
      <c r="Y30"/>
      <c r="Z30" s="1"/>
      <c r="AA30" s="1"/>
      <c r="AB30" s="1"/>
      <c r="AC30" s="1"/>
    </row>
    <row r="31" spans="1:29" x14ac:dyDescent="0.3">
      <c r="A31" s="1">
        <f>ROW(CantoralDB[[#This Row],[Título]])-1</f>
        <v>30</v>
      </c>
      <c r="B31" s="1" t="s">
        <v>1795</v>
      </c>
      <c r="C31" s="1"/>
      <c r="H31" s="1" t="s">
        <v>1027</v>
      </c>
      <c r="I31" s="1" t="s">
        <v>2945</v>
      </c>
      <c r="J31" s="1" t="s">
        <v>605</v>
      </c>
      <c r="M31" s="15" t="s">
        <v>499</v>
      </c>
      <c r="N31" s="1" t="s">
        <v>1507</v>
      </c>
      <c r="O31" s="15">
        <v>2</v>
      </c>
      <c r="P31" s="15">
        <v>2013</v>
      </c>
      <c r="Q31" s="15" t="str" cm="1">
        <f t="array" ref="Q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1" s="15" t="str" cm="1">
        <f t="array" ref="R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canciones/ain_karem/tu_eres_mi_bien.html</v>
      </c>
      <c r="T31" s="1"/>
      <c r="U31" s="1"/>
      <c r="V31" s="32" t="s">
        <v>3467</v>
      </c>
      <c r="W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href="canciones/ain_karem/tu_eres_mi_bien.html"&gt;Tú eres mi bien&lt;/a&gt;&lt;/li&gt;</v>
      </c>
      <c r="X31" s="15" t="str">
        <f>_xlfn.TEXTBEFORE(_xlfn.TEXTAFTER(CantoralDB[[#This Row],[index.html]],"&gt;"),"&gt;")&amp;"&gt;"</f>
        <v>&lt;a href="canciones/ain_karem/tu_eres_mi_bien.html"&gt;</v>
      </c>
      <c r="Y31"/>
      <c r="Z31" s="1"/>
      <c r="AA31" s="1"/>
      <c r="AB31" s="1"/>
      <c r="AC31" s="1"/>
    </row>
    <row r="32" spans="1:29" x14ac:dyDescent="0.3">
      <c r="A32" s="1">
        <f>ROW(CantoralDB[[#This Row],[Título]])-1</f>
        <v>31</v>
      </c>
      <c r="B32" s="1" t="s">
        <v>1796</v>
      </c>
      <c r="C32" s="1"/>
      <c r="H32" s="1" t="s">
        <v>1027</v>
      </c>
      <c r="I32" s="1" t="s">
        <v>2945</v>
      </c>
      <c r="J32" s="1" t="s">
        <v>605</v>
      </c>
      <c r="M32" s="15" t="s">
        <v>499</v>
      </c>
      <c r="N32" s="1" t="s">
        <v>1507</v>
      </c>
      <c r="O32" s="15">
        <v>3</v>
      </c>
      <c r="P32" s="15">
        <v>2013</v>
      </c>
      <c r="Q32" s="15" t="str" cm="1">
        <f t="array" ref="Q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2" s="15" t="str" cm="1">
        <f t="array" ref="R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canciones/ain_karem/desde_abajo.html</v>
      </c>
      <c r="T32" s="1"/>
      <c r="U32" s="1"/>
      <c r="V32" s="32" t="s">
        <v>3468</v>
      </c>
      <c r="W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href="canciones/ain_karem/desde_abajo.html"&gt;Desde abajo&lt;/a&gt;&lt;/li&gt;</v>
      </c>
      <c r="X32" s="15" t="str">
        <f>_xlfn.TEXTBEFORE(_xlfn.TEXTAFTER(CantoralDB[[#This Row],[index.html]],"&gt;"),"&gt;")&amp;"&gt;"</f>
        <v>&lt;a href="canciones/ain_karem/desde_abajo.html"&gt;</v>
      </c>
      <c r="Y32"/>
      <c r="Z32" s="1"/>
      <c r="AA32" s="1"/>
      <c r="AB32" s="1"/>
      <c r="AC32" s="1"/>
    </row>
    <row r="33" spans="1:29" x14ac:dyDescent="0.3">
      <c r="A33" s="1">
        <f>ROW(CantoralDB[[#This Row],[Título]])-1</f>
        <v>32</v>
      </c>
      <c r="B33" s="1" t="s">
        <v>1797</v>
      </c>
      <c r="C33" s="1"/>
      <c r="H33" s="1" t="s">
        <v>1027</v>
      </c>
      <c r="I33" s="1" t="s">
        <v>2949</v>
      </c>
      <c r="J33" s="1" t="s">
        <v>605</v>
      </c>
      <c r="M33" s="15" t="s">
        <v>499</v>
      </c>
      <c r="N33" s="1" t="s">
        <v>1507</v>
      </c>
      <c r="O33" s="15">
        <v>4</v>
      </c>
      <c r="P33" s="15">
        <v>2013</v>
      </c>
      <c r="Q33" s="15" t="str" cm="1">
        <f t="array" ref="Q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3" s="15" t="str" cm="1">
        <f t="array" ref="R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canciones/ain_karem/como_la_cierva.html</v>
      </c>
      <c r="T33" s="1"/>
      <c r="U33" s="1"/>
      <c r="V33" s="32" t="s">
        <v>3469</v>
      </c>
      <c r="W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href="canciones/ain_karem/como_la_cierva.html"&gt;Como la cierva&lt;/a&gt;&lt;/li&gt;</v>
      </c>
      <c r="X33" s="15" t="str">
        <f>_xlfn.TEXTBEFORE(_xlfn.TEXTAFTER(CantoralDB[[#This Row],[index.html]],"&gt;"),"&gt;")&amp;"&gt;"</f>
        <v>&lt;a href="canciones/ain_karem/como_la_cierva.html"&gt;</v>
      </c>
      <c r="Y33"/>
      <c r="Z33" s="1"/>
      <c r="AA33" s="1"/>
      <c r="AB33" s="1"/>
      <c r="AC33" s="1"/>
    </row>
    <row r="34" spans="1:29" x14ac:dyDescent="0.3">
      <c r="A34" s="1">
        <f>ROW(CantoralDB[[#This Row],[Título]])-1</f>
        <v>33</v>
      </c>
      <c r="B34" s="1" t="s">
        <v>1798</v>
      </c>
      <c r="C34" s="1"/>
      <c r="H34" s="1" t="s">
        <v>529</v>
      </c>
      <c r="I34" s="1" t="s">
        <v>2946</v>
      </c>
      <c r="J34" s="1" t="s">
        <v>605</v>
      </c>
      <c r="M34" s="15" t="s">
        <v>499</v>
      </c>
      <c r="N34" s="1" t="s">
        <v>1507</v>
      </c>
      <c r="O34" s="15">
        <v>5</v>
      </c>
      <c r="P34" s="15">
        <v>2013</v>
      </c>
      <c r="Q34" s="15" t="str" cm="1">
        <f t="array" ref="Q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4" s="15" t="str" cm="1">
        <f t="array" ref="R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canciones/ain_karem/solo_tu.html</v>
      </c>
      <c r="T34" s="1"/>
      <c r="U34" s="1"/>
      <c r="V34" s="32" t="s">
        <v>3470</v>
      </c>
      <c r="W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href="canciones/ain_karem/solo_tu.html"&gt;Sólo Tú&lt;/a&gt;&lt;/li&gt;</v>
      </c>
      <c r="X34" s="15" t="str">
        <f>_xlfn.TEXTBEFORE(_xlfn.TEXTAFTER(CantoralDB[[#This Row],[index.html]],"&gt;"),"&gt;")&amp;"&gt;"</f>
        <v>&lt;a href="canciones/ain_karem/solo_tu.html"&gt;</v>
      </c>
      <c r="Y34"/>
      <c r="Z34" s="1"/>
      <c r="AA34" s="1"/>
      <c r="AB34" s="1"/>
      <c r="AC34" s="1"/>
    </row>
    <row r="35" spans="1:29" x14ac:dyDescent="0.3">
      <c r="A35" s="1">
        <f>ROW(CantoralDB[[#This Row],[Título]])-1</f>
        <v>34</v>
      </c>
      <c r="B35" s="1" t="s">
        <v>1799</v>
      </c>
      <c r="C35" s="1"/>
      <c r="H35" s="1" t="s">
        <v>1024</v>
      </c>
      <c r="J35" s="1" t="s">
        <v>605</v>
      </c>
      <c r="M35" s="15" t="s">
        <v>499</v>
      </c>
      <c r="N35" s="1" t="s">
        <v>1507</v>
      </c>
      <c r="O35" s="15">
        <v>6</v>
      </c>
      <c r="P35" s="15">
        <v>2013</v>
      </c>
      <c r="Q35" s="15" t="str" cm="1">
        <f t="array" ref="Q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5" s="15" t="str" cm="1">
        <f t="array" ref="R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canciones/ain_karem/sed_felices.html</v>
      </c>
      <c r="T35" s="1"/>
      <c r="U35" s="1"/>
      <c r="V35" s="32" t="s">
        <v>3471</v>
      </c>
      <c r="W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href="canciones/ain_karem/sed_felices.html"&gt;Sed felices&lt;/a&gt;&lt;/li&gt;</v>
      </c>
      <c r="X35" s="15" t="str">
        <f>_xlfn.TEXTBEFORE(_xlfn.TEXTAFTER(CantoralDB[[#This Row],[index.html]],"&gt;"),"&gt;")&amp;"&gt;"</f>
        <v>&lt;a href="canciones/ain_karem/sed_felices.html"&gt;</v>
      </c>
      <c r="Y35"/>
      <c r="Z35" s="1"/>
      <c r="AA35" s="1"/>
      <c r="AB35" s="1"/>
      <c r="AC35" s="1"/>
    </row>
    <row r="36" spans="1:29" x14ac:dyDescent="0.3">
      <c r="A36" s="1">
        <f>ROW(CantoralDB[[#This Row],[Título]])-1</f>
        <v>35</v>
      </c>
      <c r="B36" s="1" t="s">
        <v>1579</v>
      </c>
      <c r="C36" s="1"/>
      <c r="H36" s="1" t="s">
        <v>1027</v>
      </c>
      <c r="I36" s="1" t="s">
        <v>2949</v>
      </c>
      <c r="J36" s="1" t="s">
        <v>605</v>
      </c>
      <c r="M36" s="15" t="s">
        <v>499</v>
      </c>
      <c r="N36" s="1" t="s">
        <v>1507</v>
      </c>
      <c r="O36" s="15">
        <v>7</v>
      </c>
      <c r="P36" s="15">
        <v>2013</v>
      </c>
      <c r="Q36" s="15" t="str" cm="1">
        <f t="array" ref="Q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6" s="15" t="str" cm="1">
        <f t="array" ref="R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canciones/ain_karem/ten_piedad.html</v>
      </c>
      <c r="T36" s="1"/>
      <c r="U36" s="1"/>
      <c r="V36" s="32" t="s">
        <v>3472</v>
      </c>
      <c r="W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href="canciones/ain_karem/ten_piedad.html"&gt;Ten piedad&lt;/a&gt;&lt;/li&gt;</v>
      </c>
      <c r="X36" s="15" t="str">
        <f>_xlfn.TEXTBEFORE(_xlfn.TEXTAFTER(CantoralDB[[#This Row],[index.html]],"&gt;"),"&gt;")&amp;"&gt;"</f>
        <v>&lt;a href="canciones/ain_karem/ten_piedad.html"&gt;</v>
      </c>
      <c r="Y36"/>
      <c r="Z36" s="1"/>
      <c r="AA36" s="1"/>
      <c r="AB36" s="1"/>
      <c r="AC36" s="1"/>
    </row>
    <row r="37" spans="1:29" x14ac:dyDescent="0.3">
      <c r="A37" s="1">
        <f>ROW(CantoralDB[[#This Row],[Título]])-1</f>
        <v>36</v>
      </c>
      <c r="B37" s="1" t="s">
        <v>1507</v>
      </c>
      <c r="C37" s="1"/>
      <c r="H37" s="1" t="s">
        <v>1027</v>
      </c>
      <c r="J37" s="1" t="s">
        <v>605</v>
      </c>
      <c r="M37" s="15" t="s">
        <v>499</v>
      </c>
      <c r="N37" s="1" t="s">
        <v>1507</v>
      </c>
      <c r="O37" s="15">
        <v>8</v>
      </c>
      <c r="P37" s="15">
        <v>2013</v>
      </c>
      <c r="Q37" s="15" t="str" cm="1">
        <f t="array" ref="Q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7" s="15" t="str" cm="1">
        <f t="array" ref="R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canciones/ain_karem/busca_mi_rostro.html</v>
      </c>
      <c r="T37" s="1"/>
      <c r="U37" s="1"/>
      <c r="V37" s="32" t="s">
        <v>3473</v>
      </c>
      <c r="W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href="canciones/ain_karem/busca_mi_rostro.html"&gt;Busca mi rostro&lt;/a&gt;&lt;/li&gt;</v>
      </c>
      <c r="X37" s="15" t="str">
        <f>_xlfn.TEXTBEFORE(_xlfn.TEXTAFTER(CantoralDB[[#This Row],[index.html]],"&gt;"),"&gt;")&amp;"&gt;"</f>
        <v>&lt;a href="canciones/ain_karem/busca_mi_rostro.html"&gt;</v>
      </c>
      <c r="Y37"/>
      <c r="Z37" s="1"/>
      <c r="AA37" s="1"/>
      <c r="AB37" s="1"/>
      <c r="AC37" s="1"/>
    </row>
    <row r="38" spans="1:29" x14ac:dyDescent="0.3">
      <c r="A38" s="1">
        <f>ROW(CantoralDB[[#This Row],[Título]])-1</f>
        <v>37</v>
      </c>
      <c r="B38" s="1" t="s">
        <v>1800</v>
      </c>
      <c r="C38" s="1"/>
      <c r="H38" s="1" t="s">
        <v>472</v>
      </c>
      <c r="J38" s="1" t="s">
        <v>605</v>
      </c>
      <c r="M38" s="15" t="s">
        <v>499</v>
      </c>
      <c r="N38" s="1" t="s">
        <v>1507</v>
      </c>
      <c r="O38" s="15">
        <v>9</v>
      </c>
      <c r="P38" s="15">
        <v>2013</v>
      </c>
      <c r="Q38" s="15" t="str" cm="1">
        <f t="array" ref="Q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8" s="15" t="str" cm="1">
        <f t="array" ref="R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canciones/ain_karem/señor_de_la_sabiduria.html</v>
      </c>
      <c r="T38" s="1"/>
      <c r="U38" s="1"/>
      <c r="V38" s="32" t="s">
        <v>3474</v>
      </c>
      <c r="W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href="canciones/ain_karem/señor_de_la_sabiduria.html"&gt;Señor de la sabiduría&lt;/a&gt;&lt;/li&gt;</v>
      </c>
      <c r="X38" s="15" t="str">
        <f>_xlfn.TEXTBEFORE(_xlfn.TEXTAFTER(CantoralDB[[#This Row],[index.html]],"&gt;"),"&gt;")&amp;"&gt;"</f>
        <v>&lt;a href="canciones/ain_karem/señor_de_la_sabiduria.html"&gt;</v>
      </c>
      <c r="Y38"/>
      <c r="Z38" s="1"/>
      <c r="AA38" s="1"/>
      <c r="AB38" s="1"/>
      <c r="AC38" s="1"/>
    </row>
    <row r="39" spans="1:29" x14ac:dyDescent="0.3">
      <c r="A39" s="1">
        <f>ROW(CantoralDB[[#This Row],[Título]])-1</f>
        <v>38</v>
      </c>
      <c r="B39" s="1" t="s">
        <v>1801</v>
      </c>
      <c r="C39" s="1"/>
      <c r="H39" s="1" t="s">
        <v>1026</v>
      </c>
      <c r="I39" s="1" t="s">
        <v>2947</v>
      </c>
      <c r="J39" s="1" t="s">
        <v>605</v>
      </c>
      <c r="M39" s="15" t="s">
        <v>499</v>
      </c>
      <c r="N39" s="1" t="s">
        <v>1507</v>
      </c>
      <c r="O39" s="15">
        <v>10</v>
      </c>
      <c r="P39" s="15">
        <v>2013</v>
      </c>
      <c r="Q39" s="15" t="str" cm="1">
        <f t="array" ref="Q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39" s="15" t="str" cm="1">
        <f t="array" ref="R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canciones/ain_karem/descansa_en_ti_su_mirada.html</v>
      </c>
      <c r="T39" s="1"/>
      <c r="U39" s="1"/>
      <c r="V39" s="32" t="s">
        <v>3475</v>
      </c>
      <c r="W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href="canciones/ain_karem/descansa_en_ti_su_mirada.html"&gt;Descansa en ti su mirada&lt;/a&gt;&lt;/li&gt;</v>
      </c>
      <c r="X39" s="15" t="str">
        <f>_xlfn.TEXTBEFORE(_xlfn.TEXTAFTER(CantoralDB[[#This Row],[index.html]],"&gt;"),"&gt;")&amp;"&gt;"</f>
        <v>&lt;a href="canciones/ain_karem/descansa_en_ti_su_mirada.html"&gt;</v>
      </c>
      <c r="Y39"/>
      <c r="Z39" s="1"/>
      <c r="AA39" s="1"/>
      <c r="AB39" s="1"/>
      <c r="AC39" s="1"/>
    </row>
    <row r="40" spans="1:29" x14ac:dyDescent="0.3">
      <c r="A40" s="1">
        <f>ROW(CantoralDB[[#This Row],[Título]])-1</f>
        <v>39</v>
      </c>
      <c r="B40" s="1" t="s">
        <v>1802</v>
      </c>
      <c r="C40" s="1"/>
      <c r="H40" s="1" t="s">
        <v>1027</v>
      </c>
      <c r="J40" s="1" t="s">
        <v>605</v>
      </c>
      <c r="M40" s="15" t="s">
        <v>499</v>
      </c>
      <c r="N40" s="1" t="s">
        <v>1507</v>
      </c>
      <c r="O40" s="15">
        <v>11</v>
      </c>
      <c r="P40" s="15">
        <v>2013</v>
      </c>
      <c r="Q40" s="15" t="str" cm="1">
        <f t="array" ref="Q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0" s="15" t="str" cm="1">
        <f t="array" ref="R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canciones/ain_karem/el_amor.html</v>
      </c>
      <c r="T40" s="1"/>
      <c r="U40" s="1"/>
      <c r="V40" s="32" t="s">
        <v>3476</v>
      </c>
      <c r="W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href="canciones/ain_karem/el_amor.html"&gt;El amor&lt;/a&gt;&lt;/li&gt;</v>
      </c>
      <c r="X40" s="15" t="str">
        <f>_xlfn.TEXTBEFORE(_xlfn.TEXTAFTER(CantoralDB[[#This Row],[index.html]],"&gt;"),"&gt;")&amp;"&gt;"</f>
        <v>&lt;a href="canciones/ain_karem/el_amor.html"&gt;</v>
      </c>
      <c r="Y40"/>
      <c r="Z40" s="1"/>
      <c r="AA40" s="1"/>
      <c r="AB40" s="1"/>
      <c r="AC40" s="1"/>
    </row>
    <row r="41" spans="1:29" x14ac:dyDescent="0.3">
      <c r="A41" s="1">
        <f>ROW(CantoralDB[[#This Row],[Título]])-1</f>
        <v>40</v>
      </c>
      <c r="B41" s="1" t="s">
        <v>532</v>
      </c>
      <c r="C41" s="1"/>
      <c r="H41" s="1" t="s">
        <v>1027</v>
      </c>
      <c r="I41" s="1" t="s">
        <v>2947</v>
      </c>
      <c r="J41" s="1" t="s">
        <v>605</v>
      </c>
      <c r="M41" s="15" t="s">
        <v>499</v>
      </c>
      <c r="N41" s="1" t="s">
        <v>1507</v>
      </c>
      <c r="O41" s="15">
        <v>12</v>
      </c>
      <c r="P41" s="15">
        <v>2013</v>
      </c>
      <c r="Q41" s="15" t="str" cm="1">
        <f t="array" ref="Q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1" s="15" t="str" cm="1">
        <f t="array" ref="R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canciones/ain_karem/maria_de_nazaret.html</v>
      </c>
      <c r="T41" s="1"/>
      <c r="U41" s="1"/>
      <c r="V41" s="32" t="s">
        <v>3477</v>
      </c>
      <c r="W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href="canciones/ain_karem/maria_de_nazaret.html"&gt;María de Nazaret&lt;/a&gt;&lt;/li&gt;</v>
      </c>
      <c r="X41" s="15" t="str">
        <f>_xlfn.TEXTBEFORE(_xlfn.TEXTAFTER(CantoralDB[[#This Row],[index.html]],"&gt;"),"&gt;")&amp;"&gt;"</f>
        <v>&lt;a href="canciones/ain_karem/maria_de_nazaret.html"&gt;</v>
      </c>
      <c r="Y41"/>
      <c r="Z41" s="1"/>
      <c r="AA41" s="1"/>
      <c r="AB41" s="1"/>
      <c r="AC41" s="1"/>
    </row>
    <row r="42" spans="1:29" x14ac:dyDescent="0.3">
      <c r="A42" s="1">
        <f>ROW(CantoralDB[[#This Row],[Título]])-1</f>
        <v>41</v>
      </c>
      <c r="B42" s="1" t="s">
        <v>1803</v>
      </c>
      <c r="C42" s="1"/>
      <c r="H42" s="1" t="s">
        <v>1027</v>
      </c>
      <c r="I42" s="1" t="s">
        <v>2948</v>
      </c>
      <c r="J42" s="1" t="s">
        <v>605</v>
      </c>
      <c r="M42" s="15" t="s">
        <v>499</v>
      </c>
      <c r="N42" s="1" t="s">
        <v>1507</v>
      </c>
      <c r="O42" s="15">
        <v>13</v>
      </c>
      <c r="P42" s="15">
        <v>2013</v>
      </c>
      <c r="Q42" s="15" t="str" cm="1">
        <f t="array" ref="Q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2" s="15" t="str" cm="1">
        <f t="array" ref="R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canciones/ain_karem/miradle.html</v>
      </c>
      <c r="T42" s="1"/>
      <c r="U42" s="1"/>
      <c r="V42" s="32" t="s">
        <v>3478</v>
      </c>
      <c r="W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href="canciones/ain_karem/miradle.html"&gt;Miradle&lt;/a&gt;&lt;/li&gt;</v>
      </c>
      <c r="X42" s="15" t="str">
        <f>_xlfn.TEXTBEFORE(_xlfn.TEXTAFTER(CantoralDB[[#This Row],[index.html]],"&gt;"),"&gt;")&amp;"&gt;"</f>
        <v>&lt;a href="canciones/ain_karem/miradle.html"&gt;</v>
      </c>
      <c r="Y42"/>
      <c r="Z42" s="1"/>
      <c r="AA42" s="1"/>
      <c r="AB42" s="1"/>
      <c r="AC42" s="1"/>
    </row>
    <row r="43" spans="1:29" x14ac:dyDescent="0.3">
      <c r="A43" s="1">
        <f>ROW(CantoralDB[[#This Row],[Título]])-1</f>
        <v>42</v>
      </c>
      <c r="B43" s="1" t="s">
        <v>1804</v>
      </c>
      <c r="C43" s="1"/>
      <c r="H43" s="1" t="s">
        <v>1024</v>
      </c>
      <c r="J43" s="1" t="s">
        <v>605</v>
      </c>
      <c r="M43" s="15" t="s">
        <v>499</v>
      </c>
      <c r="N43" s="1" t="s">
        <v>1507</v>
      </c>
      <c r="O43" s="15">
        <v>14</v>
      </c>
      <c r="P43" s="15">
        <v>2013</v>
      </c>
      <c r="Q43" s="15" t="str" cm="1">
        <f t="array" ref="Q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3" s="15" t="str" cm="1">
        <f t="array" ref="R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canciones/ain_karem/venid_conmigo.html</v>
      </c>
      <c r="T43" s="1"/>
      <c r="U43" s="1"/>
      <c r="V43" s="32" t="s">
        <v>3479</v>
      </c>
      <c r="W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href="canciones/ain_karem/venid_conmigo.html"&gt;Venid conmigo&lt;/a&gt;&lt;/li&gt;</v>
      </c>
      <c r="X43" s="15" t="str">
        <f>_xlfn.TEXTBEFORE(_xlfn.TEXTAFTER(CantoralDB[[#This Row],[index.html]],"&gt;"),"&gt;")&amp;"&gt;"</f>
        <v>&lt;a href="canciones/ain_karem/venid_conmigo.html"&gt;</v>
      </c>
      <c r="Y43"/>
      <c r="Z43" s="1"/>
      <c r="AA43" s="1"/>
      <c r="AB43" s="1"/>
      <c r="AC43" s="1"/>
    </row>
    <row r="44" spans="1:29" x14ac:dyDescent="0.3">
      <c r="A44" s="1">
        <f>ROW(CantoralDB[[#This Row],[Título]])-1</f>
        <v>43</v>
      </c>
      <c r="B44" s="1" t="s">
        <v>1805</v>
      </c>
      <c r="C44" s="1"/>
      <c r="H44" s="1" t="s">
        <v>1027</v>
      </c>
      <c r="J44" s="1"/>
      <c r="M44" s="15" t="s">
        <v>499</v>
      </c>
      <c r="N44" s="1" t="s">
        <v>1507</v>
      </c>
      <c r="O44" s="15">
        <v>15</v>
      </c>
      <c r="P44" s="15">
        <v>2013</v>
      </c>
      <c r="Q44" s="15" t="str" cm="1">
        <f t="array" ref="Q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4" s="15" t="str" cm="1">
        <f t="array" ref="R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canciones/ain_karem/somos_vedruna.html</v>
      </c>
      <c r="T44" s="1"/>
      <c r="U44" s="1"/>
      <c r="V44" s="32" t="s">
        <v>3480</v>
      </c>
      <c r="W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href="canciones/ain_karem/somos_vedruna.html"&gt;Somos vedruna&lt;/a&gt;&lt;/li&gt;</v>
      </c>
      <c r="X44" s="15" t="str">
        <f>_xlfn.TEXTBEFORE(_xlfn.TEXTAFTER(CantoralDB[[#This Row],[index.html]],"&gt;"),"&gt;")&amp;"&gt;"</f>
        <v>&lt;a href="canciones/ain_karem/somos_vedruna.html"&gt;</v>
      </c>
      <c r="Y44"/>
      <c r="Z44" s="1"/>
      <c r="AA44" s="1"/>
      <c r="AB44" s="1"/>
      <c r="AC44" s="1"/>
    </row>
    <row r="45" spans="1:29" x14ac:dyDescent="0.3">
      <c r="A45" s="1">
        <f>ROW(CantoralDB[[#This Row],[Título]])-1</f>
        <v>44</v>
      </c>
      <c r="B45" s="1" t="s">
        <v>1759</v>
      </c>
      <c r="C45" s="1"/>
      <c r="H45" s="1" t="s">
        <v>529</v>
      </c>
      <c r="J45" s="1" t="s">
        <v>605</v>
      </c>
      <c r="M45" s="15" t="s">
        <v>499</v>
      </c>
      <c r="N45" s="1" t="s">
        <v>1504</v>
      </c>
      <c r="O45" s="15">
        <v>1</v>
      </c>
      <c r="P45" s="15">
        <v>2008</v>
      </c>
      <c r="Q45" s="15" t="str" cm="1">
        <f t="array" ref="Q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5" s="15" t="str" cm="1">
        <f t="array" ref="R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canciones/ain_karem/dios_fiel.html</v>
      </c>
      <c r="T45" s="1"/>
      <c r="U45" s="1"/>
      <c r="V45" s="32" t="s">
        <v>3481</v>
      </c>
      <c r="W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href="canciones/ain_karem/dios_fiel.html"&gt;Dios fiel&lt;/a&gt;&lt;/li&gt;</v>
      </c>
      <c r="X45" s="15" t="str">
        <f>_xlfn.TEXTBEFORE(_xlfn.TEXTAFTER(CantoralDB[[#This Row],[index.html]],"&gt;"),"&gt;")&amp;"&gt;"</f>
        <v>&lt;a href="canciones/ain_karem/dios_fiel.html"&gt;</v>
      </c>
      <c r="Y45"/>
      <c r="Z45" s="1"/>
      <c r="AA45" s="1"/>
      <c r="AB45" s="1"/>
      <c r="AC45" s="1"/>
    </row>
    <row r="46" spans="1:29" x14ac:dyDescent="0.3">
      <c r="A46" s="1">
        <f>ROW(CantoralDB[[#This Row],[Título]])-1</f>
        <v>45</v>
      </c>
      <c r="B46" s="1" t="s">
        <v>1760</v>
      </c>
      <c r="C46" s="1"/>
      <c r="H46" s="1" t="s">
        <v>472</v>
      </c>
      <c r="I46" s="1" t="s">
        <v>2945</v>
      </c>
      <c r="J46" s="1" t="s">
        <v>605</v>
      </c>
      <c r="M46" s="15" t="s">
        <v>499</v>
      </c>
      <c r="N46" s="1" t="s">
        <v>1504</v>
      </c>
      <c r="O46" s="15">
        <v>2</v>
      </c>
      <c r="P46" s="15">
        <v>2008</v>
      </c>
      <c r="Q46" s="15" t="str" cm="1">
        <f t="array" ref="Q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6" s="15" t="str" cm="1">
        <f t="array" ref="R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canciones/ain_karem/hambre_y_sed_de_ti.html</v>
      </c>
      <c r="T46" s="1"/>
      <c r="U46" s="1"/>
      <c r="V46" s="32" t="s">
        <v>3482</v>
      </c>
      <c r="W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href="canciones/ain_karem/hambre_y_sed_de_ti.html"&gt;Hambre y sed de Ti&lt;/a&gt;&lt;/li&gt;</v>
      </c>
      <c r="X46" s="15" t="str">
        <f>_xlfn.TEXTBEFORE(_xlfn.TEXTAFTER(CantoralDB[[#This Row],[index.html]],"&gt;"),"&gt;")&amp;"&gt;"</f>
        <v>&lt;a href="canciones/ain_karem/hambre_y_sed_de_ti.html"&gt;</v>
      </c>
      <c r="Y46"/>
      <c r="Z46" s="1"/>
      <c r="AA46" s="1"/>
      <c r="AB46" s="1"/>
      <c r="AC46" s="1"/>
    </row>
    <row r="47" spans="1:29" x14ac:dyDescent="0.3">
      <c r="A47" s="1">
        <f>ROW(CantoralDB[[#This Row],[Título]])-1</f>
        <v>46</v>
      </c>
      <c r="B47" s="1" t="s">
        <v>1761</v>
      </c>
      <c r="C47" s="1"/>
      <c r="H47" s="1" t="s">
        <v>1024</v>
      </c>
      <c r="J47" s="1" t="s">
        <v>605</v>
      </c>
      <c r="M47" s="15" t="s">
        <v>499</v>
      </c>
      <c r="N47" s="1" t="s">
        <v>1504</v>
      </c>
      <c r="O47" s="15">
        <v>3</v>
      </c>
      <c r="P47" s="15">
        <v>2008</v>
      </c>
      <c r="Q47" s="15" t="str" cm="1">
        <f t="array" ref="Q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7" s="15" t="str" cm="1">
        <f t="array" ref="R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canciones/ain_karem/confianza.html</v>
      </c>
      <c r="T47" s="1"/>
      <c r="U47" s="1"/>
      <c r="V47" s="32" t="s">
        <v>3483</v>
      </c>
      <c r="W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href="canciones/ain_karem/confianza.html"&gt;Confianza&lt;/a&gt;&lt;/li&gt;</v>
      </c>
      <c r="X47" s="15" t="str">
        <f>_xlfn.TEXTBEFORE(_xlfn.TEXTAFTER(CantoralDB[[#This Row],[index.html]],"&gt;"),"&gt;")&amp;"&gt;"</f>
        <v>&lt;a href="canciones/ain_karem/confianza.html"&gt;</v>
      </c>
      <c r="Y47"/>
      <c r="Z47" s="1"/>
      <c r="AA47" s="1"/>
      <c r="AB47" s="1"/>
      <c r="AC47" s="1"/>
    </row>
    <row r="48" spans="1:29" x14ac:dyDescent="0.3">
      <c r="A48" s="1">
        <f>ROW(CantoralDB[[#This Row],[Título]])-1</f>
        <v>47</v>
      </c>
      <c r="B48" s="1" t="s">
        <v>1762</v>
      </c>
      <c r="C48" s="1"/>
      <c r="H48" s="1" t="s">
        <v>1024</v>
      </c>
      <c r="J48" s="1"/>
      <c r="M48" s="15" t="s">
        <v>499</v>
      </c>
      <c r="N48" s="1" t="s">
        <v>1504</v>
      </c>
      <c r="O48" s="15">
        <v>4</v>
      </c>
      <c r="P48" s="15">
        <v>2008</v>
      </c>
      <c r="Q48" s="15" t="str" cm="1">
        <f t="array" ref="Q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8" s="15" t="str" cm="1">
        <f t="array" ref="R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canciones/ain_karem/talita_kum.html</v>
      </c>
      <c r="T48" s="1"/>
      <c r="U48" s="1"/>
      <c r="V48" s="32" t="s">
        <v>3484</v>
      </c>
      <c r="W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href="canciones/ain_karem/talita_kum.html"&gt;Talita kum&lt;/a&gt;&lt;/li&gt;</v>
      </c>
      <c r="X48" s="15" t="str">
        <f>_xlfn.TEXTBEFORE(_xlfn.TEXTAFTER(CantoralDB[[#This Row],[index.html]],"&gt;"),"&gt;")&amp;"&gt;"</f>
        <v>&lt;a href="canciones/ain_karem/talita_kum.html"&gt;</v>
      </c>
      <c r="Y48"/>
      <c r="Z48" s="1"/>
      <c r="AA48" s="1"/>
      <c r="AB48" s="1"/>
      <c r="AC48" s="1"/>
    </row>
    <row r="49" spans="1:29" x14ac:dyDescent="0.3">
      <c r="A49" s="1">
        <f>ROW(CantoralDB[[#This Row],[Título]])-1</f>
        <v>48</v>
      </c>
      <c r="B49" s="1" t="s">
        <v>1763</v>
      </c>
      <c r="C49" s="1"/>
      <c r="H49" s="1" t="s">
        <v>529</v>
      </c>
      <c r="I49" s="1" t="s">
        <v>2948</v>
      </c>
      <c r="J49" s="1" t="s">
        <v>605</v>
      </c>
      <c r="M49" s="15" t="s">
        <v>499</v>
      </c>
      <c r="N49" s="1" t="s">
        <v>1504</v>
      </c>
      <c r="O49" s="15">
        <v>5</v>
      </c>
      <c r="P49" s="15">
        <v>2008</v>
      </c>
      <c r="Q49" s="15" t="str" cm="1">
        <f t="array" ref="Q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49" s="15" t="str" cm="1">
        <f t="array" ref="R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canciones/ain_karem/pan_compartido.html</v>
      </c>
      <c r="T49" s="1"/>
      <c r="U49" s="1"/>
      <c r="V49" s="32" t="s">
        <v>3485</v>
      </c>
      <c r="W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href="canciones/ain_karem/pan_compartido.html"&gt;Pan compartido&lt;/a&gt;&lt;/li&gt;</v>
      </c>
      <c r="X49" s="15" t="str">
        <f>_xlfn.TEXTBEFORE(_xlfn.TEXTAFTER(CantoralDB[[#This Row],[index.html]],"&gt;"),"&gt;")&amp;"&gt;"</f>
        <v>&lt;a href="canciones/ain_karem/pan_compartido.html"&gt;</v>
      </c>
      <c r="Y49"/>
      <c r="Z49" s="1"/>
      <c r="AA49" s="1"/>
      <c r="AB49" s="1"/>
      <c r="AC49" s="1"/>
    </row>
    <row r="50" spans="1:29" x14ac:dyDescent="0.3">
      <c r="A50" s="1">
        <f>ROW(CantoralDB[[#This Row],[Título]])-1</f>
        <v>49</v>
      </c>
      <c r="B50" s="1" t="s">
        <v>1764</v>
      </c>
      <c r="C50" s="1"/>
      <c r="H50" s="1" t="s">
        <v>529</v>
      </c>
      <c r="J50" s="1" t="s">
        <v>605</v>
      </c>
      <c r="M50" s="15" t="s">
        <v>499</v>
      </c>
      <c r="N50" s="1" t="s">
        <v>1504</v>
      </c>
      <c r="O50" s="15">
        <v>6</v>
      </c>
      <c r="P50" s="15">
        <v>2008</v>
      </c>
      <c r="Q50" s="15" t="str" cm="1">
        <f t="array" ref="Q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0" s="15" t="str" cm="1">
        <f t="array" ref="R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canciones/ain_karem/gloria_trinitario.html</v>
      </c>
      <c r="T50" s="1"/>
      <c r="U50" s="1"/>
      <c r="V50" s="32" t="s">
        <v>3486</v>
      </c>
      <c r="W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href="canciones/ain_karem/gloria_trinitario.html"&gt;Gloria Trinitario&lt;/a&gt;&lt;/li&gt;</v>
      </c>
      <c r="X50" s="15" t="str">
        <f>_xlfn.TEXTBEFORE(_xlfn.TEXTAFTER(CantoralDB[[#This Row],[index.html]],"&gt;"),"&gt;")&amp;"&gt;"</f>
        <v>&lt;a href="canciones/ain_karem/gloria_trinitario.html"&gt;</v>
      </c>
      <c r="Y50"/>
      <c r="Z50" s="1"/>
      <c r="AA50" s="1"/>
      <c r="AB50" s="1"/>
      <c r="AC50" s="1"/>
    </row>
    <row r="51" spans="1:29" x14ac:dyDescent="0.3">
      <c r="A51" s="1">
        <f>ROW(CantoralDB[[#This Row],[Título]])-1</f>
        <v>50</v>
      </c>
      <c r="B51" s="1" t="s">
        <v>1765</v>
      </c>
      <c r="C51" s="1"/>
      <c r="H51" s="1" t="s">
        <v>1027</v>
      </c>
      <c r="J51" s="1" t="s">
        <v>605</v>
      </c>
      <c r="M51" s="15" t="s">
        <v>499</v>
      </c>
      <c r="N51" s="1" t="s">
        <v>1504</v>
      </c>
      <c r="O51" s="15">
        <v>7</v>
      </c>
      <c r="P51" s="15">
        <v>2008</v>
      </c>
      <c r="Q51" s="15" t="str" cm="1">
        <f t="array" ref="Q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1" s="15" t="str" cm="1">
        <f t="array" ref="R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canciones/ain_karem/a_ti.html</v>
      </c>
      <c r="T51" s="1"/>
      <c r="U51" s="1"/>
      <c r="V51" s="32" t="s">
        <v>3487</v>
      </c>
      <c r="W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href="canciones/ain_karem/a_ti.html"&gt;A Ti&lt;/a&gt;&lt;/li&gt;</v>
      </c>
      <c r="X51" s="15" t="str">
        <f>_xlfn.TEXTBEFORE(_xlfn.TEXTAFTER(CantoralDB[[#This Row],[index.html]],"&gt;"),"&gt;")&amp;"&gt;"</f>
        <v>&lt;a href="canciones/ain_karem/a_ti.html"&gt;</v>
      </c>
      <c r="Y51"/>
      <c r="Z51" s="1"/>
      <c r="AA51" s="1"/>
      <c r="AB51" s="1"/>
      <c r="AC51" s="1"/>
    </row>
    <row r="52" spans="1:29" x14ac:dyDescent="0.3">
      <c r="A52" s="1">
        <f>ROW(CantoralDB[[#This Row],[Título]])-1</f>
        <v>51</v>
      </c>
      <c r="B52" s="1" t="s">
        <v>1766</v>
      </c>
      <c r="C52" s="1"/>
      <c r="H52" s="1" t="s">
        <v>472</v>
      </c>
      <c r="J52" s="1" t="s">
        <v>605</v>
      </c>
      <c r="M52" s="15" t="s">
        <v>499</v>
      </c>
      <c r="N52" s="1" t="s">
        <v>1504</v>
      </c>
      <c r="O52" s="15">
        <v>8</v>
      </c>
      <c r="P52" s="15">
        <v>2008</v>
      </c>
      <c r="Q52" s="15" t="str" cm="1">
        <f t="array" ref="Q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2" s="15" t="str" cm="1">
        <f t="array" ref="R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canciones/ain_karem/tu_lo_sabes.html</v>
      </c>
      <c r="T52" s="1"/>
      <c r="U52" s="1"/>
      <c r="V52" s="32" t="s">
        <v>3488</v>
      </c>
      <c r="W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href="canciones/ain_karem/tu_lo_sabes.html"&gt;Tú lo sabes&lt;/a&gt;&lt;/li&gt;</v>
      </c>
      <c r="X52" s="15" t="str">
        <f>_xlfn.TEXTBEFORE(_xlfn.TEXTAFTER(CantoralDB[[#This Row],[index.html]],"&gt;"),"&gt;")&amp;"&gt;"</f>
        <v>&lt;a href="canciones/ain_karem/tu_lo_sabes.html"&gt;</v>
      </c>
      <c r="Y52"/>
      <c r="Z52" s="1"/>
      <c r="AA52" s="1"/>
      <c r="AB52" s="1"/>
      <c r="AC52" s="1"/>
    </row>
    <row r="53" spans="1:29" x14ac:dyDescent="0.3">
      <c r="A53" s="1">
        <f>ROW(CantoralDB[[#This Row],[Título]])-1</f>
        <v>52</v>
      </c>
      <c r="B53" s="1" t="s">
        <v>1767</v>
      </c>
      <c r="C53" s="1"/>
      <c r="H53" s="1" t="s">
        <v>1026</v>
      </c>
      <c r="I53" s="1" t="s">
        <v>2945</v>
      </c>
      <c r="J53" s="1" t="s">
        <v>605</v>
      </c>
      <c r="M53" s="15" t="s">
        <v>499</v>
      </c>
      <c r="N53" s="1" t="s">
        <v>1504</v>
      </c>
      <c r="O53" s="15">
        <v>9</v>
      </c>
      <c r="P53" s="15">
        <v>2008</v>
      </c>
      <c r="Q53" s="15" t="str" cm="1">
        <f t="array" ref="Q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3" s="15" t="str" cm="1">
        <f t="array" ref="R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canciones/ain_karem/cana.html</v>
      </c>
      <c r="T53" s="1"/>
      <c r="U53" s="1"/>
      <c r="V53" s="32" t="s">
        <v>3489</v>
      </c>
      <c r="W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href="canciones/ain_karem/cana.html"&gt;Caná&lt;/a&gt;&lt;/li&gt;</v>
      </c>
      <c r="X53" s="15" t="str">
        <f>_xlfn.TEXTBEFORE(_xlfn.TEXTAFTER(CantoralDB[[#This Row],[index.html]],"&gt;"),"&gt;")&amp;"&gt;"</f>
        <v>&lt;a href="canciones/ain_karem/cana.html"&gt;</v>
      </c>
      <c r="Y53"/>
      <c r="Z53" s="1"/>
      <c r="AA53" s="1"/>
      <c r="AB53" s="1"/>
      <c r="AC53" s="1"/>
    </row>
    <row r="54" spans="1:29" x14ac:dyDescent="0.3">
      <c r="A54" s="1">
        <f>ROW(CantoralDB[[#This Row],[Título]])-1</f>
        <v>53</v>
      </c>
      <c r="B54" s="1" t="s">
        <v>1836</v>
      </c>
      <c r="C54" s="1"/>
      <c r="H54" s="1" t="s">
        <v>529</v>
      </c>
      <c r="J54" s="1" t="s">
        <v>605</v>
      </c>
      <c r="M54" s="15" t="s">
        <v>499</v>
      </c>
      <c r="N54" s="1" t="s">
        <v>1504</v>
      </c>
      <c r="O54" s="15">
        <v>10</v>
      </c>
      <c r="P54" s="15">
        <v>2008</v>
      </c>
      <c r="Q54" s="15" t="str" cm="1">
        <f t="array" ref="Q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4" s="15" t="str" cm="1">
        <f t="array" ref="R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canciones/ain_karem/animo_soy_yo.html</v>
      </c>
      <c r="T54" s="1"/>
      <c r="U54" s="1"/>
      <c r="V54" s="32" t="s">
        <v>3490</v>
      </c>
      <c r="W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href="canciones/ain_karem/animo_soy_yo.html"&gt;Ánimo, soy yo&lt;/a&gt;&lt;/li&gt;</v>
      </c>
      <c r="X54" s="15" t="str">
        <f>_xlfn.TEXTBEFORE(_xlfn.TEXTAFTER(CantoralDB[[#This Row],[index.html]],"&gt;"),"&gt;")&amp;"&gt;"</f>
        <v>&lt;a href="canciones/ain_karem/animo_soy_yo.html"&gt;</v>
      </c>
      <c r="Y54"/>
      <c r="Z54" s="1"/>
      <c r="AA54" s="1"/>
      <c r="AB54" s="1"/>
      <c r="AC54" s="1"/>
    </row>
    <row r="55" spans="1:29" x14ac:dyDescent="0.3">
      <c r="A55" s="1">
        <f>ROW(CantoralDB[[#This Row],[Título]])-1</f>
        <v>54</v>
      </c>
      <c r="B55" s="1" t="s">
        <v>195</v>
      </c>
      <c r="C55" s="1"/>
      <c r="H55" s="1" t="s">
        <v>529</v>
      </c>
      <c r="J55" s="1" t="s">
        <v>605</v>
      </c>
      <c r="M55" s="15" t="s">
        <v>499</v>
      </c>
      <c r="N55" s="1" t="s">
        <v>1504</v>
      </c>
      <c r="O55" s="15">
        <v>11</v>
      </c>
      <c r="P55" s="15">
        <v>2008</v>
      </c>
      <c r="Q55" s="15" t="str" cm="1">
        <f t="array" ref="Q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5" s="15" t="str" cm="1">
        <f t="array" ref="R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canciones/ain_karem/santo.html</v>
      </c>
      <c r="T55" s="1"/>
      <c r="U55" s="1"/>
      <c r="V55" s="32" t="s">
        <v>3491</v>
      </c>
      <c r="W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href="canciones/ain_karem/santo.html"&gt;Santo&lt;/a&gt;&lt;/li&gt;</v>
      </c>
      <c r="X55" s="15" t="str">
        <f>_xlfn.TEXTBEFORE(_xlfn.TEXTAFTER(CantoralDB[[#This Row],[index.html]],"&gt;"),"&gt;")&amp;"&gt;"</f>
        <v>&lt;a href="canciones/ain_karem/santo.html"&gt;</v>
      </c>
      <c r="Y55"/>
      <c r="Z55" s="1"/>
      <c r="AA55" s="1"/>
      <c r="AB55" s="1"/>
      <c r="AC55" s="1"/>
    </row>
    <row r="56" spans="1:29" x14ac:dyDescent="0.3">
      <c r="A56" s="1">
        <f>ROW(CantoralDB[[#This Row],[Título]])-1</f>
        <v>55</v>
      </c>
      <c r="B56" s="1" t="s">
        <v>1768</v>
      </c>
      <c r="C56" s="1"/>
      <c r="H56" s="1" t="s">
        <v>1026</v>
      </c>
      <c r="J56" s="1" t="s">
        <v>605</v>
      </c>
      <c r="M56" s="15" t="s">
        <v>499</v>
      </c>
      <c r="N56" s="1" t="s">
        <v>1504</v>
      </c>
      <c r="O56" s="15">
        <v>12</v>
      </c>
      <c r="P56" s="15">
        <v>2008</v>
      </c>
      <c r="Q56" s="15" t="str" cm="1">
        <f t="array" ref="Q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6" s="15" t="str" cm="1">
        <f t="array" ref="R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canciones/ain_karem/la_mujer_del_perfume.html</v>
      </c>
      <c r="T56" s="1"/>
      <c r="U56" s="1"/>
      <c r="V56" s="32" t="s">
        <v>3492</v>
      </c>
      <c r="W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href="canciones/ain_karem/la_mujer_del_perfume.html"&gt;La mujer del perfume&lt;/a&gt;&lt;/li&gt;</v>
      </c>
      <c r="X56" s="15" t="str">
        <f>_xlfn.TEXTBEFORE(_xlfn.TEXTAFTER(CantoralDB[[#This Row],[index.html]],"&gt;"),"&gt;")&amp;"&gt;"</f>
        <v>&lt;a href="canciones/ain_karem/la_mujer_del_perfume.html"&gt;</v>
      </c>
      <c r="Y56"/>
      <c r="Z56" s="1"/>
      <c r="AA56" s="1"/>
      <c r="AB56" s="1"/>
      <c r="AC56" s="1"/>
    </row>
    <row r="57" spans="1:29" x14ac:dyDescent="0.3">
      <c r="A57" s="1">
        <f>ROW(CantoralDB[[#This Row],[Título]])-1</f>
        <v>56</v>
      </c>
      <c r="B57" s="1" t="s">
        <v>1769</v>
      </c>
      <c r="C57" s="1"/>
      <c r="H57" s="1" t="s">
        <v>472</v>
      </c>
      <c r="I57" s="1" t="s">
        <v>2949</v>
      </c>
      <c r="J57" s="1" t="s">
        <v>605</v>
      </c>
      <c r="M57" s="15" t="s">
        <v>499</v>
      </c>
      <c r="N57" s="1" t="s">
        <v>1504</v>
      </c>
      <c r="O57" s="15">
        <v>13</v>
      </c>
      <c r="P57" s="15">
        <v>2008</v>
      </c>
      <c r="Q57" s="15" t="str" cm="1">
        <f t="array" ref="Q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7" s="15" t="str" cm="1">
        <f t="array" ref="R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canciones/ain_karem/para_estar_contigo.html</v>
      </c>
      <c r="T57" s="1"/>
      <c r="U57" s="1"/>
      <c r="V57" s="32" t="s">
        <v>3493</v>
      </c>
      <c r="W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href="canciones/ain_karem/para_estar_contigo.html"&gt;Para estar contigo&lt;/a&gt;&lt;/li&gt;</v>
      </c>
      <c r="X57" s="15" t="str">
        <f>_xlfn.TEXTBEFORE(_xlfn.TEXTAFTER(CantoralDB[[#This Row],[index.html]],"&gt;"),"&gt;")&amp;"&gt;"</f>
        <v>&lt;a href="canciones/ain_karem/para_estar_contigo.html"&gt;</v>
      </c>
      <c r="Y57"/>
      <c r="Z57" s="1"/>
      <c r="AA57" s="1"/>
      <c r="AB57" s="1"/>
      <c r="AC57" s="1"/>
    </row>
    <row r="58" spans="1:29" x14ac:dyDescent="0.3">
      <c r="A58" s="1">
        <f>ROW(CantoralDB[[#This Row],[Título]])-1</f>
        <v>57</v>
      </c>
      <c r="B58" s="1" t="s">
        <v>1770</v>
      </c>
      <c r="C58" s="1"/>
      <c r="H58" s="1" t="s">
        <v>472</v>
      </c>
      <c r="I58" s="1" t="s">
        <v>2948</v>
      </c>
      <c r="J58" s="1" t="s">
        <v>605</v>
      </c>
      <c r="M58" s="15" t="s">
        <v>499</v>
      </c>
      <c r="N58" s="1" t="s">
        <v>1504</v>
      </c>
      <c r="O58" s="15">
        <v>14</v>
      </c>
      <c r="P58" s="15">
        <v>2008</v>
      </c>
      <c r="Q58" s="15" t="str" cm="1">
        <f t="array" ref="Q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8" s="15" t="str" cm="1">
        <f t="array" ref="R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canciones/ain_karem/samaritano.html</v>
      </c>
      <c r="T58" s="1"/>
      <c r="U58" s="1"/>
      <c r="V58" s="32" t="s">
        <v>3494</v>
      </c>
      <c r="W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href="canciones/ain_karem/samaritano.html"&gt;Samaritano&lt;/a&gt;&lt;/li&gt;</v>
      </c>
      <c r="X58" s="15" t="str">
        <f>_xlfn.TEXTBEFORE(_xlfn.TEXTAFTER(CantoralDB[[#This Row],[index.html]],"&gt;"),"&gt;")&amp;"&gt;"</f>
        <v>&lt;a href="canciones/ain_karem/samaritano.html"&gt;</v>
      </c>
      <c r="Y58"/>
      <c r="Z58" s="1"/>
      <c r="AA58" s="1"/>
      <c r="AB58" s="1"/>
      <c r="AC58" s="1"/>
    </row>
    <row r="59" spans="1:29" x14ac:dyDescent="0.3">
      <c r="A59" s="1">
        <f>ROW(CantoralDB[[#This Row],[Título]])-1</f>
        <v>58</v>
      </c>
      <c r="B59" s="1" t="s">
        <v>1771</v>
      </c>
      <c r="C59" s="1"/>
      <c r="H59" s="1" t="s">
        <v>1027</v>
      </c>
      <c r="I59" s="1" t="s">
        <v>2945</v>
      </c>
      <c r="J59" s="1" t="s">
        <v>605</v>
      </c>
      <c r="M59" s="15" t="s">
        <v>499</v>
      </c>
      <c r="N59" s="1" t="s">
        <v>1504</v>
      </c>
      <c r="O59" s="15">
        <v>15</v>
      </c>
      <c r="P59" s="15">
        <v>2008</v>
      </c>
      <c r="Q59" s="15" t="str" cm="1">
        <f t="array" ref="Q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59" s="15" t="str" cm="1">
        <f t="array" ref="R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canciones/ain_karem/no_hay_fronteras.html</v>
      </c>
      <c r="T59" s="1"/>
      <c r="U59" s="1"/>
      <c r="V59" s="32" t="s">
        <v>3495</v>
      </c>
      <c r="W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href="canciones/ain_karem/no_hay_fronteras.html"&gt;No hay fronteras&lt;/a&gt;&lt;/li&gt;</v>
      </c>
      <c r="X59" s="15" t="str">
        <f>_xlfn.TEXTBEFORE(_xlfn.TEXTAFTER(CantoralDB[[#This Row],[index.html]],"&gt;"),"&gt;")&amp;"&gt;"</f>
        <v>&lt;a href="canciones/ain_karem/no_hay_fronteras.html"&gt;</v>
      </c>
      <c r="Y59"/>
      <c r="Z59" s="1"/>
      <c r="AA59" s="1"/>
      <c r="AB59" s="1"/>
      <c r="AC59" s="1"/>
    </row>
    <row r="60" spans="1:29" x14ac:dyDescent="0.3">
      <c r="A60" s="1">
        <f>ROW(CantoralDB[[#This Row],[Título]])-1</f>
        <v>59</v>
      </c>
      <c r="B60" s="1" t="s">
        <v>1502</v>
      </c>
      <c r="C60" s="1"/>
      <c r="H60" s="1" t="s">
        <v>529</v>
      </c>
      <c r="I60" s="1" t="s">
        <v>2949</v>
      </c>
      <c r="J60" s="1" t="s">
        <v>605</v>
      </c>
      <c r="M60" s="15" t="s">
        <v>499</v>
      </c>
      <c r="N60" s="1" t="s">
        <v>1502</v>
      </c>
      <c r="O60" s="15">
        <v>1</v>
      </c>
      <c r="P60" s="15">
        <v>2002</v>
      </c>
      <c r="Q60" s="15" t="str" cm="1">
        <f t="array" ref="Q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0" s="15" t="str" cm="1">
        <f t="array" ref="R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canciones/ain_karem/descalzate.html</v>
      </c>
      <c r="T60" s="1"/>
      <c r="U60" s="1"/>
      <c r="V60" s="32" t="s">
        <v>3496</v>
      </c>
      <c r="W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href="canciones/ain_karem/descalzate.html"&gt;Descálzate&lt;/a&gt;&lt;/li&gt;</v>
      </c>
      <c r="X60" s="15" t="str">
        <f>_xlfn.TEXTBEFORE(_xlfn.TEXTAFTER(CantoralDB[[#This Row],[index.html]],"&gt;"),"&gt;")&amp;"&gt;"</f>
        <v>&lt;a href="canciones/ain_karem/descalzate.html"&gt;</v>
      </c>
      <c r="Y60"/>
      <c r="Z60" s="1"/>
      <c r="AA60" s="1"/>
      <c r="AB60" s="1"/>
      <c r="AC60" s="1"/>
    </row>
    <row r="61" spans="1:29" x14ac:dyDescent="0.3">
      <c r="A61" s="1">
        <f>ROW(CantoralDB[[#This Row],[Título]])-1</f>
        <v>60</v>
      </c>
      <c r="B61" s="1" t="s">
        <v>2882</v>
      </c>
      <c r="C61" s="1"/>
      <c r="H61" s="1" t="s">
        <v>472</v>
      </c>
      <c r="I61" s="1" t="s">
        <v>2948</v>
      </c>
      <c r="J61" s="1" t="s">
        <v>605</v>
      </c>
      <c r="M61" s="15" t="s">
        <v>499</v>
      </c>
      <c r="N61" s="1" t="s">
        <v>1502</v>
      </c>
      <c r="O61" s="15">
        <v>2</v>
      </c>
      <c r="P61" s="15">
        <v>2002</v>
      </c>
      <c r="Q61" s="15" t="str" cm="1">
        <f t="array" ref="Q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1" s="15" t="str" cm="1">
        <f t="array" ref="R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canciones/ain_karem/la_vid_verdadera.html</v>
      </c>
      <c r="T61" s="1"/>
      <c r="U61" s="1"/>
      <c r="V61" s="32" t="s">
        <v>3497</v>
      </c>
      <c r="W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href="canciones/ain_karem/la_vid_verdadera.html"&gt;La vid verdadera&lt;/a&gt;&lt;/li&gt;</v>
      </c>
      <c r="X61" s="15" t="str">
        <f>_xlfn.TEXTBEFORE(_xlfn.TEXTAFTER(CantoralDB[[#This Row],[index.html]],"&gt;"),"&gt;")&amp;"&gt;"</f>
        <v>&lt;a href="canciones/ain_karem/la_vid_verdadera.html"&gt;</v>
      </c>
      <c r="Y61"/>
      <c r="Z61" s="1"/>
      <c r="AA61" s="1"/>
      <c r="AB61" s="1"/>
      <c r="AC61" s="1"/>
    </row>
    <row r="62" spans="1:29" x14ac:dyDescent="0.3">
      <c r="A62" s="1">
        <f>ROW(CantoralDB[[#This Row],[Título]])-1</f>
        <v>61</v>
      </c>
      <c r="B62" s="1" t="s">
        <v>938</v>
      </c>
      <c r="C62" s="1"/>
      <c r="H62" s="1" t="s">
        <v>529</v>
      </c>
      <c r="I62" s="1" t="s">
        <v>2948</v>
      </c>
      <c r="J62" s="1" t="s">
        <v>605</v>
      </c>
      <c r="M62" s="15" t="s">
        <v>499</v>
      </c>
      <c r="N62" s="1" t="s">
        <v>1502</v>
      </c>
      <c r="O62" s="15">
        <v>3</v>
      </c>
      <c r="P62" s="15">
        <v>2002</v>
      </c>
      <c r="Q62" s="15" t="str" cm="1">
        <f t="array" ref="Q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2" s="15" t="str" cm="1">
        <f t="array" ref="R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canciones/ain_karem/ven_espiritu_de_dios.html</v>
      </c>
      <c r="T62" s="1"/>
      <c r="U62" s="1"/>
      <c r="V62" s="32" t="s">
        <v>3498</v>
      </c>
      <c r="W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href="canciones/ain_karem/ven_espiritu_de_dios.html"&gt;Ven, Espíritu de Dios&lt;/a&gt;&lt;/li&gt;</v>
      </c>
      <c r="X62" s="15" t="str">
        <f>_xlfn.TEXTBEFORE(_xlfn.TEXTAFTER(CantoralDB[[#This Row],[index.html]],"&gt;"),"&gt;")&amp;"&gt;"</f>
        <v>&lt;a href="canciones/ain_karem/ven_espiritu_de_dios.html"&gt;</v>
      </c>
      <c r="Y62"/>
      <c r="Z62" s="1"/>
      <c r="AA62" s="1"/>
      <c r="AB62" s="1"/>
      <c r="AC62" s="1"/>
    </row>
    <row r="63" spans="1:29" x14ac:dyDescent="0.3">
      <c r="A63" s="1">
        <f>ROW(CantoralDB[[#This Row],[Título]])-1</f>
        <v>62</v>
      </c>
      <c r="B63" s="1" t="s">
        <v>1741</v>
      </c>
      <c r="C63" s="1"/>
      <c r="H63" s="1" t="s">
        <v>1027</v>
      </c>
      <c r="I63" s="1" t="s">
        <v>2948</v>
      </c>
      <c r="J63" s="1" t="s">
        <v>605</v>
      </c>
      <c r="M63" s="15" t="s">
        <v>499</v>
      </c>
      <c r="N63" s="1" t="s">
        <v>1502</v>
      </c>
      <c r="O63" s="15">
        <v>4</v>
      </c>
      <c r="P63" s="15">
        <v>2002</v>
      </c>
      <c r="Q63" s="15" t="str" cm="1">
        <f t="array" ref="Q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3" s="15" t="str" cm="1">
        <f t="array" ref="R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canciones/ain_karem/realidad.html</v>
      </c>
      <c r="T63" s="1"/>
      <c r="U63" s="1"/>
      <c r="V63" s="32" t="s">
        <v>3499</v>
      </c>
      <c r="W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href="canciones/ain_karem/realidad.html"&gt;Realidad&lt;/a&gt;&lt;/li&gt;</v>
      </c>
      <c r="X63" s="15" t="str">
        <f>_xlfn.TEXTBEFORE(_xlfn.TEXTAFTER(CantoralDB[[#This Row],[index.html]],"&gt;"),"&gt;")&amp;"&gt;"</f>
        <v>&lt;a href="canciones/ain_karem/realidad.html"&gt;</v>
      </c>
      <c r="Y63"/>
      <c r="Z63" s="1"/>
      <c r="AA63" s="1"/>
      <c r="AB63" s="1"/>
      <c r="AC63" s="1"/>
    </row>
    <row r="64" spans="1:29" x14ac:dyDescent="0.3">
      <c r="A64" s="1">
        <f>ROW(CantoralDB[[#This Row],[Título]])-1</f>
        <v>63</v>
      </c>
      <c r="B64" s="1" t="s">
        <v>1742</v>
      </c>
      <c r="C64" s="1"/>
      <c r="H64" s="1" t="s">
        <v>472</v>
      </c>
      <c r="I64" s="1" t="s">
        <v>2948</v>
      </c>
      <c r="J64" s="1" t="s">
        <v>605</v>
      </c>
      <c r="M64" s="15" t="s">
        <v>499</v>
      </c>
      <c r="N64" s="1" t="s">
        <v>1502</v>
      </c>
      <c r="O64" s="15">
        <v>5</v>
      </c>
      <c r="P64" s="15">
        <v>2002</v>
      </c>
      <c r="Q64" s="15" t="str" cm="1">
        <f t="array" ref="Q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4" s="15" t="str" cm="1">
        <f t="array" ref="R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canciones/ain_karem/boga_mar_adentro.html</v>
      </c>
      <c r="T64" s="1"/>
      <c r="U64" s="1"/>
      <c r="V64" s="32" t="s">
        <v>3500</v>
      </c>
      <c r="W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href="canciones/ain_karem/boga_mar_adentro.html"&gt;Boga mar adentro&lt;/a&gt;&lt;/li&gt;</v>
      </c>
      <c r="X64" s="15" t="str">
        <f>_xlfn.TEXTBEFORE(_xlfn.TEXTAFTER(CantoralDB[[#This Row],[index.html]],"&gt;"),"&gt;")&amp;"&gt;"</f>
        <v>&lt;a href="canciones/ain_karem/boga_mar_adentro.html"&gt;</v>
      </c>
      <c r="Y64"/>
      <c r="Z64" s="1"/>
      <c r="AA64" s="1"/>
      <c r="AB64" s="1"/>
      <c r="AC64" s="1"/>
    </row>
    <row r="65" spans="1:29" x14ac:dyDescent="0.3">
      <c r="A65" s="1">
        <f>ROW(CantoralDB[[#This Row],[Título]])-1</f>
        <v>64</v>
      </c>
      <c r="B65" s="1" t="s">
        <v>1743</v>
      </c>
      <c r="C65" s="1"/>
      <c r="H65" s="1" t="s">
        <v>1027</v>
      </c>
      <c r="J65" s="1" t="s">
        <v>605</v>
      </c>
      <c r="M65" s="15" t="s">
        <v>499</v>
      </c>
      <c r="N65" s="1" t="s">
        <v>1502</v>
      </c>
      <c r="O65" s="15">
        <v>6</v>
      </c>
      <c r="P65" s="15">
        <v>2002</v>
      </c>
      <c r="Q65" s="15" t="str" cm="1">
        <f t="array" ref="Q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5" s="15" t="str" cm="1">
        <f t="array" ref="R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canciones/ain_karem/no_tengas_miedo.html</v>
      </c>
      <c r="T65" s="1"/>
      <c r="U65" s="1"/>
      <c r="V65" s="32" t="s">
        <v>3501</v>
      </c>
      <c r="W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href="canciones/ain_karem/no_tengas_miedo.html"&gt;No tengas miedo&lt;/a&gt;&lt;/li&gt;</v>
      </c>
      <c r="X65" s="15" t="str">
        <f>_xlfn.TEXTBEFORE(_xlfn.TEXTAFTER(CantoralDB[[#This Row],[index.html]],"&gt;"),"&gt;")&amp;"&gt;"</f>
        <v>&lt;a href="canciones/ain_karem/no_tengas_miedo.html"&gt;</v>
      </c>
      <c r="Y65"/>
      <c r="Z65" s="1"/>
      <c r="AA65" s="1"/>
      <c r="AB65" s="1"/>
      <c r="AC65" s="1"/>
    </row>
    <row r="66" spans="1:29" x14ac:dyDescent="0.3">
      <c r="A66" s="1">
        <f>ROW(CantoralDB[[#This Row],[Título]])-1</f>
        <v>65</v>
      </c>
      <c r="B66" s="1" t="s">
        <v>1541</v>
      </c>
      <c r="C66" s="1"/>
      <c r="H66" s="1" t="s">
        <v>472</v>
      </c>
      <c r="I66" s="1" t="s">
        <v>2948</v>
      </c>
      <c r="J66" s="1" t="s">
        <v>605</v>
      </c>
      <c r="M66" s="15" t="s">
        <v>499</v>
      </c>
      <c r="N66" s="1" t="s">
        <v>1502</v>
      </c>
      <c r="O66" s="15">
        <v>7</v>
      </c>
      <c r="P66" s="15">
        <v>2002</v>
      </c>
      <c r="Q66" s="15" t="str" cm="1">
        <f t="array" ref="Q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6" s="15" t="str" cm="1">
        <f t="array" ref="R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canciones/ain_karem/magnificat.html</v>
      </c>
      <c r="T66" s="1"/>
      <c r="U66" s="1"/>
      <c r="V66" s="32" t="s">
        <v>3502</v>
      </c>
      <c r="W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href="canciones/ain_karem/magnificat.html"&gt;Magnificat&lt;/a&gt;&lt;/li&gt;</v>
      </c>
      <c r="X66" s="15" t="str">
        <f>_xlfn.TEXTBEFORE(_xlfn.TEXTAFTER(CantoralDB[[#This Row],[index.html]],"&gt;"),"&gt;")&amp;"&gt;"</f>
        <v>&lt;a href="canciones/ain_karem/magnificat.html"&gt;</v>
      </c>
      <c r="Y66"/>
      <c r="Z66" s="1"/>
      <c r="AA66" s="1"/>
      <c r="AB66" s="1"/>
      <c r="AC66" s="1"/>
    </row>
    <row r="67" spans="1:29" x14ac:dyDescent="0.3">
      <c r="A67" s="1">
        <f>ROW(CantoralDB[[#This Row],[Título]])-1</f>
        <v>66</v>
      </c>
      <c r="B67" s="1" t="s">
        <v>1744</v>
      </c>
      <c r="C67" s="1"/>
      <c r="H67" s="1" t="s">
        <v>1024</v>
      </c>
      <c r="I67" s="1" t="s">
        <v>2948</v>
      </c>
      <c r="J67" s="1" t="s">
        <v>605</v>
      </c>
      <c r="M67" s="15" t="s">
        <v>499</v>
      </c>
      <c r="N67" s="1" t="s">
        <v>1502</v>
      </c>
      <c r="O67" s="15">
        <v>8</v>
      </c>
      <c r="P67" s="15">
        <v>2002</v>
      </c>
      <c r="Q67" s="15" t="str" cm="1">
        <f t="array" ref="Q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7" s="15" t="str" cm="1">
        <f t="array" ref="R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canciones/ain_karem/ardo_en_celo.html</v>
      </c>
      <c r="T67" s="1"/>
      <c r="U67" s="1"/>
      <c r="V67" s="32" t="s">
        <v>3503</v>
      </c>
      <c r="W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href="canciones/ain_karem/ardo_en_celo.html"&gt;Ardo en celo&lt;/a&gt;&lt;/li&gt;</v>
      </c>
      <c r="X67" s="15" t="str">
        <f>_xlfn.TEXTBEFORE(_xlfn.TEXTAFTER(CantoralDB[[#This Row],[index.html]],"&gt;"),"&gt;")&amp;"&gt;"</f>
        <v>&lt;a href="canciones/ain_karem/ardo_en_celo.html"&gt;</v>
      </c>
      <c r="Y67"/>
      <c r="Z67" s="1"/>
      <c r="AA67" s="1"/>
      <c r="AB67" s="1"/>
      <c r="AC67" s="1"/>
    </row>
    <row r="68" spans="1:29" x14ac:dyDescent="0.3">
      <c r="A68" s="1">
        <f>ROW(CantoralDB[[#This Row],[Título]])-1</f>
        <v>67</v>
      </c>
      <c r="B68" s="1" t="s">
        <v>1905</v>
      </c>
      <c r="C68" s="1"/>
      <c r="H68" s="1" t="s">
        <v>1025</v>
      </c>
      <c r="I68" s="1" t="s">
        <v>2949</v>
      </c>
      <c r="J68" s="1" t="s">
        <v>605</v>
      </c>
      <c r="M68" s="15" t="s">
        <v>499</v>
      </c>
      <c r="N68" s="1" t="s">
        <v>1502</v>
      </c>
      <c r="O68" s="15">
        <v>9</v>
      </c>
      <c r="P68" s="15">
        <v>2002</v>
      </c>
      <c r="Q68" s="15" t="str" cm="1">
        <f t="array" ref="Q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8" s="15" t="str" cm="1">
        <f t="array" ref="R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canciones/ain_karem/el_amor_no_dice_basta.html</v>
      </c>
      <c r="T68" s="1"/>
      <c r="U68" s="1"/>
      <c r="V68" s="32" t="s">
        <v>3504</v>
      </c>
      <c r="W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href="canciones/ain_karem/el_amor_no_dice_basta.html"&gt;El amor no dice basta&lt;/a&gt;&lt;/li&gt;</v>
      </c>
      <c r="X68" s="15" t="str">
        <f>_xlfn.TEXTBEFORE(_xlfn.TEXTAFTER(CantoralDB[[#This Row],[index.html]],"&gt;"),"&gt;")&amp;"&gt;"</f>
        <v>&lt;a href="canciones/ain_karem/el_amor_no_dice_basta.html"&gt;</v>
      </c>
      <c r="Y68"/>
      <c r="Z68" s="1"/>
      <c r="AA68" s="1"/>
      <c r="AB68" s="1"/>
      <c r="AC68" s="1"/>
    </row>
    <row r="69" spans="1:29" x14ac:dyDescent="0.3">
      <c r="A69" s="1">
        <f>ROW(CantoralDB[[#This Row],[Título]])-1</f>
        <v>68</v>
      </c>
      <c r="B69" s="1" t="s">
        <v>1745</v>
      </c>
      <c r="C69" s="1"/>
      <c r="H69" s="1" t="s">
        <v>529</v>
      </c>
      <c r="J69" s="1" t="s">
        <v>605</v>
      </c>
      <c r="M69" s="15" t="s">
        <v>499</v>
      </c>
      <c r="N69" s="1" t="s">
        <v>1502</v>
      </c>
      <c r="O69" s="15">
        <v>10</v>
      </c>
      <c r="P69" s="15">
        <v>2002</v>
      </c>
      <c r="Q69" s="15" t="str" cm="1">
        <f t="array" ref="Q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69" s="15" t="str" cm="1">
        <f t="array" ref="R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canciones/ain_karem/rut_y_noemi.html</v>
      </c>
      <c r="T69" s="1"/>
      <c r="U69" s="1"/>
      <c r="V69" s="32" t="s">
        <v>3505</v>
      </c>
      <c r="W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href="canciones/ain_karem/rut_y_noemi.html"&gt;Rut y Noemí&lt;/a&gt;&lt;/li&gt;</v>
      </c>
      <c r="X69" s="15" t="str">
        <f>_xlfn.TEXTBEFORE(_xlfn.TEXTAFTER(CantoralDB[[#This Row],[index.html]],"&gt;"),"&gt;")&amp;"&gt;"</f>
        <v>&lt;a href="canciones/ain_karem/rut_y_noemi.html"&gt;</v>
      </c>
      <c r="Y69"/>
      <c r="Z69" s="1"/>
      <c r="AA69" s="1"/>
      <c r="AB69" s="1"/>
      <c r="AC69" s="1"/>
    </row>
    <row r="70" spans="1:29" x14ac:dyDescent="0.3">
      <c r="A70" s="1">
        <f>ROW(CantoralDB[[#This Row],[Título]])-1</f>
        <v>69</v>
      </c>
      <c r="B70" s="1" t="s">
        <v>1746</v>
      </c>
      <c r="C70" s="1"/>
      <c r="H70" s="1" t="s">
        <v>529</v>
      </c>
      <c r="I70" s="1" t="s">
        <v>2948</v>
      </c>
      <c r="J70" s="1" t="s">
        <v>605</v>
      </c>
      <c r="M70" s="15" t="s">
        <v>499</v>
      </c>
      <c r="N70" s="1" t="s">
        <v>1502</v>
      </c>
      <c r="O70" s="15">
        <v>11</v>
      </c>
      <c r="P70" s="15">
        <v>2002</v>
      </c>
      <c r="Q70" s="15" t="str" cm="1">
        <f t="array" ref="Q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0" s="15" t="str" cm="1">
        <f t="array" ref="R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canciones/ain_karem/ven_espiritu.html</v>
      </c>
      <c r="T70" s="1"/>
      <c r="U70" s="1"/>
      <c r="V70" s="32" t="s">
        <v>3506</v>
      </c>
      <c r="W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href="canciones/ain_karem/ven_espiritu.html"&gt;Ven, Espíritu&lt;/a&gt;&lt;/li&gt;</v>
      </c>
      <c r="X70" s="15" t="str">
        <f>_xlfn.TEXTBEFORE(_xlfn.TEXTAFTER(CantoralDB[[#This Row],[index.html]],"&gt;"),"&gt;")&amp;"&gt;"</f>
        <v>&lt;a href="canciones/ain_karem/ven_espiritu.html"&gt;</v>
      </c>
      <c r="Y70"/>
      <c r="Z70" s="1"/>
      <c r="AA70" s="1"/>
      <c r="AB70" s="1"/>
      <c r="AC70" s="1"/>
    </row>
    <row r="71" spans="1:29" x14ac:dyDescent="0.3">
      <c r="A71" s="1">
        <f>ROW(CantoralDB[[#This Row],[Título]])-1</f>
        <v>70</v>
      </c>
      <c r="B71" s="1" t="s">
        <v>1747</v>
      </c>
      <c r="C71" s="1"/>
      <c r="H71" s="1" t="s">
        <v>529</v>
      </c>
      <c r="I71" s="1" t="s">
        <v>2948</v>
      </c>
      <c r="J71" s="1" t="s">
        <v>605</v>
      </c>
      <c r="M71" s="15" t="s">
        <v>499</v>
      </c>
      <c r="N71" s="1" t="s">
        <v>1502</v>
      </c>
      <c r="O71" s="15">
        <v>12</v>
      </c>
      <c r="P71" s="15">
        <v>2002</v>
      </c>
      <c r="Q71" s="15" t="str" cm="1">
        <f t="array" ref="Q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1" s="15" t="str" cm="1">
        <f t="array" ref="R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canciones/ain_karem/maria_magdalena.html</v>
      </c>
      <c r="T71" s="1"/>
      <c r="U71" s="1"/>
      <c r="V71" s="32" t="s">
        <v>3507</v>
      </c>
      <c r="W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href="canciones/ain_karem/maria_magdalena.html"&gt;María Magdalena&lt;/a&gt;&lt;/li&gt;</v>
      </c>
      <c r="X71" s="15" t="str">
        <f>_xlfn.TEXTBEFORE(_xlfn.TEXTAFTER(CantoralDB[[#This Row],[index.html]],"&gt;"),"&gt;")&amp;"&gt;"</f>
        <v>&lt;a href="canciones/ain_karem/maria_magdalena.html"&gt;</v>
      </c>
      <c r="Y71"/>
      <c r="Z71" s="1"/>
      <c r="AA71" s="1"/>
      <c r="AB71" s="1"/>
      <c r="AC71" s="1"/>
    </row>
    <row r="72" spans="1:29" x14ac:dyDescent="0.3">
      <c r="A72" s="1">
        <f>ROW(CantoralDB[[#This Row],[Título]])-1</f>
        <v>71</v>
      </c>
      <c r="B72" s="1" t="s">
        <v>1748</v>
      </c>
      <c r="C72" s="1"/>
      <c r="H72" s="1" t="s">
        <v>1027</v>
      </c>
      <c r="J72" s="1"/>
      <c r="M72" s="15" t="s">
        <v>499</v>
      </c>
      <c r="N72" s="1" t="s">
        <v>1502</v>
      </c>
      <c r="O72" s="15">
        <v>13</v>
      </c>
      <c r="P72" s="15">
        <v>2002</v>
      </c>
      <c r="Q72" s="15" t="str" cm="1">
        <f t="array" ref="Q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2" s="15" t="str" cm="1">
        <f t="array" ref="R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canciones/ain_karem/joaquina_emigrante.html</v>
      </c>
      <c r="T72" s="1"/>
      <c r="U72" s="1"/>
      <c r="V72" s="32" t="s">
        <v>3508</v>
      </c>
      <c r="W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href="canciones/ain_karem/joaquina_emigrante.html"&gt;Joaquina emigrante&lt;/a&gt;&lt;/li&gt;</v>
      </c>
      <c r="X72" s="15" t="str">
        <f>_xlfn.TEXTBEFORE(_xlfn.TEXTAFTER(CantoralDB[[#This Row],[index.html]],"&gt;"),"&gt;")&amp;"&gt;"</f>
        <v>&lt;a href="canciones/ain_karem/joaquina_emigrante.html"&gt;</v>
      </c>
      <c r="Y72"/>
      <c r="Z72" s="1"/>
      <c r="AA72" s="1"/>
      <c r="AB72" s="1"/>
      <c r="AC72" s="1"/>
    </row>
    <row r="73" spans="1:29" x14ac:dyDescent="0.3">
      <c r="A73" s="1">
        <f>ROW(CantoralDB[[#This Row],[Título]])-1</f>
        <v>72</v>
      </c>
      <c r="B73" s="1" t="s">
        <v>1822</v>
      </c>
      <c r="C73" s="1"/>
      <c r="H73" s="1" t="s">
        <v>529</v>
      </c>
      <c r="I73" s="1" t="s">
        <v>2949</v>
      </c>
      <c r="J73" s="1" t="s">
        <v>605</v>
      </c>
      <c r="M73" s="15" t="s">
        <v>499</v>
      </c>
      <c r="N73" s="1" t="s">
        <v>1508</v>
      </c>
      <c r="O73" s="15">
        <v>1</v>
      </c>
      <c r="P73" s="15">
        <v>2015</v>
      </c>
      <c r="Q73" s="15" t="str" cm="1">
        <f t="array" ref="Q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3" s="15" t="str" cm="1">
        <f t="array" ref="R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canciones/ain_karem/de_todo_corazon.html</v>
      </c>
      <c r="T73" s="1"/>
      <c r="U73" s="1"/>
      <c r="V73" s="32" t="s">
        <v>3509</v>
      </c>
      <c r="W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href="canciones/ain_karem/de_todo_corazon.html"&gt;De todo corazón&lt;/a&gt;&lt;/li&gt;</v>
      </c>
      <c r="X73" s="15" t="str">
        <f>_xlfn.TEXTBEFORE(_xlfn.TEXTAFTER(CantoralDB[[#This Row],[index.html]],"&gt;"),"&gt;")&amp;"&gt;"</f>
        <v>&lt;a href="canciones/ain_karem/de_todo_corazon.html"&gt;</v>
      </c>
      <c r="Y73"/>
      <c r="Z73" s="1"/>
      <c r="AA73" s="1"/>
      <c r="AB73" s="1"/>
      <c r="AC73" s="1"/>
    </row>
    <row r="74" spans="1:29" x14ac:dyDescent="0.3">
      <c r="A74" s="1">
        <f>ROW(CantoralDB[[#This Row],[Título]])-1</f>
        <v>73</v>
      </c>
      <c r="B74" s="1" t="s">
        <v>1823</v>
      </c>
      <c r="C74" s="1"/>
      <c r="H74" s="1" t="s">
        <v>529</v>
      </c>
      <c r="J74" s="1" t="s">
        <v>605</v>
      </c>
      <c r="M74" s="15" t="s">
        <v>499</v>
      </c>
      <c r="N74" s="1" t="s">
        <v>1508</v>
      </c>
      <c r="O74" s="15">
        <v>2</v>
      </c>
      <c r="P74" s="15">
        <v>2015</v>
      </c>
      <c r="Q74" s="15" t="str" cm="1">
        <f t="array" ref="Q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4" s="15" t="str" cm="1">
        <f t="array" ref="R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canciones/ain_karem/canto_de_ana.html</v>
      </c>
      <c r="T74" s="1"/>
      <c r="U74" s="1"/>
      <c r="V74" s="32" t="s">
        <v>3510</v>
      </c>
      <c r="W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href="canciones/ain_karem/canto_de_ana.html"&gt;Canto de Ana&lt;/a&gt;&lt;/li&gt;</v>
      </c>
      <c r="X74" s="15" t="str">
        <f>_xlfn.TEXTBEFORE(_xlfn.TEXTAFTER(CantoralDB[[#This Row],[index.html]],"&gt;"),"&gt;")&amp;"&gt;"</f>
        <v>&lt;a href="canciones/ain_karem/canto_de_ana.html"&gt;</v>
      </c>
      <c r="Y74"/>
      <c r="Z74" s="1"/>
      <c r="AA74" s="1"/>
      <c r="AB74" s="1"/>
      <c r="AC74" s="1"/>
    </row>
    <row r="75" spans="1:29" x14ac:dyDescent="0.3">
      <c r="A75" s="1">
        <f>ROW(CantoralDB[[#This Row],[Título]])-1</f>
        <v>74</v>
      </c>
      <c r="B75" s="1" t="s">
        <v>1824</v>
      </c>
      <c r="C75" s="1"/>
      <c r="H75" s="1" t="s">
        <v>529</v>
      </c>
      <c r="I75" s="1" t="s">
        <v>2948</v>
      </c>
      <c r="J75" s="1" t="s">
        <v>605</v>
      </c>
      <c r="M75" s="15" t="s">
        <v>499</v>
      </c>
      <c r="N75" s="1" t="s">
        <v>1508</v>
      </c>
      <c r="O75" s="15">
        <v>3</v>
      </c>
      <c r="P75" s="15">
        <v>2015</v>
      </c>
      <c r="Q75" s="15" t="str" cm="1">
        <f t="array" ref="Q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5" s="15" t="str" cm="1">
        <f t="array" ref="R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canciones/ain_karem/seguirte.html</v>
      </c>
      <c r="T75" s="1"/>
      <c r="U75" s="1"/>
      <c r="V75" s="32" t="s">
        <v>3511</v>
      </c>
      <c r="W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href="canciones/ain_karem/seguirte.html"&gt;Seguirte&lt;/a&gt;&lt;/li&gt;</v>
      </c>
      <c r="X75" s="15" t="str">
        <f>_xlfn.TEXTBEFORE(_xlfn.TEXTAFTER(CantoralDB[[#This Row],[index.html]],"&gt;"),"&gt;")&amp;"&gt;"</f>
        <v>&lt;a href="canciones/ain_karem/seguirte.html"&gt;</v>
      </c>
      <c r="Y75"/>
      <c r="Z75" s="1"/>
      <c r="AA75" s="1"/>
      <c r="AB75" s="1"/>
      <c r="AC75" s="1"/>
    </row>
    <row r="76" spans="1:29" x14ac:dyDescent="0.3">
      <c r="A76" s="1">
        <f>ROW(CantoralDB[[#This Row],[Título]])-1</f>
        <v>75</v>
      </c>
      <c r="B76" s="1" t="s">
        <v>1825</v>
      </c>
      <c r="C76" s="1"/>
      <c r="H76" s="1" t="s">
        <v>1024</v>
      </c>
      <c r="I76" s="1" t="s">
        <v>2945</v>
      </c>
      <c r="J76" s="1" t="s">
        <v>605</v>
      </c>
      <c r="M76" s="15" t="s">
        <v>499</v>
      </c>
      <c r="N76" s="1" t="s">
        <v>1508</v>
      </c>
      <c r="O76" s="15">
        <v>4</v>
      </c>
      <c r="P76" s="15">
        <v>2015</v>
      </c>
      <c r="Q76" s="15" t="str" cm="1">
        <f t="array" ref="Q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6" s="15" t="str" cm="1">
        <f t="array" ref="R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canciones/ain_karem/pueblo_suyo.html</v>
      </c>
      <c r="T76" s="1"/>
      <c r="U76" s="1"/>
      <c r="V76" s="32" t="s">
        <v>3512</v>
      </c>
      <c r="W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href="canciones/ain_karem/pueblo_suyo.html"&gt;Pueblo Suyo&lt;/a&gt;&lt;/li&gt;</v>
      </c>
      <c r="X76" s="15" t="str">
        <f>_xlfn.TEXTBEFORE(_xlfn.TEXTAFTER(CantoralDB[[#This Row],[index.html]],"&gt;"),"&gt;")&amp;"&gt;"</f>
        <v>&lt;a href="canciones/ain_karem/pueblo_suyo.html"&gt;</v>
      </c>
      <c r="Y76"/>
      <c r="Z76" s="1"/>
      <c r="AA76" s="1"/>
      <c r="AB76" s="1"/>
      <c r="AC76" s="1"/>
    </row>
    <row r="77" spans="1:29" x14ac:dyDescent="0.3">
      <c r="A77" s="1">
        <f>ROW(CantoralDB[[#This Row],[Título]])-1</f>
        <v>76</v>
      </c>
      <c r="B77" s="1" t="s">
        <v>1826</v>
      </c>
      <c r="C77" s="1"/>
      <c r="H77" s="1" t="s">
        <v>529</v>
      </c>
      <c r="I77" s="1" t="s">
        <v>2950</v>
      </c>
      <c r="J77" s="1" t="s">
        <v>605</v>
      </c>
      <c r="M77" s="15" t="s">
        <v>499</v>
      </c>
      <c r="N77" s="1" t="s">
        <v>1508</v>
      </c>
      <c r="O77" s="15">
        <v>5</v>
      </c>
      <c r="P77" s="15">
        <v>2015</v>
      </c>
      <c r="Q77" s="15" t="str" cm="1">
        <f t="array" ref="Q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7" s="15" t="str" cm="1">
        <f t="array" ref="R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canciones/ain_karem/quedas_libre.html</v>
      </c>
      <c r="T77" s="1"/>
      <c r="U77" s="1"/>
      <c r="V77" s="32" t="s">
        <v>3513</v>
      </c>
      <c r="W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href="canciones/ain_karem/quedas_libre.html"&gt;Quedas libre&lt;/a&gt;&lt;/li&gt;</v>
      </c>
      <c r="X77" s="15" t="str">
        <f>_xlfn.TEXTBEFORE(_xlfn.TEXTAFTER(CantoralDB[[#This Row],[index.html]],"&gt;"),"&gt;")&amp;"&gt;"</f>
        <v>&lt;a href="canciones/ain_karem/quedas_libre.html"&gt;</v>
      </c>
      <c r="Y77"/>
      <c r="Z77" s="1"/>
      <c r="AA77" s="1"/>
      <c r="AB77" s="1"/>
      <c r="AC77" s="1"/>
    </row>
    <row r="78" spans="1:29" x14ac:dyDescent="0.3">
      <c r="A78" s="1">
        <f>ROW(CantoralDB[[#This Row],[Título]])-1</f>
        <v>77</v>
      </c>
      <c r="B78" s="1" t="s">
        <v>1827</v>
      </c>
      <c r="C78" s="1"/>
      <c r="H78" s="1" t="s">
        <v>529</v>
      </c>
      <c r="J78" s="1" t="s">
        <v>605</v>
      </c>
      <c r="M78" s="15" t="s">
        <v>499</v>
      </c>
      <c r="N78" s="1" t="s">
        <v>1508</v>
      </c>
      <c r="O78" s="15">
        <v>6</v>
      </c>
      <c r="P78" s="15">
        <v>2015</v>
      </c>
      <c r="Q78" s="15" t="str" cm="1">
        <f t="array" ref="Q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8" s="15" t="str" cm="1">
        <f t="array" ref="R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canciones/ain_karem/si_le_dais_posada.html</v>
      </c>
      <c r="T78" s="1"/>
      <c r="U78" s="1"/>
      <c r="V78" s="32" t="s">
        <v>3514</v>
      </c>
      <c r="W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href="canciones/ain_karem/si_le_dais_posada.html"&gt;Si le dais posada&lt;/a&gt;&lt;/li&gt;</v>
      </c>
      <c r="X78" s="15" t="str">
        <f>_xlfn.TEXTBEFORE(_xlfn.TEXTAFTER(CantoralDB[[#This Row],[index.html]],"&gt;"),"&gt;")&amp;"&gt;"</f>
        <v>&lt;a href="canciones/ain_karem/si_le_dais_posada.html"&gt;</v>
      </c>
      <c r="Y78"/>
      <c r="Z78" s="1"/>
      <c r="AA78" s="1"/>
      <c r="AB78" s="1"/>
      <c r="AC78" s="1"/>
    </row>
    <row r="79" spans="1:29" x14ac:dyDescent="0.3">
      <c r="A79" s="1">
        <f>ROW(CantoralDB[[#This Row],[Título]])-1</f>
        <v>78</v>
      </c>
      <c r="B79" s="1" t="s">
        <v>1828</v>
      </c>
      <c r="C79" s="1"/>
      <c r="H79" s="1" t="s">
        <v>529</v>
      </c>
      <c r="I79" s="1" t="s">
        <v>2947</v>
      </c>
      <c r="J79" s="1" t="s">
        <v>605</v>
      </c>
      <c r="M79" s="15" t="s">
        <v>499</v>
      </c>
      <c r="N79" s="1" t="s">
        <v>1508</v>
      </c>
      <c r="O79" s="15">
        <v>7</v>
      </c>
      <c r="P79" s="15">
        <v>2015</v>
      </c>
      <c r="Q79" s="15" t="str" cm="1">
        <f t="array" ref="Q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79" s="15" t="str" cm="1">
        <f t="array" ref="R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canciones/ain_karem/es_mi_hermano.html</v>
      </c>
      <c r="T79" s="1"/>
      <c r="U79" s="1"/>
      <c r="V79" s="32" t="s">
        <v>3515</v>
      </c>
      <c r="W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href="canciones/ain_karem/es_mi_hermano.html"&gt;Es mi hermano&lt;/a&gt;&lt;/li&gt;</v>
      </c>
      <c r="X79" s="15" t="str">
        <f>_xlfn.TEXTBEFORE(_xlfn.TEXTAFTER(CantoralDB[[#This Row],[index.html]],"&gt;"),"&gt;")&amp;"&gt;"</f>
        <v>&lt;a href="canciones/ain_karem/es_mi_hermano.html"&gt;</v>
      </c>
      <c r="Y79"/>
      <c r="Z79" s="1"/>
      <c r="AA79" s="1"/>
      <c r="AB79" s="1"/>
      <c r="AC79" s="1"/>
    </row>
    <row r="80" spans="1:29" x14ac:dyDescent="0.3">
      <c r="A80" s="1">
        <f>ROW(CantoralDB[[#This Row],[Título]])-1</f>
        <v>79</v>
      </c>
      <c r="B80" s="1" t="s">
        <v>1829</v>
      </c>
      <c r="C80" s="1"/>
      <c r="H80" s="1" t="s">
        <v>1027</v>
      </c>
      <c r="J80" s="1" t="s">
        <v>605</v>
      </c>
      <c r="M80" s="15" t="s">
        <v>499</v>
      </c>
      <c r="N80" s="1" t="s">
        <v>1508</v>
      </c>
      <c r="O80" s="15">
        <v>8</v>
      </c>
      <c r="P80" s="15">
        <v>2015</v>
      </c>
      <c r="Q80" s="15" t="str" cm="1">
        <f t="array" ref="Q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0" s="15" t="str" cm="1">
        <f t="array" ref="R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canciones/ain_karem/jesus.html</v>
      </c>
      <c r="T80" s="1"/>
      <c r="U80" s="1"/>
      <c r="V80" s="32" t="s">
        <v>3516</v>
      </c>
      <c r="W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href="canciones/ain_karem/jesus.html"&gt;Jesús&lt;/a&gt;&lt;/li&gt;</v>
      </c>
      <c r="X80" s="15" t="str">
        <f>_xlfn.TEXTBEFORE(_xlfn.TEXTAFTER(CantoralDB[[#This Row],[index.html]],"&gt;"),"&gt;")&amp;"&gt;"</f>
        <v>&lt;a href="canciones/ain_karem/jesus.html"&gt;</v>
      </c>
      <c r="Y80"/>
      <c r="Z80" s="1"/>
      <c r="AA80" s="1"/>
      <c r="AB80" s="1"/>
      <c r="AC80" s="1"/>
    </row>
    <row r="81" spans="1:29" x14ac:dyDescent="0.3">
      <c r="A81" s="1">
        <f>ROW(CantoralDB[[#This Row],[Título]])-1</f>
        <v>80</v>
      </c>
      <c r="B81" s="1" t="s">
        <v>936</v>
      </c>
      <c r="C81" s="1"/>
      <c r="H81" s="1" t="s">
        <v>1024</v>
      </c>
      <c r="J81" s="1" t="s">
        <v>605</v>
      </c>
      <c r="M81" s="15" t="s">
        <v>499</v>
      </c>
      <c r="N81" s="1" t="s">
        <v>1508</v>
      </c>
      <c r="O81" s="15">
        <v>9</v>
      </c>
      <c r="P81" s="15">
        <v>2015</v>
      </c>
      <c r="Q81" s="15" t="str" cm="1">
        <f t="array" ref="Q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1" s="15" t="str" cm="1">
        <f t="array" ref="R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canciones/ain_karem/el_reino_de_dios.html</v>
      </c>
      <c r="T81" s="1"/>
      <c r="U81" s="1"/>
      <c r="V81" s="32" t="s">
        <v>3517</v>
      </c>
      <c r="W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href="canciones/ain_karem/el_reino_de_dios.html"&gt;El Reino de Dios&lt;/a&gt;&lt;/li&gt;</v>
      </c>
      <c r="X81" s="15" t="str">
        <f>_xlfn.TEXTBEFORE(_xlfn.TEXTAFTER(CantoralDB[[#This Row],[index.html]],"&gt;"),"&gt;")&amp;"&gt;"</f>
        <v>&lt;a href="canciones/ain_karem/el_reino_de_dios.html"&gt;</v>
      </c>
      <c r="Y81"/>
      <c r="Z81" s="1"/>
      <c r="AA81" s="1"/>
      <c r="AB81" s="1"/>
      <c r="AC81" s="1"/>
    </row>
    <row r="82" spans="1:29" x14ac:dyDescent="0.3">
      <c r="A82" s="1">
        <f>ROW(CantoralDB[[#This Row],[Título]])-1</f>
        <v>81</v>
      </c>
      <c r="B82" s="1" t="s">
        <v>2142</v>
      </c>
      <c r="C82" s="1"/>
      <c r="H82" s="1" t="s">
        <v>529</v>
      </c>
      <c r="J82" s="1" t="s">
        <v>605</v>
      </c>
      <c r="M82" s="15" t="s">
        <v>499</v>
      </c>
      <c r="N82" s="1" t="s">
        <v>1508</v>
      </c>
      <c r="O82" s="15">
        <v>10</v>
      </c>
      <c r="P82" s="15">
        <v>2015</v>
      </c>
      <c r="Q82" s="15" t="str" cm="1">
        <f t="array" ref="Q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2" s="15" t="str" cm="1">
        <f t="array" ref="R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canciones/ain_karem/recibid_mi_espiritu.html</v>
      </c>
      <c r="T82" s="1"/>
      <c r="U82" s="1"/>
      <c r="V82" s="32" t="s">
        <v>3518</v>
      </c>
      <c r="W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href="canciones/ain_karem/recibid_mi_espiritu.html"&gt;Recibid mi Espíritu&lt;/a&gt;&lt;/li&gt;</v>
      </c>
      <c r="X82" s="15" t="str">
        <f>_xlfn.TEXTBEFORE(_xlfn.TEXTAFTER(CantoralDB[[#This Row],[index.html]],"&gt;"),"&gt;")&amp;"&gt;"</f>
        <v>&lt;a href="canciones/ain_karem/recibid_mi_espiritu.html"&gt;</v>
      </c>
      <c r="Y82"/>
      <c r="Z82" s="1"/>
      <c r="AA82" s="1"/>
      <c r="AB82" s="1"/>
      <c r="AC82" s="1"/>
    </row>
    <row r="83" spans="1:29" x14ac:dyDescent="0.3">
      <c r="A83" s="1">
        <f>ROW(CantoralDB[[#This Row],[Título]])-1</f>
        <v>82</v>
      </c>
      <c r="B83" s="1" t="s">
        <v>2875</v>
      </c>
      <c r="C83" s="1"/>
      <c r="H83" s="1" t="s">
        <v>529</v>
      </c>
      <c r="J83" s="1" t="s">
        <v>605</v>
      </c>
      <c r="M83" s="15" t="s">
        <v>499</v>
      </c>
      <c r="N83" s="1" t="s">
        <v>1508</v>
      </c>
      <c r="O83" s="15">
        <v>11</v>
      </c>
      <c r="P83" s="15">
        <v>2015</v>
      </c>
      <c r="Q83" s="15" t="str" cm="1">
        <f t="array" ref="Q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3" s="15" t="str" cm="1">
        <f t="array" ref="R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canciones/ain_karem/confia.html</v>
      </c>
      <c r="T83" s="1"/>
      <c r="U83" s="1"/>
      <c r="V83" s="32" t="s">
        <v>3519</v>
      </c>
      <c r="W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href="canciones/ain_karem/confia.html"&gt;Confía&lt;/a&gt;&lt;/li&gt;</v>
      </c>
      <c r="X83" s="15" t="str">
        <f>_xlfn.TEXTBEFORE(_xlfn.TEXTAFTER(CantoralDB[[#This Row],[index.html]],"&gt;"),"&gt;")&amp;"&gt;"</f>
        <v>&lt;a href="canciones/ain_karem/confia.html"&gt;</v>
      </c>
      <c r="Y83"/>
      <c r="Z83" s="1"/>
      <c r="AA83" s="1"/>
      <c r="AB83" s="1"/>
      <c r="AC83" s="1"/>
    </row>
    <row r="84" spans="1:29" x14ac:dyDescent="0.3">
      <c r="A84" s="1">
        <f>ROW(CantoralDB[[#This Row],[Título]])-1</f>
        <v>83</v>
      </c>
      <c r="B84" s="1" t="s">
        <v>1830</v>
      </c>
      <c r="C84" s="1"/>
      <c r="H84" s="1" t="s">
        <v>472</v>
      </c>
      <c r="J84" s="1" t="s">
        <v>605</v>
      </c>
      <c r="M84" s="15" t="s">
        <v>499</v>
      </c>
      <c r="N84" s="1" t="s">
        <v>1508</v>
      </c>
      <c r="O84" s="15">
        <v>12</v>
      </c>
      <c r="P84" s="15">
        <v>2015</v>
      </c>
      <c r="Q84" s="15" t="str" cm="1">
        <f t="array" ref="Q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4" s="15" t="str" cm="1">
        <f t="array" ref="R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canciones/ain_karem/como_tu.html</v>
      </c>
      <c r="T84" s="1"/>
      <c r="U84" s="1"/>
      <c r="V84" s="32" t="s">
        <v>3520</v>
      </c>
      <c r="W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href="canciones/ain_karem/como_tu.html"&gt;Como Tú&lt;/a&gt;&lt;/li&gt;</v>
      </c>
      <c r="X84" s="15" t="str">
        <f>_xlfn.TEXTBEFORE(_xlfn.TEXTAFTER(CantoralDB[[#This Row],[index.html]],"&gt;"),"&gt;")&amp;"&gt;"</f>
        <v>&lt;a href="canciones/ain_karem/como_tu.html"&gt;</v>
      </c>
      <c r="Y84"/>
      <c r="Z84" s="1"/>
      <c r="AA84" s="1"/>
      <c r="AB84" s="1"/>
      <c r="AC84" s="1"/>
    </row>
    <row r="85" spans="1:29" x14ac:dyDescent="0.3">
      <c r="A85" s="1">
        <f>ROW(CantoralDB[[#This Row],[Título]])-1</f>
        <v>84</v>
      </c>
      <c r="B85" s="1" t="s">
        <v>1831</v>
      </c>
      <c r="C85" s="1"/>
      <c r="H85" s="1" t="s">
        <v>529</v>
      </c>
      <c r="J85" s="1" t="s">
        <v>605</v>
      </c>
      <c r="M85" s="15" t="s">
        <v>499</v>
      </c>
      <c r="N85" s="1" t="s">
        <v>1508</v>
      </c>
      <c r="O85" s="15">
        <v>13</v>
      </c>
      <c r="P85" s="15">
        <v>2015</v>
      </c>
      <c r="Q85" s="15" t="str" cm="1">
        <f t="array" ref="Q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5" s="15" t="str" cm="1">
        <f t="array" ref="R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canciones/ain_karem/pequeño_israel.html</v>
      </c>
      <c r="T85" s="1"/>
      <c r="U85" s="1"/>
      <c r="V85" s="32" t="s">
        <v>3521</v>
      </c>
      <c r="W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href="canciones/ain_karem/pequeño_israel.html"&gt;Pequeño Israel&lt;/a&gt;&lt;/li&gt;</v>
      </c>
      <c r="X85" s="15" t="str">
        <f>_xlfn.TEXTBEFORE(_xlfn.TEXTAFTER(CantoralDB[[#This Row],[index.html]],"&gt;"),"&gt;")&amp;"&gt;"</f>
        <v>&lt;a href="canciones/ain_karem/pequeño_israel.html"&gt;</v>
      </c>
      <c r="Y85"/>
      <c r="Z85" s="1"/>
      <c r="AA85" s="1"/>
      <c r="AB85" s="1"/>
      <c r="AC85" s="1"/>
    </row>
    <row r="86" spans="1:29" x14ac:dyDescent="0.3">
      <c r="A86" s="1">
        <f>ROW(CantoralDB[[#This Row],[Título]])-1</f>
        <v>85</v>
      </c>
      <c r="B86" s="1" t="s">
        <v>1832</v>
      </c>
      <c r="C86" s="1"/>
      <c r="H86" s="1" t="s">
        <v>529</v>
      </c>
      <c r="J86" s="1" t="s">
        <v>605</v>
      </c>
      <c r="M86" s="15" t="s">
        <v>499</v>
      </c>
      <c r="N86" s="1" t="s">
        <v>1508</v>
      </c>
      <c r="O86" s="15">
        <v>14</v>
      </c>
      <c r="P86" s="15">
        <v>2015</v>
      </c>
      <c r="Q86" s="15" t="str" cm="1">
        <f t="array" ref="Q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6" s="15" t="str" cm="1">
        <f t="array" ref="R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canciones/ain_karem/vivid_en_comunion.html</v>
      </c>
      <c r="T86" s="1"/>
      <c r="U86" s="1"/>
      <c r="V86" s="32" t="s">
        <v>3522</v>
      </c>
      <c r="W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href="canciones/ain_karem/vivid_en_comunion.html"&gt;Vivid en comunión&lt;/a&gt;&lt;/li&gt;</v>
      </c>
      <c r="X86" s="15" t="str">
        <f>_xlfn.TEXTBEFORE(_xlfn.TEXTAFTER(CantoralDB[[#This Row],[index.html]],"&gt;"),"&gt;")&amp;"&gt;"</f>
        <v>&lt;a href="canciones/ain_karem/vivid_en_comunion.html"&gt;</v>
      </c>
      <c r="Y86"/>
      <c r="Z86" s="1"/>
      <c r="AA86" s="1"/>
      <c r="AB86" s="1"/>
      <c r="AC86" s="1"/>
    </row>
    <row r="87" spans="1:29" x14ac:dyDescent="0.3">
      <c r="A87" s="1">
        <f>ROW(CantoralDB[[#This Row],[Título]])-1</f>
        <v>86</v>
      </c>
      <c r="B87" s="1" t="s">
        <v>2224</v>
      </c>
      <c r="C87" s="1"/>
      <c r="H87" s="1" t="s">
        <v>1024</v>
      </c>
      <c r="J87" s="1" t="s">
        <v>605</v>
      </c>
      <c r="M87" s="15" t="s">
        <v>499</v>
      </c>
      <c r="N87" s="1" t="s">
        <v>1508</v>
      </c>
      <c r="O87" s="15">
        <v>15</v>
      </c>
      <c r="P87" s="15">
        <v>2015</v>
      </c>
      <c r="Q87" s="15" t="str" cm="1">
        <f t="array" ref="Q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7" s="15" t="str" cm="1">
        <f t="array" ref="R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canciones/ain_karem/vengan_a_mi.html</v>
      </c>
      <c r="T87" s="1"/>
      <c r="U87" s="1"/>
      <c r="V87" s="32" t="s">
        <v>3523</v>
      </c>
      <c r="W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href="canciones/ain_karem/vengan_a_mi.html"&gt;Vengan a mí&lt;/a&gt;&lt;/li&gt;</v>
      </c>
      <c r="X87" s="15" t="str">
        <f>_xlfn.TEXTBEFORE(_xlfn.TEXTAFTER(CantoralDB[[#This Row],[index.html]],"&gt;"),"&gt;")&amp;"&gt;"</f>
        <v>&lt;a href="canciones/ain_karem/vengan_a_mi.html"&gt;</v>
      </c>
      <c r="Y87"/>
      <c r="Z87" s="1"/>
      <c r="AA87" s="1"/>
      <c r="AB87" s="1"/>
      <c r="AC87" s="1"/>
    </row>
    <row r="88" spans="1:29" x14ac:dyDescent="0.3">
      <c r="A88" s="1">
        <f>ROW(CantoralDB[[#This Row],[Título]])-1</f>
        <v>87</v>
      </c>
      <c r="B88" s="1" t="s">
        <v>1821</v>
      </c>
      <c r="C88" s="1"/>
      <c r="H88" s="1" t="s">
        <v>529</v>
      </c>
      <c r="I88" s="1" t="s">
        <v>2949</v>
      </c>
      <c r="J88" s="1" t="s">
        <v>605</v>
      </c>
      <c r="M88" s="15" t="s">
        <v>499</v>
      </c>
      <c r="N88" s="1" t="s">
        <v>1508</v>
      </c>
      <c r="O88" s="15">
        <v>16</v>
      </c>
      <c r="P88" s="15">
        <v>2015</v>
      </c>
      <c r="Q88" s="15" t="str" cm="1">
        <f t="array" ref="Q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8" s="15" t="str" cm="1">
        <f t="array" ref="R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canciones/ain_karem/os_envio.html</v>
      </c>
      <c r="T88" s="1"/>
      <c r="U88" s="1"/>
      <c r="V88" s="32" t="s">
        <v>3524</v>
      </c>
      <c r="W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href="canciones/ain_karem/os_envio.html"&gt;Os envío&lt;/a&gt;&lt;/li&gt;</v>
      </c>
      <c r="X88" s="15" t="str">
        <f>_xlfn.TEXTBEFORE(_xlfn.TEXTAFTER(CantoralDB[[#This Row],[index.html]],"&gt;"),"&gt;")&amp;"&gt;"</f>
        <v>&lt;a href="canciones/ain_karem/os_envio.html"&gt;</v>
      </c>
      <c r="Y88"/>
      <c r="Z88" s="1"/>
      <c r="AA88" s="1"/>
      <c r="AB88" s="1"/>
      <c r="AC88" s="1"/>
    </row>
    <row r="89" spans="1:29" x14ac:dyDescent="0.3">
      <c r="A89" s="1">
        <f>ROW(CantoralDB[[#This Row],[Título]])-1</f>
        <v>88</v>
      </c>
      <c r="B89" s="1" t="s">
        <v>1806</v>
      </c>
      <c r="C89" s="1"/>
      <c r="H89" s="1" t="s">
        <v>529</v>
      </c>
      <c r="I89" s="1" t="s">
        <v>2947</v>
      </c>
      <c r="J89" s="1" t="s">
        <v>605</v>
      </c>
      <c r="M89" s="15" t="s">
        <v>499</v>
      </c>
      <c r="N89" s="1" t="s">
        <v>1509</v>
      </c>
      <c r="O89" s="15">
        <v>1</v>
      </c>
      <c r="P89" s="15">
        <v>2019</v>
      </c>
      <c r="Q89" s="15" t="str" cm="1">
        <f t="array" ref="Q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89" s="15" t="str" cm="1">
        <f t="array" ref="R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canciones/ain_karem/fuego.html</v>
      </c>
      <c r="T89" s="1"/>
      <c r="U89" s="1"/>
      <c r="V89" s="32" t="s">
        <v>3525</v>
      </c>
      <c r="W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href="canciones/ain_karem/fuego.html"&gt;Fuego&lt;/a&gt;&lt;/li&gt;</v>
      </c>
      <c r="X89" s="15" t="str">
        <f>_xlfn.TEXTBEFORE(_xlfn.TEXTAFTER(CantoralDB[[#This Row],[index.html]],"&gt;"),"&gt;")&amp;"&gt;"</f>
        <v>&lt;a href="canciones/ain_karem/fuego.html"&gt;</v>
      </c>
      <c r="Y89"/>
      <c r="Z89" s="1"/>
      <c r="AA89" s="1"/>
      <c r="AB89" s="1"/>
      <c r="AC89" s="1"/>
    </row>
    <row r="90" spans="1:29" x14ac:dyDescent="0.3">
      <c r="A90" s="1">
        <f>ROW(CantoralDB[[#This Row],[Título]])-1</f>
        <v>89</v>
      </c>
      <c r="B90" s="1" t="s">
        <v>1807</v>
      </c>
      <c r="C90" s="1"/>
      <c r="H90" s="1" t="s">
        <v>1027</v>
      </c>
      <c r="J90" s="1" t="s">
        <v>605</v>
      </c>
      <c r="M90" s="15" t="s">
        <v>499</v>
      </c>
      <c r="N90" s="1" t="s">
        <v>1509</v>
      </c>
      <c r="O90" s="15">
        <v>2</v>
      </c>
      <c r="P90" s="15">
        <v>2019</v>
      </c>
      <c r="Q90" s="15" t="str" cm="1">
        <f t="array" ref="Q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0" s="15" t="str" cm="1">
        <f t="array" ref="R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canciones/ain_karem/mujeres_en_camino.html</v>
      </c>
      <c r="T90" s="1"/>
      <c r="U90" s="1"/>
      <c r="V90" s="32" t="s">
        <v>3526</v>
      </c>
      <c r="W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href="canciones/ain_karem/mujeres_en_camino.html"&gt;Mujeres en camino&lt;/a&gt;&lt;/li&gt;</v>
      </c>
      <c r="X90" s="15" t="str">
        <f>_xlfn.TEXTBEFORE(_xlfn.TEXTAFTER(CantoralDB[[#This Row],[index.html]],"&gt;"),"&gt;")&amp;"&gt;"</f>
        <v>&lt;a href="canciones/ain_karem/mujeres_en_camino.html"&gt;</v>
      </c>
      <c r="Y90"/>
      <c r="Z90" s="1"/>
      <c r="AA90" s="1"/>
      <c r="AB90" s="1"/>
      <c r="AC90" s="1"/>
    </row>
    <row r="91" spans="1:29" x14ac:dyDescent="0.3">
      <c r="A91" s="1">
        <f>ROW(CantoralDB[[#This Row],[Título]])-1</f>
        <v>90</v>
      </c>
      <c r="B91" s="1" t="s">
        <v>214</v>
      </c>
      <c r="C91" s="1"/>
      <c r="H91" s="1" t="s">
        <v>1026</v>
      </c>
      <c r="J91" s="1" t="s">
        <v>605</v>
      </c>
      <c r="M91" s="15" t="s">
        <v>499</v>
      </c>
      <c r="N91" s="1" t="s">
        <v>1509</v>
      </c>
      <c r="O91" s="15">
        <v>3</v>
      </c>
      <c r="P91" s="15">
        <v>2019</v>
      </c>
      <c r="Q91" s="15" t="str" cm="1">
        <f t="array" ref="Q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1" s="15" t="str" cm="1">
        <f t="array" ref="R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canciones/ain_karem/no_temas.html</v>
      </c>
      <c r="T91" s="1"/>
      <c r="U91" s="1"/>
      <c r="V91" s="32" t="s">
        <v>3527</v>
      </c>
      <c r="W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href="canciones/ain_karem/no_temas.html"&gt;No temas&lt;/a&gt;&lt;/li&gt;</v>
      </c>
      <c r="X91" s="15" t="str">
        <f>_xlfn.TEXTBEFORE(_xlfn.TEXTAFTER(CantoralDB[[#This Row],[index.html]],"&gt;"),"&gt;")&amp;"&gt;"</f>
        <v>&lt;a href="canciones/ain_karem/no_temas.html"&gt;</v>
      </c>
      <c r="Y91"/>
      <c r="Z91" s="1"/>
      <c r="AA91" s="1"/>
      <c r="AB91" s="1"/>
      <c r="AC91" s="1"/>
    </row>
    <row r="92" spans="1:29" x14ac:dyDescent="0.3">
      <c r="A92" s="1">
        <f>ROW(CantoralDB[[#This Row],[Título]])-1</f>
        <v>91</v>
      </c>
      <c r="B92" s="1" t="s">
        <v>1808</v>
      </c>
      <c r="C92" s="1"/>
      <c r="H92" s="1" t="s">
        <v>1024</v>
      </c>
      <c r="J92" s="1" t="s">
        <v>605</v>
      </c>
      <c r="M92" s="15" t="s">
        <v>499</v>
      </c>
      <c r="N92" s="1" t="s">
        <v>1509</v>
      </c>
      <c r="O92" s="15">
        <v>4</v>
      </c>
      <c r="P92" s="15">
        <v>2019</v>
      </c>
      <c r="Q92" s="15" t="str" cm="1">
        <f t="array" ref="Q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2" s="15" t="str" cm="1">
        <f t="array" ref="R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canciones/ain_karem/abre_mis_puertas.html</v>
      </c>
      <c r="T92" s="1"/>
      <c r="U92" s="1"/>
      <c r="V92" s="32" t="s">
        <v>3528</v>
      </c>
      <c r="W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href="canciones/ain_karem/abre_mis_puertas.html"&gt;Abre mis puertas&lt;/a&gt;&lt;/li&gt;</v>
      </c>
      <c r="X92" s="15" t="str">
        <f>_xlfn.TEXTBEFORE(_xlfn.TEXTAFTER(CantoralDB[[#This Row],[index.html]],"&gt;"),"&gt;")&amp;"&gt;"</f>
        <v>&lt;a href="canciones/ain_karem/abre_mis_puertas.html"&gt;</v>
      </c>
      <c r="Y92"/>
      <c r="Z92" s="1"/>
      <c r="AA92" s="1"/>
      <c r="AB92" s="1"/>
      <c r="AC92" s="1"/>
    </row>
    <row r="93" spans="1:29" x14ac:dyDescent="0.3">
      <c r="A93" s="1">
        <f>ROW(CantoralDB[[#This Row],[Título]])-1</f>
        <v>92</v>
      </c>
      <c r="B93" s="1" t="s">
        <v>1809</v>
      </c>
      <c r="C93" s="1"/>
      <c r="H93" s="1" t="s">
        <v>472</v>
      </c>
      <c r="J93" s="1" t="s">
        <v>605</v>
      </c>
      <c r="M93" s="15" t="s">
        <v>499</v>
      </c>
      <c r="N93" s="1" t="s">
        <v>1509</v>
      </c>
      <c r="O93" s="15">
        <v>5</v>
      </c>
      <c r="P93" s="15">
        <v>2019</v>
      </c>
      <c r="Q93" s="15" t="str" cm="1">
        <f t="array" ref="Q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3" s="15" t="str" cm="1">
        <f t="array" ref="R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canciones/ain_karem/danos_de_beber.html</v>
      </c>
      <c r="T93" s="1"/>
      <c r="U93" s="1"/>
      <c r="V93" s="32" t="s">
        <v>3529</v>
      </c>
      <c r="W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href="canciones/ain_karem/danos_de_beber.html"&gt;Danos de beber&lt;/a&gt;&lt;/li&gt;</v>
      </c>
      <c r="X93" s="15" t="str">
        <f>_xlfn.TEXTBEFORE(_xlfn.TEXTAFTER(CantoralDB[[#This Row],[index.html]],"&gt;"),"&gt;")&amp;"&gt;"</f>
        <v>&lt;a href="canciones/ain_karem/danos_de_beber.html"&gt;</v>
      </c>
      <c r="Y93"/>
      <c r="Z93" s="1"/>
      <c r="AA93" s="1"/>
      <c r="AB93" s="1"/>
      <c r="AC93" s="1"/>
    </row>
    <row r="94" spans="1:29" x14ac:dyDescent="0.3">
      <c r="A94" s="1">
        <f>ROW(CantoralDB[[#This Row],[Título]])-1</f>
        <v>93</v>
      </c>
      <c r="B94" s="1" t="s">
        <v>1810</v>
      </c>
      <c r="C94" s="1"/>
      <c r="H94" s="1" t="s">
        <v>529</v>
      </c>
      <c r="I94" s="1" t="s">
        <v>2949</v>
      </c>
      <c r="J94" s="1" t="s">
        <v>605</v>
      </c>
      <c r="M94" s="15" t="s">
        <v>499</v>
      </c>
      <c r="N94" s="1" t="s">
        <v>1509</v>
      </c>
      <c r="O94" s="15">
        <v>6</v>
      </c>
      <c r="P94" s="15">
        <v>2019</v>
      </c>
      <c r="Q94" s="15" t="str" cm="1">
        <f t="array" ref="Q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4" s="15" t="str" cm="1">
        <f t="array" ref="R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canciones/ain_karem/secuencia_pascual.html</v>
      </c>
      <c r="T94" s="1"/>
      <c r="U94" s="1"/>
      <c r="V94" s="32" t="s">
        <v>3530</v>
      </c>
      <c r="W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href="canciones/ain_karem/secuencia_pascual.html"&gt;Secuencia pascual&lt;/a&gt;&lt;/li&gt;</v>
      </c>
      <c r="X94" s="15" t="str">
        <f>_xlfn.TEXTBEFORE(_xlfn.TEXTAFTER(CantoralDB[[#This Row],[index.html]],"&gt;"),"&gt;")&amp;"&gt;"</f>
        <v>&lt;a href="canciones/ain_karem/secuencia_pascual.html"&gt;</v>
      </c>
      <c r="Y94"/>
      <c r="Z94" s="1"/>
      <c r="AA94" s="1"/>
      <c r="AB94" s="1"/>
      <c r="AC94" s="1"/>
    </row>
    <row r="95" spans="1:29" x14ac:dyDescent="0.3">
      <c r="A95" s="1">
        <f>ROW(CantoralDB[[#This Row],[Título]])-1</f>
        <v>94</v>
      </c>
      <c r="B95" s="1" t="s">
        <v>1811</v>
      </c>
      <c r="C95" s="1"/>
      <c r="H95" s="1" t="s">
        <v>1027</v>
      </c>
      <c r="I95" s="1" t="s">
        <v>2948</v>
      </c>
      <c r="J95" s="1" t="s">
        <v>605</v>
      </c>
      <c r="M95" s="15" t="s">
        <v>499</v>
      </c>
      <c r="N95" s="1" t="s">
        <v>1509</v>
      </c>
      <c r="O95" s="15">
        <v>7</v>
      </c>
      <c r="P95" s="15">
        <v>2019</v>
      </c>
      <c r="Q95" s="15" t="str" cm="1">
        <f t="array" ref="Q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5" s="15" t="str" cm="1">
        <f t="array" ref="R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canciones/ain_karem/solo_en_dios.html</v>
      </c>
      <c r="T95" s="1"/>
      <c r="U95" s="1"/>
      <c r="V95" s="32" t="s">
        <v>3531</v>
      </c>
      <c r="W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href="canciones/ain_karem/solo_en_dios.html"&gt;Sólo en Dios&lt;/a&gt;&lt;/li&gt;</v>
      </c>
      <c r="X95" s="15" t="str">
        <f>_xlfn.TEXTBEFORE(_xlfn.TEXTAFTER(CantoralDB[[#This Row],[index.html]],"&gt;"),"&gt;")&amp;"&gt;"</f>
        <v>&lt;a href="canciones/ain_karem/solo_en_dios.html"&gt;</v>
      </c>
      <c r="Y95"/>
      <c r="Z95" s="1"/>
      <c r="AA95" s="1"/>
      <c r="AB95" s="1"/>
      <c r="AC95" s="1"/>
    </row>
    <row r="96" spans="1:29" x14ac:dyDescent="0.3">
      <c r="A96" s="1">
        <f>ROW(CantoralDB[[#This Row],[Título]])-1</f>
        <v>95</v>
      </c>
      <c r="B96" s="1" t="s">
        <v>1812</v>
      </c>
      <c r="C96" s="1"/>
      <c r="H96" s="1" t="s">
        <v>472</v>
      </c>
      <c r="I96" s="1" t="s">
        <v>2945</v>
      </c>
      <c r="J96" s="1" t="s">
        <v>605</v>
      </c>
      <c r="M96" s="15" t="s">
        <v>499</v>
      </c>
      <c r="N96" s="1" t="s">
        <v>1509</v>
      </c>
      <c r="O96" s="15">
        <v>8</v>
      </c>
      <c r="P96" s="15">
        <v>2019</v>
      </c>
      <c r="Q96" s="15" t="str" cm="1">
        <f t="array" ref="Q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6" s="15" t="str" cm="1">
        <f t="array" ref="R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canciones/ain_karem/cantad_al_señor.html</v>
      </c>
      <c r="T96" s="1"/>
      <c r="U96" s="1"/>
      <c r="V96" s="32" t="s">
        <v>3532</v>
      </c>
      <c r="W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href="canciones/ain_karem/cantad_al_señor.html"&gt;Cantad al Señor&lt;/a&gt;&lt;/li&gt;</v>
      </c>
      <c r="X96" s="15" t="str">
        <f>_xlfn.TEXTBEFORE(_xlfn.TEXTAFTER(CantoralDB[[#This Row],[index.html]],"&gt;"),"&gt;")&amp;"&gt;"</f>
        <v>&lt;a href="canciones/ain_karem/cantad_al_señor.html"&gt;</v>
      </c>
      <c r="Y96"/>
      <c r="Z96" s="1"/>
      <c r="AA96" s="1"/>
      <c r="AB96" s="1"/>
      <c r="AC96" s="1"/>
    </row>
    <row r="97" spans="1:29" x14ac:dyDescent="0.3">
      <c r="A97" s="1">
        <f>ROW(CantoralDB[[#This Row],[Título]])-1</f>
        <v>96</v>
      </c>
      <c r="B97" s="1" t="s">
        <v>1813</v>
      </c>
      <c r="C97" s="1"/>
      <c r="H97" s="1" t="s">
        <v>529</v>
      </c>
      <c r="I97" s="1" t="s">
        <v>2948</v>
      </c>
      <c r="J97" s="1" t="s">
        <v>605</v>
      </c>
      <c r="M97" s="15" t="s">
        <v>499</v>
      </c>
      <c r="N97" s="1" t="s">
        <v>1509</v>
      </c>
      <c r="O97" s="15">
        <v>9</v>
      </c>
      <c r="P97" s="15">
        <v>2019</v>
      </c>
      <c r="Q97" s="15" t="str" cm="1">
        <f t="array" ref="Q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7" s="15" t="str" cm="1">
        <f t="array" ref="R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canciones/ain_karem/agua_viva.html</v>
      </c>
      <c r="T97" s="1"/>
      <c r="U97" s="1"/>
      <c r="V97" s="32" t="s">
        <v>3533</v>
      </c>
      <c r="W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href="canciones/ain_karem/agua_viva.html"&gt;Agua viva&lt;/a&gt;&lt;/li&gt;</v>
      </c>
      <c r="X97" s="15" t="str">
        <f>_xlfn.TEXTBEFORE(_xlfn.TEXTAFTER(CantoralDB[[#This Row],[index.html]],"&gt;"),"&gt;")&amp;"&gt;"</f>
        <v>&lt;a href="canciones/ain_karem/agua_viva.html"&gt;</v>
      </c>
      <c r="Y97"/>
      <c r="Z97" s="1"/>
      <c r="AA97" s="1"/>
      <c r="AB97" s="1"/>
      <c r="AC97" s="1"/>
    </row>
    <row r="98" spans="1:29" x14ac:dyDescent="0.3">
      <c r="A98" s="1">
        <f>ROW(CantoralDB[[#This Row],[Título]])-1</f>
        <v>97</v>
      </c>
      <c r="B98" s="1" t="s">
        <v>1509</v>
      </c>
      <c r="C98" s="1"/>
      <c r="H98" s="1" t="s">
        <v>1027</v>
      </c>
      <c r="J98" s="1" t="s">
        <v>605</v>
      </c>
      <c r="M98" s="15" t="s">
        <v>499</v>
      </c>
      <c r="N98" s="1" t="s">
        <v>1509</v>
      </c>
      <c r="O98" s="15">
        <v>10</v>
      </c>
      <c r="P98" s="15">
        <v>2019</v>
      </c>
      <c r="Q98" s="15" t="str" cm="1">
        <f t="array" ref="Q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8" s="15" t="str" cm="1">
        <f t="array" ref="R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canciones/ain_karem/fuego_y_abrazo.html</v>
      </c>
      <c r="T98" s="1"/>
      <c r="U98" s="1"/>
      <c r="V98" s="32" t="s">
        <v>3534</v>
      </c>
      <c r="W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href="canciones/ain_karem/fuego_y_abrazo.html"&gt;Fuego y abrazo&lt;/a&gt;&lt;/li&gt;</v>
      </c>
      <c r="X98" s="15" t="str">
        <f>_xlfn.TEXTBEFORE(_xlfn.TEXTAFTER(CantoralDB[[#This Row],[index.html]],"&gt;"),"&gt;")&amp;"&gt;"</f>
        <v>&lt;a href="canciones/ain_karem/fuego_y_abrazo.html"&gt;</v>
      </c>
      <c r="Y98"/>
      <c r="Z98" s="1"/>
      <c r="AA98" s="1"/>
      <c r="AB98" s="1"/>
      <c r="AC98" s="1"/>
    </row>
    <row r="99" spans="1:29" x14ac:dyDescent="0.3">
      <c r="A99" s="1">
        <f>ROW(CantoralDB[[#This Row],[Título]])-1</f>
        <v>98</v>
      </c>
      <c r="B99" s="1" t="s">
        <v>1814</v>
      </c>
      <c r="C99" s="1"/>
      <c r="H99" s="1" t="s">
        <v>472</v>
      </c>
      <c r="J99" s="1" t="s">
        <v>605</v>
      </c>
      <c r="M99" s="15" t="s">
        <v>499</v>
      </c>
      <c r="N99" s="1" t="s">
        <v>1509</v>
      </c>
      <c r="O99" s="15">
        <v>11</v>
      </c>
      <c r="P99" s="15">
        <v>2019</v>
      </c>
      <c r="Q99" s="15" t="str" cm="1">
        <f t="array" ref="Q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99" s="15" t="str" cm="1">
        <f t="array" ref="R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canciones/ain_karem/habitare.html</v>
      </c>
      <c r="T99" s="1"/>
      <c r="U99" s="1"/>
      <c r="V99" s="32" t="s">
        <v>3535</v>
      </c>
      <c r="W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href="canciones/ain_karem/habitare.html"&gt;Habitaré&lt;/a&gt;&lt;/li&gt;</v>
      </c>
      <c r="X99" s="15" t="str">
        <f>_xlfn.TEXTBEFORE(_xlfn.TEXTAFTER(CantoralDB[[#This Row],[index.html]],"&gt;"),"&gt;")&amp;"&gt;"</f>
        <v>&lt;a href="canciones/ain_karem/habitare.html"&gt;</v>
      </c>
      <c r="Y99"/>
      <c r="Z99" s="1"/>
      <c r="AA99" s="1"/>
      <c r="AB99" s="1"/>
      <c r="AC99" s="1"/>
    </row>
    <row r="100" spans="1:29" x14ac:dyDescent="0.3">
      <c r="A100" s="1">
        <f>ROW(CantoralDB[[#This Row],[Título]])-1</f>
        <v>99</v>
      </c>
      <c r="B100" s="1" t="s">
        <v>1835</v>
      </c>
      <c r="C100" s="1"/>
      <c r="H100" s="1" t="s">
        <v>1024</v>
      </c>
      <c r="J100" s="1" t="s">
        <v>605</v>
      </c>
      <c r="M100" s="15" t="s">
        <v>499</v>
      </c>
      <c r="N100" s="1" t="s">
        <v>1509</v>
      </c>
      <c r="O100" s="15">
        <v>12</v>
      </c>
      <c r="P100" s="15">
        <v>2019</v>
      </c>
      <c r="Q100" s="15" t="str" cm="1">
        <f t="array" ref="Q1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0" s="15" t="str" cm="1">
        <f t="array" ref="R1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canciones/ain_karem/discipulos.html</v>
      </c>
      <c r="T100" s="1"/>
      <c r="U100" s="1"/>
      <c r="V100" s="32" t="s">
        <v>3536</v>
      </c>
      <c r="W1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href="canciones/ain_karem/discipulos.html"&gt;Discípulos&lt;/a&gt;&lt;/li&gt;</v>
      </c>
      <c r="X100" s="15" t="str">
        <f>_xlfn.TEXTBEFORE(_xlfn.TEXTAFTER(CantoralDB[[#This Row],[index.html]],"&gt;"),"&gt;")&amp;"&gt;"</f>
        <v>&lt;a href="canciones/ain_karem/discipulos.html"&gt;</v>
      </c>
      <c r="Y100"/>
      <c r="Z100" s="1"/>
      <c r="AA100" s="1"/>
      <c r="AB100" s="1"/>
      <c r="AC100" s="1"/>
    </row>
    <row r="101" spans="1:29" x14ac:dyDescent="0.3">
      <c r="A101" s="1">
        <f>ROW(CantoralDB[[#This Row],[Título]])-1</f>
        <v>100</v>
      </c>
      <c r="B101" s="1" t="s">
        <v>2938</v>
      </c>
      <c r="C101" s="1"/>
      <c r="H101" s="1" t="s">
        <v>1025</v>
      </c>
      <c r="J101" s="1" t="s">
        <v>605</v>
      </c>
      <c r="M101" s="15" t="s">
        <v>499</v>
      </c>
      <c r="N101" s="1" t="s">
        <v>1509</v>
      </c>
      <c r="O101" s="15">
        <v>13</v>
      </c>
      <c r="P101" s="15">
        <v>2019</v>
      </c>
      <c r="Q101" s="15" t="str" cm="1">
        <f t="array" ref="Q1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1" s="15" t="str" cm="1">
        <f t="array" ref="R1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canciones/ain_karem/no_os_dejo_solos.html</v>
      </c>
      <c r="T101" s="1"/>
      <c r="U101" s="1"/>
      <c r="V101" s="32" t="s">
        <v>3537</v>
      </c>
      <c r="W1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href="canciones/ain_karem/no_os_dejo_solos.html"&gt;No os dejo solos&lt;/a&gt;&lt;/li&gt;</v>
      </c>
      <c r="X101" s="15" t="str">
        <f>_xlfn.TEXTBEFORE(_xlfn.TEXTAFTER(CantoralDB[[#This Row],[index.html]],"&gt;"),"&gt;")&amp;"&gt;"</f>
        <v>&lt;a href="canciones/ain_karem/no_os_dejo_solos.html"&gt;</v>
      </c>
      <c r="Y101"/>
      <c r="Z101" s="1"/>
      <c r="AA101" s="1"/>
      <c r="AB101" s="1"/>
      <c r="AC101" s="1"/>
    </row>
    <row r="102" spans="1:29" x14ac:dyDescent="0.3">
      <c r="A102" s="1">
        <f>ROW(CantoralDB[[#This Row],[Título]])-1</f>
        <v>101</v>
      </c>
      <c r="B102" s="1" t="s">
        <v>1815</v>
      </c>
      <c r="C102" s="1"/>
      <c r="H102" s="1" t="s">
        <v>1027</v>
      </c>
      <c r="I102" s="1" t="s">
        <v>2945</v>
      </c>
      <c r="J102" s="1" t="s">
        <v>605</v>
      </c>
      <c r="M102" s="15" t="s">
        <v>499</v>
      </c>
      <c r="N102" s="1" t="s">
        <v>1509</v>
      </c>
      <c r="O102" s="15">
        <v>14</v>
      </c>
      <c r="P102" s="15">
        <v>2019</v>
      </c>
      <c r="Q102" s="15" t="str" cm="1">
        <f t="array" ref="Q1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2" s="15" t="str" cm="1">
        <f t="array" ref="R1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canciones/ain_karem/por_amor_a_tu_pueblo.html</v>
      </c>
      <c r="T102" s="1"/>
      <c r="U102" s="1"/>
      <c r="V102" s="32" t="s">
        <v>3538</v>
      </c>
      <c r="W1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href="canciones/ain_karem/por_amor_a_tu_pueblo.html"&gt;Por amor a tu pueblo&lt;/a&gt;&lt;/li&gt;</v>
      </c>
      <c r="X102" s="15" t="str">
        <f>_xlfn.TEXTBEFORE(_xlfn.TEXTAFTER(CantoralDB[[#This Row],[index.html]],"&gt;"),"&gt;")&amp;"&gt;"</f>
        <v>&lt;a href="canciones/ain_karem/por_amor_a_tu_pueblo.html"&gt;</v>
      </c>
      <c r="Y102"/>
      <c r="Z102" s="1"/>
      <c r="AA102" s="1"/>
      <c r="AB102" s="1"/>
      <c r="AC102" s="1"/>
    </row>
    <row r="103" spans="1:29" x14ac:dyDescent="0.3">
      <c r="A103" s="1">
        <f>ROW(CantoralDB[[#This Row],[Título]])-1</f>
        <v>102</v>
      </c>
      <c r="B103" s="1" t="s">
        <v>1816</v>
      </c>
      <c r="C103" s="1"/>
      <c r="H103" s="1" t="s">
        <v>529</v>
      </c>
      <c r="I103" s="1" t="s">
        <v>2948</v>
      </c>
      <c r="J103" s="1" t="s">
        <v>605</v>
      </c>
      <c r="M103" s="15" t="s">
        <v>499</v>
      </c>
      <c r="N103" s="1" t="s">
        <v>1509</v>
      </c>
      <c r="O103" s="15">
        <v>15</v>
      </c>
      <c r="P103" s="15">
        <v>2019</v>
      </c>
      <c r="Q103" s="15" t="str" cm="1">
        <f t="array" ref="Q1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3" s="15" t="str" cm="1">
        <f t="array" ref="R1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canciones/ain_karem/llama_de_amor_viva.html</v>
      </c>
      <c r="T103" s="1"/>
      <c r="U103" s="1"/>
      <c r="V103" s="32" t="s">
        <v>3539</v>
      </c>
      <c r="W1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href="canciones/ain_karem/llama_de_amor_viva.html"&gt;Llama de amor viva&lt;/a&gt;&lt;/li&gt;</v>
      </c>
      <c r="X103" s="15" t="str">
        <f>_xlfn.TEXTBEFORE(_xlfn.TEXTAFTER(CantoralDB[[#This Row],[index.html]],"&gt;"),"&gt;")&amp;"&gt;"</f>
        <v>&lt;a href="canciones/ain_karem/llama_de_amor_viva.html"&gt;</v>
      </c>
      <c r="Y103"/>
      <c r="Z103" s="1"/>
      <c r="AA103" s="1"/>
      <c r="AB103" s="1"/>
      <c r="AC103" s="1"/>
    </row>
    <row r="104" spans="1:29" x14ac:dyDescent="0.3">
      <c r="A104" s="1">
        <f>ROW(CantoralDB[[#This Row],[Título]])-1</f>
        <v>103</v>
      </c>
      <c r="B104" s="1" t="s">
        <v>1817</v>
      </c>
      <c r="C104" s="1"/>
      <c r="H104" s="1" t="s">
        <v>1026</v>
      </c>
      <c r="I104" s="1" t="s">
        <v>2945</v>
      </c>
      <c r="J104" s="1" t="s">
        <v>605</v>
      </c>
      <c r="M104" s="15" t="s">
        <v>499</v>
      </c>
      <c r="N104" s="1" t="s">
        <v>1509</v>
      </c>
      <c r="O104" s="15">
        <v>16</v>
      </c>
      <c r="P104" s="15">
        <v>2019</v>
      </c>
      <c r="Q104" s="15" t="str" cm="1">
        <f t="array" ref="Q1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4" s="15" t="str" cm="1">
        <f t="array" ref="R1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canciones/ain_karem/la_piedra_angular.html</v>
      </c>
      <c r="T104" s="1"/>
      <c r="U104" s="1"/>
      <c r="V104" s="32" t="s">
        <v>3540</v>
      </c>
      <c r="W1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href="canciones/ain_karem/la_piedra_angular.html"&gt;La piedra angular&lt;/a&gt;&lt;/li&gt;</v>
      </c>
      <c r="X104" s="15" t="str">
        <f>_xlfn.TEXTBEFORE(_xlfn.TEXTAFTER(CantoralDB[[#This Row],[index.html]],"&gt;"),"&gt;")&amp;"&gt;"</f>
        <v>&lt;a href="canciones/ain_karem/la_piedra_angular.html"&gt;</v>
      </c>
      <c r="Y104"/>
      <c r="Z104" s="1"/>
      <c r="AA104" s="1"/>
      <c r="AB104" s="1"/>
      <c r="AC104" s="1"/>
    </row>
    <row r="105" spans="1:29" x14ac:dyDescent="0.3">
      <c r="A105" s="1">
        <f>ROW(CantoralDB[[#This Row],[Título]])-1</f>
        <v>104</v>
      </c>
      <c r="B105" s="1" t="s">
        <v>1818</v>
      </c>
      <c r="C105" s="1"/>
      <c r="H105" s="1" t="s">
        <v>472</v>
      </c>
      <c r="J105" s="1" t="s">
        <v>605</v>
      </c>
      <c r="M105" s="15" t="s">
        <v>499</v>
      </c>
      <c r="N105" s="1" t="s">
        <v>1509</v>
      </c>
      <c r="O105" s="15">
        <v>17</v>
      </c>
      <c r="P105" s="15">
        <v>2019</v>
      </c>
      <c r="Q105" s="15" t="str" cm="1">
        <f t="array" ref="Q1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5" s="15" t="str" cm="1">
        <f t="array" ref="R1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canciones/ain_karem/como_pan_pequeño.html</v>
      </c>
      <c r="T105" s="1"/>
      <c r="U105" s="1"/>
      <c r="V105" s="32" t="s">
        <v>3541</v>
      </c>
      <c r="W1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href="canciones/ain_karem/como_pan_pequeño.html"&gt;Como pan pequeño&lt;/a&gt;&lt;/li&gt;</v>
      </c>
      <c r="X105" s="15" t="str">
        <f>_xlfn.TEXTBEFORE(_xlfn.TEXTAFTER(CantoralDB[[#This Row],[index.html]],"&gt;"),"&gt;")&amp;"&gt;"</f>
        <v>&lt;a href="canciones/ain_karem/como_pan_pequeño.html"&gt;</v>
      </c>
      <c r="Y105"/>
      <c r="Z105" s="1"/>
      <c r="AA105" s="1"/>
      <c r="AB105" s="1"/>
      <c r="AC105" s="1"/>
    </row>
    <row r="106" spans="1:29" x14ac:dyDescent="0.3">
      <c r="A106" s="1">
        <f>ROW(CantoralDB[[#This Row],[Título]])-1</f>
        <v>105</v>
      </c>
      <c r="B106" s="1" t="s">
        <v>1819</v>
      </c>
      <c r="C106" s="1"/>
      <c r="H106" s="1" t="s">
        <v>1027</v>
      </c>
      <c r="I106" s="1" t="s">
        <v>2947</v>
      </c>
      <c r="J106" s="1" t="s">
        <v>605</v>
      </c>
      <c r="M106" s="15" t="s">
        <v>499</v>
      </c>
      <c r="N106" s="1" t="s">
        <v>1509</v>
      </c>
      <c r="O106" s="15">
        <v>18</v>
      </c>
      <c r="P106" s="15">
        <v>2019</v>
      </c>
      <c r="Q106" s="15" t="str" cm="1">
        <f t="array" ref="Q1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6" s="15" t="str" cm="1">
        <f t="array" ref="R1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canciones/ain_karem/en_ti.html</v>
      </c>
      <c r="T106" s="1"/>
      <c r="U106" s="1"/>
      <c r="V106" s="32" t="s">
        <v>3542</v>
      </c>
      <c r="W1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href="canciones/ain_karem/en_ti.html"&gt;En ti&lt;/a&gt;&lt;/li&gt;</v>
      </c>
      <c r="X106" s="15" t="str">
        <f>_xlfn.TEXTBEFORE(_xlfn.TEXTAFTER(CantoralDB[[#This Row],[index.html]],"&gt;"),"&gt;")&amp;"&gt;"</f>
        <v>&lt;a href="canciones/ain_karem/en_ti.html"&gt;</v>
      </c>
      <c r="Y106"/>
      <c r="Z106" s="1"/>
      <c r="AA106" s="1"/>
      <c r="AB106" s="1"/>
      <c r="AC106" s="1"/>
    </row>
    <row r="107" spans="1:29" x14ac:dyDescent="0.3">
      <c r="A107" s="1">
        <f>ROW(CantoralDB[[#This Row],[Título]])-1</f>
        <v>106</v>
      </c>
      <c r="B107" s="1" t="s">
        <v>1838</v>
      </c>
      <c r="C107" s="1"/>
      <c r="H107" s="1" t="s">
        <v>529</v>
      </c>
      <c r="J107" s="1" t="s">
        <v>605</v>
      </c>
      <c r="M107" s="15" t="s">
        <v>499</v>
      </c>
      <c r="N107" s="1" t="s">
        <v>1509</v>
      </c>
      <c r="O107" s="15">
        <v>19</v>
      </c>
      <c r="P107" s="15">
        <v>2019</v>
      </c>
      <c r="Q107" s="15" t="str" cm="1">
        <f t="array" ref="Q1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7" s="15" t="str" cm="1">
        <f t="array" ref="R1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canciones/ain_karem/ven_señor.html</v>
      </c>
      <c r="T107" s="1"/>
      <c r="U107" s="1"/>
      <c r="V107" s="32" t="s">
        <v>3543</v>
      </c>
      <c r="W1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href="canciones/ain_karem/ven_señor.html"&gt;Ven, Señor&lt;/a&gt;&lt;/li&gt;</v>
      </c>
      <c r="X107" s="15" t="str">
        <f>_xlfn.TEXTBEFORE(_xlfn.TEXTAFTER(CantoralDB[[#This Row],[index.html]],"&gt;"),"&gt;")&amp;"&gt;"</f>
        <v>&lt;a href="canciones/ain_karem/ven_señor.html"&gt;</v>
      </c>
      <c r="Y107"/>
      <c r="Z107" s="1"/>
      <c r="AA107" s="1"/>
      <c r="AB107" s="1"/>
      <c r="AC107" s="1"/>
    </row>
    <row r="108" spans="1:29" x14ac:dyDescent="0.3">
      <c r="A108" s="1">
        <f>ROW(CantoralDB[[#This Row],[Título]])-1</f>
        <v>107</v>
      </c>
      <c r="B108" s="1" t="s">
        <v>1820</v>
      </c>
      <c r="C108" s="1"/>
      <c r="H108" s="1" t="s">
        <v>529</v>
      </c>
      <c r="J108" s="1" t="s">
        <v>605</v>
      </c>
      <c r="M108" s="15" t="s">
        <v>499</v>
      </c>
      <c r="N108" s="1" t="s">
        <v>1509</v>
      </c>
      <c r="O108" s="15">
        <v>20</v>
      </c>
      <c r="P108" s="15">
        <v>2019</v>
      </c>
      <c r="Q108" s="15" t="str" cm="1">
        <f t="array" ref="Q1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8" s="15" t="str" cm="1">
        <f t="array" ref="R1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canciones/ain_karem/volemos.html</v>
      </c>
      <c r="T108" s="1"/>
      <c r="U108" s="1"/>
      <c r="V108" s="32" t="s">
        <v>3544</v>
      </c>
      <c r="W1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href="canciones/ain_karem/volemos.html"&gt;Volemos&lt;/a&gt;&lt;/li&gt;</v>
      </c>
      <c r="X108" s="15" t="str">
        <f>_xlfn.TEXTBEFORE(_xlfn.TEXTAFTER(CantoralDB[[#This Row],[index.html]],"&gt;"),"&gt;")&amp;"&gt;"</f>
        <v>&lt;a href="canciones/ain_karem/volemos.html"&gt;</v>
      </c>
      <c r="Y108"/>
      <c r="Z108" s="1"/>
      <c r="AA108" s="1"/>
      <c r="AB108" s="1"/>
      <c r="AC108" s="1"/>
    </row>
    <row r="109" spans="1:29" x14ac:dyDescent="0.3">
      <c r="A109" s="1">
        <f>ROW(CantoralDB[[#This Row],[Título]])-1</f>
        <v>108</v>
      </c>
      <c r="B109" s="1" t="s">
        <v>1772</v>
      </c>
      <c r="C109" s="1"/>
      <c r="H109" s="1" t="s">
        <v>1027</v>
      </c>
      <c r="I109" s="1" t="s">
        <v>2947</v>
      </c>
      <c r="J109" s="1" t="s">
        <v>605</v>
      </c>
      <c r="M109" s="15" t="s">
        <v>499</v>
      </c>
      <c r="N109" s="1" t="s">
        <v>1505</v>
      </c>
      <c r="O109" s="15">
        <v>1</v>
      </c>
      <c r="P109" s="15">
        <v>2006</v>
      </c>
      <c r="Q109" s="15" t="str" cm="1">
        <f t="array" ref="Q1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09" s="15" t="str" cm="1">
        <f t="array" ref="R1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canciones/ain_karem/yo_soy.html</v>
      </c>
      <c r="T109" s="1"/>
      <c r="U109" s="1"/>
      <c r="V109" s="32" t="s">
        <v>4402</v>
      </c>
      <c r="W1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href="canciones/ain_karem/yo_soy.html"&gt;Yo soy&lt;/a&gt;&lt;/li&gt;</v>
      </c>
      <c r="X109" s="15" t="str">
        <f>_xlfn.TEXTBEFORE(_xlfn.TEXTAFTER(CantoralDB[[#This Row],[index.html]],"&gt;"),"&gt;")&amp;"&gt;"</f>
        <v>&lt;a href="canciones/ain_karem/yo_soy.html"&gt;</v>
      </c>
      <c r="Y109"/>
      <c r="Z109" s="1"/>
      <c r="AA109" s="1"/>
      <c r="AB109" s="1"/>
      <c r="AC109" s="1"/>
    </row>
    <row r="110" spans="1:29" x14ac:dyDescent="0.3">
      <c r="A110" s="1">
        <f>ROW(CantoralDB[[#This Row],[Título]])-1</f>
        <v>109</v>
      </c>
      <c r="B110" s="1" t="s">
        <v>1773</v>
      </c>
      <c r="C110" s="1"/>
      <c r="H110" s="1" t="s">
        <v>1027</v>
      </c>
      <c r="I110" s="1" t="s">
        <v>2945</v>
      </c>
      <c r="J110" s="1" t="s">
        <v>605</v>
      </c>
      <c r="M110" s="15" t="s">
        <v>499</v>
      </c>
      <c r="N110" s="1" t="s">
        <v>1505</v>
      </c>
      <c r="O110" s="15">
        <v>2</v>
      </c>
      <c r="P110" s="15">
        <v>2006</v>
      </c>
      <c r="Q110" s="15" t="str" cm="1">
        <f t="array" ref="Q1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0" s="15" t="str" cm="1">
        <f t="array" ref="R1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canciones/ain_karem/a_toda_la_tierra_alcanza_su_pregon.html</v>
      </c>
      <c r="T110" s="1"/>
      <c r="U110" s="1"/>
      <c r="V110" s="32" t="s">
        <v>4403</v>
      </c>
      <c r="W1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href="canciones/ain_karem/a_toda_la_tierra_alcanza_su_pregon.html"&gt;A toda la tierra alcanza su pregón&lt;/a&gt;&lt;/li&gt;</v>
      </c>
      <c r="X110" s="15" t="str">
        <f>_xlfn.TEXTBEFORE(_xlfn.TEXTAFTER(CantoralDB[[#This Row],[index.html]],"&gt;"),"&gt;")&amp;"&gt;"</f>
        <v>&lt;a href="canciones/ain_karem/a_toda_la_tierra_alcanza_su_pregon.html"&gt;</v>
      </c>
      <c r="Y110"/>
      <c r="Z110" s="1"/>
      <c r="AA110" s="1"/>
      <c r="AB110" s="1"/>
      <c r="AC110" s="1"/>
    </row>
    <row r="111" spans="1:29" x14ac:dyDescent="0.3">
      <c r="A111" s="1">
        <f>ROW(CantoralDB[[#This Row],[Título]])-1</f>
        <v>110</v>
      </c>
      <c r="B111" s="1" t="s">
        <v>1774</v>
      </c>
      <c r="C111" s="1"/>
      <c r="H111" s="1" t="s">
        <v>1024</v>
      </c>
      <c r="I111" s="1" t="s">
        <v>2948</v>
      </c>
      <c r="J111" s="1" t="s">
        <v>605</v>
      </c>
      <c r="M111" s="15" t="s">
        <v>499</v>
      </c>
      <c r="N111" s="1" t="s">
        <v>1505</v>
      </c>
      <c r="O111" s="15">
        <v>3</v>
      </c>
      <c r="P111" s="15">
        <v>2006</v>
      </c>
      <c r="Q111" s="15" t="str" cm="1">
        <f t="array" ref="Q1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1" s="15" t="str" cm="1">
        <f t="array" ref="R1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canciones/ain_karem/con_amor_eterno.html</v>
      </c>
      <c r="T111" s="1"/>
      <c r="U111" s="1"/>
      <c r="V111" s="32" t="s">
        <v>4404</v>
      </c>
      <c r="W1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href="canciones/ain_karem/con_amor_eterno.html"&gt;Con amor eterno&lt;/a&gt;&lt;/li&gt;</v>
      </c>
      <c r="X111" s="15" t="str">
        <f>_xlfn.TEXTBEFORE(_xlfn.TEXTAFTER(CantoralDB[[#This Row],[index.html]],"&gt;"),"&gt;")&amp;"&gt;"</f>
        <v>&lt;a href="canciones/ain_karem/con_amor_eterno.html"&gt;</v>
      </c>
      <c r="Y111"/>
      <c r="Z111" s="1"/>
      <c r="AA111" s="1"/>
      <c r="AB111" s="1"/>
      <c r="AC111" s="1"/>
    </row>
    <row r="112" spans="1:29" x14ac:dyDescent="0.3">
      <c r="A112" s="1">
        <f>ROW(CantoralDB[[#This Row],[Título]])-1</f>
        <v>111</v>
      </c>
      <c r="B112" s="1" t="s">
        <v>598</v>
      </c>
      <c r="C112" s="1" t="s">
        <v>200</v>
      </c>
      <c r="D112" s="1" t="s">
        <v>657</v>
      </c>
      <c r="G112" s="1" t="s">
        <v>599</v>
      </c>
      <c r="H112" s="1" t="s">
        <v>529</v>
      </c>
      <c r="I112" s="1" t="s">
        <v>2948</v>
      </c>
      <c r="J112" s="1" t="s">
        <v>605</v>
      </c>
      <c r="M112" s="15" t="s">
        <v>499</v>
      </c>
      <c r="N112" s="1" t="s">
        <v>1505</v>
      </c>
      <c r="O112" s="15">
        <v>4</v>
      </c>
      <c r="P112" s="15">
        <v>2006</v>
      </c>
      <c r="Q112" s="15" t="str" cm="1">
        <f t="array" ref="Q1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2" s="15" t="str" cm="1">
        <f t="array" ref="R1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canciones/ain_karem/lampara_es_tu_palabra.html</v>
      </c>
      <c r="T112" s="1" t="s">
        <v>839</v>
      </c>
      <c r="U112" s="1"/>
      <c r="V112" s="32" t="s">
        <v>4405</v>
      </c>
      <c r="W1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 data-momento="Antífonas" data-nnew="D22"&gt;&lt;a href="canciones/ain_karem/lampara_es_tu_palabra.html"&gt;Lámpara es tu palabra&lt;/a&gt;&lt;/li&gt;</v>
      </c>
      <c r="X112" s="15" t="str">
        <f>_xlfn.TEXTBEFORE(_xlfn.TEXTAFTER(CantoralDB[[#This Row],[index.html]],"&gt;"),"&gt;")&amp;"&gt;"</f>
        <v>&lt;a href="canciones/ain_karem/lampara_es_tu_palabra.html"&gt;</v>
      </c>
      <c r="Y112"/>
      <c r="Z112" s="1"/>
      <c r="AA112" s="1"/>
      <c r="AB112" s="1"/>
      <c r="AC112" s="1"/>
    </row>
    <row r="113" spans="1:29" x14ac:dyDescent="0.3">
      <c r="A113" s="1">
        <f>ROW(CantoralDB[[#This Row],[Título]])-1</f>
        <v>112</v>
      </c>
      <c r="B113" s="1" t="s">
        <v>1775</v>
      </c>
      <c r="C113" s="1"/>
      <c r="H113" s="1" t="s">
        <v>529</v>
      </c>
      <c r="I113" s="1" t="s">
        <v>2948</v>
      </c>
      <c r="J113" s="1" t="s">
        <v>605</v>
      </c>
      <c r="M113" s="15" t="s">
        <v>499</v>
      </c>
      <c r="N113" s="1" t="s">
        <v>1505</v>
      </c>
      <c r="O113" s="15">
        <v>5</v>
      </c>
      <c r="P113" s="15">
        <v>2006</v>
      </c>
      <c r="Q113" s="15" t="str" cm="1">
        <f t="array" ref="Q1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3" s="15" t="str" cm="1">
        <f t="array" ref="R1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canciones/ain_karem/anunciarte.html</v>
      </c>
      <c r="T113" s="1"/>
      <c r="U113" s="1"/>
      <c r="V113" s="32" t="s">
        <v>4406</v>
      </c>
      <c r="W1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href="canciones/ain_karem/anunciarte.html"&gt;Anunciarte&lt;/a&gt;&lt;/li&gt;</v>
      </c>
      <c r="X113" s="15" t="str">
        <f>_xlfn.TEXTBEFORE(_xlfn.TEXTAFTER(CantoralDB[[#This Row],[index.html]],"&gt;"),"&gt;")&amp;"&gt;"</f>
        <v>&lt;a href="canciones/ain_karem/anunciarte.html"&gt;</v>
      </c>
      <c r="Y113"/>
      <c r="Z113" s="1"/>
      <c r="AA113" s="1"/>
      <c r="AB113" s="1"/>
      <c r="AC113" s="1"/>
    </row>
    <row r="114" spans="1:29" x14ac:dyDescent="0.3">
      <c r="A114" s="1">
        <f>ROW(CantoralDB[[#This Row],[Título]])-1</f>
        <v>113</v>
      </c>
      <c r="B114" s="1" t="s">
        <v>1776</v>
      </c>
      <c r="C114" s="1"/>
      <c r="H114" s="1" t="s">
        <v>529</v>
      </c>
      <c r="I114" s="1" t="s">
        <v>2948</v>
      </c>
      <c r="J114" s="1" t="s">
        <v>605</v>
      </c>
      <c r="M114" s="15" t="s">
        <v>499</v>
      </c>
      <c r="N114" s="1" t="s">
        <v>1505</v>
      </c>
      <c r="O114" s="15">
        <v>6</v>
      </c>
      <c r="P114" s="15">
        <v>2006</v>
      </c>
      <c r="Q114" s="15" t="str" cm="1">
        <f t="array" ref="Q1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4" s="15" t="str" cm="1">
        <f t="array" ref="R1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canciones/ain_karem/invitanos.html</v>
      </c>
      <c r="T114" s="1"/>
      <c r="U114" s="1"/>
      <c r="V114" s="32" t="s">
        <v>4407</v>
      </c>
      <c r="W1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href="canciones/ain_karem/invitanos.html"&gt;Invítanos&lt;/a&gt;&lt;/li&gt;</v>
      </c>
      <c r="X114" s="15" t="str">
        <f>_xlfn.TEXTBEFORE(_xlfn.TEXTAFTER(CantoralDB[[#This Row],[index.html]],"&gt;"),"&gt;")&amp;"&gt;"</f>
        <v>&lt;a href="canciones/ain_karem/invitanos.html"&gt;</v>
      </c>
      <c r="Y114"/>
      <c r="Z114" s="1"/>
      <c r="AA114" s="1"/>
      <c r="AB114" s="1"/>
      <c r="AC114" s="1"/>
    </row>
    <row r="115" spans="1:29" x14ac:dyDescent="0.3">
      <c r="A115" s="1">
        <f>ROW(CantoralDB[[#This Row],[Título]])-1</f>
        <v>114</v>
      </c>
      <c r="B115" s="1" t="s">
        <v>72</v>
      </c>
      <c r="C115" s="1"/>
      <c r="H115" s="1" t="s">
        <v>1027</v>
      </c>
      <c r="I115" s="1" t="s">
        <v>2946</v>
      </c>
      <c r="J115" s="1" t="s">
        <v>605</v>
      </c>
      <c r="M115" s="15" t="s">
        <v>499</v>
      </c>
      <c r="N115" s="1" t="s">
        <v>1505</v>
      </c>
      <c r="O115" s="15">
        <v>7</v>
      </c>
      <c r="P115" s="15">
        <v>2006</v>
      </c>
      <c r="Q115" s="15" t="str" cm="1">
        <f t="array" ref="Q1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5" s="15" t="str" cm="1">
        <f t="array" ref="R1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canciones/ain_karem/hagase.html</v>
      </c>
      <c r="T115" s="1"/>
      <c r="U115" s="1"/>
      <c r="V115" s="32" t="s">
        <v>4408</v>
      </c>
      <c r="W1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href="canciones/ain_karem/hagase.html"&gt;Hágase&lt;/a&gt;&lt;/li&gt;</v>
      </c>
      <c r="X115" s="15" t="str">
        <f>_xlfn.TEXTBEFORE(_xlfn.TEXTAFTER(CantoralDB[[#This Row],[index.html]],"&gt;"),"&gt;")&amp;"&gt;"</f>
        <v>&lt;a href="canciones/ain_karem/hagase.html"&gt;</v>
      </c>
      <c r="Y115"/>
      <c r="Z115" s="1"/>
      <c r="AA115" s="1"/>
      <c r="AB115" s="1"/>
      <c r="AC115" s="1"/>
    </row>
    <row r="116" spans="1:29" x14ac:dyDescent="0.3">
      <c r="A116" s="1">
        <f>ROW(CantoralDB[[#This Row],[Título]])-1</f>
        <v>115</v>
      </c>
      <c r="B116" s="1" t="s">
        <v>1777</v>
      </c>
      <c r="C116" s="1"/>
      <c r="H116" s="1" t="s">
        <v>529</v>
      </c>
      <c r="I116" s="1" t="s">
        <v>2949</v>
      </c>
      <c r="J116" s="1" t="s">
        <v>605</v>
      </c>
      <c r="M116" s="15" t="s">
        <v>499</v>
      </c>
      <c r="N116" s="1" t="s">
        <v>1505</v>
      </c>
      <c r="O116" s="15">
        <v>8</v>
      </c>
      <c r="P116" s="15">
        <v>2006</v>
      </c>
      <c r="Q116" s="15" t="str" cm="1">
        <f t="array" ref="Q1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6" s="15" t="str" cm="1">
        <f t="array" ref="R1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canciones/ain_karem/creatura_habitada.html</v>
      </c>
      <c r="T116" s="1"/>
      <c r="U116" s="1"/>
      <c r="V116" s="32" t="s">
        <v>4409</v>
      </c>
      <c r="W1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href="canciones/ain_karem/creatura_habitada.html"&gt;Creatura habitada&lt;/a&gt;&lt;/li&gt;</v>
      </c>
      <c r="X116" s="15" t="str">
        <f>_xlfn.TEXTBEFORE(_xlfn.TEXTAFTER(CantoralDB[[#This Row],[index.html]],"&gt;"),"&gt;")&amp;"&gt;"</f>
        <v>&lt;a href="canciones/ain_karem/creatura_habitada.html"&gt;</v>
      </c>
      <c r="Y116"/>
      <c r="Z116" s="1"/>
      <c r="AA116" s="1"/>
      <c r="AB116" s="1"/>
      <c r="AC116" s="1"/>
    </row>
    <row r="117" spans="1:29" x14ac:dyDescent="0.3">
      <c r="A117" s="1">
        <f>ROW(CantoralDB[[#This Row],[Título]])-1</f>
        <v>116</v>
      </c>
      <c r="B117" s="1" t="s">
        <v>1778</v>
      </c>
      <c r="C117" s="1"/>
      <c r="H117" s="1" t="s">
        <v>529</v>
      </c>
      <c r="I117" s="1" t="s">
        <v>2947</v>
      </c>
      <c r="J117" s="1" t="s">
        <v>605</v>
      </c>
      <c r="M117" s="15" t="s">
        <v>499</v>
      </c>
      <c r="N117" s="1" t="s">
        <v>1505</v>
      </c>
      <c r="O117" s="15">
        <v>9</v>
      </c>
      <c r="P117" s="15">
        <v>2006</v>
      </c>
      <c r="Q117" s="15" t="str" cm="1">
        <f t="array" ref="Q1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7" s="15" t="str" cm="1">
        <f t="array" ref="R1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canciones/ain_karem/el_hombre_de_gerasa.html</v>
      </c>
      <c r="T117" s="1"/>
      <c r="U117" s="1"/>
      <c r="V117" s="32" t="s">
        <v>4410</v>
      </c>
      <c r="W1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href="canciones/ain_karem/el_hombre_de_gerasa.html"&gt;El hombre de Gerasa&lt;/a&gt;&lt;/li&gt;</v>
      </c>
      <c r="X117" s="15" t="str">
        <f>_xlfn.TEXTBEFORE(_xlfn.TEXTAFTER(CantoralDB[[#This Row],[index.html]],"&gt;"),"&gt;")&amp;"&gt;"</f>
        <v>&lt;a href="canciones/ain_karem/el_hombre_de_gerasa.html"&gt;</v>
      </c>
      <c r="Y117"/>
      <c r="Z117" s="1"/>
      <c r="AA117" s="1"/>
      <c r="AB117" s="1"/>
      <c r="AC117" s="1"/>
    </row>
    <row r="118" spans="1:29" x14ac:dyDescent="0.3">
      <c r="A118" s="1">
        <f>ROW(CantoralDB[[#This Row],[Título]])-1</f>
        <v>117</v>
      </c>
      <c r="B118" s="1" t="s">
        <v>1837</v>
      </c>
      <c r="C118" s="1"/>
      <c r="H118" s="1" t="s">
        <v>529</v>
      </c>
      <c r="J118" s="1" t="s">
        <v>605</v>
      </c>
      <c r="M118" s="15" t="s">
        <v>499</v>
      </c>
      <c r="N118" s="1" t="s">
        <v>1505</v>
      </c>
      <c r="O118" s="15">
        <v>10</v>
      </c>
      <c r="P118" s="15">
        <v>2006</v>
      </c>
      <c r="Q118" s="15" t="str" cm="1">
        <f t="array" ref="Q1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8" s="15" t="str" cm="1">
        <f t="array" ref="R1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canciones/ain_karem/llueve_tu.html</v>
      </c>
      <c r="T118" s="1"/>
      <c r="U118" s="1"/>
      <c r="V118" s="32" t="s">
        <v>4411</v>
      </c>
      <c r="W1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href="canciones/ain_karem/llueve_tu.html"&gt;Llueve Tú&lt;/a&gt;&lt;/li&gt;</v>
      </c>
      <c r="X118" s="15" t="str">
        <f>_xlfn.TEXTBEFORE(_xlfn.TEXTAFTER(CantoralDB[[#This Row],[index.html]],"&gt;"),"&gt;")&amp;"&gt;"</f>
        <v>&lt;a href="canciones/ain_karem/llueve_tu.html"&gt;</v>
      </c>
      <c r="Y118"/>
      <c r="Z118" s="1"/>
      <c r="AA118" s="1"/>
      <c r="AB118" s="1"/>
      <c r="AC118" s="1"/>
    </row>
    <row r="119" spans="1:29" x14ac:dyDescent="0.3">
      <c r="A119" s="1">
        <f>ROW(CantoralDB[[#This Row],[Título]])-1</f>
        <v>118</v>
      </c>
      <c r="B119" s="1" t="s">
        <v>1779</v>
      </c>
      <c r="C119" s="1"/>
      <c r="H119" s="1" t="s">
        <v>1027</v>
      </c>
      <c r="I119" s="1" t="s">
        <v>2948</v>
      </c>
      <c r="J119" s="1" t="s">
        <v>605</v>
      </c>
      <c r="M119" s="15" t="s">
        <v>499</v>
      </c>
      <c r="N119" s="1" t="s">
        <v>1505</v>
      </c>
      <c r="O119" s="15">
        <v>11</v>
      </c>
      <c r="P119" s="15">
        <v>2006</v>
      </c>
      <c r="Q119" s="15" t="str" cm="1">
        <f t="array" ref="Q1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19" s="15" t="str" cm="1">
        <f t="array" ref="R1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canciones/ain_karem/benedictus.html</v>
      </c>
      <c r="T119" s="1"/>
      <c r="U119" s="1"/>
      <c r="V119" s="32" t="s">
        <v>4412</v>
      </c>
      <c r="W1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href="canciones/ain_karem/benedictus.html"&gt;Benedictus&lt;/a&gt;&lt;/li&gt;</v>
      </c>
      <c r="X119" s="15" t="str">
        <f>_xlfn.TEXTBEFORE(_xlfn.TEXTAFTER(CantoralDB[[#This Row],[index.html]],"&gt;"),"&gt;")&amp;"&gt;"</f>
        <v>&lt;a href="canciones/ain_karem/benedictus.html"&gt;</v>
      </c>
      <c r="Y119"/>
      <c r="Z119" s="1"/>
      <c r="AA119" s="1"/>
      <c r="AB119" s="1"/>
      <c r="AC119" s="1"/>
    </row>
    <row r="120" spans="1:29" x14ac:dyDescent="0.3">
      <c r="A120" s="1">
        <f>ROW(CantoralDB[[#This Row],[Título]])-1</f>
        <v>119</v>
      </c>
      <c r="B120" s="1" t="s">
        <v>1780</v>
      </c>
      <c r="C120" s="1"/>
      <c r="H120" s="1" t="s">
        <v>472</v>
      </c>
      <c r="I120" s="1" t="s">
        <v>2946</v>
      </c>
      <c r="J120" s="1"/>
      <c r="M120" s="15" t="s">
        <v>499</v>
      </c>
      <c r="N120" s="1" t="s">
        <v>1505</v>
      </c>
      <c r="O120" s="15">
        <v>12</v>
      </c>
      <c r="P120" s="15">
        <v>2006</v>
      </c>
      <c r="Q120" s="15" t="str" cm="1">
        <f t="array" ref="Q1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0" s="15" t="str" cm="1">
        <f t="array" ref="R1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canciones/ain_karem/oracion_de_una_mujer.html</v>
      </c>
      <c r="T120" s="1"/>
      <c r="U120" s="1"/>
      <c r="V120" s="32" t="s">
        <v>4413</v>
      </c>
      <c r="W1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href="canciones/ain_karem/oracion_de_una_mujer.html"&gt;Oración de una mujer&lt;/a&gt;&lt;/li&gt;</v>
      </c>
      <c r="X120" s="15" t="str">
        <f>_xlfn.TEXTBEFORE(_xlfn.TEXTAFTER(CantoralDB[[#This Row],[index.html]],"&gt;"),"&gt;")&amp;"&gt;"</f>
        <v>&lt;a href="canciones/ain_karem/oracion_de_una_mujer.html"&gt;</v>
      </c>
      <c r="Y120"/>
      <c r="Z120" s="1"/>
      <c r="AA120" s="1"/>
      <c r="AB120" s="1"/>
      <c r="AC120" s="1"/>
    </row>
    <row r="121" spans="1:29" x14ac:dyDescent="0.3">
      <c r="A121" s="1">
        <f>ROW(CantoralDB[[#This Row],[Título]])-1</f>
        <v>120</v>
      </c>
      <c r="B121" s="1" t="s">
        <v>1781</v>
      </c>
      <c r="C121" s="1"/>
      <c r="H121" s="1" t="s">
        <v>1027</v>
      </c>
      <c r="I121" s="1" t="s">
        <v>2947</v>
      </c>
      <c r="J121" s="1" t="s">
        <v>605</v>
      </c>
      <c r="M121" s="15" t="s">
        <v>499</v>
      </c>
      <c r="N121" s="1" t="s">
        <v>1505</v>
      </c>
      <c r="O121" s="15">
        <v>13</v>
      </c>
      <c r="P121" s="15">
        <v>2006</v>
      </c>
      <c r="Q121" s="15" t="str" cm="1">
        <f t="array" ref="Q1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1" s="15" t="str" cm="1">
        <f t="array" ref="R1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canciones/ain_karem/heme_aqui.html</v>
      </c>
      <c r="T121" s="1"/>
      <c r="U121" s="1"/>
      <c r="V121" s="32" t="s">
        <v>4414</v>
      </c>
      <c r="W1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href="canciones/ain_karem/heme_aqui.html"&gt;Heme aquí&lt;/a&gt;&lt;/li&gt;</v>
      </c>
      <c r="X121" s="15" t="str">
        <f>_xlfn.TEXTBEFORE(_xlfn.TEXTAFTER(CantoralDB[[#This Row],[index.html]],"&gt;"),"&gt;")&amp;"&gt;"</f>
        <v>&lt;a href="canciones/ain_karem/heme_aqui.html"&gt;</v>
      </c>
      <c r="Y121"/>
      <c r="Z121" s="1"/>
      <c r="AA121" s="1"/>
      <c r="AB121" s="1"/>
      <c r="AC121" s="1"/>
    </row>
    <row r="122" spans="1:29" x14ac:dyDescent="0.3">
      <c r="A122" s="1">
        <f>ROW(CantoralDB[[#This Row],[Título]])-1</f>
        <v>121</v>
      </c>
      <c r="B122" s="1" t="s">
        <v>3546</v>
      </c>
      <c r="C122" s="1"/>
      <c r="H122" s="1" t="s">
        <v>1027</v>
      </c>
      <c r="J122" s="1" t="s">
        <v>605</v>
      </c>
      <c r="M122" s="15" t="s">
        <v>499</v>
      </c>
      <c r="N122" s="1" t="s">
        <v>3545</v>
      </c>
      <c r="O122" s="15">
        <v>1</v>
      </c>
      <c r="P122" s="15">
        <v>2025</v>
      </c>
      <c r="Q122" s="15" t="str" cm="1">
        <f t="array" ref="Q1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2" s="15" t="str" cm="1">
        <f t="array" ref="R1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canciones/ain_karem/baja.html</v>
      </c>
      <c r="T122" s="1"/>
      <c r="U122" s="1"/>
      <c r="V122" s="32" t="s">
        <v>3560</v>
      </c>
      <c r="W1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href="canciones/ain_karem/baja.html"&gt;Baja&lt;/a&gt;&lt;/li&gt;</v>
      </c>
      <c r="X122" s="15" t="str">
        <f>_xlfn.TEXTBEFORE(_xlfn.TEXTAFTER(CantoralDB[[#This Row],[index.html]],"&gt;"),"&gt;")&amp;"&gt;"</f>
        <v>&lt;a href="canciones/ain_karem/baja.html"&gt;</v>
      </c>
      <c r="Y122"/>
      <c r="Z122" s="1"/>
      <c r="AA122" s="1"/>
      <c r="AB122" s="1"/>
      <c r="AC122" s="1"/>
    </row>
    <row r="123" spans="1:29" x14ac:dyDescent="0.3">
      <c r="A123" s="1">
        <f>ROW(CantoralDB[[#This Row],[Título]])-1</f>
        <v>122</v>
      </c>
      <c r="B123" s="1" t="s">
        <v>3547</v>
      </c>
      <c r="C123" s="1"/>
      <c r="H123" s="1" t="s">
        <v>1027</v>
      </c>
      <c r="J123" s="1" t="s">
        <v>605</v>
      </c>
      <c r="M123" s="15" t="s">
        <v>499</v>
      </c>
      <c r="N123" s="1" t="s">
        <v>3545</v>
      </c>
      <c r="O123" s="15">
        <v>2</v>
      </c>
      <c r="P123" s="15">
        <v>2025</v>
      </c>
      <c r="Q123" s="15" t="str" cm="1">
        <f t="array" ref="Q1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3" s="15" t="str" cm="1">
        <f t="array" ref="R1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canciones/ain_karem/mi_alegria.html</v>
      </c>
      <c r="T123" s="1"/>
      <c r="U123" s="1"/>
      <c r="V123" s="32" t="s">
        <v>3561</v>
      </c>
      <c r="W1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href="canciones/ain_karem/mi_alegria.html"&gt;Mi alegría&lt;/a&gt;&lt;/li&gt;</v>
      </c>
      <c r="X123" s="15" t="str">
        <f>_xlfn.TEXTBEFORE(_xlfn.TEXTAFTER(CantoralDB[[#This Row],[index.html]],"&gt;"),"&gt;")&amp;"&gt;"</f>
        <v>&lt;a href="canciones/ain_karem/mi_alegria.html"&gt;</v>
      </c>
      <c r="Y123"/>
      <c r="Z123" s="1"/>
      <c r="AA123" s="1"/>
      <c r="AB123" s="1"/>
      <c r="AC123" s="1"/>
    </row>
    <row r="124" spans="1:29" x14ac:dyDescent="0.3">
      <c r="A124" s="1">
        <f>ROW(CantoralDB[[#This Row],[Título]])-1</f>
        <v>123</v>
      </c>
      <c r="B124" s="1" t="s">
        <v>3548</v>
      </c>
      <c r="C124" s="1"/>
      <c r="H124" s="1" t="s">
        <v>472</v>
      </c>
      <c r="J124" s="1" t="s">
        <v>605</v>
      </c>
      <c r="M124" s="15" t="s">
        <v>499</v>
      </c>
      <c r="N124" s="1" t="s">
        <v>3545</v>
      </c>
      <c r="O124" s="15">
        <v>3</v>
      </c>
      <c r="P124" s="15">
        <v>2025</v>
      </c>
      <c r="Q124" s="15" t="str" cm="1">
        <f t="array" ref="Q1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4" s="15" t="str" cm="1">
        <f t="array" ref="R1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canciones/ain_karem/raices.html</v>
      </c>
      <c r="T124" s="1"/>
      <c r="U124" s="1"/>
      <c r="V124" s="32" t="s">
        <v>3562</v>
      </c>
      <c r="W1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href="canciones/ain_karem/raices.html"&gt;Raíces&lt;/a&gt;&lt;/li&gt;</v>
      </c>
      <c r="X124" s="15" t="str">
        <f>_xlfn.TEXTBEFORE(_xlfn.TEXTAFTER(CantoralDB[[#This Row],[index.html]],"&gt;"),"&gt;")&amp;"&gt;"</f>
        <v>&lt;a href="canciones/ain_karem/raices.html"&gt;</v>
      </c>
      <c r="Y124"/>
      <c r="Z124" s="1"/>
      <c r="AA124" s="1"/>
      <c r="AB124" s="1"/>
      <c r="AC124" s="1"/>
    </row>
    <row r="125" spans="1:29" x14ac:dyDescent="0.3">
      <c r="A125" s="1">
        <f>ROW(CantoralDB[[#This Row],[Título]])-1</f>
        <v>124</v>
      </c>
      <c r="B125" s="1" t="s">
        <v>3549</v>
      </c>
      <c r="C125" s="1"/>
      <c r="H125" s="1" t="s">
        <v>529</v>
      </c>
      <c r="J125" s="1" t="s">
        <v>605</v>
      </c>
      <c r="M125" s="15" t="s">
        <v>499</v>
      </c>
      <c r="N125" s="1" t="s">
        <v>3545</v>
      </c>
      <c r="O125" s="15">
        <v>4</v>
      </c>
      <c r="P125" s="15">
        <v>2025</v>
      </c>
      <c r="Q125" s="15" t="str" cm="1">
        <f t="array" ref="Q1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5" s="15" t="str" cm="1">
        <f t="array" ref="R1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canciones/ain_karem/como_un_joven_mas.html</v>
      </c>
      <c r="T125" s="1"/>
      <c r="U125" s="1"/>
      <c r="V125" s="32" t="s">
        <v>3563</v>
      </c>
      <c r="W1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href="canciones/ain_karem/como_un_joven_mas.html"&gt;Como un joven más&lt;/a&gt;&lt;/li&gt;</v>
      </c>
      <c r="X125" s="15" t="str">
        <f>_xlfn.TEXTBEFORE(_xlfn.TEXTAFTER(CantoralDB[[#This Row],[index.html]],"&gt;"),"&gt;")&amp;"&gt;"</f>
        <v>&lt;a href="canciones/ain_karem/como_un_joven_mas.html"&gt;</v>
      </c>
      <c r="Y125"/>
      <c r="Z125" s="1"/>
      <c r="AA125" s="1"/>
      <c r="AB125" s="1"/>
      <c r="AC125" s="1"/>
    </row>
    <row r="126" spans="1:29" x14ac:dyDescent="0.3">
      <c r="A126" s="1">
        <f>ROW(CantoralDB[[#This Row],[Título]])-1</f>
        <v>125</v>
      </c>
      <c r="B126" s="1" t="s">
        <v>3550</v>
      </c>
      <c r="C126" s="1"/>
      <c r="H126" s="1" t="s">
        <v>472</v>
      </c>
      <c r="J126" s="1" t="s">
        <v>605</v>
      </c>
      <c r="M126" s="15" t="s">
        <v>499</v>
      </c>
      <c r="N126" s="1" t="s">
        <v>3545</v>
      </c>
      <c r="O126" s="15">
        <v>5</v>
      </c>
      <c r="P126" s="15">
        <v>2025</v>
      </c>
      <c r="Q126" s="15" t="str" cm="1">
        <f t="array" ref="Q1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6" s="15" t="str" cm="1">
        <f t="array" ref="R1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canciones/ain_karem/nacer_de_nuevo.html</v>
      </c>
      <c r="T126" s="1"/>
      <c r="U126" s="1"/>
      <c r="V126" s="32" t="s">
        <v>3564</v>
      </c>
      <c r="W1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href="canciones/ain_karem/nacer_de_nuevo.html"&gt;Nacer de nuevo&lt;/a&gt;&lt;/li&gt;</v>
      </c>
      <c r="X126" s="15" t="str">
        <f>_xlfn.TEXTBEFORE(_xlfn.TEXTAFTER(CantoralDB[[#This Row],[index.html]],"&gt;"),"&gt;")&amp;"&gt;"</f>
        <v>&lt;a href="canciones/ain_karem/nacer_de_nuevo.html"&gt;</v>
      </c>
      <c r="Y126"/>
      <c r="Z126" s="1"/>
      <c r="AA126" s="1"/>
      <c r="AB126" s="1"/>
      <c r="AC126" s="1"/>
    </row>
    <row r="127" spans="1:29" x14ac:dyDescent="0.3">
      <c r="A127" s="1">
        <f>ROW(CantoralDB[[#This Row],[Título]])-1</f>
        <v>126</v>
      </c>
      <c r="B127" s="1" t="s">
        <v>3551</v>
      </c>
      <c r="C127" s="1"/>
      <c r="H127" s="1" t="s">
        <v>472</v>
      </c>
      <c r="J127" s="1" t="s">
        <v>605</v>
      </c>
      <c r="M127" s="15" t="s">
        <v>499</v>
      </c>
      <c r="N127" s="1" t="s">
        <v>3545</v>
      </c>
      <c r="O127" s="15">
        <v>6</v>
      </c>
      <c r="P127" s="15">
        <v>2025</v>
      </c>
      <c r="Q127" s="15" t="str" cm="1">
        <f t="array" ref="Q1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7" s="15" t="str" cm="1">
        <f t="array" ref="R1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canciones/ain_karem/descendio.html</v>
      </c>
      <c r="T127" s="1"/>
      <c r="U127" s="1"/>
      <c r="V127" s="32" t="s">
        <v>3565</v>
      </c>
      <c r="W1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href="canciones/ain_karem/descendio.html"&gt;Descendió&lt;/a&gt;&lt;/li&gt;</v>
      </c>
      <c r="X127" s="15" t="str">
        <f>_xlfn.TEXTBEFORE(_xlfn.TEXTAFTER(CantoralDB[[#This Row],[index.html]],"&gt;"),"&gt;")&amp;"&gt;"</f>
        <v>&lt;a href="canciones/ain_karem/descendio.html"&gt;</v>
      </c>
      <c r="Y127"/>
      <c r="Z127" s="1"/>
      <c r="AA127" s="1"/>
      <c r="AB127" s="1"/>
      <c r="AC127" s="1"/>
    </row>
    <row r="128" spans="1:29" x14ac:dyDescent="0.3">
      <c r="A128" s="1">
        <f>ROW(CantoralDB[[#This Row],[Título]])-1</f>
        <v>127</v>
      </c>
      <c r="B128" s="1" t="s">
        <v>3552</v>
      </c>
      <c r="C128" s="1"/>
      <c r="H128" s="1" t="s">
        <v>1027</v>
      </c>
      <c r="I128" s="1" t="s">
        <v>2949</v>
      </c>
      <c r="J128" s="1" t="s">
        <v>605</v>
      </c>
      <c r="M128" s="15" t="s">
        <v>499</v>
      </c>
      <c r="N128" s="1" t="s">
        <v>3545</v>
      </c>
      <c r="O128" s="15">
        <v>7</v>
      </c>
      <c r="P128" s="15">
        <v>2025</v>
      </c>
      <c r="Q128" s="15" t="str" cm="1">
        <f t="array" ref="Q1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8" s="15" t="str" cm="1">
        <f t="array" ref="R1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canciones/ain_karem/mirad_el_arbol_de_la_cruz.html</v>
      </c>
      <c r="T128" s="1"/>
      <c r="U128" s="1"/>
      <c r="V128" s="32" t="s">
        <v>3566</v>
      </c>
      <c r="W1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href="canciones/ain_karem/mirad_el_arbol_de_la_cruz.html"&gt;Mirad el árbol de la Cruz&lt;/a&gt;&lt;/li&gt;</v>
      </c>
      <c r="X128" s="15" t="str">
        <f>_xlfn.TEXTBEFORE(_xlfn.TEXTAFTER(CantoralDB[[#This Row],[index.html]],"&gt;"),"&gt;")&amp;"&gt;"</f>
        <v>&lt;a href="canciones/ain_karem/mirad_el_arbol_de_la_cruz.html"&gt;</v>
      </c>
      <c r="Y128"/>
      <c r="Z128" s="1"/>
      <c r="AA128" s="1"/>
      <c r="AB128" s="1"/>
      <c r="AC128" s="1"/>
    </row>
    <row r="129" spans="1:29" x14ac:dyDescent="0.3">
      <c r="A129" s="1">
        <f>ROW(CantoralDB[[#This Row],[Título]])-1</f>
        <v>128</v>
      </c>
      <c r="B129" s="1" t="s">
        <v>3553</v>
      </c>
      <c r="C129" s="1"/>
      <c r="H129" s="1" t="s">
        <v>472</v>
      </c>
      <c r="I129" s="1" t="s">
        <v>2948</v>
      </c>
      <c r="J129" s="1" t="s">
        <v>605</v>
      </c>
      <c r="M129" s="15" t="s">
        <v>499</v>
      </c>
      <c r="N129" s="1" t="s">
        <v>3545</v>
      </c>
      <c r="O129" s="15">
        <v>8</v>
      </c>
      <c r="P129" s="15">
        <v>2025</v>
      </c>
      <c r="Q129" s="15" t="str" cm="1">
        <f t="array" ref="Q1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29" s="15" t="str" cm="1">
        <f t="array" ref="R1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canciones/ain_karem/conectada.html</v>
      </c>
      <c r="T129" s="1"/>
      <c r="U129" s="1"/>
      <c r="V129" s="32" t="s">
        <v>3567</v>
      </c>
      <c r="W1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href="canciones/ain_karem/conectada.html"&gt;Conectada&lt;/a&gt;&lt;/li&gt;</v>
      </c>
      <c r="X129" s="15" t="str">
        <f>_xlfn.TEXTBEFORE(_xlfn.TEXTAFTER(CantoralDB[[#This Row],[index.html]],"&gt;"),"&gt;")&amp;"&gt;"</f>
        <v>&lt;a href="canciones/ain_karem/conectada.html"&gt;</v>
      </c>
      <c r="Y129"/>
      <c r="Z129" s="1"/>
      <c r="AA129" s="1"/>
      <c r="AB129" s="1"/>
      <c r="AC129" s="1"/>
    </row>
    <row r="130" spans="1:29" x14ac:dyDescent="0.3">
      <c r="A130" s="1">
        <f>ROW(CantoralDB[[#This Row],[Título]])-1</f>
        <v>129</v>
      </c>
      <c r="B130" s="1" t="s">
        <v>3545</v>
      </c>
      <c r="C130" s="1"/>
      <c r="H130" s="1" t="s">
        <v>472</v>
      </c>
      <c r="J130" s="1" t="s">
        <v>605</v>
      </c>
      <c r="M130" s="15" t="s">
        <v>499</v>
      </c>
      <c r="N130" s="1" t="s">
        <v>3545</v>
      </c>
      <c r="O130" s="15">
        <v>9</v>
      </c>
      <c r="P130" s="15">
        <v>2025</v>
      </c>
      <c r="Q130" s="15" t="str" cm="1">
        <f t="array" ref="Q1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0" s="15" t="str" cm="1">
        <f t="array" ref="R1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canciones/ain_karem/viviras.html</v>
      </c>
      <c r="T130" s="1"/>
      <c r="U130" s="1"/>
      <c r="V130" s="32" t="s">
        <v>3568</v>
      </c>
      <c r="W1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href="canciones/ain_karem/viviras.html"&gt;Vivirás&lt;/a&gt;&lt;/li&gt;</v>
      </c>
      <c r="X130" s="15" t="str">
        <f>_xlfn.TEXTBEFORE(_xlfn.TEXTAFTER(CantoralDB[[#This Row],[index.html]],"&gt;"),"&gt;")&amp;"&gt;"</f>
        <v>&lt;a href="canciones/ain_karem/viviras.html"&gt;</v>
      </c>
      <c r="Y130"/>
      <c r="Z130" s="1"/>
      <c r="AA130" s="1"/>
      <c r="AB130" s="1"/>
      <c r="AC130" s="1"/>
    </row>
    <row r="131" spans="1:29" x14ac:dyDescent="0.3">
      <c r="A131" s="1">
        <f>ROW(CantoralDB[[#This Row],[Título]])-1</f>
        <v>130</v>
      </c>
      <c r="B131" s="1" t="s">
        <v>4960</v>
      </c>
      <c r="C131" s="1"/>
      <c r="H131" s="1" t="s">
        <v>1027</v>
      </c>
      <c r="I131" s="1" t="s">
        <v>2945</v>
      </c>
      <c r="J131" s="1" t="s">
        <v>605</v>
      </c>
      <c r="M131" s="15" t="s">
        <v>499</v>
      </c>
      <c r="N131" s="1" t="s">
        <v>3545</v>
      </c>
      <c r="O131" s="15">
        <v>10</v>
      </c>
      <c r="P131" s="15">
        <v>2025</v>
      </c>
      <c r="Q131" s="15" t="str" cm="1">
        <f t="array" ref="Q1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1" s="15" t="str" cm="1">
        <f t="array" ref="R1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canciones/ain_karem/fieles_y_unidos.html</v>
      </c>
      <c r="T131" s="1"/>
      <c r="U131" s="1"/>
      <c r="V131" s="32" t="s">
        <v>3569</v>
      </c>
      <c r="W1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href="canciones/ain_karem/fieles_y_unidos.html"&gt;Fieles y unidos&lt;/a&gt;&lt;/li&gt;</v>
      </c>
      <c r="X131" s="15" t="str">
        <f>_xlfn.TEXTBEFORE(_xlfn.TEXTAFTER(CantoralDB[[#This Row],[index.html]],"&gt;"),"&gt;")&amp;"&gt;"</f>
        <v>&lt;a href="canciones/ain_karem/fieles_y_unidos.html"&gt;</v>
      </c>
      <c r="Y131"/>
      <c r="Z131" s="1"/>
      <c r="AA131" s="1"/>
      <c r="AB131" s="1"/>
      <c r="AC131" s="1"/>
    </row>
    <row r="132" spans="1:29" x14ac:dyDescent="0.3">
      <c r="A132" s="1">
        <f>ROW(CantoralDB[[#This Row],[Título]])-1</f>
        <v>131</v>
      </c>
      <c r="B132" s="1" t="s">
        <v>3554</v>
      </c>
      <c r="C132" s="1"/>
      <c r="H132" s="1" t="s">
        <v>472</v>
      </c>
      <c r="J132" s="1" t="s">
        <v>605</v>
      </c>
      <c r="M132" s="15" t="s">
        <v>499</v>
      </c>
      <c r="N132" s="1" t="s">
        <v>3545</v>
      </c>
      <c r="O132" s="15">
        <v>11</v>
      </c>
      <c r="P132" s="15">
        <v>2025</v>
      </c>
      <c r="Q132" s="15" t="str" cm="1">
        <f t="array" ref="Q1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2" s="15" t="str" cm="1">
        <f t="array" ref="R1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canciones/ain_karem/luz_de_pascua.html</v>
      </c>
      <c r="T132" s="1"/>
      <c r="U132" s="1"/>
      <c r="V132" s="32" t="s">
        <v>3570</v>
      </c>
      <c r="W1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href="canciones/ain_karem/luz_de_pascua.html"&gt;Luz de Pascua&lt;/a&gt;&lt;/li&gt;</v>
      </c>
      <c r="X132" s="15" t="str">
        <f>_xlfn.TEXTBEFORE(_xlfn.TEXTAFTER(CantoralDB[[#This Row],[index.html]],"&gt;"),"&gt;")&amp;"&gt;"</f>
        <v>&lt;a href="canciones/ain_karem/luz_de_pascua.html"&gt;</v>
      </c>
      <c r="Y132"/>
      <c r="Z132" s="1"/>
      <c r="AA132" s="1"/>
      <c r="AB132" s="1"/>
      <c r="AC132" s="1"/>
    </row>
    <row r="133" spans="1:29" x14ac:dyDescent="0.3">
      <c r="A133" s="1">
        <f>ROW(CantoralDB[[#This Row],[Título]])-1</f>
        <v>132</v>
      </c>
      <c r="B133" s="1" t="s">
        <v>3555</v>
      </c>
      <c r="C133" s="1"/>
      <c r="H133" s="1" t="s">
        <v>472</v>
      </c>
      <c r="J133" s="1" t="s">
        <v>605</v>
      </c>
      <c r="M133" s="15" t="s">
        <v>499</v>
      </c>
      <c r="N133" s="1" t="s">
        <v>3545</v>
      </c>
      <c r="O133" s="15">
        <v>12</v>
      </c>
      <c r="P133" s="15">
        <v>2025</v>
      </c>
      <c r="Q133" s="15" t="str" cm="1">
        <f t="array" ref="Q1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3" s="15" t="str" cm="1">
        <f t="array" ref="R1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canciones/ain_karem/mi_todo.html</v>
      </c>
      <c r="T133" s="1"/>
      <c r="U133" s="1"/>
      <c r="V133" s="32" t="s">
        <v>3571</v>
      </c>
      <c r="W1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href="canciones/ain_karem/mi_todo.html"&gt;Mi todo&lt;/a&gt;&lt;/li&gt;</v>
      </c>
      <c r="X133" s="15" t="str">
        <f>_xlfn.TEXTBEFORE(_xlfn.TEXTAFTER(CantoralDB[[#This Row],[index.html]],"&gt;"),"&gt;")&amp;"&gt;"</f>
        <v>&lt;a href="canciones/ain_karem/mi_todo.html"&gt;</v>
      </c>
      <c r="Y133"/>
      <c r="Z133" s="1"/>
      <c r="AA133" s="1"/>
      <c r="AB133" s="1"/>
      <c r="AC133" s="1"/>
    </row>
    <row r="134" spans="1:29" x14ac:dyDescent="0.3">
      <c r="A134" s="1">
        <f>ROW(CantoralDB[[#This Row],[Título]])-1</f>
        <v>133</v>
      </c>
      <c r="B134" s="1" t="s">
        <v>3556</v>
      </c>
      <c r="C134" s="1"/>
      <c r="H134" s="1" t="s">
        <v>529</v>
      </c>
      <c r="J134" s="1" t="s">
        <v>605</v>
      </c>
      <c r="M134" s="15" t="s">
        <v>499</v>
      </c>
      <c r="N134" s="1" t="s">
        <v>3545</v>
      </c>
      <c r="O134" s="15">
        <v>13</v>
      </c>
      <c r="P134" s="15">
        <v>2025</v>
      </c>
      <c r="Q134" s="15" t="str" cm="1">
        <f t="array" ref="Q1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4" s="15" t="str" cm="1">
        <f t="array" ref="R1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canciones/ain_karem/acompañame_maria.html</v>
      </c>
      <c r="T134" s="1"/>
      <c r="U134" s="1"/>
      <c r="V134" s="32" t="s">
        <v>3572</v>
      </c>
      <c r="W1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href="canciones/ain_karem/acompañame_maria.html"&gt;Acompáñame, María&lt;/a&gt;&lt;/li&gt;</v>
      </c>
      <c r="X134" s="15" t="str">
        <f>_xlfn.TEXTBEFORE(_xlfn.TEXTAFTER(CantoralDB[[#This Row],[index.html]],"&gt;"),"&gt;")&amp;"&gt;"</f>
        <v>&lt;a href="canciones/ain_karem/acompañame_maria.html"&gt;</v>
      </c>
      <c r="Y134"/>
      <c r="Z134" s="1"/>
      <c r="AA134" s="1"/>
      <c r="AB134" s="1"/>
      <c r="AC134" s="1"/>
    </row>
    <row r="135" spans="1:29" x14ac:dyDescent="0.3">
      <c r="A135" s="1">
        <f>ROW(CantoralDB[[#This Row],[Título]])-1</f>
        <v>134</v>
      </c>
      <c r="B135" s="1" t="s">
        <v>3557</v>
      </c>
      <c r="C135" s="1"/>
      <c r="J135" s="1"/>
      <c r="M135" s="15" t="s">
        <v>499</v>
      </c>
      <c r="N135" s="1" t="s">
        <v>3545</v>
      </c>
      <c r="O135" s="15">
        <v>14</v>
      </c>
      <c r="P135" s="15">
        <v>2025</v>
      </c>
      <c r="Q135" s="15" t="str" cm="1">
        <f t="array" ref="Q1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5" s="15" t="str" cm="1">
        <f t="array" ref="R1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canciones/ain_karem/hoy_mas_fuertes_humildes_y_diligentes.html</v>
      </c>
      <c r="T135" s="1"/>
      <c r="U135" s="1"/>
      <c r="V135" s="32" t="s">
        <v>3573</v>
      </c>
      <c r="W1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href="canciones/ain_karem/hoy_mas_fuertes_humildes_y_diligentes.html"&gt;Hoy más fuertes, humildes y diligentes&lt;/a&gt;&lt;/li&gt;</v>
      </c>
      <c r="X135" s="15" t="str">
        <f>_xlfn.TEXTBEFORE(_xlfn.TEXTAFTER(CantoralDB[[#This Row],[index.html]],"&gt;"),"&gt;")&amp;"&gt;"</f>
        <v>&lt;a href="canciones/ain_karem/hoy_mas_fuertes_humildes_y_diligentes.html"&gt;</v>
      </c>
      <c r="Y135"/>
      <c r="Z135" s="1"/>
      <c r="AA135" s="1"/>
      <c r="AB135" s="1"/>
      <c r="AC135" s="1"/>
    </row>
    <row r="136" spans="1:29" x14ac:dyDescent="0.3">
      <c r="A136" s="1">
        <f>ROW(CantoralDB[[#This Row],[Título]])-1</f>
        <v>135</v>
      </c>
      <c r="B136" s="1" t="s">
        <v>3558</v>
      </c>
      <c r="C136" s="1"/>
      <c r="J136" s="1"/>
      <c r="M136" s="15" t="s">
        <v>499</v>
      </c>
      <c r="N136" s="1" t="s">
        <v>3545</v>
      </c>
      <c r="O136" s="15">
        <v>15</v>
      </c>
      <c r="P136" s="15">
        <v>2025</v>
      </c>
      <c r="Q136" s="15" t="str" cm="1">
        <f t="array" ref="Q1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6" s="15" t="str" cm="1">
        <f t="array" ref="R1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canciones/ain_karem/mujer_del_si_confiado.html</v>
      </c>
      <c r="T136" s="1"/>
      <c r="U136" s="1"/>
      <c r="V136" s="32" t="s">
        <v>3574</v>
      </c>
      <c r="W1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href="canciones/ain_karem/mujer_del_si_confiado.html"&gt;Mujer del sí confiado&lt;/a&gt;&lt;/li&gt;</v>
      </c>
      <c r="X136" s="15" t="str">
        <f>_xlfn.TEXTBEFORE(_xlfn.TEXTAFTER(CantoralDB[[#This Row],[index.html]],"&gt;"),"&gt;")&amp;"&gt;"</f>
        <v>&lt;a href="canciones/ain_karem/mujer_del_si_confiado.html"&gt;</v>
      </c>
      <c r="Y136"/>
      <c r="Z136" s="1"/>
      <c r="AA136" s="1"/>
      <c r="AB136" s="1"/>
      <c r="AC136" s="1"/>
    </row>
    <row r="137" spans="1:29" x14ac:dyDescent="0.3">
      <c r="A137" s="1">
        <f>ROW(CantoralDB[[#This Row],[Título]])-1</f>
        <v>136</v>
      </c>
      <c r="B137" s="1" t="s">
        <v>3559</v>
      </c>
      <c r="C137" s="1"/>
      <c r="H137" s="1" t="s">
        <v>529</v>
      </c>
      <c r="J137" s="1" t="s">
        <v>605</v>
      </c>
      <c r="M137" s="15" t="s">
        <v>499</v>
      </c>
      <c r="N137" s="1" t="s">
        <v>3545</v>
      </c>
      <c r="O137" s="15">
        <v>16</v>
      </c>
      <c r="P137" s="15">
        <v>2025</v>
      </c>
      <c r="Q137" s="15" t="str" cm="1">
        <f t="array" ref="Q1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7" s="15" t="str" cm="1">
        <f t="array" ref="R1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canciones/ain_karem/yo_estoy.html</v>
      </c>
      <c r="T137" s="1"/>
      <c r="U137" s="1"/>
      <c r="V137" s="32" t="s">
        <v>3575</v>
      </c>
      <c r="W1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href="canciones/ain_karem/yo_estoy.html"&gt;Yo estoy&lt;/a&gt;&lt;/li&gt;</v>
      </c>
      <c r="X137" s="15" t="str">
        <f>_xlfn.TEXTBEFORE(_xlfn.TEXTAFTER(CantoralDB[[#This Row],[index.html]],"&gt;"),"&gt;")&amp;"&gt;"</f>
        <v>&lt;a href="canciones/ain_karem/yo_estoy.html"&gt;</v>
      </c>
      <c r="Y137"/>
      <c r="Z137" s="1"/>
      <c r="AA137" s="1"/>
      <c r="AB137" s="1"/>
      <c r="AC137" s="1"/>
    </row>
    <row r="138" spans="1:29" x14ac:dyDescent="0.3">
      <c r="A138" s="1">
        <f>ROW(CantoralDB[[#This Row],[Título]])-1</f>
        <v>137</v>
      </c>
      <c r="B138" s="1" t="s">
        <v>4846</v>
      </c>
      <c r="C138" s="1"/>
      <c r="J138" s="1"/>
      <c r="M138" s="15" t="s">
        <v>499</v>
      </c>
      <c r="O138" s="15"/>
      <c r="P138" s="15">
        <v>2022</v>
      </c>
      <c r="Q138" s="15" t="str" cm="1">
        <f t="array" ref="Q1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ain_karem</v>
      </c>
      <c r="R138" s="15" t="str" cm="1">
        <f t="array" ref="R1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ain_karem</v>
      </c>
      <c r="S1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canciones/ain_karem/deseos.html</v>
      </c>
      <c r="T138" s="1"/>
      <c r="U138" s="1"/>
      <c r="V138" s="32" t="s">
        <v>4931</v>
      </c>
      <c r="W1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data-author="Ain Karem"&gt;&lt;a href="canciones/ain_karem/deseos.html"&gt;Deseos&lt;/a&gt;&lt;/li&gt;</v>
      </c>
      <c r="X138" s="15" t="str">
        <f>_xlfn.TEXTBEFORE(_xlfn.TEXTAFTER(CantoralDB[[#This Row],[index.html]],"&gt;"),"&gt;")&amp;"&gt;"</f>
        <v>&lt;a href="canciones/ain_karem/deseos.html"&gt;</v>
      </c>
      <c r="Y138"/>
      <c r="Z138" s="1"/>
      <c r="AA138" s="1"/>
      <c r="AB138" s="1"/>
      <c r="AC138" s="1"/>
    </row>
    <row r="139" spans="1:29" x14ac:dyDescent="0.3">
      <c r="A139" s="1">
        <f>ROW(CantoralDB[[#This Row],[Título]])-1</f>
        <v>138</v>
      </c>
      <c r="B139" s="1" t="s">
        <v>2679</v>
      </c>
      <c r="C139" s="1" t="s">
        <v>190</v>
      </c>
      <c r="D139" s="1" t="s">
        <v>1361</v>
      </c>
      <c r="E139" s="1">
        <v>401</v>
      </c>
      <c r="F139" s="1">
        <v>365</v>
      </c>
      <c r="G139" s="1" t="s">
        <v>208</v>
      </c>
      <c r="H139" s="1" t="s">
        <v>1027</v>
      </c>
      <c r="J139" s="1" t="s">
        <v>605</v>
      </c>
      <c r="M139" s="15" t="s">
        <v>587</v>
      </c>
      <c r="O139" s="15"/>
      <c r="P139" s="15"/>
      <c r="Q139" s="15" t="str" cm="1">
        <f t="array" ref="Q1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39" s="15" t="str" cm="1">
        <f t="array" ref="R1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canciones/alejandro_ruiz/abba_padre.html</v>
      </c>
      <c r="T139" s="1" t="s">
        <v>796</v>
      </c>
      <c r="U139" s="1"/>
      <c r="V139" s="32" t="s">
        <v>4418</v>
      </c>
      <c r="W1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data-momento="Entrada" data-nnew="A02" data-nold="401" data-nrcc="365"&gt;&lt;a href="canciones/alejandro_ruiz/abba_padre.html"&gt;Abbá, Padre&lt;/a&gt;&lt;/li&gt;</v>
      </c>
      <c r="X139" s="15" t="str">
        <f>_xlfn.TEXTBEFORE(_xlfn.TEXTAFTER(CantoralDB[[#This Row],[index.html]],"&gt;"),"&gt;")&amp;"&gt;"</f>
        <v>&lt;a href="canciones/alejandro_ruiz/abba_padre.html"&gt;</v>
      </c>
      <c r="Y139"/>
      <c r="Z139" s="1"/>
      <c r="AA139" s="1"/>
      <c r="AB139" s="1"/>
      <c r="AC139" s="1"/>
    </row>
    <row r="140" spans="1:29" x14ac:dyDescent="0.3">
      <c r="A140" s="1">
        <f>ROW(CantoralDB[[#This Row],[Título]])-1</f>
        <v>139</v>
      </c>
      <c r="B140" s="1" t="s">
        <v>2826</v>
      </c>
      <c r="C140" s="1"/>
      <c r="F140" s="1">
        <v>438</v>
      </c>
      <c r="J140" s="1"/>
      <c r="M140" s="15" t="s">
        <v>587</v>
      </c>
      <c r="O140" s="15"/>
      <c r="P140" s="15"/>
      <c r="Q140" s="15" t="str" cm="1">
        <f t="array" ref="Q1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0" s="15" t="str" cm="1">
        <f t="array" ref="R1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canciones/alejandro_ruiz/alabad_al_señor_todas_las_naciones.html</v>
      </c>
      <c r="T140" s="1"/>
      <c r="U140" s="1"/>
      <c r="V140" s="15"/>
      <c r="W1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data-nrcc="438"&gt;&lt;a href="canciones/alejandro_ruiz/alabad_al_señor_todas_las_naciones.html"&gt;Alabad al Señor todas las naciones&lt;/a&gt;&lt;/li&gt;</v>
      </c>
      <c r="X140" s="15" t="str">
        <f>_xlfn.TEXTBEFORE(_xlfn.TEXTAFTER(CantoralDB[[#This Row],[index.html]],"&gt;"),"&gt;")&amp;"&gt;"</f>
        <v>&lt;a href="canciones/alejandro_ruiz/alabad_al_señor_todas_las_naciones.html"&gt;</v>
      </c>
      <c r="Y140"/>
      <c r="Z140" s="1"/>
      <c r="AA140" s="1"/>
      <c r="AB140" s="1"/>
      <c r="AC140" s="1"/>
    </row>
    <row r="141" spans="1:29" x14ac:dyDescent="0.3">
      <c r="A141" s="1">
        <f>ROW(CantoralDB[[#This Row],[Título]])-1</f>
        <v>140</v>
      </c>
      <c r="B141" s="1" t="s">
        <v>2698</v>
      </c>
      <c r="C141" s="1"/>
      <c r="F141" s="1">
        <v>332</v>
      </c>
      <c r="H141" s="1" t="s">
        <v>1027</v>
      </c>
      <c r="J141" s="1" t="s">
        <v>605</v>
      </c>
      <c r="M141" s="15" t="s">
        <v>587</v>
      </c>
      <c r="O141" s="15"/>
      <c r="P141" s="15"/>
      <c r="Q141" s="15" t="str" cm="1">
        <f t="array" ref="Q1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1" s="15" t="str" cm="1">
        <f t="array" ref="R1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canciones/alejandro_ruiz/arranca_de_mi_pecho.html</v>
      </c>
      <c r="T141" s="1"/>
      <c r="U141" s="1"/>
      <c r="V141" s="32" t="s">
        <v>4963</v>
      </c>
      <c r="W1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data-nrcc="332"&gt;&lt;a href="canciones/alejandro_ruiz/arranca_de_mi_pecho.html"&gt;Arranca de mi pecho&lt;/a&gt;&lt;/li&gt;</v>
      </c>
      <c r="X141" s="15" t="str">
        <f>_xlfn.TEXTBEFORE(_xlfn.TEXTAFTER(CantoralDB[[#This Row],[index.html]],"&gt;"),"&gt;")&amp;"&gt;"</f>
        <v>&lt;a href="canciones/alejandro_ruiz/arranca_de_mi_pecho.html"&gt;</v>
      </c>
      <c r="Y141"/>
      <c r="Z141" s="1"/>
      <c r="AA141" s="1"/>
      <c r="AB141" s="1"/>
      <c r="AC141" s="1"/>
    </row>
    <row r="142" spans="1:29" x14ac:dyDescent="0.3">
      <c r="A142" s="1">
        <f>ROW(CantoralDB[[#This Row],[Título]])-1</f>
        <v>141</v>
      </c>
      <c r="B142" s="1" t="s">
        <v>2787</v>
      </c>
      <c r="C142" s="1"/>
      <c r="F142" s="1">
        <v>407</v>
      </c>
      <c r="J142" s="1"/>
      <c r="M142" s="15" t="s">
        <v>587</v>
      </c>
      <c r="O142" s="15"/>
      <c r="P142" s="15"/>
      <c r="Q142" s="15" t="str" cm="1">
        <f t="array" ref="Q1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2" s="15" t="str" cm="1">
        <f t="array" ref="R1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canciones/alejandro_ruiz/confiad.html</v>
      </c>
      <c r="T142" s="1"/>
      <c r="U142" s="1"/>
      <c r="V142" s="32" t="s">
        <v>4451</v>
      </c>
      <c r="W1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data-nrcc="407"&gt;&lt;a href="canciones/alejandro_ruiz/confiad.html"&gt;Confiad&lt;/a&gt;&lt;/li&gt;</v>
      </c>
      <c r="X142" s="15" t="str">
        <f>_xlfn.TEXTBEFORE(_xlfn.TEXTAFTER(CantoralDB[[#This Row],[index.html]],"&gt;"),"&gt;")&amp;"&gt;"</f>
        <v>&lt;a href="canciones/alejandro_ruiz/confiad.html"&gt;</v>
      </c>
      <c r="Y142"/>
      <c r="Z142" s="1"/>
      <c r="AA142" s="1"/>
      <c r="AB142" s="1"/>
      <c r="AC142" s="1"/>
    </row>
    <row r="143" spans="1:29" x14ac:dyDescent="0.3">
      <c r="A143" s="1">
        <f>ROW(CantoralDB[[#This Row],[Título]])-1</f>
        <v>142</v>
      </c>
      <c r="B143" s="1" t="s">
        <v>2818</v>
      </c>
      <c r="C143" s="1"/>
      <c r="F143" s="1">
        <v>432</v>
      </c>
      <c r="J143" s="1"/>
      <c r="M143" s="15" t="s">
        <v>587</v>
      </c>
      <c r="O143" s="15"/>
      <c r="P143" s="15"/>
      <c r="Q143" s="15" t="str" cm="1">
        <f t="array" ref="Q1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3" s="15" t="str" cm="1">
        <f t="array" ref="R1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canciones/alejandro_ruiz/demos_gloria.html</v>
      </c>
      <c r="T143" s="1"/>
      <c r="U143" s="1"/>
      <c r="V143" s="32" t="s">
        <v>4477</v>
      </c>
      <c r="W1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data-nrcc="432"&gt;&lt;a href="canciones/alejandro_ruiz/demos_gloria.html"&gt;Demos gloria&lt;/a&gt;&lt;/li&gt;</v>
      </c>
      <c r="X143" s="15" t="str">
        <f>_xlfn.TEXTBEFORE(_xlfn.TEXTAFTER(CantoralDB[[#This Row],[index.html]],"&gt;"),"&gt;")&amp;"&gt;"</f>
        <v>&lt;a href="canciones/alejandro_ruiz/demos_gloria.html"&gt;</v>
      </c>
      <c r="Y143"/>
      <c r="Z143" s="1"/>
      <c r="AA143" s="1"/>
      <c r="AB143" s="1"/>
      <c r="AC143" s="1"/>
    </row>
    <row r="144" spans="1:29" x14ac:dyDescent="0.3">
      <c r="A144" s="1">
        <f>ROW(CantoralDB[[#This Row],[Título]])-1</f>
        <v>143</v>
      </c>
      <c r="B144" s="1" t="s">
        <v>2833</v>
      </c>
      <c r="C144" s="1"/>
      <c r="F144" s="1">
        <v>446</v>
      </c>
      <c r="J144" s="1"/>
      <c r="M144" s="15" t="s">
        <v>587</v>
      </c>
      <c r="O144" s="15"/>
      <c r="P144" s="15"/>
      <c r="Q144" s="15" t="str" cm="1">
        <f t="array" ref="Q1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4" s="15" t="str" cm="1">
        <f t="array" ref="R1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canciones/alejandro_ruiz/el_alfa_y_la_omega.html</v>
      </c>
      <c r="T144" s="1"/>
      <c r="U144" s="1"/>
      <c r="V144" s="32" t="s">
        <v>4540</v>
      </c>
      <c r="W1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data-nrcc="446"&gt;&lt;a href="canciones/alejandro_ruiz/el_alfa_y_la_omega.html"&gt;El Alfa y la Omega&lt;/a&gt;&lt;/li&gt;</v>
      </c>
      <c r="X144" s="15" t="str">
        <f>_xlfn.TEXTBEFORE(_xlfn.TEXTAFTER(CantoralDB[[#This Row],[index.html]],"&gt;"),"&gt;")&amp;"&gt;"</f>
        <v>&lt;a href="canciones/alejandro_ruiz/el_alfa_y_la_omega.html"&gt;</v>
      </c>
      <c r="Y144"/>
      <c r="Z144" s="1"/>
      <c r="AA144" s="1"/>
      <c r="AB144" s="1"/>
      <c r="AC144" s="1"/>
    </row>
    <row r="145" spans="1:29" x14ac:dyDescent="0.3">
      <c r="A145" s="1">
        <f>ROW(CantoralDB[[#This Row],[Título]])-1</f>
        <v>144</v>
      </c>
      <c r="B145" s="1" t="s">
        <v>2795</v>
      </c>
      <c r="C145" s="1"/>
      <c r="F145" s="1">
        <v>412</v>
      </c>
      <c r="J145" s="1"/>
      <c r="M145" s="15" t="s">
        <v>587</v>
      </c>
      <c r="O145" s="15"/>
      <c r="P145" s="15"/>
      <c r="Q145" s="15" t="str" cm="1">
        <f t="array" ref="Q1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5" s="15" t="str" cm="1">
        <f t="array" ref="R1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canciones/alejandro_ruiz/hijo_de_david.html</v>
      </c>
      <c r="T145" s="1"/>
      <c r="U145" s="1"/>
      <c r="V145" s="15"/>
      <c r="W1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data-nrcc="412"&gt;&lt;a href="canciones/alejandro_ruiz/hijo_de_david.html"&gt;Hijo de David&lt;/a&gt;&lt;/li&gt;</v>
      </c>
      <c r="X145" s="15" t="str">
        <f>_xlfn.TEXTBEFORE(_xlfn.TEXTAFTER(CantoralDB[[#This Row],[index.html]],"&gt;"),"&gt;")&amp;"&gt;"</f>
        <v>&lt;a href="canciones/alejandro_ruiz/hijo_de_david.html"&gt;</v>
      </c>
      <c r="Y145"/>
      <c r="Z145" s="1"/>
      <c r="AA145" s="1"/>
      <c r="AB145" s="1"/>
      <c r="AC145" s="1"/>
    </row>
    <row r="146" spans="1:29" x14ac:dyDescent="0.3">
      <c r="A146" s="1">
        <f>ROW(CantoralDB[[#This Row],[Título]])-1</f>
        <v>145</v>
      </c>
      <c r="B146" s="1" t="s">
        <v>2828</v>
      </c>
      <c r="C146" s="1"/>
      <c r="F146" s="1">
        <v>440</v>
      </c>
      <c r="J146" s="1"/>
      <c r="M146" s="15" t="s">
        <v>587</v>
      </c>
      <c r="O146" s="15"/>
      <c r="P146" s="15"/>
      <c r="Q146" s="15" t="str" cm="1">
        <f t="array" ref="Q1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6" s="15" t="str" cm="1">
        <f t="array" ref="R1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canciones/alejandro_ruiz/la_victoria_es_de_nuestro_dios.html</v>
      </c>
      <c r="T146" s="1"/>
      <c r="U146" s="1"/>
      <c r="V146" s="32" t="s">
        <v>4588</v>
      </c>
      <c r="W1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data-nrcc="440"&gt;&lt;a href="canciones/alejandro_ruiz/la_victoria_es_de_nuestro_dios.html"&gt;La victoria es de nuestro Dios&lt;/a&gt;&lt;/li&gt;</v>
      </c>
      <c r="X146" s="15" t="str">
        <f>_xlfn.TEXTBEFORE(_xlfn.TEXTAFTER(CantoralDB[[#This Row],[index.html]],"&gt;"),"&gt;")&amp;"&gt;"</f>
        <v>&lt;a href="canciones/alejandro_ruiz/la_victoria_es_de_nuestro_dios.html"&gt;</v>
      </c>
      <c r="Y146"/>
      <c r="Z146" s="1"/>
      <c r="AA146" s="1"/>
      <c r="AB146" s="1"/>
      <c r="AC146" s="1"/>
    </row>
    <row r="147" spans="1:29" x14ac:dyDescent="0.3">
      <c r="A147" s="1">
        <f>ROW(CantoralDB[[#This Row],[Título]])-1</f>
        <v>146</v>
      </c>
      <c r="B147" s="1" t="s">
        <v>2682</v>
      </c>
      <c r="C147" s="1"/>
      <c r="F147" s="1">
        <v>312</v>
      </c>
      <c r="H147" s="1" t="s">
        <v>1025</v>
      </c>
      <c r="J147" s="1" t="s">
        <v>605</v>
      </c>
      <c r="M147" s="15" t="s">
        <v>587</v>
      </c>
      <c r="O147" s="15"/>
      <c r="P147" s="15"/>
      <c r="Q147" s="15" t="str" cm="1">
        <f t="array" ref="Q1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7" s="15" t="str" cm="1">
        <f t="array" ref="R1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canciones/alejandro_ruiz/no_hay_nadie_como_tu.html</v>
      </c>
      <c r="T147" s="1"/>
      <c r="U147" s="1"/>
      <c r="V147" s="32" t="s">
        <v>4476</v>
      </c>
      <c r="W1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data-nrcc="312"&gt;&lt;a href="canciones/alejandro_ruiz/no_hay_nadie_como_tu.html"&gt;No hay nadie como tú&lt;/a&gt;&lt;/li&gt;</v>
      </c>
      <c r="X147" s="15" t="str">
        <f>_xlfn.TEXTBEFORE(_xlfn.TEXTAFTER(CantoralDB[[#This Row],[index.html]],"&gt;"),"&gt;")&amp;"&gt;"</f>
        <v>&lt;a href="canciones/alejandro_ruiz/no_hay_nadie_como_tu.html"&gt;</v>
      </c>
      <c r="Y147"/>
      <c r="Z147" s="1"/>
      <c r="AA147" s="1"/>
      <c r="AB147" s="1"/>
      <c r="AC147" s="1"/>
    </row>
    <row r="148" spans="1:29" x14ac:dyDescent="0.3">
      <c r="A148" s="1">
        <f>ROW(CantoralDB[[#This Row],[Título]])-1</f>
        <v>147</v>
      </c>
      <c r="B148" s="1" t="s">
        <v>2801</v>
      </c>
      <c r="C148" s="1"/>
      <c r="F148" s="1">
        <v>417</v>
      </c>
      <c r="J148" s="1"/>
      <c r="M148" s="15" t="s">
        <v>587</v>
      </c>
      <c r="O148" s="15"/>
      <c r="P148" s="15"/>
      <c r="Q148" s="15" t="str" cm="1">
        <f t="array" ref="Q1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8" s="15" t="str" cm="1">
        <f t="array" ref="R1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canciones/alejandro_ruiz/que_tendras_tu.html</v>
      </c>
      <c r="T148" s="1"/>
      <c r="U148" s="1"/>
      <c r="V148" s="32" t="s">
        <v>4461</v>
      </c>
      <c r="W1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data-nrcc="417"&gt;&lt;a href="canciones/alejandro_ruiz/que_tendras_tu.html"&gt;Qué tendrás tú&lt;/a&gt;&lt;/li&gt;</v>
      </c>
      <c r="X148" s="15" t="str">
        <f>_xlfn.TEXTBEFORE(_xlfn.TEXTAFTER(CantoralDB[[#This Row],[index.html]],"&gt;"),"&gt;")&amp;"&gt;"</f>
        <v>&lt;a href="canciones/alejandro_ruiz/que_tendras_tu.html"&gt;</v>
      </c>
      <c r="Y148"/>
      <c r="Z148" s="1"/>
      <c r="AA148" s="1"/>
      <c r="AB148" s="1"/>
      <c r="AC148" s="1"/>
    </row>
    <row r="149" spans="1:29" x14ac:dyDescent="0.3">
      <c r="A149" s="1">
        <f>ROW(CantoralDB[[#This Row],[Título]])-1</f>
        <v>148</v>
      </c>
      <c r="B149" s="1" t="s">
        <v>2830</v>
      </c>
      <c r="C149" s="1"/>
      <c r="F149" s="1">
        <v>442</v>
      </c>
      <c r="J149" s="1"/>
      <c r="M149" s="15" t="s">
        <v>587</v>
      </c>
      <c r="O149" s="15"/>
      <c r="P149" s="15"/>
      <c r="Q149" s="15" t="str" cm="1">
        <f t="array" ref="Q1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49" s="15" t="str" cm="1">
        <f t="array" ref="R1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canciones/alejandro_ruiz/tu_me_has_vestido.html</v>
      </c>
      <c r="T149" s="1"/>
      <c r="U149" s="1"/>
      <c r="V149" s="32" t="s">
        <v>4581</v>
      </c>
      <c r="W1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data-nrcc="442"&gt;&lt;a href="canciones/alejandro_ruiz/tu_me_has_vestido.html"&gt;Tú me has vestido&lt;/a&gt;&lt;/li&gt;</v>
      </c>
      <c r="X149" s="15" t="str">
        <f>_xlfn.TEXTBEFORE(_xlfn.TEXTAFTER(CantoralDB[[#This Row],[index.html]],"&gt;"),"&gt;")&amp;"&gt;"</f>
        <v>&lt;a href="canciones/alejandro_ruiz/tu_me_has_vestido.html"&gt;</v>
      </c>
      <c r="Y149"/>
      <c r="Z149" s="1"/>
      <c r="AA149" s="1"/>
      <c r="AB149" s="1"/>
      <c r="AC149" s="1"/>
    </row>
    <row r="150" spans="1:29" x14ac:dyDescent="0.3">
      <c r="A150" s="1">
        <f>ROW(CantoralDB[[#This Row],[Título]])-1</f>
        <v>149</v>
      </c>
      <c r="B150" s="1" t="s">
        <v>2377</v>
      </c>
      <c r="C150" s="1"/>
      <c r="F150" s="1">
        <v>2</v>
      </c>
      <c r="H150" s="1" t="s">
        <v>1025</v>
      </c>
      <c r="J150" s="1" t="s">
        <v>605</v>
      </c>
      <c r="M150" s="15" t="s">
        <v>587</v>
      </c>
      <c r="O150" s="15"/>
      <c r="P150" s="15"/>
      <c r="Q150" s="15" t="str" cm="1">
        <f t="array" ref="Q1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50" s="15" t="str" cm="1">
        <f t="array" ref="R1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canciones/alejandro_ruiz/tu_rompes_cadenas.html</v>
      </c>
      <c r="T150" s="1"/>
      <c r="U150" s="1"/>
      <c r="V150" s="32" t="s">
        <v>4446</v>
      </c>
      <c r="W1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data-nrcc="2"&gt;&lt;a href="canciones/alejandro_ruiz/tu_rompes_cadenas.html"&gt;Tú rompes cadenas&lt;/a&gt;&lt;/li&gt;</v>
      </c>
      <c r="X150" s="15" t="str">
        <f>_xlfn.TEXTBEFORE(_xlfn.TEXTAFTER(CantoralDB[[#This Row],[index.html]],"&gt;"),"&gt;")&amp;"&gt;"</f>
        <v>&lt;a href="canciones/alejandro_ruiz/tu_rompes_cadenas.html"&gt;</v>
      </c>
      <c r="Y150"/>
      <c r="Z150" s="1"/>
      <c r="AA150" s="1"/>
      <c r="AB150" s="1"/>
      <c r="AC150" s="1"/>
    </row>
    <row r="151" spans="1:29" x14ac:dyDescent="0.3">
      <c r="A151" s="1">
        <f>ROW(CantoralDB[[#This Row],[Título]])-1</f>
        <v>150</v>
      </c>
      <c r="B151" s="1" t="s">
        <v>2650</v>
      </c>
      <c r="C151" s="1"/>
      <c r="F151" s="1">
        <v>277</v>
      </c>
      <c r="H151" s="1" t="s">
        <v>1024</v>
      </c>
      <c r="J151" s="1" t="s">
        <v>605</v>
      </c>
      <c r="M151" s="15" t="s">
        <v>587</v>
      </c>
      <c r="O151" s="15"/>
      <c r="P151" s="15"/>
      <c r="Q151" s="15" t="str" cm="1">
        <f t="array" ref="Q1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51" s="15" t="str" cm="1">
        <f t="array" ref="R1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canciones/alejandro_ruiz/tuya_es_la_victoria.html</v>
      </c>
      <c r="T151" s="1"/>
      <c r="U151" s="1"/>
      <c r="V151" s="32" t="s">
        <v>4964</v>
      </c>
      <c r="W1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data-nrcc="277"&gt;&lt;a href="canciones/alejandro_ruiz/tuya_es_la_victoria.html"&gt;Tuya es la victoria&lt;/a&gt;&lt;/li&gt;</v>
      </c>
      <c r="X151" s="15" t="str">
        <f>_xlfn.TEXTBEFORE(_xlfn.TEXTAFTER(CantoralDB[[#This Row],[index.html]],"&gt;"),"&gt;")&amp;"&gt;"</f>
        <v>&lt;a href="canciones/alejandro_ruiz/tuya_es_la_victoria.html"&gt;</v>
      </c>
      <c r="Y151"/>
      <c r="Z151" s="1"/>
      <c r="AA151" s="1"/>
      <c r="AB151" s="1"/>
      <c r="AC151" s="1"/>
    </row>
    <row r="152" spans="1:29" x14ac:dyDescent="0.3">
      <c r="A152" s="1">
        <f>ROW(CantoralDB[[#This Row],[Título]])-1</f>
        <v>151</v>
      </c>
      <c r="B152" s="1" t="s">
        <v>1746</v>
      </c>
      <c r="C152" s="1"/>
      <c r="F152" s="1">
        <v>175</v>
      </c>
      <c r="H152" s="1" t="s">
        <v>1027</v>
      </c>
      <c r="J152" s="1" t="s">
        <v>605</v>
      </c>
      <c r="M152" s="15" t="s">
        <v>587</v>
      </c>
      <c r="N152" s="1" t="s">
        <v>5859</v>
      </c>
      <c r="O152" s="15"/>
      <c r="P152" s="15"/>
      <c r="Q152" s="15" t="str" cm="1">
        <f t="array" ref="Q1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52" s="15" t="str" cm="1">
        <f t="array" ref="R1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canciones/alejandro_ruiz/ven_espiritu.html</v>
      </c>
      <c r="T152" s="1"/>
      <c r="U152" s="1"/>
      <c r="V152" s="32" t="s">
        <v>4965</v>
      </c>
      <c r="W1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data-nrcc="175"&gt;&lt;a href="canciones/alejandro_ruiz/ven_espiritu.html"&gt;Ven, Espíritu&lt;/a&gt;&lt;/li&gt;</v>
      </c>
      <c r="X152" s="15" t="str">
        <f>_xlfn.TEXTBEFORE(_xlfn.TEXTAFTER(CantoralDB[[#This Row],[index.html]],"&gt;"),"&gt;")&amp;"&gt;"</f>
        <v>&lt;a href="canciones/alejandro_ruiz/ven_espiritu.html"&gt;</v>
      </c>
      <c r="Y152"/>
      <c r="Z152" s="1"/>
      <c r="AA152" s="1"/>
      <c r="AB152" s="1"/>
      <c r="AC152" s="1"/>
    </row>
    <row r="153" spans="1:29" x14ac:dyDescent="0.3">
      <c r="A153" s="1">
        <f>ROW(CantoralDB[[#This Row],[Título]])-1</f>
        <v>152</v>
      </c>
      <c r="B153" s="1" t="s">
        <v>2808</v>
      </c>
      <c r="C153" s="1"/>
      <c r="F153" s="1">
        <v>424</v>
      </c>
      <c r="J153" s="1"/>
      <c r="M153" s="15" t="s">
        <v>587</v>
      </c>
      <c r="O153" s="15"/>
      <c r="P153" s="15"/>
      <c r="Q153" s="15" t="str" cm="1">
        <f t="array" ref="Q1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alejandro_ruiz</v>
      </c>
      <c r="R153" s="15" t="str" cm="1">
        <f t="array" ref="R1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canciones/alejandro_ruiz/ven_espiritu_santo_de_dios.html</v>
      </c>
      <c r="T153" s="1"/>
      <c r="U153" s="1"/>
      <c r="V153" s="32" t="s">
        <v>4438</v>
      </c>
      <c r="W1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Ruiz" data-nrcc="424"&gt;&lt;a href="canciones/alejandro_ruiz/ven_espiritu_santo_de_dios.html"&gt;Ven, Espíritu Santo de Dios&lt;/a&gt;&lt;/li&gt;</v>
      </c>
      <c r="X153" s="15" t="str">
        <f>_xlfn.TEXTBEFORE(_xlfn.TEXTAFTER(CantoralDB[[#This Row],[index.html]],"&gt;"),"&gt;")&amp;"&gt;"</f>
        <v>&lt;a href="canciones/alejandro_ruiz/ven_espiritu_santo_de_dios.html"&gt;</v>
      </c>
      <c r="Y153"/>
      <c r="Z153" s="1"/>
      <c r="AA153" s="1"/>
      <c r="AB153" s="1"/>
      <c r="AC153" s="1"/>
    </row>
    <row r="154" spans="1:29" x14ac:dyDescent="0.3">
      <c r="A154" s="1">
        <f>ROW(CantoralDB[[#This Row],[Título]])-1</f>
        <v>153</v>
      </c>
      <c r="B154" s="1" t="s">
        <v>1182</v>
      </c>
      <c r="C154" s="1"/>
      <c r="E154" s="1">
        <v>56</v>
      </c>
      <c r="H154" s="1" t="s">
        <v>529</v>
      </c>
      <c r="J154" s="1" t="s">
        <v>605</v>
      </c>
      <c r="M154" s="15" t="s">
        <v>487</v>
      </c>
      <c r="O154" s="15"/>
      <c r="P154" s="15"/>
      <c r="Q154" s="15" t="str" cm="1">
        <f t="array" ref="Q1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4" s="15" t="str" cm="1">
        <f t="array" ref="R1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canciones/al-haraca/como_jonas.html</v>
      </c>
      <c r="T154" s="1"/>
      <c r="U154" s="1"/>
      <c r="V154" s="32" t="s">
        <v>4932</v>
      </c>
      <c r="W1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data-nold="56"&gt;&lt;a href="canciones/al-haraca/como_jonas.html"&gt;Como Jonás&lt;/a&gt;&lt;/li&gt;</v>
      </c>
      <c r="X154" s="15" t="str">
        <f>_xlfn.TEXTBEFORE(_xlfn.TEXTAFTER(CantoralDB[[#This Row],[index.html]],"&gt;"),"&gt;")&amp;"&gt;"</f>
        <v>&lt;a href="canciones/al-haraca/como_jonas.html"&gt;</v>
      </c>
      <c r="Y154"/>
      <c r="Z154" s="1"/>
      <c r="AA154" s="1"/>
      <c r="AB154" s="1"/>
      <c r="AC154" s="1"/>
    </row>
    <row r="155" spans="1:29" x14ac:dyDescent="0.3">
      <c r="A155" s="1">
        <f>ROW(CantoralDB[[#This Row],[Título]])-1</f>
        <v>154</v>
      </c>
      <c r="B155" s="1" t="s">
        <v>1246</v>
      </c>
      <c r="C155" s="1"/>
      <c r="E155" s="1">
        <v>114</v>
      </c>
      <c r="H155" s="1" t="s">
        <v>529</v>
      </c>
      <c r="J155" s="1" t="s">
        <v>605</v>
      </c>
      <c r="M155" s="15" t="s">
        <v>487</v>
      </c>
      <c r="O155" s="15"/>
      <c r="P155" s="15"/>
      <c r="Q155" s="15" t="str" cm="1">
        <f t="array" ref="Q1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5" s="15" t="str" cm="1">
        <f t="array" ref="R1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canciones/al-haraca/en_esto_conoceran.html</v>
      </c>
      <c r="T155" s="1"/>
      <c r="U155" s="1"/>
      <c r="V155" s="15"/>
      <c r="W1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data-nold="114"&gt;&lt;a href="canciones/al-haraca/en_esto_conoceran.html"&gt;En esto conocerán&lt;/a&gt;&lt;/li&gt;</v>
      </c>
      <c r="X155" s="15" t="str">
        <f>_xlfn.TEXTBEFORE(_xlfn.TEXTAFTER(CantoralDB[[#This Row],[index.html]],"&gt;"),"&gt;")&amp;"&gt;"</f>
        <v>&lt;a href="canciones/al-haraca/en_esto_conoceran.html"&gt;</v>
      </c>
      <c r="Y155"/>
      <c r="Z155" s="1"/>
      <c r="AA155" s="1"/>
      <c r="AB155" s="1"/>
      <c r="AC155" s="1"/>
    </row>
    <row r="156" spans="1:29" x14ac:dyDescent="0.3">
      <c r="A156" s="1">
        <f>ROW(CantoralDB[[#This Row],[Título]])-1</f>
        <v>155</v>
      </c>
      <c r="B156" s="1" t="s">
        <v>4966</v>
      </c>
      <c r="C156" s="1"/>
      <c r="J156" s="1"/>
      <c r="M156" s="15" t="s">
        <v>487</v>
      </c>
      <c r="O156" s="15"/>
      <c r="P156" s="15"/>
      <c r="Q156" s="15" t="str" cm="1">
        <f t="array" ref="Q1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6" s="15" t="str" cm="1">
        <f t="array" ref="R1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al-haraca</v>
      </c>
      <c r="S1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canciones/al-haraca/he_deseado_ardientemente.html</v>
      </c>
      <c r="T156" s="1"/>
      <c r="U156" s="1"/>
      <c r="V156" s="32" t="s">
        <v>4967</v>
      </c>
      <c r="W1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data-author="Al-Haraca"&gt;&lt;a href="canciones/al-haraca/he_deseado_ardientemente.html"&gt;He deseado ardientemente&lt;/a&gt;&lt;/li&gt;</v>
      </c>
      <c r="X156" s="15" t="str">
        <f>_xlfn.TEXTBEFORE(_xlfn.TEXTAFTER(CantoralDB[[#This Row],[index.html]],"&gt;"),"&gt;")&amp;"&gt;"</f>
        <v>&lt;a href="canciones/al-haraca/he_deseado_ardientemente.html"&gt;</v>
      </c>
      <c r="Y156"/>
      <c r="Z156" s="1"/>
      <c r="AA156" s="1"/>
      <c r="AB156" s="1"/>
      <c r="AC156" s="1"/>
    </row>
    <row r="157" spans="1:29" x14ac:dyDescent="0.3">
      <c r="A157" s="1">
        <f>ROW(CantoralDB[[#This Row],[Título]])-1</f>
        <v>156</v>
      </c>
      <c r="B157" s="1" t="s">
        <v>2893</v>
      </c>
      <c r="C157" s="1"/>
      <c r="E157" s="1">
        <v>197</v>
      </c>
      <c r="H157" s="1" t="s">
        <v>1027</v>
      </c>
      <c r="J157" s="1" t="s">
        <v>605</v>
      </c>
      <c r="M157" s="15" t="s">
        <v>487</v>
      </c>
      <c r="O157" s="15"/>
      <c r="P157" s="15"/>
      <c r="Q157" s="15" t="str" cm="1">
        <f t="array" ref="Q1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7" s="15" t="str" cm="1">
        <f t="array" ref="R1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canciones/al-haraca/padre_me_pongo_en_tu_regazo.html</v>
      </c>
      <c r="T157" s="1"/>
      <c r="U157" s="1"/>
      <c r="V157" s="32" t="s">
        <v>4933</v>
      </c>
      <c r="W1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data-nold="197"&gt;&lt;a href="canciones/al-haraca/padre_me_pongo_en_tu_regazo.html"&gt;Padre, me pongo en tu regazo&lt;/a&gt;&lt;/li&gt;</v>
      </c>
      <c r="X157" s="15" t="str">
        <f>_xlfn.TEXTBEFORE(_xlfn.TEXTAFTER(CantoralDB[[#This Row],[index.html]],"&gt;"),"&gt;")&amp;"&gt;"</f>
        <v>&lt;a href="canciones/al-haraca/padre_me_pongo_en_tu_regazo.html"&gt;</v>
      </c>
      <c r="Y157"/>
      <c r="Z157" s="1"/>
      <c r="AA157" s="1"/>
      <c r="AB157" s="1"/>
      <c r="AC157" s="1"/>
    </row>
    <row r="158" spans="1:29" x14ac:dyDescent="0.3">
      <c r="A158" s="1">
        <f>ROW(CantoralDB[[#This Row],[Título]])-1</f>
        <v>157</v>
      </c>
      <c r="B158" s="1" t="s">
        <v>185</v>
      </c>
      <c r="C158" s="1" t="s">
        <v>197</v>
      </c>
      <c r="D158" s="1" t="s">
        <v>1451</v>
      </c>
      <c r="E158" s="1">
        <v>209</v>
      </c>
      <c r="G158" s="1" t="s">
        <v>208</v>
      </c>
      <c r="H158" s="1" t="s">
        <v>529</v>
      </c>
      <c r="I158" s="1" t="s">
        <v>2948</v>
      </c>
      <c r="J158" s="1" t="s">
        <v>605</v>
      </c>
      <c r="M158" s="15" t="s">
        <v>487</v>
      </c>
      <c r="O158" s="15"/>
      <c r="P158" s="15"/>
      <c r="Q158" s="15" t="str" cm="1">
        <f t="array" ref="Q1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8" s="15" t="str" cm="1">
        <f t="array" ref="R1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canciones/al-haraca/por_la_paz_no_callare.html</v>
      </c>
      <c r="T158" s="1"/>
      <c r="U158" s="1"/>
      <c r="V158" s="32" t="s">
        <v>4934</v>
      </c>
      <c r="W1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data-momento="Paz" data-nnew="I09" data-nold="209"&gt;&lt;a href="canciones/al-haraca/por_la_paz_no_callare.html"&gt;Por la paz no callaré&lt;/a&gt;&lt;/li&gt;</v>
      </c>
      <c r="X158" s="15" t="str">
        <f>_xlfn.TEXTBEFORE(_xlfn.TEXTAFTER(CantoralDB[[#This Row],[index.html]],"&gt;"),"&gt;")&amp;"&gt;"</f>
        <v>&lt;a href="canciones/al-haraca/por_la_paz_no_callare.html"&gt;</v>
      </c>
      <c r="Y158"/>
      <c r="Z158" s="1"/>
      <c r="AA158" s="1"/>
      <c r="AB158" s="1"/>
      <c r="AC158" s="1"/>
    </row>
    <row r="159" spans="1:29" x14ac:dyDescent="0.3">
      <c r="A159" s="1">
        <f>ROW(CantoralDB[[#This Row],[Título]])-1</f>
        <v>158</v>
      </c>
      <c r="B159" s="1" t="s">
        <v>2894</v>
      </c>
      <c r="C159" s="1"/>
      <c r="E159" s="1">
        <v>213</v>
      </c>
      <c r="H159" s="1" t="s">
        <v>529</v>
      </c>
      <c r="J159" s="1" t="s">
        <v>605</v>
      </c>
      <c r="M159" s="15" t="s">
        <v>487</v>
      </c>
      <c r="O159" s="15"/>
      <c r="P159" s="15"/>
      <c r="Q159" s="15" t="str" cm="1">
        <f t="array" ref="Q1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59" s="15" t="str" cm="1">
        <f t="array" ref="R1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canciones/al-haraca/santa_maria_servidora.html</v>
      </c>
      <c r="T159" s="1"/>
      <c r="U159" s="1"/>
      <c r="V159" s="32" t="s">
        <v>4935</v>
      </c>
      <c r="W1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data-nold="213"&gt;&lt;a href="canciones/al-haraca/santa_maria_servidora.html"&gt;Santa María, servidora&lt;/a&gt;&lt;/li&gt;</v>
      </c>
      <c r="X159" s="15" t="str">
        <f>_xlfn.TEXTBEFORE(_xlfn.TEXTAFTER(CantoralDB[[#This Row],[index.html]],"&gt;"),"&gt;")&amp;"&gt;"</f>
        <v>&lt;a href="canciones/al-haraca/santa_maria_servidora.html"&gt;</v>
      </c>
      <c r="Y159"/>
      <c r="Z159" s="1"/>
      <c r="AA159" s="1"/>
      <c r="AB159" s="1"/>
      <c r="AC159" s="1"/>
    </row>
    <row r="160" spans="1:29" x14ac:dyDescent="0.3">
      <c r="A160" s="1">
        <f>ROW(CantoralDB[[#This Row],[Título]])-1</f>
        <v>159</v>
      </c>
      <c r="B160" s="1" t="s">
        <v>2545</v>
      </c>
      <c r="C160" s="1"/>
      <c r="F160" s="1">
        <v>160</v>
      </c>
      <c r="J160" s="1"/>
      <c r="M160" s="15" t="s">
        <v>487</v>
      </c>
      <c r="O160" s="15"/>
      <c r="P160" s="15"/>
      <c r="Q160" s="15" t="str" cm="1">
        <f t="array" ref="Q1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60" s="15" t="str" cm="1">
        <f t="array" ref="R1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canciones/al-haraca/si_con_vosotros_estoy.html</v>
      </c>
      <c r="T160" s="1"/>
      <c r="U160" s="1"/>
      <c r="V160" s="15"/>
      <c r="W1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data-nrcc="160"&gt;&lt;a href="canciones/al-haraca/si_con_vosotros_estoy.html"&gt;Sí, con vosotros estoy&lt;/a&gt;&lt;/li&gt;</v>
      </c>
      <c r="X160" s="15" t="str">
        <f>_xlfn.TEXTBEFORE(_xlfn.TEXTAFTER(CantoralDB[[#This Row],[index.html]],"&gt;"),"&gt;")&amp;"&gt;"</f>
        <v>&lt;a href="canciones/al-haraca/si_con_vosotros_estoy.html"&gt;</v>
      </c>
      <c r="Y160"/>
      <c r="Z160" s="1"/>
      <c r="AA160" s="1"/>
      <c r="AB160" s="1"/>
      <c r="AC160" s="1"/>
    </row>
    <row r="161" spans="1:29" x14ac:dyDescent="0.3">
      <c r="A161" s="1">
        <f>ROW(CantoralDB[[#This Row],[Título]])-1</f>
        <v>160</v>
      </c>
      <c r="B161" s="1" t="s">
        <v>169</v>
      </c>
      <c r="C161" s="1" t="s">
        <v>190</v>
      </c>
      <c r="D161" s="1" t="s">
        <v>761</v>
      </c>
      <c r="E161" s="1">
        <v>294</v>
      </c>
      <c r="G161" s="1" t="s">
        <v>208</v>
      </c>
      <c r="H161" s="1" t="s">
        <v>1027</v>
      </c>
      <c r="J161" s="1" t="s">
        <v>605</v>
      </c>
      <c r="M161" s="15" t="s">
        <v>487</v>
      </c>
      <c r="O161" s="15"/>
      <c r="P161" s="15"/>
      <c r="Q161" s="15" t="str" cm="1">
        <f t="array" ref="Q1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al-haraca</v>
      </c>
      <c r="R161" s="15" t="str" cm="1">
        <f t="array" ref="R1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canciones/al-haraca/yo_soy_la_luz_del_mundo.html</v>
      </c>
      <c r="T161" s="1" t="s">
        <v>867</v>
      </c>
      <c r="U161" s="1"/>
      <c r="V161" s="32" t="s">
        <v>4936</v>
      </c>
      <c r="W1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data-author="Al-Haraca" data-momento="Entrada" data-nnew="A44" data-nold="294"&gt;&lt;a href="canciones/al-haraca/yo_soy_la_luz_del_mundo.html"&gt;Yo soy la luz del mundo&lt;/a&gt;&lt;/li&gt;</v>
      </c>
      <c r="X161" s="15" t="str">
        <f>_xlfn.TEXTBEFORE(_xlfn.TEXTAFTER(CantoralDB[[#This Row],[index.html]],"&gt;"),"&gt;")&amp;"&gt;"</f>
        <v>&lt;a href="canciones/al-haraca/yo_soy_la_luz_del_mundo.html"&gt;</v>
      </c>
      <c r="Y161"/>
      <c r="Z161" s="1"/>
      <c r="AA161" s="1"/>
      <c r="AB161" s="1"/>
      <c r="AC161" s="1"/>
    </row>
    <row r="162" spans="1:29" x14ac:dyDescent="0.3">
      <c r="A162" s="1">
        <f>ROW(CantoralDB[[#This Row],[Título]])-1</f>
        <v>161</v>
      </c>
      <c r="B162" s="1" t="s">
        <v>1179</v>
      </c>
      <c r="C162" s="1"/>
      <c r="E162" s="1" t="s">
        <v>1184</v>
      </c>
      <c r="J162" s="1"/>
      <c r="M162" s="15" t="s">
        <v>485</v>
      </c>
      <c r="O162" s="15"/>
      <c r="P162" s="15"/>
      <c r="Q162" s="15" t="str" cm="1">
        <f t="array" ref="Q1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2" s="15" t="str" cm="1">
        <f t="array" ref="R1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canciones/antonio_alcalde/cielos_destilad_el_rocio.html</v>
      </c>
      <c r="T162" s="1"/>
      <c r="U162" s="1"/>
      <c r="V162" s="15"/>
      <c r="W1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data-nold="53b"&gt;&lt;a href="canciones/antonio_alcalde/cielos_destilad_el_rocio.html"&gt;Cielos, destilad el rocío&lt;/a&gt;&lt;/li&gt;</v>
      </c>
      <c r="X162" s="15" t="str">
        <f>_xlfn.TEXTBEFORE(_xlfn.TEXTAFTER(CantoralDB[[#This Row],[index.html]],"&gt;"),"&gt;")&amp;"&gt;"</f>
        <v>&lt;a href="canciones/antonio_alcalde/cielos_destilad_el_rocio.html"&gt;</v>
      </c>
      <c r="Y162"/>
      <c r="Z162" s="1"/>
      <c r="AA162" s="1"/>
      <c r="AB162" s="1"/>
      <c r="AC162" s="1"/>
    </row>
    <row r="163" spans="1:29" x14ac:dyDescent="0.3">
      <c r="A163" s="1">
        <f>ROW(CantoralDB[[#This Row],[Título]])-1</f>
        <v>162</v>
      </c>
      <c r="B163" s="1" t="s">
        <v>1207</v>
      </c>
      <c r="C163" s="1"/>
      <c r="E163" s="1">
        <v>88</v>
      </c>
      <c r="H163" s="1" t="s">
        <v>1026</v>
      </c>
      <c r="J163" s="1" t="s">
        <v>605</v>
      </c>
      <c r="M163" s="15" t="s">
        <v>485</v>
      </c>
      <c r="O163" s="15"/>
      <c r="P163" s="15"/>
      <c r="Q163" s="15" t="str" cm="1">
        <f t="array" ref="Q1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3" s="15" t="str" cm="1">
        <f t="array" ref="R1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canciones/antonio_alcalde/de_la_virgen_ha_nacido_el_niño.html</v>
      </c>
      <c r="T163" s="1"/>
      <c r="U163" s="1"/>
      <c r="V163" s="32" t="s">
        <v>4937</v>
      </c>
      <c r="W1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data-nold="88"&gt;&lt;a href="canciones/antonio_alcalde/de_la_virgen_ha_nacido_el_niño.html"&gt;De la Virgen ha nacido el Niño&lt;/a&gt;&lt;/li&gt;</v>
      </c>
      <c r="X163" s="15" t="str">
        <f>_xlfn.TEXTBEFORE(_xlfn.TEXTAFTER(CantoralDB[[#This Row],[index.html]],"&gt;"),"&gt;")&amp;"&gt;"</f>
        <v>&lt;a href="canciones/antonio_alcalde/de_la_virgen_ha_nacido_el_niño.html"&gt;</v>
      </c>
      <c r="Y163"/>
      <c r="Z163" s="1"/>
      <c r="AA163" s="1"/>
      <c r="AB163" s="1"/>
      <c r="AC163" s="1"/>
    </row>
    <row r="164" spans="1:29" x14ac:dyDescent="0.3">
      <c r="A164" s="1">
        <f>ROW(CantoralDB[[#This Row],[Título]])-1</f>
        <v>163</v>
      </c>
      <c r="B164" s="1" t="s">
        <v>1251</v>
      </c>
      <c r="C164" s="1"/>
      <c r="E164" s="1">
        <v>120</v>
      </c>
      <c r="H164" s="1" t="s">
        <v>1027</v>
      </c>
      <c r="J164" s="1"/>
      <c r="M164" s="15" t="s">
        <v>485</v>
      </c>
      <c r="O164" s="15"/>
      <c r="P164" s="15"/>
      <c r="Q164" s="15" t="str" cm="1">
        <f t="array" ref="Q1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4" s="15" t="str" cm="1">
        <f t="array" ref="R1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canciones/antonio_alcalde/esta_noche_he_visto_a_dios.html</v>
      </c>
      <c r="T164" s="1"/>
      <c r="U164" s="1"/>
      <c r="V164" s="15"/>
      <c r="W1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data-nold="120"&gt;&lt;a href="canciones/antonio_alcalde/esta_noche_he_visto_a_dios.html"&gt;Esta noche he visto a Dios&lt;/a&gt;&lt;/li&gt;</v>
      </c>
      <c r="X164" s="15" t="str">
        <f>_xlfn.TEXTBEFORE(_xlfn.TEXTAFTER(CantoralDB[[#This Row],[index.html]],"&gt;"),"&gt;")&amp;"&gt;"</f>
        <v>&lt;a href="canciones/antonio_alcalde/esta_noche_he_visto_a_dios.html"&gt;</v>
      </c>
      <c r="Y164"/>
      <c r="Z164" s="1"/>
      <c r="AA164" s="1"/>
      <c r="AB164" s="1"/>
      <c r="AC164" s="1"/>
    </row>
    <row r="165" spans="1:29" x14ac:dyDescent="0.3">
      <c r="A165" s="1">
        <f>ROW(CantoralDB[[#This Row],[Título]])-1</f>
        <v>164</v>
      </c>
      <c r="B165" s="1" t="s">
        <v>86</v>
      </c>
      <c r="C165" s="1" t="s">
        <v>198</v>
      </c>
      <c r="D165" s="1" t="s">
        <v>1436</v>
      </c>
      <c r="E165" s="1">
        <v>152</v>
      </c>
      <c r="G165" s="1" t="s">
        <v>208</v>
      </c>
      <c r="H165" s="1" t="s">
        <v>1027</v>
      </c>
      <c r="J165" s="1" t="s">
        <v>605</v>
      </c>
      <c r="M165" s="15" t="s">
        <v>485</v>
      </c>
      <c r="O165" s="15"/>
      <c r="P165" s="15"/>
      <c r="Q165" s="15" t="str" cm="1">
        <f t="array" ref="Q1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5" s="15" t="str" cm="1">
        <f t="array" ref="R1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canciones/antonio_alcalde/lo_que_hemos_visto_y_oido.html</v>
      </c>
      <c r="T165" s="1"/>
      <c r="U165" s="1"/>
      <c r="V165" s="32" t="s">
        <v>4938</v>
      </c>
      <c r="W1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data-momento="Despedida" data-nnew="L05" data-nold="152"&gt;&lt;a href="canciones/antonio_alcalde/lo_que_hemos_visto_y_oido.html"&gt;Lo que hemos visto y oído&lt;/a&gt;&lt;/li&gt;</v>
      </c>
      <c r="X165" s="15" t="str">
        <f>_xlfn.TEXTBEFORE(_xlfn.TEXTAFTER(CantoralDB[[#This Row],[index.html]],"&gt;"),"&gt;")&amp;"&gt;"</f>
        <v>&lt;a href="canciones/antonio_alcalde/lo_que_hemos_visto_y_oido.html"&gt;</v>
      </c>
      <c r="Y165"/>
      <c r="Z165" s="1"/>
      <c r="AA165" s="1"/>
      <c r="AB165" s="1"/>
      <c r="AC165" s="1"/>
    </row>
    <row r="166" spans="1:29" x14ac:dyDescent="0.3">
      <c r="A166" s="1">
        <f>ROW(CantoralDB[[#This Row],[Título]])-1</f>
        <v>165</v>
      </c>
      <c r="B166" s="1" t="s">
        <v>1288</v>
      </c>
      <c r="C166" s="1"/>
      <c r="E166" s="1">
        <v>181</v>
      </c>
      <c r="H166" s="1" t="s">
        <v>1027</v>
      </c>
      <c r="J166" s="1" t="s">
        <v>605</v>
      </c>
      <c r="M166" s="15" t="s">
        <v>485</v>
      </c>
      <c r="O166" s="15"/>
      <c r="P166" s="15"/>
      <c r="Q166" s="15" t="str" cm="1">
        <f t="array" ref="Q1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6" s="15" t="str" cm="1">
        <f t="array" ref="R1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canciones/antonio_alcalde/nos_has_llamado_al_desierto.html</v>
      </c>
      <c r="T166" s="1"/>
      <c r="U166" s="1"/>
      <c r="V166" s="32" t="s">
        <v>2959</v>
      </c>
      <c r="W1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data-nold="181"&gt;&lt;a href="canciones/antonio_alcalde/nos_has_llamado_al_desierto.html"&gt;Nos has llamado al desierto&lt;/a&gt;&lt;/li&gt;</v>
      </c>
      <c r="X166" s="15" t="str">
        <f>_xlfn.TEXTBEFORE(_xlfn.TEXTAFTER(CantoralDB[[#This Row],[index.html]],"&gt;"),"&gt;")&amp;"&gt;"</f>
        <v>&lt;a href="canciones/antonio_alcalde/nos_has_llamado_al_desierto.html"&gt;</v>
      </c>
      <c r="Y166"/>
      <c r="Z166" s="1"/>
      <c r="AA166" s="1"/>
      <c r="AB166" s="1"/>
      <c r="AC166" s="1"/>
    </row>
    <row r="167" spans="1:29" x14ac:dyDescent="0.3">
      <c r="A167" s="1">
        <f>ROW(CantoralDB[[#This Row],[Título]])-1</f>
        <v>166</v>
      </c>
      <c r="B167" s="1" t="s">
        <v>246</v>
      </c>
      <c r="C167" s="1" t="s">
        <v>190</v>
      </c>
      <c r="D167" s="1" t="s">
        <v>743</v>
      </c>
      <c r="E167" s="1">
        <v>208</v>
      </c>
      <c r="G167" s="1" t="s">
        <v>247</v>
      </c>
      <c r="H167" s="1" t="s">
        <v>1025</v>
      </c>
      <c r="J167" s="1" t="s">
        <v>605</v>
      </c>
      <c r="M167" s="15" t="s">
        <v>485</v>
      </c>
      <c r="O167" s="15"/>
      <c r="P167" s="15"/>
      <c r="Q167" s="15" t="str" cm="1">
        <f t="array" ref="Q1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7" s="15" t="str" cm="1">
        <f t="array" ref="R1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canciones/antonio_alcalde/peregrinos_de_la_paz_y_la_alegria.html</v>
      </c>
      <c r="T167" s="1"/>
      <c r="U167" s="1"/>
      <c r="V167" s="32" t="s">
        <v>4939</v>
      </c>
      <c r="W1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data-momento="Entrada" data-nnew="A26" data-nold="208"&gt;&lt;a href="canciones/antonio_alcalde/peregrinos_de_la_paz_y_la_alegria.html"&gt;Peregrinos de la paz y la alegría&lt;/a&gt;&lt;/li&gt;</v>
      </c>
      <c r="X167" s="15" t="str">
        <f>_xlfn.TEXTBEFORE(_xlfn.TEXTAFTER(CantoralDB[[#This Row],[index.html]],"&gt;"),"&gt;")&amp;"&gt;"</f>
        <v>&lt;a href="canciones/antonio_alcalde/peregrinos_de_la_paz_y_la_alegria.html"&gt;</v>
      </c>
      <c r="Y167"/>
      <c r="Z167" s="1"/>
      <c r="AA167" s="1"/>
      <c r="AB167" s="1"/>
      <c r="AC167" s="1"/>
    </row>
    <row r="168" spans="1:29" x14ac:dyDescent="0.3">
      <c r="A168" s="1">
        <f>ROW(CantoralDB[[#This Row],[Título]])-1</f>
        <v>167</v>
      </c>
      <c r="B168" s="1" t="s">
        <v>121</v>
      </c>
      <c r="C168" s="1" t="s">
        <v>990</v>
      </c>
      <c r="D168" s="1" t="s">
        <v>993</v>
      </c>
      <c r="E168" s="1">
        <v>217</v>
      </c>
      <c r="G168" s="1" t="s">
        <v>208</v>
      </c>
      <c r="H168" s="1" t="s">
        <v>1024</v>
      </c>
      <c r="J168" s="1" t="s">
        <v>605</v>
      </c>
      <c r="M168" s="15" t="s">
        <v>485</v>
      </c>
      <c r="O168" s="15"/>
      <c r="P168" s="15"/>
      <c r="Q168" s="15" t="str" cm="1">
        <f t="array" ref="Q1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8" s="15" t="str" cm="1">
        <f t="array" ref="R1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canciones/antonio_alcalde/que_tendra_lo_pequeño.html</v>
      </c>
      <c r="T168" s="1"/>
      <c r="U168" s="1"/>
      <c r="V168" s="32" t="s">
        <v>4940</v>
      </c>
      <c r="W1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data-momento="Comunión" data-nnew="K59" data-nold="217"&gt;&lt;a href="canciones/antonio_alcalde/que_tendra_lo_pequeño.html"&gt;Qué tendrá lo pequeño&lt;/a&gt;&lt;/li&gt;</v>
      </c>
      <c r="X168" s="15" t="str">
        <f>_xlfn.TEXTBEFORE(_xlfn.TEXTAFTER(CantoralDB[[#This Row],[index.html]],"&gt;"),"&gt;")&amp;"&gt;"</f>
        <v>&lt;a href="canciones/antonio_alcalde/que_tendra_lo_pequeño.html"&gt;</v>
      </c>
      <c r="Y168"/>
      <c r="Z168" s="1"/>
      <c r="AA168" s="1"/>
      <c r="AB168" s="1"/>
      <c r="AC168" s="1"/>
    </row>
    <row r="169" spans="1:29" x14ac:dyDescent="0.3">
      <c r="A169" s="1">
        <f>ROW(CantoralDB[[#This Row],[Título]])-1</f>
        <v>168</v>
      </c>
      <c r="B169" s="1" t="s">
        <v>1322</v>
      </c>
      <c r="C169" s="1"/>
      <c r="E169" s="1" t="s">
        <v>2095</v>
      </c>
      <c r="H169" s="1" t="s">
        <v>1025</v>
      </c>
      <c r="J169" s="1" t="s">
        <v>605</v>
      </c>
      <c r="M169" s="15" t="s">
        <v>485</v>
      </c>
      <c r="O169" s="15"/>
      <c r="P169" s="15"/>
      <c r="Q169" s="15" t="str" cm="1">
        <f t="array" ref="Q1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69" s="15" t="str" cm="1">
        <f t="array" ref="R1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canciones/antonio_alcalde/señor_dios_nuestro_restauranos.html</v>
      </c>
      <c r="T169" s="1"/>
      <c r="U169" s="1"/>
      <c r="V169" s="15"/>
      <c r="W1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data-nold="246b"&gt;&lt;a href="canciones/antonio_alcalde/señor_dios_nuestro_restauranos.html"&gt;Señor, Dios nuestro, restáuranos&lt;/a&gt;&lt;/li&gt;</v>
      </c>
      <c r="X169" s="15" t="str">
        <f>_xlfn.TEXTBEFORE(_xlfn.TEXTAFTER(CantoralDB[[#This Row],[index.html]],"&gt;"),"&gt;")&amp;"&gt;"</f>
        <v>&lt;a href="canciones/antonio_alcalde/señor_dios_nuestro_restauranos.html"&gt;</v>
      </c>
      <c r="Y169"/>
      <c r="Z169" s="1"/>
      <c r="AA169" s="1"/>
      <c r="AB169" s="1"/>
      <c r="AC169" s="1"/>
    </row>
    <row r="170" spans="1:29" x14ac:dyDescent="0.3">
      <c r="A170" s="1">
        <f>ROW(CantoralDB[[#This Row],[Título]])-1</f>
        <v>169</v>
      </c>
      <c r="B170" s="1" t="s">
        <v>1337</v>
      </c>
      <c r="C170" s="1"/>
      <c r="E170" s="1" t="s">
        <v>2097</v>
      </c>
      <c r="J170" s="1"/>
      <c r="M170" s="15" t="s">
        <v>485</v>
      </c>
      <c r="O170" s="15"/>
      <c r="P170" s="15"/>
      <c r="Q170" s="15" t="str" cm="1">
        <f t="array" ref="Q1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70" s="15" t="str" cm="1">
        <f t="array" ref="R1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canciones/antonio_alcalde/unenos_señor_jesus.html</v>
      </c>
      <c r="T170" s="1"/>
      <c r="U170" s="1"/>
      <c r="V170" s="15"/>
      <c r="W1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data-nold="275b"&gt;&lt;a href="canciones/antonio_alcalde/unenos_señor_jesus.html"&gt;Únenos, Señor Jesús&lt;/a&gt;&lt;/li&gt;</v>
      </c>
      <c r="X170" s="15" t="str">
        <f>_xlfn.TEXTBEFORE(_xlfn.TEXTAFTER(CantoralDB[[#This Row],[index.html]],"&gt;"),"&gt;")&amp;"&gt;"</f>
        <v>&lt;a href="canciones/antonio_alcalde/unenos_señor_jesus.html"&gt;</v>
      </c>
      <c r="Y170"/>
      <c r="Z170" s="1"/>
      <c r="AA170" s="1"/>
      <c r="AB170" s="1"/>
      <c r="AC170" s="1"/>
    </row>
    <row r="171" spans="1:29" x14ac:dyDescent="0.3">
      <c r="A171" s="1">
        <f>ROW(CantoralDB[[#This Row],[Título]])-1</f>
        <v>170</v>
      </c>
      <c r="B171" s="1" t="s">
        <v>1345</v>
      </c>
      <c r="C171" s="1"/>
      <c r="E171" s="1">
        <v>291</v>
      </c>
      <c r="H171" s="1" t="s">
        <v>1027</v>
      </c>
      <c r="J171" s="1" t="s">
        <v>605</v>
      </c>
      <c r="M171" s="15" t="s">
        <v>485</v>
      </c>
      <c r="O171" s="15"/>
      <c r="P171" s="15"/>
      <c r="Q171" s="15" t="str" cm="1">
        <f t="array" ref="Q1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antonio_alcalde</v>
      </c>
      <c r="R171" s="15" t="str" cm="1">
        <f t="array" ref="R1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canciones/antonio_alcalde/ven_señor_a_nuestra_vida.html</v>
      </c>
      <c r="T171" s="1"/>
      <c r="U171" s="1"/>
      <c r="V171" s="32" t="s">
        <v>2960</v>
      </c>
      <c r="W1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data-author="Antonio Alcalde" data-nold="291"&gt;&lt;a href="canciones/antonio_alcalde/ven_señor_a_nuestra_vida.html"&gt;Ven, Señor, a nuestra vida&lt;/a&gt;&lt;/li&gt;</v>
      </c>
      <c r="X171" s="15" t="str">
        <f>_xlfn.TEXTBEFORE(_xlfn.TEXTAFTER(CantoralDB[[#This Row],[index.html]],"&gt;"),"&gt;")&amp;"&gt;"</f>
        <v>&lt;a href="canciones/antonio_alcalde/ven_señor_a_nuestra_vida.html"&gt;</v>
      </c>
      <c r="Y171"/>
      <c r="Z171" s="1"/>
      <c r="AA171" s="1"/>
      <c r="AB171" s="1"/>
      <c r="AC171" s="1"/>
    </row>
    <row r="172" spans="1:29" x14ac:dyDescent="0.3">
      <c r="A172" s="1">
        <f>ROW(CantoralDB[[#This Row],[Título]])-1</f>
        <v>171</v>
      </c>
      <c r="B172" s="1" t="s">
        <v>4778</v>
      </c>
      <c r="C172" s="1"/>
      <c r="H172" s="1" t="s">
        <v>529</v>
      </c>
      <c r="I172" s="1" t="s">
        <v>2947</v>
      </c>
      <c r="J172" s="1" t="s">
        <v>605</v>
      </c>
      <c r="M172" s="15" t="s">
        <v>498</v>
      </c>
      <c r="N172" s="1" t="s">
        <v>4778</v>
      </c>
      <c r="O172" s="15">
        <v>1</v>
      </c>
      <c r="P172" s="15">
        <v>2002</v>
      </c>
      <c r="Q172" s="15" t="str" cm="1">
        <f t="array" ref="Q1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2" s="15" t="str" cm="1">
        <f t="array" ref="R1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canciones/brotes_de_olivo/como_te_podre_pagar.html</v>
      </c>
      <c r="T172" s="1"/>
      <c r="U172" s="1"/>
      <c r="V172" s="32" t="s">
        <v>4799</v>
      </c>
      <c r="W1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href="canciones/brotes_de_olivo/como_te_podre_pagar.html"&gt;Cómo te podré pagar&lt;/a&gt;&lt;/li&gt;</v>
      </c>
      <c r="X172" s="15" t="str">
        <f>_xlfn.TEXTBEFORE(_xlfn.TEXTAFTER(CantoralDB[[#This Row],[index.html]],"&gt;"),"&gt;")&amp;"&gt;"</f>
        <v>&lt;a href="canciones/brotes_de_olivo/como_te_podre_pagar.html"&gt;</v>
      </c>
      <c r="Y172"/>
      <c r="Z172" s="1"/>
      <c r="AA172" s="1"/>
      <c r="AB172" s="1"/>
      <c r="AC172" s="1"/>
    </row>
    <row r="173" spans="1:29" x14ac:dyDescent="0.3">
      <c r="A173" s="1">
        <f>ROW(CantoralDB[[#This Row],[Título]])-1</f>
        <v>172</v>
      </c>
      <c r="B173" s="1" t="s">
        <v>4801</v>
      </c>
      <c r="C173" s="1"/>
      <c r="H173" s="1" t="s">
        <v>1024</v>
      </c>
      <c r="J173" s="1" t="s">
        <v>605</v>
      </c>
      <c r="M173" s="15" t="s">
        <v>498</v>
      </c>
      <c r="N173" s="1" t="s">
        <v>4778</v>
      </c>
      <c r="O173" s="15">
        <v>2</v>
      </c>
      <c r="P173" s="15">
        <v>2002</v>
      </c>
      <c r="Q173" s="15" t="str" cm="1">
        <f t="array" ref="Q1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3" s="15" t="str" cm="1">
        <f t="array" ref="R1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canciones/brotes_de_olivo/ver_con_claridad.html</v>
      </c>
      <c r="T173" s="1"/>
      <c r="U173" s="1"/>
      <c r="V173" s="32" t="s">
        <v>4800</v>
      </c>
      <c r="W1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href="canciones/brotes_de_olivo/ver_con_claridad.html"&gt;Ver con claridad&lt;/a&gt;&lt;/li&gt;</v>
      </c>
      <c r="X173" s="15" t="str">
        <f>_xlfn.TEXTBEFORE(_xlfn.TEXTAFTER(CantoralDB[[#This Row],[index.html]],"&gt;"),"&gt;")&amp;"&gt;"</f>
        <v>&lt;a href="canciones/brotes_de_olivo/ver_con_claridad.html"&gt;</v>
      </c>
      <c r="Y173"/>
      <c r="Z173" s="1"/>
      <c r="AA173" s="1"/>
      <c r="AB173" s="1"/>
      <c r="AC173" s="1"/>
    </row>
    <row r="174" spans="1:29" x14ac:dyDescent="0.3">
      <c r="A174" s="1">
        <f>ROW(CantoralDB[[#This Row],[Título]])-1</f>
        <v>173</v>
      </c>
      <c r="B174" s="1" t="s">
        <v>4779</v>
      </c>
      <c r="C174" s="1"/>
      <c r="H174" s="1" t="s">
        <v>1024</v>
      </c>
      <c r="J174" s="1" t="s">
        <v>605</v>
      </c>
      <c r="M174" s="15" t="s">
        <v>498</v>
      </c>
      <c r="N174" s="1" t="s">
        <v>4778</v>
      </c>
      <c r="O174" s="15">
        <v>3</v>
      </c>
      <c r="P174" s="15">
        <v>2002</v>
      </c>
      <c r="Q174" s="15" t="str" cm="1">
        <f t="array" ref="Q1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4" s="15" t="str" cm="1">
        <f t="array" ref="R1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canciones/brotes_de_olivo/quiero_ser.html</v>
      </c>
      <c r="T174" s="1"/>
      <c r="U174" s="1"/>
      <c r="V174" s="32" t="s">
        <v>4802</v>
      </c>
      <c r="W1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href="canciones/brotes_de_olivo/quiero_ser.html"&gt;Quiero ser&lt;/a&gt;&lt;/li&gt;</v>
      </c>
      <c r="X174" s="15" t="str">
        <f>_xlfn.TEXTBEFORE(_xlfn.TEXTAFTER(CantoralDB[[#This Row],[index.html]],"&gt;"),"&gt;")&amp;"&gt;"</f>
        <v>&lt;a href="canciones/brotes_de_olivo/quiero_ser.html"&gt;</v>
      </c>
      <c r="Y174"/>
      <c r="Z174" s="1"/>
      <c r="AA174" s="1"/>
      <c r="AB174" s="1"/>
      <c r="AC174" s="1"/>
    </row>
    <row r="175" spans="1:29" x14ac:dyDescent="0.3">
      <c r="A175" s="1">
        <f>ROW(CantoralDB[[#This Row],[Título]])-1</f>
        <v>174</v>
      </c>
      <c r="B175" s="1" t="s">
        <v>4780</v>
      </c>
      <c r="C175" s="1"/>
      <c r="H175" s="1" t="s">
        <v>1027</v>
      </c>
      <c r="J175" s="1" t="s">
        <v>605</v>
      </c>
      <c r="M175" s="15" t="s">
        <v>498</v>
      </c>
      <c r="N175" s="1" t="s">
        <v>4778</v>
      </c>
      <c r="O175" s="15">
        <v>4</v>
      </c>
      <c r="P175" s="15">
        <v>2002</v>
      </c>
      <c r="Q175" s="15" t="str" cm="1">
        <f t="array" ref="Q1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5" s="15" t="str" cm="1">
        <f t="array" ref="R1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canciones/brotes_de_olivo/en_el_mismo_barco.html</v>
      </c>
      <c r="T175" s="1"/>
      <c r="U175" s="1"/>
      <c r="V175" s="32" t="s">
        <v>4803</v>
      </c>
      <c r="W1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href="canciones/brotes_de_olivo/en_el_mismo_barco.html"&gt;En el mismo barco&lt;/a&gt;&lt;/li&gt;</v>
      </c>
      <c r="X175" s="15" t="str">
        <f>_xlfn.TEXTBEFORE(_xlfn.TEXTAFTER(CantoralDB[[#This Row],[index.html]],"&gt;"),"&gt;")&amp;"&gt;"</f>
        <v>&lt;a href="canciones/brotes_de_olivo/en_el_mismo_barco.html"&gt;</v>
      </c>
      <c r="Y175"/>
      <c r="Z175" s="1"/>
      <c r="AA175" s="1"/>
      <c r="AB175" s="1"/>
      <c r="AC175" s="1"/>
    </row>
    <row r="176" spans="1:29" x14ac:dyDescent="0.3">
      <c r="A176" s="1">
        <f>ROW(CantoralDB[[#This Row],[Título]])-1</f>
        <v>175</v>
      </c>
      <c r="B176" s="1" t="s">
        <v>640</v>
      </c>
      <c r="C176" s="1" t="s">
        <v>200</v>
      </c>
      <c r="D176" s="1" t="s">
        <v>660</v>
      </c>
      <c r="G176" s="1" t="s">
        <v>641</v>
      </c>
      <c r="H176" s="1" t="s">
        <v>529</v>
      </c>
      <c r="I176" s="1" t="s">
        <v>2947</v>
      </c>
      <c r="J176" s="1" t="s">
        <v>605</v>
      </c>
      <c r="M176" s="15" t="s">
        <v>498</v>
      </c>
      <c r="N176" s="1" t="s">
        <v>4778</v>
      </c>
      <c r="O176" s="15">
        <v>5</v>
      </c>
      <c r="P176" s="15">
        <v>2002</v>
      </c>
      <c r="Q176" s="15" t="str" cm="1">
        <f t="array" ref="Q1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6" s="15" t="str" cm="1">
        <f t="array" ref="R1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canciones/brotes_de_olivo/nada_has_pensado.html</v>
      </c>
      <c r="T176" s="1" t="s">
        <v>842</v>
      </c>
      <c r="U176" s="1"/>
      <c r="V176" s="32" t="s">
        <v>4379</v>
      </c>
      <c r="W1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data-momento="Antífonas" data-nnew="D25"&gt;&lt;a href="canciones/brotes_de_olivo/nada_has_pensado.html"&gt;Nada has pensado&lt;/a&gt;&lt;/li&gt;</v>
      </c>
      <c r="X176" s="15" t="str">
        <f>_xlfn.TEXTBEFORE(_xlfn.TEXTAFTER(CantoralDB[[#This Row],[index.html]],"&gt;"),"&gt;")&amp;"&gt;"</f>
        <v>&lt;a href="canciones/brotes_de_olivo/nada_has_pensado.html"&gt;</v>
      </c>
      <c r="Y176"/>
      <c r="Z176" s="1"/>
      <c r="AA176" s="1"/>
      <c r="AB176" s="1"/>
      <c r="AC176" s="1"/>
    </row>
    <row r="177" spans="1:29" x14ac:dyDescent="0.3">
      <c r="A177" s="1">
        <f>ROW(CantoralDB[[#This Row],[Título]])-1</f>
        <v>176</v>
      </c>
      <c r="B177" s="1" t="s">
        <v>4781</v>
      </c>
      <c r="C177" s="1"/>
      <c r="H177" s="1" t="s">
        <v>1027</v>
      </c>
      <c r="J177" s="1" t="s">
        <v>605</v>
      </c>
      <c r="M177" s="15" t="s">
        <v>498</v>
      </c>
      <c r="N177" s="1" t="s">
        <v>4778</v>
      </c>
      <c r="O177" s="15">
        <v>6</v>
      </c>
      <c r="P177" s="15">
        <v>2002</v>
      </c>
      <c r="Q177" s="15" t="str" cm="1">
        <f t="array" ref="Q1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7" s="15" t="str" cm="1">
        <f t="array" ref="R1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canciones/brotes_de_olivo/sea.html</v>
      </c>
      <c r="T177" s="1"/>
      <c r="U177" s="1"/>
      <c r="V177" s="32" t="s">
        <v>4804</v>
      </c>
      <c r="W1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href="canciones/brotes_de_olivo/sea.html"&gt;Sea&lt;/a&gt;&lt;/li&gt;</v>
      </c>
      <c r="X177" s="15" t="str">
        <f>_xlfn.TEXTBEFORE(_xlfn.TEXTAFTER(CantoralDB[[#This Row],[index.html]],"&gt;"),"&gt;")&amp;"&gt;"</f>
        <v>&lt;a href="canciones/brotes_de_olivo/sea.html"&gt;</v>
      </c>
      <c r="Y177"/>
      <c r="Z177" s="1"/>
      <c r="AA177" s="1"/>
      <c r="AB177" s="1"/>
      <c r="AC177" s="1"/>
    </row>
    <row r="178" spans="1:29" x14ac:dyDescent="0.3">
      <c r="A178" s="1">
        <f>ROW(CantoralDB[[#This Row],[Título]])-1</f>
        <v>177</v>
      </c>
      <c r="B178" s="1" t="s">
        <v>4782</v>
      </c>
      <c r="C178" s="1"/>
      <c r="H178" s="1" t="s">
        <v>529</v>
      </c>
      <c r="J178" s="1" t="s">
        <v>605</v>
      </c>
      <c r="M178" s="15" t="s">
        <v>498</v>
      </c>
      <c r="N178" s="1" t="s">
        <v>4778</v>
      </c>
      <c r="O178" s="15">
        <v>7</v>
      </c>
      <c r="P178" s="15">
        <v>2002</v>
      </c>
      <c r="Q178" s="15" t="str" cm="1">
        <f t="array" ref="Q1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8" s="15" t="str" cm="1">
        <f t="array" ref="R1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canciones/brotes_de_olivo/causa_de_tu_providencia.html</v>
      </c>
      <c r="T178" s="1"/>
      <c r="U178" s="1"/>
      <c r="V178" s="32" t="s">
        <v>4805</v>
      </c>
      <c r="W1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href="canciones/brotes_de_olivo/causa_de_tu_providencia.html"&gt;Causa de tu providencia&lt;/a&gt;&lt;/li&gt;</v>
      </c>
      <c r="X178" s="15" t="str">
        <f>_xlfn.TEXTBEFORE(_xlfn.TEXTAFTER(CantoralDB[[#This Row],[index.html]],"&gt;"),"&gt;")&amp;"&gt;"</f>
        <v>&lt;a href="canciones/brotes_de_olivo/causa_de_tu_providencia.html"&gt;</v>
      </c>
      <c r="Y178"/>
      <c r="Z178" s="1"/>
      <c r="AA178" s="1"/>
      <c r="AB178" s="1"/>
      <c r="AC178" s="1"/>
    </row>
    <row r="179" spans="1:29" x14ac:dyDescent="0.3">
      <c r="A179" s="1">
        <f>ROW(CantoralDB[[#This Row],[Título]])-1</f>
        <v>178</v>
      </c>
      <c r="B179" s="1" t="s">
        <v>59</v>
      </c>
      <c r="C179" s="1" t="s">
        <v>200</v>
      </c>
      <c r="D179" s="1" t="s">
        <v>651</v>
      </c>
      <c r="E179" s="1">
        <v>423</v>
      </c>
      <c r="G179" s="1" t="s">
        <v>208</v>
      </c>
      <c r="H179" s="1" t="s">
        <v>1024</v>
      </c>
      <c r="J179" s="1" t="s">
        <v>605</v>
      </c>
      <c r="M179" s="15" t="s">
        <v>498</v>
      </c>
      <c r="N179" s="1" t="s">
        <v>4778</v>
      </c>
      <c r="O179" s="15">
        <v>8</v>
      </c>
      <c r="P179" s="15">
        <v>2002</v>
      </c>
      <c r="Q179" s="15" t="str" cm="1">
        <f t="array" ref="Q1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79" s="15" t="str" cm="1">
        <f t="array" ref="R1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canciones/brotes_de_olivo/en_mi_debilidad.html</v>
      </c>
      <c r="T179" s="1" t="s">
        <v>827</v>
      </c>
      <c r="U179" s="1"/>
      <c r="V179" s="32" t="s">
        <v>4375</v>
      </c>
      <c r="W1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data-momento="Antífonas" data-nnew="D16" data-nold="423"&gt;&lt;a href="canciones/brotes_de_olivo/en_mi_debilidad.html"&gt;En mi debilidad&lt;/a&gt;&lt;/li&gt;</v>
      </c>
      <c r="X179" s="15" t="str">
        <f>_xlfn.TEXTBEFORE(_xlfn.TEXTAFTER(CantoralDB[[#This Row],[index.html]],"&gt;"),"&gt;")&amp;"&gt;"</f>
        <v>&lt;a href="canciones/brotes_de_olivo/en_mi_debilidad.html"&gt;</v>
      </c>
      <c r="Y179"/>
      <c r="Z179" s="1"/>
      <c r="AA179" s="1"/>
      <c r="AB179" s="1"/>
      <c r="AC179" s="1"/>
    </row>
    <row r="180" spans="1:29" x14ac:dyDescent="0.3">
      <c r="A180" s="1">
        <f>ROW(CantoralDB[[#This Row],[Título]])-1</f>
        <v>179</v>
      </c>
      <c r="B180" s="1" t="s">
        <v>4783</v>
      </c>
      <c r="C180" s="1"/>
      <c r="H180" s="1" t="s">
        <v>1027</v>
      </c>
      <c r="J180" s="1" t="s">
        <v>605</v>
      </c>
      <c r="M180" s="15" t="s">
        <v>498</v>
      </c>
      <c r="N180" s="1" t="s">
        <v>4778</v>
      </c>
      <c r="O180" s="15">
        <v>9</v>
      </c>
      <c r="P180" s="15">
        <v>2002</v>
      </c>
      <c r="Q180" s="15" t="str" cm="1">
        <f t="array" ref="Q1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0" s="15" t="str" cm="1">
        <f t="array" ref="R1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canciones/brotes_de_olivo/no_se_hablan.html</v>
      </c>
      <c r="T180" s="1"/>
      <c r="U180" s="1"/>
      <c r="V180" s="32" t="s">
        <v>4806</v>
      </c>
      <c r="W1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href="canciones/brotes_de_olivo/no_se_hablan.html"&gt;No se hablan&lt;/a&gt;&lt;/li&gt;</v>
      </c>
      <c r="X180" s="15" t="str">
        <f>_xlfn.TEXTBEFORE(_xlfn.TEXTAFTER(CantoralDB[[#This Row],[index.html]],"&gt;"),"&gt;")&amp;"&gt;"</f>
        <v>&lt;a href="canciones/brotes_de_olivo/no_se_hablan.html"&gt;</v>
      </c>
      <c r="Y180"/>
      <c r="Z180" s="1"/>
      <c r="AA180" s="1"/>
      <c r="AB180" s="1"/>
      <c r="AC180" s="1"/>
    </row>
    <row r="181" spans="1:29" x14ac:dyDescent="0.3">
      <c r="A181" s="1">
        <f>ROW(CantoralDB[[#This Row],[Título]])-1</f>
        <v>180</v>
      </c>
      <c r="B181" s="1" t="s">
        <v>4784</v>
      </c>
      <c r="C181" s="1"/>
      <c r="H181" s="1" t="s">
        <v>1027</v>
      </c>
      <c r="J181" s="1" t="s">
        <v>605</v>
      </c>
      <c r="M181" s="15" t="s">
        <v>498</v>
      </c>
      <c r="N181" s="1" t="s">
        <v>4778</v>
      </c>
      <c r="O181" s="15">
        <v>10</v>
      </c>
      <c r="P181" s="15">
        <v>2002</v>
      </c>
      <c r="Q181" s="15" t="str" cm="1">
        <f t="array" ref="Q1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1" s="15" t="str" cm="1">
        <f t="array" ref="R1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canciones/brotes_de_olivo/liberame.html</v>
      </c>
      <c r="T181" s="1"/>
      <c r="U181" s="1"/>
      <c r="V181" s="32" t="s">
        <v>4807</v>
      </c>
      <c r="W1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href="canciones/brotes_de_olivo/liberame.html"&gt;Libérame&lt;/a&gt;&lt;/li&gt;</v>
      </c>
      <c r="X181" s="15" t="str">
        <f>_xlfn.TEXTBEFORE(_xlfn.TEXTAFTER(CantoralDB[[#This Row],[index.html]],"&gt;"),"&gt;")&amp;"&gt;"</f>
        <v>&lt;a href="canciones/brotes_de_olivo/liberame.html"&gt;</v>
      </c>
      <c r="Y181"/>
      <c r="Z181" s="1"/>
      <c r="AA181" s="1"/>
      <c r="AB181" s="1"/>
      <c r="AC181" s="1"/>
    </row>
    <row r="182" spans="1:29" x14ac:dyDescent="0.3">
      <c r="A182" s="1">
        <f>ROW(CantoralDB[[#This Row],[Título]])-1</f>
        <v>181</v>
      </c>
      <c r="B182" s="1" t="s">
        <v>4785</v>
      </c>
      <c r="C182" s="1"/>
      <c r="H182" s="1" t="s">
        <v>529</v>
      </c>
      <c r="J182" s="1" t="s">
        <v>605</v>
      </c>
      <c r="M182" s="15" t="s">
        <v>498</v>
      </c>
      <c r="N182" s="1" t="s">
        <v>4778</v>
      </c>
      <c r="O182" s="15">
        <v>11</v>
      </c>
      <c r="P182" s="15">
        <v>2002</v>
      </c>
      <c r="Q182" s="15" t="str" cm="1">
        <f t="array" ref="Q1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2" s="15" t="str" cm="1">
        <f t="array" ref="R1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canciones/brotes_de_olivo/si_no_tengo_amor.html</v>
      </c>
      <c r="T182" s="1"/>
      <c r="U182" s="1"/>
      <c r="V182" s="32" t="s">
        <v>4808</v>
      </c>
      <c r="W1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href="canciones/brotes_de_olivo/si_no_tengo_amor.html"&gt;Si no tengo amor&lt;/a&gt;&lt;/li&gt;</v>
      </c>
      <c r="X182" s="15" t="str">
        <f>_xlfn.TEXTBEFORE(_xlfn.TEXTAFTER(CantoralDB[[#This Row],[index.html]],"&gt;"),"&gt;")&amp;"&gt;"</f>
        <v>&lt;a href="canciones/brotes_de_olivo/si_no_tengo_amor.html"&gt;</v>
      </c>
      <c r="Y182"/>
      <c r="Z182" s="1"/>
      <c r="AA182" s="1"/>
      <c r="AB182" s="1"/>
      <c r="AC182" s="1"/>
    </row>
    <row r="183" spans="1:29" x14ac:dyDescent="0.3">
      <c r="A183" s="1">
        <f>ROW(CantoralDB[[#This Row],[Título]])-1</f>
        <v>182</v>
      </c>
      <c r="B183" s="1" t="s">
        <v>4786</v>
      </c>
      <c r="C183" s="1"/>
      <c r="H183" s="1" t="s">
        <v>1027</v>
      </c>
      <c r="J183" s="1" t="s">
        <v>605</v>
      </c>
      <c r="M183" s="15" t="s">
        <v>498</v>
      </c>
      <c r="N183" s="1" t="s">
        <v>4778</v>
      </c>
      <c r="O183" s="15">
        <v>12</v>
      </c>
      <c r="P183" s="15">
        <v>2002</v>
      </c>
      <c r="Q183" s="15" t="str" cm="1">
        <f t="array" ref="Q1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3" s="15" t="str" cm="1">
        <f t="array" ref="R1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canciones/brotes_de_olivo/vejados_y_abatidos.html</v>
      </c>
      <c r="T183" s="1"/>
      <c r="U183" s="1"/>
      <c r="V183" s="32" t="s">
        <v>4809</v>
      </c>
      <c r="W1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href="canciones/brotes_de_olivo/vejados_y_abatidos.html"&gt;Vejados y abatidos&lt;/a&gt;&lt;/li&gt;</v>
      </c>
      <c r="X183" s="15" t="str">
        <f>_xlfn.TEXTBEFORE(_xlfn.TEXTAFTER(CantoralDB[[#This Row],[index.html]],"&gt;"),"&gt;")&amp;"&gt;"</f>
        <v>&lt;a href="canciones/brotes_de_olivo/vejados_y_abatidos.html"&gt;</v>
      </c>
      <c r="Y183"/>
      <c r="Z183" s="1"/>
      <c r="AA183" s="1"/>
      <c r="AB183" s="1"/>
      <c r="AC183" s="1"/>
    </row>
    <row r="184" spans="1:29" x14ac:dyDescent="0.3">
      <c r="A184" s="1">
        <f>ROW(CantoralDB[[#This Row],[Título]])-1</f>
        <v>183</v>
      </c>
      <c r="B184" s="1" t="s">
        <v>4787</v>
      </c>
      <c r="C184" s="1"/>
      <c r="H184" s="1" t="s">
        <v>1024</v>
      </c>
      <c r="J184" s="1" t="s">
        <v>605</v>
      </c>
      <c r="M184" s="15" t="s">
        <v>498</v>
      </c>
      <c r="N184" s="1" t="s">
        <v>4778</v>
      </c>
      <c r="O184" s="15">
        <v>13</v>
      </c>
      <c r="P184" s="15">
        <v>2002</v>
      </c>
      <c r="Q184" s="15" t="str" cm="1">
        <f t="array" ref="Q1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4" s="15" t="str" cm="1">
        <f t="array" ref="R1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canciones/brotes_de_olivo/cuanto_dura_el_amor.html</v>
      </c>
      <c r="T184" s="1"/>
      <c r="U184" s="1"/>
      <c r="V184" s="32" t="s">
        <v>4810</v>
      </c>
      <c r="W1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href="canciones/brotes_de_olivo/cuanto_dura_el_amor.html"&gt;Cuánto dura el amor&lt;/a&gt;&lt;/li&gt;</v>
      </c>
      <c r="X184" s="15" t="str">
        <f>_xlfn.TEXTBEFORE(_xlfn.TEXTAFTER(CantoralDB[[#This Row],[index.html]],"&gt;"),"&gt;")&amp;"&gt;"</f>
        <v>&lt;a href="canciones/brotes_de_olivo/cuanto_dura_el_amor.html"&gt;</v>
      </c>
      <c r="Y184"/>
      <c r="Z184" s="1"/>
      <c r="AA184" s="1"/>
      <c r="AB184" s="1"/>
      <c r="AC184" s="1"/>
    </row>
    <row r="185" spans="1:29" x14ac:dyDescent="0.3">
      <c r="A185" s="1">
        <f>ROW(CantoralDB[[#This Row],[Título]])-1</f>
        <v>184</v>
      </c>
      <c r="B185" s="1" t="s">
        <v>4788</v>
      </c>
      <c r="C185" s="1"/>
      <c r="H185" s="1" t="s">
        <v>529</v>
      </c>
      <c r="J185" s="1" t="s">
        <v>605</v>
      </c>
      <c r="M185" s="15" t="s">
        <v>498</v>
      </c>
      <c r="N185" s="1" t="s">
        <v>4778</v>
      </c>
      <c r="O185" s="15">
        <v>14</v>
      </c>
      <c r="P185" s="15">
        <v>2002</v>
      </c>
      <c r="Q185" s="15" t="str" cm="1">
        <f t="array" ref="Q1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5" s="15" t="str" cm="1">
        <f t="array" ref="R1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canciones/brotes_de_olivo/tu_mi_pilar.html</v>
      </c>
      <c r="T185" s="1"/>
      <c r="U185" s="1"/>
      <c r="V185" s="32" t="s">
        <v>4811</v>
      </c>
      <c r="W1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href="canciones/brotes_de_olivo/tu_mi_pilar.html"&gt;Tú, mi pilar&lt;/a&gt;&lt;/li&gt;</v>
      </c>
      <c r="X185" s="15" t="str">
        <f>_xlfn.TEXTBEFORE(_xlfn.TEXTAFTER(CantoralDB[[#This Row],[index.html]],"&gt;"),"&gt;")&amp;"&gt;"</f>
        <v>&lt;a href="canciones/brotes_de_olivo/tu_mi_pilar.html"&gt;</v>
      </c>
      <c r="Y185"/>
      <c r="Z185" s="1"/>
      <c r="AA185" s="1"/>
      <c r="AB185" s="1"/>
      <c r="AC185" s="1"/>
    </row>
    <row r="186" spans="1:29" x14ac:dyDescent="0.3">
      <c r="A186" s="1">
        <f>ROW(CantoralDB[[#This Row],[Título]])-1</f>
        <v>185</v>
      </c>
      <c r="B186" s="1" t="s">
        <v>4789</v>
      </c>
      <c r="C186" s="1"/>
      <c r="H186" s="1" t="s">
        <v>1027</v>
      </c>
      <c r="J186" s="1" t="s">
        <v>605</v>
      </c>
      <c r="M186" s="15" t="s">
        <v>498</v>
      </c>
      <c r="N186" s="1" t="s">
        <v>4778</v>
      </c>
      <c r="O186" s="15">
        <v>15</v>
      </c>
      <c r="P186" s="15">
        <v>2002</v>
      </c>
      <c r="Q186" s="15" t="str" cm="1">
        <f t="array" ref="Q1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6" s="15" t="str" cm="1">
        <f t="array" ref="R1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canciones/brotes_de_olivo/que_mas_quieres.html</v>
      </c>
      <c r="T186" s="1"/>
      <c r="U186" s="1"/>
      <c r="V186" s="32" t="s">
        <v>4812</v>
      </c>
      <c r="W1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href="canciones/brotes_de_olivo/que_mas_quieres.html"&gt;Qué mas quieres&lt;/a&gt;&lt;/li&gt;</v>
      </c>
      <c r="X186" s="15" t="str">
        <f>_xlfn.TEXTBEFORE(_xlfn.TEXTAFTER(CantoralDB[[#This Row],[index.html]],"&gt;"),"&gt;")&amp;"&gt;"</f>
        <v>&lt;a href="canciones/brotes_de_olivo/que_mas_quieres.html"&gt;</v>
      </c>
      <c r="Y186"/>
      <c r="Z186" s="1"/>
      <c r="AA186" s="1"/>
      <c r="AB186" s="1"/>
      <c r="AC186" s="1"/>
    </row>
    <row r="187" spans="1:29" x14ac:dyDescent="0.3">
      <c r="A187" s="1">
        <f>ROW(CantoralDB[[#This Row],[Título]])-1</f>
        <v>186</v>
      </c>
      <c r="B187" s="1" t="s">
        <v>4790</v>
      </c>
      <c r="C187" s="1"/>
      <c r="H187" s="1" t="s">
        <v>529</v>
      </c>
      <c r="J187" s="1" t="s">
        <v>605</v>
      </c>
      <c r="M187" s="15" t="s">
        <v>498</v>
      </c>
      <c r="N187" s="1" t="s">
        <v>4778</v>
      </c>
      <c r="O187" s="15">
        <v>16</v>
      </c>
      <c r="P187" s="15">
        <v>2002</v>
      </c>
      <c r="Q187" s="15" t="str" cm="1">
        <f t="array" ref="Q1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7" s="15" t="str" cm="1">
        <f t="array" ref="R1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canciones/brotes_de_olivo/cincuenta.html</v>
      </c>
      <c r="T187" s="1"/>
      <c r="U187" s="1"/>
      <c r="V187" s="32" t="s">
        <v>4813</v>
      </c>
      <c r="W1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href="canciones/brotes_de_olivo/cincuenta.html"&gt;Cincuenta&lt;/a&gt;&lt;/li&gt;</v>
      </c>
      <c r="X187" s="15" t="str">
        <f>_xlfn.TEXTBEFORE(_xlfn.TEXTAFTER(CantoralDB[[#This Row],[index.html]],"&gt;"),"&gt;")&amp;"&gt;"</f>
        <v>&lt;a href="canciones/brotes_de_olivo/cincuenta.html"&gt;</v>
      </c>
      <c r="Y187"/>
      <c r="Z187" s="1"/>
      <c r="AA187" s="1"/>
      <c r="AB187" s="1"/>
      <c r="AC187" s="1"/>
    </row>
    <row r="188" spans="1:29" x14ac:dyDescent="0.3">
      <c r="A188" s="1">
        <f>ROW(CantoralDB[[#This Row],[Título]])-1</f>
        <v>187</v>
      </c>
      <c r="B188" s="1" t="s">
        <v>4791</v>
      </c>
      <c r="C188" s="1"/>
      <c r="H188" s="1" t="s">
        <v>529</v>
      </c>
      <c r="J188" s="1" t="s">
        <v>605</v>
      </c>
      <c r="M188" s="15" t="s">
        <v>498</v>
      </c>
      <c r="N188" s="1" t="s">
        <v>4778</v>
      </c>
      <c r="O188" s="15">
        <v>17</v>
      </c>
      <c r="P188" s="15">
        <v>2002</v>
      </c>
      <c r="Q188" s="15" t="str" cm="1">
        <f t="array" ref="Q1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8" s="15" t="str" cm="1">
        <f t="array" ref="R1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canciones/brotes_de_olivo/padre_y_madre.html</v>
      </c>
      <c r="T188" s="1"/>
      <c r="U188" s="1"/>
      <c r="V188" s="32" t="s">
        <v>4814</v>
      </c>
      <c r="W1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href="canciones/brotes_de_olivo/padre_y_madre.html"&gt;Padre y madre&lt;/a&gt;&lt;/li&gt;</v>
      </c>
      <c r="X188" s="15" t="str">
        <f>_xlfn.TEXTBEFORE(_xlfn.TEXTAFTER(CantoralDB[[#This Row],[index.html]],"&gt;"),"&gt;")&amp;"&gt;"</f>
        <v>&lt;a href="canciones/brotes_de_olivo/padre_y_madre.html"&gt;</v>
      </c>
      <c r="Y188"/>
      <c r="Z188" s="1"/>
      <c r="AA188" s="1"/>
      <c r="AB188" s="1"/>
      <c r="AC188" s="1"/>
    </row>
    <row r="189" spans="1:29" x14ac:dyDescent="0.3">
      <c r="A189" s="1">
        <f>ROW(CantoralDB[[#This Row],[Título]])-1</f>
        <v>188</v>
      </c>
      <c r="B189" s="1" t="s">
        <v>4792</v>
      </c>
      <c r="C189" s="1"/>
      <c r="H189" s="1" t="s">
        <v>1027</v>
      </c>
      <c r="J189" s="1" t="s">
        <v>605</v>
      </c>
      <c r="M189" s="15" t="s">
        <v>498</v>
      </c>
      <c r="N189" s="1" t="s">
        <v>4778</v>
      </c>
      <c r="O189" s="15">
        <v>18</v>
      </c>
      <c r="P189" s="15">
        <v>2002</v>
      </c>
      <c r="Q189" s="15" t="str" cm="1">
        <f t="array" ref="Q1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89" s="15" t="str" cm="1">
        <f t="array" ref="R1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canciones/brotes_de_olivo/se_fiel.html</v>
      </c>
      <c r="T189" s="1"/>
      <c r="U189" s="1"/>
      <c r="V189" s="32" t="s">
        <v>4815</v>
      </c>
      <c r="W1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href="canciones/brotes_de_olivo/se_fiel.html"&gt;Sé fiel&lt;/a&gt;&lt;/li&gt;</v>
      </c>
      <c r="X189" s="15" t="str">
        <f>_xlfn.TEXTBEFORE(_xlfn.TEXTAFTER(CantoralDB[[#This Row],[index.html]],"&gt;"),"&gt;")&amp;"&gt;"</f>
        <v>&lt;a href="canciones/brotes_de_olivo/se_fiel.html"&gt;</v>
      </c>
      <c r="Y189"/>
      <c r="Z189" s="1"/>
      <c r="AA189" s="1"/>
      <c r="AB189" s="1"/>
      <c r="AC189" s="1"/>
    </row>
    <row r="190" spans="1:29" x14ac:dyDescent="0.3">
      <c r="A190" s="1">
        <f>ROW(CantoralDB[[#This Row],[Título]])-1</f>
        <v>189</v>
      </c>
      <c r="B190" s="1" t="s">
        <v>4793</v>
      </c>
      <c r="C190" s="1"/>
      <c r="H190" s="1" t="s">
        <v>529</v>
      </c>
      <c r="J190" s="1" t="s">
        <v>605</v>
      </c>
      <c r="M190" s="15" t="s">
        <v>498</v>
      </c>
      <c r="N190" s="1" t="s">
        <v>4778</v>
      </c>
      <c r="O190" s="15">
        <v>19</v>
      </c>
      <c r="P190" s="15">
        <v>2002</v>
      </c>
      <c r="Q190" s="15" t="str" cm="1">
        <f t="array" ref="Q1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0" s="15" t="str" cm="1">
        <f t="array" ref="R1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canciones/brotes_de_olivo/donde_tu_quieras.html</v>
      </c>
      <c r="T190" s="1"/>
      <c r="U190" s="1"/>
      <c r="V190" s="32" t="s">
        <v>4816</v>
      </c>
      <c r="W1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href="canciones/brotes_de_olivo/donde_tu_quieras.html"&gt;Donde tú quieras&lt;/a&gt;&lt;/li&gt;</v>
      </c>
      <c r="X190" s="15" t="str">
        <f>_xlfn.TEXTBEFORE(_xlfn.TEXTAFTER(CantoralDB[[#This Row],[index.html]],"&gt;"),"&gt;")&amp;"&gt;"</f>
        <v>&lt;a href="canciones/brotes_de_olivo/donde_tu_quieras.html"&gt;</v>
      </c>
      <c r="Y190"/>
      <c r="Z190" s="1"/>
      <c r="AA190" s="1"/>
      <c r="AB190" s="1"/>
      <c r="AC190" s="1"/>
    </row>
    <row r="191" spans="1:29" x14ac:dyDescent="0.3">
      <c r="A191" s="1">
        <f>ROW(CantoralDB[[#This Row],[Título]])-1</f>
        <v>190</v>
      </c>
      <c r="B191" s="1" t="s">
        <v>4794</v>
      </c>
      <c r="C191" s="1"/>
      <c r="H191" s="1" t="s">
        <v>1027</v>
      </c>
      <c r="J191" s="1" t="s">
        <v>605</v>
      </c>
      <c r="M191" s="15" t="s">
        <v>498</v>
      </c>
      <c r="N191" s="1" t="s">
        <v>4778</v>
      </c>
      <c r="O191" s="15">
        <v>20</v>
      </c>
      <c r="P191" s="15">
        <v>2002</v>
      </c>
      <c r="Q191" s="15" t="str" cm="1">
        <f t="array" ref="Q1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1" s="15" t="str" cm="1">
        <f t="array" ref="R1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canciones/brotes_de_olivo/renacer_en_libertad.html</v>
      </c>
      <c r="T191" s="1"/>
      <c r="U191" s="1"/>
      <c r="V191" s="32" t="s">
        <v>4817</v>
      </c>
      <c r="W1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href="canciones/brotes_de_olivo/renacer_en_libertad.html"&gt;Renacer en libertad&lt;/a&gt;&lt;/li&gt;</v>
      </c>
      <c r="X191" s="15" t="str">
        <f>_xlfn.TEXTBEFORE(_xlfn.TEXTAFTER(CantoralDB[[#This Row],[index.html]],"&gt;"),"&gt;")&amp;"&gt;"</f>
        <v>&lt;a href="canciones/brotes_de_olivo/renacer_en_libertad.html"&gt;</v>
      </c>
      <c r="Y191"/>
      <c r="Z191" s="1"/>
      <c r="AA191" s="1"/>
      <c r="AB191" s="1"/>
      <c r="AC191" s="1"/>
    </row>
    <row r="192" spans="1:29" x14ac:dyDescent="0.3">
      <c r="A192" s="1">
        <f>ROW(CantoralDB[[#This Row],[Título]])-1</f>
        <v>191</v>
      </c>
      <c r="B192" s="1" t="s">
        <v>4795</v>
      </c>
      <c r="C192" s="1"/>
      <c r="H192" s="1" t="s">
        <v>529</v>
      </c>
      <c r="J192" s="1" t="s">
        <v>605</v>
      </c>
      <c r="M192" s="15" t="s">
        <v>498</v>
      </c>
      <c r="N192" s="1" t="s">
        <v>4778</v>
      </c>
      <c r="O192" s="15">
        <v>21</v>
      </c>
      <c r="P192" s="15">
        <v>2002</v>
      </c>
      <c r="Q192" s="15" t="str" cm="1">
        <f t="array" ref="Q1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2" s="15" t="str" cm="1">
        <f t="array" ref="R1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canciones/brotes_de_olivo/quien_puede_amar.html</v>
      </c>
      <c r="T192" s="1"/>
      <c r="U192" s="1"/>
      <c r="V192" s="32" t="s">
        <v>4818</v>
      </c>
      <c r="W1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href="canciones/brotes_de_olivo/quien_puede_amar.html"&gt;Quién puede amar&lt;/a&gt;&lt;/li&gt;</v>
      </c>
      <c r="X192" s="15" t="str">
        <f>_xlfn.TEXTBEFORE(_xlfn.TEXTAFTER(CantoralDB[[#This Row],[index.html]],"&gt;"),"&gt;")&amp;"&gt;"</f>
        <v>&lt;a href="canciones/brotes_de_olivo/quien_puede_amar.html"&gt;</v>
      </c>
      <c r="Y192"/>
      <c r="Z192" s="1"/>
      <c r="AA192" s="1"/>
      <c r="AB192" s="1"/>
      <c r="AC192" s="1"/>
    </row>
    <row r="193" spans="1:29" x14ac:dyDescent="0.3">
      <c r="A193" s="1">
        <f>ROW(CantoralDB[[#This Row],[Título]])-1</f>
        <v>192</v>
      </c>
      <c r="B193" s="1" t="s">
        <v>4796</v>
      </c>
      <c r="C193" s="1"/>
      <c r="H193" s="1" t="s">
        <v>1027</v>
      </c>
      <c r="J193" s="1" t="s">
        <v>605</v>
      </c>
      <c r="M193" s="15" t="s">
        <v>498</v>
      </c>
      <c r="N193" s="1" t="s">
        <v>4778</v>
      </c>
      <c r="O193" s="15">
        <v>22</v>
      </c>
      <c r="P193" s="15">
        <v>2002</v>
      </c>
      <c r="Q193" s="15" t="str" cm="1">
        <f t="array" ref="Q1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3" s="15" t="str" cm="1">
        <f t="array" ref="R1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canciones/brotes_de_olivo/y_alli_estas_tu.html</v>
      </c>
      <c r="T193" s="1"/>
      <c r="U193" s="1"/>
      <c r="V193" s="32" t="s">
        <v>4819</v>
      </c>
      <c r="W1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href="canciones/brotes_de_olivo/y_alli_estas_tu.html"&gt;Y allí estás tú&lt;/a&gt;&lt;/li&gt;</v>
      </c>
      <c r="X193" s="15" t="str">
        <f>_xlfn.TEXTBEFORE(_xlfn.TEXTAFTER(CantoralDB[[#This Row],[index.html]],"&gt;"),"&gt;")&amp;"&gt;"</f>
        <v>&lt;a href="canciones/brotes_de_olivo/y_alli_estas_tu.html"&gt;</v>
      </c>
      <c r="Y193"/>
      <c r="Z193" s="1"/>
      <c r="AA193" s="1"/>
      <c r="AB193" s="1"/>
      <c r="AC193" s="1"/>
    </row>
    <row r="194" spans="1:29" x14ac:dyDescent="0.3">
      <c r="A194" s="1">
        <f>ROW(CantoralDB[[#This Row],[Título]])-1</f>
        <v>193</v>
      </c>
      <c r="B194" s="1" t="s">
        <v>4797</v>
      </c>
      <c r="C194" s="1"/>
      <c r="H194" s="1" t="s">
        <v>1027</v>
      </c>
      <c r="J194" s="1" t="s">
        <v>605</v>
      </c>
      <c r="M194" s="15" t="s">
        <v>498</v>
      </c>
      <c r="N194" s="1" t="s">
        <v>4778</v>
      </c>
      <c r="O194" s="15">
        <v>23</v>
      </c>
      <c r="P194" s="15">
        <v>2002</v>
      </c>
      <c r="Q194" s="15" t="str" cm="1">
        <f t="array" ref="Q1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4" s="15" t="str" cm="1">
        <f t="array" ref="R1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canciones/brotes_de_olivo/fuente_viva.html</v>
      </c>
      <c r="T194" s="1"/>
      <c r="U194" s="1"/>
      <c r="V194" s="32" t="s">
        <v>4820</v>
      </c>
      <c r="W1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href="canciones/brotes_de_olivo/fuente_viva.html"&gt;Fuente viva&lt;/a&gt;&lt;/li&gt;</v>
      </c>
      <c r="X194" s="15" t="str">
        <f>_xlfn.TEXTBEFORE(_xlfn.TEXTAFTER(CantoralDB[[#This Row],[index.html]],"&gt;"),"&gt;")&amp;"&gt;"</f>
        <v>&lt;a href="canciones/brotes_de_olivo/fuente_viva.html"&gt;</v>
      </c>
      <c r="Y194"/>
      <c r="Z194" s="1"/>
      <c r="AA194" s="1"/>
      <c r="AB194" s="1"/>
      <c r="AC194" s="1"/>
    </row>
    <row r="195" spans="1:29" x14ac:dyDescent="0.3">
      <c r="A195" s="1">
        <f>ROW(CantoralDB[[#This Row],[Título]])-1</f>
        <v>194</v>
      </c>
      <c r="B195" s="1" t="s">
        <v>213</v>
      </c>
      <c r="C195" s="1" t="s">
        <v>990</v>
      </c>
      <c r="D195" s="1" t="s">
        <v>701</v>
      </c>
      <c r="G195" s="1" t="s">
        <v>212</v>
      </c>
      <c r="H195" s="1" t="s">
        <v>1024</v>
      </c>
      <c r="J195" s="1" t="s">
        <v>605</v>
      </c>
      <c r="M195" s="15" t="s">
        <v>498</v>
      </c>
      <c r="N195" s="1" t="s">
        <v>4778</v>
      </c>
      <c r="O195" s="15">
        <v>24</v>
      </c>
      <c r="P195" s="15">
        <v>2002</v>
      </c>
      <c r="Q195" s="15" t="str" cm="1">
        <f t="array" ref="Q1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5" s="15" t="str" cm="1">
        <f t="array" ref="R1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canciones/brotes_de_olivo/enviame.html</v>
      </c>
      <c r="T195" s="1"/>
      <c r="U195" s="1"/>
      <c r="V195" s="32" t="s">
        <v>4376</v>
      </c>
      <c r="W1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data-momento="Comunión" data-nnew="K31"&gt;&lt;a href="canciones/brotes_de_olivo/enviame.html"&gt;Envíame&lt;/a&gt;&lt;/li&gt;</v>
      </c>
      <c r="X195" s="15" t="str">
        <f>_xlfn.TEXTBEFORE(_xlfn.TEXTAFTER(CantoralDB[[#This Row],[index.html]],"&gt;"),"&gt;")&amp;"&gt;"</f>
        <v>&lt;a href="canciones/brotes_de_olivo/enviame.html"&gt;</v>
      </c>
      <c r="Y195"/>
      <c r="Z195" s="1"/>
      <c r="AA195" s="1"/>
      <c r="AB195" s="1"/>
      <c r="AC195" s="1"/>
    </row>
    <row r="196" spans="1:29" x14ac:dyDescent="0.3">
      <c r="A196" s="1">
        <f>ROW(CantoralDB[[#This Row],[Título]])-1</f>
        <v>195</v>
      </c>
      <c r="B196" s="1" t="s">
        <v>4798</v>
      </c>
      <c r="C196" s="1"/>
      <c r="H196" s="1" t="s">
        <v>529</v>
      </c>
      <c r="J196" s="1" t="s">
        <v>605</v>
      </c>
      <c r="M196" s="15" t="s">
        <v>498</v>
      </c>
      <c r="N196" s="1" t="s">
        <v>4778</v>
      </c>
      <c r="O196" s="15">
        <v>25</v>
      </c>
      <c r="P196" s="15">
        <v>2002</v>
      </c>
      <c r="Q196" s="15" t="str" cm="1">
        <f t="array" ref="Q1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6" s="15" t="str" cm="1">
        <f t="array" ref="R1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1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canciones/brotes_de_olivo/uno_en_el_amor.html</v>
      </c>
      <c r="T196" s="1"/>
      <c r="U196" s="1"/>
      <c r="V196" s="32" t="s">
        <v>4821</v>
      </c>
      <c r="W1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href="canciones/brotes_de_olivo/uno_en_el_amor.html"&gt;Uno en el amor&lt;/a&gt;&lt;/li&gt;</v>
      </c>
      <c r="X196" s="15" t="str">
        <f>_xlfn.TEXTBEFORE(_xlfn.TEXTAFTER(CantoralDB[[#This Row],[index.html]],"&gt;"),"&gt;")&amp;"&gt;"</f>
        <v>&lt;a href="canciones/brotes_de_olivo/uno_en_el_amor.html"&gt;</v>
      </c>
      <c r="Y196"/>
      <c r="Z196" s="1"/>
      <c r="AA196" s="1"/>
      <c r="AB196" s="1"/>
      <c r="AC196" s="1"/>
    </row>
    <row r="197" spans="1:29" x14ac:dyDescent="0.3">
      <c r="A197" s="1">
        <f>ROW(CantoralDB[[#This Row],[Título]])-1</f>
        <v>196</v>
      </c>
      <c r="B197" s="1" t="s">
        <v>226</v>
      </c>
      <c r="C197" s="1" t="s">
        <v>191</v>
      </c>
      <c r="D197" s="1" t="s">
        <v>1364</v>
      </c>
      <c r="F197" s="1">
        <v>431</v>
      </c>
      <c r="G197" s="1" t="s">
        <v>215</v>
      </c>
      <c r="H197" s="1" t="s">
        <v>529</v>
      </c>
      <c r="J197" s="1" t="s">
        <v>605</v>
      </c>
      <c r="M197" s="15" t="s">
        <v>498</v>
      </c>
      <c r="N197" s="1" t="s">
        <v>2681</v>
      </c>
      <c r="O197" s="15">
        <v>6</v>
      </c>
      <c r="P197" s="15">
        <v>1990</v>
      </c>
      <c r="Q197" s="15" t="str" cm="1">
        <f t="array" ref="Q1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7" s="15" t="str" cm="1">
        <f t="array" ref="R1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canciones/brotes_de_olivo/agua_lavame.html</v>
      </c>
      <c r="T197" s="1"/>
      <c r="U197" s="1"/>
      <c r="V197" s="32" t="s">
        <v>4370</v>
      </c>
      <c r="W1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data-momento="Perdón - Agua" data-nnew="B01" data-nrcc="431"&gt;&lt;a href="canciones/brotes_de_olivo/agua_lavame.html"&gt;Agua, lávame&lt;/a&gt;&lt;/li&gt;</v>
      </c>
      <c r="X197" s="15" t="str">
        <f>_xlfn.TEXTBEFORE(_xlfn.TEXTAFTER(CantoralDB[[#This Row],[index.html]],"&gt;"),"&gt;")&amp;"&gt;"</f>
        <v>&lt;a href="canciones/brotes_de_olivo/agua_lavame.html"&gt;</v>
      </c>
      <c r="Y197"/>
      <c r="Z197" s="1"/>
      <c r="AA197" s="1"/>
      <c r="AB197" s="1"/>
      <c r="AC197" s="1"/>
    </row>
    <row r="198" spans="1:29" x14ac:dyDescent="0.3">
      <c r="A198" s="1">
        <f>ROW(CantoralDB[[#This Row],[Título]])-1</f>
        <v>197</v>
      </c>
      <c r="B198" s="1" t="s">
        <v>2388</v>
      </c>
      <c r="C198" s="1"/>
      <c r="F198" s="1">
        <v>13</v>
      </c>
      <c r="H198" s="1" t="s">
        <v>1024</v>
      </c>
      <c r="J198" s="1" t="s">
        <v>605</v>
      </c>
      <c r="M198" s="15" t="s">
        <v>498</v>
      </c>
      <c r="N198" s="1" t="s">
        <v>2681</v>
      </c>
      <c r="O198" s="15">
        <v>18</v>
      </c>
      <c r="P198" s="15">
        <v>1990</v>
      </c>
      <c r="Q198" s="15" t="str" cm="1">
        <f t="array" ref="Q1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8" s="15" t="str" cm="1">
        <f t="array" ref="R1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canciones/brotes_de_olivo/se_que_voy_contigo.html</v>
      </c>
      <c r="T198" s="1"/>
      <c r="U198" s="1"/>
      <c r="V198" s="32" t="s">
        <v>3006</v>
      </c>
      <c r="W1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data-nrcc="13"&gt;&lt;a href="canciones/brotes_de_olivo/se_que_voy_contigo.html"&gt;Sé que voy contigo&lt;/a&gt;&lt;/li&gt;</v>
      </c>
      <c r="X198" s="15" t="str">
        <f>_xlfn.TEXTBEFORE(_xlfn.TEXTAFTER(CantoralDB[[#This Row],[index.html]],"&gt;"),"&gt;")&amp;"&gt;"</f>
        <v>&lt;a href="canciones/brotes_de_olivo/se_que_voy_contigo.html"&gt;</v>
      </c>
      <c r="Y198"/>
      <c r="Z198" s="1"/>
      <c r="AA198" s="1"/>
      <c r="AB198" s="1"/>
      <c r="AC198" s="1"/>
    </row>
    <row r="199" spans="1:29" x14ac:dyDescent="0.3">
      <c r="A199" s="1">
        <f>ROW(CantoralDB[[#This Row],[Título]])-1</f>
        <v>198</v>
      </c>
      <c r="B199" s="1" t="s">
        <v>2681</v>
      </c>
      <c r="C199" s="1"/>
      <c r="F199" s="1">
        <v>311</v>
      </c>
      <c r="J199" s="1"/>
      <c r="M199" s="15" t="s">
        <v>498</v>
      </c>
      <c r="N199" s="1" t="s">
        <v>2681</v>
      </c>
      <c r="O199" s="15"/>
      <c r="P199" s="15">
        <v>1990</v>
      </c>
      <c r="Q199" s="15" t="str" cm="1">
        <f t="array" ref="Q1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199" s="15" t="str" cm="1">
        <f t="array" ref="R1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canciones/brotes_de_olivo/dame_vida.html</v>
      </c>
      <c r="T199" s="1"/>
      <c r="U199" s="1"/>
      <c r="V199" s="32" t="s">
        <v>4373</v>
      </c>
      <c r="W1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data-nrcc="311"&gt;&lt;a href="canciones/brotes_de_olivo/dame_vida.html"&gt;Dame vida&lt;/a&gt;&lt;/li&gt;</v>
      </c>
      <c r="X199" s="15" t="str">
        <f>_xlfn.TEXTBEFORE(_xlfn.TEXTAFTER(CantoralDB[[#This Row],[index.html]],"&gt;"),"&gt;")&amp;"&gt;"</f>
        <v>&lt;a href="canciones/brotes_de_olivo/dame_vida.html"&gt;</v>
      </c>
      <c r="Y199"/>
      <c r="Z199" s="1"/>
      <c r="AA199" s="1"/>
      <c r="AB199" s="1"/>
      <c r="AC199" s="1"/>
    </row>
    <row r="200" spans="1:29" x14ac:dyDescent="0.3">
      <c r="A200" s="1">
        <f>ROW(CantoralDB[[#This Row],[Título]])-1</f>
        <v>199</v>
      </c>
      <c r="B200" s="1" t="s">
        <v>95</v>
      </c>
      <c r="C200" s="1" t="s">
        <v>200</v>
      </c>
      <c r="D200" s="1" t="s">
        <v>661</v>
      </c>
      <c r="E200" s="1">
        <v>438</v>
      </c>
      <c r="F200" s="1">
        <v>317</v>
      </c>
      <c r="G200" s="1" t="s">
        <v>208</v>
      </c>
      <c r="H200" s="1" t="s">
        <v>529</v>
      </c>
      <c r="J200" s="1" t="s">
        <v>605</v>
      </c>
      <c r="M200" s="15" t="s">
        <v>498</v>
      </c>
      <c r="N200" s="1" t="s">
        <v>2681</v>
      </c>
      <c r="O200" s="15"/>
      <c r="P200" s="15">
        <v>1990</v>
      </c>
      <c r="Q200" s="15" t="str" cm="1">
        <f t="array" ref="Q2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0" s="15" t="str" cm="1">
        <f t="array" ref="R2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canciones/brotes_de_olivo/nada_nos_separara.html</v>
      </c>
      <c r="T200" s="1"/>
      <c r="U200" s="1"/>
      <c r="V200" s="32" t="s">
        <v>4380</v>
      </c>
      <c r="W2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data-momento="Antífonas" data-nnew="D26" data-nold="438" data-nrcc="317"&gt;&lt;a href="canciones/brotes_de_olivo/nada_nos_separara.html"&gt;Nada nos separará&lt;/a&gt;&lt;/li&gt;</v>
      </c>
      <c r="X200" s="15" t="str">
        <f>_xlfn.TEXTBEFORE(_xlfn.TEXTAFTER(CantoralDB[[#This Row],[index.html]],"&gt;"),"&gt;")&amp;"&gt;"</f>
        <v>&lt;a href="canciones/brotes_de_olivo/nada_nos_separara.html"&gt;</v>
      </c>
      <c r="Y200"/>
      <c r="Z200" s="1"/>
      <c r="AA200" s="1"/>
      <c r="AB200" s="1"/>
      <c r="AC200" s="1"/>
    </row>
    <row r="201" spans="1:29" x14ac:dyDescent="0.3">
      <c r="A201" s="1">
        <f>ROW(CantoralDB[[#This Row],[Título]])-1</f>
        <v>200</v>
      </c>
      <c r="B201" s="1" t="s">
        <v>2837</v>
      </c>
      <c r="C201" s="1"/>
      <c r="H201" s="1" t="s">
        <v>529</v>
      </c>
      <c r="I201" s="1" t="s">
        <v>2946</v>
      </c>
      <c r="J201" s="1" t="s">
        <v>605</v>
      </c>
      <c r="M201" s="15" t="s">
        <v>498</v>
      </c>
      <c r="N201" s="1" t="s">
        <v>2836</v>
      </c>
      <c r="O201" s="15">
        <v>1</v>
      </c>
      <c r="P201" s="15">
        <v>1974</v>
      </c>
      <c r="Q201" s="15" t="str" cm="1">
        <f t="array" ref="Q2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1" s="15" t="str" cm="1">
        <f t="array" ref="R2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canciones/brotes_de_olivo/señor_mirame.html</v>
      </c>
      <c r="T201" s="1"/>
      <c r="U201" s="1"/>
      <c r="V201" s="32" t="s">
        <v>4331</v>
      </c>
      <c r="W2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href="canciones/brotes_de_olivo/señor_mirame.html"&gt;Señor, mírame&lt;/a&gt;&lt;/li&gt;</v>
      </c>
      <c r="X201" s="15" t="str">
        <f>_xlfn.TEXTBEFORE(_xlfn.TEXTAFTER(CantoralDB[[#This Row],[index.html]],"&gt;"),"&gt;")&amp;"&gt;"</f>
        <v>&lt;a href="canciones/brotes_de_olivo/señor_mirame.html"&gt;</v>
      </c>
      <c r="Y201"/>
      <c r="Z201" s="1"/>
      <c r="AA201" s="1"/>
      <c r="AB201" s="1"/>
      <c r="AC201" s="1"/>
    </row>
    <row r="202" spans="1:29" x14ac:dyDescent="0.3">
      <c r="A202" s="1">
        <f>ROW(CantoralDB[[#This Row],[Título]])-1</f>
        <v>201</v>
      </c>
      <c r="B202" s="1" t="s">
        <v>1579</v>
      </c>
      <c r="C202" s="1"/>
      <c r="H202" s="1" t="s">
        <v>529</v>
      </c>
      <c r="J202" s="1" t="s">
        <v>605</v>
      </c>
      <c r="M202" s="15" t="s">
        <v>498</v>
      </c>
      <c r="N202" s="1" t="s">
        <v>2836</v>
      </c>
      <c r="O202" s="15">
        <v>2</v>
      </c>
      <c r="P202" s="15">
        <v>1974</v>
      </c>
      <c r="Q202" s="15" t="str" cm="1">
        <f t="array" ref="Q2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2" s="15" t="str" cm="1">
        <f t="array" ref="R2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canciones/brotes_de_olivo/ten_piedad.html</v>
      </c>
      <c r="T202" s="1"/>
      <c r="U202" s="1"/>
      <c r="V202" s="32" t="s">
        <v>4332</v>
      </c>
      <c r="W2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href="canciones/brotes_de_olivo/ten_piedad.html"&gt;Ten piedad&lt;/a&gt;&lt;/li&gt;</v>
      </c>
      <c r="X202" s="15" t="str">
        <f>_xlfn.TEXTBEFORE(_xlfn.TEXTAFTER(CantoralDB[[#This Row],[index.html]],"&gt;"),"&gt;")&amp;"&gt;"</f>
        <v>&lt;a href="canciones/brotes_de_olivo/ten_piedad.html"&gt;</v>
      </c>
      <c r="Y202"/>
      <c r="Z202" s="1"/>
      <c r="AA202" s="1"/>
      <c r="AB202" s="1"/>
      <c r="AC202" s="1"/>
    </row>
    <row r="203" spans="1:29" x14ac:dyDescent="0.3">
      <c r="A203" s="1">
        <f>ROW(CantoralDB[[#This Row],[Título]])-1</f>
        <v>202</v>
      </c>
      <c r="B203" s="1" t="s">
        <v>2838</v>
      </c>
      <c r="C203" s="1"/>
      <c r="H203" s="1" t="s">
        <v>529</v>
      </c>
      <c r="J203" s="1" t="s">
        <v>605</v>
      </c>
      <c r="M203" s="15" t="s">
        <v>498</v>
      </c>
      <c r="N203" s="1" t="s">
        <v>2836</v>
      </c>
      <c r="O203" s="15">
        <v>3</v>
      </c>
      <c r="P203" s="15">
        <v>1974</v>
      </c>
      <c r="Q203" s="15" t="str" cm="1">
        <f t="array" ref="Q2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3" s="15" t="str" cm="1">
        <f t="array" ref="R2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canciones/brotes_de_olivo/he_oido_tu_voz.html</v>
      </c>
      <c r="T203" s="1"/>
      <c r="U203" s="1"/>
      <c r="V203" s="32" t="s">
        <v>4333</v>
      </c>
      <c r="W2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href="canciones/brotes_de_olivo/he_oido_tu_voz.html"&gt;He oído tu voz&lt;/a&gt;&lt;/li&gt;</v>
      </c>
      <c r="X203" s="15" t="str">
        <f>_xlfn.TEXTBEFORE(_xlfn.TEXTAFTER(CantoralDB[[#This Row],[index.html]],"&gt;"),"&gt;")&amp;"&gt;"</f>
        <v>&lt;a href="canciones/brotes_de_olivo/he_oido_tu_voz.html"&gt;</v>
      </c>
      <c r="Y203"/>
      <c r="Z203" s="1"/>
      <c r="AA203" s="1"/>
      <c r="AB203" s="1"/>
      <c r="AC203" s="1"/>
    </row>
    <row r="204" spans="1:29" x14ac:dyDescent="0.3">
      <c r="A204" s="1">
        <f>ROW(CantoralDB[[#This Row],[Título]])-1</f>
        <v>203</v>
      </c>
      <c r="B204" s="1" t="s">
        <v>2839</v>
      </c>
      <c r="C204" s="1"/>
      <c r="H204" s="1" t="s">
        <v>1024</v>
      </c>
      <c r="J204" s="1" t="s">
        <v>605</v>
      </c>
      <c r="M204" s="15" t="s">
        <v>498</v>
      </c>
      <c r="N204" s="1" t="s">
        <v>2836</v>
      </c>
      <c r="O204" s="15">
        <v>4</v>
      </c>
      <c r="P204" s="15">
        <v>1974</v>
      </c>
      <c r="Q204" s="15" t="str" cm="1">
        <f t="array" ref="Q2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4" s="15" t="str" cm="1">
        <f t="array" ref="R2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canciones/brotes_de_olivo/pan_y_vino_de_amor.html</v>
      </c>
      <c r="T204" s="1"/>
      <c r="U204" s="1"/>
      <c r="V204" s="32" t="s">
        <v>4334</v>
      </c>
      <c r="W2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href="canciones/brotes_de_olivo/pan_y_vino_de_amor.html"&gt;Pan y vino de amor&lt;/a&gt;&lt;/li&gt;</v>
      </c>
      <c r="X204" s="15" t="str">
        <f>_xlfn.TEXTBEFORE(_xlfn.TEXTAFTER(CantoralDB[[#This Row],[index.html]],"&gt;"),"&gt;")&amp;"&gt;"</f>
        <v>&lt;a href="canciones/brotes_de_olivo/pan_y_vino_de_amor.html"&gt;</v>
      </c>
      <c r="Y204"/>
      <c r="Z204" s="1"/>
      <c r="AA204" s="1"/>
      <c r="AB204" s="1"/>
      <c r="AC204" s="1"/>
    </row>
    <row r="205" spans="1:29" x14ac:dyDescent="0.3">
      <c r="A205" s="1">
        <f>ROW(CantoralDB[[#This Row],[Título]])-1</f>
        <v>204</v>
      </c>
      <c r="B205" s="1" t="s">
        <v>195</v>
      </c>
      <c r="C205" s="1"/>
      <c r="H205" s="1" t="s">
        <v>529</v>
      </c>
      <c r="I205" s="1" t="s">
        <v>2948</v>
      </c>
      <c r="J205" s="1" t="s">
        <v>605</v>
      </c>
      <c r="M205" s="15" t="s">
        <v>498</v>
      </c>
      <c r="N205" s="1" t="s">
        <v>2836</v>
      </c>
      <c r="O205" s="15">
        <v>5</v>
      </c>
      <c r="P205" s="15">
        <v>1974</v>
      </c>
      <c r="Q205" s="15" t="str" cm="1">
        <f t="array" ref="Q2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5" s="15" t="str" cm="1">
        <f t="array" ref="R2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canciones/brotes_de_olivo/santo.html</v>
      </c>
      <c r="T205" s="1"/>
      <c r="U205" s="1"/>
      <c r="V205" s="32" t="s">
        <v>4335</v>
      </c>
      <c r="W2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href="canciones/brotes_de_olivo/santo.html"&gt;Santo&lt;/a&gt;&lt;/li&gt;</v>
      </c>
      <c r="X205" s="15" t="str">
        <f>_xlfn.TEXTBEFORE(_xlfn.TEXTAFTER(CantoralDB[[#This Row],[index.html]],"&gt;"),"&gt;")&amp;"&gt;"</f>
        <v>&lt;a href="canciones/brotes_de_olivo/santo.html"&gt;</v>
      </c>
      <c r="Y205"/>
      <c r="Z205" s="1"/>
      <c r="AA205" s="1"/>
      <c r="AB205" s="1"/>
      <c r="AC205" s="1"/>
    </row>
    <row r="206" spans="1:29" x14ac:dyDescent="0.3">
      <c r="A206" s="1">
        <f>ROW(CantoralDB[[#This Row],[Título]])-1</f>
        <v>205</v>
      </c>
      <c r="B206" s="1" t="s">
        <v>1553</v>
      </c>
      <c r="C206" s="1"/>
      <c r="H206" s="1" t="s">
        <v>529</v>
      </c>
      <c r="J206" s="1" t="s">
        <v>605</v>
      </c>
      <c r="M206" s="15" t="s">
        <v>498</v>
      </c>
      <c r="N206" s="1" t="s">
        <v>2836</v>
      </c>
      <c r="O206" s="15">
        <v>6</v>
      </c>
      <c r="P206" s="15">
        <v>1974</v>
      </c>
      <c r="Q206" s="15" t="str" cm="1">
        <f t="array" ref="Q2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6" s="15" t="str" cm="1">
        <f t="array" ref="R2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canciones/brotes_de_olivo/padre_nuestro.html</v>
      </c>
      <c r="T206" s="1"/>
      <c r="U206" s="1"/>
      <c r="V206" s="32" t="s">
        <v>4336</v>
      </c>
      <c r="W2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href="canciones/brotes_de_olivo/padre_nuestro.html"&gt;Padre nuestro&lt;/a&gt;&lt;/li&gt;</v>
      </c>
      <c r="X206" s="15" t="str">
        <f>_xlfn.TEXTBEFORE(_xlfn.TEXTAFTER(CantoralDB[[#This Row],[index.html]],"&gt;"),"&gt;")&amp;"&gt;"</f>
        <v>&lt;a href="canciones/brotes_de_olivo/padre_nuestro.html"&gt;</v>
      </c>
      <c r="Y206"/>
      <c r="Z206" s="1"/>
      <c r="AA206" s="1"/>
      <c r="AB206" s="1"/>
      <c r="AC206" s="1"/>
    </row>
    <row r="207" spans="1:29" x14ac:dyDescent="0.3">
      <c r="A207" s="1">
        <f>ROW(CantoralDB[[#This Row],[Título]])-1</f>
        <v>206</v>
      </c>
      <c r="B207" s="1" t="s">
        <v>2840</v>
      </c>
      <c r="C207" s="1"/>
      <c r="H207" s="1" t="s">
        <v>472</v>
      </c>
      <c r="I207" s="1" t="s">
        <v>2946</v>
      </c>
      <c r="J207" s="1" t="s">
        <v>605</v>
      </c>
      <c r="M207" s="15" t="s">
        <v>498</v>
      </c>
      <c r="N207" s="1" t="s">
        <v>2836</v>
      </c>
      <c r="O207" s="15">
        <v>7</v>
      </c>
      <c r="P207" s="15">
        <v>1974</v>
      </c>
      <c r="Q207" s="15" t="str" cm="1">
        <f t="array" ref="Q2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7" s="15" t="str" cm="1">
        <f t="array" ref="R2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canciones/brotes_de_olivo/ven_junto_a_mi.html</v>
      </c>
      <c r="T207" s="1"/>
      <c r="U207" s="1"/>
      <c r="V207" s="32" t="s">
        <v>4337</v>
      </c>
      <c r="W2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href="canciones/brotes_de_olivo/ven_junto_a_mi.html"&gt;Ven junto a mí&lt;/a&gt;&lt;/li&gt;</v>
      </c>
      <c r="X207" s="15" t="str">
        <f>_xlfn.TEXTBEFORE(_xlfn.TEXTAFTER(CantoralDB[[#This Row],[index.html]],"&gt;"),"&gt;")&amp;"&gt;"</f>
        <v>&lt;a href="canciones/brotes_de_olivo/ven_junto_a_mi.html"&gt;</v>
      </c>
      <c r="Y207"/>
      <c r="Z207" s="1"/>
      <c r="AA207" s="1"/>
      <c r="AB207" s="1"/>
      <c r="AC207" s="1"/>
    </row>
    <row r="208" spans="1:29" x14ac:dyDescent="0.3">
      <c r="A208" s="1">
        <f>ROW(CantoralDB[[#This Row],[Título]])-1</f>
        <v>207</v>
      </c>
      <c r="B208" s="1" t="s">
        <v>2841</v>
      </c>
      <c r="C208" s="1"/>
      <c r="H208" s="1" t="s">
        <v>1024</v>
      </c>
      <c r="J208" s="1" t="s">
        <v>605</v>
      </c>
      <c r="M208" s="15" t="s">
        <v>498</v>
      </c>
      <c r="N208" s="1" t="s">
        <v>2836</v>
      </c>
      <c r="O208" s="15">
        <v>8</v>
      </c>
      <c r="P208" s="15">
        <v>1974</v>
      </c>
      <c r="Q208" s="15" t="str" cm="1">
        <f t="array" ref="Q2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8" s="15" t="str" cm="1">
        <f t="array" ref="R2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canciones/brotes_de_olivo/nadie_contesto.html</v>
      </c>
      <c r="T208" s="1"/>
      <c r="U208" s="1"/>
      <c r="V208" s="32" t="s">
        <v>4338</v>
      </c>
      <c r="W2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href="canciones/brotes_de_olivo/nadie_contesto.html"&gt;Nadie contestó&lt;/a&gt;&lt;/li&gt;</v>
      </c>
      <c r="X208" s="15" t="str">
        <f>_xlfn.TEXTBEFORE(_xlfn.TEXTAFTER(CantoralDB[[#This Row],[index.html]],"&gt;"),"&gt;")&amp;"&gt;"</f>
        <v>&lt;a href="canciones/brotes_de_olivo/nadie_contesto.html"&gt;</v>
      </c>
      <c r="Y208"/>
      <c r="Z208" s="1"/>
      <c r="AA208" s="1"/>
      <c r="AB208" s="1"/>
      <c r="AC208" s="1"/>
    </row>
    <row r="209" spans="1:29" x14ac:dyDescent="0.3">
      <c r="A209" s="1">
        <f>ROW(CantoralDB[[#This Row],[Título]])-1</f>
        <v>208</v>
      </c>
      <c r="B209" s="1" t="s">
        <v>2842</v>
      </c>
      <c r="C209" s="1"/>
      <c r="H209" s="1" t="s">
        <v>529</v>
      </c>
      <c r="I209" s="1" t="s">
        <v>2946</v>
      </c>
      <c r="J209" s="1" t="s">
        <v>605</v>
      </c>
      <c r="M209" s="15" t="s">
        <v>498</v>
      </c>
      <c r="N209" s="1" t="s">
        <v>2836</v>
      </c>
      <c r="O209" s="15">
        <v>9</v>
      </c>
      <c r="P209" s="15">
        <v>1974</v>
      </c>
      <c r="Q209" s="15" t="str" cm="1">
        <f t="array" ref="Q2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09" s="15" t="str" cm="1">
        <f t="array" ref="R2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canciones/brotes_de_olivo/tras_las_huellas_del_padre.html</v>
      </c>
      <c r="T209" s="1"/>
      <c r="U209" s="1"/>
      <c r="V209" s="32" t="s">
        <v>4339</v>
      </c>
      <c r="W2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href="canciones/brotes_de_olivo/tras_las_huellas_del_padre.html"&gt;Tras las huellas del Padre&lt;/a&gt;&lt;/li&gt;</v>
      </c>
      <c r="X209" s="15" t="str">
        <f>_xlfn.TEXTBEFORE(_xlfn.TEXTAFTER(CantoralDB[[#This Row],[index.html]],"&gt;"),"&gt;")&amp;"&gt;"</f>
        <v>&lt;a href="canciones/brotes_de_olivo/tras_las_huellas_del_padre.html"&gt;</v>
      </c>
      <c r="Y209"/>
      <c r="Z209" s="1"/>
      <c r="AA209" s="1"/>
      <c r="AB209" s="1"/>
      <c r="AC209" s="1"/>
    </row>
    <row r="210" spans="1:29" x14ac:dyDescent="0.3">
      <c r="A210" s="1">
        <f>ROW(CantoralDB[[#This Row],[Título]])-1</f>
        <v>209</v>
      </c>
      <c r="B210" s="1" t="s">
        <v>2843</v>
      </c>
      <c r="C210" s="1"/>
      <c r="H210" s="1" t="s">
        <v>529</v>
      </c>
      <c r="I210" s="1" t="s">
        <v>2946</v>
      </c>
      <c r="J210" s="1" t="s">
        <v>605</v>
      </c>
      <c r="M210" s="15" t="s">
        <v>498</v>
      </c>
      <c r="N210" s="1" t="s">
        <v>2836</v>
      </c>
      <c r="O210" s="15">
        <v>10</v>
      </c>
      <c r="P210" s="15">
        <v>1974</v>
      </c>
      <c r="Q210" s="15" t="str" cm="1">
        <f t="array" ref="Q2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0" s="15" t="str" cm="1">
        <f t="array" ref="R2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canciones/brotes_de_olivo/tierra.html</v>
      </c>
      <c r="T210" s="1"/>
      <c r="U210" s="1"/>
      <c r="V210" s="32" t="s">
        <v>4340</v>
      </c>
      <c r="W2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href="canciones/brotes_de_olivo/tierra.html"&gt;Tierra&lt;/a&gt;&lt;/li&gt;</v>
      </c>
      <c r="X210" s="15" t="str">
        <f>_xlfn.TEXTBEFORE(_xlfn.TEXTAFTER(CantoralDB[[#This Row],[index.html]],"&gt;"),"&gt;")&amp;"&gt;"</f>
        <v>&lt;a href="canciones/brotes_de_olivo/tierra.html"&gt;</v>
      </c>
      <c r="Y210"/>
      <c r="Z210" s="1"/>
      <c r="AA210" s="1"/>
      <c r="AB210" s="1"/>
      <c r="AC210" s="1"/>
    </row>
    <row r="211" spans="1:29" x14ac:dyDescent="0.3">
      <c r="A211" s="1">
        <f>ROW(CantoralDB[[#This Row],[Título]])-1</f>
        <v>210</v>
      </c>
      <c r="B211" s="1" t="s">
        <v>2844</v>
      </c>
      <c r="C211" s="1"/>
      <c r="J211" s="1"/>
      <c r="M211" s="15" t="s">
        <v>498</v>
      </c>
      <c r="N211" s="1" t="s">
        <v>2836</v>
      </c>
      <c r="O211" s="15">
        <v>11</v>
      </c>
      <c r="P211" s="15">
        <v>1974</v>
      </c>
      <c r="Q211" s="15" t="str" cm="1">
        <f t="array" ref="Q2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1" s="15" t="str" cm="1">
        <f t="array" ref="R2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canciones/brotes_de_olivo/sinfonia_de_las_vocales.html</v>
      </c>
      <c r="T211" s="1"/>
      <c r="U211" s="1"/>
      <c r="V211" s="32" t="s">
        <v>4341</v>
      </c>
      <c r="W2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href="canciones/brotes_de_olivo/sinfonia_de_las_vocales.html"&gt;Sinfonía de las vocales&lt;/a&gt;&lt;/li&gt;</v>
      </c>
      <c r="X211" s="15" t="str">
        <f>_xlfn.TEXTBEFORE(_xlfn.TEXTAFTER(CantoralDB[[#This Row],[index.html]],"&gt;"),"&gt;")&amp;"&gt;"</f>
        <v>&lt;a href="canciones/brotes_de_olivo/sinfonia_de_las_vocales.html"&gt;</v>
      </c>
      <c r="Y211"/>
      <c r="Z211" s="1"/>
      <c r="AA211" s="1"/>
      <c r="AB211" s="1"/>
      <c r="AC211" s="1"/>
    </row>
    <row r="212" spans="1:29" x14ac:dyDescent="0.3">
      <c r="A212" s="1">
        <f>ROW(CantoralDB[[#This Row],[Título]])-1</f>
        <v>211</v>
      </c>
      <c r="B212" s="1" t="s">
        <v>2845</v>
      </c>
      <c r="C212" s="1"/>
      <c r="H212" s="1" t="s">
        <v>529</v>
      </c>
      <c r="J212" s="1" t="s">
        <v>605</v>
      </c>
      <c r="M212" s="15" t="s">
        <v>498</v>
      </c>
      <c r="N212" s="1" t="s">
        <v>2836</v>
      </c>
      <c r="O212" s="15">
        <v>12</v>
      </c>
      <c r="P212" s="15">
        <v>1974</v>
      </c>
      <c r="Q212" s="15" t="str" cm="1">
        <f t="array" ref="Q2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2" s="15" t="str" cm="1">
        <f t="array" ref="R2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canciones/brotes_de_olivo/todos_juntos.html</v>
      </c>
      <c r="T212" s="1"/>
      <c r="U212" s="1"/>
      <c r="V212" s="32" t="s">
        <v>4342</v>
      </c>
      <c r="W2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href="canciones/brotes_de_olivo/todos_juntos.html"&gt;Todos juntos&lt;/a&gt;&lt;/li&gt;</v>
      </c>
      <c r="X212" s="15" t="str">
        <f>_xlfn.TEXTBEFORE(_xlfn.TEXTAFTER(CantoralDB[[#This Row],[index.html]],"&gt;"),"&gt;")&amp;"&gt;"</f>
        <v>&lt;a href="canciones/brotes_de_olivo/todos_juntos.html"&gt;</v>
      </c>
      <c r="Y212"/>
      <c r="Z212" s="1"/>
      <c r="AA212" s="1"/>
      <c r="AB212" s="1"/>
      <c r="AC212" s="1"/>
    </row>
    <row r="213" spans="1:29" x14ac:dyDescent="0.3">
      <c r="A213" s="1">
        <f>ROW(CantoralDB[[#This Row],[Título]])-1</f>
        <v>212</v>
      </c>
      <c r="B213" s="1" t="s">
        <v>2846</v>
      </c>
      <c r="C213" s="1"/>
      <c r="J213" s="1"/>
      <c r="M213" s="15" t="s">
        <v>498</v>
      </c>
      <c r="N213" s="1" t="s">
        <v>2836</v>
      </c>
      <c r="O213" s="15">
        <v>13</v>
      </c>
      <c r="P213" s="15">
        <v>1974</v>
      </c>
      <c r="Q213" s="15" t="str" cm="1">
        <f t="array" ref="Q2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3" s="15" t="str" cm="1">
        <f t="array" ref="R2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canciones/brotes_de_olivo/y_el_septimo_descanso.html</v>
      </c>
      <c r="T213" s="1"/>
      <c r="U213" s="1"/>
      <c r="V213" s="32" t="s">
        <v>4343</v>
      </c>
      <c r="W2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href="canciones/brotes_de_olivo/y_el_septimo_descanso.html"&gt;Y el séptimo descansó&lt;/a&gt;&lt;/li&gt;</v>
      </c>
      <c r="X213" s="15" t="str">
        <f>_xlfn.TEXTBEFORE(_xlfn.TEXTAFTER(CantoralDB[[#This Row],[index.html]],"&gt;"),"&gt;")&amp;"&gt;"</f>
        <v>&lt;a href="canciones/brotes_de_olivo/y_el_septimo_descanso.html"&gt;</v>
      </c>
      <c r="Y213"/>
      <c r="Z213" s="1"/>
      <c r="AA213" s="1"/>
      <c r="AB213" s="1"/>
      <c r="AC213" s="1"/>
    </row>
    <row r="214" spans="1:29" x14ac:dyDescent="0.3">
      <c r="A214" s="1">
        <f>ROW(CantoralDB[[#This Row],[Título]])-1</f>
        <v>213</v>
      </c>
      <c r="B214" s="1" t="s">
        <v>2360</v>
      </c>
      <c r="C214" s="1"/>
      <c r="H214" s="1" t="s">
        <v>529</v>
      </c>
      <c r="J214" s="1" t="s">
        <v>605</v>
      </c>
      <c r="M214" s="15" t="s">
        <v>498</v>
      </c>
      <c r="N214" s="1" t="s">
        <v>2359</v>
      </c>
      <c r="O214" s="15">
        <v>1</v>
      </c>
      <c r="P214" s="15">
        <v>1974</v>
      </c>
      <c r="Q214" s="15" t="str" cm="1">
        <f t="array" ref="Q2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4" s="15" t="str" cm="1">
        <f t="array" ref="R2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canciones/brotes_de_olivo/allanad_los_caminos.html</v>
      </c>
      <c r="T214" s="1"/>
      <c r="U214" s="1"/>
      <c r="V214" s="32" t="s">
        <v>4344</v>
      </c>
      <c r="W2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href="canciones/brotes_de_olivo/allanad_los_caminos.html"&gt;Allanad los caminos&lt;/a&gt;&lt;/li&gt;</v>
      </c>
      <c r="X214" s="15" t="str">
        <f>_xlfn.TEXTBEFORE(_xlfn.TEXTAFTER(CantoralDB[[#This Row],[index.html]],"&gt;"),"&gt;")&amp;"&gt;"</f>
        <v>&lt;a href="canciones/brotes_de_olivo/allanad_los_caminos.html"&gt;</v>
      </c>
      <c r="Y214"/>
      <c r="Z214" s="1"/>
      <c r="AA214" s="1"/>
      <c r="AB214" s="1"/>
      <c r="AC214" s="1"/>
    </row>
    <row r="215" spans="1:29" x14ac:dyDescent="0.3">
      <c r="A215" s="1">
        <f>ROW(CantoralDB[[#This Row],[Título]])-1</f>
        <v>214</v>
      </c>
      <c r="B215" s="1" t="s">
        <v>2361</v>
      </c>
      <c r="C215" s="1"/>
      <c r="H215" s="1" t="s">
        <v>1024</v>
      </c>
      <c r="I215" s="1" t="s">
        <v>2947</v>
      </c>
      <c r="J215" s="1" t="s">
        <v>605</v>
      </c>
      <c r="M215" s="15" t="s">
        <v>498</v>
      </c>
      <c r="N215" s="1" t="s">
        <v>2359</v>
      </c>
      <c r="O215" s="15">
        <v>2</v>
      </c>
      <c r="P215" s="15">
        <v>1974</v>
      </c>
      <c r="Q215" s="15" t="str" cm="1">
        <f t="array" ref="Q2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5" s="15" t="str" cm="1">
        <f t="array" ref="R2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canciones/brotes_de_olivo/las_bodas_de_cana.html</v>
      </c>
      <c r="T215" s="1"/>
      <c r="U215" s="1"/>
      <c r="V215" s="32" t="s">
        <v>4345</v>
      </c>
      <c r="W2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href="canciones/brotes_de_olivo/las_bodas_de_cana.html"&gt;Las bodas de Caná&lt;/a&gt;&lt;/li&gt;</v>
      </c>
      <c r="X215" s="15" t="str">
        <f>_xlfn.TEXTBEFORE(_xlfn.TEXTAFTER(CantoralDB[[#This Row],[index.html]],"&gt;"),"&gt;")&amp;"&gt;"</f>
        <v>&lt;a href="canciones/brotes_de_olivo/las_bodas_de_cana.html"&gt;</v>
      </c>
      <c r="Y215"/>
      <c r="Z215" s="1"/>
      <c r="AA215" s="1"/>
      <c r="AB215" s="1"/>
      <c r="AC215" s="1"/>
    </row>
    <row r="216" spans="1:29" x14ac:dyDescent="0.3">
      <c r="A216" s="1">
        <f>ROW(CantoralDB[[#This Row],[Título]])-1</f>
        <v>215</v>
      </c>
      <c r="B216" s="1" t="s">
        <v>2362</v>
      </c>
      <c r="C216" s="1"/>
      <c r="H216" s="1" t="s">
        <v>529</v>
      </c>
      <c r="J216" s="1" t="s">
        <v>605</v>
      </c>
      <c r="M216" s="15" t="s">
        <v>498</v>
      </c>
      <c r="N216" s="1" t="s">
        <v>2359</v>
      </c>
      <c r="O216" s="15">
        <v>3</v>
      </c>
      <c r="P216" s="15">
        <v>1974</v>
      </c>
      <c r="Q216" s="15" t="str" cm="1">
        <f t="array" ref="Q2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6" s="15" t="str" cm="1">
        <f t="array" ref="R2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canciones/brotes_de_olivo/el_soplo_de_dios.html</v>
      </c>
      <c r="T216" s="1"/>
      <c r="U216" s="1"/>
      <c r="V216" s="32" t="s">
        <v>4346</v>
      </c>
      <c r="W2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href="canciones/brotes_de_olivo/el_soplo_de_dios.html"&gt;El soplo de Dios&lt;/a&gt;&lt;/li&gt;</v>
      </c>
      <c r="X216" s="15" t="str">
        <f>_xlfn.TEXTBEFORE(_xlfn.TEXTAFTER(CantoralDB[[#This Row],[index.html]],"&gt;"),"&gt;")&amp;"&gt;"</f>
        <v>&lt;a href="canciones/brotes_de_olivo/el_soplo_de_dios.html"&gt;</v>
      </c>
      <c r="Y216"/>
      <c r="Z216" s="1"/>
      <c r="AA216" s="1"/>
      <c r="AB216" s="1"/>
      <c r="AC216" s="1"/>
    </row>
    <row r="217" spans="1:29" x14ac:dyDescent="0.3">
      <c r="A217" s="1">
        <f>ROW(CantoralDB[[#This Row],[Título]])-1</f>
        <v>216</v>
      </c>
      <c r="B217" s="1" t="s">
        <v>2363</v>
      </c>
      <c r="C217" s="1"/>
      <c r="H217" s="1" t="s">
        <v>529</v>
      </c>
      <c r="I217" s="1" t="s">
        <v>2947</v>
      </c>
      <c r="J217" s="1" t="s">
        <v>605</v>
      </c>
      <c r="M217" s="15" t="s">
        <v>498</v>
      </c>
      <c r="N217" s="1" t="s">
        <v>2359</v>
      </c>
      <c r="O217" s="15">
        <v>4</v>
      </c>
      <c r="P217" s="15">
        <v>1974</v>
      </c>
      <c r="Q217" s="15" t="str" cm="1">
        <f t="array" ref="Q2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7" s="15" t="str" cm="1">
        <f t="array" ref="R2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canciones/brotes_de_olivo/el_agua_viva.html</v>
      </c>
      <c r="T217" s="1"/>
      <c r="U217" s="1"/>
      <c r="V217" s="32" t="s">
        <v>4347</v>
      </c>
      <c r="W2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href="canciones/brotes_de_olivo/el_agua_viva.html"&gt;El agua viva&lt;/a&gt;&lt;/li&gt;</v>
      </c>
      <c r="X217" s="15" t="str">
        <f>_xlfn.TEXTBEFORE(_xlfn.TEXTAFTER(CantoralDB[[#This Row],[index.html]],"&gt;"),"&gt;")&amp;"&gt;"</f>
        <v>&lt;a href="canciones/brotes_de_olivo/el_agua_viva.html"&gt;</v>
      </c>
      <c r="Y217"/>
      <c r="Z217" s="1"/>
      <c r="AA217" s="1"/>
      <c r="AB217" s="1"/>
      <c r="AC217" s="1"/>
    </row>
    <row r="218" spans="1:29" x14ac:dyDescent="0.3">
      <c r="A218" s="1">
        <f>ROW(CantoralDB[[#This Row],[Título]])-1</f>
        <v>217</v>
      </c>
      <c r="B218" s="1" t="s">
        <v>2364</v>
      </c>
      <c r="C218" s="1"/>
      <c r="J218" s="1"/>
      <c r="M218" s="15" t="s">
        <v>498</v>
      </c>
      <c r="N218" s="1" t="s">
        <v>2359</v>
      </c>
      <c r="O218" s="15">
        <v>5</v>
      </c>
      <c r="P218" s="15">
        <v>1974</v>
      </c>
      <c r="Q218" s="15" t="str" cm="1">
        <f t="array" ref="Q2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8" s="15" t="str" cm="1">
        <f t="array" ref="R2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canciones/brotes_de_olivo/la_piscina_probatica.html</v>
      </c>
      <c r="T218" s="1"/>
      <c r="U218" s="1"/>
      <c r="V218" s="32" t="s">
        <v>4348</v>
      </c>
      <c r="W2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href="canciones/brotes_de_olivo/la_piscina_probatica.html"&gt;La piscina probática&lt;/a&gt;&lt;/li&gt;</v>
      </c>
      <c r="X218" s="15" t="str">
        <f>_xlfn.TEXTBEFORE(_xlfn.TEXTAFTER(CantoralDB[[#This Row],[index.html]],"&gt;"),"&gt;")&amp;"&gt;"</f>
        <v>&lt;a href="canciones/brotes_de_olivo/la_piscina_probatica.html"&gt;</v>
      </c>
      <c r="Y218"/>
      <c r="Z218" s="1"/>
      <c r="AA218" s="1"/>
      <c r="AB218" s="1"/>
      <c r="AC218" s="1"/>
    </row>
    <row r="219" spans="1:29" x14ac:dyDescent="0.3">
      <c r="A219" s="1">
        <f>ROW(CantoralDB[[#This Row],[Título]])-1</f>
        <v>218</v>
      </c>
      <c r="B219" s="1" t="s">
        <v>2365</v>
      </c>
      <c r="C219" s="1"/>
      <c r="H219" s="1" t="s">
        <v>1024</v>
      </c>
      <c r="I219" s="1" t="s">
        <v>2948</v>
      </c>
      <c r="J219" s="1" t="s">
        <v>605</v>
      </c>
      <c r="M219" s="15" t="s">
        <v>498</v>
      </c>
      <c r="N219" s="1" t="s">
        <v>2359</v>
      </c>
      <c r="O219" s="15">
        <v>6</v>
      </c>
      <c r="P219" s="15">
        <v>1974</v>
      </c>
      <c r="Q219" s="15" t="str" cm="1">
        <f t="array" ref="Q2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19" s="15" t="str" cm="1">
        <f t="array" ref="R2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canciones/brotes_de_olivo/el_pan_de_vida.html</v>
      </c>
      <c r="T219" s="1"/>
      <c r="U219" s="1"/>
      <c r="V219" s="32" t="s">
        <v>4349</v>
      </c>
      <c r="W2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href="canciones/brotes_de_olivo/el_pan_de_vida.html"&gt;El pan de vida&lt;/a&gt;&lt;/li&gt;</v>
      </c>
      <c r="X219" s="15" t="str">
        <f>_xlfn.TEXTBEFORE(_xlfn.TEXTAFTER(CantoralDB[[#This Row],[index.html]],"&gt;"),"&gt;")&amp;"&gt;"</f>
        <v>&lt;a href="canciones/brotes_de_olivo/el_pan_de_vida.html"&gt;</v>
      </c>
      <c r="Y219"/>
      <c r="Z219" s="1"/>
      <c r="AA219" s="1"/>
      <c r="AB219" s="1"/>
      <c r="AC219" s="1"/>
    </row>
    <row r="220" spans="1:29" x14ac:dyDescent="0.3">
      <c r="A220" s="1">
        <f>ROW(CantoralDB[[#This Row],[Título]])-1</f>
        <v>219</v>
      </c>
      <c r="B220" s="1" t="s">
        <v>2366</v>
      </c>
      <c r="C220" s="1"/>
      <c r="H220" s="1" t="s">
        <v>472</v>
      </c>
      <c r="I220" s="1" t="s">
        <v>2946</v>
      </c>
      <c r="J220" s="1" t="s">
        <v>605</v>
      </c>
      <c r="M220" s="15" t="s">
        <v>498</v>
      </c>
      <c r="N220" s="1" t="s">
        <v>2359</v>
      </c>
      <c r="O220" s="15">
        <v>7</v>
      </c>
      <c r="P220" s="15">
        <v>1974</v>
      </c>
      <c r="Q220" s="15" t="str" cm="1">
        <f t="array" ref="Q2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0" s="15" t="str" cm="1">
        <f t="array" ref="R2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canciones/brotes_de_olivo/quien_tirara_la_primera_piedra.html</v>
      </c>
      <c r="T220" s="1"/>
      <c r="U220" s="1"/>
      <c r="V220" s="32" t="s">
        <v>4350</v>
      </c>
      <c r="W2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href="canciones/brotes_de_olivo/quien_tirara_la_primera_piedra.html"&gt;Quién tirará la primera piedra&lt;/a&gt;&lt;/li&gt;</v>
      </c>
      <c r="X220" s="15" t="str">
        <f>_xlfn.TEXTBEFORE(_xlfn.TEXTAFTER(CantoralDB[[#This Row],[index.html]],"&gt;"),"&gt;")&amp;"&gt;"</f>
        <v>&lt;a href="canciones/brotes_de_olivo/quien_tirara_la_primera_piedra.html"&gt;</v>
      </c>
      <c r="Y220"/>
      <c r="Z220" s="1"/>
      <c r="AA220" s="1"/>
      <c r="AB220" s="1"/>
      <c r="AC220" s="1"/>
    </row>
    <row r="221" spans="1:29" x14ac:dyDescent="0.3">
      <c r="A221" s="1">
        <f>ROW(CantoralDB[[#This Row],[Título]])-1</f>
        <v>220</v>
      </c>
      <c r="B221" s="1" t="s">
        <v>2367</v>
      </c>
      <c r="C221" s="1"/>
      <c r="H221" s="1" t="s">
        <v>529</v>
      </c>
      <c r="I221" s="1" t="s">
        <v>2948</v>
      </c>
      <c r="J221" s="1" t="s">
        <v>605</v>
      </c>
      <c r="M221" s="15" t="s">
        <v>498</v>
      </c>
      <c r="N221" s="1" t="s">
        <v>2359</v>
      </c>
      <c r="O221" s="15">
        <v>8</v>
      </c>
      <c r="P221" s="15">
        <v>1974</v>
      </c>
      <c r="Q221" s="15" t="str" cm="1">
        <f t="array" ref="Q2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1" s="15" t="str" cm="1">
        <f t="array" ref="R2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canciones/brotes_de_olivo/el_buen_pastor.html</v>
      </c>
      <c r="T221" s="1"/>
      <c r="U221" s="1"/>
      <c r="V221" s="32" t="s">
        <v>4351</v>
      </c>
      <c r="W2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href="canciones/brotes_de_olivo/el_buen_pastor.html"&gt;El buen pastor&lt;/a&gt;&lt;/li&gt;</v>
      </c>
      <c r="X221" s="15" t="str">
        <f>_xlfn.TEXTBEFORE(_xlfn.TEXTAFTER(CantoralDB[[#This Row],[index.html]],"&gt;"),"&gt;")&amp;"&gt;"</f>
        <v>&lt;a href="canciones/brotes_de_olivo/el_buen_pastor.html"&gt;</v>
      </c>
      <c r="Y221"/>
      <c r="Z221" s="1"/>
      <c r="AA221" s="1"/>
      <c r="AB221" s="1"/>
      <c r="AC221" s="1"/>
    </row>
    <row r="222" spans="1:29" x14ac:dyDescent="0.3">
      <c r="A222" s="1">
        <f>ROW(CantoralDB[[#This Row],[Título]])-1</f>
        <v>221</v>
      </c>
      <c r="B222" s="1" t="s">
        <v>2368</v>
      </c>
      <c r="C222" s="1"/>
      <c r="H222" s="1" t="s">
        <v>529</v>
      </c>
      <c r="I222" s="1" t="s">
        <v>2949</v>
      </c>
      <c r="J222" s="1" t="s">
        <v>605</v>
      </c>
      <c r="M222" s="15" t="s">
        <v>498</v>
      </c>
      <c r="N222" s="1" t="s">
        <v>2359</v>
      </c>
      <c r="O222" s="15">
        <v>9</v>
      </c>
      <c r="P222" s="15">
        <v>1974</v>
      </c>
      <c r="Q222" s="15" t="str" cm="1">
        <f t="array" ref="Q2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2" s="15" t="str" cm="1">
        <f t="array" ref="R2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canciones/brotes_de_olivo/vivir_en_el_señor.html</v>
      </c>
      <c r="T222" s="1"/>
      <c r="U222" s="1"/>
      <c r="V222" s="32" t="s">
        <v>4352</v>
      </c>
      <c r="W2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href="canciones/brotes_de_olivo/vivir_en_el_señor.html"&gt;Vivir en el Señor&lt;/a&gt;&lt;/li&gt;</v>
      </c>
      <c r="X222" s="15" t="str">
        <f>_xlfn.TEXTBEFORE(_xlfn.TEXTAFTER(CantoralDB[[#This Row],[index.html]],"&gt;"),"&gt;")&amp;"&gt;"</f>
        <v>&lt;a href="canciones/brotes_de_olivo/vivir_en_el_señor.html"&gt;</v>
      </c>
      <c r="Y222"/>
      <c r="Z222" s="1"/>
      <c r="AA222" s="1"/>
      <c r="AB222" s="1"/>
      <c r="AC222" s="1"/>
    </row>
    <row r="223" spans="1:29" x14ac:dyDescent="0.3">
      <c r="A223" s="1">
        <f>ROW(CantoralDB[[#This Row],[Título]])-1</f>
        <v>222</v>
      </c>
      <c r="B223" s="1" t="s">
        <v>2369</v>
      </c>
      <c r="C223" s="1"/>
      <c r="H223" s="1" t="s">
        <v>1024</v>
      </c>
      <c r="J223" s="1" t="s">
        <v>605</v>
      </c>
      <c r="M223" s="15" t="s">
        <v>498</v>
      </c>
      <c r="N223" s="1" t="s">
        <v>2359</v>
      </c>
      <c r="O223" s="15">
        <v>10</v>
      </c>
      <c r="P223" s="15">
        <v>1974</v>
      </c>
      <c r="Q223" s="15" t="str" cm="1">
        <f t="array" ref="Q2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3" s="15" t="str" cm="1">
        <f t="array" ref="R2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canciones/brotes_de_olivo/amaos_unos_a_otros.html</v>
      </c>
      <c r="T223" s="1"/>
      <c r="U223" s="1"/>
      <c r="V223" s="32" t="s">
        <v>4353</v>
      </c>
      <c r="W2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href="canciones/brotes_de_olivo/amaos_unos_a_otros.html"&gt;Amaos unos a otros&lt;/a&gt;&lt;/li&gt;</v>
      </c>
      <c r="X223" s="15" t="str">
        <f>_xlfn.TEXTBEFORE(_xlfn.TEXTAFTER(CantoralDB[[#This Row],[index.html]],"&gt;"),"&gt;")&amp;"&gt;"</f>
        <v>&lt;a href="canciones/brotes_de_olivo/amaos_unos_a_otros.html"&gt;</v>
      </c>
      <c r="Y223"/>
      <c r="Z223" s="1"/>
      <c r="AA223" s="1"/>
      <c r="AB223" s="1"/>
      <c r="AC223" s="1"/>
    </row>
    <row r="224" spans="1:29" x14ac:dyDescent="0.3">
      <c r="A224" s="1">
        <f>ROW(CantoralDB[[#This Row],[Título]])-1</f>
        <v>223</v>
      </c>
      <c r="B224" s="1" t="s">
        <v>2370</v>
      </c>
      <c r="C224" s="1"/>
      <c r="H224" s="1" t="s">
        <v>1027</v>
      </c>
      <c r="I224" s="1" t="s">
        <v>2947</v>
      </c>
      <c r="J224" s="1" t="s">
        <v>605</v>
      </c>
      <c r="M224" s="15" t="s">
        <v>498</v>
      </c>
      <c r="N224" s="1" t="s">
        <v>2359</v>
      </c>
      <c r="O224" s="15">
        <v>11</v>
      </c>
      <c r="P224" s="15">
        <v>1974</v>
      </c>
      <c r="Q224" s="15" t="str" cm="1">
        <f t="array" ref="Q2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4" s="15" t="str" cm="1">
        <f t="array" ref="R2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canciones/brotes_de_olivo/yo_soy_el_que_sirve.html</v>
      </c>
      <c r="T224" s="1"/>
      <c r="U224" s="1"/>
      <c r="V224" s="32" t="s">
        <v>4354</v>
      </c>
      <c r="W2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href="canciones/brotes_de_olivo/yo_soy_el_que_sirve.html"&gt;Yo soy el que sirve&lt;/a&gt;&lt;/li&gt;</v>
      </c>
      <c r="X224" s="15" t="str">
        <f>_xlfn.TEXTBEFORE(_xlfn.TEXTAFTER(CantoralDB[[#This Row],[index.html]],"&gt;"),"&gt;")&amp;"&gt;"</f>
        <v>&lt;a href="canciones/brotes_de_olivo/yo_soy_el_que_sirve.html"&gt;</v>
      </c>
      <c r="Y224"/>
      <c r="Z224" s="1"/>
      <c r="AA224" s="1"/>
      <c r="AB224" s="1"/>
      <c r="AC224" s="1"/>
    </row>
    <row r="225" spans="1:29" x14ac:dyDescent="0.3">
      <c r="A225" s="1">
        <f>ROW(CantoralDB[[#This Row],[Título]])-1</f>
        <v>224</v>
      </c>
      <c r="B225" s="1" t="s">
        <v>2371</v>
      </c>
      <c r="C225" s="1"/>
      <c r="H225" s="1" t="s">
        <v>529</v>
      </c>
      <c r="I225" s="1" t="s">
        <v>2948</v>
      </c>
      <c r="J225" s="1" t="s">
        <v>605</v>
      </c>
      <c r="M225" s="15" t="s">
        <v>498</v>
      </c>
      <c r="N225" s="1" t="s">
        <v>2359</v>
      </c>
      <c r="O225" s="15">
        <v>12</v>
      </c>
      <c r="P225" s="15">
        <v>1974</v>
      </c>
      <c r="Q225" s="15" t="str" cm="1">
        <f t="array" ref="Q2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5" s="15" t="str" cm="1">
        <f t="array" ref="R2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canciones/brotes_de_olivo/la_vid_y_los_sarmientos.html</v>
      </c>
      <c r="T225" s="1"/>
      <c r="U225" s="1"/>
      <c r="V225" s="32" t="s">
        <v>4355</v>
      </c>
      <c r="W2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href="canciones/brotes_de_olivo/la_vid_y_los_sarmientos.html"&gt;La vid y los sarmientos&lt;/a&gt;&lt;/li&gt;</v>
      </c>
      <c r="X225" s="15" t="str">
        <f>_xlfn.TEXTBEFORE(_xlfn.TEXTAFTER(CantoralDB[[#This Row],[index.html]],"&gt;"),"&gt;")&amp;"&gt;"</f>
        <v>&lt;a href="canciones/brotes_de_olivo/la_vid_y_los_sarmientos.html"&gt;</v>
      </c>
      <c r="Y225"/>
      <c r="Z225" s="1"/>
      <c r="AA225" s="1"/>
      <c r="AB225" s="1"/>
      <c r="AC225" s="1"/>
    </row>
    <row r="226" spans="1:29" x14ac:dyDescent="0.3">
      <c r="A226" s="1">
        <f>ROW(CantoralDB[[#This Row],[Título]])-1</f>
        <v>225</v>
      </c>
      <c r="B226" s="1" t="s">
        <v>2372</v>
      </c>
      <c r="C226" s="1"/>
      <c r="H226" s="1" t="s">
        <v>1027</v>
      </c>
      <c r="I226" s="1" t="s">
        <v>2946</v>
      </c>
      <c r="J226" s="1" t="s">
        <v>605</v>
      </c>
      <c r="M226" s="15" t="s">
        <v>498</v>
      </c>
      <c r="N226" s="1" t="s">
        <v>2359</v>
      </c>
      <c r="O226" s="15">
        <v>13</v>
      </c>
      <c r="P226" s="15">
        <v>1974</v>
      </c>
      <c r="Q226" s="15" t="str" cm="1">
        <f t="array" ref="Q2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6" s="15" t="str" cm="1">
        <f t="array" ref="R2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canciones/brotes_de_olivo/siempre_estare_con_vosotros.html</v>
      </c>
      <c r="T226" s="1"/>
      <c r="U226" s="1"/>
      <c r="V226" s="32" t="s">
        <v>4356</v>
      </c>
      <c r="W2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href="canciones/brotes_de_olivo/siempre_estare_con_vosotros.html"&gt;Siempre estaré con vosotros&lt;/a&gt;&lt;/li&gt;</v>
      </c>
      <c r="X226" s="15" t="str">
        <f>_xlfn.TEXTBEFORE(_xlfn.TEXTAFTER(CantoralDB[[#This Row],[index.html]],"&gt;"),"&gt;")&amp;"&gt;"</f>
        <v>&lt;a href="canciones/brotes_de_olivo/siempre_estare_con_vosotros.html"&gt;</v>
      </c>
      <c r="Y226"/>
      <c r="Z226" s="1"/>
      <c r="AA226" s="1"/>
      <c r="AB226" s="1"/>
      <c r="AC226" s="1"/>
    </row>
    <row r="227" spans="1:29" x14ac:dyDescent="0.3">
      <c r="A227" s="1">
        <f>ROW(CantoralDB[[#This Row],[Título]])-1</f>
        <v>226</v>
      </c>
      <c r="B227" s="1" t="s">
        <v>2373</v>
      </c>
      <c r="C227" s="1"/>
      <c r="H227" s="1" t="s">
        <v>529</v>
      </c>
      <c r="I227" s="1" t="s">
        <v>2947</v>
      </c>
      <c r="J227" s="1" t="s">
        <v>605</v>
      </c>
      <c r="M227" s="15" t="s">
        <v>498</v>
      </c>
      <c r="N227" s="1" t="s">
        <v>2359</v>
      </c>
      <c r="O227" s="15">
        <v>14</v>
      </c>
      <c r="P227" s="15">
        <v>1974</v>
      </c>
      <c r="Q227" s="15" t="str" cm="1">
        <f t="array" ref="Q2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7" s="15" t="str" cm="1">
        <f t="array" ref="R2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canciones/brotes_de_olivo/el_juicio_de_cristo.html</v>
      </c>
      <c r="T227" s="1"/>
      <c r="U227" s="1"/>
      <c r="V227" s="32" t="s">
        <v>4357</v>
      </c>
      <c r="W2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href="canciones/brotes_de_olivo/el_juicio_de_cristo.html"&gt;El juicio de Cristo&lt;/a&gt;&lt;/li&gt;</v>
      </c>
      <c r="X227" s="15" t="str">
        <f>_xlfn.TEXTBEFORE(_xlfn.TEXTAFTER(CantoralDB[[#This Row],[index.html]],"&gt;"),"&gt;")&amp;"&gt;"</f>
        <v>&lt;a href="canciones/brotes_de_olivo/el_juicio_de_cristo.html"&gt;</v>
      </c>
      <c r="Y227"/>
      <c r="Z227" s="1"/>
      <c r="AA227" s="1"/>
      <c r="AB227" s="1"/>
      <c r="AC227" s="1"/>
    </row>
    <row r="228" spans="1:29" x14ac:dyDescent="0.3">
      <c r="A228" s="1">
        <f>ROW(CantoralDB[[#This Row],[Título]])-1</f>
        <v>227</v>
      </c>
      <c r="B228" s="1" t="s">
        <v>2374</v>
      </c>
      <c r="C228" s="1"/>
      <c r="H228" s="1" t="s">
        <v>472</v>
      </c>
      <c r="J228" s="1" t="s">
        <v>605</v>
      </c>
      <c r="M228" s="15" t="s">
        <v>498</v>
      </c>
      <c r="N228" s="1" t="s">
        <v>2359</v>
      </c>
      <c r="O228" s="15">
        <v>15</v>
      </c>
      <c r="P228" s="15">
        <v>1974</v>
      </c>
      <c r="Q228" s="15" t="str" cm="1">
        <f t="array" ref="Q2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8" s="15" t="str" cm="1">
        <f t="array" ref="R2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canciones/brotes_de_olivo/aleluya_el_señor_resucito.html</v>
      </c>
      <c r="T228" s="1"/>
      <c r="U228" s="1"/>
      <c r="V228" s="32" t="s">
        <v>4358</v>
      </c>
      <c r="W2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href="canciones/brotes_de_olivo/aleluya_el_señor_resucito.html"&gt;Aleluya, el Señor resucitó&lt;/a&gt;&lt;/li&gt;</v>
      </c>
      <c r="X228" s="15" t="str">
        <f>_xlfn.TEXTBEFORE(_xlfn.TEXTAFTER(CantoralDB[[#This Row],[index.html]],"&gt;"),"&gt;")&amp;"&gt;"</f>
        <v>&lt;a href="canciones/brotes_de_olivo/aleluya_el_señor_resucito.html"&gt;</v>
      </c>
      <c r="Y228"/>
      <c r="Z228" s="1"/>
      <c r="AA228" s="1"/>
      <c r="AB228" s="1"/>
      <c r="AC228" s="1"/>
    </row>
    <row r="229" spans="1:29" x14ac:dyDescent="0.3">
      <c r="A229" s="1">
        <f>ROW(CantoralDB[[#This Row],[Título]])-1</f>
        <v>228</v>
      </c>
      <c r="B229" s="1" t="s">
        <v>4824</v>
      </c>
      <c r="C229" s="1"/>
      <c r="H229" s="1" t="s">
        <v>529</v>
      </c>
      <c r="J229" s="1" t="s">
        <v>605</v>
      </c>
      <c r="M229" s="15" t="s">
        <v>498</v>
      </c>
      <c r="N229" s="1" t="s">
        <v>4822</v>
      </c>
      <c r="O229" s="15">
        <v>1</v>
      </c>
      <c r="P229" s="15">
        <v>1976</v>
      </c>
      <c r="Q229" s="15" t="str" cm="1">
        <f t="array" ref="Q2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29" s="15" t="str" cm="1">
        <f t="array" ref="R2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canciones/brotes_de_olivo/jesus_quien_eres_tu.html</v>
      </c>
      <c r="T229" s="1"/>
      <c r="U229" s="1"/>
      <c r="V229" s="32" t="s">
        <v>4843</v>
      </c>
      <c r="W2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href="canciones/brotes_de_olivo/jesus_quien_eres_tu.html"&gt;Jesús, quién eres tú&lt;/a&gt;&lt;/li&gt;</v>
      </c>
      <c r="X229" s="15" t="str">
        <f>_xlfn.TEXTBEFORE(_xlfn.TEXTAFTER(CantoralDB[[#This Row],[index.html]],"&gt;"),"&gt;")&amp;"&gt;"</f>
        <v>&lt;a href="canciones/brotes_de_olivo/jesus_quien_eres_tu.html"&gt;</v>
      </c>
      <c r="Y229"/>
      <c r="Z229" s="1"/>
      <c r="AA229" s="1"/>
      <c r="AB229" s="1"/>
      <c r="AC229" s="1"/>
    </row>
    <row r="230" spans="1:29" x14ac:dyDescent="0.3">
      <c r="A230" s="1">
        <f>ROW(CantoralDB[[#This Row],[Título]])-1</f>
        <v>229</v>
      </c>
      <c r="B230" s="1" t="s">
        <v>4825</v>
      </c>
      <c r="C230" s="1"/>
      <c r="H230" s="1" t="s">
        <v>529</v>
      </c>
      <c r="I230" s="1" t="s">
        <v>2947</v>
      </c>
      <c r="J230" s="1" t="s">
        <v>605</v>
      </c>
      <c r="M230" s="15" t="s">
        <v>498</v>
      </c>
      <c r="N230" s="1" t="s">
        <v>4822</v>
      </c>
      <c r="O230" s="15">
        <v>2</v>
      </c>
      <c r="P230" s="15">
        <v>1976</v>
      </c>
      <c r="Q230" s="15" t="str" cm="1">
        <f t="array" ref="Q2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0" s="15" t="str" cm="1">
        <f t="array" ref="R2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canciones/brotes_de_olivo/el_reino_esta_cerca.html</v>
      </c>
      <c r="T230" s="1"/>
      <c r="U230" s="1"/>
      <c r="V230" s="32" t="s">
        <v>4844</v>
      </c>
      <c r="W2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href="canciones/brotes_de_olivo/el_reino_esta_cerca.html"&gt;El Reino está cerca&lt;/a&gt;&lt;/li&gt;</v>
      </c>
      <c r="X230" s="15" t="str">
        <f>_xlfn.TEXTBEFORE(_xlfn.TEXTAFTER(CantoralDB[[#This Row],[index.html]],"&gt;"),"&gt;")&amp;"&gt;"</f>
        <v>&lt;a href="canciones/brotes_de_olivo/el_reino_esta_cerca.html"&gt;</v>
      </c>
      <c r="Y230"/>
      <c r="Z230" s="1"/>
      <c r="AA230" s="1"/>
      <c r="AB230" s="1"/>
      <c r="AC230" s="1"/>
    </row>
    <row r="231" spans="1:29" x14ac:dyDescent="0.3">
      <c r="A231" s="1">
        <f>ROW(CantoralDB[[#This Row],[Título]])-1</f>
        <v>230</v>
      </c>
      <c r="B231" s="1" t="s">
        <v>4826</v>
      </c>
      <c r="C231" s="1"/>
      <c r="H231" s="1" t="s">
        <v>472</v>
      </c>
      <c r="J231" s="1" t="s">
        <v>605</v>
      </c>
      <c r="M231" s="15" t="s">
        <v>498</v>
      </c>
      <c r="N231" s="1" t="s">
        <v>4822</v>
      </c>
      <c r="O231" s="15">
        <v>3</v>
      </c>
      <c r="P231" s="15">
        <v>1976</v>
      </c>
      <c r="Q231" s="15" t="str" cm="1">
        <f t="array" ref="Q2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1" s="15" t="str" cm="1">
        <f t="array" ref="R2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canciones/brotes_de_olivo/nadie_es_profeta_en_su_tierra.html</v>
      </c>
      <c r="T231" s="1"/>
      <c r="U231" s="1"/>
      <c r="V231" s="32" t="s">
        <v>4845</v>
      </c>
      <c r="W2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href="canciones/brotes_de_olivo/nadie_es_profeta_en_su_tierra.html"&gt;Nadie es profeta en su tierra&lt;/a&gt;&lt;/li&gt;</v>
      </c>
      <c r="X231" s="15" t="str">
        <f>_xlfn.TEXTBEFORE(_xlfn.TEXTAFTER(CantoralDB[[#This Row],[index.html]],"&gt;"),"&gt;")&amp;"&gt;"</f>
        <v>&lt;a href="canciones/brotes_de_olivo/nadie_es_profeta_en_su_tierra.html"&gt;</v>
      </c>
      <c r="Y231"/>
      <c r="Z231" s="1"/>
      <c r="AA231" s="1"/>
      <c r="AB231" s="1"/>
      <c r="AC231" s="1"/>
    </row>
    <row r="232" spans="1:29" x14ac:dyDescent="0.3">
      <c r="A232" s="1">
        <f>ROW(CantoralDB[[#This Row],[Título]])-1</f>
        <v>231</v>
      </c>
      <c r="B232" s="1" t="s">
        <v>4827</v>
      </c>
      <c r="C232" s="1"/>
      <c r="H232" s="1" t="s">
        <v>529</v>
      </c>
      <c r="I232" s="1" t="s">
        <v>2948</v>
      </c>
      <c r="J232" s="1" t="s">
        <v>605</v>
      </c>
      <c r="M232" s="15" t="s">
        <v>498</v>
      </c>
      <c r="N232" s="1" t="s">
        <v>4822</v>
      </c>
      <c r="O232" s="15">
        <v>4</v>
      </c>
      <c r="P232" s="15">
        <v>1976</v>
      </c>
      <c r="Q232" s="15" t="str" cm="1">
        <f t="array" ref="Q2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2" s="15" t="str" cm="1">
        <f t="array" ref="R2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canciones/brotes_de_olivo/los_mercaderes_del_templo.html</v>
      </c>
      <c r="T232" s="1"/>
      <c r="U232" s="1"/>
      <c r="V232" s="32" t="s">
        <v>4941</v>
      </c>
      <c r="W2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href="canciones/brotes_de_olivo/los_mercaderes_del_templo.html"&gt;Los mercaderes del templo&lt;/a&gt;&lt;/li&gt;</v>
      </c>
      <c r="X232" s="15" t="str">
        <f>_xlfn.TEXTBEFORE(_xlfn.TEXTAFTER(CantoralDB[[#This Row],[index.html]],"&gt;"),"&gt;")&amp;"&gt;"</f>
        <v>&lt;a href="canciones/brotes_de_olivo/los_mercaderes_del_templo.html"&gt;</v>
      </c>
      <c r="Y232"/>
      <c r="Z232" s="1"/>
      <c r="AA232" s="1"/>
      <c r="AB232" s="1"/>
      <c r="AC232" s="1"/>
    </row>
    <row r="233" spans="1:29" x14ac:dyDescent="0.3">
      <c r="A233" s="1">
        <f>ROW(CantoralDB[[#This Row],[Título]])-1</f>
        <v>232</v>
      </c>
      <c r="B233" s="1" t="s">
        <v>264</v>
      </c>
      <c r="C233" s="1" t="s">
        <v>198</v>
      </c>
      <c r="D233" s="1" t="s">
        <v>1454</v>
      </c>
      <c r="G233" s="1" t="s">
        <v>265</v>
      </c>
      <c r="H233" s="1" t="s">
        <v>529</v>
      </c>
      <c r="I233" s="1" t="s">
        <v>2948</v>
      </c>
      <c r="J233" s="1" t="s">
        <v>605</v>
      </c>
      <c r="M233" s="15" t="s">
        <v>498</v>
      </c>
      <c r="N233" s="1" t="s">
        <v>4822</v>
      </c>
      <c r="O233" s="15">
        <v>5</v>
      </c>
      <c r="P233" s="15">
        <v>1976</v>
      </c>
      <c r="Q233" s="15" t="str" cm="1">
        <f t="array" ref="Q2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3" s="15" t="str" cm="1">
        <f t="array" ref="R2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canciones/brotes_de_olivo/que_sea_mi_vida_la_sal.html</v>
      </c>
      <c r="T233" s="1" t="s">
        <v>812</v>
      </c>
      <c r="U233" s="1"/>
      <c r="V233" s="32" t="s">
        <v>4381</v>
      </c>
      <c r="W2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data-momento="Despedida" data-nnew="L07"&gt;&lt;a href="canciones/brotes_de_olivo/que_sea_mi_vida_la_sal.html"&gt;Que sea mi vida la sal&lt;/a&gt;&lt;/li&gt;</v>
      </c>
      <c r="X233" s="15" t="str">
        <f>_xlfn.TEXTBEFORE(_xlfn.TEXTAFTER(CantoralDB[[#This Row],[index.html]],"&gt;"),"&gt;")&amp;"&gt;"</f>
        <v>&lt;a href="canciones/brotes_de_olivo/que_sea_mi_vida_la_sal.html"&gt;</v>
      </c>
      <c r="Y233"/>
      <c r="Z233" s="1"/>
      <c r="AA233" s="1"/>
      <c r="AB233" s="1"/>
      <c r="AC233" s="1"/>
    </row>
    <row r="234" spans="1:29" x14ac:dyDescent="0.3">
      <c r="A234" s="1">
        <f>ROW(CantoralDB[[#This Row],[Título]])-1</f>
        <v>233</v>
      </c>
      <c r="B234" s="1" t="s">
        <v>4828</v>
      </c>
      <c r="C234" s="1"/>
      <c r="H234" s="1" t="s">
        <v>1024</v>
      </c>
      <c r="I234" s="1" t="s">
        <v>2949</v>
      </c>
      <c r="J234" s="1" t="s">
        <v>605</v>
      </c>
      <c r="M234" s="15" t="s">
        <v>498</v>
      </c>
      <c r="N234" s="1" t="s">
        <v>4822</v>
      </c>
      <c r="O234" s="15">
        <v>6</v>
      </c>
      <c r="P234" s="15">
        <v>1976</v>
      </c>
      <c r="Q234" s="15" t="str" cm="1">
        <f t="array" ref="Q2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4" s="15" t="str" cm="1">
        <f t="array" ref="R2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canciones/brotes_de_olivo/a_tu_altar_he_llegado.html</v>
      </c>
      <c r="T234" s="1"/>
      <c r="U234" s="1"/>
      <c r="V234" s="32" t="s">
        <v>4942</v>
      </c>
      <c r="W2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href="canciones/brotes_de_olivo/a_tu_altar_he_llegado.html"&gt;A tu altar he llegado&lt;/a&gt;&lt;/li&gt;</v>
      </c>
      <c r="X234" s="15" t="str">
        <f>_xlfn.TEXTBEFORE(_xlfn.TEXTAFTER(CantoralDB[[#This Row],[index.html]],"&gt;"),"&gt;")&amp;"&gt;"</f>
        <v>&lt;a href="canciones/brotes_de_olivo/a_tu_altar_he_llegado.html"&gt;</v>
      </c>
      <c r="Y234"/>
      <c r="Z234" s="1"/>
      <c r="AA234" s="1"/>
      <c r="AB234" s="1"/>
      <c r="AC234" s="1"/>
    </row>
    <row r="235" spans="1:29" x14ac:dyDescent="0.3">
      <c r="A235" s="1">
        <f>ROW(CantoralDB[[#This Row],[Título]])-1</f>
        <v>234</v>
      </c>
      <c r="B235" s="1" t="s">
        <v>4829</v>
      </c>
      <c r="C235" s="1"/>
      <c r="H235" s="1" t="s">
        <v>1027</v>
      </c>
      <c r="I235" s="1" t="s">
        <v>2945</v>
      </c>
      <c r="J235" s="1" t="s">
        <v>605</v>
      </c>
      <c r="M235" s="15" t="s">
        <v>498</v>
      </c>
      <c r="N235" s="1" t="s">
        <v>4822</v>
      </c>
      <c r="O235" s="15">
        <v>7</v>
      </c>
      <c r="P235" s="15">
        <v>1976</v>
      </c>
      <c r="Q235" s="15" t="str" cm="1">
        <f t="array" ref="Q2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5" s="15" t="str" cm="1">
        <f t="array" ref="R2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canciones/brotes_de_olivo/la_fe_del_centurion.html</v>
      </c>
      <c r="T235" s="1"/>
      <c r="U235" s="1"/>
      <c r="V235" s="32" t="s">
        <v>4943</v>
      </c>
      <c r="W2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href="canciones/brotes_de_olivo/la_fe_del_centurion.html"&gt;La fe del centurión&lt;/a&gt;&lt;/li&gt;</v>
      </c>
      <c r="X235" s="15" t="str">
        <f>_xlfn.TEXTBEFORE(_xlfn.TEXTAFTER(CantoralDB[[#This Row],[index.html]],"&gt;"),"&gt;")&amp;"&gt;"</f>
        <v>&lt;a href="canciones/brotes_de_olivo/la_fe_del_centurion.html"&gt;</v>
      </c>
      <c r="Y235"/>
      <c r="Z235" s="1"/>
      <c r="AA235" s="1"/>
      <c r="AB235" s="1"/>
      <c r="AC235" s="1"/>
    </row>
    <row r="236" spans="1:29" x14ac:dyDescent="0.3">
      <c r="A236" s="1">
        <f>ROW(CantoralDB[[#This Row],[Título]])-1</f>
        <v>235</v>
      </c>
      <c r="B236" s="1" t="s">
        <v>4830</v>
      </c>
      <c r="C236" s="1"/>
      <c r="H236" s="1" t="s">
        <v>529</v>
      </c>
      <c r="J236" s="1" t="s">
        <v>605</v>
      </c>
      <c r="M236" s="15" t="s">
        <v>498</v>
      </c>
      <c r="N236" s="1" t="s">
        <v>4822</v>
      </c>
      <c r="O236" s="15">
        <v>8</v>
      </c>
      <c r="P236" s="15">
        <v>1976</v>
      </c>
      <c r="Q236" s="15" t="str" cm="1">
        <f t="array" ref="Q2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6" s="15" t="str" cm="1">
        <f t="array" ref="R2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canciones/brotes_de_olivo/amad_a_los_enemigos.html</v>
      </c>
      <c r="T236" s="1"/>
      <c r="U236" s="1"/>
      <c r="V236" s="32" t="s">
        <v>4944</v>
      </c>
      <c r="W2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href="canciones/brotes_de_olivo/amad_a_los_enemigos.html"&gt;Amad a los enemigos&lt;/a&gt;&lt;/li&gt;</v>
      </c>
      <c r="X236" s="15" t="str">
        <f>_xlfn.TEXTBEFORE(_xlfn.TEXTAFTER(CantoralDB[[#This Row],[index.html]],"&gt;"),"&gt;")&amp;"&gt;"</f>
        <v>&lt;a href="canciones/brotes_de_olivo/amad_a_los_enemigos.html"&gt;</v>
      </c>
      <c r="Y236"/>
      <c r="Z236" s="1"/>
      <c r="AA236" s="1"/>
      <c r="AB236" s="1"/>
      <c r="AC236" s="1"/>
    </row>
    <row r="237" spans="1:29" x14ac:dyDescent="0.3">
      <c r="A237" s="1">
        <f>ROW(CantoralDB[[#This Row],[Título]])-1</f>
        <v>236</v>
      </c>
      <c r="B237" s="1" t="s">
        <v>4831</v>
      </c>
      <c r="C237" s="1"/>
      <c r="H237" s="1" t="s">
        <v>1027</v>
      </c>
      <c r="J237" s="1" t="s">
        <v>605</v>
      </c>
      <c r="M237" s="15" t="s">
        <v>498</v>
      </c>
      <c r="N237" s="1" t="s">
        <v>4822</v>
      </c>
      <c r="O237" s="15">
        <v>9</v>
      </c>
      <c r="P237" s="15">
        <v>1976</v>
      </c>
      <c r="Q237" s="15" t="str" cm="1">
        <f t="array" ref="Q2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7" s="15" t="str" cm="1">
        <f t="array" ref="R2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canciones/brotes_de_olivo/desapercibido.html</v>
      </c>
      <c r="T237" s="1"/>
      <c r="U237" s="1"/>
      <c r="V237" s="32" t="s">
        <v>4945</v>
      </c>
      <c r="W2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href="canciones/brotes_de_olivo/desapercibido.html"&gt;Desapercibido&lt;/a&gt;&lt;/li&gt;</v>
      </c>
      <c r="X237" s="15" t="str">
        <f>_xlfn.TEXTBEFORE(_xlfn.TEXTAFTER(CantoralDB[[#This Row],[index.html]],"&gt;"),"&gt;")&amp;"&gt;"</f>
        <v>&lt;a href="canciones/brotes_de_olivo/desapercibido.html"&gt;</v>
      </c>
      <c r="Y237"/>
      <c r="Z237" s="1"/>
      <c r="AA237" s="1"/>
      <c r="AB237" s="1"/>
      <c r="AC237" s="1"/>
    </row>
    <row r="238" spans="1:29" x14ac:dyDescent="0.3">
      <c r="A238" s="1">
        <f>ROW(CantoralDB[[#This Row],[Título]])-1</f>
        <v>237</v>
      </c>
      <c r="B238" s="1" t="s">
        <v>4832</v>
      </c>
      <c r="C238" s="1"/>
      <c r="H238" s="1" t="s">
        <v>529</v>
      </c>
      <c r="J238" s="1" t="s">
        <v>605</v>
      </c>
      <c r="M238" s="15" t="s">
        <v>498</v>
      </c>
      <c r="N238" s="1" t="s">
        <v>4822</v>
      </c>
      <c r="O238" s="15">
        <v>10</v>
      </c>
      <c r="P238" s="15">
        <v>1976</v>
      </c>
      <c r="Q238" s="15" t="str" cm="1">
        <f t="array" ref="Q2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8" s="15" t="str" cm="1">
        <f t="array" ref="R2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canciones/brotes_de_olivo/donde_esta_tu_tesoro.html</v>
      </c>
      <c r="T238" s="1"/>
      <c r="U238" s="1"/>
      <c r="V238" s="32" t="s">
        <v>4946</v>
      </c>
      <c r="W2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href="canciones/brotes_de_olivo/donde_esta_tu_tesoro.html"&gt;Dónde está tu tesoro&lt;/a&gt;&lt;/li&gt;</v>
      </c>
      <c r="X238" s="15" t="str">
        <f>_xlfn.TEXTBEFORE(_xlfn.TEXTAFTER(CantoralDB[[#This Row],[index.html]],"&gt;"),"&gt;")&amp;"&gt;"</f>
        <v>&lt;a href="canciones/brotes_de_olivo/donde_esta_tu_tesoro.html"&gt;</v>
      </c>
      <c r="Y238"/>
      <c r="Z238" s="1"/>
      <c r="AA238" s="1"/>
      <c r="AB238" s="1"/>
      <c r="AC238" s="1"/>
    </row>
    <row r="239" spans="1:29" x14ac:dyDescent="0.3">
      <c r="A239" s="1">
        <f>ROW(CantoralDB[[#This Row],[Título]])-1</f>
        <v>238</v>
      </c>
      <c r="B239" s="1" t="s">
        <v>4833</v>
      </c>
      <c r="C239" s="1"/>
      <c r="H239" s="1" t="s">
        <v>1025</v>
      </c>
      <c r="J239" s="1"/>
      <c r="M239" s="15" t="s">
        <v>498</v>
      </c>
      <c r="N239" s="1" t="s">
        <v>4822</v>
      </c>
      <c r="O239" s="15">
        <v>11</v>
      </c>
      <c r="P239" s="15">
        <v>1976</v>
      </c>
      <c r="Q239" s="15" t="str" cm="1">
        <f t="array" ref="Q2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39" s="15" t="str" cm="1">
        <f t="array" ref="R2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canciones/brotes_de_olivo/echad_las_redes.html</v>
      </c>
      <c r="T239" s="1"/>
      <c r="U239" s="1"/>
      <c r="V239" s="32" t="s">
        <v>4947</v>
      </c>
      <c r="W2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href="canciones/brotes_de_olivo/echad_las_redes.html"&gt;Echad las redes&lt;/a&gt;&lt;/li&gt;</v>
      </c>
      <c r="X239" s="15" t="str">
        <f>_xlfn.TEXTBEFORE(_xlfn.TEXTAFTER(CantoralDB[[#This Row],[index.html]],"&gt;"),"&gt;")&amp;"&gt;"</f>
        <v>&lt;a href="canciones/brotes_de_olivo/echad_las_redes.html"&gt;</v>
      </c>
      <c r="Y239"/>
      <c r="Z239" s="1"/>
      <c r="AA239" s="1"/>
      <c r="AB239" s="1"/>
      <c r="AC239" s="1"/>
    </row>
    <row r="240" spans="1:29" x14ac:dyDescent="0.3">
      <c r="A240" s="1">
        <f>ROW(CantoralDB[[#This Row],[Título]])-1</f>
        <v>239</v>
      </c>
      <c r="B240" s="1" t="s">
        <v>4834</v>
      </c>
      <c r="C240" s="1"/>
      <c r="H240" s="1" t="s">
        <v>1025</v>
      </c>
      <c r="J240" s="1"/>
      <c r="M240" s="15" t="s">
        <v>498</v>
      </c>
      <c r="N240" s="1" t="s">
        <v>4822</v>
      </c>
      <c r="O240" s="15">
        <v>12</v>
      </c>
      <c r="P240" s="15">
        <v>1976</v>
      </c>
      <c r="Q240" s="15" t="str" cm="1">
        <f t="array" ref="Q2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0" s="15" t="str" cm="1">
        <f t="array" ref="R2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canciones/brotes_de_olivo/ovejas_entre_lobos.html</v>
      </c>
      <c r="T240" s="1"/>
      <c r="U240" s="1"/>
      <c r="V240" s="32" t="s">
        <v>4948</v>
      </c>
      <c r="W2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href="canciones/brotes_de_olivo/ovejas_entre_lobos.html"&gt;Ovejas entre lobos&lt;/a&gt;&lt;/li&gt;</v>
      </c>
      <c r="X240" s="15" t="str">
        <f>_xlfn.TEXTBEFORE(_xlfn.TEXTAFTER(CantoralDB[[#This Row],[index.html]],"&gt;"),"&gt;")&amp;"&gt;"</f>
        <v>&lt;a href="canciones/brotes_de_olivo/ovejas_entre_lobos.html"&gt;</v>
      </c>
      <c r="Y240"/>
      <c r="Z240" s="1"/>
      <c r="AA240" s="1"/>
      <c r="AB240" s="1"/>
      <c r="AC240" s="1"/>
    </row>
    <row r="241" spans="1:29" x14ac:dyDescent="0.3">
      <c r="A241" s="1">
        <f>ROW(CantoralDB[[#This Row],[Título]])-1</f>
        <v>240</v>
      </c>
      <c r="B241" s="1" t="s">
        <v>2490</v>
      </c>
      <c r="C241" s="1"/>
      <c r="H241" s="1" t="s">
        <v>1025</v>
      </c>
      <c r="J241" s="1"/>
      <c r="M241" s="15" t="s">
        <v>498</v>
      </c>
      <c r="N241" s="1" t="s">
        <v>4823</v>
      </c>
      <c r="O241" s="15">
        <v>1</v>
      </c>
      <c r="P241" s="15">
        <v>1976</v>
      </c>
      <c r="Q241" s="15" t="str" cm="1">
        <f t="array" ref="Q2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1" s="15" t="str" cm="1">
        <f t="array" ref="R2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canciones/brotes_de_olivo/paz_a_vosotros.html</v>
      </c>
      <c r="T241" s="1"/>
      <c r="U241" s="1"/>
      <c r="V241" s="32" t="s">
        <v>4949</v>
      </c>
      <c r="W2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href="canciones/brotes_de_olivo/paz_a_vosotros.html"&gt;Paz a vosotros&lt;/a&gt;&lt;/li&gt;</v>
      </c>
      <c r="X241" s="15" t="str">
        <f>_xlfn.TEXTBEFORE(_xlfn.TEXTAFTER(CantoralDB[[#This Row],[index.html]],"&gt;"),"&gt;")&amp;"&gt;"</f>
        <v>&lt;a href="canciones/brotes_de_olivo/paz_a_vosotros.html"&gt;</v>
      </c>
      <c r="Y241"/>
      <c r="Z241" s="1"/>
      <c r="AA241" s="1"/>
      <c r="AB241" s="1"/>
      <c r="AC241" s="1"/>
    </row>
    <row r="242" spans="1:29" x14ac:dyDescent="0.3">
      <c r="A242" s="1">
        <f>ROW(CantoralDB[[#This Row],[Título]])-1</f>
        <v>241</v>
      </c>
      <c r="B242" s="1" t="s">
        <v>4835</v>
      </c>
      <c r="C242" s="1"/>
      <c r="H242" s="1" t="s">
        <v>1027</v>
      </c>
      <c r="J242" s="1"/>
      <c r="M242" s="15" t="s">
        <v>498</v>
      </c>
      <c r="N242" s="1" t="s">
        <v>4823</v>
      </c>
      <c r="O242" s="15">
        <v>2</v>
      </c>
      <c r="P242" s="15">
        <v>1976</v>
      </c>
      <c r="Q242" s="15" t="str" cm="1">
        <f t="array" ref="Q2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2" s="15" t="str" cm="1">
        <f t="array" ref="R2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canciones/brotes_de_olivo/multiplicacion_de_panes_y_peces.html</v>
      </c>
      <c r="T242" s="1"/>
      <c r="U242" s="1"/>
      <c r="V242" s="32" t="s">
        <v>4950</v>
      </c>
      <c r="W2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href="canciones/brotes_de_olivo/multiplicacion_de_panes_y_peces.html"&gt;Multiplicación de panes y peces&lt;/a&gt;&lt;/li&gt;</v>
      </c>
      <c r="X242" s="15" t="str">
        <f>_xlfn.TEXTBEFORE(_xlfn.TEXTAFTER(CantoralDB[[#This Row],[index.html]],"&gt;"),"&gt;")&amp;"&gt;"</f>
        <v>&lt;a href="canciones/brotes_de_olivo/multiplicacion_de_panes_y_peces.html"&gt;</v>
      </c>
      <c r="Y242"/>
      <c r="Z242" s="1"/>
      <c r="AA242" s="1"/>
      <c r="AB242" s="1"/>
      <c r="AC242" s="1"/>
    </row>
    <row r="243" spans="1:29" x14ac:dyDescent="0.3">
      <c r="A243" s="1">
        <f>ROW(CantoralDB[[#This Row],[Título]])-1</f>
        <v>242</v>
      </c>
      <c r="B243" s="1" t="s">
        <v>4836</v>
      </c>
      <c r="C243" s="1"/>
      <c r="H243" s="1" t="s">
        <v>1027</v>
      </c>
      <c r="J243" s="1"/>
      <c r="M243" s="15" t="s">
        <v>498</v>
      </c>
      <c r="N243" s="1" t="s">
        <v>4823</v>
      </c>
      <c r="O243" s="15">
        <v>3</v>
      </c>
      <c r="P243" s="15">
        <v>1976</v>
      </c>
      <c r="Q243" s="15" t="str" cm="1">
        <f t="array" ref="Q2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3" s="15" t="str" cm="1">
        <f t="array" ref="R2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canciones/brotes_de_olivo/hombres_de_poca_fe.html</v>
      </c>
      <c r="T243" s="1"/>
      <c r="U243" s="1"/>
      <c r="V243" s="32" t="s">
        <v>4951</v>
      </c>
      <c r="W2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href="canciones/brotes_de_olivo/hombres_de_poca_fe.html"&gt;Hombres de poca fe&lt;/a&gt;&lt;/li&gt;</v>
      </c>
      <c r="X243" s="15" t="str">
        <f>_xlfn.TEXTBEFORE(_xlfn.TEXTAFTER(CantoralDB[[#This Row],[index.html]],"&gt;"),"&gt;")&amp;"&gt;"</f>
        <v>&lt;a href="canciones/brotes_de_olivo/hombres_de_poca_fe.html"&gt;</v>
      </c>
      <c r="Y243"/>
      <c r="Z243" s="1"/>
      <c r="AA243" s="1"/>
      <c r="AB243" s="1"/>
      <c r="AC243" s="1"/>
    </row>
    <row r="244" spans="1:29" x14ac:dyDescent="0.3">
      <c r="A244" s="1">
        <f>ROW(CantoralDB[[#This Row],[Título]])-1</f>
        <v>243</v>
      </c>
      <c r="B244" s="1" t="s">
        <v>4837</v>
      </c>
      <c r="C244" s="1"/>
      <c r="H244" s="1" t="s">
        <v>1024</v>
      </c>
      <c r="J244" s="1"/>
      <c r="M244" s="15" t="s">
        <v>498</v>
      </c>
      <c r="N244" s="1" t="s">
        <v>4823</v>
      </c>
      <c r="O244" s="15">
        <v>4</v>
      </c>
      <c r="P244" s="15">
        <v>1976</v>
      </c>
      <c r="Q244" s="15" t="str" cm="1">
        <f t="array" ref="Q2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4" s="15" t="str" cm="1">
        <f t="array" ref="R2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canciones/brotes_de_olivo/la_oveja_perdida.html</v>
      </c>
      <c r="T244" s="1"/>
      <c r="U244" s="1"/>
      <c r="V244" s="32" t="s">
        <v>4952</v>
      </c>
      <c r="W2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href="canciones/brotes_de_olivo/la_oveja_perdida.html"&gt;La oveja perdida&lt;/a&gt;&lt;/li&gt;</v>
      </c>
      <c r="X244" s="15" t="str">
        <f>_xlfn.TEXTBEFORE(_xlfn.TEXTAFTER(CantoralDB[[#This Row],[index.html]],"&gt;"),"&gt;")&amp;"&gt;"</f>
        <v>&lt;a href="canciones/brotes_de_olivo/la_oveja_perdida.html"&gt;</v>
      </c>
      <c r="Y244"/>
      <c r="Z244" s="1"/>
      <c r="AA244" s="1"/>
      <c r="AB244" s="1"/>
      <c r="AC244" s="1"/>
    </row>
    <row r="245" spans="1:29" x14ac:dyDescent="0.3">
      <c r="A245" s="1">
        <f>ROW(CantoralDB[[#This Row],[Título]])-1</f>
        <v>244</v>
      </c>
      <c r="B245" s="1" t="s">
        <v>4838</v>
      </c>
      <c r="C245" s="1"/>
      <c r="H245" s="1" t="s">
        <v>1040</v>
      </c>
      <c r="J245" s="1"/>
      <c r="M245" s="15" t="s">
        <v>498</v>
      </c>
      <c r="N245" s="1" t="s">
        <v>4823</v>
      </c>
      <c r="O245" s="15">
        <v>5</v>
      </c>
      <c r="P245" s="15">
        <v>1976</v>
      </c>
      <c r="Q245" s="15" t="str" cm="1">
        <f t="array" ref="Q2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5" s="15" t="str" cm="1">
        <f t="array" ref="R2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canciones/brotes_de_olivo/toma_tu_cruz_y_sigueme.html</v>
      </c>
      <c r="T245" s="1"/>
      <c r="U245" s="1"/>
      <c r="V245" s="32" t="s">
        <v>4953</v>
      </c>
      <c r="W2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href="canciones/brotes_de_olivo/toma_tu_cruz_y_sigueme.html"&gt;Toma tu cruz y sígueme&lt;/a&gt;&lt;/li&gt;</v>
      </c>
      <c r="X245" s="15" t="str">
        <f>_xlfn.TEXTBEFORE(_xlfn.TEXTAFTER(CantoralDB[[#This Row],[index.html]],"&gt;"),"&gt;")&amp;"&gt;"</f>
        <v>&lt;a href="canciones/brotes_de_olivo/toma_tu_cruz_y_sigueme.html"&gt;</v>
      </c>
      <c r="Y245"/>
      <c r="Z245" s="1"/>
      <c r="AA245" s="1"/>
      <c r="AB245" s="1"/>
      <c r="AC245" s="1"/>
    </row>
    <row r="246" spans="1:29" x14ac:dyDescent="0.3">
      <c r="A246" s="1">
        <f>ROW(CantoralDB[[#This Row],[Título]])-1</f>
        <v>245</v>
      </c>
      <c r="B246" s="1" t="s">
        <v>4839</v>
      </c>
      <c r="C246" s="1"/>
      <c r="H246" s="1" t="s">
        <v>529</v>
      </c>
      <c r="J246" s="1"/>
      <c r="M246" s="15" t="s">
        <v>498</v>
      </c>
      <c r="N246" s="1" t="s">
        <v>4823</v>
      </c>
      <c r="O246" s="15">
        <v>6</v>
      </c>
      <c r="P246" s="15">
        <v>1976</v>
      </c>
      <c r="Q246" s="15" t="str" cm="1">
        <f t="array" ref="Q2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6" s="15" t="str" cm="1">
        <f t="array" ref="R2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canciones/brotes_de_olivo/daras_la_mitad_de_tus_bienes.html</v>
      </c>
      <c r="T246" s="1"/>
      <c r="U246" s="1"/>
      <c r="V246" s="32" t="s">
        <v>4954</v>
      </c>
      <c r="W2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href="canciones/brotes_de_olivo/daras_la_mitad_de_tus_bienes.html"&gt;Darás la mitad de tus bienes&lt;/a&gt;&lt;/li&gt;</v>
      </c>
      <c r="X246" s="15" t="str">
        <f>_xlfn.TEXTBEFORE(_xlfn.TEXTAFTER(CantoralDB[[#This Row],[index.html]],"&gt;"),"&gt;")&amp;"&gt;"</f>
        <v>&lt;a href="canciones/brotes_de_olivo/daras_la_mitad_de_tus_bienes.html"&gt;</v>
      </c>
      <c r="Y246"/>
      <c r="Z246" s="1"/>
      <c r="AA246" s="1"/>
      <c r="AB246" s="1"/>
      <c r="AC246" s="1"/>
    </row>
    <row r="247" spans="1:29" x14ac:dyDescent="0.3">
      <c r="A247" s="1">
        <f>ROW(CantoralDB[[#This Row],[Título]])-1</f>
        <v>246</v>
      </c>
      <c r="B247" s="1" t="s">
        <v>4840</v>
      </c>
      <c r="C247" s="1"/>
      <c r="H247" s="1" t="s">
        <v>1027</v>
      </c>
      <c r="J247" s="1"/>
      <c r="M247" s="15" t="s">
        <v>498</v>
      </c>
      <c r="N247" s="1" t="s">
        <v>4823</v>
      </c>
      <c r="O247" s="15">
        <v>7</v>
      </c>
      <c r="P247" s="15">
        <v>1976</v>
      </c>
      <c r="Q247" s="15" t="str" cm="1">
        <f t="array" ref="Q2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7" s="15" t="str" cm="1">
        <f t="array" ref="R2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canciones/brotes_de_olivo/dejadlos_venir_a_mi.html</v>
      </c>
      <c r="T247" s="1"/>
      <c r="U247" s="1"/>
      <c r="V247" s="32" t="s">
        <v>4955</v>
      </c>
      <c r="W2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href="canciones/brotes_de_olivo/dejadlos_venir_a_mi.html"&gt;Dejadlos venir a mí&lt;/a&gt;&lt;/li&gt;</v>
      </c>
      <c r="X247" s="15" t="str">
        <f>_xlfn.TEXTBEFORE(_xlfn.TEXTAFTER(CantoralDB[[#This Row],[index.html]],"&gt;"),"&gt;")&amp;"&gt;"</f>
        <v>&lt;a href="canciones/brotes_de_olivo/dejadlos_venir_a_mi.html"&gt;</v>
      </c>
      <c r="Y247"/>
      <c r="Z247" s="1"/>
      <c r="AA247" s="1"/>
      <c r="AB247" s="1"/>
      <c r="AC247" s="1"/>
    </row>
    <row r="248" spans="1:29" x14ac:dyDescent="0.3">
      <c r="A248" s="1">
        <f>ROW(CantoralDB[[#This Row],[Título]])-1</f>
        <v>247</v>
      </c>
      <c r="B248" s="1" t="s">
        <v>4682</v>
      </c>
      <c r="C248" s="1"/>
      <c r="H248" s="1" t="s">
        <v>2954</v>
      </c>
      <c r="J248" s="1"/>
      <c r="M248" s="15" t="s">
        <v>498</v>
      </c>
      <c r="N248" s="1" t="s">
        <v>4823</v>
      </c>
      <c r="O248" s="15">
        <v>8</v>
      </c>
      <c r="P248" s="15">
        <v>1976</v>
      </c>
      <c r="Q248" s="15" t="str" cm="1">
        <f t="array" ref="Q2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8" s="15" t="str" cm="1">
        <f t="array" ref="R2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canciones/brotes_de_olivo/el_joven_rico.html</v>
      </c>
      <c r="T248" s="1"/>
      <c r="U248" s="1"/>
      <c r="V248" s="32" t="s">
        <v>4956</v>
      </c>
      <c r="W2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href="canciones/brotes_de_olivo/el_joven_rico.html"&gt;El joven rico&lt;/a&gt;&lt;/li&gt;</v>
      </c>
      <c r="X248" s="15" t="str">
        <f>_xlfn.TEXTBEFORE(_xlfn.TEXTAFTER(CantoralDB[[#This Row],[index.html]],"&gt;"),"&gt;")&amp;"&gt;"</f>
        <v>&lt;a href="canciones/brotes_de_olivo/el_joven_rico.html"&gt;</v>
      </c>
      <c r="Y248"/>
      <c r="Z248" s="1"/>
      <c r="AA248" s="1"/>
      <c r="AB248" s="1"/>
      <c r="AC248" s="1"/>
    </row>
    <row r="249" spans="1:29" x14ac:dyDescent="0.3">
      <c r="A249" s="1">
        <f>ROW(CantoralDB[[#This Row],[Título]])-1</f>
        <v>248</v>
      </c>
      <c r="B249" s="1" t="s">
        <v>4841</v>
      </c>
      <c r="C249" s="1"/>
      <c r="H249" s="1" t="s">
        <v>1025</v>
      </c>
      <c r="J249" s="1"/>
      <c r="M249" s="15" t="s">
        <v>498</v>
      </c>
      <c r="N249" s="1" t="s">
        <v>4823</v>
      </c>
      <c r="O249" s="15">
        <v>10</v>
      </c>
      <c r="P249" s="15">
        <v>1976</v>
      </c>
      <c r="Q249" s="15" t="str" cm="1">
        <f t="array" ref="Q2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49" s="15" t="str" cm="1">
        <f t="array" ref="R2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canciones/brotes_de_olivo/el_juicio_final.html</v>
      </c>
      <c r="T249" s="1"/>
      <c r="U249" s="1"/>
      <c r="V249" s="32" t="s">
        <v>4957</v>
      </c>
      <c r="W2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href="canciones/brotes_de_olivo/el_juicio_final.html"&gt;El juicio final&lt;/a&gt;&lt;/li&gt;</v>
      </c>
      <c r="X249" s="15" t="str">
        <f>_xlfn.TEXTBEFORE(_xlfn.TEXTAFTER(CantoralDB[[#This Row],[index.html]],"&gt;"),"&gt;")&amp;"&gt;"</f>
        <v>&lt;a href="canciones/brotes_de_olivo/el_juicio_final.html"&gt;</v>
      </c>
      <c r="Y249"/>
      <c r="Z249" s="1"/>
      <c r="AA249" s="1"/>
      <c r="AB249" s="1"/>
      <c r="AC249" s="1"/>
    </row>
    <row r="250" spans="1:29" x14ac:dyDescent="0.3">
      <c r="A250" s="1">
        <f>ROW(CantoralDB[[#This Row],[Título]])-1</f>
        <v>249</v>
      </c>
      <c r="B250" s="1" t="s">
        <v>3262</v>
      </c>
      <c r="C250" s="1"/>
      <c r="H250" s="1" t="s">
        <v>2954</v>
      </c>
      <c r="J250" s="1"/>
      <c r="M250" s="15" t="s">
        <v>498</v>
      </c>
      <c r="N250" s="1" t="s">
        <v>4823</v>
      </c>
      <c r="O250" s="15">
        <v>11</v>
      </c>
      <c r="P250" s="15">
        <v>1976</v>
      </c>
      <c r="Q250" s="15" t="str" cm="1">
        <f t="array" ref="Q2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0" s="15" t="str" cm="1">
        <f t="array" ref="R2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canciones/brotes_de_olivo/ven_a_mi.html</v>
      </c>
      <c r="T250" s="1"/>
      <c r="U250" s="1"/>
      <c r="V250" s="32" t="s">
        <v>4958</v>
      </c>
      <c r="W2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href="canciones/brotes_de_olivo/ven_a_mi.html"&gt;Ven a mí&lt;/a&gt;&lt;/li&gt;</v>
      </c>
      <c r="X250" s="15" t="str">
        <f>_xlfn.TEXTBEFORE(_xlfn.TEXTAFTER(CantoralDB[[#This Row],[index.html]],"&gt;"),"&gt;")&amp;"&gt;"</f>
        <v>&lt;a href="canciones/brotes_de_olivo/ven_a_mi.html"&gt;</v>
      </c>
      <c r="Y250"/>
      <c r="Z250" s="1"/>
      <c r="AA250" s="1"/>
      <c r="AB250" s="1"/>
      <c r="AC250" s="1"/>
    </row>
    <row r="251" spans="1:29" x14ac:dyDescent="0.3">
      <c r="A251" s="1">
        <f>ROW(CantoralDB[[#This Row],[Título]])-1</f>
        <v>250</v>
      </c>
      <c r="B251" s="1" t="s">
        <v>4842</v>
      </c>
      <c r="C251" s="1"/>
      <c r="H251" s="1" t="s">
        <v>529</v>
      </c>
      <c r="J251" s="1"/>
      <c r="M251" s="15" t="s">
        <v>498</v>
      </c>
      <c r="N251" s="1" t="s">
        <v>4823</v>
      </c>
      <c r="O251" s="15">
        <v>12</v>
      </c>
      <c r="P251" s="15">
        <v>1976</v>
      </c>
      <c r="Q251" s="15" t="str" cm="1">
        <f t="array" ref="Q2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1" s="15" t="str" cm="1">
        <f t="array" ref="R2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canciones/brotes_de_olivo/jesus_tu_eres.html</v>
      </c>
      <c r="T251" s="1"/>
      <c r="U251" s="1"/>
      <c r="V251" s="32" t="s">
        <v>4959</v>
      </c>
      <c r="W2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href="canciones/brotes_de_olivo/jesus_tu_eres.html"&gt;Jesús, tú eres&lt;/a&gt;&lt;/li&gt;</v>
      </c>
      <c r="X251" s="15" t="str">
        <f>_xlfn.TEXTBEFORE(_xlfn.TEXTAFTER(CantoralDB[[#This Row],[index.html]],"&gt;"),"&gt;")&amp;"&gt;"</f>
        <v>&lt;a href="canciones/brotes_de_olivo/jesus_tu_eres.html"&gt;</v>
      </c>
      <c r="Y251"/>
      <c r="Z251" s="1"/>
      <c r="AA251" s="1"/>
      <c r="AB251" s="1"/>
      <c r="AC251" s="1"/>
    </row>
    <row r="252" spans="1:29" x14ac:dyDescent="0.3">
      <c r="A252" s="1">
        <f>ROW(CantoralDB[[#This Row],[Título]])-1</f>
        <v>251</v>
      </c>
      <c r="B252" s="1" t="s">
        <v>15</v>
      </c>
      <c r="C252" s="1" t="s">
        <v>193</v>
      </c>
      <c r="D252" s="1" t="s">
        <v>1371</v>
      </c>
      <c r="E252" s="1">
        <v>405</v>
      </c>
      <c r="G252" s="1" t="s">
        <v>208</v>
      </c>
      <c r="H252" s="1" t="s">
        <v>1027</v>
      </c>
      <c r="J252" s="1" t="s">
        <v>605</v>
      </c>
      <c r="M252" s="15" t="s">
        <v>498</v>
      </c>
      <c r="N252" s="1" t="s">
        <v>4776</v>
      </c>
      <c r="O252" s="15"/>
      <c r="P252" s="15"/>
      <c r="Q252" s="15" t="str" cm="1">
        <f t="array" ref="Q2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2" s="15" t="str" cm="1">
        <f t="array" ref="R2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canciones/brotes_de_olivo/aleluya_cantara.html</v>
      </c>
      <c r="T252" s="1"/>
      <c r="U252" s="1"/>
      <c r="V252" s="32" t="s">
        <v>4371</v>
      </c>
      <c r="W2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data-momento="Aleluya" data-nnew="E04" data-nold="405"&gt;&lt;a href="canciones/brotes_de_olivo/aleluya_cantara.html"&gt;Aleluya cantará&lt;/a&gt;&lt;/li&gt;</v>
      </c>
      <c r="X252" s="15" t="str">
        <f>_xlfn.TEXTBEFORE(_xlfn.TEXTAFTER(CantoralDB[[#This Row],[index.html]],"&gt;"),"&gt;")&amp;"&gt;"</f>
        <v>&lt;a href="canciones/brotes_de_olivo/aleluya_cantara.html"&gt;</v>
      </c>
      <c r="Y252"/>
      <c r="Z252" s="1"/>
      <c r="AA252" s="1"/>
      <c r="AB252" s="1"/>
      <c r="AC252" s="1"/>
    </row>
    <row r="253" spans="1:29" x14ac:dyDescent="0.3">
      <c r="A253" s="1">
        <f>ROW(CantoralDB[[#This Row],[Título]])-1</f>
        <v>252</v>
      </c>
      <c r="B253" s="1" t="s">
        <v>3088</v>
      </c>
      <c r="C253" s="1"/>
      <c r="H253" s="1" t="s">
        <v>529</v>
      </c>
      <c r="I253" s="1" t="s">
        <v>2947</v>
      </c>
      <c r="J253" s="1" t="s">
        <v>605</v>
      </c>
      <c r="M253" s="15" t="s">
        <v>498</v>
      </c>
      <c r="N253" s="1" t="s">
        <v>3087</v>
      </c>
      <c r="O253" s="15">
        <v>1</v>
      </c>
      <c r="P253" s="15">
        <v>1974</v>
      </c>
      <c r="Q253" s="15" t="str" cm="1">
        <f t="array" ref="Q2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3" s="15" t="str" cm="1">
        <f t="array" ref="R2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canciones/brotes_de_olivo/señor_envianos_a_tu_hijo.html</v>
      </c>
      <c r="T253" s="1"/>
      <c r="U253" s="1"/>
      <c r="V253" s="32" t="s">
        <v>3099</v>
      </c>
      <c r="W2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href="canciones/brotes_de_olivo/señor_envianos_a_tu_hijo.html"&gt;Señor, envíanos a tu Hijo&lt;/a&gt;&lt;/li&gt;</v>
      </c>
      <c r="X253" s="15" t="str">
        <f>_xlfn.TEXTBEFORE(_xlfn.TEXTAFTER(CantoralDB[[#This Row],[index.html]],"&gt;"),"&gt;")&amp;"&gt;"</f>
        <v>&lt;a href="canciones/brotes_de_olivo/señor_envianos_a_tu_hijo.html"&gt;</v>
      </c>
      <c r="Y253"/>
      <c r="Z253" s="1"/>
      <c r="AA253" s="1"/>
      <c r="AB253" s="1"/>
      <c r="AC253" s="1"/>
    </row>
    <row r="254" spans="1:29" x14ac:dyDescent="0.3">
      <c r="A254" s="1">
        <f>ROW(CantoralDB[[#This Row],[Título]])-1</f>
        <v>253</v>
      </c>
      <c r="B254" s="1" t="s">
        <v>3089</v>
      </c>
      <c r="C254" s="1"/>
      <c r="H254" s="1" t="s">
        <v>1027</v>
      </c>
      <c r="J254" s="1" t="s">
        <v>605</v>
      </c>
      <c r="M254" s="15" t="s">
        <v>498</v>
      </c>
      <c r="N254" s="1" t="s">
        <v>3087</v>
      </c>
      <c r="O254" s="15">
        <v>2</v>
      </c>
      <c r="P254" s="15">
        <v>1974</v>
      </c>
      <c r="Q254" s="15" t="str" cm="1">
        <f t="array" ref="Q2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4" s="15" t="str" cm="1">
        <f t="array" ref="R2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canciones/brotes_de_olivo/monologo_de_zacarias.html</v>
      </c>
      <c r="T254" s="1"/>
      <c r="U254" s="1"/>
      <c r="V254" s="32" t="s">
        <v>4359</v>
      </c>
      <c r="W2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href="canciones/brotes_de_olivo/monologo_de_zacarias.html"&gt;Monólogo de Zacarías&lt;/a&gt;&lt;/li&gt;</v>
      </c>
      <c r="X254" s="15" t="str">
        <f>_xlfn.TEXTBEFORE(_xlfn.TEXTAFTER(CantoralDB[[#This Row],[index.html]],"&gt;"),"&gt;")&amp;"&gt;"</f>
        <v>&lt;a href="canciones/brotes_de_olivo/monologo_de_zacarias.html"&gt;</v>
      </c>
      <c r="Y254"/>
      <c r="Z254" s="1"/>
      <c r="AA254" s="1"/>
      <c r="AB254" s="1"/>
      <c r="AC254" s="1"/>
    </row>
    <row r="255" spans="1:29" x14ac:dyDescent="0.3">
      <c r="A255" s="1">
        <f>ROW(CantoralDB[[#This Row],[Título]])-1</f>
        <v>254</v>
      </c>
      <c r="B255" s="1" t="s">
        <v>1541</v>
      </c>
      <c r="C255" s="1"/>
      <c r="H255" s="1" t="s">
        <v>1027</v>
      </c>
      <c r="I255" s="1" t="s">
        <v>2945</v>
      </c>
      <c r="J255" s="1" t="s">
        <v>605</v>
      </c>
      <c r="M255" s="15" t="s">
        <v>498</v>
      </c>
      <c r="N255" s="1" t="s">
        <v>3087</v>
      </c>
      <c r="O255" s="15">
        <v>3</v>
      </c>
      <c r="P255" s="15">
        <v>1974</v>
      </c>
      <c r="Q255" s="15" t="str" cm="1">
        <f t="array" ref="Q2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5" s="15" t="str" cm="1">
        <f t="array" ref="R2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canciones/brotes_de_olivo/magnificat.html</v>
      </c>
      <c r="T255" s="1"/>
      <c r="U255" s="1"/>
      <c r="V255" s="32" t="s">
        <v>3100</v>
      </c>
      <c r="W2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href="canciones/brotes_de_olivo/magnificat.html"&gt;Magnificat&lt;/a&gt;&lt;/li&gt;</v>
      </c>
      <c r="X255" s="15" t="str">
        <f>_xlfn.TEXTBEFORE(_xlfn.TEXTAFTER(CantoralDB[[#This Row],[index.html]],"&gt;"),"&gt;")&amp;"&gt;"</f>
        <v>&lt;a href="canciones/brotes_de_olivo/magnificat.html"&gt;</v>
      </c>
      <c r="Y255"/>
      <c r="Z255" s="1"/>
      <c r="AA255" s="1"/>
      <c r="AB255" s="1"/>
      <c r="AC255" s="1"/>
    </row>
    <row r="256" spans="1:29" x14ac:dyDescent="0.3">
      <c r="A256" s="1">
        <f>ROW(CantoralDB[[#This Row],[Título]])-1</f>
        <v>255</v>
      </c>
      <c r="B256" s="1" t="s">
        <v>3090</v>
      </c>
      <c r="C256" s="1"/>
      <c r="H256" s="1" t="s">
        <v>529</v>
      </c>
      <c r="J256" s="1" t="s">
        <v>605</v>
      </c>
      <c r="M256" s="15" t="s">
        <v>498</v>
      </c>
      <c r="N256" s="1" t="s">
        <v>3087</v>
      </c>
      <c r="O256" s="15">
        <v>4</v>
      </c>
      <c r="P256" s="15">
        <v>1974</v>
      </c>
      <c r="Q256" s="15" t="str" cm="1">
        <f t="array" ref="Q2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6" s="15" t="str" cm="1">
        <f t="array" ref="R2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canciones/brotes_de_olivo/buscando_posada.html</v>
      </c>
      <c r="T256" s="1"/>
      <c r="U256" s="1"/>
      <c r="V256" s="32" t="s">
        <v>4360</v>
      </c>
      <c r="W2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href="canciones/brotes_de_olivo/buscando_posada.html"&gt;Buscando posada&lt;/a&gt;&lt;/li&gt;</v>
      </c>
      <c r="X256" s="15" t="str">
        <f>_xlfn.TEXTBEFORE(_xlfn.TEXTAFTER(CantoralDB[[#This Row],[index.html]],"&gt;"),"&gt;")&amp;"&gt;"</f>
        <v>&lt;a href="canciones/brotes_de_olivo/buscando_posada.html"&gt;</v>
      </c>
      <c r="Y256"/>
      <c r="Z256" s="1"/>
      <c r="AA256" s="1"/>
      <c r="AB256" s="1"/>
      <c r="AC256" s="1"/>
    </row>
    <row r="257" spans="1:29" x14ac:dyDescent="0.3">
      <c r="A257" s="1">
        <f>ROW(CantoralDB[[#This Row],[Título]])-1</f>
        <v>256</v>
      </c>
      <c r="B257" s="1" t="s">
        <v>3091</v>
      </c>
      <c r="C257" s="1"/>
      <c r="H257" s="1" t="s">
        <v>1027</v>
      </c>
      <c r="J257" s="1" t="s">
        <v>605</v>
      </c>
      <c r="M257" s="15" t="s">
        <v>498</v>
      </c>
      <c r="N257" s="1" t="s">
        <v>3087</v>
      </c>
      <c r="O257" s="15">
        <v>5</v>
      </c>
      <c r="P257" s="15">
        <v>1974</v>
      </c>
      <c r="Q257" s="15" t="str" cm="1">
        <f t="array" ref="Q2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7" s="15" t="str" cm="1">
        <f t="array" ref="R2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canciones/brotes_de_olivo/madre_de_dios.html</v>
      </c>
      <c r="T257" s="1"/>
      <c r="U257" s="1"/>
      <c r="V257" s="32" t="s">
        <v>4361</v>
      </c>
      <c r="W2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href="canciones/brotes_de_olivo/madre_de_dios.html"&gt;Madre de Dios&lt;/a&gt;&lt;/li&gt;</v>
      </c>
      <c r="X257" s="15" t="str">
        <f>_xlfn.TEXTBEFORE(_xlfn.TEXTAFTER(CantoralDB[[#This Row],[index.html]],"&gt;"),"&gt;")&amp;"&gt;"</f>
        <v>&lt;a href="canciones/brotes_de_olivo/madre_de_dios.html"&gt;</v>
      </c>
      <c r="Y257"/>
      <c r="Z257" s="1"/>
      <c r="AA257" s="1"/>
      <c r="AB257" s="1"/>
      <c r="AC257" s="1"/>
    </row>
    <row r="258" spans="1:29" x14ac:dyDescent="0.3">
      <c r="A258" s="1">
        <f>ROW(CantoralDB[[#This Row],[Título]])-1</f>
        <v>257</v>
      </c>
      <c r="B258" s="1" t="s">
        <v>4777</v>
      </c>
      <c r="C258" s="1"/>
      <c r="H258" s="1" t="s">
        <v>1026</v>
      </c>
      <c r="I258" s="1" t="s">
        <v>2945</v>
      </c>
      <c r="J258" s="1" t="s">
        <v>605</v>
      </c>
      <c r="M258" s="15" t="s">
        <v>498</v>
      </c>
      <c r="N258" s="1" t="s">
        <v>3087</v>
      </c>
      <c r="O258" s="15">
        <v>6</v>
      </c>
      <c r="P258" s="15">
        <v>1974</v>
      </c>
      <c r="Q258" s="15" t="str" cm="1">
        <f t="array" ref="Q2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8" s="15" t="str" cm="1">
        <f t="array" ref="R2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canciones/brotes_de_olivo/gloria_a_dios_en_los_cielos.html</v>
      </c>
      <c r="T258" s="1"/>
      <c r="U258" s="1"/>
      <c r="V258" s="32" t="s">
        <v>4362</v>
      </c>
      <c r="W2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href="canciones/brotes_de_olivo/gloria_a_dios_en_los_cielos.html"&gt;Gloria a Dios en los cielos&lt;/a&gt;&lt;/li&gt;</v>
      </c>
      <c r="X258" s="15" t="str">
        <f>_xlfn.TEXTBEFORE(_xlfn.TEXTAFTER(CantoralDB[[#This Row],[index.html]],"&gt;"),"&gt;")&amp;"&gt;"</f>
        <v>&lt;a href="canciones/brotes_de_olivo/gloria_a_dios_en_los_cielos.html"&gt;</v>
      </c>
      <c r="Y258"/>
      <c r="Z258" s="1"/>
      <c r="AA258" s="1"/>
      <c r="AB258" s="1"/>
      <c r="AC258" s="1"/>
    </row>
    <row r="259" spans="1:29" x14ac:dyDescent="0.3">
      <c r="A259" s="1">
        <f>ROW(CantoralDB[[#This Row],[Título]])-1</f>
        <v>258</v>
      </c>
      <c r="B259" s="1" t="s">
        <v>3092</v>
      </c>
      <c r="C259" s="1"/>
      <c r="H259" s="1" t="s">
        <v>1026</v>
      </c>
      <c r="I259" s="1" t="s">
        <v>2945</v>
      </c>
      <c r="J259" s="1" t="s">
        <v>605</v>
      </c>
      <c r="M259" s="15" t="s">
        <v>498</v>
      </c>
      <c r="N259" s="1" t="s">
        <v>3087</v>
      </c>
      <c r="O259" s="15">
        <v>7</v>
      </c>
      <c r="P259" s="15">
        <v>1974</v>
      </c>
      <c r="Q259" s="15" t="str" cm="1">
        <f t="array" ref="Q2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59" s="15" t="str" cm="1">
        <f t="array" ref="R2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canciones/brotes_de_olivo/navidad_en_el_corazon.html</v>
      </c>
      <c r="T259" s="1"/>
      <c r="U259" s="1"/>
      <c r="V259" s="32" t="s">
        <v>4363</v>
      </c>
      <c r="W2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href="canciones/brotes_de_olivo/navidad_en_el_corazon.html"&gt;Navidad en el corazón&lt;/a&gt;&lt;/li&gt;</v>
      </c>
      <c r="X259" s="15" t="str">
        <f>_xlfn.TEXTBEFORE(_xlfn.TEXTAFTER(CantoralDB[[#This Row],[index.html]],"&gt;"),"&gt;")&amp;"&gt;"</f>
        <v>&lt;a href="canciones/brotes_de_olivo/navidad_en_el_corazon.html"&gt;</v>
      </c>
      <c r="Y259"/>
      <c r="Z259" s="1"/>
      <c r="AA259" s="1"/>
      <c r="AB259" s="1"/>
      <c r="AC259" s="1"/>
    </row>
    <row r="260" spans="1:29" x14ac:dyDescent="0.3">
      <c r="A260" s="1">
        <f>ROW(CantoralDB[[#This Row],[Título]])-1</f>
        <v>259</v>
      </c>
      <c r="B260" s="1" t="s">
        <v>3093</v>
      </c>
      <c r="C260" s="1"/>
      <c r="H260" s="1" t="s">
        <v>1024</v>
      </c>
      <c r="J260" s="1" t="s">
        <v>605</v>
      </c>
      <c r="M260" s="15" t="s">
        <v>498</v>
      </c>
      <c r="N260" s="1" t="s">
        <v>3087</v>
      </c>
      <c r="O260" s="15">
        <v>8</v>
      </c>
      <c r="P260" s="15">
        <v>1974</v>
      </c>
      <c r="Q260" s="15" t="str" cm="1">
        <f t="array" ref="Q2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0" s="15" t="str" cm="1">
        <f t="array" ref="R2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canciones/brotes_de_olivo/bien_nacido.html</v>
      </c>
      <c r="T260" s="1"/>
      <c r="U260" s="1"/>
      <c r="V260" s="32" t="s">
        <v>4364</v>
      </c>
      <c r="W2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href="canciones/brotes_de_olivo/bien_nacido.html"&gt;Bien nacido&lt;/a&gt;&lt;/li&gt;</v>
      </c>
      <c r="X260" s="15" t="str">
        <f>_xlfn.TEXTBEFORE(_xlfn.TEXTAFTER(CantoralDB[[#This Row],[index.html]],"&gt;"),"&gt;")&amp;"&gt;"</f>
        <v>&lt;a href="canciones/brotes_de_olivo/bien_nacido.html"&gt;</v>
      </c>
      <c r="Y260"/>
      <c r="Z260" s="1"/>
      <c r="AA260" s="1"/>
      <c r="AB260" s="1"/>
      <c r="AC260" s="1"/>
    </row>
    <row r="261" spans="1:29" x14ac:dyDescent="0.3">
      <c r="A261" s="1">
        <f>ROW(CantoralDB[[#This Row],[Título]])-1</f>
        <v>260</v>
      </c>
      <c r="B261" s="1" t="s">
        <v>3094</v>
      </c>
      <c r="C261" s="1"/>
      <c r="H261" s="1" t="s">
        <v>529</v>
      </c>
      <c r="J261" s="1" t="s">
        <v>605</v>
      </c>
      <c r="M261" s="15" t="s">
        <v>498</v>
      </c>
      <c r="N261" s="1" t="s">
        <v>3087</v>
      </c>
      <c r="O261" s="15">
        <v>9</v>
      </c>
      <c r="P261" s="15">
        <v>1974</v>
      </c>
      <c r="Q261" s="15" t="str" cm="1">
        <f t="array" ref="Q2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1" s="15" t="str" cm="1">
        <f t="array" ref="R2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canciones/brotes_de_olivo/las_ropas_de_dios.html</v>
      </c>
      <c r="T261" s="1"/>
      <c r="U261" s="1"/>
      <c r="V261" s="32" t="s">
        <v>4365</v>
      </c>
      <c r="W2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href="canciones/brotes_de_olivo/las_ropas_de_dios.html"&gt;Las ropas de Dios&lt;/a&gt;&lt;/li&gt;</v>
      </c>
      <c r="X261" s="15" t="str">
        <f>_xlfn.TEXTBEFORE(_xlfn.TEXTAFTER(CantoralDB[[#This Row],[index.html]],"&gt;"),"&gt;")&amp;"&gt;"</f>
        <v>&lt;a href="canciones/brotes_de_olivo/las_ropas_de_dios.html"&gt;</v>
      </c>
      <c r="Y261"/>
      <c r="Z261" s="1"/>
      <c r="AA261" s="1"/>
      <c r="AB261" s="1"/>
      <c r="AC261" s="1"/>
    </row>
    <row r="262" spans="1:29" x14ac:dyDescent="0.3">
      <c r="A262" s="1">
        <f>ROW(CantoralDB[[#This Row],[Título]])-1</f>
        <v>261</v>
      </c>
      <c r="B262" s="1" t="s">
        <v>3095</v>
      </c>
      <c r="C262" s="1"/>
      <c r="H262" s="1" t="s">
        <v>529</v>
      </c>
      <c r="J262" s="1" t="s">
        <v>605</v>
      </c>
      <c r="M262" s="15" t="s">
        <v>498</v>
      </c>
      <c r="N262" s="1" t="s">
        <v>3087</v>
      </c>
      <c r="O262" s="15">
        <v>10</v>
      </c>
      <c r="P262" s="15">
        <v>1974</v>
      </c>
      <c r="Q262" s="15" t="str" cm="1">
        <f t="array" ref="Q2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2" s="15" t="str" cm="1">
        <f t="array" ref="R2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canciones/brotes_de_olivo/los_pajaros_pastores.html</v>
      </c>
      <c r="T262" s="1"/>
      <c r="U262" s="1"/>
      <c r="V262" s="32" t="s">
        <v>4366</v>
      </c>
      <c r="W2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href="canciones/brotes_de_olivo/los_pajaros_pastores.html"&gt;Los pájaros pastores&lt;/a&gt;&lt;/li&gt;</v>
      </c>
      <c r="X262" s="15" t="str">
        <f>_xlfn.TEXTBEFORE(_xlfn.TEXTAFTER(CantoralDB[[#This Row],[index.html]],"&gt;"),"&gt;")&amp;"&gt;"</f>
        <v>&lt;a href="canciones/brotes_de_olivo/los_pajaros_pastores.html"&gt;</v>
      </c>
      <c r="Y262"/>
      <c r="Z262" s="1"/>
      <c r="AA262" s="1"/>
      <c r="AB262" s="1"/>
      <c r="AC262" s="1"/>
    </row>
    <row r="263" spans="1:29" x14ac:dyDescent="0.3">
      <c r="A263" s="1">
        <f>ROW(CantoralDB[[#This Row],[Título]])-1</f>
        <v>262</v>
      </c>
      <c r="B263" s="1" t="s">
        <v>3096</v>
      </c>
      <c r="C263" s="1"/>
      <c r="H263" s="1" t="s">
        <v>1026</v>
      </c>
      <c r="J263" s="1" t="s">
        <v>605</v>
      </c>
      <c r="M263" s="15" t="s">
        <v>498</v>
      </c>
      <c r="N263" s="1" t="s">
        <v>3087</v>
      </c>
      <c r="O263" s="15">
        <v>11</v>
      </c>
      <c r="P263" s="15">
        <v>1974</v>
      </c>
      <c r="Q263" s="15" t="str" cm="1">
        <f t="array" ref="Q2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3" s="15" t="str" cm="1">
        <f t="array" ref="R2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canciones/brotes_de_olivo/la_serranilla.html</v>
      </c>
      <c r="T263" s="1"/>
      <c r="U263" s="1"/>
      <c r="V263" s="32" t="s">
        <v>4367</v>
      </c>
      <c r="W2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href="canciones/brotes_de_olivo/la_serranilla.html"&gt;La serranilla&lt;/a&gt;&lt;/li&gt;</v>
      </c>
      <c r="X263" s="15" t="str">
        <f>_xlfn.TEXTBEFORE(_xlfn.TEXTAFTER(CantoralDB[[#This Row],[index.html]],"&gt;"),"&gt;")&amp;"&gt;"</f>
        <v>&lt;a href="canciones/brotes_de_olivo/la_serranilla.html"&gt;</v>
      </c>
      <c r="Y263"/>
      <c r="Z263" s="1"/>
      <c r="AA263" s="1"/>
      <c r="AB263" s="1"/>
      <c r="AC263" s="1"/>
    </row>
    <row r="264" spans="1:29" x14ac:dyDescent="0.3">
      <c r="A264" s="1">
        <f>ROW(CantoralDB[[#This Row],[Título]])-1</f>
        <v>263</v>
      </c>
      <c r="B264" s="1" t="s">
        <v>3097</v>
      </c>
      <c r="C264" s="1"/>
      <c r="H264" s="1" t="s">
        <v>529</v>
      </c>
      <c r="J264" s="1"/>
      <c r="M264" s="15" t="s">
        <v>498</v>
      </c>
      <c r="N264" s="1" t="s">
        <v>3087</v>
      </c>
      <c r="O264" s="15">
        <v>12</v>
      </c>
      <c r="P264" s="15">
        <v>1974</v>
      </c>
      <c r="Q264" s="15" t="str" cm="1">
        <f t="array" ref="Q2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4" s="15" t="str" cm="1">
        <f t="array" ref="R2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canciones/brotes_de_olivo/el_golfillo.html</v>
      </c>
      <c r="T264" s="1"/>
      <c r="U264" s="1"/>
      <c r="V264" s="32" t="s">
        <v>4368</v>
      </c>
      <c r="W2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href="canciones/brotes_de_olivo/el_golfillo.html"&gt;El golfillo&lt;/a&gt;&lt;/li&gt;</v>
      </c>
      <c r="X264" s="15" t="str">
        <f>_xlfn.TEXTBEFORE(_xlfn.TEXTAFTER(CantoralDB[[#This Row],[index.html]],"&gt;"),"&gt;")&amp;"&gt;"</f>
        <v>&lt;a href="canciones/brotes_de_olivo/el_golfillo.html"&gt;</v>
      </c>
      <c r="Y264"/>
      <c r="Z264" s="1"/>
      <c r="AA264" s="1"/>
      <c r="AB264" s="1"/>
      <c r="AC264" s="1"/>
    </row>
    <row r="265" spans="1:29" x14ac:dyDescent="0.3">
      <c r="A265" s="1">
        <f>ROW(CantoralDB[[#This Row],[Título]])-1</f>
        <v>264</v>
      </c>
      <c r="B265" s="1" t="s">
        <v>3098</v>
      </c>
      <c r="C265" s="1"/>
      <c r="H265" s="1" t="s">
        <v>1026</v>
      </c>
      <c r="J265" s="1" t="s">
        <v>605</v>
      </c>
      <c r="M265" s="15" t="s">
        <v>498</v>
      </c>
      <c r="N265" s="1" t="s">
        <v>3087</v>
      </c>
      <c r="O265" s="15">
        <v>13</v>
      </c>
      <c r="P265" s="15">
        <v>1974</v>
      </c>
      <c r="Q265" s="15" t="str" cm="1">
        <f t="array" ref="Q2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5" s="15" t="str" cm="1">
        <f t="array" ref="R2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brotes_de_olivo</v>
      </c>
      <c r="S2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canciones/brotes_de_olivo/sueños_de_riqueza.html</v>
      </c>
      <c r="T265" s="1"/>
      <c r="U265" s="1"/>
      <c r="V265" s="32" t="s">
        <v>4369</v>
      </c>
      <c r="W2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Olivo"&gt;&lt;a href="canciones/brotes_de_olivo/sueños_de_riqueza.html"&gt;Sueños de riqueza&lt;/a&gt;&lt;/li&gt;</v>
      </c>
      <c r="X265" s="15" t="str">
        <f>_xlfn.TEXTBEFORE(_xlfn.TEXTAFTER(CantoralDB[[#This Row],[index.html]],"&gt;"),"&gt;")&amp;"&gt;"</f>
        <v>&lt;a href="canciones/brotes_de_olivo/sueños_de_riqueza.html"&gt;</v>
      </c>
      <c r="Y265"/>
      <c r="Z265" s="1"/>
      <c r="AA265" s="1"/>
      <c r="AB265" s="1"/>
      <c r="AC265" s="1"/>
    </row>
    <row r="266" spans="1:29" x14ac:dyDescent="0.3">
      <c r="A266" s="1">
        <f>ROW(CantoralDB[[#This Row],[Título]])-1</f>
        <v>265</v>
      </c>
      <c r="B266" s="1" t="s">
        <v>49</v>
      </c>
      <c r="C266" s="1" t="s">
        <v>990</v>
      </c>
      <c r="D266" s="1" t="s">
        <v>695</v>
      </c>
      <c r="E266" s="1">
        <v>419</v>
      </c>
      <c r="G266" s="1" t="s">
        <v>208</v>
      </c>
      <c r="H266" s="1" t="s">
        <v>1024</v>
      </c>
      <c r="J266" s="1" t="s">
        <v>605</v>
      </c>
      <c r="M266" s="15" t="s">
        <v>498</v>
      </c>
      <c r="N266" s="1" t="s">
        <v>2459</v>
      </c>
      <c r="O266" s="15"/>
      <c r="P266" s="15"/>
      <c r="Q266" s="15" t="str" cm="1">
        <f t="array" ref="Q2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6" s="15" t="str" cm="1">
        <f t="array" ref="R2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canciones/brotes_de_olivo/el_calor_de_tu_palabra.html</v>
      </c>
      <c r="T266" s="1"/>
      <c r="U266" s="1"/>
      <c r="V266" s="32" t="s">
        <v>4374</v>
      </c>
      <c r="W2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data-momento="Comunión" data-nnew="K25" data-nold="419"&gt;&lt;a href="canciones/brotes_de_olivo/el_calor_de_tu_palabra.html"&gt;El calor de tu palabra&lt;/a&gt;&lt;/li&gt;</v>
      </c>
      <c r="X266" s="15" t="str">
        <f>_xlfn.TEXTBEFORE(_xlfn.TEXTAFTER(CantoralDB[[#This Row],[index.html]],"&gt;"),"&gt;")&amp;"&gt;"</f>
        <v>&lt;a href="canciones/brotes_de_olivo/el_calor_de_tu_palabra.html"&gt;</v>
      </c>
      <c r="Y266"/>
      <c r="Z266" s="1"/>
      <c r="AA266" s="1"/>
      <c r="AB266" s="1"/>
      <c r="AC266" s="1"/>
    </row>
    <row r="267" spans="1:29" x14ac:dyDescent="0.3">
      <c r="A267" s="1">
        <f>ROW(CantoralDB[[#This Row],[Título]])-1</f>
        <v>266</v>
      </c>
      <c r="B267" s="1" t="s">
        <v>235</v>
      </c>
      <c r="C267" s="1" t="s">
        <v>990</v>
      </c>
      <c r="D267" s="1" t="s">
        <v>707</v>
      </c>
      <c r="F267" s="1">
        <v>339</v>
      </c>
      <c r="G267" s="1" t="s">
        <v>215</v>
      </c>
      <c r="H267" s="1" t="s">
        <v>529</v>
      </c>
      <c r="J267" s="1" t="s">
        <v>605</v>
      </c>
      <c r="M267" s="15" t="s">
        <v>498</v>
      </c>
      <c r="N267" s="1" t="s">
        <v>2459</v>
      </c>
      <c r="O267" s="15"/>
      <c r="P267" s="15"/>
      <c r="Q267" s="15" t="str" cm="1">
        <f t="array" ref="Q2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7" s="15" t="str" cm="1">
        <f t="array" ref="R2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canciones/brotes_de_olivo/hoy_señor_te_dare.html</v>
      </c>
      <c r="T267" s="1"/>
      <c r="U267" s="1"/>
      <c r="V267" s="32" t="s">
        <v>4377</v>
      </c>
      <c r="W2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data-momento="Comunión" data-nnew="K37" data-nrcc="339"&gt;&lt;a href="canciones/brotes_de_olivo/hoy_señor_te_dare.html"&gt;Hoy, Señor, te daré&lt;/a&gt;&lt;/li&gt;</v>
      </c>
      <c r="X267" s="15" t="str">
        <f>_xlfn.TEXTBEFORE(_xlfn.TEXTAFTER(CantoralDB[[#This Row],[index.html]],"&gt;"),"&gt;")&amp;"&gt;"</f>
        <v>&lt;a href="canciones/brotes_de_olivo/hoy_señor_te_dare.html"&gt;</v>
      </c>
      <c r="Y267"/>
      <c r="Z267" s="1"/>
      <c r="AA267" s="1"/>
      <c r="AB267" s="1"/>
      <c r="AC267" s="1"/>
    </row>
    <row r="268" spans="1:29" x14ac:dyDescent="0.3">
      <c r="A268" s="1">
        <f>ROW(CantoralDB[[#This Row],[Título]])-1</f>
        <v>267</v>
      </c>
      <c r="B268" s="1" t="s">
        <v>227</v>
      </c>
      <c r="C268" s="1" t="s">
        <v>200</v>
      </c>
      <c r="D268" s="1" t="s">
        <v>658</v>
      </c>
      <c r="G268" s="1" t="s">
        <v>215</v>
      </c>
      <c r="H268" s="1" t="s">
        <v>529</v>
      </c>
      <c r="J268" s="1" t="s">
        <v>605</v>
      </c>
      <c r="M268" s="15" t="s">
        <v>498</v>
      </c>
      <c r="N268" s="1" t="s">
        <v>1772</v>
      </c>
      <c r="O268" s="15"/>
      <c r="P268" s="15"/>
      <c r="Q268" s="15" t="str" cm="1">
        <f t="array" ref="Q2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8" s="15" t="str" cm="1">
        <f t="array" ref="R2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canciones/brotes_de_olivo/me_levantare.html</v>
      </c>
      <c r="T268" s="1" t="s">
        <v>840</v>
      </c>
      <c r="U268" s="1"/>
      <c r="V268" s="32" t="s">
        <v>4378</v>
      </c>
      <c r="W2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data-momento="Antífonas" data-nnew="D23"&gt;&lt;a href="canciones/brotes_de_olivo/me_levantare.html"&gt;Me levantaré&lt;/a&gt;&lt;/li&gt;</v>
      </c>
      <c r="X268" s="15" t="str">
        <f>_xlfn.TEXTBEFORE(_xlfn.TEXTAFTER(CantoralDB[[#This Row],[index.html]],"&gt;"),"&gt;")&amp;"&gt;"</f>
        <v>&lt;a href="canciones/brotes_de_olivo/me_levantare.html"&gt;</v>
      </c>
      <c r="Y268"/>
      <c r="Z268" s="1"/>
      <c r="AA268" s="1"/>
      <c r="AB268" s="1"/>
      <c r="AC268" s="1"/>
    </row>
    <row r="269" spans="1:29" x14ac:dyDescent="0.3">
      <c r="A269" s="1">
        <f>ROW(CantoralDB[[#This Row],[Título]])-1</f>
        <v>268</v>
      </c>
      <c r="B269" s="1" t="s">
        <v>561</v>
      </c>
      <c r="C269" s="1" t="s">
        <v>200</v>
      </c>
      <c r="D269" s="1" t="s">
        <v>675</v>
      </c>
      <c r="G269" s="1" t="s">
        <v>551</v>
      </c>
      <c r="H269" s="1" t="s">
        <v>472</v>
      </c>
      <c r="J269" s="1" t="s">
        <v>605</v>
      </c>
      <c r="M269" s="15" t="s">
        <v>498</v>
      </c>
      <c r="N269" s="1" t="s">
        <v>1772</v>
      </c>
      <c r="O269" s="15"/>
      <c r="P269" s="15"/>
      <c r="Q269" s="15" t="str" cm="1">
        <f t="array" ref="Q2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brotes_de_olivo</v>
      </c>
      <c r="R269" s="15" t="str" cm="1">
        <f t="array" ref="R2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canciones/brotes_de_olivo/ven_no_apartes_de_mi_los_ojos.html</v>
      </c>
      <c r="T269" s="1"/>
      <c r="U269" s="1"/>
      <c r="V269" s="32" t="s">
        <v>4382</v>
      </c>
      <c r="W2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data-author="Brotes de Olivo" data-momento="Antífonas" data-nnew="D40"&gt;&lt;a href="canciones/brotes_de_olivo/ven_no_apartes_de_mi_los_ojos.html"&gt;Ven, no apartes de mí los ojos&lt;/a&gt;&lt;/li&gt;</v>
      </c>
      <c r="X269" s="15" t="str">
        <f>_xlfn.TEXTBEFORE(_xlfn.TEXTAFTER(CantoralDB[[#This Row],[index.html]],"&gt;"),"&gt;")&amp;"&gt;"</f>
        <v>&lt;a href="canciones/brotes_de_olivo/ven_no_apartes_de_mi_los_ojos.html"&gt;</v>
      </c>
      <c r="Y269"/>
      <c r="Z269" s="1"/>
      <c r="AA269" s="1"/>
      <c r="AB269" s="1"/>
      <c r="AC269" s="1"/>
    </row>
    <row r="270" spans="1:29" x14ac:dyDescent="0.3">
      <c r="A270" s="1">
        <f>ROW(CantoralDB[[#This Row],[Título]])-1</f>
        <v>269</v>
      </c>
      <c r="B270" s="1" t="s">
        <v>5599</v>
      </c>
      <c r="C270" s="1"/>
      <c r="H270" s="1" t="s">
        <v>1025</v>
      </c>
      <c r="J270" s="1" t="s">
        <v>605</v>
      </c>
      <c r="M270" s="15" t="s">
        <v>478</v>
      </c>
      <c r="N270" s="1" t="s">
        <v>5492</v>
      </c>
      <c r="O270" s="15">
        <v>1</v>
      </c>
      <c r="P270" s="15">
        <v>2001</v>
      </c>
      <c r="Q270" s="15" t="str" cm="1">
        <f t="array" ref="Q2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0" s="15" t="str" cm="1">
        <f t="array" ref="R2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canciones/carmelo_erdozain/himno_a_jesucristo.html</v>
      </c>
      <c r="T270" s="1"/>
      <c r="U270" s="1"/>
      <c r="V270" s="32" t="s">
        <v>5649</v>
      </c>
      <c r="W2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href="canciones/carmelo_erdozain/himno_a_jesucristo.html"&gt;Himno a Jesucristo&lt;/a&gt;&lt;/li&gt;</v>
      </c>
      <c r="X270" s="15" t="str">
        <f>_xlfn.TEXTBEFORE(_xlfn.TEXTAFTER(CantoralDB[[#This Row],[index.html]],"&gt;"),"&gt;")&amp;"&gt;"</f>
        <v>&lt;a href="canciones/carmelo_erdozain/himno_a_jesucristo.html"&gt;</v>
      </c>
      <c r="Y270"/>
      <c r="Z270" s="1"/>
      <c r="AA270" s="1"/>
      <c r="AB270" s="1"/>
      <c r="AC270" s="1"/>
    </row>
    <row r="271" spans="1:29" x14ac:dyDescent="0.3">
      <c r="A271" s="1">
        <f>ROW(CantoralDB[[#This Row],[Título]])-1</f>
        <v>270</v>
      </c>
      <c r="B271" s="1" t="s">
        <v>3198</v>
      </c>
      <c r="C271" s="1"/>
      <c r="H271" s="1" t="s">
        <v>1025</v>
      </c>
      <c r="J271" s="1" t="s">
        <v>605</v>
      </c>
      <c r="M271" s="15" t="s">
        <v>478</v>
      </c>
      <c r="N271" s="1" t="s">
        <v>5492</v>
      </c>
      <c r="O271" s="15">
        <v>2</v>
      </c>
      <c r="P271" s="15">
        <v>2001</v>
      </c>
      <c r="Q271" s="15" t="str" cm="1">
        <f t="array" ref="Q2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1" s="15" t="str" cm="1">
        <f t="array" ref="R2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canciones/carmelo_erdozain/proclama_mi_alma.html</v>
      </c>
      <c r="T271" s="1"/>
      <c r="U271" s="1"/>
      <c r="V271" s="32" t="s">
        <v>5650</v>
      </c>
      <c r="W2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href="canciones/carmelo_erdozain/proclama_mi_alma.html"&gt;Proclama mi alma&lt;/a&gt;&lt;/li&gt;</v>
      </c>
      <c r="X271" s="15" t="str">
        <f>_xlfn.TEXTBEFORE(_xlfn.TEXTAFTER(CantoralDB[[#This Row],[index.html]],"&gt;"),"&gt;")&amp;"&gt;"</f>
        <v>&lt;a href="canciones/carmelo_erdozain/proclama_mi_alma.html"&gt;</v>
      </c>
      <c r="Y271"/>
      <c r="Z271" s="1"/>
      <c r="AA271" s="1"/>
      <c r="AB271" s="1"/>
      <c r="AC271" s="1"/>
    </row>
    <row r="272" spans="1:29" x14ac:dyDescent="0.3">
      <c r="A272" s="1">
        <f>ROW(CantoralDB[[#This Row],[Título]])-1</f>
        <v>271</v>
      </c>
      <c r="B272" s="1" t="s">
        <v>5600</v>
      </c>
      <c r="C272" s="1"/>
      <c r="H272" s="1" t="s">
        <v>472</v>
      </c>
      <c r="J272" s="1" t="s">
        <v>605</v>
      </c>
      <c r="M272" s="15" t="s">
        <v>478</v>
      </c>
      <c r="N272" s="1" t="s">
        <v>5492</v>
      </c>
      <c r="O272" s="15">
        <v>3</v>
      </c>
      <c r="P272" s="15">
        <v>2001</v>
      </c>
      <c r="Q272" s="15" t="str" cm="1">
        <f t="array" ref="Q2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2" s="15" t="str" cm="1">
        <f t="array" ref="R2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canciones/carmelo_erdozain/se_acercaron_los_niños_al_señor.html</v>
      </c>
      <c r="T272" s="1"/>
      <c r="U272" s="1"/>
      <c r="V272" s="32" t="s">
        <v>5651</v>
      </c>
      <c r="W2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href="canciones/carmelo_erdozain/se_acercaron_los_niños_al_señor.html"&gt;Se acercaron los niños al Señor&lt;/a&gt;&lt;/li&gt;</v>
      </c>
      <c r="X272" s="15" t="str">
        <f>_xlfn.TEXTBEFORE(_xlfn.TEXTAFTER(CantoralDB[[#This Row],[index.html]],"&gt;"),"&gt;")&amp;"&gt;"</f>
        <v>&lt;a href="canciones/carmelo_erdozain/se_acercaron_los_niños_al_señor.html"&gt;</v>
      </c>
      <c r="Y272"/>
      <c r="Z272" s="1"/>
      <c r="AA272" s="1"/>
      <c r="AB272" s="1"/>
      <c r="AC272" s="1"/>
    </row>
    <row r="273" spans="1:29" x14ac:dyDescent="0.3">
      <c r="A273" s="1">
        <f>ROW(CantoralDB[[#This Row],[Título]])-1</f>
        <v>272</v>
      </c>
      <c r="B273" s="1" t="s">
        <v>5601</v>
      </c>
      <c r="C273" s="1"/>
      <c r="H273" s="1" t="s">
        <v>472</v>
      </c>
      <c r="I273" s="1" t="s">
        <v>2947</v>
      </c>
      <c r="J273" s="1" t="s">
        <v>605</v>
      </c>
      <c r="M273" s="15" t="s">
        <v>478</v>
      </c>
      <c r="N273" s="1" t="s">
        <v>5492</v>
      </c>
      <c r="O273" s="15">
        <v>4</v>
      </c>
      <c r="P273" s="15">
        <v>2001</v>
      </c>
      <c r="Q273" s="15" t="str" cm="1">
        <f t="array" ref="Q2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3" s="15" t="str" cm="1">
        <f t="array" ref="R2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canciones/carmelo_erdozain/dia_de_fiesta_en_tu_altar.html</v>
      </c>
      <c r="T273" s="1"/>
      <c r="U273" s="1"/>
      <c r="V273" s="32" t="s">
        <v>5652</v>
      </c>
      <c r="W2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href="canciones/carmelo_erdozain/dia_de_fiesta_en_tu_altar.html"&gt;Día de fiesta en tu altar&lt;/a&gt;&lt;/li&gt;</v>
      </c>
      <c r="X273" s="15" t="str">
        <f>_xlfn.TEXTBEFORE(_xlfn.TEXTAFTER(CantoralDB[[#This Row],[index.html]],"&gt;"),"&gt;")&amp;"&gt;"</f>
        <v>&lt;a href="canciones/carmelo_erdozain/dia_de_fiesta_en_tu_altar.html"&gt;</v>
      </c>
      <c r="Y273"/>
      <c r="Z273" s="1"/>
      <c r="AA273" s="1"/>
      <c r="AB273" s="1"/>
      <c r="AC273" s="1"/>
    </row>
    <row r="274" spans="1:29" x14ac:dyDescent="0.3">
      <c r="A274" s="1">
        <f>ROW(CantoralDB[[#This Row],[Título]])-1</f>
        <v>273</v>
      </c>
      <c r="B274" s="1" t="s">
        <v>5654</v>
      </c>
      <c r="C274" s="1"/>
      <c r="H274" s="1" t="s">
        <v>1025</v>
      </c>
      <c r="J274" s="1" t="s">
        <v>605</v>
      </c>
      <c r="M274" s="15" t="s">
        <v>478</v>
      </c>
      <c r="N274" s="1" t="s">
        <v>5492</v>
      </c>
      <c r="O274" s="15">
        <v>5</v>
      </c>
      <c r="P274" s="15">
        <v>2001</v>
      </c>
      <c r="Q274" s="15" t="str" cm="1">
        <f t="array" ref="Q2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4" s="15" t="str" cm="1">
        <f t="array" ref="R2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canciones/carmelo_erdozain/señor_ten_piedad_(i).html</v>
      </c>
      <c r="T274" s="1"/>
      <c r="U274" s="1"/>
      <c r="V274" s="32" t="s">
        <v>5655</v>
      </c>
      <c r="W2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href="canciones/carmelo_erdozain/señor_ten_piedad_(i).html"&gt;Señor, ten piedad (I)&lt;/a&gt;&lt;/li&gt;</v>
      </c>
      <c r="X274" s="15" t="str">
        <f>_xlfn.TEXTBEFORE(_xlfn.TEXTAFTER(CantoralDB[[#This Row],[index.html]],"&gt;"),"&gt;")&amp;"&gt;"</f>
        <v>&lt;a href="canciones/carmelo_erdozain/señor_ten_piedad_(i).html"&gt;</v>
      </c>
      <c r="Y274"/>
      <c r="Z274" s="1"/>
      <c r="AA274" s="1"/>
      <c r="AB274" s="1"/>
      <c r="AC274" s="1"/>
    </row>
    <row r="275" spans="1:29" x14ac:dyDescent="0.3">
      <c r="A275" s="1">
        <f>ROW(CantoralDB[[#This Row],[Título]])-1</f>
        <v>274</v>
      </c>
      <c r="B275" s="1" t="s">
        <v>5658</v>
      </c>
      <c r="C275" s="1"/>
      <c r="H275" s="1" t="s">
        <v>1025</v>
      </c>
      <c r="J275" s="1" t="s">
        <v>605</v>
      </c>
      <c r="M275" s="15" t="s">
        <v>478</v>
      </c>
      <c r="N275" s="1" t="s">
        <v>5492</v>
      </c>
      <c r="O275" s="15">
        <v>6</v>
      </c>
      <c r="P275" s="15">
        <v>2001</v>
      </c>
      <c r="Q275" s="15" t="str" cm="1">
        <f t="array" ref="Q2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5" s="15" t="str" cm="1">
        <f t="array" ref="R2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canciones/carmelo_erdozain/aleluya_(i).html</v>
      </c>
      <c r="T275" s="1"/>
      <c r="U275" s="1"/>
      <c r="V275" s="32" t="s">
        <v>5656</v>
      </c>
      <c r="W2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href="canciones/carmelo_erdozain/aleluya_(i).html"&gt;Aleluya (I)&lt;/a&gt;&lt;/li&gt;</v>
      </c>
      <c r="X275" s="15" t="str">
        <f>_xlfn.TEXTBEFORE(_xlfn.TEXTAFTER(CantoralDB[[#This Row],[index.html]],"&gt;"),"&gt;")&amp;"&gt;"</f>
        <v>&lt;a href="canciones/carmelo_erdozain/aleluya_(i).html"&gt;</v>
      </c>
      <c r="Y275"/>
      <c r="Z275" s="1"/>
      <c r="AA275" s="1"/>
      <c r="AB275" s="1"/>
      <c r="AC275" s="1"/>
    </row>
    <row r="276" spans="1:29" x14ac:dyDescent="0.3">
      <c r="A276" s="1">
        <f>ROW(CantoralDB[[#This Row],[Título]])-1</f>
        <v>275</v>
      </c>
      <c r="B276" s="1" t="s">
        <v>5663</v>
      </c>
      <c r="C276" s="1"/>
      <c r="H276" s="1" t="s">
        <v>1024</v>
      </c>
      <c r="J276" s="1" t="s">
        <v>605</v>
      </c>
      <c r="M276" s="15" t="s">
        <v>478</v>
      </c>
      <c r="N276" s="1" t="s">
        <v>5492</v>
      </c>
      <c r="O276" s="15">
        <v>7</v>
      </c>
      <c r="P276" s="15">
        <v>2001</v>
      </c>
      <c r="Q276" s="15" t="str" cm="1">
        <f t="array" ref="Q2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6" s="15" t="str" cm="1">
        <f t="array" ref="R2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canciones/carmelo_erdozain/santo_(iv).html</v>
      </c>
      <c r="T276" s="1"/>
      <c r="U276" s="1"/>
      <c r="V276" s="32" t="s">
        <v>5657</v>
      </c>
      <c r="W2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href="canciones/carmelo_erdozain/santo_(iv).html"&gt;Santo (IV)&lt;/a&gt;&lt;/li&gt;</v>
      </c>
      <c r="X276" s="15" t="str">
        <f>_xlfn.TEXTBEFORE(_xlfn.TEXTAFTER(CantoralDB[[#This Row],[index.html]],"&gt;"),"&gt;")&amp;"&gt;"</f>
        <v>&lt;a href="canciones/carmelo_erdozain/santo_(iv).html"&gt;</v>
      </c>
      <c r="Y276"/>
      <c r="Z276" s="1"/>
      <c r="AA276" s="1"/>
      <c r="AB276" s="1"/>
      <c r="AC276" s="1"/>
    </row>
    <row r="277" spans="1:29" x14ac:dyDescent="0.3">
      <c r="A277" s="1">
        <f>ROW(CantoralDB[[#This Row],[Título]])-1</f>
        <v>276</v>
      </c>
      <c r="B277" s="1" t="s">
        <v>5602</v>
      </c>
      <c r="C277" s="1"/>
      <c r="H277" s="1" t="s">
        <v>1024</v>
      </c>
      <c r="J277" s="1" t="s">
        <v>605</v>
      </c>
      <c r="M277" s="15" t="s">
        <v>478</v>
      </c>
      <c r="N277" s="1" t="s">
        <v>5492</v>
      </c>
      <c r="O277" s="15">
        <v>8</v>
      </c>
      <c r="P277" s="15">
        <v>2001</v>
      </c>
      <c r="Q277" s="15" t="str" cm="1">
        <f t="array" ref="Q2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7" s="15" t="str" cm="1">
        <f t="array" ref="R2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canciones/carmelo_erdozain/somos_hermanas_en_cristo.html</v>
      </c>
      <c r="T277" s="1"/>
      <c r="U277" s="1"/>
      <c r="V277" s="32" t="s">
        <v>5765</v>
      </c>
      <c r="W2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href="canciones/carmelo_erdozain/somos_hermanas_en_cristo.html"&gt;Somos hermanas en Cristo&lt;/a&gt;&lt;/li&gt;</v>
      </c>
      <c r="X277" s="15" t="str">
        <f>_xlfn.TEXTBEFORE(_xlfn.TEXTAFTER(CantoralDB[[#This Row],[index.html]],"&gt;"),"&gt;")&amp;"&gt;"</f>
        <v>&lt;a href="canciones/carmelo_erdozain/somos_hermanas_en_cristo.html"&gt;</v>
      </c>
      <c r="Y277"/>
      <c r="Z277" s="1"/>
      <c r="AA277" s="1"/>
      <c r="AB277" s="1"/>
      <c r="AC277" s="1"/>
    </row>
    <row r="278" spans="1:29" x14ac:dyDescent="0.3">
      <c r="A278" s="1">
        <f>ROW(CantoralDB[[#This Row],[Título]])-1</f>
        <v>277</v>
      </c>
      <c r="B278" s="1" t="s">
        <v>5603</v>
      </c>
      <c r="C278" s="1"/>
      <c r="H278" s="1" t="s">
        <v>1024</v>
      </c>
      <c r="J278" s="1" t="s">
        <v>605</v>
      </c>
      <c r="M278" s="15" t="s">
        <v>478</v>
      </c>
      <c r="N278" s="1" t="s">
        <v>5492</v>
      </c>
      <c r="O278" s="15">
        <v>9</v>
      </c>
      <c r="P278" s="15">
        <v>2001</v>
      </c>
      <c r="Q278" s="15" t="str" cm="1">
        <f t="array" ref="Q2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8" s="15" t="str" cm="1">
        <f t="array" ref="R2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canciones/carmelo_erdozain/llega_la_luz.html</v>
      </c>
      <c r="T278" s="1"/>
      <c r="U278" s="1"/>
      <c r="V278" s="32" t="s">
        <v>5766</v>
      </c>
      <c r="W2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href="canciones/carmelo_erdozain/llega_la_luz.html"&gt;Llega la luz&lt;/a&gt;&lt;/li&gt;</v>
      </c>
      <c r="X278" s="15" t="str">
        <f>_xlfn.TEXTBEFORE(_xlfn.TEXTAFTER(CantoralDB[[#This Row],[index.html]],"&gt;"),"&gt;")&amp;"&gt;"</f>
        <v>&lt;a href="canciones/carmelo_erdozain/llega_la_luz.html"&gt;</v>
      </c>
      <c r="Y278"/>
      <c r="Z278" s="1"/>
      <c r="AA278" s="1"/>
      <c r="AB278" s="1"/>
      <c r="AC278" s="1"/>
    </row>
    <row r="279" spans="1:29" x14ac:dyDescent="0.3">
      <c r="A279" s="1">
        <f>ROW(CantoralDB[[#This Row],[Título]])-1</f>
        <v>278</v>
      </c>
      <c r="B279" s="1" t="s">
        <v>5604</v>
      </c>
      <c r="C279" s="1"/>
      <c r="H279" s="1" t="s">
        <v>1024</v>
      </c>
      <c r="J279" s="1" t="s">
        <v>605</v>
      </c>
      <c r="M279" s="15" t="s">
        <v>478</v>
      </c>
      <c r="N279" s="1" t="s">
        <v>5492</v>
      </c>
      <c r="O279" s="15">
        <v>10</v>
      </c>
      <c r="P279" s="15">
        <v>2001</v>
      </c>
      <c r="Q279" s="15" t="str" cm="1">
        <f t="array" ref="Q2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79" s="15" t="str" cm="1">
        <f t="array" ref="R2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canciones/carmelo_erdozain/me_ilamaste.html</v>
      </c>
      <c r="T279" s="1"/>
      <c r="U279" s="1"/>
      <c r="V279" s="32" t="s">
        <v>5767</v>
      </c>
      <c r="W2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href="canciones/carmelo_erdozain/me_ilamaste.html"&gt;Me Ilamaste&lt;/a&gt;&lt;/li&gt;</v>
      </c>
      <c r="X279" s="15" t="str">
        <f>_xlfn.TEXTBEFORE(_xlfn.TEXTAFTER(CantoralDB[[#This Row],[index.html]],"&gt;"),"&gt;")&amp;"&gt;"</f>
        <v>&lt;a href="canciones/carmelo_erdozain/me_ilamaste.html"&gt;</v>
      </c>
      <c r="Y279"/>
      <c r="Z279" s="1"/>
      <c r="AA279" s="1"/>
      <c r="AB279" s="1"/>
      <c r="AC279" s="1"/>
    </row>
    <row r="280" spans="1:29" x14ac:dyDescent="0.3">
      <c r="A280" s="1">
        <f>ROW(CantoralDB[[#This Row],[Título]])-1</f>
        <v>279</v>
      </c>
      <c r="B280" s="1" t="s">
        <v>5605</v>
      </c>
      <c r="C280" s="1"/>
      <c r="H280" s="1" t="s">
        <v>1025</v>
      </c>
      <c r="J280" s="1" t="s">
        <v>605</v>
      </c>
      <c r="M280" s="15" t="s">
        <v>478</v>
      </c>
      <c r="N280" s="1" t="s">
        <v>5492</v>
      </c>
      <c r="O280" s="15">
        <v>11</v>
      </c>
      <c r="P280" s="15">
        <v>2001</v>
      </c>
      <c r="Q280" s="15" t="str" cm="1">
        <f t="array" ref="Q2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0" s="15" t="str" cm="1">
        <f t="array" ref="R2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canciones/carmelo_erdozain/la_noche_ya_se_acerca.html</v>
      </c>
      <c r="T280" s="1"/>
      <c r="U280" s="1"/>
      <c r="V280" s="32" t="s">
        <v>5768</v>
      </c>
      <c r="W2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href="canciones/carmelo_erdozain/la_noche_ya_se_acerca.html"&gt;La noche ya se acerca&lt;/a&gt;&lt;/li&gt;</v>
      </c>
      <c r="X280" s="15" t="str">
        <f>_xlfn.TEXTBEFORE(_xlfn.TEXTAFTER(CantoralDB[[#This Row],[index.html]],"&gt;"),"&gt;")&amp;"&gt;"</f>
        <v>&lt;a href="canciones/carmelo_erdozain/la_noche_ya_se_acerca.html"&gt;</v>
      </c>
      <c r="Y280"/>
      <c r="Z280" s="1"/>
      <c r="AA280" s="1"/>
      <c r="AB280" s="1"/>
      <c r="AC280" s="1"/>
    </row>
    <row r="281" spans="1:29" x14ac:dyDescent="0.3">
      <c r="A281" s="1">
        <f>ROW(CantoralDB[[#This Row],[Título]])-1</f>
        <v>280</v>
      </c>
      <c r="B281" s="1" t="s">
        <v>5606</v>
      </c>
      <c r="C281" s="1"/>
      <c r="H281" s="1" t="s">
        <v>1025</v>
      </c>
      <c r="J281" s="1" t="s">
        <v>605</v>
      </c>
      <c r="M281" s="15" t="s">
        <v>478</v>
      </c>
      <c r="N281" s="1" t="s">
        <v>5492</v>
      </c>
      <c r="O281" s="15">
        <v>12</v>
      </c>
      <c r="P281" s="15">
        <v>2001</v>
      </c>
      <c r="Q281" s="15" t="str" cm="1">
        <f t="array" ref="Q2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1" s="15" t="str" cm="1">
        <f t="array" ref="R2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canciones/carmelo_erdozain/en_el_nombre_del_padre.html</v>
      </c>
      <c r="T281" s="1"/>
      <c r="U281" s="1"/>
      <c r="V281" s="32" t="s">
        <v>5769</v>
      </c>
      <c r="W2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href="canciones/carmelo_erdozain/en_el_nombre_del_padre.html"&gt;En el nombre del Padre&lt;/a&gt;&lt;/li&gt;</v>
      </c>
      <c r="X281" s="15" t="str">
        <f>_xlfn.TEXTBEFORE(_xlfn.TEXTAFTER(CantoralDB[[#This Row],[index.html]],"&gt;"),"&gt;")&amp;"&gt;"</f>
        <v>&lt;a href="canciones/carmelo_erdozain/en_el_nombre_del_padre.html"&gt;</v>
      </c>
      <c r="Y281"/>
      <c r="Z281" s="1"/>
      <c r="AA281" s="1"/>
      <c r="AB281" s="1"/>
      <c r="AC281" s="1"/>
    </row>
    <row r="282" spans="1:29" x14ac:dyDescent="0.3">
      <c r="A282" s="1">
        <f>ROW(CantoralDB[[#This Row],[Título]])-1</f>
        <v>281</v>
      </c>
      <c r="B282" s="1" t="s">
        <v>5607</v>
      </c>
      <c r="C282" s="1"/>
      <c r="H282" s="1" t="s">
        <v>1024</v>
      </c>
      <c r="J282" s="1" t="s">
        <v>605</v>
      </c>
      <c r="M282" s="15" t="s">
        <v>478</v>
      </c>
      <c r="N282" s="1" t="s">
        <v>5648</v>
      </c>
      <c r="O282" s="15">
        <v>1</v>
      </c>
      <c r="P282" s="15">
        <v>2000</v>
      </c>
      <c r="Q282" s="15" t="str" cm="1">
        <f t="array" ref="Q2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2" s="15" t="str" cm="1">
        <f t="array" ref="R2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canciones/carmelo_erdozain/alaba_al_señor_alma_mia.html</v>
      </c>
      <c r="T282" s="1"/>
      <c r="U282" s="1"/>
      <c r="V282" s="32" t="s">
        <v>5770</v>
      </c>
      <c r="W2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href="canciones/carmelo_erdozain/alaba_al_señor_alma_mia.html"&gt;Alaba al Señor, alma mía&lt;/a&gt;&lt;/li&gt;</v>
      </c>
      <c r="X282" s="15" t="str">
        <f>_xlfn.TEXTBEFORE(_xlfn.TEXTAFTER(CantoralDB[[#This Row],[index.html]],"&gt;"),"&gt;")&amp;"&gt;"</f>
        <v>&lt;a href="canciones/carmelo_erdozain/alaba_al_señor_alma_mia.html"&gt;</v>
      </c>
      <c r="Y282"/>
      <c r="Z282" s="1"/>
      <c r="AA282" s="1"/>
      <c r="AB282" s="1"/>
      <c r="AC282" s="1"/>
    </row>
    <row r="283" spans="1:29" x14ac:dyDescent="0.3">
      <c r="A283" s="1">
        <f>ROW(CantoralDB[[#This Row],[Título]])-1</f>
        <v>282</v>
      </c>
      <c r="B283" s="1" t="s">
        <v>5660</v>
      </c>
      <c r="C283" s="1"/>
      <c r="H283" s="1" t="s">
        <v>1027</v>
      </c>
      <c r="J283" s="1" t="s">
        <v>605</v>
      </c>
      <c r="M283" s="15" t="s">
        <v>478</v>
      </c>
      <c r="N283" s="1" t="s">
        <v>5648</v>
      </c>
      <c r="O283" s="15">
        <v>2</v>
      </c>
      <c r="P283" s="15">
        <v>2000</v>
      </c>
      <c r="Q283" s="15" t="str" cm="1">
        <f t="array" ref="Q2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3" s="15" t="str" cm="1">
        <f t="array" ref="R2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canciones/carmelo_erdozain/aleluya_(iii).html</v>
      </c>
      <c r="T283" s="1"/>
      <c r="U283" s="1"/>
      <c r="V283" s="32" t="s">
        <v>5771</v>
      </c>
      <c r="W2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href="canciones/carmelo_erdozain/aleluya_(iii).html"&gt;Aleluya (III)&lt;/a&gt;&lt;/li&gt;</v>
      </c>
      <c r="X283" s="15" t="str">
        <f>_xlfn.TEXTBEFORE(_xlfn.TEXTAFTER(CantoralDB[[#This Row],[index.html]],"&gt;"),"&gt;")&amp;"&gt;"</f>
        <v>&lt;a href="canciones/carmelo_erdozain/aleluya_(iii).html"&gt;</v>
      </c>
      <c r="Y283"/>
      <c r="Z283" s="1"/>
      <c r="AA283" s="1"/>
      <c r="AB283" s="1"/>
      <c r="AC283" s="1"/>
    </row>
    <row r="284" spans="1:29" x14ac:dyDescent="0.3">
      <c r="A284" s="1">
        <f>ROW(CantoralDB[[#This Row],[Título]])-1</f>
        <v>283</v>
      </c>
      <c r="B284" s="1" t="s">
        <v>5609</v>
      </c>
      <c r="C284" s="1"/>
      <c r="H284" s="1" t="s">
        <v>1027</v>
      </c>
      <c r="J284" s="1" t="s">
        <v>605</v>
      </c>
      <c r="M284" s="15" t="s">
        <v>478</v>
      </c>
      <c r="N284" s="1" t="s">
        <v>5648</v>
      </c>
      <c r="O284" s="15">
        <v>12</v>
      </c>
      <c r="P284" s="15">
        <v>2000</v>
      </c>
      <c r="Q284" s="15" t="str" cm="1">
        <f t="array" ref="Q2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4" s="15" t="str" cm="1">
        <f t="array" ref="R2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canciones/carmelo_erdozain/tu_eres_el_dios_de_los_pobres.html</v>
      </c>
      <c r="T284" s="1"/>
      <c r="U284" s="1"/>
      <c r="V284" s="32" t="s">
        <v>5773</v>
      </c>
      <c r="W2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href="canciones/carmelo_erdozain/tu_eres_el_dios_de_los_pobres.html"&gt;Tú eres el Dios de los pobres&lt;/a&gt;&lt;/li&gt;</v>
      </c>
      <c r="X284" s="15" t="str">
        <f>_xlfn.TEXTBEFORE(_xlfn.TEXTAFTER(CantoralDB[[#This Row],[index.html]],"&gt;"),"&gt;")&amp;"&gt;"</f>
        <v>&lt;a href="canciones/carmelo_erdozain/tu_eres_el_dios_de_los_pobres.html"&gt;</v>
      </c>
      <c r="Y284"/>
      <c r="Z284" s="1"/>
      <c r="AA284" s="1"/>
      <c r="AB284" s="1"/>
      <c r="AC284" s="1"/>
    </row>
    <row r="285" spans="1:29" x14ac:dyDescent="0.3">
      <c r="A285" s="1">
        <f>ROW(CantoralDB[[#This Row],[Título]])-1</f>
        <v>284</v>
      </c>
      <c r="B285" s="1" t="s">
        <v>5610</v>
      </c>
      <c r="C285" s="1"/>
      <c r="H285" s="1" t="s">
        <v>1024</v>
      </c>
      <c r="J285" s="1" t="s">
        <v>605</v>
      </c>
      <c r="M285" s="15" t="s">
        <v>478</v>
      </c>
      <c r="N285" s="1" t="s">
        <v>5648</v>
      </c>
      <c r="O285" s="15">
        <v>15</v>
      </c>
      <c r="P285" s="15">
        <v>2000</v>
      </c>
      <c r="Q285" s="15" t="str" cm="1">
        <f t="array" ref="Q2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5" s="15" t="str" cm="1">
        <f t="array" ref="R2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canciones/carmelo_erdozain/viva_la_gente.html</v>
      </c>
      <c r="T285" s="1"/>
      <c r="U285" s="1"/>
      <c r="V285" s="32" t="s">
        <v>5772</v>
      </c>
      <c r="W2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href="canciones/carmelo_erdozain/viva_la_gente.html"&gt;Viva la gente&lt;/a&gt;&lt;/li&gt;</v>
      </c>
      <c r="X285" s="15" t="str">
        <f>_xlfn.TEXTBEFORE(_xlfn.TEXTAFTER(CantoralDB[[#This Row],[index.html]],"&gt;"),"&gt;")&amp;"&gt;"</f>
        <v>&lt;a href="canciones/carmelo_erdozain/viva_la_gente.html"&gt;</v>
      </c>
      <c r="Y285"/>
      <c r="Z285" s="1"/>
      <c r="AA285" s="1"/>
      <c r="AB285" s="1"/>
      <c r="AC285" s="1"/>
    </row>
    <row r="286" spans="1:29" x14ac:dyDescent="0.3">
      <c r="A286" s="1">
        <f>ROW(CantoralDB[[#This Row],[Título]])-1</f>
        <v>285</v>
      </c>
      <c r="B286" s="1" t="s">
        <v>5858</v>
      </c>
      <c r="C286" s="1"/>
      <c r="H286" s="1" t="s">
        <v>1027</v>
      </c>
      <c r="J286" s="1" t="s">
        <v>605</v>
      </c>
      <c r="M286" s="15" t="s">
        <v>478</v>
      </c>
      <c r="N286" s="1" t="s">
        <v>5493</v>
      </c>
      <c r="O286" s="15">
        <v>1</v>
      </c>
      <c r="P286" s="15">
        <v>2000</v>
      </c>
      <c r="Q286" s="15" t="str" cm="1">
        <f t="array" ref="Q2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6" s="15" t="str" cm="1">
        <f t="array" ref="R2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canciones/carmelo_erdozain/cristo_nos_une_en_torno_a_su_altar.html</v>
      </c>
      <c r="T286" s="1"/>
      <c r="U286" s="1"/>
      <c r="V286" s="32" t="s">
        <v>5774</v>
      </c>
      <c r="W2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href="canciones/carmelo_erdozain/cristo_nos_une_en_torno_a_su_altar.html"&gt;Cristo nos une en torno a su altar&lt;/a&gt;&lt;/li&gt;</v>
      </c>
      <c r="X286" s="15" t="str">
        <f>_xlfn.TEXTBEFORE(_xlfn.TEXTAFTER(CantoralDB[[#This Row],[index.html]],"&gt;"),"&gt;")&amp;"&gt;"</f>
        <v>&lt;a href="canciones/carmelo_erdozain/cristo_nos_une_en_torno_a_su_altar.html"&gt;</v>
      </c>
      <c r="Y286"/>
      <c r="Z286" s="1"/>
      <c r="AA286" s="1"/>
      <c r="AB286" s="1"/>
      <c r="AC286" s="1"/>
    </row>
    <row r="287" spans="1:29" x14ac:dyDescent="0.3">
      <c r="A287" s="1">
        <f>ROW(CantoralDB[[#This Row],[Título]])-1</f>
        <v>286</v>
      </c>
      <c r="B287" s="1" t="s">
        <v>5653</v>
      </c>
      <c r="C287" s="1"/>
      <c r="J287" s="1"/>
      <c r="M287" s="15" t="s">
        <v>478</v>
      </c>
      <c r="N287" s="1" t="s">
        <v>5493</v>
      </c>
      <c r="O287" s="15">
        <v>2</v>
      </c>
      <c r="P287" s="15">
        <v>2000</v>
      </c>
      <c r="Q287" s="15" t="str" cm="1">
        <f t="array" ref="Q2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7" s="15" t="str" cm="1">
        <f t="array" ref="R2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canciones/carmelo_erdozain/señor_ten_piedad_(ii).html</v>
      </c>
      <c r="T287" s="1"/>
      <c r="U287" s="1"/>
      <c r="V287" s="32" t="s">
        <v>5775</v>
      </c>
      <c r="W2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href="canciones/carmelo_erdozain/señor_ten_piedad_(ii).html"&gt;Señor, ten piedad (II)&lt;/a&gt;&lt;/li&gt;</v>
      </c>
      <c r="X287" s="15" t="str">
        <f>_xlfn.TEXTBEFORE(_xlfn.TEXTAFTER(CantoralDB[[#This Row],[index.html]],"&gt;"),"&gt;")&amp;"&gt;"</f>
        <v>&lt;a href="canciones/carmelo_erdozain/señor_ten_piedad_(ii).html"&gt;</v>
      </c>
      <c r="Y287"/>
      <c r="Z287" s="1"/>
      <c r="AA287" s="1"/>
      <c r="AB287" s="1"/>
      <c r="AC287" s="1"/>
    </row>
    <row r="288" spans="1:29" x14ac:dyDescent="0.3">
      <c r="A288" s="1">
        <f>ROW(CantoralDB[[#This Row],[Título]])-1</f>
        <v>287</v>
      </c>
      <c r="B288" s="1" t="s">
        <v>2034</v>
      </c>
      <c r="C288" s="1"/>
      <c r="J288" s="1"/>
      <c r="M288" s="15" t="s">
        <v>478</v>
      </c>
      <c r="N288" s="1" t="s">
        <v>5493</v>
      </c>
      <c r="O288" s="15">
        <v>3</v>
      </c>
      <c r="P288" s="15">
        <v>2000</v>
      </c>
      <c r="Q288" s="15" t="str" cm="1">
        <f t="array" ref="Q2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8" s="15" t="str" cm="1">
        <f t="array" ref="R2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canciones/carmelo_erdozain/kyrie_eleison.html</v>
      </c>
      <c r="T288" s="1"/>
      <c r="U288" s="1"/>
      <c r="V288" s="32" t="s">
        <v>5776</v>
      </c>
      <c r="W2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href="canciones/carmelo_erdozain/kyrie_eleison.html"&gt;Kyrie eleison&lt;/a&gt;&lt;/li&gt;</v>
      </c>
      <c r="X288" s="15" t="str">
        <f>_xlfn.TEXTBEFORE(_xlfn.TEXTAFTER(CantoralDB[[#This Row],[index.html]],"&gt;"),"&gt;")&amp;"&gt;"</f>
        <v>&lt;a href="canciones/carmelo_erdozain/kyrie_eleison.html"&gt;</v>
      </c>
      <c r="Y288"/>
      <c r="Z288" s="1"/>
      <c r="AA288" s="1"/>
      <c r="AB288" s="1"/>
      <c r="AC288" s="1"/>
    </row>
    <row r="289" spans="1:29" x14ac:dyDescent="0.3">
      <c r="A289" s="1">
        <f>ROW(CantoralDB[[#This Row],[Título]])-1</f>
        <v>288</v>
      </c>
      <c r="B289" s="1" t="s">
        <v>67</v>
      </c>
      <c r="C289" s="1"/>
      <c r="J289" s="1"/>
      <c r="M289" s="15" t="s">
        <v>478</v>
      </c>
      <c r="N289" s="1" t="s">
        <v>5493</v>
      </c>
      <c r="O289" s="15">
        <v>4</v>
      </c>
      <c r="P289" s="15">
        <v>2000</v>
      </c>
      <c r="Q289" s="15" t="str" cm="1">
        <f t="array" ref="Q2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89" s="15" t="str" cm="1">
        <f t="array" ref="R2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canciones/carmelo_erdozain/gloria_a_dios_en_el_cielo.html</v>
      </c>
      <c r="T289" s="1"/>
      <c r="U289" s="1"/>
      <c r="V289" s="32" t="s">
        <v>5777</v>
      </c>
      <c r="W2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href="canciones/carmelo_erdozain/gloria_a_dios_en_el_cielo.html"&gt;Gloria a Dios en el cielo&lt;/a&gt;&lt;/li&gt;</v>
      </c>
      <c r="X289" s="15" t="str">
        <f>_xlfn.TEXTBEFORE(_xlfn.TEXTAFTER(CantoralDB[[#This Row],[index.html]],"&gt;"),"&gt;")&amp;"&gt;"</f>
        <v>&lt;a href="canciones/carmelo_erdozain/gloria_a_dios_en_el_cielo.html"&gt;</v>
      </c>
      <c r="Y289"/>
      <c r="Z289" s="1"/>
      <c r="AA289" s="1"/>
      <c r="AB289" s="1"/>
      <c r="AC289" s="1"/>
    </row>
    <row r="290" spans="1:29" x14ac:dyDescent="0.3">
      <c r="A290" s="1">
        <f>ROW(CantoralDB[[#This Row],[Título]])-1</f>
        <v>289</v>
      </c>
      <c r="B290" s="1" t="s">
        <v>5659</v>
      </c>
      <c r="C290" s="1"/>
      <c r="J290" s="1"/>
      <c r="M290" s="15" t="s">
        <v>478</v>
      </c>
      <c r="N290" s="1" t="s">
        <v>5493</v>
      </c>
      <c r="O290" s="15">
        <v>5</v>
      </c>
      <c r="P290" s="15">
        <v>2000</v>
      </c>
      <c r="Q290" s="15" t="str" cm="1">
        <f t="array" ref="Q2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0" s="15" t="str" cm="1">
        <f t="array" ref="R2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canciones/carmelo_erdozain/aleluya_(ii).html</v>
      </c>
      <c r="T290" s="1"/>
      <c r="U290" s="1"/>
      <c r="V290" s="32" t="s">
        <v>5778</v>
      </c>
      <c r="W2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href="canciones/carmelo_erdozain/aleluya_(ii).html"&gt;Aleluya (II)&lt;/a&gt;&lt;/li&gt;</v>
      </c>
      <c r="X290" s="15" t="str">
        <f>_xlfn.TEXTBEFORE(_xlfn.TEXTAFTER(CantoralDB[[#This Row],[index.html]],"&gt;"),"&gt;")&amp;"&gt;"</f>
        <v>&lt;a href="canciones/carmelo_erdozain/aleluya_(ii).html"&gt;</v>
      </c>
      <c r="Y290"/>
      <c r="Z290" s="1"/>
      <c r="AA290" s="1"/>
      <c r="AB290" s="1"/>
      <c r="AC290" s="1"/>
    </row>
    <row r="291" spans="1:29" x14ac:dyDescent="0.3">
      <c r="A291" s="1">
        <f>ROW(CantoralDB[[#This Row],[Título]])-1</f>
        <v>290</v>
      </c>
      <c r="B291" s="1" t="s">
        <v>5626</v>
      </c>
      <c r="C291" s="1"/>
      <c r="J291" s="1"/>
      <c r="M291" s="15" t="s">
        <v>478</v>
      </c>
      <c r="N291" s="1" t="s">
        <v>5493</v>
      </c>
      <c r="O291" s="15">
        <v>6</v>
      </c>
      <c r="P291" s="15">
        <v>2000</v>
      </c>
      <c r="Q291" s="15" t="str" cm="1">
        <f t="array" ref="Q2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1" s="15" t="str" cm="1">
        <f t="array" ref="R2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canciones/carmelo_erdozain/al_altar_donde_tu_vienes.html</v>
      </c>
      <c r="T291" s="1"/>
      <c r="U291" s="1"/>
      <c r="V291" s="32" t="s">
        <v>5779</v>
      </c>
      <c r="W2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href="canciones/carmelo_erdozain/al_altar_donde_tu_vienes.html"&gt;Al altar donde tú vienes&lt;/a&gt;&lt;/li&gt;</v>
      </c>
      <c r="X291" s="15" t="str">
        <f>_xlfn.TEXTBEFORE(_xlfn.TEXTAFTER(CantoralDB[[#This Row],[index.html]],"&gt;"),"&gt;")&amp;"&gt;"</f>
        <v>&lt;a href="canciones/carmelo_erdozain/al_altar_donde_tu_vienes.html"&gt;</v>
      </c>
      <c r="Y291"/>
      <c r="Z291" s="1"/>
      <c r="AA291" s="1"/>
      <c r="AB291" s="1"/>
      <c r="AC291" s="1"/>
    </row>
    <row r="292" spans="1:29" x14ac:dyDescent="0.3">
      <c r="A292" s="1">
        <f>ROW(CantoralDB[[#This Row],[Título]])-1</f>
        <v>291</v>
      </c>
      <c r="B292" s="1" t="s">
        <v>5627</v>
      </c>
      <c r="C292" s="1"/>
      <c r="J292" s="1"/>
      <c r="M292" s="15" t="s">
        <v>478</v>
      </c>
      <c r="N292" s="1" t="s">
        <v>5493</v>
      </c>
      <c r="O292" s="15">
        <v>7</v>
      </c>
      <c r="P292" s="15">
        <v>2000</v>
      </c>
      <c r="Q292" s="15" t="str" cm="1">
        <f t="array" ref="Q2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2" s="15" t="str" cm="1">
        <f t="array" ref="R2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canciones/carmelo_erdozain/santo_santo_santo.html</v>
      </c>
      <c r="T292" s="1"/>
      <c r="U292" s="1"/>
      <c r="V292" s="32" t="s">
        <v>5780</v>
      </c>
      <c r="W2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href="canciones/carmelo_erdozain/santo_santo_santo.html"&gt;Santo, santo, santo&lt;/a&gt;&lt;/li&gt;</v>
      </c>
      <c r="X292" s="15" t="str">
        <f>_xlfn.TEXTBEFORE(_xlfn.TEXTAFTER(CantoralDB[[#This Row],[index.html]],"&gt;"),"&gt;")&amp;"&gt;"</f>
        <v>&lt;a href="canciones/carmelo_erdozain/santo_santo_santo.html"&gt;</v>
      </c>
      <c r="Y292"/>
      <c r="Z292" s="1"/>
      <c r="AA292" s="1"/>
      <c r="AB292" s="1"/>
      <c r="AC292" s="1"/>
    </row>
    <row r="293" spans="1:29" x14ac:dyDescent="0.3">
      <c r="A293" s="1">
        <f>ROW(CantoralDB[[#This Row],[Título]])-1</f>
        <v>292</v>
      </c>
      <c r="B293" s="1" t="s">
        <v>5849</v>
      </c>
      <c r="C293" s="1"/>
      <c r="J293" s="1"/>
      <c r="M293" s="15" t="s">
        <v>478</v>
      </c>
      <c r="N293" s="1" t="s">
        <v>5493</v>
      </c>
      <c r="O293" s="15">
        <v>8</v>
      </c>
      <c r="P293" s="15">
        <v>2000</v>
      </c>
      <c r="Q293" s="15" t="str" cm="1">
        <f t="array" ref="Q2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3" s="15" t="str" cm="1">
        <f t="array" ref="R2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canciones/carmelo_erdozain/padre_nuestro_(iii).html</v>
      </c>
      <c r="T293" s="1"/>
      <c r="U293" s="1"/>
      <c r="V293" s="32" t="s">
        <v>5781</v>
      </c>
      <c r="W2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href="canciones/carmelo_erdozain/padre_nuestro_(iii).html"&gt;Padre nuestro (III)&lt;/a&gt;&lt;/li&gt;</v>
      </c>
      <c r="X293" s="15" t="str">
        <f>_xlfn.TEXTBEFORE(_xlfn.TEXTAFTER(CantoralDB[[#This Row],[index.html]],"&gt;"),"&gt;")&amp;"&gt;"</f>
        <v>&lt;a href="canciones/carmelo_erdozain/padre_nuestro_(iii).html"&gt;</v>
      </c>
      <c r="Y293"/>
      <c r="Z293" s="1"/>
      <c r="AA293" s="1"/>
      <c r="AB293" s="1"/>
      <c r="AC293" s="1"/>
    </row>
    <row r="294" spans="1:29" x14ac:dyDescent="0.3">
      <c r="A294" s="1">
        <f>ROW(CantoralDB[[#This Row],[Título]])-1</f>
        <v>293</v>
      </c>
      <c r="B294" s="1" t="s">
        <v>5628</v>
      </c>
      <c r="C294" s="1"/>
      <c r="J294" s="1"/>
      <c r="M294" s="15" t="s">
        <v>478</v>
      </c>
      <c r="N294" s="1" t="s">
        <v>5493</v>
      </c>
      <c r="O294" s="15">
        <v>9</v>
      </c>
      <c r="P294" s="15">
        <v>2000</v>
      </c>
      <c r="Q294" s="15" t="str" cm="1">
        <f t="array" ref="Q2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4" s="15" t="str" cm="1">
        <f t="array" ref="R2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canciones/carmelo_erdozain/cordero_de_dios_que_quitas_el_pecado.html</v>
      </c>
      <c r="T294" s="1"/>
      <c r="U294" s="1"/>
      <c r="V294" s="32" t="s">
        <v>5782</v>
      </c>
      <c r="W2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href="canciones/carmelo_erdozain/cordero_de_dios_que_quitas_el_pecado.html"&gt;Cordero de dios que quitas el pecado&lt;/a&gt;&lt;/li&gt;</v>
      </c>
      <c r="X294" s="15" t="str">
        <f>_xlfn.TEXTBEFORE(_xlfn.TEXTAFTER(CantoralDB[[#This Row],[index.html]],"&gt;"),"&gt;")&amp;"&gt;"</f>
        <v>&lt;a href="canciones/carmelo_erdozain/cordero_de_dios_que_quitas_el_pecado.html"&gt;</v>
      </c>
      <c r="Y294"/>
      <c r="Z294" s="1"/>
      <c r="AA294" s="1"/>
      <c r="AB294" s="1"/>
      <c r="AC294" s="1"/>
    </row>
    <row r="295" spans="1:29" x14ac:dyDescent="0.3">
      <c r="A295" s="1">
        <f>ROW(CantoralDB[[#This Row],[Título]])-1</f>
        <v>294</v>
      </c>
      <c r="B295" s="1" t="s">
        <v>5629</v>
      </c>
      <c r="C295" s="1"/>
      <c r="J295" s="1"/>
      <c r="M295" s="15" t="s">
        <v>478</v>
      </c>
      <c r="N295" s="1" t="s">
        <v>5493</v>
      </c>
      <c r="O295" s="15">
        <v>10</v>
      </c>
      <c r="P295" s="15">
        <v>2000</v>
      </c>
      <c r="Q295" s="15" t="str" cm="1">
        <f t="array" ref="Q2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5" s="15" t="str" cm="1">
        <f t="array" ref="R2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canciones/carmelo_erdozain/el_señor_nos_invita_a_su_mesa.html</v>
      </c>
      <c r="T295" s="1"/>
      <c r="U295" s="1"/>
      <c r="V295" s="32" t="s">
        <v>5783</v>
      </c>
      <c r="W2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href="canciones/carmelo_erdozain/el_señor_nos_invita_a_su_mesa.html"&gt;El Señor nos invita a su mesa&lt;/a&gt;&lt;/li&gt;</v>
      </c>
      <c r="X295" s="15" t="str">
        <f>_xlfn.TEXTBEFORE(_xlfn.TEXTAFTER(CantoralDB[[#This Row],[index.html]],"&gt;"),"&gt;")&amp;"&gt;"</f>
        <v>&lt;a href="canciones/carmelo_erdozain/el_señor_nos_invita_a_su_mesa.html"&gt;</v>
      </c>
      <c r="Y295"/>
      <c r="Z295" s="1"/>
      <c r="AA295" s="1"/>
      <c r="AB295" s="1"/>
      <c r="AC295" s="1"/>
    </row>
    <row r="296" spans="1:29" x14ac:dyDescent="0.3">
      <c r="A296" s="1">
        <f>ROW(CantoralDB[[#This Row],[Título]])-1</f>
        <v>295</v>
      </c>
      <c r="B296" s="1" t="s">
        <v>5630</v>
      </c>
      <c r="C296" s="1"/>
      <c r="J296" s="1"/>
      <c r="M296" s="15" t="s">
        <v>478</v>
      </c>
      <c r="N296" s="1" t="s">
        <v>5493</v>
      </c>
      <c r="O296" s="15">
        <v>11</v>
      </c>
      <c r="P296" s="15">
        <v>2000</v>
      </c>
      <c r="Q296" s="15" t="str" cm="1">
        <f t="array" ref="Q2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6" s="15" t="str" cm="1">
        <f t="array" ref="R2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canciones/carmelo_erdozain/el_señor_nos_da_su_pan.html</v>
      </c>
      <c r="T296" s="1"/>
      <c r="U296" s="1"/>
      <c r="V296" s="32" t="s">
        <v>5784</v>
      </c>
      <c r="W2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href="canciones/carmelo_erdozain/el_señor_nos_da_su_pan.html"&gt;El Señor nos da su pan&lt;/a&gt;&lt;/li&gt;</v>
      </c>
      <c r="X296" s="15" t="str">
        <f>_xlfn.TEXTBEFORE(_xlfn.TEXTAFTER(CantoralDB[[#This Row],[index.html]],"&gt;"),"&gt;")&amp;"&gt;"</f>
        <v>&lt;a href="canciones/carmelo_erdozain/el_señor_nos_da_su_pan.html"&gt;</v>
      </c>
      <c r="Y296"/>
      <c r="Z296" s="1"/>
      <c r="AA296" s="1"/>
      <c r="AB296" s="1"/>
      <c r="AC296" s="1"/>
    </row>
    <row r="297" spans="1:29" x14ac:dyDescent="0.3">
      <c r="A297" s="1">
        <f>ROW(CantoralDB[[#This Row],[Título]])-1</f>
        <v>296</v>
      </c>
      <c r="B297" s="1" t="s">
        <v>5631</v>
      </c>
      <c r="C297" s="1"/>
      <c r="J297" s="1"/>
      <c r="M297" s="15" t="s">
        <v>478</v>
      </c>
      <c r="N297" s="1" t="s">
        <v>5493</v>
      </c>
      <c r="O297" s="15">
        <v>12</v>
      </c>
      <c r="P297" s="15">
        <v>2000</v>
      </c>
      <c r="Q297" s="15" t="str" cm="1">
        <f t="array" ref="Q2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7" s="15" t="str" cm="1">
        <f t="array" ref="R2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canciones/carmelo_erdozain/hizo_un_banquete_el_señor.html</v>
      </c>
      <c r="T297" s="1"/>
      <c r="U297" s="1"/>
      <c r="V297" s="32" t="s">
        <v>5785</v>
      </c>
      <c r="W2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href="canciones/carmelo_erdozain/hizo_un_banquete_el_señor.html"&gt;Hizo un banquete el Señor&lt;/a&gt;&lt;/li&gt;</v>
      </c>
      <c r="X297" s="15" t="str">
        <f>_xlfn.TEXTBEFORE(_xlfn.TEXTAFTER(CantoralDB[[#This Row],[index.html]],"&gt;"),"&gt;")&amp;"&gt;"</f>
        <v>&lt;a href="canciones/carmelo_erdozain/hizo_un_banquete_el_señor.html"&gt;</v>
      </c>
      <c r="Y297"/>
      <c r="Z297" s="1"/>
      <c r="AA297" s="1"/>
      <c r="AB297" s="1"/>
      <c r="AC297" s="1"/>
    </row>
    <row r="298" spans="1:29" x14ac:dyDescent="0.3">
      <c r="A298" s="1">
        <f>ROW(CantoralDB[[#This Row],[Título]])-1</f>
        <v>297</v>
      </c>
      <c r="B298" s="1" t="s">
        <v>5632</v>
      </c>
      <c r="C298" s="1"/>
      <c r="J298" s="1"/>
      <c r="M298" s="15" t="s">
        <v>478</v>
      </c>
      <c r="N298" s="1" t="s">
        <v>5493</v>
      </c>
      <c r="O298" s="15">
        <v>13</v>
      </c>
      <c r="P298" s="15">
        <v>2000</v>
      </c>
      <c r="Q298" s="15" t="str" cm="1">
        <f t="array" ref="Q2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8" s="15" t="str" cm="1">
        <f t="array" ref="R2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canciones/carmelo_erdozain/nos_hablo_el_señor_del_pan_del_cielo.html</v>
      </c>
      <c r="T298" s="1"/>
      <c r="U298" s="1"/>
      <c r="V298" s="32" t="s">
        <v>5786</v>
      </c>
      <c r="W2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href="canciones/carmelo_erdozain/nos_hablo_el_señor_del_pan_del_cielo.html"&gt;Nos habló el Señor del pan del cielo&lt;/a&gt;&lt;/li&gt;</v>
      </c>
      <c r="X298" s="15" t="str">
        <f>_xlfn.TEXTBEFORE(_xlfn.TEXTAFTER(CantoralDB[[#This Row],[index.html]],"&gt;"),"&gt;")&amp;"&gt;"</f>
        <v>&lt;a href="canciones/carmelo_erdozain/nos_hablo_el_señor_del_pan_del_cielo.html"&gt;</v>
      </c>
      <c r="Y298"/>
      <c r="Z298" s="1"/>
      <c r="AA298" s="1"/>
      <c r="AB298" s="1"/>
      <c r="AC298" s="1"/>
    </row>
    <row r="299" spans="1:29" x14ac:dyDescent="0.3">
      <c r="A299" s="1">
        <f>ROW(CantoralDB[[#This Row],[Título]])-1</f>
        <v>298</v>
      </c>
      <c r="B299" s="1" t="s">
        <v>5633</v>
      </c>
      <c r="C299" s="1"/>
      <c r="J299" s="1"/>
      <c r="M299" s="15" t="s">
        <v>478</v>
      </c>
      <c r="N299" s="1" t="s">
        <v>5493</v>
      </c>
      <c r="O299" s="15">
        <v>14</v>
      </c>
      <c r="P299" s="15">
        <v>2000</v>
      </c>
      <c r="Q299" s="15" t="str" cm="1">
        <f t="array" ref="Q2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299" s="15" t="str" cm="1">
        <f t="array" ref="R2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2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canciones/carmelo_erdozain/nada_te_turbe_nada_te_espante.html</v>
      </c>
      <c r="T299" s="1"/>
      <c r="U299" s="1"/>
      <c r="V299" s="32" t="s">
        <v>5787</v>
      </c>
      <c r="W2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href="canciones/carmelo_erdozain/nada_te_turbe_nada_te_espante.html"&gt;Nada te turbe, nada te espante&lt;/a&gt;&lt;/li&gt;</v>
      </c>
      <c r="X299" s="15" t="str">
        <f>_xlfn.TEXTBEFORE(_xlfn.TEXTAFTER(CantoralDB[[#This Row],[index.html]],"&gt;"),"&gt;")&amp;"&gt;"</f>
        <v>&lt;a href="canciones/carmelo_erdozain/nada_te_turbe_nada_te_espante.html"&gt;</v>
      </c>
      <c r="Y299"/>
      <c r="Z299" s="1"/>
      <c r="AA299" s="1"/>
      <c r="AB299" s="1"/>
      <c r="AC299" s="1"/>
    </row>
    <row r="300" spans="1:29" x14ac:dyDescent="0.3">
      <c r="A300" s="1">
        <f>ROW(CantoralDB[[#This Row],[Título]])-1</f>
        <v>299</v>
      </c>
      <c r="B300" s="1" t="s">
        <v>5634</v>
      </c>
      <c r="C300" s="1"/>
      <c r="J300" s="1"/>
      <c r="M300" s="15" t="s">
        <v>478</v>
      </c>
      <c r="N300" s="1" t="s">
        <v>5493</v>
      </c>
      <c r="O300" s="15">
        <v>15</v>
      </c>
      <c r="P300" s="15">
        <v>2000</v>
      </c>
      <c r="Q300" s="15" t="str" cm="1">
        <f t="array" ref="Q3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0" s="15" t="str" cm="1">
        <f t="array" ref="R3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canciones/carmelo_erdozain/himno_al_patron_de_la_parroquia.html</v>
      </c>
      <c r="T300" s="1"/>
      <c r="U300" s="1"/>
      <c r="V300" s="32" t="s">
        <v>5788</v>
      </c>
      <c r="W3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href="canciones/carmelo_erdozain/himno_al_patron_de_la_parroquia.html"&gt;Himno al patrón de la parroquia&lt;/a&gt;&lt;/li&gt;</v>
      </c>
      <c r="X300" s="15" t="str">
        <f>_xlfn.TEXTBEFORE(_xlfn.TEXTAFTER(CantoralDB[[#This Row],[index.html]],"&gt;"),"&gt;")&amp;"&gt;"</f>
        <v>&lt;a href="canciones/carmelo_erdozain/himno_al_patron_de_la_parroquia.html"&gt;</v>
      </c>
      <c r="Y300"/>
      <c r="Z300" s="1"/>
      <c r="AA300" s="1"/>
      <c r="AB300" s="1"/>
      <c r="AC300" s="1"/>
    </row>
    <row r="301" spans="1:29" x14ac:dyDescent="0.3">
      <c r="A301" s="1">
        <f>ROW(CantoralDB[[#This Row],[Título]])-1</f>
        <v>300</v>
      </c>
      <c r="B301" s="1" t="s">
        <v>1162</v>
      </c>
      <c r="C301" s="1" t="s">
        <v>194</v>
      </c>
      <c r="D301" s="1" t="s">
        <v>1381</v>
      </c>
      <c r="E301" s="1">
        <v>24</v>
      </c>
      <c r="G301" s="1" t="s">
        <v>208</v>
      </c>
      <c r="H301" s="1" t="s">
        <v>529</v>
      </c>
      <c r="I301" s="1" t="s">
        <v>2948</v>
      </c>
      <c r="J301" s="1" t="s">
        <v>605</v>
      </c>
      <c r="M301" s="15" t="s">
        <v>478</v>
      </c>
      <c r="N301" s="1" t="s">
        <v>5848</v>
      </c>
      <c r="O301" s="15"/>
      <c r="P301" s="15"/>
      <c r="Q301" s="15" t="str" cm="1">
        <f t="array" ref="Q3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1" s="15" t="str" cm="1">
        <f t="array" ref="R3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canciones/carmelo_erdozain/ante_ti_señor.html</v>
      </c>
      <c r="T301" s="1"/>
      <c r="U301" s="1"/>
      <c r="V301" s="32" t="s">
        <v>5846</v>
      </c>
      <c r="W3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data-momento="Ofertorio" data-nnew="F03" data-nold="24"&gt;&lt;a href="canciones/carmelo_erdozain/ante_ti_señor.html"&gt;Ante ti, Señor&lt;/a&gt;&lt;/li&gt;</v>
      </c>
      <c r="X301" s="15" t="str">
        <f>_xlfn.TEXTBEFORE(_xlfn.TEXTAFTER(CantoralDB[[#This Row],[index.html]],"&gt;"),"&gt;")&amp;"&gt;"</f>
        <v>&lt;a href="canciones/carmelo_erdozain/ante_ti_señor.html"&gt;</v>
      </c>
      <c r="Y301"/>
      <c r="Z301" s="1"/>
      <c r="AA301" s="1"/>
      <c r="AB301" s="1"/>
      <c r="AC301" s="1"/>
    </row>
    <row r="302" spans="1:29" x14ac:dyDescent="0.3">
      <c r="A302" s="1">
        <f>ROW(CantoralDB[[#This Row],[Título]])-1</f>
        <v>301</v>
      </c>
      <c r="B302" s="1" t="s">
        <v>1185</v>
      </c>
      <c r="C302" s="1"/>
      <c r="E302" s="1">
        <v>58</v>
      </c>
      <c r="H302" s="1" t="s">
        <v>1025</v>
      </c>
      <c r="J302" s="1" t="s">
        <v>605</v>
      </c>
      <c r="M302" s="15" t="s">
        <v>478</v>
      </c>
      <c r="N302" s="1" t="s">
        <v>5848</v>
      </c>
      <c r="O302" s="15"/>
      <c r="P302" s="15"/>
      <c r="Q302" s="15" t="str" cm="1">
        <f t="array" ref="Q3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2" s="15" t="str" cm="1">
        <f t="array" ref="R3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canciones/carmelo_erdozain/cristo_es_la_imagen_de_dios.html</v>
      </c>
      <c r="T302" s="1"/>
      <c r="U302" s="1"/>
      <c r="V302" s="32" t="s">
        <v>5847</v>
      </c>
      <c r="W3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data-nold="58"&gt;&lt;a href="canciones/carmelo_erdozain/cristo_es_la_imagen_de_dios.html"&gt;Cristo es la imagen de Dios&lt;/a&gt;&lt;/li&gt;</v>
      </c>
      <c r="X302" s="15" t="str">
        <f>_xlfn.TEXTBEFORE(_xlfn.TEXTAFTER(CantoralDB[[#This Row],[index.html]],"&gt;"),"&gt;")&amp;"&gt;"</f>
        <v>&lt;a href="canciones/carmelo_erdozain/cristo_es_la_imagen_de_dios.html"&gt;</v>
      </c>
      <c r="Y302"/>
      <c r="Z302" s="1"/>
      <c r="AA302" s="1"/>
      <c r="AB302" s="1"/>
      <c r="AC302" s="1"/>
    </row>
    <row r="303" spans="1:29" x14ac:dyDescent="0.3">
      <c r="A303" s="1">
        <f>ROW(CantoralDB[[#This Row],[Título]])-1</f>
        <v>302</v>
      </c>
      <c r="B303" s="1" t="s">
        <v>1183</v>
      </c>
      <c r="C303" s="1"/>
      <c r="E303" s="1">
        <v>57</v>
      </c>
      <c r="H303" s="1" t="s">
        <v>1026</v>
      </c>
      <c r="J303" s="1" t="s">
        <v>605</v>
      </c>
      <c r="M303" s="15" t="s">
        <v>478</v>
      </c>
      <c r="N303" s="1" t="s">
        <v>5848</v>
      </c>
      <c r="O303" s="15"/>
      <c r="P303" s="15"/>
      <c r="Q303" s="15" t="str" cm="1">
        <f t="array" ref="Q3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3" s="15" t="str" cm="1">
        <f t="array" ref="R3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canciones/carmelo_erdozain/cristo_se_entrego_por_nosotros.html</v>
      </c>
      <c r="T303" s="1"/>
      <c r="U303" s="1"/>
      <c r="V303" s="15"/>
      <c r="W3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data-nold="57"&gt;&lt;a href="canciones/carmelo_erdozain/cristo_se_entrego_por_nosotros.html"&gt;Cristo se entregó por nosotros&lt;/a&gt;&lt;/li&gt;</v>
      </c>
      <c r="X303" s="15" t="str">
        <f>_xlfn.TEXTBEFORE(_xlfn.TEXTAFTER(CantoralDB[[#This Row],[index.html]],"&gt;"),"&gt;")&amp;"&gt;"</f>
        <v>&lt;a href="canciones/carmelo_erdozain/cristo_se_entrego_por_nosotros.html"&gt;</v>
      </c>
      <c r="Y303"/>
      <c r="Z303" s="1"/>
      <c r="AA303" s="1"/>
      <c r="AB303" s="1"/>
      <c r="AC303" s="1"/>
    </row>
    <row r="304" spans="1:29" x14ac:dyDescent="0.3">
      <c r="A304" s="1">
        <f>ROW(CantoralDB[[#This Row],[Título]])-1</f>
        <v>303</v>
      </c>
      <c r="B304" s="1" t="s">
        <v>2877</v>
      </c>
      <c r="C304" s="1" t="s">
        <v>200</v>
      </c>
      <c r="D304" s="1" t="s">
        <v>652</v>
      </c>
      <c r="E304" s="1">
        <v>116</v>
      </c>
      <c r="G304" s="1" t="s">
        <v>208</v>
      </c>
      <c r="H304" s="1" t="s">
        <v>1024</v>
      </c>
      <c r="J304" s="1" t="s">
        <v>605</v>
      </c>
      <c r="M304" s="15" t="s">
        <v>478</v>
      </c>
      <c r="N304" s="1" t="s">
        <v>5848</v>
      </c>
      <c r="O304" s="15"/>
      <c r="P304" s="15"/>
      <c r="Q304" s="15" t="str" cm="1">
        <f t="array" ref="Q3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4" s="15" t="str" cm="1">
        <f t="array" ref="R3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canciones/carmelo_erdozain/escucha_tu_la_palabra_de_dios.html</v>
      </c>
      <c r="T304" s="1"/>
      <c r="U304" s="1"/>
      <c r="V304" s="32" t="s">
        <v>5852</v>
      </c>
      <c r="W3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data-momento="Antífonas" data-nnew="D17" data-nold="116"&gt;&lt;a href="canciones/carmelo_erdozain/escucha_tu_la_palabra_de_dios.html"&gt;Escucha tú la Palabra de Dios&lt;/a&gt;&lt;/li&gt;</v>
      </c>
      <c r="X304" s="15" t="str">
        <f>_xlfn.TEXTBEFORE(_xlfn.TEXTAFTER(CantoralDB[[#This Row],[index.html]],"&gt;"),"&gt;")&amp;"&gt;"</f>
        <v>&lt;a href="canciones/carmelo_erdozain/escucha_tu_la_palabra_de_dios.html"&gt;</v>
      </c>
      <c r="Y304"/>
      <c r="Z304" s="1"/>
      <c r="AA304" s="1"/>
      <c r="AB304" s="1"/>
      <c r="AC304" s="1"/>
    </row>
    <row r="305" spans="1:29" x14ac:dyDescent="0.3">
      <c r="A305" s="1">
        <f>ROW(CantoralDB[[#This Row],[Título]])-1</f>
        <v>304</v>
      </c>
      <c r="B305" s="1" t="s">
        <v>221</v>
      </c>
      <c r="C305" s="1" t="s">
        <v>190</v>
      </c>
      <c r="D305" s="1" t="s">
        <v>731</v>
      </c>
      <c r="G305" s="1" t="s">
        <v>215</v>
      </c>
      <c r="H305" s="1" t="s">
        <v>529</v>
      </c>
      <c r="J305" s="1" t="s">
        <v>605</v>
      </c>
      <c r="M305" s="15" t="s">
        <v>478</v>
      </c>
      <c r="N305" s="1" t="s">
        <v>5494</v>
      </c>
      <c r="O305" s="15"/>
      <c r="P305" s="15">
        <v>1985</v>
      </c>
      <c r="Q305" s="15" t="str" cm="1">
        <f t="array" ref="Q3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5" s="15" t="str" cm="1">
        <f t="array" ref="R3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canciones/carmelo_erdozain/dios_nos_convoca.html</v>
      </c>
      <c r="T305" s="1"/>
      <c r="U305" s="1"/>
      <c r="V305" s="32" t="s">
        <v>5845</v>
      </c>
      <c r="W3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data-momento="Entrada" data-nnew="A14"&gt;&lt;a href="canciones/carmelo_erdozain/dios_nos_convoca.html"&gt;Dios nos convoca&lt;/a&gt;&lt;/li&gt;</v>
      </c>
      <c r="X305" s="15" t="str">
        <f>_xlfn.TEXTBEFORE(_xlfn.TEXTAFTER(CantoralDB[[#This Row],[index.html]],"&gt;"),"&gt;")&amp;"&gt;"</f>
        <v>&lt;a href="canciones/carmelo_erdozain/dios_nos_convoca.html"&gt;</v>
      </c>
      <c r="Y305"/>
      <c r="Z305" s="1"/>
      <c r="AA305" s="1"/>
      <c r="AB305" s="1"/>
      <c r="AC305" s="1"/>
    </row>
    <row r="306" spans="1:29" x14ac:dyDescent="0.3">
      <c r="A306" s="1">
        <f>ROW(CantoralDB[[#This Row],[Título]])-1</f>
        <v>305</v>
      </c>
      <c r="B306" s="1" t="s">
        <v>5635</v>
      </c>
      <c r="C306" s="1"/>
      <c r="J306" s="1"/>
      <c r="M306" s="15" t="s">
        <v>478</v>
      </c>
      <c r="N306" s="1" t="s">
        <v>5495</v>
      </c>
      <c r="O306" s="15">
        <v>2</v>
      </c>
      <c r="P306" s="15">
        <v>2006</v>
      </c>
      <c r="Q306" s="15" t="str" cm="1">
        <f t="array" ref="Q3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6" s="15" t="str" cm="1">
        <f t="array" ref="R3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canciones/carmelo_erdozain/vamos_a_preparar_el_camino_del_señor.html</v>
      </c>
      <c r="T306" s="1"/>
      <c r="U306" s="1"/>
      <c r="V306" s="32" t="s">
        <v>5665</v>
      </c>
      <c r="W3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href="canciones/carmelo_erdozain/vamos_a_preparar_el_camino_del_señor.html"&gt;Vamos a preparar el camino del Señor&lt;/a&gt;&lt;/li&gt;</v>
      </c>
      <c r="X306" s="15" t="str">
        <f>_xlfn.TEXTBEFORE(_xlfn.TEXTAFTER(CantoralDB[[#This Row],[index.html]],"&gt;"),"&gt;")&amp;"&gt;"</f>
        <v>&lt;a href="canciones/carmelo_erdozain/vamos_a_preparar_el_camino_del_señor.html"&gt;</v>
      </c>
      <c r="Y306"/>
      <c r="Z306" s="1"/>
      <c r="AA306" s="1"/>
      <c r="AB306" s="1"/>
      <c r="AC306" s="1"/>
    </row>
    <row r="307" spans="1:29" x14ac:dyDescent="0.3">
      <c r="A307" s="1">
        <f>ROW(CantoralDB[[#This Row],[Título]])-1</f>
        <v>306</v>
      </c>
      <c r="B307" s="1" t="s">
        <v>1320</v>
      </c>
      <c r="C307" s="1"/>
      <c r="J307" s="1"/>
      <c r="M307" s="15" t="s">
        <v>478</v>
      </c>
      <c r="N307" s="1" t="s">
        <v>5495</v>
      </c>
      <c r="O307" s="15">
        <v>3</v>
      </c>
      <c r="P307" s="15">
        <v>2006</v>
      </c>
      <c r="Q307" s="15" t="str" cm="1">
        <f t="array" ref="Q3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7" s="15" t="str" cm="1">
        <f t="array" ref="R3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canciones/carmelo_erdozain/se_acerca_el_reino_de_dios.html</v>
      </c>
      <c r="T307" s="1"/>
      <c r="U307" s="1"/>
      <c r="V307" s="32" t="s">
        <v>5666</v>
      </c>
      <c r="W3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href="canciones/carmelo_erdozain/se_acerca_el_reino_de_dios.html"&gt;Se acerca el reino de Dios&lt;/a&gt;&lt;/li&gt;</v>
      </c>
      <c r="X307" s="15" t="str">
        <f>_xlfn.TEXTBEFORE(_xlfn.TEXTAFTER(CantoralDB[[#This Row],[index.html]],"&gt;"),"&gt;")&amp;"&gt;"</f>
        <v>&lt;a href="canciones/carmelo_erdozain/se_acerca_el_reino_de_dios.html"&gt;</v>
      </c>
      <c r="Y307"/>
      <c r="Z307" s="1"/>
      <c r="AA307" s="1"/>
      <c r="AB307" s="1"/>
      <c r="AC307" s="1"/>
    </row>
    <row r="308" spans="1:29" x14ac:dyDescent="0.3">
      <c r="A308" s="1">
        <f>ROW(CantoralDB[[#This Row],[Título]])-1</f>
        <v>307</v>
      </c>
      <c r="B308" s="1" t="s">
        <v>115</v>
      </c>
      <c r="C308" s="1" t="s">
        <v>190</v>
      </c>
      <c r="D308" s="1" t="s">
        <v>744</v>
      </c>
      <c r="E308" s="1">
        <v>449</v>
      </c>
      <c r="F308" s="1">
        <v>215</v>
      </c>
      <c r="G308" s="1" t="s">
        <v>208</v>
      </c>
      <c r="H308" s="1" t="s">
        <v>1026</v>
      </c>
      <c r="J308" s="1" t="s">
        <v>605</v>
      </c>
      <c r="M308" s="15" t="s">
        <v>478</v>
      </c>
      <c r="N308" s="1" t="s">
        <v>5495</v>
      </c>
      <c r="O308" s="15">
        <v>4</v>
      </c>
      <c r="P308" s="15">
        <v>2006</v>
      </c>
      <c r="Q308" s="15" t="str" cm="1">
        <f t="array" ref="Q3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8" s="15" t="str" cm="1">
        <f t="array" ref="R3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canciones/carmelo_erdozain/preparad_el_camino_al_señor.html</v>
      </c>
      <c r="T308" s="1" t="s">
        <v>852</v>
      </c>
      <c r="U308" s="1"/>
      <c r="V308" s="32" t="s">
        <v>5643</v>
      </c>
      <c r="W3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data-momento="Entrada" data-nnew="A27" data-nold="449" data-nrcc="215"&gt;&lt;a href="canciones/carmelo_erdozain/preparad_el_camino_al_señor.html"&gt;Preparad el camino al Señor&lt;/a&gt;&lt;/li&gt;</v>
      </c>
      <c r="X308" s="15" t="str">
        <f>_xlfn.TEXTBEFORE(_xlfn.TEXTAFTER(CantoralDB[[#This Row],[index.html]],"&gt;"),"&gt;")&amp;"&gt;"</f>
        <v>&lt;a href="canciones/carmelo_erdozain/preparad_el_camino_al_señor.html"&gt;</v>
      </c>
      <c r="Y308"/>
      <c r="Z308" s="1"/>
      <c r="AA308" s="1"/>
      <c r="AB308" s="1"/>
      <c r="AC308" s="1"/>
    </row>
    <row r="309" spans="1:29" x14ac:dyDescent="0.3">
      <c r="A309" s="1">
        <f>ROW(CantoralDB[[#This Row],[Título]])-1</f>
        <v>308</v>
      </c>
      <c r="B309" s="1" t="s">
        <v>85</v>
      </c>
      <c r="C309" s="1"/>
      <c r="J309" s="1"/>
      <c r="M309" s="15" t="s">
        <v>478</v>
      </c>
      <c r="N309" s="1" t="s">
        <v>5495</v>
      </c>
      <c r="O309" s="15">
        <v>5</v>
      </c>
      <c r="P309" s="15">
        <v>2006</v>
      </c>
      <c r="Q309" s="15" t="str" cm="1">
        <f t="array" ref="Q3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09" s="15" t="str" cm="1">
        <f t="array" ref="R3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canciones/carmelo_erdozain/la_virgen_sueña_caminos.html</v>
      </c>
      <c r="T309" s="1"/>
      <c r="U309" s="1"/>
      <c r="V309" s="32" t="s">
        <v>5789</v>
      </c>
      <c r="W3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href="canciones/carmelo_erdozain/la_virgen_sueña_caminos.html"&gt;La Virgen sueña caminos&lt;/a&gt;&lt;/li&gt;</v>
      </c>
      <c r="X309" s="15" t="str">
        <f>_xlfn.TEXTBEFORE(_xlfn.TEXTAFTER(CantoralDB[[#This Row],[index.html]],"&gt;"),"&gt;")&amp;"&gt;"</f>
        <v>&lt;a href="canciones/carmelo_erdozain/la_virgen_sueña_caminos.html"&gt;</v>
      </c>
      <c r="Y309"/>
      <c r="Z309" s="1"/>
      <c r="AA309" s="1"/>
      <c r="AB309" s="1"/>
      <c r="AC309" s="1"/>
    </row>
    <row r="310" spans="1:29" x14ac:dyDescent="0.3">
      <c r="A310" s="1">
        <f>ROW(CantoralDB[[#This Row],[Título]])-1</f>
        <v>309</v>
      </c>
      <c r="B310" s="1" t="s">
        <v>5636</v>
      </c>
      <c r="C310" s="1"/>
      <c r="J310" s="1"/>
      <c r="M310" s="15" t="s">
        <v>478</v>
      </c>
      <c r="N310" s="1" t="s">
        <v>5495</v>
      </c>
      <c r="O310" s="15">
        <v>9</v>
      </c>
      <c r="P310" s="15">
        <v>2006</v>
      </c>
      <c r="Q310" s="15" t="str" cm="1">
        <f t="array" ref="Q3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0" s="15" t="str" cm="1">
        <f t="array" ref="R3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canciones/carmelo_erdozain/aurora_y_clavel.html</v>
      </c>
      <c r="T310" s="1"/>
      <c r="U310" s="1"/>
      <c r="V310" s="32" t="s">
        <v>5667</v>
      </c>
      <c r="W3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href="canciones/carmelo_erdozain/aurora_y_clavel.html"&gt;Aurora y clavel&lt;/a&gt;&lt;/li&gt;</v>
      </c>
      <c r="X310" s="15" t="str">
        <f>_xlfn.TEXTBEFORE(_xlfn.TEXTAFTER(CantoralDB[[#This Row],[index.html]],"&gt;"),"&gt;")&amp;"&gt;"</f>
        <v>&lt;a href="canciones/carmelo_erdozain/aurora_y_clavel.html"&gt;</v>
      </c>
      <c r="Y310"/>
      <c r="Z310" s="1"/>
      <c r="AA310" s="1"/>
      <c r="AB310" s="1"/>
      <c r="AC310" s="1"/>
    </row>
    <row r="311" spans="1:29" x14ac:dyDescent="0.3">
      <c r="A311" s="1">
        <f>ROW(CantoralDB[[#This Row],[Título]])-1</f>
        <v>310</v>
      </c>
      <c r="B311" s="1" t="s">
        <v>5637</v>
      </c>
      <c r="C311" s="1"/>
      <c r="J311" s="1"/>
      <c r="M311" s="15" t="s">
        <v>478</v>
      </c>
      <c r="N311" s="1" t="s">
        <v>5495</v>
      </c>
      <c r="O311" s="15">
        <v>15</v>
      </c>
      <c r="P311" s="15">
        <v>2006</v>
      </c>
      <c r="Q311" s="15" t="str" cm="1">
        <f t="array" ref="Q3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1" s="15" t="str" cm="1">
        <f t="array" ref="R3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canciones/carmelo_erdozain/yo_soy_un_pastorcito.html</v>
      </c>
      <c r="T311" s="1"/>
      <c r="U311" s="1"/>
      <c r="V311" s="32" t="s">
        <v>5664</v>
      </c>
      <c r="W3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href="canciones/carmelo_erdozain/yo_soy_un_pastorcito.html"&gt;Yo soy un pastorcito&lt;/a&gt;&lt;/li&gt;</v>
      </c>
      <c r="X311" s="15" t="str">
        <f>_xlfn.TEXTBEFORE(_xlfn.TEXTAFTER(CantoralDB[[#This Row],[index.html]],"&gt;"),"&gt;")&amp;"&gt;"</f>
        <v>&lt;a href="canciones/carmelo_erdozain/yo_soy_un_pastorcito.html"&gt;</v>
      </c>
      <c r="Y311"/>
      <c r="Z311" s="1"/>
      <c r="AA311" s="1"/>
      <c r="AB311" s="1"/>
      <c r="AC311" s="1"/>
    </row>
    <row r="312" spans="1:29" x14ac:dyDescent="0.3">
      <c r="A312" s="1">
        <f>ROW(CantoralDB[[#This Row],[Título]])-1</f>
        <v>311</v>
      </c>
      <c r="B312" s="1" t="s">
        <v>5608</v>
      </c>
      <c r="C312" s="1"/>
      <c r="J312" s="1"/>
      <c r="M312" s="15" t="s">
        <v>478</v>
      </c>
      <c r="N312" s="1" t="s">
        <v>5495</v>
      </c>
      <c r="O312" s="15">
        <v>16</v>
      </c>
      <c r="P312" s="15">
        <v>2006</v>
      </c>
      <c r="Q312" s="15" t="str" cm="1">
        <f t="array" ref="Q3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2" s="15" t="str" cm="1">
        <f t="array" ref="R3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canciones/carmelo_erdozain/la_cañada.html</v>
      </c>
      <c r="T312" s="1"/>
      <c r="U312" s="1"/>
      <c r="V312" s="32" t="s">
        <v>5668</v>
      </c>
      <c r="W3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href="canciones/carmelo_erdozain/la_cañada.html"&gt;La cañada&lt;/a&gt;&lt;/li&gt;</v>
      </c>
      <c r="X312" s="15" t="str">
        <f>_xlfn.TEXTBEFORE(_xlfn.TEXTAFTER(CantoralDB[[#This Row],[index.html]],"&gt;"),"&gt;")&amp;"&gt;"</f>
        <v>&lt;a href="canciones/carmelo_erdozain/la_cañada.html"&gt;</v>
      </c>
      <c r="Y312"/>
      <c r="Z312" s="1"/>
      <c r="AA312" s="1"/>
      <c r="AB312" s="1"/>
      <c r="AC312" s="1"/>
    </row>
    <row r="313" spans="1:29" x14ac:dyDescent="0.3">
      <c r="A313" s="1">
        <f>ROW(CantoralDB[[#This Row],[Título]])-1</f>
        <v>312</v>
      </c>
      <c r="B313" s="1" t="s">
        <v>5638</v>
      </c>
      <c r="C313" s="1"/>
      <c r="J313" s="1"/>
      <c r="M313" s="15" t="s">
        <v>478</v>
      </c>
      <c r="N313" s="1" t="s">
        <v>5495</v>
      </c>
      <c r="O313" s="15">
        <v>17</v>
      </c>
      <c r="P313" s="15">
        <v>2006</v>
      </c>
      <c r="Q313" s="15" t="str" cm="1">
        <f t="array" ref="Q3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3" s="15" t="str" cm="1">
        <f t="array" ref="R3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canciones/carmelo_erdozain/nace_el_niño_y_en_un_portal.html</v>
      </c>
      <c r="T313" s="1"/>
      <c r="U313" s="1"/>
      <c r="V313" s="32" t="s">
        <v>5669</v>
      </c>
      <c r="W3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href="canciones/carmelo_erdozain/nace_el_niño_y_en_un_portal.html"&gt;Nace el niño y en un portal&lt;/a&gt;&lt;/li&gt;</v>
      </c>
      <c r="X313" s="15" t="str">
        <f>_xlfn.TEXTBEFORE(_xlfn.TEXTAFTER(CantoralDB[[#This Row],[index.html]],"&gt;"),"&gt;")&amp;"&gt;"</f>
        <v>&lt;a href="canciones/carmelo_erdozain/nace_el_niño_y_en_un_portal.html"&gt;</v>
      </c>
      <c r="Y313"/>
      <c r="Z313" s="1"/>
      <c r="AA313" s="1"/>
      <c r="AB313" s="1"/>
      <c r="AC313" s="1"/>
    </row>
    <row r="314" spans="1:29" x14ac:dyDescent="0.3">
      <c r="A314" s="1">
        <f>ROW(CantoralDB[[#This Row],[Título]])-1</f>
        <v>313</v>
      </c>
      <c r="B314" s="1" t="s">
        <v>5639</v>
      </c>
      <c r="C314" s="1"/>
      <c r="J314" s="1"/>
      <c r="M314" s="15" t="s">
        <v>478</v>
      </c>
      <c r="N314" s="1" t="s">
        <v>5495</v>
      </c>
      <c r="O314" s="15">
        <v>19</v>
      </c>
      <c r="P314" s="15">
        <v>2006</v>
      </c>
      <c r="Q314" s="15" t="str" cm="1">
        <f t="array" ref="Q3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4" s="15" t="str" cm="1">
        <f t="array" ref="R3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canciones/carmelo_erdozain/tres_reyes_magos.html</v>
      </c>
      <c r="T314" s="1"/>
      <c r="U314" s="1"/>
      <c r="V314" s="32" t="s">
        <v>5670</v>
      </c>
      <c r="W3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href="canciones/carmelo_erdozain/tres_reyes_magos.html"&gt;Tres reyes magos&lt;/a&gt;&lt;/li&gt;</v>
      </c>
      <c r="X314" s="15" t="str">
        <f>_xlfn.TEXTBEFORE(_xlfn.TEXTAFTER(CantoralDB[[#This Row],[index.html]],"&gt;"),"&gt;")&amp;"&gt;"</f>
        <v>&lt;a href="canciones/carmelo_erdozain/tres_reyes_magos.html"&gt;</v>
      </c>
      <c r="Y314"/>
      <c r="Z314" s="1"/>
      <c r="AA314" s="1"/>
      <c r="AB314" s="1"/>
      <c r="AC314" s="1"/>
    </row>
    <row r="315" spans="1:29" x14ac:dyDescent="0.3">
      <c r="A315" s="1">
        <f>ROW(CantoralDB[[#This Row],[Título]])-1</f>
        <v>314</v>
      </c>
      <c r="B315" s="1" t="s">
        <v>5640</v>
      </c>
      <c r="C315" s="1"/>
      <c r="J315" s="1"/>
      <c r="M315" s="15" t="s">
        <v>478</v>
      </c>
      <c r="N315" s="1" t="s">
        <v>5495</v>
      </c>
      <c r="O315" s="15">
        <v>20</v>
      </c>
      <c r="P315" s="15">
        <v>2006</v>
      </c>
      <c r="Q315" s="15" t="str" cm="1">
        <f t="array" ref="Q3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5" s="15" t="str" cm="1">
        <f t="array" ref="R3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canciones/carmelo_erdozain/oh_niño_divino.html</v>
      </c>
      <c r="T315" s="1"/>
      <c r="U315" s="1"/>
      <c r="V315" s="32" t="s">
        <v>5671</v>
      </c>
      <c r="W3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href="canciones/carmelo_erdozain/oh_niño_divino.html"&gt;Oh, niño divino&lt;/a&gt;&lt;/li&gt;</v>
      </c>
      <c r="X315" s="15" t="str">
        <f>_xlfn.TEXTBEFORE(_xlfn.TEXTAFTER(CantoralDB[[#This Row],[index.html]],"&gt;"),"&gt;")&amp;"&gt;"</f>
        <v>&lt;a href="canciones/carmelo_erdozain/oh_niño_divino.html"&gt;</v>
      </c>
      <c r="Y315"/>
      <c r="Z315" s="1"/>
      <c r="AA315" s="1"/>
      <c r="AB315" s="1"/>
      <c r="AC315" s="1"/>
    </row>
    <row r="316" spans="1:29" x14ac:dyDescent="0.3">
      <c r="A316" s="1">
        <f>ROW(CantoralDB[[#This Row],[Título]])-1</f>
        <v>315</v>
      </c>
      <c r="B316" s="1" t="s">
        <v>5641</v>
      </c>
      <c r="C316" s="1"/>
      <c r="J316" s="1"/>
      <c r="M316" s="15" t="s">
        <v>478</v>
      </c>
      <c r="N316" s="1" t="s">
        <v>5495</v>
      </c>
      <c r="O316" s="15">
        <v>22</v>
      </c>
      <c r="P316" s="15">
        <v>2006</v>
      </c>
      <c r="Q316" s="15" t="str" cm="1">
        <f t="array" ref="Q3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6" s="15" t="str" cm="1">
        <f t="array" ref="R3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canciones/carmelo_erdozain/un_arcoiris.html</v>
      </c>
      <c r="T316" s="1"/>
      <c r="U316" s="1"/>
      <c r="V316" s="32" t="s">
        <v>5672</v>
      </c>
      <c r="W3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href="canciones/carmelo_erdozain/un_arcoiris.html"&gt;Un arcoíris&lt;/a&gt;&lt;/li&gt;</v>
      </c>
      <c r="X316" s="15" t="str">
        <f>_xlfn.TEXTBEFORE(_xlfn.TEXTAFTER(CantoralDB[[#This Row],[index.html]],"&gt;"),"&gt;")&amp;"&gt;"</f>
        <v>&lt;a href="canciones/carmelo_erdozain/un_arcoiris.html"&gt;</v>
      </c>
      <c r="Y316"/>
      <c r="Z316" s="1"/>
      <c r="AA316" s="1"/>
      <c r="AB316" s="1"/>
      <c r="AC316" s="1"/>
    </row>
    <row r="317" spans="1:29" x14ac:dyDescent="0.3">
      <c r="A317" s="1">
        <f>ROW(CantoralDB[[#This Row],[Título]])-1</f>
        <v>316</v>
      </c>
      <c r="B317" s="1" t="s">
        <v>5642</v>
      </c>
      <c r="C317" s="1"/>
      <c r="J317" s="1"/>
      <c r="M317" s="15" t="s">
        <v>478</v>
      </c>
      <c r="N317" s="1" t="s">
        <v>5495</v>
      </c>
      <c r="O317" s="15">
        <v>23</v>
      </c>
      <c r="P317" s="15">
        <v>2006</v>
      </c>
      <c r="Q317" s="15" t="str" cm="1">
        <f t="array" ref="Q3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7" s="15" t="str" cm="1">
        <f t="array" ref="R3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canciones/carmelo_erdozain/en_el_silencio_del_portal.html</v>
      </c>
      <c r="T317" s="1"/>
      <c r="U317" s="1"/>
      <c r="V317" s="32" t="s">
        <v>5673</v>
      </c>
      <c r="W3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href="canciones/carmelo_erdozain/en_el_silencio_del_portal.html"&gt;En el silencio del portal&lt;/a&gt;&lt;/li&gt;</v>
      </c>
      <c r="X317" s="15" t="str">
        <f>_xlfn.TEXTBEFORE(_xlfn.TEXTAFTER(CantoralDB[[#This Row],[index.html]],"&gt;"),"&gt;")&amp;"&gt;"</f>
        <v>&lt;a href="canciones/carmelo_erdozain/en_el_silencio_del_portal.html"&gt;</v>
      </c>
      <c r="Y317"/>
      <c r="Z317" s="1"/>
      <c r="AA317" s="1"/>
      <c r="AB317" s="1"/>
      <c r="AC317" s="1"/>
    </row>
    <row r="318" spans="1:29" x14ac:dyDescent="0.3">
      <c r="A318" s="1">
        <f>ROW(CantoralDB[[#This Row],[Título]])-1</f>
        <v>317</v>
      </c>
      <c r="B318" s="1" t="s">
        <v>6</v>
      </c>
      <c r="C318" s="1" t="s">
        <v>190</v>
      </c>
      <c r="D318" s="1" t="s">
        <v>1362</v>
      </c>
      <c r="E318" s="1">
        <v>8</v>
      </c>
      <c r="G318" s="1" t="s">
        <v>208</v>
      </c>
      <c r="H318" s="1" t="s">
        <v>1024</v>
      </c>
      <c r="I318" s="1" t="s">
        <v>2948</v>
      </c>
      <c r="J318" s="1" t="s">
        <v>605</v>
      </c>
      <c r="M318" s="15" t="s">
        <v>478</v>
      </c>
      <c r="N318" s="1" t="s">
        <v>5486</v>
      </c>
      <c r="O318" s="15">
        <v>1</v>
      </c>
      <c r="P318" s="15">
        <v>1999</v>
      </c>
      <c r="Q318" s="15" t="str" cm="1">
        <f t="array" ref="Q3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8" s="15" t="str" cm="1">
        <f t="array" ref="R3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canciones/carmelo_erdozain/abre_tu_tienda_al_señor.html</v>
      </c>
      <c r="T318" s="1"/>
      <c r="U318" s="1"/>
      <c r="V318" s="32" t="s">
        <v>5790</v>
      </c>
      <c r="W3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data-momento="Entrada" data-nnew="A03" data-nold="8"&gt;&lt;a href="canciones/carmelo_erdozain/abre_tu_tienda_al_señor.html"&gt;Abre tu tienda al Señor&lt;/a&gt;&lt;/li&gt;</v>
      </c>
      <c r="X318" s="15" t="str">
        <f>_xlfn.TEXTBEFORE(_xlfn.TEXTAFTER(CantoralDB[[#This Row],[index.html]],"&gt;"),"&gt;")&amp;"&gt;"</f>
        <v>&lt;a href="canciones/carmelo_erdozain/abre_tu_tienda_al_señor.html"&gt;</v>
      </c>
      <c r="Y318"/>
      <c r="Z318" s="1"/>
      <c r="AA318" s="1"/>
      <c r="AB318" s="1"/>
      <c r="AC318" s="1"/>
    </row>
    <row r="319" spans="1:29" x14ac:dyDescent="0.3">
      <c r="A319" s="1">
        <f>ROW(CantoralDB[[#This Row],[Título]])-1</f>
        <v>318</v>
      </c>
      <c r="B319" s="1" t="s">
        <v>5501</v>
      </c>
      <c r="C319" s="1"/>
      <c r="J319" s="1"/>
      <c r="M319" s="15" t="s">
        <v>478</v>
      </c>
      <c r="N319" s="1" t="s">
        <v>5486</v>
      </c>
      <c r="O319" s="15">
        <v>2</v>
      </c>
      <c r="P319" s="15">
        <v>1999</v>
      </c>
      <c r="Q319" s="15" t="str" cm="1">
        <f t="array" ref="Q3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19" s="15" t="str" cm="1">
        <f t="array" ref="R3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canciones/carmelo_erdozain/caminando_desde_oriente.html</v>
      </c>
      <c r="T319" s="1"/>
      <c r="U319" s="1"/>
      <c r="V319" s="32" t="s">
        <v>5791</v>
      </c>
      <c r="W3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href="canciones/carmelo_erdozain/caminando_desde_oriente.html"&gt;Caminando desde oriente&lt;/a&gt;&lt;/li&gt;</v>
      </c>
      <c r="X319" s="15" t="str">
        <f>_xlfn.TEXTBEFORE(_xlfn.TEXTAFTER(CantoralDB[[#This Row],[index.html]],"&gt;"),"&gt;")&amp;"&gt;"</f>
        <v>&lt;a href="canciones/carmelo_erdozain/caminando_desde_oriente.html"&gt;</v>
      </c>
      <c r="Y319"/>
      <c r="Z319" s="1"/>
      <c r="AA319" s="1"/>
      <c r="AB319" s="1"/>
      <c r="AC319" s="1"/>
    </row>
    <row r="320" spans="1:29" x14ac:dyDescent="0.3">
      <c r="A320" s="1">
        <f>ROW(CantoralDB[[#This Row],[Título]])-1</f>
        <v>319</v>
      </c>
      <c r="B320" s="1" t="s">
        <v>5502</v>
      </c>
      <c r="C320" s="1"/>
      <c r="J320" s="1"/>
      <c r="M320" s="15" t="s">
        <v>478</v>
      </c>
      <c r="N320" s="1" t="s">
        <v>5486</v>
      </c>
      <c r="O320" s="15">
        <v>3</v>
      </c>
      <c r="P320" s="15">
        <v>1999</v>
      </c>
      <c r="Q320" s="15" t="str" cm="1">
        <f t="array" ref="Q3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0" s="15" t="str" cm="1">
        <f t="array" ref="R3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canciones/carmelo_erdozain/con_el_alba_les_despide.html</v>
      </c>
      <c r="T320" s="1"/>
      <c r="U320" s="1"/>
      <c r="V320" s="32" t="s">
        <v>5792</v>
      </c>
      <c r="W3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href="canciones/carmelo_erdozain/con_el_alba_les_despide.html"&gt;Con el alba les despide&lt;/a&gt;&lt;/li&gt;</v>
      </c>
      <c r="X320" s="15" t="str">
        <f>_xlfn.TEXTBEFORE(_xlfn.TEXTAFTER(CantoralDB[[#This Row],[index.html]],"&gt;"),"&gt;")&amp;"&gt;"</f>
        <v>&lt;a href="canciones/carmelo_erdozain/con_el_alba_les_despide.html"&gt;</v>
      </c>
      <c r="Y320"/>
      <c r="Z320" s="1"/>
      <c r="AA320" s="1"/>
      <c r="AB320" s="1"/>
      <c r="AC320" s="1"/>
    </row>
    <row r="321" spans="1:29" x14ac:dyDescent="0.3">
      <c r="A321" s="1">
        <f>ROW(CantoralDB[[#This Row],[Título]])-1</f>
        <v>320</v>
      </c>
      <c r="B321" s="1" t="s">
        <v>1204</v>
      </c>
      <c r="C321" s="1"/>
      <c r="E321" s="1">
        <v>82</v>
      </c>
      <c r="H321" s="1" t="s">
        <v>1027</v>
      </c>
      <c r="J321" s="1" t="s">
        <v>605</v>
      </c>
      <c r="M321" s="15" t="s">
        <v>478</v>
      </c>
      <c r="N321" s="1" t="s">
        <v>5486</v>
      </c>
      <c r="O321" s="15">
        <v>4</v>
      </c>
      <c r="P321" s="15">
        <v>1999</v>
      </c>
      <c r="Q321" s="15" t="str" cm="1">
        <f t="array" ref="Q3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1" s="15" t="str" cm="1">
        <f t="array" ref="R3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canciones/carmelo_erdozain/dios_te_salve_maria.html</v>
      </c>
      <c r="T321" s="1"/>
      <c r="U321" s="1"/>
      <c r="V321" s="32" t="s">
        <v>5793</v>
      </c>
      <c r="W3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data-nold="82"&gt;&lt;a href="canciones/carmelo_erdozain/dios_te_salve_maria.html"&gt;Dios te salve, María&lt;/a&gt;&lt;/li&gt;</v>
      </c>
      <c r="X321" s="15" t="str">
        <f>_xlfn.TEXTBEFORE(_xlfn.TEXTAFTER(CantoralDB[[#This Row],[index.html]],"&gt;"),"&gt;")&amp;"&gt;"</f>
        <v>&lt;a href="canciones/carmelo_erdozain/dios_te_salve_maria.html"&gt;</v>
      </c>
      <c r="Y321"/>
      <c r="Z321" s="1"/>
      <c r="AA321" s="1"/>
      <c r="AB321" s="1"/>
      <c r="AC321" s="1"/>
    </row>
    <row r="322" spans="1:29" x14ac:dyDescent="0.3">
      <c r="A322" s="1">
        <f>ROW(CantoralDB[[#This Row],[Título]])-1</f>
        <v>321</v>
      </c>
      <c r="B322" s="1" t="s">
        <v>5503</v>
      </c>
      <c r="C322" s="1"/>
      <c r="J322" s="1"/>
      <c r="M322" s="15" t="s">
        <v>478</v>
      </c>
      <c r="N322" s="1" t="s">
        <v>5486</v>
      </c>
      <c r="O322" s="15">
        <v>5</v>
      </c>
      <c r="P322" s="15">
        <v>1999</v>
      </c>
      <c r="Q322" s="15" t="str" cm="1">
        <f t="array" ref="Q3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2" s="15" t="str" cm="1">
        <f t="array" ref="R3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canciones/carmelo_erdozain/en_belen_de_la_virgen_maria.html</v>
      </c>
      <c r="T322" s="1"/>
      <c r="U322" s="1"/>
      <c r="V322" s="32" t="s">
        <v>5794</v>
      </c>
      <c r="W3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href="canciones/carmelo_erdozain/en_belen_de_la_virgen_maria.html"&gt;En Belén de la Virgen María&lt;/a&gt;&lt;/li&gt;</v>
      </c>
      <c r="X322" s="15" t="str">
        <f>_xlfn.TEXTBEFORE(_xlfn.TEXTAFTER(CantoralDB[[#This Row],[index.html]],"&gt;"),"&gt;")&amp;"&gt;"</f>
        <v>&lt;a href="canciones/carmelo_erdozain/en_belen_de_la_virgen_maria.html"&gt;</v>
      </c>
      <c r="Y322"/>
      <c r="Z322" s="1"/>
      <c r="AA322" s="1"/>
      <c r="AB322" s="1"/>
      <c r="AC322" s="1"/>
    </row>
    <row r="323" spans="1:29" x14ac:dyDescent="0.3">
      <c r="A323" s="1">
        <f>ROW(CantoralDB[[#This Row],[Título]])-1</f>
        <v>322</v>
      </c>
      <c r="B323" s="1" t="s">
        <v>5504</v>
      </c>
      <c r="C323" s="1"/>
      <c r="J323" s="1"/>
      <c r="M323" s="15" t="s">
        <v>478</v>
      </c>
      <c r="N323" s="1" t="s">
        <v>5486</v>
      </c>
      <c r="O323" s="15">
        <v>6</v>
      </c>
      <c r="P323" s="15">
        <v>1999</v>
      </c>
      <c r="Q323" s="15" t="str" cm="1">
        <f t="array" ref="Q3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3" s="15" t="str" cm="1">
        <f t="array" ref="R3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canciones/carmelo_erdozain/en_la_cena_de_nochebuena.html</v>
      </c>
      <c r="T323" s="1"/>
      <c r="U323" s="1"/>
      <c r="V323" s="32" t="s">
        <v>5795</v>
      </c>
      <c r="W3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href="canciones/carmelo_erdozain/en_la_cena_de_nochebuena.html"&gt;En la cena de Nochebuena&lt;/a&gt;&lt;/li&gt;</v>
      </c>
      <c r="X323" s="15" t="str">
        <f>_xlfn.TEXTBEFORE(_xlfn.TEXTAFTER(CantoralDB[[#This Row],[index.html]],"&gt;"),"&gt;")&amp;"&gt;"</f>
        <v>&lt;a href="canciones/carmelo_erdozain/en_la_cena_de_nochebuena.html"&gt;</v>
      </c>
      <c r="Y323"/>
      <c r="Z323" s="1"/>
      <c r="AA323" s="1"/>
      <c r="AB323" s="1"/>
      <c r="AC323" s="1"/>
    </row>
    <row r="324" spans="1:29" x14ac:dyDescent="0.3">
      <c r="A324" s="1">
        <f>ROW(CantoralDB[[#This Row],[Título]])-1</f>
        <v>323</v>
      </c>
      <c r="B324" s="1" t="s">
        <v>5505</v>
      </c>
      <c r="C324" s="1"/>
      <c r="J324" s="1"/>
      <c r="M324" s="15" t="s">
        <v>478</v>
      </c>
      <c r="N324" s="1" t="s">
        <v>5486</v>
      </c>
      <c r="O324" s="15">
        <v>7</v>
      </c>
      <c r="P324" s="15">
        <v>1999</v>
      </c>
      <c r="Q324" s="15" t="str" cm="1">
        <f t="array" ref="Q3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4" s="15" t="str" cm="1">
        <f t="array" ref="R3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canciones/carmelo_erdozain/estrella_y_flor_aurora.html</v>
      </c>
      <c r="T324" s="1"/>
      <c r="U324" s="1"/>
      <c r="V324" s="32" t="s">
        <v>5796</v>
      </c>
      <c r="W3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href="canciones/carmelo_erdozain/estrella_y_flor_aurora.html"&gt;Estrella y flor aurora&lt;/a&gt;&lt;/li&gt;</v>
      </c>
      <c r="X324" s="15" t="str">
        <f>_xlfn.TEXTBEFORE(_xlfn.TEXTAFTER(CantoralDB[[#This Row],[index.html]],"&gt;"),"&gt;")&amp;"&gt;"</f>
        <v>&lt;a href="canciones/carmelo_erdozain/estrella_y_flor_aurora.html"&gt;</v>
      </c>
      <c r="Y324"/>
      <c r="Z324" s="1"/>
      <c r="AA324" s="1"/>
      <c r="AB324" s="1"/>
      <c r="AC324" s="1"/>
    </row>
    <row r="325" spans="1:29" x14ac:dyDescent="0.3">
      <c r="A325" s="1">
        <f>ROW(CantoralDB[[#This Row],[Título]])-1</f>
        <v>324</v>
      </c>
      <c r="B325" s="1" t="s">
        <v>1273</v>
      </c>
      <c r="C325" s="1"/>
      <c r="E325" s="1">
        <v>159</v>
      </c>
      <c r="H325" s="1" t="s">
        <v>529</v>
      </c>
      <c r="J325" s="1" t="s">
        <v>605</v>
      </c>
      <c r="M325" s="15" t="s">
        <v>478</v>
      </c>
      <c r="N325" s="1" t="s">
        <v>5486</v>
      </c>
      <c r="O325" s="15">
        <v>8</v>
      </c>
      <c r="P325" s="15">
        <v>1999</v>
      </c>
      <c r="Q325" s="15" t="str" cm="1">
        <f t="array" ref="Q3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5" s="15" t="str" cm="1">
        <f t="array" ref="R3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canciones/carmelo_erdozain/llego_la_noche.html</v>
      </c>
      <c r="T325" s="1"/>
      <c r="U325" s="1"/>
      <c r="V325" s="32" t="s">
        <v>5801</v>
      </c>
      <c r="W3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data-nold="159"&gt;&lt;a href="canciones/carmelo_erdozain/llego_la_noche.html"&gt;Llegó la noche&lt;/a&gt;&lt;/li&gt;</v>
      </c>
      <c r="X325" s="15" t="str">
        <f>_xlfn.TEXTBEFORE(_xlfn.TEXTAFTER(CantoralDB[[#This Row],[index.html]],"&gt;"),"&gt;")&amp;"&gt;"</f>
        <v>&lt;a href="canciones/carmelo_erdozain/llego_la_noche.html"&gt;</v>
      </c>
      <c r="Y325"/>
      <c r="Z325" s="1"/>
      <c r="AA325" s="1"/>
      <c r="AB325" s="1"/>
      <c r="AC325" s="1"/>
    </row>
    <row r="326" spans="1:29" x14ac:dyDescent="0.3">
      <c r="A326" s="1">
        <f>ROW(CantoralDB[[#This Row],[Título]])-1</f>
        <v>325</v>
      </c>
      <c r="B326" s="1" t="s">
        <v>5506</v>
      </c>
      <c r="C326" s="1"/>
      <c r="J326" s="1"/>
      <c r="M326" s="15" t="s">
        <v>478</v>
      </c>
      <c r="N326" s="1" t="s">
        <v>5486</v>
      </c>
      <c r="O326" s="15">
        <v>9</v>
      </c>
      <c r="P326" s="15">
        <v>1999</v>
      </c>
      <c r="Q326" s="15" t="str" cm="1">
        <f t="array" ref="Q3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6" s="15" t="str" cm="1">
        <f t="array" ref="R3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canciones/carmelo_erdozain/los_angeles_cantando_estan.html</v>
      </c>
      <c r="T326" s="1"/>
      <c r="U326" s="1"/>
      <c r="V326" s="32" t="s">
        <v>5804</v>
      </c>
      <c r="W3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href="canciones/carmelo_erdozain/los_angeles_cantando_estan.html"&gt;Los ángeles cantando están&lt;/a&gt;&lt;/li&gt;</v>
      </c>
      <c r="X326" s="15" t="str">
        <f>_xlfn.TEXTBEFORE(_xlfn.TEXTAFTER(CantoralDB[[#This Row],[index.html]],"&gt;"),"&gt;")&amp;"&gt;"</f>
        <v>&lt;a href="canciones/carmelo_erdozain/los_angeles_cantando_estan.html"&gt;</v>
      </c>
      <c r="Y326"/>
      <c r="Z326" s="1"/>
      <c r="AA326" s="1"/>
      <c r="AB326" s="1"/>
      <c r="AC326" s="1"/>
    </row>
    <row r="327" spans="1:29" x14ac:dyDescent="0.3">
      <c r="A327" s="1">
        <f>ROW(CantoralDB[[#This Row],[Título]])-1</f>
        <v>326</v>
      </c>
      <c r="B327" s="1" t="s">
        <v>5507</v>
      </c>
      <c r="C327" s="1"/>
      <c r="J327" s="1"/>
      <c r="M327" s="15" t="s">
        <v>478</v>
      </c>
      <c r="N327" s="1" t="s">
        <v>5486</v>
      </c>
      <c r="O327" s="15">
        <v>10</v>
      </c>
      <c r="P327" s="15">
        <v>1999</v>
      </c>
      <c r="Q327" s="15" t="str" cm="1">
        <f t="array" ref="Q3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7" s="15" t="str" cm="1">
        <f t="array" ref="R3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canciones/carmelo_erdozain/maria_madre_de_gracia.html</v>
      </c>
      <c r="T327" s="1"/>
      <c r="U327" s="1"/>
      <c r="V327" s="32" t="s">
        <v>5797</v>
      </c>
      <c r="W3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href="canciones/carmelo_erdozain/maria_madre_de_gracia.html"&gt;María, madre de gracia&lt;/a&gt;&lt;/li&gt;</v>
      </c>
      <c r="X327" s="15" t="str">
        <f>_xlfn.TEXTBEFORE(_xlfn.TEXTAFTER(CantoralDB[[#This Row],[index.html]],"&gt;"),"&gt;")&amp;"&gt;"</f>
        <v>&lt;a href="canciones/carmelo_erdozain/maria_madre_de_gracia.html"&gt;</v>
      </c>
      <c r="Y327"/>
      <c r="Z327" s="1"/>
      <c r="AA327" s="1"/>
      <c r="AB327" s="1"/>
      <c r="AC327" s="1"/>
    </row>
    <row r="328" spans="1:29" x14ac:dyDescent="0.3">
      <c r="A328" s="1">
        <f>ROW(CantoralDB[[#This Row],[Título]])-1</f>
        <v>327</v>
      </c>
      <c r="B328" s="1" t="s">
        <v>5508</v>
      </c>
      <c r="C328" s="1"/>
      <c r="J328" s="1"/>
      <c r="M328" s="15" t="s">
        <v>478</v>
      </c>
      <c r="N328" s="1" t="s">
        <v>5486</v>
      </c>
      <c r="O328" s="15">
        <v>11</v>
      </c>
      <c r="P328" s="15">
        <v>1999</v>
      </c>
      <c r="Q328" s="15" t="str" cm="1">
        <f t="array" ref="Q3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8" s="15" t="str" cm="1">
        <f t="array" ref="R3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canciones/carmelo_erdozain/natus_est_dei_filius.html</v>
      </c>
      <c r="T328" s="1"/>
      <c r="U328" s="1"/>
      <c r="V328" s="32" t="s">
        <v>5798</v>
      </c>
      <c r="W3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href="canciones/carmelo_erdozain/natus_est_dei_filius.html"&gt;Natus est dei filius&lt;/a&gt;&lt;/li&gt;</v>
      </c>
      <c r="X328" s="15" t="str">
        <f>_xlfn.TEXTBEFORE(_xlfn.TEXTAFTER(CantoralDB[[#This Row],[index.html]],"&gt;"),"&gt;")&amp;"&gt;"</f>
        <v>&lt;a href="canciones/carmelo_erdozain/natus_est_dei_filius.html"&gt;</v>
      </c>
      <c r="Y328"/>
      <c r="Z328" s="1"/>
      <c r="AA328" s="1"/>
      <c r="AB328" s="1"/>
      <c r="AC328" s="1"/>
    </row>
    <row r="329" spans="1:29" x14ac:dyDescent="0.3">
      <c r="A329" s="1">
        <f>ROW(CantoralDB[[#This Row],[Título]])-1</f>
        <v>328</v>
      </c>
      <c r="B329" s="1" t="s">
        <v>5644</v>
      </c>
      <c r="C329" s="1"/>
      <c r="J329" s="1"/>
      <c r="M329" s="15" t="s">
        <v>478</v>
      </c>
      <c r="N329" s="1" t="s">
        <v>5486</v>
      </c>
      <c r="O329" s="15">
        <v>12</v>
      </c>
      <c r="P329" s="15">
        <v>1999</v>
      </c>
      <c r="Q329" s="15" t="str" cm="1">
        <f t="array" ref="Q3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29" s="15" t="str" cm="1">
        <f t="array" ref="R3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canciones/carmelo_erdozain/preparad_el_camino_al_señor_(ii).html</v>
      </c>
      <c r="T329" s="1"/>
      <c r="U329" s="1"/>
      <c r="V329" s="32" t="s">
        <v>5805</v>
      </c>
      <c r="W3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href="canciones/carmelo_erdozain/preparad_el_camino_al_señor_(ii).html"&gt;Preparad el camino al Señor (II)&lt;/a&gt;&lt;/li&gt;</v>
      </c>
      <c r="X329" s="15" t="str">
        <f>_xlfn.TEXTBEFORE(_xlfn.TEXTAFTER(CantoralDB[[#This Row],[index.html]],"&gt;"),"&gt;")&amp;"&gt;"</f>
        <v>&lt;a href="canciones/carmelo_erdozain/preparad_el_camino_al_señor_(ii).html"&gt;</v>
      </c>
      <c r="Y329"/>
      <c r="Z329" s="1"/>
      <c r="AA329" s="1"/>
      <c r="AB329" s="1"/>
      <c r="AC329" s="1"/>
    </row>
    <row r="330" spans="1:29" x14ac:dyDescent="0.3">
      <c r="A330" s="1">
        <f>ROW(CantoralDB[[#This Row],[Título]])-1</f>
        <v>329</v>
      </c>
      <c r="B330" s="1" t="s">
        <v>5509</v>
      </c>
      <c r="C330" s="1"/>
      <c r="J330" s="1"/>
      <c r="M330" s="15" t="s">
        <v>478</v>
      </c>
      <c r="N330" s="1" t="s">
        <v>5486</v>
      </c>
      <c r="O330" s="15">
        <v>13</v>
      </c>
      <c r="P330" s="15">
        <v>1999</v>
      </c>
      <c r="Q330" s="15" t="str" cm="1">
        <f t="array" ref="Q3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0" s="15" t="str" cm="1">
        <f t="array" ref="R3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canciones/carmelo_erdozain/preparemos_los_caminos.html</v>
      </c>
      <c r="T330" s="1"/>
      <c r="U330" s="1"/>
      <c r="V330" s="32" t="s">
        <v>5802</v>
      </c>
      <c r="W3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href="canciones/carmelo_erdozain/preparemos_los_caminos.html"&gt;Preparemos los caminos&lt;/a&gt;&lt;/li&gt;</v>
      </c>
      <c r="X330" s="15" t="str">
        <f>_xlfn.TEXTBEFORE(_xlfn.TEXTAFTER(CantoralDB[[#This Row],[index.html]],"&gt;"),"&gt;")&amp;"&gt;"</f>
        <v>&lt;a href="canciones/carmelo_erdozain/preparemos_los_caminos.html"&gt;</v>
      </c>
      <c r="Y330"/>
      <c r="Z330" s="1"/>
      <c r="AA330" s="1"/>
      <c r="AB330" s="1"/>
      <c r="AC330" s="1"/>
    </row>
    <row r="331" spans="1:29" x14ac:dyDescent="0.3">
      <c r="A331" s="1">
        <f>ROW(CantoralDB[[#This Row],[Título]])-1</f>
        <v>330</v>
      </c>
      <c r="B331" s="1" t="s">
        <v>5510</v>
      </c>
      <c r="C331" s="1"/>
      <c r="J331" s="1"/>
      <c r="M331" s="15" t="s">
        <v>478</v>
      </c>
      <c r="N331" s="1" t="s">
        <v>5486</v>
      </c>
      <c r="O331" s="15">
        <v>14</v>
      </c>
      <c r="P331" s="15">
        <v>1999</v>
      </c>
      <c r="Q331" s="15" t="str" cm="1">
        <f t="array" ref="Q3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1" s="15" t="str" cm="1">
        <f t="array" ref="R3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canciones/carmelo_erdozain/proclama_mi_alma_la_salvacion.html</v>
      </c>
      <c r="T331" s="1"/>
      <c r="U331" s="1"/>
      <c r="V331" s="32" t="s">
        <v>5806</v>
      </c>
      <c r="W3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href="canciones/carmelo_erdozain/proclama_mi_alma_la_salvacion.html"&gt;Proclama mi alma la salvación&lt;/a&gt;&lt;/li&gt;</v>
      </c>
      <c r="X331" s="15" t="str">
        <f>_xlfn.TEXTBEFORE(_xlfn.TEXTAFTER(CantoralDB[[#This Row],[index.html]],"&gt;"),"&gt;")&amp;"&gt;"</f>
        <v>&lt;a href="canciones/carmelo_erdozain/proclama_mi_alma_la_salvacion.html"&gt;</v>
      </c>
      <c r="Y331"/>
      <c r="Z331" s="1"/>
      <c r="AA331" s="1"/>
      <c r="AB331" s="1"/>
      <c r="AC331" s="1"/>
    </row>
    <row r="332" spans="1:29" x14ac:dyDescent="0.3">
      <c r="A332" s="1">
        <f>ROW(CantoralDB[[#This Row],[Título]])-1</f>
        <v>331</v>
      </c>
      <c r="B332" s="1" t="s">
        <v>5512</v>
      </c>
      <c r="C332" s="1"/>
      <c r="J332" s="1"/>
      <c r="M332" s="15" t="s">
        <v>478</v>
      </c>
      <c r="N332" s="1" t="s">
        <v>5486</v>
      </c>
      <c r="O332" s="15">
        <v>16</v>
      </c>
      <c r="P332" s="15">
        <v>1999</v>
      </c>
      <c r="Q332" s="15" t="str" cm="1">
        <f t="array" ref="Q3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2" s="15" t="str" cm="1">
        <f t="array" ref="R3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canciones/carmelo_erdozain/sopla_el_viento.html</v>
      </c>
      <c r="T332" s="1"/>
      <c r="U332" s="1"/>
      <c r="V332" s="32" t="s">
        <v>5803</v>
      </c>
      <c r="W3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href="canciones/carmelo_erdozain/sopla_el_viento.html"&gt;Sopla el viento&lt;/a&gt;&lt;/li&gt;</v>
      </c>
      <c r="X332" s="15" t="str">
        <f>_xlfn.TEXTBEFORE(_xlfn.TEXTAFTER(CantoralDB[[#This Row],[index.html]],"&gt;"),"&gt;")&amp;"&gt;"</f>
        <v>&lt;a href="canciones/carmelo_erdozain/sopla_el_viento.html"&gt;</v>
      </c>
      <c r="Y332"/>
      <c r="Z332" s="1"/>
      <c r="AA332" s="1"/>
      <c r="AB332" s="1"/>
      <c r="AC332" s="1"/>
    </row>
    <row r="333" spans="1:29" x14ac:dyDescent="0.3">
      <c r="A333" s="1">
        <f>ROW(CantoralDB[[#This Row],[Título]])-1</f>
        <v>332</v>
      </c>
      <c r="B333" s="1" t="s">
        <v>2892</v>
      </c>
      <c r="C333" s="1"/>
      <c r="E333" s="1" t="s">
        <v>1203</v>
      </c>
      <c r="H333" s="1" t="s">
        <v>1025</v>
      </c>
      <c r="J333" s="1" t="s">
        <v>605</v>
      </c>
      <c r="M333" s="15" t="s">
        <v>478</v>
      </c>
      <c r="N333" s="1" t="s">
        <v>5486</v>
      </c>
      <c r="O333" s="15">
        <v>17</v>
      </c>
      <c r="P333" s="15">
        <v>1999</v>
      </c>
      <c r="Q333" s="15" t="str" cm="1">
        <f t="array" ref="Q3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3" s="15" t="str" cm="1">
        <f t="array" ref="R3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canciones/carmelo_erdozain/tened_encendida_la_lampara.html</v>
      </c>
      <c r="T333" s="1"/>
      <c r="U333" s="1"/>
      <c r="V333" s="32" t="s">
        <v>5799</v>
      </c>
      <c r="W3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data-nold="81b"&gt;&lt;a href="canciones/carmelo_erdozain/tened_encendida_la_lampara.html"&gt;Tened encendida la lámpara&lt;/a&gt;&lt;/li&gt;</v>
      </c>
      <c r="X333" s="15" t="str">
        <f>_xlfn.TEXTBEFORE(_xlfn.TEXTAFTER(CantoralDB[[#This Row],[index.html]],"&gt;"),"&gt;")&amp;"&gt;"</f>
        <v>&lt;a href="canciones/carmelo_erdozain/tened_encendida_la_lampara.html"&gt;</v>
      </c>
      <c r="Y333"/>
      <c r="Z333" s="1"/>
      <c r="AA333" s="1"/>
      <c r="AB333" s="1"/>
      <c r="AC333" s="1"/>
    </row>
    <row r="334" spans="1:29" x14ac:dyDescent="0.3">
      <c r="A334" s="1">
        <f>ROW(CantoralDB[[#This Row],[Título]])-1</f>
        <v>333</v>
      </c>
      <c r="B334" s="1" t="s">
        <v>5513</v>
      </c>
      <c r="C334" s="1"/>
      <c r="J334" s="1"/>
      <c r="M334" s="15" t="s">
        <v>478</v>
      </c>
      <c r="N334" s="1" t="s">
        <v>5486</v>
      </c>
      <c r="O334" s="15">
        <v>18</v>
      </c>
      <c r="P334" s="15">
        <v>1999</v>
      </c>
      <c r="Q334" s="15" t="str" cm="1">
        <f t="array" ref="Q3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4" s="15" t="str" cm="1">
        <f t="array" ref="R3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canciones/carmelo_erdozain/yo_soy_un_pastorcillo.html</v>
      </c>
      <c r="T334" s="1"/>
      <c r="U334" s="1"/>
      <c r="V334" s="32" t="s">
        <v>5800</v>
      </c>
      <c r="W3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href="canciones/carmelo_erdozain/yo_soy_un_pastorcillo.html"&gt;Yo soy un pastorcillo&lt;/a&gt;&lt;/li&gt;</v>
      </c>
      <c r="X334" s="15" t="str">
        <f>_xlfn.TEXTBEFORE(_xlfn.TEXTAFTER(CantoralDB[[#This Row],[index.html]],"&gt;"),"&gt;")&amp;"&gt;"</f>
        <v>&lt;a href="canciones/carmelo_erdozain/yo_soy_un_pastorcillo.html"&gt;</v>
      </c>
      <c r="Y334"/>
      <c r="Z334" s="1"/>
      <c r="AA334" s="1"/>
      <c r="AB334" s="1"/>
      <c r="AC334" s="1"/>
    </row>
    <row r="335" spans="1:29" x14ac:dyDescent="0.3">
      <c r="A335" s="1">
        <f>ROW(CantoralDB[[#This Row],[Título]])-1</f>
        <v>334</v>
      </c>
      <c r="B335" s="1" t="s">
        <v>5611</v>
      </c>
      <c r="C335" s="1"/>
      <c r="J335" s="1"/>
      <c r="M335" s="15" t="s">
        <v>478</v>
      </c>
      <c r="N335" s="1" t="s">
        <v>5496</v>
      </c>
      <c r="O335" s="15">
        <v>1</v>
      </c>
      <c r="P335" s="15">
        <v>1996</v>
      </c>
      <c r="Q335" s="15" t="str" cm="1">
        <f t="array" ref="Q3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5" s="15" t="str" cm="1">
        <f t="array" ref="R3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canciones/carmelo_erdozain/hosana_al_rey_de_los_cielos.html</v>
      </c>
      <c r="T335" s="1"/>
      <c r="U335" s="1"/>
      <c r="V335" s="32" t="s">
        <v>5674</v>
      </c>
      <c r="W3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href="canciones/carmelo_erdozain/hosana_al_rey_de_los_cielos.html"&gt;Hosana al Rey de los cielos&lt;/a&gt;&lt;/li&gt;</v>
      </c>
      <c r="X335" s="15" t="str">
        <f>_xlfn.TEXTBEFORE(_xlfn.TEXTAFTER(CantoralDB[[#This Row],[index.html]],"&gt;"),"&gt;")&amp;"&gt;"</f>
        <v>&lt;a href="canciones/carmelo_erdozain/hosana_al_rey_de_los_cielos.html"&gt;</v>
      </c>
      <c r="Y335"/>
      <c r="Z335" s="1"/>
      <c r="AA335" s="1"/>
      <c r="AB335" s="1"/>
      <c r="AC335" s="1"/>
    </row>
    <row r="336" spans="1:29" x14ac:dyDescent="0.3">
      <c r="A336" s="1">
        <f>ROW(CantoralDB[[#This Row],[Título]])-1</f>
        <v>335</v>
      </c>
      <c r="B336" s="1" t="s">
        <v>5612</v>
      </c>
      <c r="C336" s="1"/>
      <c r="J336" s="1"/>
      <c r="M336" s="15" t="s">
        <v>478</v>
      </c>
      <c r="N336" s="1" t="s">
        <v>5496</v>
      </c>
      <c r="O336" s="15">
        <v>2</v>
      </c>
      <c r="P336" s="15">
        <v>1996</v>
      </c>
      <c r="Q336" s="15" t="str" cm="1">
        <f t="array" ref="Q3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6" s="15" t="str" cm="1">
        <f t="array" ref="R3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canciones/carmelo_erdozain/delante_de_ti_señor_mi_dios.html</v>
      </c>
      <c r="T336" s="1"/>
      <c r="U336" s="1"/>
      <c r="V336" s="32" t="s">
        <v>5675</v>
      </c>
      <c r="W3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href="canciones/carmelo_erdozain/delante_de_ti_señor_mi_dios.html"&gt;Delante de ti, Señor, mi Dios&lt;/a&gt;&lt;/li&gt;</v>
      </c>
      <c r="X336" s="15" t="str">
        <f>_xlfn.TEXTBEFORE(_xlfn.TEXTAFTER(CantoralDB[[#This Row],[index.html]],"&gt;"),"&gt;")&amp;"&gt;"</f>
        <v>&lt;a href="canciones/carmelo_erdozain/delante_de_ti_señor_mi_dios.html"&gt;</v>
      </c>
      <c r="Y336"/>
      <c r="Z336" s="1"/>
      <c r="AA336" s="1"/>
      <c r="AB336" s="1"/>
      <c r="AC336" s="1"/>
    </row>
    <row r="337" spans="1:29" x14ac:dyDescent="0.3">
      <c r="A337" s="1">
        <f>ROW(CantoralDB[[#This Row],[Título]])-1</f>
        <v>336</v>
      </c>
      <c r="B337" s="1" t="s">
        <v>5613</v>
      </c>
      <c r="C337" s="1"/>
      <c r="J337" s="1"/>
      <c r="M337" s="15" t="s">
        <v>478</v>
      </c>
      <c r="N337" s="1" t="s">
        <v>5496</v>
      </c>
      <c r="O337" s="15">
        <v>3</v>
      </c>
      <c r="P337" s="15">
        <v>1996</v>
      </c>
      <c r="Q337" s="15" t="str" cm="1">
        <f t="array" ref="Q3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7" s="15" t="str" cm="1">
        <f t="array" ref="R3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canciones/carmelo_erdozain/por_amor_por_amor.html</v>
      </c>
      <c r="T337" s="1"/>
      <c r="U337" s="1"/>
      <c r="V337" s="32" t="s">
        <v>5676</v>
      </c>
      <c r="W3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href="canciones/carmelo_erdozain/por_amor_por_amor.html"&gt;Por amor, por amor&lt;/a&gt;&lt;/li&gt;</v>
      </c>
      <c r="X337" s="15" t="str">
        <f>_xlfn.TEXTBEFORE(_xlfn.TEXTAFTER(CantoralDB[[#This Row],[index.html]],"&gt;"),"&gt;")&amp;"&gt;"</f>
        <v>&lt;a href="canciones/carmelo_erdozain/por_amor_por_amor.html"&gt;</v>
      </c>
      <c r="Y337"/>
      <c r="Z337" s="1"/>
      <c r="AA337" s="1"/>
      <c r="AB337" s="1"/>
      <c r="AC337" s="1"/>
    </row>
    <row r="338" spans="1:29" x14ac:dyDescent="0.3">
      <c r="A338" s="1">
        <f>ROW(CantoralDB[[#This Row],[Título]])-1</f>
        <v>337</v>
      </c>
      <c r="B338" s="1" t="s">
        <v>5614</v>
      </c>
      <c r="C338" s="1"/>
      <c r="J338" s="1"/>
      <c r="M338" s="15" t="s">
        <v>478</v>
      </c>
      <c r="N338" s="1" t="s">
        <v>5496</v>
      </c>
      <c r="O338" s="15">
        <v>4</v>
      </c>
      <c r="P338" s="15">
        <v>1996</v>
      </c>
      <c r="Q338" s="15" t="str" cm="1">
        <f t="array" ref="Q3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8" s="15" t="str" cm="1">
        <f t="array" ref="R3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canciones/carmelo_erdozain/aleluya_en_canon.html</v>
      </c>
      <c r="T338" s="1"/>
      <c r="U338" s="1"/>
      <c r="V338" s="32" t="s">
        <v>5677</v>
      </c>
      <c r="W3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href="canciones/carmelo_erdozain/aleluya_en_canon.html"&gt;Aleluya en canon&lt;/a&gt;&lt;/li&gt;</v>
      </c>
      <c r="X338" s="15" t="str">
        <f>_xlfn.TEXTBEFORE(_xlfn.TEXTAFTER(CantoralDB[[#This Row],[index.html]],"&gt;"),"&gt;")&amp;"&gt;"</f>
        <v>&lt;a href="canciones/carmelo_erdozain/aleluya_en_canon.html"&gt;</v>
      </c>
      <c r="Y338"/>
      <c r="Z338" s="1"/>
      <c r="AA338" s="1"/>
      <c r="AB338" s="1"/>
      <c r="AC338" s="1"/>
    </row>
    <row r="339" spans="1:29" x14ac:dyDescent="0.3">
      <c r="A339" s="1">
        <f>ROW(CantoralDB[[#This Row],[Título]])-1</f>
        <v>338</v>
      </c>
      <c r="B339" s="1" t="s">
        <v>5615</v>
      </c>
      <c r="C339" s="1"/>
      <c r="J339" s="1"/>
      <c r="M339" s="15" t="s">
        <v>478</v>
      </c>
      <c r="N339" s="1" t="s">
        <v>5496</v>
      </c>
      <c r="O339" s="15">
        <v>5</v>
      </c>
      <c r="P339" s="15">
        <v>1996</v>
      </c>
      <c r="Q339" s="15" t="str" cm="1">
        <f t="array" ref="Q3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39" s="15" t="str" cm="1">
        <f t="array" ref="R3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canciones/carmelo_erdozain/quisiera_estar_señor_en_tu_presencia.html</v>
      </c>
      <c r="T339" s="1"/>
      <c r="U339" s="1"/>
      <c r="V339" s="32" t="s">
        <v>5678</v>
      </c>
      <c r="W3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href="canciones/carmelo_erdozain/quisiera_estar_señor_en_tu_presencia.html"&gt;Quisiera estar, Señor, en tu presencia&lt;/a&gt;&lt;/li&gt;</v>
      </c>
      <c r="X339" s="15" t="str">
        <f>_xlfn.TEXTBEFORE(_xlfn.TEXTAFTER(CantoralDB[[#This Row],[index.html]],"&gt;"),"&gt;")&amp;"&gt;"</f>
        <v>&lt;a href="canciones/carmelo_erdozain/quisiera_estar_señor_en_tu_presencia.html"&gt;</v>
      </c>
      <c r="Y339"/>
      <c r="Z339" s="1"/>
      <c r="AA339" s="1"/>
      <c r="AB339" s="1"/>
      <c r="AC339" s="1"/>
    </row>
    <row r="340" spans="1:29" x14ac:dyDescent="0.3">
      <c r="A340" s="1">
        <f>ROW(CantoralDB[[#This Row],[Título]])-1</f>
        <v>339</v>
      </c>
      <c r="B340" s="1" t="s">
        <v>5616</v>
      </c>
      <c r="C340" s="1"/>
      <c r="J340" s="1"/>
      <c r="M340" s="15" t="s">
        <v>478</v>
      </c>
      <c r="N340" s="1" t="s">
        <v>5496</v>
      </c>
      <c r="O340" s="15">
        <v>6</v>
      </c>
      <c r="P340" s="15">
        <v>1996</v>
      </c>
      <c r="Q340" s="15" t="str" cm="1">
        <f t="array" ref="Q3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0" s="15" t="str" cm="1">
        <f t="array" ref="R3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canciones/carmelo_erdozain/el_gran_convite.html</v>
      </c>
      <c r="T340" s="1"/>
      <c r="U340" s="1"/>
      <c r="V340" s="32" t="s">
        <v>5679</v>
      </c>
      <c r="W3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href="canciones/carmelo_erdozain/el_gran_convite.html"&gt;El gran convite&lt;/a&gt;&lt;/li&gt;</v>
      </c>
      <c r="X340" s="15" t="str">
        <f>_xlfn.TEXTBEFORE(_xlfn.TEXTAFTER(CantoralDB[[#This Row],[index.html]],"&gt;"),"&gt;")&amp;"&gt;"</f>
        <v>&lt;a href="canciones/carmelo_erdozain/el_gran_convite.html"&gt;</v>
      </c>
      <c r="Y340"/>
      <c r="Z340" s="1"/>
      <c r="AA340" s="1"/>
      <c r="AB340" s="1"/>
      <c r="AC340" s="1"/>
    </row>
    <row r="341" spans="1:29" x14ac:dyDescent="0.3">
      <c r="A341" s="1">
        <f>ROW(CantoralDB[[#This Row],[Título]])-1</f>
        <v>340</v>
      </c>
      <c r="B341" s="1" t="s">
        <v>5617</v>
      </c>
      <c r="C341" s="1"/>
      <c r="J341" s="1"/>
      <c r="M341" s="15" t="s">
        <v>478</v>
      </c>
      <c r="N341" s="1" t="s">
        <v>5496</v>
      </c>
      <c r="O341" s="15">
        <v>7</v>
      </c>
      <c r="P341" s="15">
        <v>1996</v>
      </c>
      <c r="Q341" s="15" t="str" cm="1">
        <f t="array" ref="Q3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1" s="15" t="str" cm="1">
        <f t="array" ref="R3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canciones/carmelo_erdozain/dentro_de_mi.html</v>
      </c>
      <c r="T341" s="1"/>
      <c r="U341" s="1"/>
      <c r="V341" s="32" t="s">
        <v>5807</v>
      </c>
      <c r="W3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href="canciones/carmelo_erdozain/dentro_de_mi.html"&gt;Dentro de mí&lt;/a&gt;&lt;/li&gt;</v>
      </c>
      <c r="X341" s="15" t="str">
        <f>_xlfn.TEXTBEFORE(_xlfn.TEXTAFTER(CantoralDB[[#This Row],[index.html]],"&gt;"),"&gt;")&amp;"&gt;"</f>
        <v>&lt;a href="canciones/carmelo_erdozain/dentro_de_mi.html"&gt;</v>
      </c>
      <c r="Y341"/>
      <c r="Z341" s="1"/>
      <c r="AA341" s="1"/>
      <c r="AB341" s="1"/>
      <c r="AC341" s="1"/>
    </row>
    <row r="342" spans="1:29" x14ac:dyDescent="0.3">
      <c r="A342" s="1">
        <f>ROW(CantoralDB[[#This Row],[Título]])-1</f>
        <v>341</v>
      </c>
      <c r="B342" s="1" t="s">
        <v>5618</v>
      </c>
      <c r="C342" s="1"/>
      <c r="J342" s="1"/>
      <c r="M342" s="15" t="s">
        <v>478</v>
      </c>
      <c r="N342" s="1" t="s">
        <v>5496</v>
      </c>
      <c r="O342" s="15">
        <v>8</v>
      </c>
      <c r="P342" s="15">
        <v>1996</v>
      </c>
      <c r="Q342" s="15" t="str" cm="1">
        <f t="array" ref="Q3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2" s="15" t="str" cm="1">
        <f t="array" ref="R3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canciones/carmelo_erdozain/gracias_señor_por_el_hermano_dia.html</v>
      </c>
      <c r="T342" s="1"/>
      <c r="U342" s="1"/>
      <c r="V342" s="32" t="s">
        <v>5680</v>
      </c>
      <c r="W3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href="canciones/carmelo_erdozain/gracias_señor_por_el_hermano_dia.html"&gt;Gracias, Señor, por el hermano día&lt;/a&gt;&lt;/li&gt;</v>
      </c>
      <c r="X342" s="15" t="str">
        <f>_xlfn.TEXTBEFORE(_xlfn.TEXTAFTER(CantoralDB[[#This Row],[index.html]],"&gt;"),"&gt;")&amp;"&gt;"</f>
        <v>&lt;a href="canciones/carmelo_erdozain/gracias_señor_por_el_hermano_dia.html"&gt;</v>
      </c>
      <c r="Y342"/>
      <c r="Z342" s="1"/>
      <c r="AA342" s="1"/>
      <c r="AB342" s="1"/>
      <c r="AC342" s="1"/>
    </row>
    <row r="343" spans="1:29" x14ac:dyDescent="0.3">
      <c r="A343" s="1">
        <f>ROW(CantoralDB[[#This Row],[Título]])-1</f>
        <v>342</v>
      </c>
      <c r="B343" s="1" t="s">
        <v>5619</v>
      </c>
      <c r="C343" s="1"/>
      <c r="J343" s="1"/>
      <c r="M343" s="15" t="s">
        <v>478</v>
      </c>
      <c r="N343" s="1" t="s">
        <v>5496</v>
      </c>
      <c r="O343" s="15">
        <v>9</v>
      </c>
      <c r="P343" s="15">
        <v>1996</v>
      </c>
      <c r="Q343" s="15" t="str" cm="1">
        <f t="array" ref="Q3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3" s="15" t="str" cm="1">
        <f t="array" ref="R3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canciones/carmelo_erdozain/maria_llena_de_gracia.html</v>
      </c>
      <c r="T343" s="1"/>
      <c r="U343" s="1"/>
      <c r="V343" s="32" t="s">
        <v>5681</v>
      </c>
      <c r="W3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href="canciones/carmelo_erdozain/maria_llena_de_gracia.html"&gt;María, llena de gracia&lt;/a&gt;&lt;/li&gt;</v>
      </c>
      <c r="X343" s="15" t="str">
        <f>_xlfn.TEXTBEFORE(_xlfn.TEXTAFTER(CantoralDB[[#This Row],[index.html]],"&gt;"),"&gt;")&amp;"&gt;"</f>
        <v>&lt;a href="canciones/carmelo_erdozain/maria_llena_de_gracia.html"&gt;</v>
      </c>
      <c r="Y343"/>
      <c r="Z343" s="1"/>
      <c r="AA343" s="1"/>
      <c r="AB343" s="1"/>
      <c r="AC343" s="1"/>
    </row>
    <row r="344" spans="1:29" x14ac:dyDescent="0.3">
      <c r="A344" s="1">
        <f>ROW(CantoralDB[[#This Row],[Título]])-1</f>
        <v>343</v>
      </c>
      <c r="B344" s="1" t="s">
        <v>5620</v>
      </c>
      <c r="C344" s="1"/>
      <c r="J344" s="1"/>
      <c r="M344" s="15" t="s">
        <v>478</v>
      </c>
      <c r="N344" s="1" t="s">
        <v>5496</v>
      </c>
      <c r="O344" s="15">
        <v>10</v>
      </c>
      <c r="P344" s="15">
        <v>1996</v>
      </c>
      <c r="Q344" s="15" t="str" cm="1">
        <f t="array" ref="Q3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4" s="15" t="str" cm="1">
        <f t="array" ref="R3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canciones/carmelo_erdozain/con_alegria_y_hermandad.html</v>
      </c>
      <c r="T344" s="1"/>
      <c r="U344" s="1"/>
      <c r="V344" s="32" t="s">
        <v>5682</v>
      </c>
      <c r="W3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href="canciones/carmelo_erdozain/con_alegria_y_hermandad.html"&gt;Con alegría y hermandad&lt;/a&gt;&lt;/li&gt;</v>
      </c>
      <c r="X344" s="15" t="str">
        <f>_xlfn.TEXTBEFORE(_xlfn.TEXTAFTER(CantoralDB[[#This Row],[index.html]],"&gt;"),"&gt;")&amp;"&gt;"</f>
        <v>&lt;a href="canciones/carmelo_erdozain/con_alegria_y_hermandad.html"&gt;</v>
      </c>
      <c r="Y344"/>
      <c r="Z344" s="1"/>
      <c r="AA344" s="1"/>
      <c r="AB344" s="1"/>
      <c r="AC344" s="1"/>
    </row>
    <row r="345" spans="1:29" x14ac:dyDescent="0.3">
      <c r="A345" s="1">
        <f>ROW(CantoralDB[[#This Row],[Título]])-1</f>
        <v>344</v>
      </c>
      <c r="B345" s="1" t="s">
        <v>5621</v>
      </c>
      <c r="C345" s="1"/>
      <c r="J345" s="1"/>
      <c r="M345" s="15" t="s">
        <v>478</v>
      </c>
      <c r="N345" s="1" t="s">
        <v>5496</v>
      </c>
      <c r="O345" s="15">
        <v>11</v>
      </c>
      <c r="P345" s="15">
        <v>1996</v>
      </c>
      <c r="Q345" s="15" t="str" cm="1">
        <f t="array" ref="Q3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5" s="15" t="str" cm="1">
        <f t="array" ref="R3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canciones/carmelo_erdozain/gloria_a_cristo_señor.html</v>
      </c>
      <c r="T345" s="1"/>
      <c r="U345" s="1"/>
      <c r="V345" s="32" t="s">
        <v>5683</v>
      </c>
      <c r="W3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href="canciones/carmelo_erdozain/gloria_a_cristo_señor.html"&gt;Gloria a Cristo Señor&lt;/a&gt;&lt;/li&gt;</v>
      </c>
      <c r="X345" s="15" t="str">
        <f>_xlfn.TEXTBEFORE(_xlfn.TEXTAFTER(CantoralDB[[#This Row],[index.html]],"&gt;"),"&gt;")&amp;"&gt;"</f>
        <v>&lt;a href="canciones/carmelo_erdozain/gloria_a_cristo_señor.html"&gt;</v>
      </c>
      <c r="Y345"/>
      <c r="Z345" s="1"/>
      <c r="AA345" s="1"/>
      <c r="AB345" s="1"/>
      <c r="AC345" s="1"/>
    </row>
    <row r="346" spans="1:29" x14ac:dyDescent="0.3">
      <c r="A346" s="1">
        <f>ROW(CantoralDB[[#This Row],[Título]])-1</f>
        <v>345</v>
      </c>
      <c r="B346" s="1" t="s">
        <v>5622</v>
      </c>
      <c r="C346" s="1"/>
      <c r="J346" s="1"/>
      <c r="M346" s="15" t="s">
        <v>478</v>
      </c>
      <c r="N346" s="1" t="s">
        <v>5496</v>
      </c>
      <c r="O346" s="15">
        <v>12</v>
      </c>
      <c r="P346" s="15">
        <v>1996</v>
      </c>
      <c r="Q346" s="15" t="str" cm="1">
        <f t="array" ref="Q3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6" s="15" t="str" cm="1">
        <f t="array" ref="R3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canciones/carmelo_erdozain/canta_con_jubilo.html</v>
      </c>
      <c r="T346" s="1"/>
      <c r="U346" s="1"/>
      <c r="V346" s="32" t="s">
        <v>5684</v>
      </c>
      <c r="W3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href="canciones/carmelo_erdozain/canta_con_jubilo.html"&gt;Canta con júbilo&lt;/a&gt;&lt;/li&gt;</v>
      </c>
      <c r="X346" s="15" t="str">
        <f>_xlfn.TEXTBEFORE(_xlfn.TEXTAFTER(CantoralDB[[#This Row],[index.html]],"&gt;"),"&gt;")&amp;"&gt;"</f>
        <v>&lt;a href="canciones/carmelo_erdozain/canta_con_jubilo.html"&gt;</v>
      </c>
      <c r="Y346"/>
      <c r="Z346" s="1"/>
      <c r="AA346" s="1"/>
      <c r="AB346" s="1"/>
      <c r="AC346" s="1"/>
    </row>
    <row r="347" spans="1:29" x14ac:dyDescent="0.3">
      <c r="A347" s="1">
        <f>ROW(CantoralDB[[#This Row],[Título]])-1</f>
        <v>346</v>
      </c>
      <c r="B347" s="1" t="s">
        <v>5623</v>
      </c>
      <c r="C347" s="1"/>
      <c r="J347" s="1"/>
      <c r="M347" s="15" t="s">
        <v>478</v>
      </c>
      <c r="N347" s="1" t="s">
        <v>5496</v>
      </c>
      <c r="O347" s="15">
        <v>13</v>
      </c>
      <c r="P347" s="15">
        <v>1996</v>
      </c>
      <c r="Q347" s="15" t="str" cm="1">
        <f t="array" ref="Q3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7" s="15" t="str" cm="1">
        <f t="array" ref="R3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canciones/carmelo_erdozain/oh_divino_niño.html</v>
      </c>
      <c r="T347" s="1"/>
      <c r="U347" s="1"/>
      <c r="V347" s="32" t="s">
        <v>5685</v>
      </c>
      <c r="W3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href="canciones/carmelo_erdozain/oh_divino_niño.html"&gt;Oh, divino niño&lt;/a&gt;&lt;/li&gt;</v>
      </c>
      <c r="X347" s="15" t="str">
        <f>_xlfn.TEXTBEFORE(_xlfn.TEXTAFTER(CantoralDB[[#This Row],[index.html]],"&gt;"),"&gt;")&amp;"&gt;"</f>
        <v>&lt;a href="canciones/carmelo_erdozain/oh_divino_niño.html"&gt;</v>
      </c>
      <c r="Y347"/>
      <c r="Z347" s="1"/>
      <c r="AA347" s="1"/>
      <c r="AB347" s="1"/>
      <c r="AC347" s="1"/>
    </row>
    <row r="348" spans="1:29" x14ac:dyDescent="0.3">
      <c r="A348" s="1">
        <f>ROW(CantoralDB[[#This Row],[Título]])-1</f>
        <v>347</v>
      </c>
      <c r="B348" s="1" t="s">
        <v>5624</v>
      </c>
      <c r="C348" s="1"/>
      <c r="J348" s="1"/>
      <c r="M348" s="15" t="s">
        <v>478</v>
      </c>
      <c r="N348" s="1" t="s">
        <v>5496</v>
      </c>
      <c r="O348" s="15">
        <v>14</v>
      </c>
      <c r="P348" s="15">
        <v>1996</v>
      </c>
      <c r="Q348" s="15" t="str" cm="1">
        <f t="array" ref="Q3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8" s="15" t="str" cm="1">
        <f t="array" ref="R3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canciones/carmelo_erdozain/nacio_en_la_nochebuena.html</v>
      </c>
      <c r="T348" s="1"/>
      <c r="U348" s="1"/>
      <c r="V348" s="32" t="s">
        <v>5686</v>
      </c>
      <c r="W3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href="canciones/carmelo_erdozain/nacio_en_la_nochebuena.html"&gt;Nació en la Nochebuena&lt;/a&gt;&lt;/li&gt;</v>
      </c>
      <c r="X348" s="15" t="str">
        <f>_xlfn.TEXTBEFORE(_xlfn.TEXTAFTER(CantoralDB[[#This Row],[index.html]],"&gt;"),"&gt;")&amp;"&gt;"</f>
        <v>&lt;a href="canciones/carmelo_erdozain/nacio_en_la_nochebuena.html"&gt;</v>
      </c>
      <c r="Y348"/>
      <c r="Z348" s="1"/>
      <c r="AA348" s="1"/>
      <c r="AB348" s="1"/>
      <c r="AC348" s="1"/>
    </row>
    <row r="349" spans="1:29" x14ac:dyDescent="0.3">
      <c r="A349" s="1">
        <f>ROW(CantoralDB[[#This Row],[Título]])-1</f>
        <v>348</v>
      </c>
      <c r="B349" s="1" t="s">
        <v>5625</v>
      </c>
      <c r="C349" s="1"/>
      <c r="J349" s="1"/>
      <c r="M349" s="15" t="s">
        <v>478</v>
      </c>
      <c r="N349" s="1" t="s">
        <v>5496</v>
      </c>
      <c r="O349" s="15">
        <v>15</v>
      </c>
      <c r="P349" s="15">
        <v>1996</v>
      </c>
      <c r="Q349" s="15" t="str" cm="1">
        <f t="array" ref="Q3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49" s="15" t="str" cm="1">
        <f t="array" ref="R3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canciones/carmelo_erdozain/aleluya_navideño.html</v>
      </c>
      <c r="T349" s="1"/>
      <c r="U349" s="1"/>
      <c r="V349" s="32" t="s">
        <v>5687</v>
      </c>
      <c r="W3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href="canciones/carmelo_erdozain/aleluya_navideño.html"&gt;Aleluya navideño&lt;/a&gt;&lt;/li&gt;</v>
      </c>
      <c r="X349" s="15" t="str">
        <f>_xlfn.TEXTBEFORE(_xlfn.TEXTAFTER(CantoralDB[[#This Row],[index.html]],"&gt;"),"&gt;")&amp;"&gt;"</f>
        <v>&lt;a href="canciones/carmelo_erdozain/aleluya_navideño.html"&gt;</v>
      </c>
      <c r="Y349"/>
      <c r="Z349" s="1"/>
      <c r="AA349" s="1"/>
      <c r="AB349" s="1"/>
      <c r="AC349" s="1"/>
    </row>
    <row r="350" spans="1:29" x14ac:dyDescent="0.3">
      <c r="A350" s="1">
        <f>ROW(CantoralDB[[#This Row],[Título]])-1</f>
        <v>349</v>
      </c>
      <c r="B350" s="1" t="s">
        <v>5566</v>
      </c>
      <c r="C350" s="1"/>
      <c r="J350" s="1"/>
      <c r="M350" s="15" t="s">
        <v>478</v>
      </c>
      <c r="N350" s="1" t="s">
        <v>5497</v>
      </c>
      <c r="O350" s="15">
        <v>1</v>
      </c>
      <c r="P350" s="15">
        <v>1990</v>
      </c>
      <c r="Q350" s="15" t="str" cm="1">
        <f t="array" ref="Q3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0" s="15" t="str" cm="1">
        <f t="array" ref="R3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canciones/carmelo_erdozain/siempre_hay_algo_que_crear.html</v>
      </c>
      <c r="T350" s="1"/>
      <c r="U350" s="1"/>
      <c r="V350" s="32" t="s">
        <v>5688</v>
      </c>
      <c r="W3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href="canciones/carmelo_erdozain/siempre_hay_algo_que_crear.html"&gt;Siempre hay algo que crear&lt;/a&gt;&lt;/li&gt;</v>
      </c>
      <c r="X350" s="15" t="str">
        <f>_xlfn.TEXTBEFORE(_xlfn.TEXTAFTER(CantoralDB[[#This Row],[index.html]],"&gt;"),"&gt;")&amp;"&gt;"</f>
        <v>&lt;a href="canciones/carmelo_erdozain/siempre_hay_algo_que_crear.html"&gt;</v>
      </c>
      <c r="Y350"/>
      <c r="Z350" s="1"/>
      <c r="AA350" s="1"/>
      <c r="AB350" s="1"/>
      <c r="AC350" s="1"/>
    </row>
    <row r="351" spans="1:29" x14ac:dyDescent="0.3">
      <c r="A351" s="1">
        <f>ROW(CantoralDB[[#This Row],[Título]])-1</f>
        <v>350</v>
      </c>
      <c r="B351" s="1" t="s">
        <v>5021</v>
      </c>
      <c r="C351" s="1"/>
      <c r="J351" s="1"/>
      <c r="M351" s="15" t="s">
        <v>478</v>
      </c>
      <c r="N351" s="1" t="s">
        <v>5497</v>
      </c>
      <c r="O351" s="15">
        <v>2</v>
      </c>
      <c r="P351" s="15">
        <v>1990</v>
      </c>
      <c r="Q351" s="15" t="str" cm="1">
        <f t="array" ref="Q3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1" s="15" t="str" cm="1">
        <f t="array" ref="R3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canciones/carmelo_erdozain/id_por_el_mundo.html</v>
      </c>
      <c r="T351" s="1"/>
      <c r="U351" s="1"/>
      <c r="V351" s="32" t="s">
        <v>5689</v>
      </c>
      <c r="W3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href="canciones/carmelo_erdozain/id_por_el_mundo.html"&gt;Id por el mundo&lt;/a&gt;&lt;/li&gt;</v>
      </c>
      <c r="X351" s="15" t="str">
        <f>_xlfn.TEXTBEFORE(_xlfn.TEXTAFTER(CantoralDB[[#This Row],[index.html]],"&gt;"),"&gt;")&amp;"&gt;"</f>
        <v>&lt;a href="canciones/carmelo_erdozain/id_por_el_mundo.html"&gt;</v>
      </c>
      <c r="Y351"/>
      <c r="Z351" s="1"/>
      <c r="AA351" s="1"/>
      <c r="AB351" s="1"/>
      <c r="AC351" s="1"/>
    </row>
    <row r="352" spans="1:29" x14ac:dyDescent="0.3">
      <c r="A352" s="1">
        <f>ROW(CantoralDB[[#This Row],[Título]])-1</f>
        <v>351</v>
      </c>
      <c r="B352" s="1" t="s">
        <v>5567</v>
      </c>
      <c r="C352" s="1"/>
      <c r="J352" s="1"/>
      <c r="M352" s="15" t="s">
        <v>478</v>
      </c>
      <c r="N352" s="1" t="s">
        <v>5497</v>
      </c>
      <c r="O352" s="15">
        <v>4</v>
      </c>
      <c r="P352" s="15">
        <v>1990</v>
      </c>
      <c r="Q352" s="15" t="str" cm="1">
        <f t="array" ref="Q3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2" s="15" t="str" cm="1">
        <f t="array" ref="R3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canciones/carmelo_erdozain/el_señor_es_mi_pastor.html</v>
      </c>
      <c r="T352" s="1"/>
      <c r="U352" s="1"/>
      <c r="V352" s="32" t="s">
        <v>5690</v>
      </c>
      <c r="W3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href="canciones/carmelo_erdozain/el_señor_es_mi_pastor.html"&gt;El señor es mi pastor&lt;/a&gt;&lt;/li&gt;</v>
      </c>
      <c r="X352" s="15" t="str">
        <f>_xlfn.TEXTBEFORE(_xlfn.TEXTAFTER(CantoralDB[[#This Row],[index.html]],"&gt;"),"&gt;")&amp;"&gt;"</f>
        <v>&lt;a href="canciones/carmelo_erdozain/el_señor_es_mi_pastor.html"&gt;</v>
      </c>
      <c r="Y352"/>
      <c r="Z352" s="1"/>
      <c r="AA352" s="1"/>
      <c r="AB352" s="1"/>
      <c r="AC352" s="1"/>
    </row>
    <row r="353" spans="1:29" x14ac:dyDescent="0.3">
      <c r="A353" s="1">
        <f>ROW(CantoralDB[[#This Row],[Título]])-1</f>
        <v>352</v>
      </c>
      <c r="B353" s="1" t="s">
        <v>5568</v>
      </c>
      <c r="C353" s="1"/>
      <c r="J353" s="1"/>
      <c r="M353" s="15" t="s">
        <v>478</v>
      </c>
      <c r="N353" s="1" t="s">
        <v>5497</v>
      </c>
      <c r="O353" s="15">
        <v>5</v>
      </c>
      <c r="P353" s="15">
        <v>1990</v>
      </c>
      <c r="Q353" s="15" t="str" cm="1">
        <f t="array" ref="Q3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3" s="15" t="str" cm="1">
        <f t="array" ref="R3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canciones/carmelo_erdozain/por_el_valle_de_mis_padres.html</v>
      </c>
      <c r="T353" s="1"/>
      <c r="U353" s="1"/>
      <c r="V353" s="32" t="s">
        <v>5691</v>
      </c>
      <c r="W3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href="canciones/carmelo_erdozain/por_el_valle_de_mis_padres.html"&gt;Por el valle de mis padres&lt;/a&gt;&lt;/li&gt;</v>
      </c>
      <c r="X353" s="15" t="str">
        <f>_xlfn.TEXTBEFORE(_xlfn.TEXTAFTER(CantoralDB[[#This Row],[index.html]],"&gt;"),"&gt;")&amp;"&gt;"</f>
        <v>&lt;a href="canciones/carmelo_erdozain/por_el_valle_de_mis_padres.html"&gt;</v>
      </c>
      <c r="Y353"/>
      <c r="Z353" s="1"/>
      <c r="AA353" s="1"/>
      <c r="AB353" s="1"/>
      <c r="AC353" s="1"/>
    </row>
    <row r="354" spans="1:29" x14ac:dyDescent="0.3">
      <c r="A354" s="1">
        <f>ROW(CantoralDB[[#This Row],[Título]])-1</f>
        <v>353</v>
      </c>
      <c r="B354" s="1" t="s">
        <v>5569</v>
      </c>
      <c r="C354" s="1"/>
      <c r="J354" s="1"/>
      <c r="M354" s="15" t="s">
        <v>478</v>
      </c>
      <c r="N354" s="1" t="s">
        <v>5497</v>
      </c>
      <c r="O354" s="15">
        <v>6</v>
      </c>
      <c r="P354" s="15">
        <v>1990</v>
      </c>
      <c r="Q354" s="15" t="str" cm="1">
        <f t="array" ref="Q3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4" s="15" t="str" cm="1">
        <f t="array" ref="R3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canciones/carmelo_erdozain/misioneros.html</v>
      </c>
      <c r="T354" s="1"/>
      <c r="U354" s="1"/>
      <c r="V354" s="32" t="s">
        <v>5692</v>
      </c>
      <c r="W3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href="canciones/carmelo_erdozain/misioneros.html"&gt;Misioneros&lt;/a&gt;&lt;/li&gt;</v>
      </c>
      <c r="X354" s="15" t="str">
        <f>_xlfn.TEXTBEFORE(_xlfn.TEXTAFTER(CantoralDB[[#This Row],[index.html]],"&gt;"),"&gt;")&amp;"&gt;"</f>
        <v>&lt;a href="canciones/carmelo_erdozain/misioneros.html"&gt;</v>
      </c>
      <c r="Y354"/>
      <c r="Z354" s="1"/>
      <c r="AA354" s="1"/>
      <c r="AB354" s="1"/>
      <c r="AC354" s="1"/>
    </row>
    <row r="355" spans="1:29" x14ac:dyDescent="0.3">
      <c r="A355" s="1">
        <f>ROW(CantoralDB[[#This Row],[Título]])-1</f>
        <v>354</v>
      </c>
      <c r="B355" s="1" t="s">
        <v>5570</v>
      </c>
      <c r="C355" s="1"/>
      <c r="J355" s="1"/>
      <c r="M355" s="15" t="s">
        <v>478</v>
      </c>
      <c r="N355" s="1" t="s">
        <v>5497</v>
      </c>
      <c r="O355" s="15">
        <v>7</v>
      </c>
      <c r="P355" s="15">
        <v>1990</v>
      </c>
      <c r="Q355" s="15" t="str" cm="1">
        <f t="array" ref="Q3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5" s="15" t="str" cm="1">
        <f t="array" ref="R3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canciones/carmelo_erdozain/quisieron_comprar_mi_arpa.html</v>
      </c>
      <c r="T355" s="1"/>
      <c r="U355" s="1"/>
      <c r="V355" s="32" t="s">
        <v>5693</v>
      </c>
      <c r="W3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href="canciones/carmelo_erdozain/quisieron_comprar_mi_arpa.html"&gt;Quisieron comprar mi arpa&lt;/a&gt;&lt;/li&gt;</v>
      </c>
      <c r="X355" s="15" t="str">
        <f>_xlfn.TEXTBEFORE(_xlfn.TEXTAFTER(CantoralDB[[#This Row],[index.html]],"&gt;"),"&gt;")&amp;"&gt;"</f>
        <v>&lt;a href="canciones/carmelo_erdozain/quisieron_comprar_mi_arpa.html"&gt;</v>
      </c>
      <c r="Y355"/>
      <c r="Z355" s="1"/>
      <c r="AA355" s="1"/>
      <c r="AB355" s="1"/>
      <c r="AC355" s="1"/>
    </row>
    <row r="356" spans="1:29" x14ac:dyDescent="0.3">
      <c r="A356" s="1">
        <f>ROW(CantoralDB[[#This Row],[Título]])-1</f>
        <v>355</v>
      </c>
      <c r="B356" s="1" t="s">
        <v>5571</v>
      </c>
      <c r="C356" s="1"/>
      <c r="J356" s="1"/>
      <c r="M356" s="15" t="s">
        <v>478</v>
      </c>
      <c r="N356" s="1" t="s">
        <v>5497</v>
      </c>
      <c r="O356" s="15">
        <v>8</v>
      </c>
      <c r="P356" s="15">
        <v>1990</v>
      </c>
      <c r="Q356" s="15" t="str" cm="1">
        <f t="array" ref="Q3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6" s="15" t="str" cm="1">
        <f t="array" ref="R3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canciones/carmelo_erdozain/al_alzar_mis_manos.html</v>
      </c>
      <c r="T356" s="1"/>
      <c r="U356" s="1"/>
      <c r="V356" s="32" t="s">
        <v>5694</v>
      </c>
      <c r="W3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href="canciones/carmelo_erdozain/al_alzar_mis_manos.html"&gt;Al alzar mis manos&lt;/a&gt;&lt;/li&gt;</v>
      </c>
      <c r="X356" s="15" t="str">
        <f>_xlfn.TEXTBEFORE(_xlfn.TEXTAFTER(CantoralDB[[#This Row],[index.html]],"&gt;"),"&gt;")&amp;"&gt;"</f>
        <v>&lt;a href="canciones/carmelo_erdozain/al_alzar_mis_manos.html"&gt;</v>
      </c>
      <c r="Y356"/>
      <c r="Z356" s="1"/>
      <c r="AA356" s="1"/>
      <c r="AB356" s="1"/>
      <c r="AC356" s="1"/>
    </row>
    <row r="357" spans="1:29" x14ac:dyDescent="0.3">
      <c r="A357" s="1">
        <f>ROW(CantoralDB[[#This Row],[Título]])-1</f>
        <v>356</v>
      </c>
      <c r="B357" s="1" t="s">
        <v>5572</v>
      </c>
      <c r="C357" s="1"/>
      <c r="J357" s="1"/>
      <c r="M357" s="15" t="s">
        <v>478</v>
      </c>
      <c r="N357" s="1" t="s">
        <v>5497</v>
      </c>
      <c r="O357" s="15">
        <v>9</v>
      </c>
      <c r="P357" s="15">
        <v>1990</v>
      </c>
      <c r="Q357" s="15" t="str" cm="1">
        <f t="array" ref="Q3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7" s="15" t="str" cm="1">
        <f t="array" ref="R3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canciones/carmelo_erdozain/dios_nos_da_su_pan.html</v>
      </c>
      <c r="T357" s="1"/>
      <c r="U357" s="1"/>
      <c r="V357" s="32" t="s">
        <v>5695</v>
      </c>
      <c r="W3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href="canciones/carmelo_erdozain/dios_nos_da_su_pan.html"&gt;Dios nos da su pan&lt;/a&gt;&lt;/li&gt;</v>
      </c>
      <c r="X357" s="15" t="str">
        <f>_xlfn.TEXTBEFORE(_xlfn.TEXTAFTER(CantoralDB[[#This Row],[index.html]],"&gt;"),"&gt;")&amp;"&gt;"</f>
        <v>&lt;a href="canciones/carmelo_erdozain/dios_nos_da_su_pan.html"&gt;</v>
      </c>
      <c r="Y357"/>
      <c r="Z357" s="1"/>
      <c r="AA357" s="1"/>
      <c r="AB357" s="1"/>
      <c r="AC357" s="1"/>
    </row>
    <row r="358" spans="1:29" x14ac:dyDescent="0.3">
      <c r="A358" s="1">
        <f>ROW(CantoralDB[[#This Row],[Título]])-1</f>
        <v>357</v>
      </c>
      <c r="B358" s="1" t="s">
        <v>1277</v>
      </c>
      <c r="C358" s="1"/>
      <c r="E358" s="1">
        <v>167</v>
      </c>
      <c r="I358" s="1" t="s">
        <v>5061</v>
      </c>
      <c r="J358" s="1" t="s">
        <v>605</v>
      </c>
      <c r="M358" s="15" t="s">
        <v>478</v>
      </c>
      <c r="N358" s="1" t="s">
        <v>5497</v>
      </c>
      <c r="O358" s="15">
        <v>10</v>
      </c>
      <c r="P358" s="15">
        <v>1990</v>
      </c>
      <c r="Q358" s="15" t="str" cm="1">
        <f t="array" ref="Q3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8" s="15" t="str" cm="1">
        <f t="array" ref="R3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canciones/carmelo_erdozain/mas_alla_las_redes_mas_alla.html</v>
      </c>
      <c r="T358" s="1"/>
      <c r="U358" s="1"/>
      <c r="V358" s="32" t="s">
        <v>5696</v>
      </c>
      <c r="W3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data-nold="167"&gt;&lt;a href="canciones/carmelo_erdozain/mas_alla_las_redes_mas_alla.html"&gt;Más allá, las redes más allá&lt;/a&gt;&lt;/li&gt;</v>
      </c>
      <c r="X358" s="15" t="str">
        <f>_xlfn.TEXTBEFORE(_xlfn.TEXTAFTER(CantoralDB[[#This Row],[index.html]],"&gt;"),"&gt;")&amp;"&gt;"</f>
        <v>&lt;a href="canciones/carmelo_erdozain/mas_alla_las_redes_mas_alla.html"&gt;</v>
      </c>
      <c r="Y358"/>
      <c r="Z358" s="1"/>
      <c r="AA358" s="1"/>
      <c r="AB358" s="1"/>
      <c r="AC358" s="1"/>
    </row>
    <row r="359" spans="1:29" x14ac:dyDescent="0.3">
      <c r="A359" s="1">
        <f>ROW(CantoralDB[[#This Row],[Título]])-1</f>
        <v>358</v>
      </c>
      <c r="B359" s="1" t="s">
        <v>33</v>
      </c>
      <c r="C359" s="1" t="s">
        <v>990</v>
      </c>
      <c r="D359" s="1" t="s">
        <v>685</v>
      </c>
      <c r="E359" s="1">
        <v>52</v>
      </c>
      <c r="G359" s="1" t="s">
        <v>208</v>
      </c>
      <c r="H359" s="1" t="s">
        <v>472</v>
      </c>
      <c r="I359" s="1" t="s">
        <v>2947</v>
      </c>
      <c r="J359" s="1" t="s">
        <v>605</v>
      </c>
      <c r="M359" s="15" t="s">
        <v>478</v>
      </c>
      <c r="N359" s="1" t="s">
        <v>33</v>
      </c>
      <c r="O359" s="15">
        <v>1</v>
      </c>
      <c r="P359" s="15">
        <v>1978</v>
      </c>
      <c r="Q359" s="15" t="str" cm="1">
        <f t="array" ref="Q3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59" s="15" t="str" cm="1">
        <f t="array" ref="R3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canciones/carmelo_erdozain/cerca_esta_el_señor.html</v>
      </c>
      <c r="T359" s="1" t="s">
        <v>811</v>
      </c>
      <c r="U359" s="1"/>
      <c r="V359" s="32" t="s">
        <v>5697</v>
      </c>
      <c r="W3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data-momento="Comunión" data-nnew="K15" data-nold="52"&gt;&lt;a href="canciones/carmelo_erdozain/cerca_esta_el_señor.html"&gt;Cerca está el Señor&lt;/a&gt;&lt;/li&gt;</v>
      </c>
      <c r="X359" s="15" t="str">
        <f>_xlfn.TEXTBEFORE(_xlfn.TEXTAFTER(CantoralDB[[#This Row],[index.html]],"&gt;"),"&gt;")&amp;"&gt;"</f>
        <v>&lt;a href="canciones/carmelo_erdozain/cerca_esta_el_señor.html"&gt;</v>
      </c>
      <c r="Y359"/>
      <c r="Z359" s="1"/>
      <c r="AA359" s="1"/>
      <c r="AB359" s="1"/>
      <c r="AC359" s="1"/>
    </row>
    <row r="360" spans="1:29" x14ac:dyDescent="0.3">
      <c r="A360" s="1">
        <f>ROW(CantoralDB[[#This Row],[Título]])-1</f>
        <v>359</v>
      </c>
      <c r="B360" s="1" t="s">
        <v>5135</v>
      </c>
      <c r="C360" s="1"/>
      <c r="J360" s="1"/>
      <c r="M360" s="15" t="s">
        <v>478</v>
      </c>
      <c r="N360" s="1" t="s">
        <v>33</v>
      </c>
      <c r="O360" s="15">
        <v>2</v>
      </c>
      <c r="P360" s="15">
        <v>1978</v>
      </c>
      <c r="Q360" s="15" t="str" cm="1">
        <f t="array" ref="Q3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0" s="15" t="str" cm="1">
        <f t="array" ref="R3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canciones/carmelo_erdozain/santo_(i).html</v>
      </c>
      <c r="T360" s="1"/>
      <c r="U360" s="1"/>
      <c r="V360" s="32" t="s">
        <v>5698</v>
      </c>
      <c r="W3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href="canciones/carmelo_erdozain/santo_(i).html"&gt;Santo (I)&lt;/a&gt;&lt;/li&gt;</v>
      </c>
      <c r="X360" s="15" t="str">
        <f>_xlfn.TEXTBEFORE(_xlfn.TEXTAFTER(CantoralDB[[#This Row],[index.html]],"&gt;"),"&gt;")&amp;"&gt;"</f>
        <v>&lt;a href="canciones/carmelo_erdozain/santo_(i).html"&gt;</v>
      </c>
      <c r="Y360"/>
      <c r="Z360" s="1"/>
      <c r="AA360" s="1"/>
      <c r="AB360" s="1"/>
      <c r="AC360" s="1"/>
    </row>
    <row r="361" spans="1:29" x14ac:dyDescent="0.3">
      <c r="A361" s="1">
        <f>ROW(CantoralDB[[#This Row],[Título]])-1</f>
        <v>360</v>
      </c>
      <c r="B361" s="1" t="s">
        <v>2897</v>
      </c>
      <c r="C361" s="1"/>
      <c r="E361" s="1">
        <v>261</v>
      </c>
      <c r="H361" s="1" t="s">
        <v>1024</v>
      </c>
      <c r="J361" s="1" t="s">
        <v>605</v>
      </c>
      <c r="M361" s="15" t="s">
        <v>478</v>
      </c>
      <c r="N361" s="1" t="s">
        <v>33</v>
      </c>
      <c r="O361" s="15">
        <v>3</v>
      </c>
      <c r="P361" s="15">
        <v>1978</v>
      </c>
      <c r="Q361" s="15" t="str" cm="1">
        <f t="array" ref="Q3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1" s="15" t="str" cm="1">
        <f t="array" ref="R3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canciones/carmelo_erdozain/arriesgate.html</v>
      </c>
      <c r="T361" s="1"/>
      <c r="U361" s="1"/>
      <c r="V361" s="32" t="s">
        <v>5699</v>
      </c>
      <c r="W3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data-nold="261"&gt;&lt;a href="canciones/carmelo_erdozain/arriesgate.html"&gt;Arriésgate&lt;/a&gt;&lt;/li&gt;</v>
      </c>
      <c r="X361" s="15" t="str">
        <f>_xlfn.TEXTBEFORE(_xlfn.TEXTAFTER(CantoralDB[[#This Row],[index.html]],"&gt;"),"&gt;")&amp;"&gt;"</f>
        <v>&lt;a href="canciones/carmelo_erdozain/arriesgate.html"&gt;</v>
      </c>
      <c r="Y361"/>
      <c r="Z361" s="1"/>
      <c r="AA361" s="1"/>
      <c r="AB361" s="1"/>
      <c r="AC361" s="1"/>
    </row>
    <row r="362" spans="1:29" x14ac:dyDescent="0.3">
      <c r="A362" s="1">
        <f>ROW(CantoralDB[[#This Row],[Título]])-1</f>
        <v>361</v>
      </c>
      <c r="B362" s="1" t="s">
        <v>19</v>
      </c>
      <c r="C362" s="1" t="s">
        <v>193</v>
      </c>
      <c r="D362" s="1" t="s">
        <v>1376</v>
      </c>
      <c r="E362" s="1">
        <v>13</v>
      </c>
      <c r="G362" s="1" t="s">
        <v>208</v>
      </c>
      <c r="H362" s="1" t="s">
        <v>1024</v>
      </c>
      <c r="I362" s="1" t="s">
        <v>2948</v>
      </c>
      <c r="J362" s="1" t="s">
        <v>605</v>
      </c>
      <c r="M362" s="15" t="s">
        <v>478</v>
      </c>
      <c r="N362" s="1" t="s">
        <v>33</v>
      </c>
      <c r="O362" s="15">
        <v>4</v>
      </c>
      <c r="P362" s="15">
        <v>1978</v>
      </c>
      <c r="Q362" s="15" t="str" cm="1">
        <f t="array" ref="Q3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2" s="15" t="str" cm="1">
        <f t="array" ref="R3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canciones/carmelo_erdozain/aleluya_es_la_fiesta_del_señor.html</v>
      </c>
      <c r="T362" s="1"/>
      <c r="U362" s="1"/>
      <c r="V362" s="32" t="s">
        <v>5700</v>
      </c>
      <c r="W3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data-momento="Aleluya" data-nnew="E08" data-nold="13"&gt;&lt;a href="canciones/carmelo_erdozain/aleluya_es_la_fiesta_del_señor.html"&gt;Aleluya, es la fiesta del Señor&lt;/a&gt;&lt;/li&gt;</v>
      </c>
      <c r="X362" s="15" t="str">
        <f>_xlfn.TEXTBEFORE(_xlfn.TEXTAFTER(CantoralDB[[#This Row],[index.html]],"&gt;"),"&gt;")&amp;"&gt;"</f>
        <v>&lt;a href="canciones/carmelo_erdozain/aleluya_es_la_fiesta_del_señor.html"&gt;</v>
      </c>
      <c r="Y362"/>
      <c r="Z362" s="1"/>
      <c r="AA362" s="1"/>
      <c r="AB362" s="1"/>
      <c r="AC362" s="1"/>
    </row>
    <row r="363" spans="1:29" x14ac:dyDescent="0.3">
      <c r="A363" s="1">
        <f>ROW(CantoralDB[[#This Row],[Título]])-1</f>
        <v>362</v>
      </c>
      <c r="B363" s="1" t="s">
        <v>2144</v>
      </c>
      <c r="C363" s="1"/>
      <c r="H363" s="1" t="s">
        <v>1024</v>
      </c>
      <c r="J363" s="1" t="s">
        <v>605</v>
      </c>
      <c r="M363" s="15" t="s">
        <v>478</v>
      </c>
      <c r="N363" s="1" t="s">
        <v>33</v>
      </c>
      <c r="O363" s="15">
        <v>5</v>
      </c>
      <c r="P363" s="15">
        <v>1978</v>
      </c>
      <c r="Q363" s="15" t="str" cm="1">
        <f t="array" ref="Q3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3" s="15" t="str" cm="1">
        <f t="array" ref="R3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canciones/carmelo_erdozain/este_pan_y_vino.html</v>
      </c>
      <c r="T363" s="1"/>
      <c r="U363" s="1"/>
      <c r="V363" s="32" t="s">
        <v>5701</v>
      </c>
      <c r="W3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href="canciones/carmelo_erdozain/este_pan_y_vino.html"&gt;Este pan y vino&lt;/a&gt;&lt;/li&gt;</v>
      </c>
      <c r="X363" s="15" t="str">
        <f>_xlfn.TEXTBEFORE(_xlfn.TEXTAFTER(CantoralDB[[#This Row],[index.html]],"&gt;"),"&gt;")&amp;"&gt;"</f>
        <v>&lt;a href="canciones/carmelo_erdozain/este_pan_y_vino.html"&gt;</v>
      </c>
      <c r="Y363"/>
      <c r="Z363" s="1"/>
      <c r="AA363" s="1"/>
      <c r="AB363" s="1"/>
      <c r="AC363" s="1"/>
    </row>
    <row r="364" spans="1:29" x14ac:dyDescent="0.3">
      <c r="A364" s="1">
        <f>ROW(CantoralDB[[#This Row],[Título]])-1</f>
        <v>363</v>
      </c>
      <c r="B364" s="1" t="s">
        <v>5514</v>
      </c>
      <c r="C364" s="1"/>
      <c r="J364" s="1"/>
      <c r="M364" s="15" t="s">
        <v>478</v>
      </c>
      <c r="N364" s="1" t="s">
        <v>33</v>
      </c>
      <c r="O364" s="15">
        <v>6</v>
      </c>
      <c r="P364" s="15">
        <v>1978</v>
      </c>
      <c r="Q364" s="15" t="str" cm="1">
        <f t="array" ref="Q3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4" s="15" t="str" cm="1">
        <f t="array" ref="R3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canciones/carmelo_erdozain/el_espiritu_de_dios.html</v>
      </c>
      <c r="T364" s="1"/>
      <c r="U364" s="1"/>
      <c r="V364" s="32" t="s">
        <v>5702</v>
      </c>
      <c r="W3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href="canciones/carmelo_erdozain/el_espiritu_de_dios.html"&gt;El Espíritu de Dios&lt;/a&gt;&lt;/li&gt;</v>
      </c>
      <c r="X364" s="15" t="str">
        <f>_xlfn.TEXTBEFORE(_xlfn.TEXTAFTER(CantoralDB[[#This Row],[index.html]],"&gt;"),"&gt;")&amp;"&gt;"</f>
        <v>&lt;a href="canciones/carmelo_erdozain/el_espiritu_de_dios.html"&gt;</v>
      </c>
      <c r="Y364"/>
      <c r="Z364" s="1"/>
      <c r="AA364" s="1"/>
      <c r="AB364" s="1"/>
      <c r="AC364" s="1"/>
    </row>
    <row r="365" spans="1:29" x14ac:dyDescent="0.3">
      <c r="A365" s="1">
        <f>ROW(CantoralDB[[#This Row],[Título]])-1</f>
        <v>364</v>
      </c>
      <c r="B365" s="1" t="s">
        <v>5515</v>
      </c>
      <c r="C365" s="1"/>
      <c r="J365" s="1"/>
      <c r="M365" s="15" t="s">
        <v>478</v>
      </c>
      <c r="N365" s="1" t="s">
        <v>33</v>
      </c>
      <c r="O365" s="15">
        <v>7</v>
      </c>
      <c r="P365" s="15">
        <v>1978</v>
      </c>
      <c r="Q365" s="15" t="str" cm="1">
        <f t="array" ref="Q3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5" s="15" t="str" cm="1">
        <f t="array" ref="R3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canciones/carmelo_erdozain/queremos_construir_una_ciudad.html</v>
      </c>
      <c r="T365" s="1"/>
      <c r="U365" s="1"/>
      <c r="V365" s="32" t="s">
        <v>5703</v>
      </c>
      <c r="W3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href="canciones/carmelo_erdozain/queremos_construir_una_ciudad.html"&gt;Queremos construir una ciudad&lt;/a&gt;&lt;/li&gt;</v>
      </c>
      <c r="X365" s="15" t="str">
        <f>_xlfn.TEXTBEFORE(_xlfn.TEXTAFTER(CantoralDB[[#This Row],[index.html]],"&gt;"),"&gt;")&amp;"&gt;"</f>
        <v>&lt;a href="canciones/carmelo_erdozain/queremos_construir_una_ciudad.html"&gt;</v>
      </c>
      <c r="Y365"/>
      <c r="Z365" s="1"/>
      <c r="AA365" s="1"/>
      <c r="AB365" s="1"/>
      <c r="AC365" s="1"/>
    </row>
    <row r="366" spans="1:29" x14ac:dyDescent="0.3">
      <c r="A366" s="1">
        <f>ROW(CantoralDB[[#This Row],[Título]])-1</f>
        <v>365</v>
      </c>
      <c r="B366" s="1" t="s">
        <v>5516</v>
      </c>
      <c r="C366" s="1"/>
      <c r="J366" s="1"/>
      <c r="M366" s="15" t="s">
        <v>478</v>
      </c>
      <c r="N366" s="1" t="s">
        <v>33</v>
      </c>
      <c r="O366" s="15">
        <v>8</v>
      </c>
      <c r="P366" s="15">
        <v>1978</v>
      </c>
      <c r="Q366" s="15" t="str" cm="1">
        <f t="array" ref="Q3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6" s="15" t="str" cm="1">
        <f t="array" ref="R3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canciones/carmelo_erdozain/libertador_de_nazaret.html</v>
      </c>
      <c r="T366" s="1"/>
      <c r="U366" s="1"/>
      <c r="V366" s="32" t="s">
        <v>5704</v>
      </c>
      <c r="W3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href="canciones/carmelo_erdozain/libertador_de_nazaret.html"&gt;Libertador de Nazaret&lt;/a&gt;&lt;/li&gt;</v>
      </c>
      <c r="X366" s="15" t="str">
        <f>_xlfn.TEXTBEFORE(_xlfn.TEXTAFTER(CantoralDB[[#This Row],[index.html]],"&gt;"),"&gt;")&amp;"&gt;"</f>
        <v>&lt;a href="canciones/carmelo_erdozain/libertador_de_nazaret.html"&gt;</v>
      </c>
      <c r="Y366"/>
      <c r="Z366" s="1"/>
      <c r="AA366" s="1"/>
      <c r="AB366" s="1"/>
      <c r="AC366" s="1"/>
    </row>
    <row r="367" spans="1:29" x14ac:dyDescent="0.3">
      <c r="A367" s="1">
        <f>ROW(CantoralDB[[#This Row],[Título]])-1</f>
        <v>366</v>
      </c>
      <c r="B367" s="1" t="s">
        <v>2266</v>
      </c>
      <c r="C367" s="1"/>
      <c r="J367" s="1"/>
      <c r="M367" s="15" t="s">
        <v>478</v>
      </c>
      <c r="N367" s="1" t="s">
        <v>33</v>
      </c>
      <c r="O367" s="15">
        <v>9</v>
      </c>
      <c r="P367" s="15">
        <v>1978</v>
      </c>
      <c r="Q367" s="15" t="str" cm="1">
        <f t="array" ref="Q3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7" s="15" t="str" cm="1">
        <f t="array" ref="R3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canciones/carmelo_erdozain/hagase_en_mi.html</v>
      </c>
      <c r="T367" s="1"/>
      <c r="U367" s="1"/>
      <c r="V367" s="32" t="s">
        <v>5705</v>
      </c>
      <c r="W3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href="canciones/carmelo_erdozain/hagase_en_mi.html"&gt;Hágase en mí&lt;/a&gt;&lt;/li&gt;</v>
      </c>
      <c r="X367" s="15" t="str">
        <f>_xlfn.TEXTBEFORE(_xlfn.TEXTAFTER(CantoralDB[[#This Row],[index.html]],"&gt;"),"&gt;")&amp;"&gt;"</f>
        <v>&lt;a href="canciones/carmelo_erdozain/hagase_en_mi.html"&gt;</v>
      </c>
      <c r="Y367"/>
      <c r="Z367" s="1"/>
      <c r="AA367" s="1"/>
      <c r="AB367" s="1"/>
      <c r="AC367" s="1"/>
    </row>
    <row r="368" spans="1:29" x14ac:dyDescent="0.3">
      <c r="A368" s="1">
        <f>ROW(CantoralDB[[#This Row],[Título]])-1</f>
        <v>367</v>
      </c>
      <c r="B368" s="1" t="s">
        <v>5517</v>
      </c>
      <c r="C368" s="1"/>
      <c r="J368" s="1"/>
      <c r="M368" s="15" t="s">
        <v>478</v>
      </c>
      <c r="N368" s="1" t="s">
        <v>33</v>
      </c>
      <c r="O368" s="15">
        <v>10</v>
      </c>
      <c r="P368" s="15">
        <v>1978</v>
      </c>
      <c r="Q368" s="15" t="str" cm="1">
        <f t="array" ref="Q3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8" s="15" t="str" cm="1">
        <f t="array" ref="R3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canciones/carmelo_erdozain/entre_los_nacidos.html</v>
      </c>
      <c r="T368" s="1"/>
      <c r="U368" s="1"/>
      <c r="V368" s="32" t="s">
        <v>5706</v>
      </c>
      <c r="W3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href="canciones/carmelo_erdozain/entre_los_nacidos.html"&gt;Entre los nacidos&lt;/a&gt;&lt;/li&gt;</v>
      </c>
      <c r="X368" s="15" t="str">
        <f>_xlfn.TEXTBEFORE(_xlfn.TEXTAFTER(CantoralDB[[#This Row],[index.html]],"&gt;"),"&gt;")&amp;"&gt;"</f>
        <v>&lt;a href="canciones/carmelo_erdozain/entre_los_nacidos.html"&gt;</v>
      </c>
      <c r="Y368"/>
      <c r="Z368" s="1"/>
      <c r="AA368" s="1"/>
      <c r="AB368" s="1"/>
      <c r="AC368" s="1"/>
    </row>
    <row r="369" spans="1:29" x14ac:dyDescent="0.3">
      <c r="A369" s="1">
        <f>ROW(CantoralDB[[#This Row],[Título]])-1</f>
        <v>368</v>
      </c>
      <c r="B369" s="1" t="s">
        <v>5518</v>
      </c>
      <c r="C369" s="1"/>
      <c r="J369" s="1"/>
      <c r="M369" s="15" t="s">
        <v>478</v>
      </c>
      <c r="N369" s="1" t="s">
        <v>33</v>
      </c>
      <c r="O369" s="15">
        <v>11</v>
      </c>
      <c r="P369" s="15">
        <v>1978</v>
      </c>
      <c r="Q369" s="15" t="str" cm="1">
        <f t="array" ref="Q3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69" s="15" t="str" cm="1">
        <f t="array" ref="R3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canciones/carmelo_erdozain/quien_vendra_a_sicar.html</v>
      </c>
      <c r="T369" s="1"/>
      <c r="U369" s="1"/>
      <c r="V369" s="32" t="s">
        <v>5707</v>
      </c>
      <c r="W3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href="canciones/carmelo_erdozain/quien_vendra_a_sicar.html"&gt;Quién vendrá a Sicar&lt;/a&gt;&lt;/li&gt;</v>
      </c>
      <c r="X369" s="15" t="str">
        <f>_xlfn.TEXTBEFORE(_xlfn.TEXTAFTER(CantoralDB[[#This Row],[index.html]],"&gt;"),"&gt;")&amp;"&gt;"</f>
        <v>&lt;a href="canciones/carmelo_erdozain/quien_vendra_a_sicar.html"&gt;</v>
      </c>
      <c r="Y369"/>
      <c r="Z369" s="1"/>
      <c r="AA369" s="1"/>
      <c r="AB369" s="1"/>
      <c r="AC369" s="1"/>
    </row>
    <row r="370" spans="1:29" x14ac:dyDescent="0.3">
      <c r="A370" s="1">
        <f>ROW(CantoralDB[[#This Row],[Título]])-1</f>
        <v>369</v>
      </c>
      <c r="B370" s="1" t="s">
        <v>1220</v>
      </c>
      <c r="C370" s="1"/>
      <c r="E370" s="1">
        <v>301</v>
      </c>
      <c r="H370" s="1" t="s">
        <v>1025</v>
      </c>
      <c r="J370" s="1" t="s">
        <v>605</v>
      </c>
      <c r="M370" s="15" t="s">
        <v>478</v>
      </c>
      <c r="N370" s="1" t="s">
        <v>5489</v>
      </c>
      <c r="O370" s="15">
        <v>1</v>
      </c>
      <c r="P370" s="15">
        <v>1975</v>
      </c>
      <c r="Q370" s="15" t="str" cm="1">
        <f t="array" ref="Q3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0" s="15" t="str" cm="1">
        <f t="array" ref="R3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canciones/carmelo_erdozain/creo_en_jesus.html</v>
      </c>
      <c r="T370" s="1"/>
      <c r="U370" s="1"/>
      <c r="V370" s="32" t="s">
        <v>5812</v>
      </c>
      <c r="W3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data-nold="301"&gt;&lt;a href="canciones/carmelo_erdozain/creo_en_jesus.html"&gt;Creo en Jesús&lt;/a&gt;&lt;/li&gt;</v>
      </c>
      <c r="X370" s="15" t="str">
        <f>_xlfn.TEXTBEFORE(_xlfn.TEXTAFTER(CantoralDB[[#This Row],[index.html]],"&gt;"),"&gt;")&amp;"&gt;"</f>
        <v>&lt;a href="canciones/carmelo_erdozain/creo_en_jesus.html"&gt;</v>
      </c>
      <c r="Y370"/>
      <c r="Z370" s="1"/>
      <c r="AA370" s="1"/>
      <c r="AB370" s="1"/>
      <c r="AC370" s="1"/>
    </row>
    <row r="371" spans="1:29" x14ac:dyDescent="0.3">
      <c r="A371" s="1">
        <f>ROW(CantoralDB[[#This Row],[Título]])-1</f>
        <v>370</v>
      </c>
      <c r="B371" s="1" t="s">
        <v>1181</v>
      </c>
      <c r="C371" s="1"/>
      <c r="E371" s="1">
        <v>55</v>
      </c>
      <c r="H371" s="1" t="s">
        <v>1025</v>
      </c>
      <c r="J371" s="1" t="s">
        <v>605</v>
      </c>
      <c r="M371" s="15" t="s">
        <v>478</v>
      </c>
      <c r="N371" s="1" t="s">
        <v>5489</v>
      </c>
      <c r="O371" s="15">
        <v>2</v>
      </c>
      <c r="P371" s="15">
        <v>1975</v>
      </c>
      <c r="Q371" s="15" t="str" cm="1">
        <f t="array" ref="Q3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1" s="15" t="str" cm="1">
        <f t="array" ref="R3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canciones/carmelo_erdozain/cristo_fue_sincero.html</v>
      </c>
      <c r="T371" s="1"/>
      <c r="U371" s="1"/>
      <c r="V371" s="32" t="s">
        <v>5814</v>
      </c>
      <c r="W3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data-nold="55"&gt;&lt;a href="canciones/carmelo_erdozain/cristo_fue_sincero.html"&gt;Cristo fue sincero&lt;/a&gt;&lt;/li&gt;</v>
      </c>
      <c r="X371" s="15" t="str">
        <f>_xlfn.TEXTBEFORE(_xlfn.TEXTAFTER(CantoralDB[[#This Row],[index.html]],"&gt;"),"&gt;")&amp;"&gt;"</f>
        <v>&lt;a href="canciones/carmelo_erdozain/cristo_fue_sincero.html"&gt;</v>
      </c>
      <c r="Y371"/>
      <c r="Z371" s="1"/>
      <c r="AA371" s="1"/>
      <c r="AB371" s="1"/>
      <c r="AC371" s="1"/>
    </row>
    <row r="372" spans="1:29" x14ac:dyDescent="0.3">
      <c r="A372" s="1">
        <f>ROW(CantoralDB[[#This Row],[Título]])-1</f>
        <v>371</v>
      </c>
      <c r="B372" s="1" t="s">
        <v>40</v>
      </c>
      <c r="C372" s="1" t="s">
        <v>990</v>
      </c>
      <c r="D372" s="1" t="s">
        <v>689</v>
      </c>
      <c r="E372" s="1">
        <v>63</v>
      </c>
      <c r="G372" s="1" t="s">
        <v>208</v>
      </c>
      <c r="H372" s="1" t="s">
        <v>529</v>
      </c>
      <c r="J372" s="1" t="s">
        <v>605</v>
      </c>
      <c r="M372" s="15" t="s">
        <v>478</v>
      </c>
      <c r="N372" s="1" t="s">
        <v>5489</v>
      </c>
      <c r="O372" s="15">
        <v>3</v>
      </c>
      <c r="P372" s="15">
        <v>1975</v>
      </c>
      <c r="Q372" s="15" t="str" cm="1">
        <f t="array" ref="Q3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2" s="15" t="str" cm="1">
        <f t="array" ref="R3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canciones/carmelo_erdozain/cristo_nos_da_la_libertad.html</v>
      </c>
      <c r="T372" s="1"/>
      <c r="U372" s="1"/>
      <c r="V372" s="32" t="s">
        <v>5808</v>
      </c>
      <c r="W3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data-momento="Comunión" data-nnew="K19" data-nold="63"&gt;&lt;a href="canciones/carmelo_erdozain/cristo_nos_da_la_libertad.html"&gt;Cristo nos da la libertad&lt;/a&gt;&lt;/li&gt;</v>
      </c>
      <c r="X372" s="15" t="str">
        <f>_xlfn.TEXTBEFORE(_xlfn.TEXTAFTER(CantoralDB[[#This Row],[index.html]],"&gt;"),"&gt;")&amp;"&gt;"</f>
        <v>&lt;a href="canciones/carmelo_erdozain/cristo_nos_da_la_libertad.html"&gt;</v>
      </c>
      <c r="Y372"/>
      <c r="Z372" s="1"/>
      <c r="AA372" s="1"/>
      <c r="AB372" s="1"/>
      <c r="AC372" s="1"/>
    </row>
    <row r="373" spans="1:29" x14ac:dyDescent="0.3">
      <c r="A373" s="1">
        <f>ROW(CantoralDB[[#This Row],[Título]])-1</f>
        <v>372</v>
      </c>
      <c r="B373" s="1" t="s">
        <v>5519</v>
      </c>
      <c r="C373" s="1"/>
      <c r="J373" s="1"/>
      <c r="M373" s="15" t="s">
        <v>478</v>
      </c>
      <c r="N373" s="1" t="s">
        <v>5489</v>
      </c>
      <c r="O373" s="15">
        <v>4</v>
      </c>
      <c r="P373" s="15">
        <v>1975</v>
      </c>
      <c r="Q373" s="15" t="str" cm="1">
        <f t="array" ref="Q3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3" s="15" t="str" cm="1">
        <f t="array" ref="R3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canciones/carmelo_erdozain/en_la_mañana_de_la_resurreccion.html</v>
      </c>
      <c r="T373" s="1"/>
      <c r="U373" s="1"/>
      <c r="V373" s="32" t="s">
        <v>5810</v>
      </c>
      <c r="W3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href="canciones/carmelo_erdozain/en_la_mañana_de_la_resurreccion.html"&gt;En la mañana de la resurrección&lt;/a&gt;&lt;/li&gt;</v>
      </c>
      <c r="X373" s="15" t="str">
        <f>_xlfn.TEXTBEFORE(_xlfn.TEXTAFTER(CantoralDB[[#This Row],[index.html]],"&gt;"),"&gt;")&amp;"&gt;"</f>
        <v>&lt;a href="canciones/carmelo_erdozain/en_la_mañana_de_la_resurreccion.html"&gt;</v>
      </c>
      <c r="Y373"/>
      <c r="Z373" s="1"/>
      <c r="AA373" s="1"/>
      <c r="AB373" s="1"/>
      <c r="AC373" s="1"/>
    </row>
    <row r="374" spans="1:29" x14ac:dyDescent="0.3">
      <c r="A374" s="1">
        <f>ROW(CantoralDB[[#This Row],[Título]])-1</f>
        <v>373</v>
      </c>
      <c r="B374" s="1" t="s">
        <v>5520</v>
      </c>
      <c r="C374" s="1"/>
      <c r="J374" s="1"/>
      <c r="M374" s="15" t="s">
        <v>478</v>
      </c>
      <c r="N374" s="1" t="s">
        <v>5489</v>
      </c>
      <c r="O374" s="15">
        <v>5</v>
      </c>
      <c r="P374" s="15">
        <v>1975</v>
      </c>
      <c r="Q374" s="15" t="str" cm="1">
        <f t="array" ref="Q3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4" s="15" t="str" cm="1">
        <f t="array" ref="R3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canciones/carmelo_erdozain/jerusalen.html</v>
      </c>
      <c r="T374" s="1"/>
      <c r="U374" s="1"/>
      <c r="V374" s="32" t="s">
        <v>5815</v>
      </c>
      <c r="W3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href="canciones/carmelo_erdozain/jerusalen.html"&gt;Jerusalén&lt;/a&gt;&lt;/li&gt;</v>
      </c>
      <c r="X374" s="15" t="str">
        <f>_xlfn.TEXTBEFORE(_xlfn.TEXTAFTER(CantoralDB[[#This Row],[index.html]],"&gt;"),"&gt;")&amp;"&gt;"</f>
        <v>&lt;a href="canciones/carmelo_erdozain/jerusalen.html"&gt;</v>
      </c>
      <c r="Y374"/>
      <c r="Z374" s="1"/>
      <c r="AA374" s="1"/>
      <c r="AB374" s="1"/>
      <c r="AC374" s="1"/>
    </row>
    <row r="375" spans="1:29" x14ac:dyDescent="0.3">
      <c r="A375" s="1">
        <f>ROW(CantoralDB[[#This Row],[Título]])-1</f>
        <v>374</v>
      </c>
      <c r="B375" s="1" t="s">
        <v>1286</v>
      </c>
      <c r="C375" s="1"/>
      <c r="E375" s="1">
        <v>179</v>
      </c>
      <c r="H375" s="1" t="s">
        <v>1025</v>
      </c>
      <c r="J375" s="1" t="s">
        <v>605</v>
      </c>
      <c r="M375" s="15" t="s">
        <v>478</v>
      </c>
      <c r="N375" s="1" t="s">
        <v>5489</v>
      </c>
      <c r="O375" s="15">
        <v>6</v>
      </c>
      <c r="P375" s="15">
        <v>1975</v>
      </c>
      <c r="Q375" s="15" t="str" cm="1">
        <f t="array" ref="Q3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5" s="15" t="str" cm="1">
        <f t="array" ref="R3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3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canciones/carmelo_erdozain/nochebuena_nochebuena.html</v>
      </c>
      <c r="T375" s="1"/>
      <c r="U375" s="1"/>
      <c r="V375" s="32" t="s">
        <v>5817</v>
      </c>
      <c r="W3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data-nold="179"&gt;&lt;a href="canciones/carmelo_erdozain/nochebuena_nochebuena.html"&gt;Nochebuena, nochebuena&lt;/a&gt;&lt;/li&gt;</v>
      </c>
      <c r="X375" s="15" t="str">
        <f>_xlfn.TEXTBEFORE(_xlfn.TEXTAFTER(CantoralDB[[#This Row],[index.html]],"&gt;"),"&gt;")&amp;"&gt;"</f>
        <v>&lt;a href="canciones/carmelo_erdozain/nochebuena_nochebuena.html"&gt;</v>
      </c>
      <c r="Y375"/>
      <c r="Z375" s="1"/>
      <c r="AA375" s="1"/>
      <c r="AB375" s="1"/>
      <c r="AC375" s="1"/>
    </row>
    <row r="376" spans="1:29" x14ac:dyDescent="0.3">
      <c r="A376" s="1">
        <f>ROW(CantoralDB[[#This Row],[Título]])-1</f>
        <v>375</v>
      </c>
      <c r="B376" s="1" t="s">
        <v>5521</v>
      </c>
      <c r="C376" s="1"/>
      <c r="J376" s="1"/>
      <c r="M376" s="15" t="s">
        <v>478</v>
      </c>
      <c r="N376" s="1" t="s">
        <v>5489</v>
      </c>
      <c r="O376" s="15">
        <v>7</v>
      </c>
      <c r="P376" s="15">
        <v>1975</v>
      </c>
      <c r="Q376" s="15" t="str" cm="1">
        <f t="array" ref="Q3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6" s="15" t="str" cm="1">
        <f t="array" ref="R3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canciones/carmelo_erdozain/por_nuestro_amor_murio_el_señor.html</v>
      </c>
      <c r="T376" s="1"/>
      <c r="U376" s="1"/>
      <c r="V376" s="32" t="s">
        <v>5811</v>
      </c>
      <c r="W3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href="canciones/carmelo_erdozain/por_nuestro_amor_murio_el_señor.html"&gt;Por nuestro amor murió el Señor&lt;/a&gt;&lt;/li&gt;</v>
      </c>
      <c r="X376" s="15" t="str">
        <f>_xlfn.TEXTBEFORE(_xlfn.TEXTAFTER(CantoralDB[[#This Row],[index.html]],"&gt;"),"&gt;")&amp;"&gt;"</f>
        <v>&lt;a href="canciones/carmelo_erdozain/por_nuestro_amor_murio_el_señor.html"&gt;</v>
      </c>
      <c r="Y376"/>
      <c r="Z376" s="1"/>
      <c r="AA376" s="1"/>
      <c r="AB376" s="1"/>
      <c r="AC376" s="1"/>
    </row>
    <row r="377" spans="1:29" x14ac:dyDescent="0.3">
      <c r="A377" s="1">
        <f>ROW(CantoralDB[[#This Row],[Título]])-1</f>
        <v>376</v>
      </c>
      <c r="B377" s="1" t="s">
        <v>5522</v>
      </c>
      <c r="C377" s="1"/>
      <c r="J377" s="1"/>
      <c r="M377" s="15" t="s">
        <v>478</v>
      </c>
      <c r="N377" s="1" t="s">
        <v>5489</v>
      </c>
      <c r="O377" s="15">
        <v>8</v>
      </c>
      <c r="P377" s="15">
        <v>1975</v>
      </c>
      <c r="Q377" s="15" t="str" cm="1">
        <f t="array" ref="Q3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7" s="15" t="str" cm="1">
        <f t="array" ref="R3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canciones/carmelo_erdozain/rebelde.html</v>
      </c>
      <c r="T377" s="1"/>
      <c r="U377" s="1"/>
      <c r="V377" s="32" t="s">
        <v>5813</v>
      </c>
      <c r="W3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href="canciones/carmelo_erdozain/rebelde.html"&gt;Rebelde&lt;/a&gt;&lt;/li&gt;</v>
      </c>
      <c r="X377" s="15" t="str">
        <f>_xlfn.TEXTBEFORE(_xlfn.TEXTAFTER(CantoralDB[[#This Row],[index.html]],"&gt;"),"&gt;")&amp;"&gt;"</f>
        <v>&lt;a href="canciones/carmelo_erdozain/rebelde.html"&gt;</v>
      </c>
      <c r="Y377"/>
      <c r="Z377" s="1"/>
      <c r="AA377" s="1"/>
      <c r="AB377" s="1"/>
      <c r="AC377" s="1"/>
    </row>
    <row r="378" spans="1:29" x14ac:dyDescent="0.3">
      <c r="A378" s="1">
        <f>ROW(CantoralDB[[#This Row],[Título]])-1</f>
        <v>377</v>
      </c>
      <c r="B378" s="1" t="s">
        <v>5523</v>
      </c>
      <c r="C378" s="1"/>
      <c r="J378" s="1"/>
      <c r="M378" s="15" t="s">
        <v>478</v>
      </c>
      <c r="N378" s="1" t="s">
        <v>5489</v>
      </c>
      <c r="O378" s="15">
        <v>9</v>
      </c>
      <c r="P378" s="15">
        <v>1975</v>
      </c>
      <c r="Q378" s="15" t="str" cm="1">
        <f t="array" ref="Q3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8" s="15" t="str" cm="1">
        <f t="array" ref="R3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canciones/carmelo_erdozain/sube_a_la_montaña.html</v>
      </c>
      <c r="T378" s="1"/>
      <c r="U378" s="1"/>
      <c r="V378" s="32" t="s">
        <v>5816</v>
      </c>
      <c r="W3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href="canciones/carmelo_erdozain/sube_a_la_montaña.html"&gt;Sube a la montaña&lt;/a&gt;&lt;/li&gt;</v>
      </c>
      <c r="X378" s="15" t="str">
        <f>_xlfn.TEXTBEFORE(_xlfn.TEXTAFTER(CantoralDB[[#This Row],[index.html]],"&gt;"),"&gt;")&amp;"&gt;"</f>
        <v>&lt;a href="canciones/carmelo_erdozain/sube_a_la_montaña.html"&gt;</v>
      </c>
      <c r="Y378"/>
      <c r="Z378" s="1"/>
      <c r="AA378" s="1"/>
      <c r="AB378" s="1"/>
      <c r="AC378" s="1"/>
    </row>
    <row r="379" spans="1:29" x14ac:dyDescent="0.3">
      <c r="A379" s="1">
        <f>ROW(CantoralDB[[#This Row],[Título]])-1</f>
        <v>378</v>
      </c>
      <c r="B379" s="1" t="s">
        <v>5524</v>
      </c>
      <c r="C379" s="1"/>
      <c r="J379" s="1"/>
      <c r="M379" s="15" t="s">
        <v>478</v>
      </c>
      <c r="N379" s="1" t="s">
        <v>5489</v>
      </c>
      <c r="O379" s="15">
        <v>10</v>
      </c>
      <c r="P379" s="15">
        <v>1975</v>
      </c>
      <c r="Q379" s="15" t="str" cm="1">
        <f t="array" ref="Q3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79" s="15" t="str" cm="1">
        <f t="array" ref="R3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canciones/carmelo_erdozain/tu_señor_me_llamas.html</v>
      </c>
      <c r="T379" s="1"/>
      <c r="U379" s="1"/>
      <c r="V379" s="32" t="s">
        <v>5809</v>
      </c>
      <c r="W3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href="canciones/carmelo_erdozain/tu_señor_me_llamas.html"&gt;Tú, Señor, me llamas&lt;/a&gt;&lt;/li&gt;</v>
      </c>
      <c r="X379" s="15" t="str">
        <f>_xlfn.TEXTBEFORE(_xlfn.TEXTAFTER(CantoralDB[[#This Row],[index.html]],"&gt;"),"&gt;")&amp;"&gt;"</f>
        <v>&lt;a href="canciones/carmelo_erdozain/tu_señor_me_llamas.html"&gt;</v>
      </c>
      <c r="Y379"/>
      <c r="Z379" s="1"/>
      <c r="AA379" s="1"/>
      <c r="AB379" s="1"/>
      <c r="AC379" s="1"/>
    </row>
    <row r="380" spans="1:29" x14ac:dyDescent="0.3">
      <c r="A380" s="1">
        <f>ROW(CantoralDB[[#This Row],[Título]])-1</f>
        <v>379</v>
      </c>
      <c r="B380" s="1" t="s">
        <v>5593</v>
      </c>
      <c r="C380" s="1"/>
      <c r="J380" s="1"/>
      <c r="M380" s="15" t="s">
        <v>478</v>
      </c>
      <c r="N380" s="1" t="s">
        <v>5498</v>
      </c>
      <c r="O380" s="15">
        <v>1</v>
      </c>
      <c r="P380" s="15">
        <v>1973</v>
      </c>
      <c r="Q380" s="15" t="str" cm="1">
        <f t="array" ref="Q3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0" s="15" t="str" cm="1">
        <f t="array" ref="R3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canciones/carmelo_erdozain/creo_que_cristo_vive.html</v>
      </c>
      <c r="T380" s="1"/>
      <c r="U380" s="1"/>
      <c r="V380" s="32" t="s">
        <v>5818</v>
      </c>
      <c r="W3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href="canciones/carmelo_erdozain/creo_que_cristo_vive.html"&gt;Creo que Cristo vive&lt;/a&gt;&lt;/li&gt;</v>
      </c>
      <c r="X380" s="15" t="str">
        <f>_xlfn.TEXTBEFORE(_xlfn.TEXTAFTER(CantoralDB[[#This Row],[index.html]],"&gt;"),"&gt;")&amp;"&gt;"</f>
        <v>&lt;a href="canciones/carmelo_erdozain/creo_que_cristo_vive.html"&gt;</v>
      </c>
      <c r="Y380"/>
      <c r="Z380" s="1"/>
      <c r="AA380" s="1"/>
      <c r="AB380" s="1"/>
      <c r="AC380" s="1"/>
    </row>
    <row r="381" spans="1:29" x14ac:dyDescent="0.3">
      <c r="A381" s="1">
        <f>ROW(CantoralDB[[#This Row],[Título]])-1</f>
        <v>380</v>
      </c>
      <c r="B381" s="1" t="s">
        <v>5525</v>
      </c>
      <c r="C381" s="1"/>
      <c r="J381" s="1"/>
      <c r="M381" s="15" t="s">
        <v>478</v>
      </c>
      <c r="N381" s="1" t="s">
        <v>5498</v>
      </c>
      <c r="O381" s="15">
        <v>2</v>
      </c>
      <c r="P381" s="15">
        <v>1973</v>
      </c>
      <c r="Q381" s="15" t="str" cm="1">
        <f t="array" ref="Q3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1" s="15" t="str" cm="1">
        <f t="array" ref="R3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canciones/carmelo_erdozain/cultivare_mi_alma_en_la_fe.html</v>
      </c>
      <c r="T381" s="1"/>
      <c r="U381" s="1"/>
      <c r="V381" s="32" t="s">
        <v>5819</v>
      </c>
      <c r="W3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href="canciones/carmelo_erdozain/cultivare_mi_alma_en_la_fe.html"&gt;Cultivaré mi alma en la fe&lt;/a&gt;&lt;/li&gt;</v>
      </c>
      <c r="X381" s="15" t="str">
        <f>_xlfn.TEXTBEFORE(_xlfn.TEXTAFTER(CantoralDB[[#This Row],[index.html]],"&gt;"),"&gt;")&amp;"&gt;"</f>
        <v>&lt;a href="canciones/carmelo_erdozain/cultivare_mi_alma_en_la_fe.html"&gt;</v>
      </c>
      <c r="Y381"/>
      <c r="Z381" s="1"/>
      <c r="AA381" s="1"/>
      <c r="AB381" s="1"/>
      <c r="AC381" s="1"/>
    </row>
    <row r="382" spans="1:29" x14ac:dyDescent="0.3">
      <c r="A382" s="1">
        <f>ROW(CantoralDB[[#This Row],[Título]])-1</f>
        <v>381</v>
      </c>
      <c r="B382" s="1" t="s">
        <v>5526</v>
      </c>
      <c r="C382" s="1"/>
      <c r="J382" s="1"/>
      <c r="M382" s="15" t="s">
        <v>478</v>
      </c>
      <c r="N382" s="1" t="s">
        <v>5498</v>
      </c>
      <c r="O382" s="15">
        <v>3</v>
      </c>
      <c r="P382" s="15">
        <v>1973</v>
      </c>
      <c r="Q382" s="15" t="str" cm="1">
        <f t="array" ref="Q3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2" s="15" t="str" cm="1">
        <f t="array" ref="R3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canciones/carmelo_erdozain/dichosos_los_pobres_de_espiritu.html</v>
      </c>
      <c r="T382" s="1"/>
      <c r="U382" s="1"/>
      <c r="V382" s="32" t="s">
        <v>5820</v>
      </c>
      <c r="W3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href="canciones/carmelo_erdozain/dichosos_los_pobres_de_espiritu.html"&gt;Dichosos los pobres de espíritu&lt;/a&gt;&lt;/li&gt;</v>
      </c>
      <c r="X382" s="15" t="str">
        <f>_xlfn.TEXTBEFORE(_xlfn.TEXTAFTER(CantoralDB[[#This Row],[index.html]],"&gt;"),"&gt;")&amp;"&gt;"</f>
        <v>&lt;a href="canciones/carmelo_erdozain/dichosos_los_pobres_de_espiritu.html"&gt;</v>
      </c>
      <c r="Y382"/>
      <c r="Z382" s="1"/>
      <c r="AA382" s="1"/>
      <c r="AB382" s="1"/>
      <c r="AC382" s="1"/>
    </row>
    <row r="383" spans="1:29" x14ac:dyDescent="0.3">
      <c r="A383" s="1">
        <f>ROW(CantoralDB[[#This Row],[Título]])-1</f>
        <v>382</v>
      </c>
      <c r="B383" s="1" t="s">
        <v>5527</v>
      </c>
      <c r="C383" s="1"/>
      <c r="J383" s="1"/>
      <c r="M383" s="15" t="s">
        <v>478</v>
      </c>
      <c r="N383" s="1" t="s">
        <v>5498</v>
      </c>
      <c r="O383" s="15">
        <v>4</v>
      </c>
      <c r="P383" s="15">
        <v>1973</v>
      </c>
      <c r="Q383" s="15" t="str" cm="1">
        <f t="array" ref="Q3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3" s="15" t="str" cm="1">
        <f t="array" ref="R3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canciones/carmelo_erdozain/en_oracion_venimos_hoy.html</v>
      </c>
      <c r="T383" s="1"/>
      <c r="U383" s="1"/>
      <c r="V383" s="32" t="s">
        <v>5821</v>
      </c>
      <c r="W3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href="canciones/carmelo_erdozain/en_oracion_venimos_hoy.html"&gt;En oración venimos hoy&lt;/a&gt;&lt;/li&gt;</v>
      </c>
      <c r="X383" s="15" t="str">
        <f>_xlfn.TEXTBEFORE(_xlfn.TEXTAFTER(CantoralDB[[#This Row],[index.html]],"&gt;"),"&gt;")&amp;"&gt;"</f>
        <v>&lt;a href="canciones/carmelo_erdozain/en_oracion_venimos_hoy.html"&gt;</v>
      </c>
      <c r="Y383"/>
      <c r="Z383" s="1"/>
      <c r="AA383" s="1"/>
      <c r="AB383" s="1"/>
      <c r="AC383" s="1"/>
    </row>
    <row r="384" spans="1:29" x14ac:dyDescent="0.3">
      <c r="A384" s="1">
        <f>ROW(CantoralDB[[#This Row],[Título]])-1</f>
        <v>383</v>
      </c>
      <c r="B384" s="1" t="s">
        <v>5528</v>
      </c>
      <c r="C384" s="1"/>
      <c r="J384" s="1"/>
      <c r="M384" s="15" t="s">
        <v>478</v>
      </c>
      <c r="N384" s="1" t="s">
        <v>5498</v>
      </c>
      <c r="O384" s="15">
        <v>5</v>
      </c>
      <c r="P384" s="15">
        <v>1973</v>
      </c>
      <c r="Q384" s="15" t="str" cm="1">
        <f t="array" ref="Q3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4" s="15" t="str" cm="1">
        <f t="array" ref="R3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canciones/carmelo_erdozain/fiesta_del_banquete.html</v>
      </c>
      <c r="T384" s="1"/>
      <c r="U384" s="1"/>
      <c r="V384" s="32" t="s">
        <v>5822</v>
      </c>
      <c r="W3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href="canciones/carmelo_erdozain/fiesta_del_banquete.html"&gt;Fiesta del banquete&lt;/a&gt;&lt;/li&gt;</v>
      </c>
      <c r="X384" s="15" t="str">
        <f>_xlfn.TEXTBEFORE(_xlfn.TEXTAFTER(CantoralDB[[#This Row],[index.html]],"&gt;"),"&gt;")&amp;"&gt;"</f>
        <v>&lt;a href="canciones/carmelo_erdozain/fiesta_del_banquete.html"&gt;</v>
      </c>
      <c r="Y384"/>
      <c r="Z384" s="1"/>
      <c r="AA384" s="1"/>
      <c r="AB384" s="1"/>
      <c r="AC384" s="1"/>
    </row>
    <row r="385" spans="1:29" x14ac:dyDescent="0.3">
      <c r="A385" s="1">
        <f>ROW(CantoralDB[[#This Row],[Título]])-1</f>
        <v>384</v>
      </c>
      <c r="B385" s="1" t="s">
        <v>5529</v>
      </c>
      <c r="C385" s="1"/>
      <c r="J385" s="1"/>
      <c r="M385" s="15" t="s">
        <v>478</v>
      </c>
      <c r="N385" s="1" t="s">
        <v>5498</v>
      </c>
      <c r="O385" s="15">
        <v>6</v>
      </c>
      <c r="P385" s="15">
        <v>1973</v>
      </c>
      <c r="Q385" s="15" t="str" cm="1">
        <f t="array" ref="Q3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5" s="15" t="str" cm="1">
        <f t="array" ref="R3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canciones/carmelo_erdozain/fuente_bautismal.html</v>
      </c>
      <c r="T385" s="1"/>
      <c r="U385" s="1"/>
      <c r="V385" s="32" t="s">
        <v>5823</v>
      </c>
      <c r="W3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href="canciones/carmelo_erdozain/fuente_bautismal.html"&gt;Fuente bautismal&lt;/a&gt;&lt;/li&gt;</v>
      </c>
      <c r="X385" s="15" t="str">
        <f>_xlfn.TEXTBEFORE(_xlfn.TEXTAFTER(CantoralDB[[#This Row],[index.html]],"&gt;"),"&gt;")&amp;"&gt;"</f>
        <v>&lt;a href="canciones/carmelo_erdozain/fuente_bautismal.html"&gt;</v>
      </c>
      <c r="Y385"/>
      <c r="Z385" s="1"/>
      <c r="AA385" s="1"/>
      <c r="AB385" s="1"/>
      <c r="AC385" s="1"/>
    </row>
    <row r="386" spans="1:29" x14ac:dyDescent="0.3">
      <c r="A386" s="1">
        <f>ROW(CantoralDB[[#This Row],[Título]])-1</f>
        <v>385</v>
      </c>
      <c r="B386" s="1" t="s">
        <v>5530</v>
      </c>
      <c r="C386" s="1"/>
      <c r="J386" s="1"/>
      <c r="M386" s="15" t="s">
        <v>478</v>
      </c>
      <c r="N386" s="1" t="s">
        <v>5498</v>
      </c>
      <c r="O386" s="15">
        <v>7</v>
      </c>
      <c r="P386" s="15">
        <v>1973</v>
      </c>
      <c r="Q386" s="15" t="str" cm="1">
        <f t="array" ref="Q3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6" s="15" t="str" cm="1">
        <f t="array" ref="R3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canciones/carmelo_erdozain/iglesia_santa_abre_tus_brazos.html</v>
      </c>
      <c r="T386" s="1"/>
      <c r="U386" s="1"/>
      <c r="V386" s="32" t="s">
        <v>5824</v>
      </c>
      <c r="W3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href="canciones/carmelo_erdozain/iglesia_santa_abre_tus_brazos.html"&gt;Iglesia santa, abre tus brazos&lt;/a&gt;&lt;/li&gt;</v>
      </c>
      <c r="X386" s="15" t="str">
        <f>_xlfn.TEXTBEFORE(_xlfn.TEXTAFTER(CantoralDB[[#This Row],[index.html]],"&gt;"),"&gt;")&amp;"&gt;"</f>
        <v>&lt;a href="canciones/carmelo_erdozain/iglesia_santa_abre_tus_brazos.html"&gt;</v>
      </c>
      <c r="Y386"/>
      <c r="Z386" s="1"/>
      <c r="AA386" s="1"/>
      <c r="AB386" s="1"/>
      <c r="AC386" s="1"/>
    </row>
    <row r="387" spans="1:29" x14ac:dyDescent="0.3">
      <c r="A387" s="1">
        <f>ROW(CantoralDB[[#This Row],[Título]])-1</f>
        <v>386</v>
      </c>
      <c r="B387" s="1" t="s">
        <v>5531</v>
      </c>
      <c r="C387" s="1"/>
      <c r="J387" s="1"/>
      <c r="M387" s="15" t="s">
        <v>478</v>
      </c>
      <c r="N387" s="1" t="s">
        <v>5498</v>
      </c>
      <c r="O387" s="15">
        <v>8</v>
      </c>
      <c r="P387" s="15">
        <v>1973</v>
      </c>
      <c r="Q387" s="15" t="str" cm="1">
        <f t="array" ref="Q3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7" s="15" t="str" cm="1">
        <f t="array" ref="R3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canciones/carmelo_erdozain/juntos_marchamos_a_ti.html</v>
      </c>
      <c r="T387" s="1"/>
      <c r="U387" s="1"/>
      <c r="V387" s="32" t="s">
        <v>5825</v>
      </c>
      <c r="W3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href="canciones/carmelo_erdozain/juntos_marchamos_a_ti.html"&gt;Juntos marchamos a ti&lt;/a&gt;&lt;/li&gt;</v>
      </c>
      <c r="X387" s="15" t="str">
        <f>_xlfn.TEXTBEFORE(_xlfn.TEXTAFTER(CantoralDB[[#This Row],[index.html]],"&gt;"),"&gt;")&amp;"&gt;"</f>
        <v>&lt;a href="canciones/carmelo_erdozain/juntos_marchamos_a_ti.html"&gt;</v>
      </c>
      <c r="Y387"/>
      <c r="Z387" s="1"/>
      <c r="AA387" s="1"/>
      <c r="AB387" s="1"/>
      <c r="AC387" s="1"/>
    </row>
    <row r="388" spans="1:29" x14ac:dyDescent="0.3">
      <c r="A388" s="1">
        <f>ROW(CantoralDB[[#This Row],[Título]])-1</f>
        <v>387</v>
      </c>
      <c r="B388" s="1" t="s">
        <v>5532</v>
      </c>
      <c r="C388" s="1"/>
      <c r="J388" s="1"/>
      <c r="M388" s="15" t="s">
        <v>478</v>
      </c>
      <c r="N388" s="1" t="s">
        <v>5498</v>
      </c>
      <c r="O388" s="15">
        <v>9</v>
      </c>
      <c r="P388" s="15">
        <v>1973</v>
      </c>
      <c r="Q388" s="15" t="str" cm="1">
        <f t="array" ref="Q3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8" s="15" t="str" cm="1">
        <f t="array" ref="R3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canciones/carmelo_erdozain/pedro_pablo_juan_y_andres.html</v>
      </c>
      <c r="T388" s="1"/>
      <c r="U388" s="1"/>
      <c r="V388" s="32" t="s">
        <v>5826</v>
      </c>
      <c r="W3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href="canciones/carmelo_erdozain/pedro_pablo_juan_y_andres.html"&gt;Pedro, Pablo, Juan y Andrés&lt;/a&gt;&lt;/li&gt;</v>
      </c>
      <c r="X388" s="15" t="str">
        <f>_xlfn.TEXTBEFORE(_xlfn.TEXTAFTER(CantoralDB[[#This Row],[index.html]],"&gt;"),"&gt;")&amp;"&gt;"</f>
        <v>&lt;a href="canciones/carmelo_erdozain/pedro_pablo_juan_y_andres.html"&gt;</v>
      </c>
      <c r="Y388"/>
      <c r="Z388" s="1"/>
      <c r="AA388" s="1"/>
      <c r="AB388" s="1"/>
      <c r="AC388" s="1"/>
    </row>
    <row r="389" spans="1:29" x14ac:dyDescent="0.3">
      <c r="A389" s="1">
        <f>ROW(CantoralDB[[#This Row],[Título]])-1</f>
        <v>388</v>
      </c>
      <c r="B389" s="1" t="s">
        <v>5533</v>
      </c>
      <c r="C389" s="1"/>
      <c r="J389" s="1"/>
      <c r="M389" s="15" t="s">
        <v>478</v>
      </c>
      <c r="N389" s="1" t="s">
        <v>5498</v>
      </c>
      <c r="O389" s="15">
        <v>10</v>
      </c>
      <c r="P389" s="15">
        <v>1973</v>
      </c>
      <c r="Q389" s="15" t="str" cm="1">
        <f t="array" ref="Q3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89" s="15" t="str" cm="1">
        <f t="array" ref="R3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canciones/carmelo_erdozain/si_vivimos_vivimos_para_el.html</v>
      </c>
      <c r="T389" s="1"/>
      <c r="U389" s="1"/>
      <c r="V389" s="32" t="s">
        <v>5827</v>
      </c>
      <c r="W3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href="canciones/carmelo_erdozain/si_vivimos_vivimos_para_el.html"&gt;Si vivimos, vivimos para Él&lt;/a&gt;&lt;/li&gt;</v>
      </c>
      <c r="X389" s="15" t="str">
        <f>_xlfn.TEXTBEFORE(_xlfn.TEXTAFTER(CantoralDB[[#This Row],[index.html]],"&gt;"),"&gt;")&amp;"&gt;"</f>
        <v>&lt;a href="canciones/carmelo_erdozain/si_vivimos_vivimos_para_el.html"&gt;</v>
      </c>
      <c r="Y389"/>
      <c r="Z389" s="1"/>
      <c r="AA389" s="1"/>
      <c r="AB389" s="1"/>
      <c r="AC389" s="1"/>
    </row>
    <row r="390" spans="1:29" x14ac:dyDescent="0.3">
      <c r="A390" s="1">
        <f>ROW(CantoralDB[[#This Row],[Título]])-1</f>
        <v>389</v>
      </c>
      <c r="B390" s="1" t="s">
        <v>5534</v>
      </c>
      <c r="C390" s="1"/>
      <c r="J390" s="1"/>
      <c r="M390" s="15" t="s">
        <v>478</v>
      </c>
      <c r="N390" s="1" t="s">
        <v>5498</v>
      </c>
      <c r="O390" s="15">
        <v>11</v>
      </c>
      <c r="P390" s="15">
        <v>1973</v>
      </c>
      <c r="Q390" s="15" t="str" cm="1">
        <f t="array" ref="Q3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0" s="15" t="str" cm="1">
        <f t="array" ref="R3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canciones/carmelo_erdozain/ten_piedad_señor.html</v>
      </c>
      <c r="T390" s="1"/>
      <c r="U390" s="1"/>
      <c r="V390" s="32" t="s">
        <v>5828</v>
      </c>
      <c r="W3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href="canciones/carmelo_erdozain/ten_piedad_señor.html"&gt;Ten piedad, Señor&lt;/a&gt;&lt;/li&gt;</v>
      </c>
      <c r="X390" s="15" t="str">
        <f>_xlfn.TEXTBEFORE(_xlfn.TEXTAFTER(CantoralDB[[#This Row],[index.html]],"&gt;"),"&gt;")&amp;"&gt;"</f>
        <v>&lt;a href="canciones/carmelo_erdozain/ten_piedad_señor.html"&gt;</v>
      </c>
      <c r="Y390"/>
      <c r="Z390" s="1"/>
      <c r="AA390" s="1"/>
      <c r="AB390" s="1"/>
      <c r="AC390" s="1"/>
    </row>
    <row r="391" spans="1:29" x14ac:dyDescent="0.3">
      <c r="A391" s="1">
        <f>ROW(CantoralDB[[#This Row],[Título]])-1</f>
        <v>390</v>
      </c>
      <c r="B391" s="1" t="s">
        <v>177</v>
      </c>
      <c r="C391" s="1"/>
      <c r="J391" s="1"/>
      <c r="M391" s="15" t="s">
        <v>478</v>
      </c>
      <c r="N391" s="1" t="s">
        <v>5535</v>
      </c>
      <c r="O391" s="15">
        <v>1</v>
      </c>
      <c r="P391" s="15">
        <v>1991</v>
      </c>
      <c r="Q391" s="15" t="str" cm="1">
        <f t="array" ref="Q3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1" s="15" t="str" cm="1">
        <f t="array" ref="R3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canciones/carmelo_erdozain/dios_es_amor.html</v>
      </c>
      <c r="T391" s="1"/>
      <c r="U391" s="1"/>
      <c r="V391" s="32" t="s">
        <v>5708</v>
      </c>
      <c r="W3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href="canciones/carmelo_erdozain/dios_es_amor.html"&gt;Dios es amor&lt;/a&gt;&lt;/li&gt;</v>
      </c>
      <c r="X391" s="15" t="str">
        <f>_xlfn.TEXTBEFORE(_xlfn.TEXTAFTER(CantoralDB[[#This Row],[index.html]],"&gt;"),"&gt;")&amp;"&gt;"</f>
        <v>&lt;a href="canciones/carmelo_erdozain/dios_es_amor.html"&gt;</v>
      </c>
      <c r="Y391"/>
      <c r="Z391" s="1"/>
      <c r="AA391" s="1"/>
      <c r="AB391" s="1"/>
      <c r="AC391" s="1"/>
    </row>
    <row r="392" spans="1:29" x14ac:dyDescent="0.3">
      <c r="A392" s="1">
        <f>ROW(CantoralDB[[#This Row],[Título]])-1</f>
        <v>391</v>
      </c>
      <c r="B392" s="1" t="s">
        <v>5536</v>
      </c>
      <c r="C392" s="1"/>
      <c r="J392" s="1"/>
      <c r="M392" s="15" t="s">
        <v>478</v>
      </c>
      <c r="N392" s="1" t="s">
        <v>5535</v>
      </c>
      <c r="O392" s="15">
        <v>2</v>
      </c>
      <c r="P392" s="15">
        <v>1991</v>
      </c>
      <c r="Q392" s="15" t="str" cm="1">
        <f t="array" ref="Q3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2" s="15" t="str" cm="1">
        <f t="array" ref="R3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canciones/carmelo_erdozain/cristo_es_el_camino.html</v>
      </c>
      <c r="T392" s="1"/>
      <c r="U392" s="1"/>
      <c r="V392" s="32" t="s">
        <v>5709</v>
      </c>
      <c r="W3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href="canciones/carmelo_erdozain/cristo_es_el_camino.html"&gt;Cristo es el camino&lt;/a&gt;&lt;/li&gt;</v>
      </c>
      <c r="X392" s="15" t="str">
        <f>_xlfn.TEXTBEFORE(_xlfn.TEXTAFTER(CantoralDB[[#This Row],[index.html]],"&gt;"),"&gt;")&amp;"&gt;"</f>
        <v>&lt;a href="canciones/carmelo_erdozain/cristo_es_el_camino.html"&gt;</v>
      </c>
      <c r="Y392"/>
      <c r="Z392" s="1"/>
      <c r="AA392" s="1"/>
      <c r="AB392" s="1"/>
      <c r="AC392" s="1"/>
    </row>
    <row r="393" spans="1:29" x14ac:dyDescent="0.3">
      <c r="A393" s="1">
        <f>ROW(CantoralDB[[#This Row],[Título]])-1</f>
        <v>392</v>
      </c>
      <c r="B393" s="1" t="s">
        <v>5537</v>
      </c>
      <c r="C393" s="1"/>
      <c r="J393" s="1"/>
      <c r="M393" s="15" t="s">
        <v>478</v>
      </c>
      <c r="N393" s="1" t="s">
        <v>5535</v>
      </c>
      <c r="O393" s="15">
        <v>3</v>
      </c>
      <c r="P393" s="15">
        <v>1991</v>
      </c>
      <c r="Q393" s="15" t="str" cm="1">
        <f t="array" ref="Q3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3" s="15" t="str" cm="1">
        <f t="array" ref="R3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canciones/carmelo_erdozain/venid_aclamemos.html</v>
      </c>
      <c r="T393" s="1"/>
      <c r="U393" s="1"/>
      <c r="V393" s="32" t="s">
        <v>5710</v>
      </c>
      <c r="W3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href="canciones/carmelo_erdozain/venid_aclamemos.html"&gt;Venid, aclamemos&lt;/a&gt;&lt;/li&gt;</v>
      </c>
      <c r="X393" s="15" t="str">
        <f>_xlfn.TEXTBEFORE(_xlfn.TEXTAFTER(CantoralDB[[#This Row],[index.html]],"&gt;"),"&gt;")&amp;"&gt;"</f>
        <v>&lt;a href="canciones/carmelo_erdozain/venid_aclamemos.html"&gt;</v>
      </c>
      <c r="Y393"/>
      <c r="Z393" s="1"/>
      <c r="AA393" s="1"/>
      <c r="AB393" s="1"/>
      <c r="AC393" s="1"/>
    </row>
    <row r="394" spans="1:29" x14ac:dyDescent="0.3">
      <c r="A394" s="1">
        <f>ROW(CantoralDB[[#This Row],[Título]])-1</f>
        <v>393</v>
      </c>
      <c r="B394" s="1" t="s">
        <v>133</v>
      </c>
      <c r="C394" s="1"/>
      <c r="J394" s="1"/>
      <c r="M394" s="15" t="s">
        <v>478</v>
      </c>
      <c r="N394" s="1" t="s">
        <v>5535</v>
      </c>
      <c r="O394" s="15">
        <v>4</v>
      </c>
      <c r="P394" s="15">
        <v>1991</v>
      </c>
      <c r="Q394" s="15" t="str" cm="1">
        <f t="array" ref="Q3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4" s="15" t="str" cm="1">
        <f t="array" ref="R3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canciones/carmelo_erdozain/señor_ten_piedad.html</v>
      </c>
      <c r="T394" s="1"/>
      <c r="U394" s="1"/>
      <c r="V394" s="32" t="s">
        <v>5711</v>
      </c>
      <c r="W3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href="canciones/carmelo_erdozain/señor_ten_piedad.html"&gt;Señor, ten piedad&lt;/a&gt;&lt;/li&gt;</v>
      </c>
      <c r="X394" s="15" t="str">
        <f>_xlfn.TEXTBEFORE(_xlfn.TEXTAFTER(CantoralDB[[#This Row],[index.html]],"&gt;"),"&gt;")&amp;"&gt;"</f>
        <v>&lt;a href="canciones/carmelo_erdozain/señor_ten_piedad.html"&gt;</v>
      </c>
      <c r="Y394"/>
      <c r="Z394" s="1"/>
      <c r="AA394" s="1"/>
      <c r="AB394" s="1"/>
      <c r="AC394" s="1"/>
    </row>
    <row r="395" spans="1:29" x14ac:dyDescent="0.3">
      <c r="A395" s="1">
        <f>ROW(CantoralDB[[#This Row],[Título]])-1</f>
        <v>394</v>
      </c>
      <c r="B395" s="1" t="s">
        <v>5661</v>
      </c>
      <c r="C395" s="1"/>
      <c r="J395" s="1"/>
      <c r="M395" s="15" t="s">
        <v>478</v>
      </c>
      <c r="N395" s="1" t="s">
        <v>5535</v>
      </c>
      <c r="O395" s="15">
        <v>5</v>
      </c>
      <c r="P395" s="15">
        <v>1991</v>
      </c>
      <c r="Q395" s="15" t="str" cm="1">
        <f t="array" ref="Q3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5" s="15" t="str" cm="1">
        <f t="array" ref="R3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canciones/carmelo_erdozain/aleluya_(iv).html</v>
      </c>
      <c r="T395" s="1"/>
      <c r="U395" s="1"/>
      <c r="V395" s="32" t="s">
        <v>5712</v>
      </c>
      <c r="W3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href="canciones/carmelo_erdozain/aleluya_(iv).html"&gt;Aleluya (IV)&lt;/a&gt;&lt;/li&gt;</v>
      </c>
      <c r="X395" s="15" t="str">
        <f>_xlfn.TEXTBEFORE(_xlfn.TEXTAFTER(CantoralDB[[#This Row],[index.html]],"&gt;"),"&gt;")&amp;"&gt;"</f>
        <v>&lt;a href="canciones/carmelo_erdozain/aleluya_(iv).html"&gt;</v>
      </c>
      <c r="Y395"/>
      <c r="Z395" s="1"/>
      <c r="AA395" s="1"/>
      <c r="AB395" s="1"/>
      <c r="AC395" s="1"/>
    </row>
    <row r="396" spans="1:29" x14ac:dyDescent="0.3">
      <c r="A396" s="1">
        <f>ROW(CantoralDB[[#This Row],[Título]])-1</f>
        <v>395</v>
      </c>
      <c r="B396" s="1" t="s">
        <v>5538</v>
      </c>
      <c r="C396" s="1"/>
      <c r="J396" s="1"/>
      <c r="M396" s="15" t="s">
        <v>478</v>
      </c>
      <c r="N396" s="1" t="s">
        <v>5535</v>
      </c>
      <c r="O396" s="15">
        <v>6</v>
      </c>
      <c r="P396" s="15">
        <v>1991</v>
      </c>
      <c r="Q396" s="15" t="str" cm="1">
        <f t="array" ref="Q3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6" s="15" t="str" cm="1">
        <f t="array" ref="R3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canciones/carmelo_erdozain/estrella_y_flor.html</v>
      </c>
      <c r="T396" s="1"/>
      <c r="U396" s="1"/>
      <c r="V396" s="32" t="s">
        <v>5713</v>
      </c>
      <c r="W3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href="canciones/carmelo_erdozain/estrella_y_flor.html"&gt;Estrella y flor&lt;/a&gt;&lt;/li&gt;</v>
      </c>
      <c r="X396" s="15" t="str">
        <f>_xlfn.TEXTBEFORE(_xlfn.TEXTAFTER(CantoralDB[[#This Row],[index.html]],"&gt;"),"&gt;")&amp;"&gt;"</f>
        <v>&lt;a href="canciones/carmelo_erdozain/estrella_y_flor.html"&gt;</v>
      </c>
      <c r="Y396"/>
      <c r="Z396" s="1"/>
      <c r="AA396" s="1"/>
      <c r="AB396" s="1"/>
      <c r="AC396" s="1"/>
    </row>
    <row r="397" spans="1:29" x14ac:dyDescent="0.3">
      <c r="A397" s="1">
        <f>ROW(CantoralDB[[#This Row],[Título]])-1</f>
        <v>396</v>
      </c>
      <c r="B397" s="1" t="s">
        <v>5539</v>
      </c>
      <c r="C397" s="1"/>
      <c r="J397" s="1"/>
      <c r="M397" s="15" t="s">
        <v>478</v>
      </c>
      <c r="N397" s="1" t="s">
        <v>5535</v>
      </c>
      <c r="O397" s="15">
        <v>7</v>
      </c>
      <c r="P397" s="15">
        <v>1991</v>
      </c>
      <c r="Q397" s="15" t="str" cm="1">
        <f t="array" ref="Q3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7" s="15" t="str" cm="1">
        <f t="array" ref="R3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canciones/carmelo_erdozain/pan_sabroso.html</v>
      </c>
      <c r="T397" s="1"/>
      <c r="U397" s="1"/>
      <c r="V397" s="32" t="s">
        <v>5714</v>
      </c>
      <c r="W3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href="canciones/carmelo_erdozain/pan_sabroso.html"&gt;Pan sabroso&lt;/a&gt;&lt;/li&gt;</v>
      </c>
      <c r="X397" s="15" t="str">
        <f>_xlfn.TEXTBEFORE(_xlfn.TEXTAFTER(CantoralDB[[#This Row],[index.html]],"&gt;"),"&gt;")&amp;"&gt;"</f>
        <v>&lt;a href="canciones/carmelo_erdozain/pan_sabroso.html"&gt;</v>
      </c>
      <c r="Y397"/>
      <c r="Z397" s="1"/>
      <c r="AA397" s="1"/>
      <c r="AB397" s="1"/>
      <c r="AC397" s="1"/>
    </row>
    <row r="398" spans="1:29" x14ac:dyDescent="0.3">
      <c r="A398" s="1">
        <f>ROW(CantoralDB[[#This Row],[Título]])-1</f>
        <v>397</v>
      </c>
      <c r="B398" s="1" t="s">
        <v>5134</v>
      </c>
      <c r="C398" s="1"/>
      <c r="J398" s="1"/>
      <c r="M398" s="15" t="s">
        <v>478</v>
      </c>
      <c r="N398" s="1" t="s">
        <v>5535</v>
      </c>
      <c r="O398" s="15">
        <v>8</v>
      </c>
      <c r="P398" s="15">
        <v>1991</v>
      </c>
      <c r="Q398" s="15" t="str" cm="1">
        <f t="array" ref="Q3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8" s="15" t="str" cm="1">
        <f t="array" ref="R3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canciones/carmelo_erdozain/santo_(ii).html</v>
      </c>
      <c r="T398" s="1"/>
      <c r="U398" s="1"/>
      <c r="V398" s="32" t="s">
        <v>5715</v>
      </c>
      <c r="W3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href="canciones/carmelo_erdozain/santo_(ii).html"&gt;Santo (II)&lt;/a&gt;&lt;/li&gt;</v>
      </c>
      <c r="X398" s="15" t="str">
        <f>_xlfn.TEXTBEFORE(_xlfn.TEXTAFTER(CantoralDB[[#This Row],[index.html]],"&gt;"),"&gt;")&amp;"&gt;"</f>
        <v>&lt;a href="canciones/carmelo_erdozain/santo_(ii).html"&gt;</v>
      </c>
      <c r="Y398"/>
      <c r="Z398" s="1"/>
      <c r="AA398" s="1"/>
      <c r="AB398" s="1"/>
      <c r="AC398" s="1"/>
    </row>
    <row r="399" spans="1:29" x14ac:dyDescent="0.3">
      <c r="A399" s="1">
        <f>ROW(CantoralDB[[#This Row],[Título]])-1</f>
        <v>398</v>
      </c>
      <c r="B399" s="1" t="s">
        <v>5843</v>
      </c>
      <c r="C399" s="1"/>
      <c r="J399" s="1"/>
      <c r="M399" s="15" t="s">
        <v>478</v>
      </c>
      <c r="N399" s="1" t="s">
        <v>5535</v>
      </c>
      <c r="O399" s="15">
        <v>9</v>
      </c>
      <c r="P399" s="15">
        <v>1991</v>
      </c>
      <c r="Q399" s="15" t="str" cm="1">
        <f t="array" ref="Q3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399" s="15" t="str" cm="1">
        <f t="array" ref="R3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3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canciones/carmelo_erdozain/padre_nuestro_(i).html</v>
      </c>
      <c r="T399" s="1"/>
      <c r="U399" s="1"/>
      <c r="V399" s="32" t="s">
        <v>5716</v>
      </c>
      <c r="W3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href="canciones/carmelo_erdozain/padre_nuestro_(i).html"&gt;Padre nuestro (I)&lt;/a&gt;&lt;/li&gt;</v>
      </c>
      <c r="X399" s="15" t="str">
        <f>_xlfn.TEXTBEFORE(_xlfn.TEXTAFTER(CantoralDB[[#This Row],[index.html]],"&gt;"),"&gt;")&amp;"&gt;"</f>
        <v>&lt;a href="canciones/carmelo_erdozain/padre_nuestro_(i).html"&gt;</v>
      </c>
      <c r="Y399"/>
      <c r="Z399" s="1"/>
      <c r="AA399" s="1"/>
      <c r="AB399" s="1"/>
      <c r="AC399" s="1"/>
    </row>
    <row r="400" spans="1:29" x14ac:dyDescent="0.3">
      <c r="A400" s="1">
        <f>ROW(CantoralDB[[#This Row],[Título]])-1</f>
        <v>399</v>
      </c>
      <c r="B400" s="1" t="s">
        <v>5540</v>
      </c>
      <c r="C400" s="1"/>
      <c r="J400" s="1"/>
      <c r="M400" s="15" t="s">
        <v>478</v>
      </c>
      <c r="N400" s="1" t="s">
        <v>5535</v>
      </c>
      <c r="O400" s="15">
        <v>10</v>
      </c>
      <c r="P400" s="15">
        <v>1991</v>
      </c>
      <c r="Q400" s="15" t="str" cm="1">
        <f t="array" ref="Q4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0" s="15" t="str" cm="1">
        <f t="array" ref="R4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canciones/carmelo_erdozain/el_señor_nos_invita.html</v>
      </c>
      <c r="T400" s="1"/>
      <c r="U400" s="1"/>
      <c r="V400" s="32" t="s">
        <v>5717</v>
      </c>
      <c r="W4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href="canciones/carmelo_erdozain/el_señor_nos_invita.html"&gt;El señor nos invita&lt;/a&gt;&lt;/li&gt;</v>
      </c>
      <c r="X400" s="15" t="str">
        <f>_xlfn.TEXTBEFORE(_xlfn.TEXTAFTER(CantoralDB[[#This Row],[index.html]],"&gt;"),"&gt;")&amp;"&gt;"</f>
        <v>&lt;a href="canciones/carmelo_erdozain/el_señor_nos_invita.html"&gt;</v>
      </c>
      <c r="Y400"/>
      <c r="Z400" s="1"/>
      <c r="AA400" s="1"/>
      <c r="AB400" s="1"/>
      <c r="AC400" s="1"/>
    </row>
    <row r="401" spans="1:29" x14ac:dyDescent="0.3">
      <c r="A401" s="1">
        <f>ROW(CantoralDB[[#This Row],[Título]])-1</f>
        <v>400</v>
      </c>
      <c r="B401" s="1" t="s">
        <v>5511</v>
      </c>
      <c r="C401" s="1"/>
      <c r="J401" s="1"/>
      <c r="M401" s="15" t="s">
        <v>478</v>
      </c>
      <c r="N401" s="1" t="s">
        <v>5535</v>
      </c>
      <c r="O401" s="15">
        <v>11</v>
      </c>
      <c r="P401" s="15">
        <v>1991</v>
      </c>
      <c r="Q401" s="15" t="str" cm="1">
        <f t="array" ref="Q4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1" s="15" t="str" cm="1">
        <f t="array" ref="R4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canciones/carmelo_erdozain/se_levanta_la_mañana.html</v>
      </c>
      <c r="T401" s="1"/>
      <c r="U401" s="1"/>
      <c r="V401" s="32" t="s">
        <v>5718</v>
      </c>
      <c r="W4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href="canciones/carmelo_erdozain/se_levanta_la_mañana.html"&gt;Se levanta la mañana&lt;/a&gt;&lt;/li&gt;</v>
      </c>
      <c r="X401" s="15" t="str">
        <f>_xlfn.TEXTBEFORE(_xlfn.TEXTAFTER(CantoralDB[[#This Row],[index.html]],"&gt;"),"&gt;")&amp;"&gt;"</f>
        <v>&lt;a href="canciones/carmelo_erdozain/se_levanta_la_mañana.html"&gt;</v>
      </c>
      <c r="Y401"/>
      <c r="Z401" s="1"/>
      <c r="AA401" s="1"/>
      <c r="AB401" s="1"/>
      <c r="AC401" s="1"/>
    </row>
    <row r="402" spans="1:29" x14ac:dyDescent="0.3">
      <c r="A402" s="1">
        <f>ROW(CantoralDB[[#This Row],[Título]])-1</f>
        <v>401</v>
      </c>
      <c r="B402" s="1" t="s">
        <v>5541</v>
      </c>
      <c r="C402" s="1"/>
      <c r="J402" s="1"/>
      <c r="M402" s="15" t="s">
        <v>478</v>
      </c>
      <c r="N402" s="1" t="s">
        <v>5535</v>
      </c>
      <c r="O402" s="15">
        <v>12</v>
      </c>
      <c r="P402" s="15">
        <v>1991</v>
      </c>
      <c r="Q402" s="15" t="str" cm="1">
        <f t="array" ref="Q4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2" s="15" t="str" cm="1">
        <f t="array" ref="R4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canciones/carmelo_erdozain/cantemos_hoy_el_amor.html</v>
      </c>
      <c r="T402" s="1"/>
      <c r="U402" s="1"/>
      <c r="V402" s="32" t="s">
        <v>5719</v>
      </c>
      <c r="W4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href="canciones/carmelo_erdozain/cantemos_hoy_el_amor.html"&gt;Cantemos hoy el amor&lt;/a&gt;&lt;/li&gt;</v>
      </c>
      <c r="X402" s="15" t="str">
        <f>_xlfn.TEXTBEFORE(_xlfn.TEXTAFTER(CantoralDB[[#This Row],[index.html]],"&gt;"),"&gt;")&amp;"&gt;"</f>
        <v>&lt;a href="canciones/carmelo_erdozain/cantemos_hoy_el_amor.html"&gt;</v>
      </c>
      <c r="Y402"/>
      <c r="Z402" s="1"/>
      <c r="AA402" s="1"/>
      <c r="AB402" s="1"/>
      <c r="AC402" s="1"/>
    </row>
    <row r="403" spans="1:29" x14ac:dyDescent="0.3">
      <c r="A403" s="1">
        <f>ROW(CantoralDB[[#This Row],[Título]])-1</f>
        <v>402</v>
      </c>
      <c r="B403" s="1" t="s">
        <v>77</v>
      </c>
      <c r="C403" s="1" t="s">
        <v>990</v>
      </c>
      <c r="D403" s="1" t="s">
        <v>708</v>
      </c>
      <c r="E403" s="1">
        <v>138</v>
      </c>
      <c r="G403" s="1" t="s">
        <v>208</v>
      </c>
      <c r="H403" s="1" t="s">
        <v>529</v>
      </c>
      <c r="I403" s="1" t="s">
        <v>2947</v>
      </c>
      <c r="J403" s="1" t="s">
        <v>605</v>
      </c>
      <c r="M403" s="15" t="s">
        <v>478</v>
      </c>
      <c r="N403" s="1" t="s">
        <v>5487</v>
      </c>
      <c r="O403" s="15">
        <v>1</v>
      </c>
      <c r="P403" s="15">
        <v>1976</v>
      </c>
      <c r="Q403" s="15" t="str" cm="1">
        <f t="array" ref="Q4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3" s="15" t="str" cm="1">
        <f t="array" ref="R4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canciones/carmelo_erdozain/hoy_vuelvo_de_lejos.html</v>
      </c>
      <c r="T403" s="1" t="s">
        <v>836</v>
      </c>
      <c r="U403" s="1"/>
      <c r="V403" s="32" t="s">
        <v>5720</v>
      </c>
      <c r="W4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data-momento="Comunión" data-nnew="K38" data-nold="138"&gt;&lt;a href="canciones/carmelo_erdozain/hoy_vuelvo_de_lejos.html"&gt;Hoy vuelvo de lejos&lt;/a&gt;&lt;/li&gt;</v>
      </c>
      <c r="X403" s="15" t="str">
        <f>_xlfn.TEXTBEFORE(_xlfn.TEXTAFTER(CantoralDB[[#This Row],[index.html]],"&gt;"),"&gt;")&amp;"&gt;"</f>
        <v>&lt;a href="canciones/carmelo_erdozain/hoy_vuelvo_de_lejos.html"&gt;</v>
      </c>
      <c r="Y403"/>
      <c r="Z403" s="1"/>
      <c r="AA403" s="1"/>
      <c r="AB403" s="1"/>
      <c r="AC403" s="1"/>
    </row>
    <row r="404" spans="1:29" x14ac:dyDescent="0.3">
      <c r="A404" s="1">
        <f>ROW(CantoralDB[[#This Row],[Título]])-1</f>
        <v>403</v>
      </c>
      <c r="B404" s="1" t="s">
        <v>5829</v>
      </c>
      <c r="C404" s="1"/>
      <c r="J404" s="1"/>
      <c r="M404" s="15" t="s">
        <v>478</v>
      </c>
      <c r="N404" s="1" t="s">
        <v>5487</v>
      </c>
      <c r="O404" s="15">
        <v>2</v>
      </c>
      <c r="P404" s="15">
        <v>1976</v>
      </c>
      <c r="Q404" s="15" t="str" cm="1">
        <f t="array" ref="Q4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4" s="15" t="str" cm="1">
        <f t="array" ref="R4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canciones/carmelo_erdozain/cantemos_al_señor_de_tierra_y_cielo.html</v>
      </c>
      <c r="T404" s="1"/>
      <c r="U404" s="1"/>
      <c r="V404" s="32" t="s">
        <v>5830</v>
      </c>
      <c r="W4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href="canciones/carmelo_erdozain/cantemos_al_señor_de_tierra_y_cielo.html"&gt;Cantemos al Señor de tierra y cielo&lt;/a&gt;&lt;/li&gt;</v>
      </c>
      <c r="X404" s="15" t="str">
        <f>_xlfn.TEXTBEFORE(_xlfn.TEXTAFTER(CantoralDB[[#This Row],[index.html]],"&gt;"),"&gt;")&amp;"&gt;"</f>
        <v>&lt;a href="canciones/carmelo_erdozain/cantemos_al_señor_de_tierra_y_cielo.html"&gt;</v>
      </c>
      <c r="Y404"/>
      <c r="Z404" s="1"/>
      <c r="AA404" s="1"/>
      <c r="AB404" s="1"/>
      <c r="AC404" s="1"/>
    </row>
    <row r="405" spans="1:29" x14ac:dyDescent="0.3">
      <c r="A405" s="1">
        <f>ROW(CantoralDB[[#This Row],[Título]])-1</f>
        <v>404</v>
      </c>
      <c r="B405" s="1" t="s">
        <v>5542</v>
      </c>
      <c r="C405" s="1"/>
      <c r="J405" s="1"/>
      <c r="M405" s="15" t="s">
        <v>478</v>
      </c>
      <c r="N405" s="1" t="s">
        <v>5487</v>
      </c>
      <c r="O405" s="15">
        <v>3</v>
      </c>
      <c r="P405" s="15">
        <v>1976</v>
      </c>
      <c r="Q405" s="15" t="str" cm="1">
        <f t="array" ref="Q4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5" s="15" t="str" cm="1">
        <f t="array" ref="R4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canciones/carmelo_erdozain/porque_eres_bueno_señor.html</v>
      </c>
      <c r="T405" s="1"/>
      <c r="U405" s="1"/>
      <c r="V405" s="32" t="s">
        <v>5721</v>
      </c>
      <c r="W4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href="canciones/carmelo_erdozain/porque_eres_bueno_señor.html"&gt;Porque eres bueno, Señor&lt;/a&gt;&lt;/li&gt;</v>
      </c>
      <c r="X405" s="15" t="str">
        <f>_xlfn.TEXTBEFORE(_xlfn.TEXTAFTER(CantoralDB[[#This Row],[index.html]],"&gt;"),"&gt;")&amp;"&gt;"</f>
        <v>&lt;a href="canciones/carmelo_erdozain/porque_eres_bueno_señor.html"&gt;</v>
      </c>
      <c r="Y405"/>
      <c r="Z405" s="1"/>
      <c r="AA405" s="1"/>
      <c r="AB405" s="1"/>
      <c r="AC405" s="1"/>
    </row>
    <row r="406" spans="1:29" x14ac:dyDescent="0.3">
      <c r="A406" s="1">
        <f>ROW(CantoralDB[[#This Row],[Título]])-1</f>
        <v>405</v>
      </c>
      <c r="B406" s="1" t="s">
        <v>35</v>
      </c>
      <c r="C406" s="1" t="s">
        <v>200</v>
      </c>
      <c r="D406" s="1" t="s">
        <v>645</v>
      </c>
      <c r="E406" s="1">
        <v>51</v>
      </c>
      <c r="G406" s="1" t="s">
        <v>208</v>
      </c>
      <c r="H406" s="1" t="s">
        <v>529</v>
      </c>
      <c r="I406" s="1" t="s">
        <v>2947</v>
      </c>
      <c r="J406" s="1" t="s">
        <v>605</v>
      </c>
      <c r="M406" s="15" t="s">
        <v>478</v>
      </c>
      <c r="N406" s="1" t="s">
        <v>5487</v>
      </c>
      <c r="O406" s="15">
        <v>4</v>
      </c>
      <c r="P406" s="15">
        <v>1976</v>
      </c>
      <c r="Q406" s="15" t="str" cm="1">
        <f t="array" ref="Q4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6" s="15" t="str" cm="1">
        <f t="array" ref="R4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canciones/carmelo_erdozain/compartir_junto_al_señor.html</v>
      </c>
      <c r="T406" s="1"/>
      <c r="U406" s="1"/>
      <c r="V406" s="32" t="s">
        <v>5722</v>
      </c>
      <c r="W4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data-momento="Antífonas" data-nnew="D10" data-nold="51"&gt;&lt;a href="canciones/carmelo_erdozain/compartir_junto_al_señor.html"&gt;Compartir junto al Señor&lt;/a&gt;&lt;/li&gt;</v>
      </c>
      <c r="X406" s="15" t="str">
        <f>_xlfn.TEXTBEFORE(_xlfn.TEXTAFTER(CantoralDB[[#This Row],[index.html]],"&gt;"),"&gt;")&amp;"&gt;"</f>
        <v>&lt;a href="canciones/carmelo_erdozain/compartir_junto_al_señor.html"&gt;</v>
      </c>
      <c r="Y406"/>
      <c r="Z406" s="1"/>
      <c r="AA406" s="1"/>
      <c r="AB406" s="1"/>
      <c r="AC406" s="1"/>
    </row>
    <row r="407" spans="1:29" x14ac:dyDescent="0.3">
      <c r="A407" s="1">
        <f>ROW(CantoralDB[[#This Row],[Título]])-1</f>
        <v>406</v>
      </c>
      <c r="B407" s="1" t="s">
        <v>5844</v>
      </c>
      <c r="C407" s="1"/>
      <c r="J407" s="1"/>
      <c r="M407" s="15" t="s">
        <v>478</v>
      </c>
      <c r="N407" s="1" t="s">
        <v>5487</v>
      </c>
      <c r="O407" s="15">
        <v>5</v>
      </c>
      <c r="P407" s="15">
        <v>1976</v>
      </c>
      <c r="Q407" s="15" t="str" cm="1">
        <f t="array" ref="Q4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7" s="15" t="str" cm="1">
        <f t="array" ref="R4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canciones/carmelo_erdozain/padre_nuestro_(ii).html</v>
      </c>
      <c r="T407" s="1"/>
      <c r="U407" s="1"/>
      <c r="V407" s="32" t="s">
        <v>5723</v>
      </c>
      <c r="W4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href="canciones/carmelo_erdozain/padre_nuestro_(ii).html"&gt;Padre nuestro (II)&lt;/a&gt;&lt;/li&gt;</v>
      </c>
      <c r="X407" s="15" t="str">
        <f>_xlfn.TEXTBEFORE(_xlfn.TEXTAFTER(CantoralDB[[#This Row],[index.html]],"&gt;"),"&gt;")&amp;"&gt;"</f>
        <v>&lt;a href="canciones/carmelo_erdozain/padre_nuestro_(ii).html"&gt;</v>
      </c>
      <c r="Y407"/>
      <c r="Z407" s="1"/>
      <c r="AA407" s="1"/>
      <c r="AB407" s="1"/>
      <c r="AC407" s="1"/>
    </row>
    <row r="408" spans="1:29" x14ac:dyDescent="0.3">
      <c r="A408" s="1">
        <f>ROW(CantoralDB[[#This Row],[Título]])-1</f>
        <v>407</v>
      </c>
      <c r="B408" s="1" t="s">
        <v>75</v>
      </c>
      <c r="C408" s="1" t="s">
        <v>210</v>
      </c>
      <c r="D408" s="1" t="s">
        <v>1427</v>
      </c>
      <c r="E408" s="1">
        <v>136</v>
      </c>
      <c r="G408" s="1" t="s">
        <v>208</v>
      </c>
      <c r="H408" s="1" t="s">
        <v>1024</v>
      </c>
      <c r="I408" s="1" t="s">
        <v>2945</v>
      </c>
      <c r="J408" s="1" t="s">
        <v>605</v>
      </c>
      <c r="M408" s="15" t="s">
        <v>478</v>
      </c>
      <c r="N408" s="1" t="s">
        <v>5487</v>
      </c>
      <c r="O408" s="15">
        <v>6</v>
      </c>
      <c r="P408" s="15">
        <v>1976</v>
      </c>
      <c r="Q408" s="15" t="str" cm="1">
        <f t="array" ref="Q4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8" s="15" t="str" cm="1">
        <f t="array" ref="R4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canciones/carmelo_erdozain/hosanna_hosanna_hosanna.html</v>
      </c>
      <c r="T408" s="1" t="s">
        <v>835</v>
      </c>
      <c r="U408" s="1"/>
      <c r="V408" s="32" t="s">
        <v>5724</v>
      </c>
      <c r="W4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data-momento="Especiales" data-nnew="P02" data-nold="136"&gt;&lt;a href="canciones/carmelo_erdozain/hosanna_hosanna_hosanna.html"&gt;Hosanna, hosanna, hosanna&lt;/a&gt;&lt;/li&gt;</v>
      </c>
      <c r="X408" s="15" t="str">
        <f>_xlfn.TEXTBEFORE(_xlfn.TEXTAFTER(CantoralDB[[#This Row],[index.html]],"&gt;"),"&gt;")&amp;"&gt;"</f>
        <v>&lt;a href="canciones/carmelo_erdozain/hosanna_hosanna_hosanna.html"&gt;</v>
      </c>
      <c r="Y408"/>
      <c r="Z408" s="1"/>
      <c r="AA408" s="1"/>
      <c r="AB408" s="1"/>
      <c r="AC408" s="1"/>
    </row>
    <row r="409" spans="1:29" x14ac:dyDescent="0.3">
      <c r="A409" s="1">
        <f>ROW(CantoralDB[[#This Row],[Título]])-1</f>
        <v>408</v>
      </c>
      <c r="B409" s="1" t="s">
        <v>5543</v>
      </c>
      <c r="C409" s="1"/>
      <c r="J409" s="1"/>
      <c r="M409" s="15" t="s">
        <v>478</v>
      </c>
      <c r="N409" s="1" t="s">
        <v>5487</v>
      </c>
      <c r="O409" s="15">
        <v>7</v>
      </c>
      <c r="P409" s="15">
        <v>1976</v>
      </c>
      <c r="Q409" s="15" t="str" cm="1">
        <f t="array" ref="Q4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09" s="15" t="str" cm="1">
        <f t="array" ref="R4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canciones/carmelo_erdozain/delante_de_tu_altar.html</v>
      </c>
      <c r="T409" s="1"/>
      <c r="U409" s="1"/>
      <c r="V409" s="32" t="s">
        <v>5725</v>
      </c>
      <c r="W4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href="canciones/carmelo_erdozain/delante_de_tu_altar.html"&gt;Delante de tu altar&lt;/a&gt;&lt;/li&gt;</v>
      </c>
      <c r="X409" s="15" t="str">
        <f>_xlfn.TEXTBEFORE(_xlfn.TEXTAFTER(CantoralDB[[#This Row],[index.html]],"&gt;"),"&gt;")&amp;"&gt;"</f>
        <v>&lt;a href="canciones/carmelo_erdozain/delante_de_tu_altar.html"&gt;</v>
      </c>
      <c r="Y409"/>
      <c r="Z409" s="1"/>
      <c r="AA409" s="1"/>
      <c r="AB409" s="1"/>
      <c r="AC409" s="1"/>
    </row>
    <row r="410" spans="1:29" x14ac:dyDescent="0.3">
      <c r="A410" s="1">
        <f>ROW(CantoralDB[[#This Row],[Título]])-1</f>
        <v>409</v>
      </c>
      <c r="B410" s="1" t="s">
        <v>5544</v>
      </c>
      <c r="C410" s="1"/>
      <c r="J410" s="1"/>
      <c r="M410" s="15" t="s">
        <v>478</v>
      </c>
      <c r="N410" s="1" t="s">
        <v>5487</v>
      </c>
      <c r="O410" s="15">
        <v>8</v>
      </c>
      <c r="P410" s="15">
        <v>1976</v>
      </c>
      <c r="Q410" s="15" t="str" cm="1">
        <f t="array" ref="Q4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0" s="15" t="str" cm="1">
        <f t="array" ref="R4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canciones/carmelo_erdozain/oh_sagrado_convite.html</v>
      </c>
      <c r="T410" s="1"/>
      <c r="U410" s="1"/>
      <c r="V410" s="32" t="s">
        <v>5726</v>
      </c>
      <c r="W4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href="canciones/carmelo_erdozain/oh_sagrado_convite.html"&gt;Oh, sagrado convite&lt;/a&gt;&lt;/li&gt;</v>
      </c>
      <c r="X410" s="15" t="str">
        <f>_xlfn.TEXTBEFORE(_xlfn.TEXTAFTER(CantoralDB[[#This Row],[index.html]],"&gt;"),"&gt;")&amp;"&gt;"</f>
        <v>&lt;a href="canciones/carmelo_erdozain/oh_sagrado_convite.html"&gt;</v>
      </c>
      <c r="Y410"/>
      <c r="Z410" s="1"/>
      <c r="AA410" s="1"/>
      <c r="AB410" s="1"/>
      <c r="AC410" s="1"/>
    </row>
    <row r="411" spans="1:29" x14ac:dyDescent="0.3">
      <c r="A411" s="1">
        <f>ROW(CantoralDB[[#This Row],[Título]])-1</f>
        <v>410</v>
      </c>
      <c r="B411" s="1" t="s">
        <v>41</v>
      </c>
      <c r="C411" s="1" t="s">
        <v>200</v>
      </c>
      <c r="D411" s="1" t="s">
        <v>646</v>
      </c>
      <c r="E411" s="1">
        <v>59</v>
      </c>
      <c r="G411" s="1" t="s">
        <v>208</v>
      </c>
      <c r="H411" s="1" t="s">
        <v>472</v>
      </c>
      <c r="I411" s="1" t="s">
        <v>2945</v>
      </c>
      <c r="J411" s="1" t="s">
        <v>605</v>
      </c>
      <c r="M411" s="15" t="s">
        <v>478</v>
      </c>
      <c r="N411" s="1" t="s">
        <v>5487</v>
      </c>
      <c r="O411" s="15">
        <v>9</v>
      </c>
      <c r="P411" s="15">
        <v>1976</v>
      </c>
      <c r="Q411" s="15" t="str" cm="1">
        <f t="array" ref="Q4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1" s="15" t="str" cm="1">
        <f t="array" ref="R4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canciones/carmelo_erdozain/cristo_por_nosotros.html</v>
      </c>
      <c r="T411" s="1" t="s">
        <v>815</v>
      </c>
      <c r="U411" s="1"/>
      <c r="V411" s="32" t="s">
        <v>5727</v>
      </c>
      <c r="W4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data-momento="Antífonas" data-nnew="D11" data-nold="59"&gt;&lt;a href="canciones/carmelo_erdozain/cristo_por_nosotros.html"&gt;Cristo por nosotros&lt;/a&gt;&lt;/li&gt;</v>
      </c>
      <c r="X411" s="15" t="str">
        <f>_xlfn.TEXTBEFORE(_xlfn.TEXTAFTER(CantoralDB[[#This Row],[index.html]],"&gt;"),"&gt;")&amp;"&gt;"</f>
        <v>&lt;a href="canciones/carmelo_erdozain/cristo_por_nosotros.html"&gt;</v>
      </c>
      <c r="Y411"/>
      <c r="Z411" s="1"/>
      <c r="AA411" s="1"/>
      <c r="AB411" s="1"/>
      <c r="AC411" s="1"/>
    </row>
    <row r="412" spans="1:29" x14ac:dyDescent="0.3">
      <c r="A412" s="1">
        <f>ROW(CantoralDB[[#This Row],[Título]])-1</f>
        <v>411</v>
      </c>
      <c r="B412" s="1" t="s">
        <v>1254</v>
      </c>
      <c r="C412" s="1"/>
      <c r="E412" s="1">
        <v>126</v>
      </c>
      <c r="H412" s="1" t="s">
        <v>1025</v>
      </c>
      <c r="J412" s="1" t="s">
        <v>605</v>
      </c>
      <c r="M412" s="15" t="s">
        <v>478</v>
      </c>
      <c r="N412" s="1" t="s">
        <v>5487</v>
      </c>
      <c r="O412" s="15">
        <v>10</v>
      </c>
      <c r="P412" s="15">
        <v>1976</v>
      </c>
      <c r="Q412" s="15" t="str" cm="1">
        <f t="array" ref="Q4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2" s="15" t="str" cm="1">
        <f t="array" ref="R4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canciones/carmelo_erdozain/gracias_señor_por_tu_palabra.html</v>
      </c>
      <c r="T412" s="1"/>
      <c r="U412" s="1"/>
      <c r="V412" s="32" t="s">
        <v>5728</v>
      </c>
      <c r="W4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data-nold="126"&gt;&lt;a href="canciones/carmelo_erdozain/gracias_señor_por_tu_palabra.html"&gt;Gracias, Señor, por tu Palabra&lt;/a&gt;&lt;/li&gt;</v>
      </c>
      <c r="X412" s="15" t="str">
        <f>_xlfn.TEXTBEFORE(_xlfn.TEXTAFTER(CantoralDB[[#This Row],[index.html]],"&gt;"),"&gt;")&amp;"&gt;"</f>
        <v>&lt;a href="canciones/carmelo_erdozain/gracias_señor_por_tu_palabra.html"&gt;</v>
      </c>
      <c r="Y412"/>
      <c r="Z412" s="1"/>
      <c r="AA412" s="1"/>
      <c r="AB412" s="1"/>
      <c r="AC412" s="1"/>
    </row>
    <row r="413" spans="1:29" x14ac:dyDescent="0.3">
      <c r="A413" s="1">
        <f>ROW(CantoralDB[[#This Row],[Título]])-1</f>
        <v>412</v>
      </c>
      <c r="B413" s="1" t="s">
        <v>5546</v>
      </c>
      <c r="C413" s="1"/>
      <c r="J413" s="1"/>
      <c r="M413" s="15" t="s">
        <v>478</v>
      </c>
      <c r="N413" s="1" t="s">
        <v>5545</v>
      </c>
      <c r="O413" s="15">
        <v>1</v>
      </c>
      <c r="P413" s="15">
        <v>1992</v>
      </c>
      <c r="Q413" s="15" t="str" cm="1">
        <f t="array" ref="Q4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3" s="15" t="str" cm="1">
        <f t="array" ref="R4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canciones/carmelo_erdozain/se_acerca_la_liberacion.html</v>
      </c>
      <c r="T413" s="1"/>
      <c r="U413" s="1"/>
      <c r="V413" s="32" t="s">
        <v>5729</v>
      </c>
      <c r="W4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href="canciones/carmelo_erdozain/se_acerca_la_liberacion.html"&gt;Se acerca la liberación&lt;/a&gt;&lt;/li&gt;</v>
      </c>
      <c r="X413" s="15" t="str">
        <f>_xlfn.TEXTBEFORE(_xlfn.TEXTAFTER(CantoralDB[[#This Row],[index.html]],"&gt;"),"&gt;")&amp;"&gt;"</f>
        <v>&lt;a href="canciones/carmelo_erdozain/se_acerca_la_liberacion.html"&gt;</v>
      </c>
      <c r="Y413"/>
      <c r="Z413" s="1"/>
      <c r="AA413" s="1"/>
      <c r="AB413" s="1"/>
      <c r="AC413" s="1"/>
    </row>
    <row r="414" spans="1:29" x14ac:dyDescent="0.3">
      <c r="A414" s="1">
        <f>ROW(CantoralDB[[#This Row],[Título]])-1</f>
        <v>413</v>
      </c>
      <c r="B414" s="1" t="s">
        <v>5547</v>
      </c>
      <c r="C414" s="1"/>
      <c r="J414" s="1"/>
      <c r="M414" s="15" t="s">
        <v>478</v>
      </c>
      <c r="N414" s="1" t="s">
        <v>5545</v>
      </c>
      <c r="O414" s="15">
        <v>2</v>
      </c>
      <c r="P414" s="15">
        <v>1992</v>
      </c>
      <c r="Q414" s="15" t="str" cm="1">
        <f t="array" ref="Q4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4" s="15" t="str" cm="1">
        <f t="array" ref="R4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canciones/carmelo_erdozain/en_el_silencio_de_un_portal.html</v>
      </c>
      <c r="T414" s="1"/>
      <c r="U414" s="1"/>
      <c r="V414" s="32" t="s">
        <v>5730</v>
      </c>
      <c r="W4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href="canciones/carmelo_erdozain/en_el_silencio_de_un_portal.html"&gt;En el silencio de un portal&lt;/a&gt;&lt;/li&gt;</v>
      </c>
      <c r="X414" s="15" t="str">
        <f>_xlfn.TEXTBEFORE(_xlfn.TEXTAFTER(CantoralDB[[#This Row],[index.html]],"&gt;"),"&gt;")&amp;"&gt;"</f>
        <v>&lt;a href="canciones/carmelo_erdozain/en_el_silencio_de_un_portal.html"&gt;</v>
      </c>
      <c r="Y414"/>
      <c r="Z414" s="1"/>
      <c r="AA414" s="1"/>
      <c r="AB414" s="1"/>
      <c r="AC414" s="1"/>
    </row>
    <row r="415" spans="1:29" x14ac:dyDescent="0.3">
      <c r="A415" s="1">
        <f>ROW(CantoralDB[[#This Row],[Título]])-1</f>
        <v>414</v>
      </c>
      <c r="B415" s="1" t="s">
        <v>5548</v>
      </c>
      <c r="C415" s="1"/>
      <c r="J415" s="1"/>
      <c r="M415" s="15" t="s">
        <v>478</v>
      </c>
      <c r="N415" s="1" t="s">
        <v>5545</v>
      </c>
      <c r="O415" s="15">
        <v>3</v>
      </c>
      <c r="P415" s="15">
        <v>1992</v>
      </c>
      <c r="Q415" s="15" t="str" cm="1">
        <f t="array" ref="Q4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5" s="15" t="str" cm="1">
        <f t="array" ref="R4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canciones/carmelo_erdozain/apostoles_dichosos_son.html</v>
      </c>
      <c r="T415" s="1"/>
      <c r="U415" s="1"/>
      <c r="V415" s="32" t="s">
        <v>5731</v>
      </c>
      <c r="W4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href="canciones/carmelo_erdozain/apostoles_dichosos_son.html"&gt;Apóstoles dichosos son&lt;/a&gt;&lt;/li&gt;</v>
      </c>
      <c r="X415" s="15" t="str">
        <f>_xlfn.TEXTBEFORE(_xlfn.TEXTAFTER(CantoralDB[[#This Row],[index.html]],"&gt;"),"&gt;")&amp;"&gt;"</f>
        <v>&lt;a href="canciones/carmelo_erdozain/apostoles_dichosos_son.html"&gt;</v>
      </c>
      <c r="Y415"/>
      <c r="Z415" s="1"/>
      <c r="AA415" s="1"/>
      <c r="AB415" s="1"/>
      <c r="AC415" s="1"/>
    </row>
    <row r="416" spans="1:29" x14ac:dyDescent="0.3">
      <c r="A416" s="1">
        <f>ROW(CantoralDB[[#This Row],[Título]])-1</f>
        <v>415</v>
      </c>
      <c r="B416" s="1" t="s">
        <v>5549</v>
      </c>
      <c r="C416" s="1"/>
      <c r="J416" s="1"/>
      <c r="M416" s="15" t="s">
        <v>478</v>
      </c>
      <c r="N416" s="1" t="s">
        <v>5545</v>
      </c>
      <c r="O416" s="15">
        <v>4</v>
      </c>
      <c r="P416" s="15">
        <v>1992</v>
      </c>
      <c r="Q416" s="15" t="str" cm="1">
        <f t="array" ref="Q4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6" s="15" t="str" cm="1">
        <f t="array" ref="R4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canciones/carmelo_erdozain/solo_el_es_el_camino.html</v>
      </c>
      <c r="T416" s="1"/>
      <c r="U416" s="1"/>
      <c r="V416" s="32" t="s">
        <v>5732</v>
      </c>
      <c r="W4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href="canciones/carmelo_erdozain/solo_el_es_el_camino.html"&gt;Sólo Él es el camino&lt;/a&gt;&lt;/li&gt;</v>
      </c>
      <c r="X416" s="15" t="str">
        <f>_xlfn.TEXTBEFORE(_xlfn.TEXTAFTER(CantoralDB[[#This Row],[index.html]],"&gt;"),"&gt;")&amp;"&gt;"</f>
        <v>&lt;a href="canciones/carmelo_erdozain/solo_el_es_el_camino.html"&gt;</v>
      </c>
      <c r="Y416"/>
      <c r="Z416" s="1"/>
      <c r="AA416" s="1"/>
      <c r="AB416" s="1"/>
      <c r="AC416" s="1"/>
    </row>
    <row r="417" spans="1:29" x14ac:dyDescent="0.3">
      <c r="A417" s="1">
        <f>ROW(CantoralDB[[#This Row],[Título]])-1</f>
        <v>416</v>
      </c>
      <c r="B417" s="1" t="s">
        <v>5550</v>
      </c>
      <c r="C417" s="1"/>
      <c r="J417" s="1"/>
      <c r="M417" s="15" t="s">
        <v>478</v>
      </c>
      <c r="N417" s="1" t="s">
        <v>5545</v>
      </c>
      <c r="O417" s="15">
        <v>5</v>
      </c>
      <c r="P417" s="15">
        <v>1992</v>
      </c>
      <c r="Q417" s="15" t="str" cm="1">
        <f t="array" ref="Q4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7" s="15" t="str" cm="1">
        <f t="array" ref="R4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canciones/carmelo_erdozain/fariseos.html</v>
      </c>
      <c r="T417" s="1"/>
      <c r="U417" s="1"/>
      <c r="V417" s="32" t="s">
        <v>5733</v>
      </c>
      <c r="W4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href="canciones/carmelo_erdozain/fariseos.html"&gt;Fariseos&lt;/a&gt;&lt;/li&gt;</v>
      </c>
      <c r="X417" s="15" t="str">
        <f>_xlfn.TEXTBEFORE(_xlfn.TEXTAFTER(CantoralDB[[#This Row],[index.html]],"&gt;"),"&gt;")&amp;"&gt;"</f>
        <v>&lt;a href="canciones/carmelo_erdozain/fariseos.html"&gt;</v>
      </c>
      <c r="Y417"/>
      <c r="Z417" s="1"/>
      <c r="AA417" s="1"/>
      <c r="AB417" s="1"/>
      <c r="AC417" s="1"/>
    </row>
    <row r="418" spans="1:29" x14ac:dyDescent="0.3">
      <c r="A418" s="1">
        <f>ROW(CantoralDB[[#This Row],[Título]])-1</f>
        <v>417</v>
      </c>
      <c r="B418" s="1" t="s">
        <v>5551</v>
      </c>
      <c r="C418" s="1"/>
      <c r="J418" s="1"/>
      <c r="M418" s="15" t="s">
        <v>478</v>
      </c>
      <c r="N418" s="1" t="s">
        <v>5545</v>
      </c>
      <c r="O418" s="15">
        <v>6</v>
      </c>
      <c r="P418" s="15">
        <v>1992</v>
      </c>
      <c r="Q418" s="15" t="str" cm="1">
        <f t="array" ref="Q4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8" s="15" t="str" cm="1">
        <f t="array" ref="R4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canciones/carmelo_erdozain/ten_piedad_gritaba_en_el_camino.html</v>
      </c>
      <c r="T418" s="1"/>
      <c r="U418" s="1"/>
      <c r="V418" s="32" t="s">
        <v>5734</v>
      </c>
      <c r="W4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href="canciones/carmelo_erdozain/ten_piedad_gritaba_en_el_camino.html"&gt;Ten piedad, gritaba en el camino&lt;/a&gt;&lt;/li&gt;</v>
      </c>
      <c r="X418" s="15" t="str">
        <f>_xlfn.TEXTBEFORE(_xlfn.TEXTAFTER(CantoralDB[[#This Row],[index.html]],"&gt;"),"&gt;")&amp;"&gt;"</f>
        <v>&lt;a href="canciones/carmelo_erdozain/ten_piedad_gritaba_en_el_camino.html"&gt;</v>
      </c>
      <c r="Y418"/>
      <c r="Z418" s="1"/>
      <c r="AA418" s="1"/>
      <c r="AB418" s="1"/>
      <c r="AC418" s="1"/>
    </row>
    <row r="419" spans="1:29" x14ac:dyDescent="0.3">
      <c r="A419" s="1">
        <f>ROW(CantoralDB[[#This Row],[Título]])-1</f>
        <v>418</v>
      </c>
      <c r="B419" s="1" t="s">
        <v>5552</v>
      </c>
      <c r="C419" s="1"/>
      <c r="J419" s="1"/>
      <c r="M419" s="15" t="s">
        <v>478</v>
      </c>
      <c r="N419" s="1" t="s">
        <v>5545</v>
      </c>
      <c r="O419" s="15">
        <v>7</v>
      </c>
      <c r="P419" s="15">
        <v>1992</v>
      </c>
      <c r="Q419" s="15" t="str" cm="1">
        <f t="array" ref="Q4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19" s="15" t="str" cm="1">
        <f t="array" ref="R4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canciones/carmelo_erdozain/eloi_eloi_jerusalen.html</v>
      </c>
      <c r="T419" s="1"/>
      <c r="U419" s="1"/>
      <c r="V419" s="32" t="s">
        <v>5735</v>
      </c>
      <c r="W4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href="canciones/carmelo_erdozain/eloi_eloi_jerusalen.html"&gt;Eloi, eloi, Jerusalen&lt;/a&gt;&lt;/li&gt;</v>
      </c>
      <c r="X419" s="15" t="str">
        <f>_xlfn.TEXTBEFORE(_xlfn.TEXTAFTER(CantoralDB[[#This Row],[index.html]],"&gt;"),"&gt;")&amp;"&gt;"</f>
        <v>&lt;a href="canciones/carmelo_erdozain/eloi_eloi_jerusalen.html"&gt;</v>
      </c>
      <c r="Y419"/>
      <c r="Z419" s="1"/>
      <c r="AA419" s="1"/>
      <c r="AB419" s="1"/>
      <c r="AC419" s="1"/>
    </row>
    <row r="420" spans="1:29" x14ac:dyDescent="0.3">
      <c r="A420" s="1">
        <f>ROW(CantoralDB[[#This Row],[Título]])-1</f>
        <v>419</v>
      </c>
      <c r="B420" s="1" t="s">
        <v>5553</v>
      </c>
      <c r="C420" s="1"/>
      <c r="J420" s="1"/>
      <c r="M420" s="15" t="s">
        <v>478</v>
      </c>
      <c r="N420" s="1" t="s">
        <v>5545</v>
      </c>
      <c r="O420" s="15">
        <v>8</v>
      </c>
      <c r="P420" s="15">
        <v>1992</v>
      </c>
      <c r="Q420" s="15" t="str" cm="1">
        <f t="array" ref="Q4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0" s="15" t="str" cm="1">
        <f t="array" ref="R4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canciones/carmelo_erdozain/llora_la_virgen.html</v>
      </c>
      <c r="T420" s="1"/>
      <c r="U420" s="1"/>
      <c r="V420" s="32" t="s">
        <v>5736</v>
      </c>
      <c r="W4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href="canciones/carmelo_erdozain/llora_la_virgen.html"&gt;Llora la virgen&lt;/a&gt;&lt;/li&gt;</v>
      </c>
      <c r="X420" s="15" t="str">
        <f>_xlfn.TEXTBEFORE(_xlfn.TEXTAFTER(CantoralDB[[#This Row],[index.html]],"&gt;"),"&gt;")&amp;"&gt;"</f>
        <v>&lt;a href="canciones/carmelo_erdozain/llora_la_virgen.html"&gt;</v>
      </c>
      <c r="Y420"/>
      <c r="Z420" s="1"/>
      <c r="AA420" s="1"/>
      <c r="AB420" s="1"/>
      <c r="AC420" s="1"/>
    </row>
    <row r="421" spans="1:29" x14ac:dyDescent="0.3">
      <c r="A421" s="1">
        <f>ROW(CantoralDB[[#This Row],[Título]])-1</f>
        <v>420</v>
      </c>
      <c r="B421" s="1" t="s">
        <v>126</v>
      </c>
      <c r="C421" s="1"/>
      <c r="J421" s="1"/>
      <c r="M421" s="15" t="s">
        <v>478</v>
      </c>
      <c r="N421" s="1" t="s">
        <v>5545</v>
      </c>
      <c r="O421" s="15">
        <v>9</v>
      </c>
      <c r="P421" s="15">
        <v>1992</v>
      </c>
      <c r="Q421" s="15" t="str" cm="1">
        <f t="array" ref="Q4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1" s="15" t="str" cm="1">
        <f t="array" ref="R4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canciones/carmelo_erdozain/resucito_aleluya.html</v>
      </c>
      <c r="T421" s="1"/>
      <c r="U421" s="1"/>
      <c r="V421" s="32" t="s">
        <v>5737</v>
      </c>
      <c r="W4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href="canciones/carmelo_erdozain/resucito_aleluya.html"&gt;Resucitó, aleluya&lt;/a&gt;&lt;/li&gt;</v>
      </c>
      <c r="X421" s="15" t="str">
        <f>_xlfn.TEXTBEFORE(_xlfn.TEXTAFTER(CantoralDB[[#This Row],[index.html]],"&gt;"),"&gt;")&amp;"&gt;"</f>
        <v>&lt;a href="canciones/carmelo_erdozain/resucito_aleluya.html"&gt;</v>
      </c>
      <c r="Y421"/>
      <c r="Z421" s="1"/>
      <c r="AA421" s="1"/>
      <c r="AB421" s="1"/>
      <c r="AC421" s="1"/>
    </row>
    <row r="422" spans="1:29" x14ac:dyDescent="0.3">
      <c r="A422" s="1">
        <f>ROW(CantoralDB[[#This Row],[Título]])-1</f>
        <v>421</v>
      </c>
      <c r="B422" s="1" t="s">
        <v>5554</v>
      </c>
      <c r="C422" s="1"/>
      <c r="J422" s="1"/>
      <c r="M422" s="15" t="s">
        <v>478</v>
      </c>
      <c r="N422" s="1" t="s">
        <v>5499</v>
      </c>
      <c r="O422" s="15">
        <v>5</v>
      </c>
      <c r="P422" s="15">
        <v>1989</v>
      </c>
      <c r="Q422" s="15" t="str" cm="1">
        <f t="array" ref="Q4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2" s="15" t="str" cm="1">
        <f t="array" ref="R4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canciones/carmelo_erdozain/paz_para_respirar.html</v>
      </c>
      <c r="T422" s="1"/>
      <c r="U422" s="1"/>
      <c r="V422" s="32" t="s">
        <v>5738</v>
      </c>
      <c r="W4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href="canciones/carmelo_erdozain/paz_para_respirar.html"&gt;Paz para respirar&lt;/a&gt;&lt;/li&gt;</v>
      </c>
      <c r="X422" s="15" t="str">
        <f>_xlfn.TEXTBEFORE(_xlfn.TEXTAFTER(CantoralDB[[#This Row],[index.html]],"&gt;"),"&gt;")&amp;"&gt;"</f>
        <v>&lt;a href="canciones/carmelo_erdozain/paz_para_respirar.html"&gt;</v>
      </c>
      <c r="Y422"/>
      <c r="Z422" s="1"/>
      <c r="AA422" s="1"/>
      <c r="AB422" s="1"/>
      <c r="AC422" s="1"/>
    </row>
    <row r="423" spans="1:29" x14ac:dyDescent="0.3">
      <c r="A423" s="1">
        <f>ROW(CantoralDB[[#This Row],[Título]])-1</f>
        <v>422</v>
      </c>
      <c r="B423" s="1" t="s">
        <v>5555</v>
      </c>
      <c r="C423" s="1"/>
      <c r="J423" s="1"/>
      <c r="M423" s="15" t="s">
        <v>478</v>
      </c>
      <c r="N423" s="1" t="s">
        <v>5499</v>
      </c>
      <c r="O423" s="15">
        <v>8</v>
      </c>
      <c r="P423" s="15">
        <v>1989</v>
      </c>
      <c r="Q423" s="15" t="str" cm="1">
        <f t="array" ref="Q4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3" s="15" t="str" cm="1">
        <f t="array" ref="R4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canciones/carmelo_erdozain/natus_est.html</v>
      </c>
      <c r="T423" s="1"/>
      <c r="U423" s="1"/>
      <c r="V423" s="32" t="s">
        <v>5739</v>
      </c>
      <c r="W4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href="canciones/carmelo_erdozain/natus_est.html"&gt;Natus est&lt;/a&gt;&lt;/li&gt;</v>
      </c>
      <c r="X423" s="15" t="str">
        <f>_xlfn.TEXTBEFORE(_xlfn.TEXTAFTER(CantoralDB[[#This Row],[index.html]],"&gt;"),"&gt;")&amp;"&gt;"</f>
        <v>&lt;a href="canciones/carmelo_erdozain/natus_est.html"&gt;</v>
      </c>
      <c r="Y423"/>
      <c r="Z423" s="1"/>
      <c r="AA423" s="1"/>
      <c r="AB423" s="1"/>
      <c r="AC423" s="1"/>
    </row>
    <row r="424" spans="1:29" x14ac:dyDescent="0.3">
      <c r="A424" s="1">
        <f>ROW(CantoralDB[[#This Row],[Título]])-1</f>
        <v>423</v>
      </c>
      <c r="B424" s="1" t="s">
        <v>1320</v>
      </c>
      <c r="C424" s="1"/>
      <c r="E424" s="1">
        <v>244</v>
      </c>
      <c r="H424" s="1" t="s">
        <v>1027</v>
      </c>
      <c r="J424" s="1" t="s">
        <v>605</v>
      </c>
      <c r="M424" s="15" t="s">
        <v>478</v>
      </c>
      <c r="N424" s="1" t="s">
        <v>5491</v>
      </c>
      <c r="O424" s="15">
        <v>1</v>
      </c>
      <c r="P424" s="15">
        <v>1989</v>
      </c>
      <c r="Q424" s="15" t="str" cm="1">
        <f t="array" ref="Q4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4" s="15" t="str" cm="1">
        <f t="array" ref="R4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canciones/carmelo_erdozain/se_acerca_el_reino_de_dios.html</v>
      </c>
      <c r="T424" s="1"/>
      <c r="U424" s="1"/>
      <c r="V424" s="32" t="s">
        <v>5740</v>
      </c>
      <c r="W4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data-nold="244"&gt;&lt;a href="canciones/carmelo_erdozain/se_acerca_el_reino_de_dios.html"&gt;Se acerca el reino de Dios&lt;/a&gt;&lt;/li&gt;</v>
      </c>
      <c r="X424" s="15" t="str">
        <f>_xlfn.TEXTBEFORE(_xlfn.TEXTAFTER(CantoralDB[[#This Row],[index.html]],"&gt;"),"&gt;")&amp;"&gt;"</f>
        <v>&lt;a href="canciones/carmelo_erdozain/se_acerca_el_reino_de_dios.html"&gt;</v>
      </c>
      <c r="Y424"/>
      <c r="Z424" s="1"/>
      <c r="AA424" s="1"/>
      <c r="AB424" s="1"/>
      <c r="AC424" s="1"/>
    </row>
    <row r="425" spans="1:29" x14ac:dyDescent="0.3">
      <c r="A425" s="1">
        <f>ROW(CantoralDB[[#This Row],[Título]])-1</f>
        <v>424</v>
      </c>
      <c r="B425" s="1" t="s">
        <v>1204</v>
      </c>
      <c r="C425" s="1"/>
      <c r="J425" s="1"/>
      <c r="M425" s="15" t="s">
        <v>478</v>
      </c>
      <c r="N425" s="1" t="s">
        <v>5491</v>
      </c>
      <c r="O425" s="15">
        <v>2</v>
      </c>
      <c r="P425" s="15">
        <v>1989</v>
      </c>
      <c r="Q425" s="15" t="str" cm="1">
        <f t="array" ref="Q4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5" s="15" t="str" cm="1">
        <f t="array" ref="R4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canciones/carmelo_erdozain/dios_te_salve_maria.html</v>
      </c>
      <c r="T425" s="1"/>
      <c r="U425" s="1"/>
      <c r="V425" s="32" t="s">
        <v>5741</v>
      </c>
      <c r="W4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href="canciones/carmelo_erdozain/dios_te_salve_maria.html"&gt;Dios te salve, María&lt;/a&gt;&lt;/li&gt;</v>
      </c>
      <c r="X425" s="15" t="str">
        <f>_xlfn.TEXTBEFORE(_xlfn.TEXTAFTER(CantoralDB[[#This Row],[index.html]],"&gt;"),"&gt;")&amp;"&gt;"</f>
        <v>&lt;a href="canciones/carmelo_erdozain/dios_te_salve_maria.html"&gt;</v>
      </c>
      <c r="Y425"/>
      <c r="Z425" s="1"/>
      <c r="AA425" s="1"/>
      <c r="AB425" s="1"/>
      <c r="AC425" s="1"/>
    </row>
    <row r="426" spans="1:29" x14ac:dyDescent="0.3">
      <c r="A426" s="1">
        <f>ROW(CantoralDB[[#This Row],[Título]])-1</f>
        <v>425</v>
      </c>
      <c r="B426" s="1" t="s">
        <v>5573</v>
      </c>
      <c r="C426" s="1"/>
      <c r="J426" s="1"/>
      <c r="M426" s="15" t="s">
        <v>478</v>
      </c>
      <c r="N426" s="1" t="s">
        <v>5491</v>
      </c>
      <c r="O426" s="15">
        <v>4</v>
      </c>
      <c r="P426" s="15">
        <v>1989</v>
      </c>
      <c r="Q426" s="15" t="str" cm="1">
        <f t="array" ref="Q4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6" s="15" t="str" cm="1">
        <f t="array" ref="R4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canciones/carmelo_erdozain/en_la_fiesta_del_domingo.html</v>
      </c>
      <c r="T426" s="1"/>
      <c r="U426" s="1"/>
      <c r="V426" s="32" t="s">
        <v>5742</v>
      </c>
      <c r="W4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href="canciones/carmelo_erdozain/en_la_fiesta_del_domingo.html"&gt;En la fiesta del domingo&lt;/a&gt;&lt;/li&gt;</v>
      </c>
      <c r="X426" s="15" t="str">
        <f>_xlfn.TEXTBEFORE(_xlfn.TEXTAFTER(CantoralDB[[#This Row],[index.html]],"&gt;"),"&gt;")&amp;"&gt;"</f>
        <v>&lt;a href="canciones/carmelo_erdozain/en_la_fiesta_del_domingo.html"&gt;</v>
      </c>
      <c r="Y426"/>
      <c r="Z426" s="1"/>
      <c r="AA426" s="1"/>
      <c r="AB426" s="1"/>
      <c r="AC426" s="1"/>
    </row>
    <row r="427" spans="1:29" x14ac:dyDescent="0.3">
      <c r="A427" s="1">
        <f>ROW(CantoralDB[[#This Row],[Título]])-1</f>
        <v>426</v>
      </c>
      <c r="B427" s="1" t="s">
        <v>100</v>
      </c>
      <c r="C427" s="1" t="s">
        <v>200</v>
      </c>
      <c r="D427" s="1" t="s">
        <v>665</v>
      </c>
      <c r="E427" s="1">
        <v>189</v>
      </c>
      <c r="G427" s="1" t="s">
        <v>208</v>
      </c>
      <c r="H427" s="1" t="s">
        <v>1025</v>
      </c>
      <c r="J427" s="1" t="s">
        <v>605</v>
      </c>
      <c r="M427" s="15" t="s">
        <v>478</v>
      </c>
      <c r="N427" s="1" t="s">
        <v>5491</v>
      </c>
      <c r="O427" s="15">
        <v>5</v>
      </c>
      <c r="P427" s="15">
        <v>1989</v>
      </c>
      <c r="Q427" s="15" t="str" cm="1">
        <f t="array" ref="Q4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7" s="15" t="str" cm="1">
        <f t="array" ref="R4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canciones/carmelo_erdozain/oh_mi_dios_crea_en_mi.html</v>
      </c>
      <c r="T427" s="1" t="s">
        <v>847</v>
      </c>
      <c r="U427" s="1"/>
      <c r="V427" s="32" t="s">
        <v>5743</v>
      </c>
      <c r="W4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data-momento="Antífonas" data-nnew="D30" data-nold="189"&gt;&lt;a href="canciones/carmelo_erdozain/oh_mi_dios_crea_en_mi.html"&gt;Oh, mi Dios, crea en mí&lt;/a&gt;&lt;/li&gt;</v>
      </c>
      <c r="X427" s="15" t="str">
        <f>_xlfn.TEXTBEFORE(_xlfn.TEXTAFTER(CantoralDB[[#This Row],[index.html]],"&gt;"),"&gt;")&amp;"&gt;"</f>
        <v>&lt;a href="canciones/carmelo_erdozain/oh_mi_dios_crea_en_mi.html"&gt;</v>
      </c>
      <c r="Y427"/>
      <c r="Z427" s="1"/>
      <c r="AA427" s="1"/>
      <c r="AB427" s="1"/>
      <c r="AC427" s="1"/>
    </row>
    <row r="428" spans="1:29" x14ac:dyDescent="0.3">
      <c r="A428" s="1">
        <f>ROW(CantoralDB[[#This Row],[Título]])-1</f>
        <v>427</v>
      </c>
      <c r="B428" s="1" t="s">
        <v>5574</v>
      </c>
      <c r="C428" s="1"/>
      <c r="J428" s="1"/>
      <c r="M428" s="15" t="s">
        <v>478</v>
      </c>
      <c r="N428" s="1" t="s">
        <v>5491</v>
      </c>
      <c r="O428" s="15">
        <v>6</v>
      </c>
      <c r="P428" s="15">
        <v>1989</v>
      </c>
      <c r="Q428" s="15" t="str" cm="1">
        <f t="array" ref="Q4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8" s="15" t="str" cm="1">
        <f t="array" ref="R4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canciones/carmelo_erdozain/venid_a_la_cena.html</v>
      </c>
      <c r="T428" s="1"/>
      <c r="U428" s="1"/>
      <c r="V428" s="32" t="s">
        <v>5744</v>
      </c>
      <c r="W4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href="canciones/carmelo_erdozain/venid_a_la_cena.html"&gt;Venid a la cena&lt;/a&gt;&lt;/li&gt;</v>
      </c>
      <c r="X428" s="15" t="str">
        <f>_xlfn.TEXTBEFORE(_xlfn.TEXTAFTER(CantoralDB[[#This Row],[index.html]],"&gt;"),"&gt;")&amp;"&gt;"</f>
        <v>&lt;a href="canciones/carmelo_erdozain/venid_a_la_cena.html"&gt;</v>
      </c>
      <c r="Y428"/>
      <c r="Z428" s="1"/>
      <c r="AA428" s="1"/>
      <c r="AB428" s="1"/>
      <c r="AC428" s="1"/>
    </row>
    <row r="429" spans="1:29" x14ac:dyDescent="0.3">
      <c r="A429" s="1">
        <f>ROW(CantoralDB[[#This Row],[Título]])-1</f>
        <v>428</v>
      </c>
      <c r="B429" s="1" t="s">
        <v>5575</v>
      </c>
      <c r="C429" s="1"/>
      <c r="J429" s="1"/>
      <c r="M429" s="15" t="s">
        <v>478</v>
      </c>
      <c r="N429" s="1" t="s">
        <v>5491</v>
      </c>
      <c r="O429" s="15">
        <v>7</v>
      </c>
      <c r="P429" s="15">
        <v>1989</v>
      </c>
      <c r="Q429" s="15" t="str" cm="1">
        <f t="array" ref="Q4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29" s="15" t="str" cm="1">
        <f t="array" ref="R4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canciones/carmelo_erdozain/oh_cruz_fiel.html</v>
      </c>
      <c r="T429" s="1"/>
      <c r="U429" s="1"/>
      <c r="V429" s="32" t="s">
        <v>5745</v>
      </c>
      <c r="W4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href="canciones/carmelo_erdozain/oh_cruz_fiel.html"&gt;Oh, cruz fiel&lt;/a&gt;&lt;/li&gt;</v>
      </c>
      <c r="X429" s="15" t="str">
        <f>_xlfn.TEXTBEFORE(_xlfn.TEXTAFTER(CantoralDB[[#This Row],[index.html]],"&gt;"),"&gt;")&amp;"&gt;"</f>
        <v>&lt;a href="canciones/carmelo_erdozain/oh_cruz_fiel.html"&gt;</v>
      </c>
      <c r="Y429"/>
      <c r="Z429" s="1"/>
      <c r="AA429" s="1"/>
      <c r="AB429" s="1"/>
      <c r="AC429" s="1"/>
    </row>
    <row r="430" spans="1:29" x14ac:dyDescent="0.3">
      <c r="A430" s="1">
        <f>ROW(CantoralDB[[#This Row],[Título]])-1</f>
        <v>429</v>
      </c>
      <c r="B430" s="1" t="s">
        <v>5020</v>
      </c>
      <c r="C430" s="1"/>
      <c r="J430" s="1"/>
      <c r="M430" s="15" t="s">
        <v>478</v>
      </c>
      <c r="N430" s="1" t="s">
        <v>5491</v>
      </c>
      <c r="O430" s="15">
        <v>8</v>
      </c>
      <c r="P430" s="15">
        <v>1989</v>
      </c>
      <c r="Q430" s="15" t="str" cm="1">
        <f t="array" ref="Q4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0" s="15" t="str" cm="1">
        <f t="array" ref="R4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canciones/carmelo_erdozain/cristo_resucito.html</v>
      </c>
      <c r="T430" s="1"/>
      <c r="U430" s="1"/>
      <c r="V430" s="32" t="s">
        <v>5746</v>
      </c>
      <c r="W4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href="canciones/carmelo_erdozain/cristo_resucito.html"&gt;Cristo resucitó&lt;/a&gt;&lt;/li&gt;</v>
      </c>
      <c r="X430" s="15" t="str">
        <f>_xlfn.TEXTBEFORE(_xlfn.TEXTAFTER(CantoralDB[[#This Row],[index.html]],"&gt;"),"&gt;")&amp;"&gt;"</f>
        <v>&lt;a href="canciones/carmelo_erdozain/cristo_resucito.html"&gt;</v>
      </c>
      <c r="Y430"/>
      <c r="Z430" s="1"/>
      <c r="AA430" s="1"/>
      <c r="AB430" s="1"/>
      <c r="AC430" s="1"/>
    </row>
    <row r="431" spans="1:29" x14ac:dyDescent="0.3">
      <c r="A431" s="1">
        <f>ROW(CantoralDB[[#This Row],[Título]])-1</f>
        <v>430</v>
      </c>
      <c r="B431" s="1" t="s">
        <v>1344</v>
      </c>
      <c r="C431" s="1"/>
      <c r="E431" s="1">
        <v>290</v>
      </c>
      <c r="H431" s="1" t="s">
        <v>1024</v>
      </c>
      <c r="J431" s="1" t="s">
        <v>605</v>
      </c>
      <c r="M431" s="15" t="s">
        <v>478</v>
      </c>
      <c r="N431" s="1" t="s">
        <v>5491</v>
      </c>
      <c r="O431" s="15">
        <v>9</v>
      </c>
      <c r="P431" s="15">
        <v>1989</v>
      </c>
      <c r="Q431" s="15" t="str" cm="1">
        <f t="array" ref="Q4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1" s="15" t="str" cm="1">
        <f t="array" ref="R4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canciones/carmelo_erdozain/ven_espiritu_santo.html</v>
      </c>
      <c r="T431" s="1"/>
      <c r="U431" s="1"/>
      <c r="V431" s="32" t="s">
        <v>5747</v>
      </c>
      <c r="W4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data-nold="290"&gt;&lt;a href="canciones/carmelo_erdozain/ven_espiritu_santo.html"&gt;Ven, Espíritu Santo&lt;/a&gt;&lt;/li&gt;</v>
      </c>
      <c r="X431" s="15" t="str">
        <f>_xlfn.TEXTBEFORE(_xlfn.TEXTAFTER(CantoralDB[[#This Row],[index.html]],"&gt;"),"&gt;")&amp;"&gt;"</f>
        <v>&lt;a href="canciones/carmelo_erdozain/ven_espiritu_santo.html"&gt;</v>
      </c>
      <c r="Y431"/>
      <c r="Z431" s="1"/>
      <c r="AA431" s="1"/>
      <c r="AB431" s="1"/>
      <c r="AC431" s="1"/>
    </row>
    <row r="432" spans="1:29" x14ac:dyDescent="0.3">
      <c r="A432" s="1">
        <f>ROW(CantoralDB[[#This Row],[Título]])-1</f>
        <v>431</v>
      </c>
      <c r="B432" s="1" t="s">
        <v>615</v>
      </c>
      <c r="C432" s="1" t="s">
        <v>196</v>
      </c>
      <c r="D432" s="1" t="s">
        <v>1441</v>
      </c>
      <c r="G432" s="1" t="s">
        <v>247</v>
      </c>
      <c r="H432" s="1" t="s">
        <v>529</v>
      </c>
      <c r="J432" s="1" t="s">
        <v>605</v>
      </c>
      <c r="M432" s="15" t="s">
        <v>478</v>
      </c>
      <c r="N432" s="1" t="s">
        <v>5491</v>
      </c>
      <c r="O432" s="15">
        <v>10</v>
      </c>
      <c r="P432" s="15">
        <v>1989</v>
      </c>
      <c r="Q432" s="15" t="str" cm="1">
        <f t="array" ref="Q4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2" s="15" t="str" cm="1">
        <f t="array" ref="R4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canciones/carmelo_erdozain/padre_nuestro_(erdozain).html</v>
      </c>
      <c r="T432" s="1"/>
      <c r="U432" s="1"/>
      <c r="V432" s="32" t="s">
        <v>5850</v>
      </c>
      <c r="W4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data-momento="Padrenuestro" data-nnew="H02"&gt;&lt;a href="canciones/carmelo_erdozain/padre_nuestro_(erdozain).html"&gt;Padre nuestro (Erdozáin)&lt;/a&gt;&lt;/li&gt;</v>
      </c>
      <c r="X432" s="15" t="str">
        <f>_xlfn.TEXTBEFORE(_xlfn.TEXTAFTER(CantoralDB[[#This Row],[index.html]],"&gt;"),"&gt;")&amp;"&gt;"</f>
        <v>&lt;a href="canciones/carmelo_erdozain/padre_nuestro_(erdozain).html"&gt;</v>
      </c>
      <c r="Y432"/>
      <c r="Z432" s="1"/>
      <c r="AA432" s="1"/>
      <c r="AB432" s="1"/>
      <c r="AC432" s="1"/>
    </row>
    <row r="433" spans="1:29" x14ac:dyDescent="0.3">
      <c r="A433" s="1">
        <f>ROW(CantoralDB[[#This Row],[Título]])-1</f>
        <v>432</v>
      </c>
      <c r="B433" s="1" t="s">
        <v>1173</v>
      </c>
      <c r="C433" s="1"/>
      <c r="E433" s="1">
        <v>44</v>
      </c>
      <c r="H433" s="1" t="s">
        <v>529</v>
      </c>
      <c r="J433" s="1" t="s">
        <v>605</v>
      </c>
      <c r="M433" s="15" t="s">
        <v>478</v>
      </c>
      <c r="N433" s="1" t="s">
        <v>5488</v>
      </c>
      <c r="O433" s="15">
        <v>1</v>
      </c>
      <c r="P433" s="15"/>
      <c r="Q433" s="15" t="str" cm="1">
        <f t="array" ref="Q4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3" s="15" t="str" cm="1">
        <f t="array" ref="R4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canciones/carmelo_erdozain/con_nosotros_esta_el_señor.html</v>
      </c>
      <c r="T433" s="1"/>
      <c r="U433" s="1"/>
      <c r="V433" s="32"/>
      <c r="W4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data-nold="44"&gt;&lt;a href="canciones/carmelo_erdozain/con_nosotros_esta_el_señor.html"&gt;Con nosotros está el Señor&lt;/a&gt;&lt;/li&gt;</v>
      </c>
      <c r="X433" s="15" t="str">
        <f>_xlfn.TEXTBEFORE(_xlfn.TEXTAFTER(CantoralDB[[#This Row],[index.html]],"&gt;"),"&gt;")&amp;"&gt;"</f>
        <v>&lt;a href="canciones/carmelo_erdozain/con_nosotros_esta_el_señor.html"&gt;</v>
      </c>
      <c r="Y433"/>
      <c r="Z433" s="1"/>
      <c r="AA433" s="1"/>
      <c r="AB433" s="1"/>
      <c r="AC433" s="1"/>
    </row>
    <row r="434" spans="1:29" x14ac:dyDescent="0.3">
      <c r="A434" s="1">
        <f>ROW(CantoralDB[[#This Row],[Título]])-1</f>
        <v>433</v>
      </c>
      <c r="B434" s="1" t="s">
        <v>133</v>
      </c>
      <c r="C434" s="1"/>
      <c r="J434" s="1"/>
      <c r="M434" s="15" t="s">
        <v>478</v>
      </c>
      <c r="N434" s="1" t="s">
        <v>5488</v>
      </c>
      <c r="O434" s="15">
        <v>3</v>
      </c>
      <c r="P434" s="15"/>
      <c r="Q434" s="15" t="str" cm="1">
        <f t="array" ref="Q4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4" s="15" t="str" cm="1">
        <f t="array" ref="R4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canciones/carmelo_erdozain/señor_ten_piedad.html</v>
      </c>
      <c r="T434" s="1"/>
      <c r="U434" s="1"/>
      <c r="V434" s="32"/>
      <c r="W4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href="canciones/carmelo_erdozain/señor_ten_piedad.html"&gt;Señor, ten piedad&lt;/a&gt;&lt;/li&gt;</v>
      </c>
      <c r="X434" s="15" t="str">
        <f>_xlfn.TEXTBEFORE(_xlfn.TEXTAFTER(CantoralDB[[#This Row],[index.html]],"&gt;"),"&gt;")&amp;"&gt;"</f>
        <v>&lt;a href="canciones/carmelo_erdozain/señor_ten_piedad.html"&gt;</v>
      </c>
      <c r="Y434"/>
      <c r="Z434" s="1"/>
      <c r="AA434" s="1"/>
      <c r="AB434" s="1"/>
      <c r="AC434" s="1"/>
    </row>
    <row r="435" spans="1:29" x14ac:dyDescent="0.3">
      <c r="A435" s="1">
        <f>ROW(CantoralDB[[#This Row],[Título]])-1</f>
        <v>434</v>
      </c>
      <c r="B435" s="1" t="s">
        <v>118</v>
      </c>
      <c r="C435" s="1" t="s">
        <v>990</v>
      </c>
      <c r="D435" s="1" t="s">
        <v>992</v>
      </c>
      <c r="E435" s="1">
        <v>211</v>
      </c>
      <c r="G435" s="1" t="s">
        <v>208</v>
      </c>
      <c r="H435" s="1" t="s">
        <v>1027</v>
      </c>
      <c r="J435" s="1" t="s">
        <v>605</v>
      </c>
      <c r="M435" s="15" t="s">
        <v>478</v>
      </c>
      <c r="N435" s="1" t="s">
        <v>5488</v>
      </c>
      <c r="O435" s="15">
        <v>4</v>
      </c>
      <c r="P435" s="15"/>
      <c r="Q435" s="15" t="str" cm="1">
        <f t="array" ref="Q4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5" s="15" t="str" cm="1">
        <f t="array" ref="R4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canciones/carmelo_erdozain/purificame_señor.html</v>
      </c>
      <c r="T435" s="1"/>
      <c r="U435" s="1"/>
      <c r="V435" s="32"/>
      <c r="W4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data-momento="Comunión" data-nnew="K58" data-nold="211"&gt;&lt;a href="canciones/carmelo_erdozain/purificame_señor.html"&gt;Purifícame, Señor&lt;/a&gt;&lt;/li&gt;</v>
      </c>
      <c r="X435" s="15" t="str">
        <f>_xlfn.TEXTBEFORE(_xlfn.TEXTAFTER(CantoralDB[[#This Row],[index.html]],"&gt;"),"&gt;")&amp;"&gt;"</f>
        <v>&lt;a href="canciones/carmelo_erdozain/purificame_señor.html"&gt;</v>
      </c>
      <c r="Y435"/>
      <c r="Z435" s="1"/>
      <c r="AA435" s="1"/>
      <c r="AB435" s="1"/>
      <c r="AC435" s="1"/>
    </row>
    <row r="436" spans="1:29" x14ac:dyDescent="0.3">
      <c r="A436" s="1">
        <f>ROW(CantoralDB[[#This Row],[Título]])-1</f>
        <v>435</v>
      </c>
      <c r="B436" s="1" t="s">
        <v>5567</v>
      </c>
      <c r="C436" s="1"/>
      <c r="J436" s="1"/>
      <c r="M436" s="15" t="s">
        <v>478</v>
      </c>
      <c r="N436" s="1" t="s">
        <v>5488</v>
      </c>
      <c r="O436" s="15">
        <v>5</v>
      </c>
      <c r="P436" s="15"/>
      <c r="Q436" s="15" t="str" cm="1">
        <f t="array" ref="Q4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6" s="15" t="str" cm="1">
        <f t="array" ref="R4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canciones/carmelo_erdozain/el_señor_es_mi_pastor.html</v>
      </c>
      <c r="T436" s="1"/>
      <c r="U436" s="1"/>
      <c r="V436" s="32"/>
      <c r="W4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href="canciones/carmelo_erdozain/el_señor_es_mi_pastor.html"&gt;El señor es mi pastor&lt;/a&gt;&lt;/li&gt;</v>
      </c>
      <c r="X436" s="15" t="str">
        <f>_xlfn.TEXTBEFORE(_xlfn.TEXTAFTER(CantoralDB[[#This Row],[index.html]],"&gt;"),"&gt;")&amp;"&gt;"</f>
        <v>&lt;a href="canciones/carmelo_erdozain/el_señor_es_mi_pastor.html"&gt;</v>
      </c>
      <c r="Y436"/>
      <c r="Z436" s="1"/>
      <c r="AA436" s="1"/>
      <c r="AB436" s="1"/>
      <c r="AC436" s="1"/>
    </row>
    <row r="437" spans="1:29" x14ac:dyDescent="0.3">
      <c r="A437" s="1">
        <f>ROW(CantoralDB[[#This Row],[Título]])-1</f>
        <v>436</v>
      </c>
      <c r="B437" s="1" t="s">
        <v>5576</v>
      </c>
      <c r="C437" s="1"/>
      <c r="J437" s="1"/>
      <c r="M437" s="15" t="s">
        <v>478</v>
      </c>
      <c r="N437" s="1" t="s">
        <v>5488</v>
      </c>
      <c r="O437" s="15">
        <v>6</v>
      </c>
      <c r="P437" s="15"/>
      <c r="Q437" s="15" t="str" cm="1">
        <f t="array" ref="Q4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7" s="15" t="str" cm="1">
        <f t="array" ref="R4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canciones/carmelo_erdozain/aleluya_gloria_al_señor.html</v>
      </c>
      <c r="T437" s="1"/>
      <c r="U437" s="1"/>
      <c r="V437" s="32"/>
      <c r="W4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href="canciones/carmelo_erdozain/aleluya_gloria_al_señor.html"&gt;Aleluya, gloria al Señor&lt;/a&gt;&lt;/li&gt;</v>
      </c>
      <c r="X437" s="15" t="str">
        <f>_xlfn.TEXTBEFORE(_xlfn.TEXTAFTER(CantoralDB[[#This Row],[index.html]],"&gt;"),"&gt;")&amp;"&gt;"</f>
        <v>&lt;a href="canciones/carmelo_erdozain/aleluya_gloria_al_señor.html"&gt;</v>
      </c>
      <c r="Y437"/>
      <c r="Z437" s="1"/>
      <c r="AA437" s="1"/>
      <c r="AB437" s="1"/>
      <c r="AC437" s="1"/>
    </row>
    <row r="438" spans="1:29" x14ac:dyDescent="0.3">
      <c r="A438" s="1">
        <f>ROW(CantoralDB[[#This Row],[Título]])-1</f>
        <v>437</v>
      </c>
      <c r="B438" s="1" t="s">
        <v>5577</v>
      </c>
      <c r="C438" s="1"/>
      <c r="J438" s="1"/>
      <c r="M438" s="15" t="s">
        <v>478</v>
      </c>
      <c r="N438" s="1" t="s">
        <v>5488</v>
      </c>
      <c r="O438" s="15">
        <v>7</v>
      </c>
      <c r="P438" s="15"/>
      <c r="Q438" s="15" t="str" cm="1">
        <f t="array" ref="Q4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8" s="15" t="str" cm="1">
        <f t="array" ref="R4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canciones/carmelo_erdozain/aclamemos_al_señor_aleluya.html</v>
      </c>
      <c r="T438" s="1"/>
      <c r="U438" s="1"/>
      <c r="V438" s="32"/>
      <c r="W4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href="canciones/carmelo_erdozain/aclamemos_al_señor_aleluya.html"&gt;Aclamemos al señor, aleluya&lt;/a&gt;&lt;/li&gt;</v>
      </c>
      <c r="X438" s="15" t="str">
        <f>_xlfn.TEXTBEFORE(_xlfn.TEXTAFTER(CantoralDB[[#This Row],[index.html]],"&gt;"),"&gt;")&amp;"&gt;"</f>
        <v>&lt;a href="canciones/carmelo_erdozain/aclamemos_al_señor_aleluya.html"&gt;</v>
      </c>
      <c r="Y438"/>
      <c r="Z438" s="1"/>
      <c r="AA438" s="1"/>
      <c r="AB438" s="1"/>
      <c r="AC438" s="1"/>
    </row>
    <row r="439" spans="1:29" x14ac:dyDescent="0.3">
      <c r="A439" s="1">
        <f>ROW(CantoralDB[[#This Row],[Título]])-1</f>
        <v>438</v>
      </c>
      <c r="B439" s="1" t="s">
        <v>5578</v>
      </c>
      <c r="C439" s="1"/>
      <c r="J439" s="1"/>
      <c r="M439" s="15" t="s">
        <v>478</v>
      </c>
      <c r="N439" s="1" t="s">
        <v>5488</v>
      </c>
      <c r="O439" s="15">
        <v>8</v>
      </c>
      <c r="P439" s="15"/>
      <c r="Q439" s="15" t="str" cm="1">
        <f t="array" ref="Q4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39" s="15" t="str" cm="1">
        <f t="array" ref="R4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canciones/carmelo_erdozain/llevemos_al_señor.html</v>
      </c>
      <c r="T439" s="1"/>
      <c r="U439" s="1"/>
      <c r="V439" s="32"/>
      <c r="W4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href="canciones/carmelo_erdozain/llevemos_al_señor.html"&gt;Llevemos al señor&lt;/a&gt;&lt;/li&gt;</v>
      </c>
      <c r="X439" s="15" t="str">
        <f>_xlfn.TEXTBEFORE(_xlfn.TEXTAFTER(CantoralDB[[#This Row],[index.html]],"&gt;"),"&gt;")&amp;"&gt;"</f>
        <v>&lt;a href="canciones/carmelo_erdozain/llevemos_al_señor.html"&gt;</v>
      </c>
      <c r="Y439"/>
      <c r="Z439" s="1"/>
      <c r="AA439" s="1"/>
      <c r="AB439" s="1"/>
      <c r="AC439" s="1"/>
    </row>
    <row r="440" spans="1:29" x14ac:dyDescent="0.3">
      <c r="A440" s="1">
        <f>ROW(CantoralDB[[#This Row],[Título]])-1</f>
        <v>439</v>
      </c>
      <c r="B440" s="1" t="s">
        <v>5662</v>
      </c>
      <c r="C440" s="1"/>
      <c r="J440" s="1"/>
      <c r="M440" s="15" t="s">
        <v>478</v>
      </c>
      <c r="N440" s="1" t="s">
        <v>5488</v>
      </c>
      <c r="O440" s="15">
        <v>9</v>
      </c>
      <c r="P440" s="15"/>
      <c r="Q440" s="15" t="str" cm="1">
        <f t="array" ref="Q4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0" s="15" t="str" cm="1">
        <f t="array" ref="R4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canciones/carmelo_erdozain/santo_(iii).html</v>
      </c>
      <c r="T440" s="1"/>
      <c r="U440" s="1"/>
      <c r="V440" s="32"/>
      <c r="W4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href="canciones/carmelo_erdozain/santo_(iii).html"&gt;Santo (III)&lt;/a&gt;&lt;/li&gt;</v>
      </c>
      <c r="X440" s="15" t="str">
        <f>_xlfn.TEXTBEFORE(_xlfn.TEXTAFTER(CantoralDB[[#This Row],[index.html]],"&gt;"),"&gt;")&amp;"&gt;"</f>
        <v>&lt;a href="canciones/carmelo_erdozain/santo_(iii).html"&gt;</v>
      </c>
      <c r="Y440"/>
      <c r="Z440" s="1"/>
      <c r="AA440" s="1"/>
      <c r="AB440" s="1"/>
      <c r="AC440" s="1"/>
    </row>
    <row r="441" spans="1:29" x14ac:dyDescent="0.3">
      <c r="A441" s="1">
        <f>ROW(CantoralDB[[#This Row],[Título]])-1</f>
        <v>440</v>
      </c>
      <c r="B441" s="1" t="s">
        <v>5579</v>
      </c>
      <c r="C441" s="1"/>
      <c r="J441" s="1"/>
      <c r="M441" s="15" t="s">
        <v>478</v>
      </c>
      <c r="N441" s="1" t="s">
        <v>5488</v>
      </c>
      <c r="O441" s="15">
        <v>10</v>
      </c>
      <c r="P441" s="15"/>
      <c r="Q441" s="15" t="str" cm="1">
        <f t="array" ref="Q4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1" s="15" t="str" cm="1">
        <f t="array" ref="R4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canciones/carmelo_erdozain/un_himno_de_alabanza.html</v>
      </c>
      <c r="T441" s="1"/>
      <c r="U441" s="1"/>
      <c r="V441" s="32"/>
      <c r="W4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href="canciones/carmelo_erdozain/un_himno_de_alabanza.html"&gt;Un himno de alabanza&lt;/a&gt;&lt;/li&gt;</v>
      </c>
      <c r="X441" s="15" t="str">
        <f>_xlfn.TEXTBEFORE(_xlfn.TEXTAFTER(CantoralDB[[#This Row],[index.html]],"&gt;"),"&gt;")&amp;"&gt;"</f>
        <v>&lt;a href="canciones/carmelo_erdozain/un_himno_de_alabanza.html"&gt;</v>
      </c>
      <c r="Y441"/>
      <c r="Z441" s="1"/>
      <c r="AA441" s="1"/>
      <c r="AB441" s="1"/>
      <c r="AC441" s="1"/>
    </row>
    <row r="442" spans="1:29" x14ac:dyDescent="0.3">
      <c r="A442" s="1">
        <f>ROW(CantoralDB[[#This Row],[Título]])-1</f>
        <v>441</v>
      </c>
      <c r="B442" s="1" t="s">
        <v>5580</v>
      </c>
      <c r="C442" s="1"/>
      <c r="J442" s="1"/>
      <c r="M442" s="15" t="s">
        <v>478</v>
      </c>
      <c r="N442" s="1" t="s">
        <v>5488</v>
      </c>
      <c r="O442" s="15">
        <v>11</v>
      </c>
      <c r="P442" s="15"/>
      <c r="Q442" s="15" t="str" cm="1">
        <f t="array" ref="Q4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2" s="15" t="str" cm="1">
        <f t="array" ref="R4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canciones/carmelo_erdozain/oh_señor_delante_de_ti.html</v>
      </c>
      <c r="T442" s="1"/>
      <c r="U442" s="1"/>
      <c r="V442" s="32"/>
      <c r="W4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href="canciones/carmelo_erdozain/oh_señor_delante_de_ti.html"&gt;Oh, Señor, delante de ti&lt;/a&gt;&lt;/li&gt;</v>
      </c>
      <c r="X442" s="15" t="str">
        <f>_xlfn.TEXTBEFORE(_xlfn.TEXTAFTER(CantoralDB[[#This Row],[index.html]],"&gt;"),"&gt;")&amp;"&gt;"</f>
        <v>&lt;a href="canciones/carmelo_erdozain/oh_señor_delante_de_ti.html"&gt;</v>
      </c>
      <c r="Y442"/>
      <c r="Z442" s="1"/>
      <c r="AA442" s="1"/>
      <c r="AB442" s="1"/>
      <c r="AC442" s="1"/>
    </row>
    <row r="443" spans="1:29" x14ac:dyDescent="0.3">
      <c r="A443" s="1">
        <f>ROW(CantoralDB[[#This Row],[Título]])-1</f>
        <v>442</v>
      </c>
      <c r="B443" s="1" t="s">
        <v>2113</v>
      </c>
      <c r="C443" s="1"/>
      <c r="E443" s="1">
        <v>184</v>
      </c>
      <c r="H443" s="1" t="s">
        <v>1027</v>
      </c>
      <c r="J443" s="1" t="s">
        <v>605</v>
      </c>
      <c r="M443" s="15" t="s">
        <v>478</v>
      </c>
      <c r="N443" s="1" t="s">
        <v>5488</v>
      </c>
      <c r="O443" s="15">
        <v>12</v>
      </c>
      <c r="P443" s="15"/>
      <c r="Q443" s="15" t="str" cm="1">
        <f t="array" ref="Q4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3" s="15" t="str" cm="1">
        <f t="array" ref="R4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canciones/carmelo_erdozain/oi_tu_voz.html</v>
      </c>
      <c r="T443" s="1"/>
      <c r="U443" s="1"/>
      <c r="V443" s="32"/>
      <c r="W4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data-nold="184"&gt;&lt;a href="canciones/carmelo_erdozain/oi_tu_voz.html"&gt;Oí tu voz&lt;/a&gt;&lt;/li&gt;</v>
      </c>
      <c r="X443" s="15" t="str">
        <f>_xlfn.TEXTBEFORE(_xlfn.TEXTAFTER(CantoralDB[[#This Row],[index.html]],"&gt;"),"&gt;")&amp;"&gt;"</f>
        <v>&lt;a href="canciones/carmelo_erdozain/oi_tu_voz.html"&gt;</v>
      </c>
      <c r="Y443"/>
      <c r="Z443" s="1"/>
      <c r="AA443" s="1"/>
      <c r="AB443" s="1"/>
      <c r="AC443" s="1"/>
    </row>
    <row r="444" spans="1:29" x14ac:dyDescent="0.3">
      <c r="A444" s="1">
        <f>ROW(CantoralDB[[#This Row],[Título]])-1</f>
        <v>443</v>
      </c>
      <c r="B444" s="1" t="s">
        <v>5581</v>
      </c>
      <c r="C444" s="1"/>
      <c r="J444" s="1"/>
      <c r="M444" s="15" t="s">
        <v>478</v>
      </c>
      <c r="N444" s="1" t="s">
        <v>5488</v>
      </c>
      <c r="O444" s="15">
        <v>13</v>
      </c>
      <c r="P444" s="15"/>
      <c r="Q444" s="15" t="str" cm="1">
        <f t="array" ref="Q4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4" s="15" t="str" cm="1">
        <f t="array" ref="R4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canciones/carmelo_erdozain/venid_aclamemos_al_señor.html</v>
      </c>
      <c r="T444" s="1"/>
      <c r="U444" s="1"/>
      <c r="V444" s="32"/>
      <c r="W4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href="canciones/carmelo_erdozain/venid_aclamemos_al_señor.html"&gt;Venid aclamemos al Señor&lt;/a&gt;&lt;/li&gt;</v>
      </c>
      <c r="X444" s="15" t="str">
        <f>_xlfn.TEXTBEFORE(_xlfn.TEXTAFTER(CantoralDB[[#This Row],[index.html]],"&gt;"),"&gt;")&amp;"&gt;"</f>
        <v>&lt;a href="canciones/carmelo_erdozain/venid_aclamemos_al_señor.html"&gt;</v>
      </c>
      <c r="Y444"/>
      <c r="Z444" s="1"/>
      <c r="AA444" s="1"/>
      <c r="AB444" s="1"/>
      <c r="AC444" s="1"/>
    </row>
    <row r="445" spans="1:29" x14ac:dyDescent="0.3">
      <c r="A445" s="1">
        <f>ROW(CantoralDB[[#This Row],[Título]])-1</f>
        <v>444</v>
      </c>
      <c r="B445" s="1" t="s">
        <v>5582</v>
      </c>
      <c r="C445" s="1"/>
      <c r="J445" s="1"/>
      <c r="M445" s="15" t="s">
        <v>478</v>
      </c>
      <c r="N445" s="1" t="s">
        <v>5488</v>
      </c>
      <c r="O445" s="15">
        <v>14</v>
      </c>
      <c r="P445" s="15"/>
      <c r="Q445" s="15" t="str" cm="1">
        <f t="array" ref="Q4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5" s="15" t="str" cm="1">
        <f t="array" ref="R4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canciones/carmelo_erdozain/de_madrugada_vino_a_mi_barca.html</v>
      </c>
      <c r="T445" s="1"/>
      <c r="U445" s="1"/>
      <c r="V445" s="32"/>
      <c r="W4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href="canciones/carmelo_erdozain/de_madrugada_vino_a_mi_barca.html"&gt;De madrugada vino a mi barca&lt;/a&gt;&lt;/li&gt;</v>
      </c>
      <c r="X445" s="15" t="str">
        <f>_xlfn.TEXTBEFORE(_xlfn.TEXTAFTER(CantoralDB[[#This Row],[index.html]],"&gt;"),"&gt;")&amp;"&gt;"</f>
        <v>&lt;a href="canciones/carmelo_erdozain/de_madrugada_vino_a_mi_barca.html"&gt;</v>
      </c>
      <c r="Y445"/>
      <c r="Z445" s="1"/>
      <c r="AA445" s="1"/>
      <c r="AB445" s="1"/>
      <c r="AC445" s="1"/>
    </row>
    <row r="446" spans="1:29" x14ac:dyDescent="0.3">
      <c r="A446" s="1">
        <f>ROW(CantoralDB[[#This Row],[Título]])-1</f>
        <v>445</v>
      </c>
      <c r="B446" s="1" t="s">
        <v>5583</v>
      </c>
      <c r="C446" s="1"/>
      <c r="J446" s="1"/>
      <c r="M446" s="15" t="s">
        <v>478</v>
      </c>
      <c r="N446" s="1" t="s">
        <v>5488</v>
      </c>
      <c r="O446" s="15">
        <v>15</v>
      </c>
      <c r="P446" s="15"/>
      <c r="Q446" s="15" t="str" cm="1">
        <f t="array" ref="Q4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6" s="15" t="str" cm="1">
        <f t="array" ref="R4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canciones/carmelo_erdozain/al_alzar_mis_manos_en_oracion.html</v>
      </c>
      <c r="T446" s="1"/>
      <c r="U446" s="1"/>
      <c r="V446" s="32"/>
      <c r="W4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href="canciones/carmelo_erdozain/al_alzar_mis_manos_en_oracion.html"&gt;Al alzar mis manos en oración&lt;/a&gt;&lt;/li&gt;</v>
      </c>
      <c r="X446" s="15" t="str">
        <f>_xlfn.TEXTBEFORE(_xlfn.TEXTAFTER(CantoralDB[[#This Row],[index.html]],"&gt;"),"&gt;")&amp;"&gt;"</f>
        <v>&lt;a href="canciones/carmelo_erdozain/al_alzar_mis_manos_en_oracion.html"&gt;</v>
      </c>
      <c r="Y446"/>
      <c r="Z446" s="1"/>
      <c r="AA446" s="1"/>
      <c r="AB446" s="1"/>
      <c r="AC446" s="1"/>
    </row>
    <row r="447" spans="1:29" x14ac:dyDescent="0.3">
      <c r="A447" s="1">
        <f>ROW(CantoralDB[[#This Row],[Título]])-1</f>
        <v>446</v>
      </c>
      <c r="B447" s="1" t="s">
        <v>5584</v>
      </c>
      <c r="C447" s="1"/>
      <c r="J447" s="1"/>
      <c r="M447" s="15" t="s">
        <v>478</v>
      </c>
      <c r="N447" s="1" t="s">
        <v>5488</v>
      </c>
      <c r="O447" s="15">
        <v>16</v>
      </c>
      <c r="P447" s="15"/>
      <c r="Q447" s="15" t="str" cm="1">
        <f t="array" ref="Q4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7" s="15" t="str" cm="1">
        <f t="array" ref="R4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canciones/carmelo_erdozain/eloi_eloi.html</v>
      </c>
      <c r="T447" s="1"/>
      <c r="U447" s="1"/>
      <c r="V447" s="32"/>
      <c r="W4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href="canciones/carmelo_erdozain/eloi_eloi.html"&gt;Eloi, eloi&lt;/a&gt;&lt;/li&gt;</v>
      </c>
      <c r="X447" s="15" t="str">
        <f>_xlfn.TEXTBEFORE(_xlfn.TEXTAFTER(CantoralDB[[#This Row],[index.html]],"&gt;"),"&gt;")&amp;"&gt;"</f>
        <v>&lt;a href="canciones/carmelo_erdozain/eloi_eloi.html"&gt;</v>
      </c>
      <c r="Y447"/>
      <c r="Z447" s="1"/>
      <c r="AA447" s="1"/>
      <c r="AB447" s="1"/>
      <c r="AC447" s="1"/>
    </row>
    <row r="448" spans="1:29" x14ac:dyDescent="0.3">
      <c r="A448" s="1">
        <f>ROW(CantoralDB[[#This Row],[Título]])-1</f>
        <v>447</v>
      </c>
      <c r="B448" s="1" t="s">
        <v>5585</v>
      </c>
      <c r="C448" s="1"/>
      <c r="J448" s="1"/>
      <c r="M448" s="15" t="s">
        <v>478</v>
      </c>
      <c r="N448" s="1" t="s">
        <v>5488</v>
      </c>
      <c r="O448" s="15">
        <v>17</v>
      </c>
      <c r="P448" s="15"/>
      <c r="Q448" s="15" t="str" cm="1">
        <f t="array" ref="Q4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8" s="15" t="str" cm="1">
        <f t="array" ref="R4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canciones/carmelo_erdozain/llora_la_virgen_en_la_cruz.html</v>
      </c>
      <c r="T448" s="1"/>
      <c r="U448" s="1"/>
      <c r="V448" s="32"/>
      <c r="W4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href="canciones/carmelo_erdozain/llora_la_virgen_en_la_cruz.html"&gt;Llora la virgen en la cruz&lt;/a&gt;&lt;/li&gt;</v>
      </c>
      <c r="X448" s="15" t="str">
        <f>_xlfn.TEXTBEFORE(_xlfn.TEXTAFTER(CantoralDB[[#This Row],[index.html]],"&gt;"),"&gt;")&amp;"&gt;"</f>
        <v>&lt;a href="canciones/carmelo_erdozain/llora_la_virgen_en_la_cruz.html"&gt;</v>
      </c>
      <c r="Y448"/>
      <c r="Z448" s="1"/>
      <c r="AA448" s="1"/>
      <c r="AB448" s="1"/>
      <c r="AC448" s="1"/>
    </row>
    <row r="449" spans="1:29" x14ac:dyDescent="0.3">
      <c r="A449" s="1">
        <f>ROW(CantoralDB[[#This Row],[Título]])-1</f>
        <v>448</v>
      </c>
      <c r="B449" s="1" t="s">
        <v>156</v>
      </c>
      <c r="C449" s="1" t="s">
        <v>190</v>
      </c>
      <c r="D449" s="1" t="s">
        <v>753</v>
      </c>
      <c r="E449" s="1">
        <v>284</v>
      </c>
      <c r="G449" s="1" t="s">
        <v>208</v>
      </c>
      <c r="H449" s="1" t="s">
        <v>529</v>
      </c>
      <c r="J449" s="1" t="s">
        <v>605</v>
      </c>
      <c r="M449" s="15" t="s">
        <v>478</v>
      </c>
      <c r="N449" s="1" t="s">
        <v>5312</v>
      </c>
      <c r="O449" s="15">
        <v>1</v>
      </c>
      <c r="P449" s="15">
        <v>1979</v>
      </c>
      <c r="Q449" s="15" t="str" cm="1">
        <f t="array" ref="Q4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49" s="15" t="str" cm="1">
        <f t="array" ref="R4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canciones/carmelo_erdozain/vamos_a_preparar.html</v>
      </c>
      <c r="T449" s="1"/>
      <c r="U449" s="1"/>
      <c r="V449" s="32" t="s">
        <v>5748</v>
      </c>
      <c r="W4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data-momento="Entrada" data-nnew="A36" data-nold="284"&gt;&lt;a href="canciones/carmelo_erdozain/vamos_a_preparar.html"&gt;Vamos a preparar&lt;/a&gt;&lt;/li&gt;</v>
      </c>
      <c r="X449" s="15" t="str">
        <f>_xlfn.TEXTBEFORE(_xlfn.TEXTAFTER(CantoralDB[[#This Row],[index.html]],"&gt;"),"&gt;")&amp;"&gt;"</f>
        <v>&lt;a href="canciones/carmelo_erdozain/vamos_a_preparar.html"&gt;</v>
      </c>
      <c r="Y449"/>
      <c r="Z449" s="1"/>
      <c r="AA449" s="1"/>
      <c r="AB449" s="1"/>
      <c r="AC449" s="1"/>
    </row>
    <row r="450" spans="1:29" x14ac:dyDescent="0.3">
      <c r="A450" s="1">
        <f>ROW(CantoralDB[[#This Row],[Título]])-1</f>
        <v>449</v>
      </c>
      <c r="B450" s="1" t="s">
        <v>1272</v>
      </c>
      <c r="C450" s="1"/>
      <c r="E450" s="1">
        <v>156</v>
      </c>
      <c r="H450" s="1" t="s">
        <v>1027</v>
      </c>
      <c r="J450" s="1" t="s">
        <v>605</v>
      </c>
      <c r="M450" s="15" t="s">
        <v>478</v>
      </c>
      <c r="N450" s="1" t="s">
        <v>5312</v>
      </c>
      <c r="O450" s="15">
        <v>2</v>
      </c>
      <c r="P450" s="15">
        <v>1979</v>
      </c>
      <c r="Q450" s="15" t="str" cm="1">
        <f t="array" ref="Q4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0" s="15" t="str" cm="1">
        <f t="array" ref="R4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canciones/carmelo_erdozain/levantate_pueblo_mio.html</v>
      </c>
      <c r="T450" s="1"/>
      <c r="U450" s="1"/>
      <c r="V450" s="32" t="s">
        <v>5749</v>
      </c>
      <c r="W4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data-nold="156"&gt;&lt;a href="canciones/carmelo_erdozain/levantate_pueblo_mio.html"&gt;Levántate, pueblo mío&lt;/a&gt;&lt;/li&gt;</v>
      </c>
      <c r="X450" s="15" t="str">
        <f>_xlfn.TEXTBEFORE(_xlfn.TEXTAFTER(CantoralDB[[#This Row],[index.html]],"&gt;"),"&gt;")&amp;"&gt;"</f>
        <v>&lt;a href="canciones/carmelo_erdozain/levantate_pueblo_mio.html"&gt;</v>
      </c>
      <c r="Y450"/>
      <c r="Z450" s="1"/>
      <c r="AA450" s="1"/>
      <c r="AB450" s="1"/>
      <c r="AC450" s="1"/>
    </row>
    <row r="451" spans="1:29" x14ac:dyDescent="0.3">
      <c r="A451" s="1">
        <f>ROW(CantoralDB[[#This Row],[Título]])-1</f>
        <v>450</v>
      </c>
      <c r="B451" s="1" t="s">
        <v>160</v>
      </c>
      <c r="C451" s="1" t="s">
        <v>190</v>
      </c>
      <c r="D451" s="1" t="s">
        <v>758</v>
      </c>
      <c r="E451" s="1">
        <v>283</v>
      </c>
      <c r="G451" s="1" t="s">
        <v>208</v>
      </c>
      <c r="H451" s="1" t="s">
        <v>1026</v>
      </c>
      <c r="J451" s="1" t="s">
        <v>605</v>
      </c>
      <c r="M451" s="15" t="s">
        <v>478</v>
      </c>
      <c r="N451" s="1" t="s">
        <v>5312</v>
      </c>
      <c r="O451" s="15">
        <v>3</v>
      </c>
      <c r="P451" s="15">
        <v>1979</v>
      </c>
      <c r="Q451" s="15" t="str" cm="1">
        <f t="array" ref="Q4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1" s="15" t="str" cm="1">
        <f t="array" ref="R4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canciones/carmelo_erdozain/ven_salvador.html</v>
      </c>
      <c r="T451" s="1"/>
      <c r="U451" s="1"/>
      <c r="V451" s="32" t="s">
        <v>5831</v>
      </c>
      <c r="W4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data-momento="Entrada" data-nnew="A41" data-nold="283"&gt;&lt;a href="canciones/carmelo_erdozain/ven_salvador.html"&gt;Ven, Salvador&lt;/a&gt;&lt;/li&gt;</v>
      </c>
      <c r="X451" s="15" t="str">
        <f>_xlfn.TEXTBEFORE(_xlfn.TEXTAFTER(CantoralDB[[#This Row],[index.html]],"&gt;"),"&gt;")&amp;"&gt;"</f>
        <v>&lt;a href="canciones/carmelo_erdozain/ven_salvador.html"&gt;</v>
      </c>
      <c r="Y451"/>
      <c r="Z451" s="1"/>
      <c r="AA451" s="1"/>
      <c r="AB451" s="1"/>
      <c r="AC451" s="1"/>
    </row>
    <row r="452" spans="1:29" x14ac:dyDescent="0.3">
      <c r="A452" s="1">
        <f>ROW(CantoralDB[[#This Row],[Título]])-1</f>
        <v>451</v>
      </c>
      <c r="B452" s="1" t="s">
        <v>85</v>
      </c>
      <c r="C452" s="1" t="s">
        <v>199</v>
      </c>
      <c r="D452" s="1" t="s">
        <v>1433</v>
      </c>
      <c r="E452" s="1">
        <v>432</v>
      </c>
      <c r="G452" s="1" t="s">
        <v>208</v>
      </c>
      <c r="H452" s="1" t="s">
        <v>1026</v>
      </c>
      <c r="J452" s="1" t="s">
        <v>605</v>
      </c>
      <c r="M452" s="15" t="s">
        <v>478</v>
      </c>
      <c r="N452" s="1" t="s">
        <v>5312</v>
      </c>
      <c r="O452" s="15">
        <v>4</v>
      </c>
      <c r="P452" s="15">
        <v>1979</v>
      </c>
      <c r="Q452" s="15" t="str" cm="1">
        <f t="array" ref="Q4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2" s="15" t="str" cm="1">
        <f t="array" ref="R4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canciones/carmelo_erdozain/la_virgen_sueña_caminos.html</v>
      </c>
      <c r="T452" s="1"/>
      <c r="U452" s="1"/>
      <c r="V452" s="32" t="s">
        <v>5750</v>
      </c>
      <c r="W4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data-momento="María" data-nnew="M08" data-nold="432"&gt;&lt;a href="canciones/carmelo_erdozain/la_virgen_sueña_caminos.html"&gt;La Virgen sueña caminos&lt;/a&gt;&lt;/li&gt;</v>
      </c>
      <c r="X452" s="15" t="str">
        <f>_xlfn.TEXTBEFORE(_xlfn.TEXTAFTER(CantoralDB[[#This Row],[index.html]],"&gt;"),"&gt;")&amp;"&gt;"</f>
        <v>&lt;a href="canciones/carmelo_erdozain/la_virgen_sueña_caminos.html"&gt;</v>
      </c>
      <c r="Y452"/>
      <c r="Z452" s="1"/>
      <c r="AA452" s="1"/>
      <c r="AB452" s="1"/>
      <c r="AC452" s="1"/>
    </row>
    <row r="453" spans="1:29" x14ac:dyDescent="0.3">
      <c r="A453" s="1">
        <f>ROW(CantoralDB[[#This Row],[Título]])-1</f>
        <v>452</v>
      </c>
      <c r="B453" s="1" t="s">
        <v>5586</v>
      </c>
      <c r="C453" s="1"/>
      <c r="J453" s="1"/>
      <c r="M453" s="15" t="s">
        <v>478</v>
      </c>
      <c r="N453" s="1" t="s">
        <v>5312</v>
      </c>
      <c r="O453" s="15">
        <v>5</v>
      </c>
      <c r="P453" s="15">
        <v>1979</v>
      </c>
      <c r="Q453" s="15" t="str" cm="1">
        <f t="array" ref="Q4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3" s="15" t="str" cm="1">
        <f t="array" ref="R4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canciones/carmelo_erdozain/y_vendra.html</v>
      </c>
      <c r="T453" s="1"/>
      <c r="U453" s="1"/>
      <c r="V453" s="32" t="s">
        <v>5832</v>
      </c>
      <c r="W4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href="canciones/carmelo_erdozain/y_vendra.html"&gt;Y vendrá&lt;/a&gt;&lt;/li&gt;</v>
      </c>
      <c r="X453" s="15" t="str">
        <f>_xlfn.TEXTBEFORE(_xlfn.TEXTAFTER(CantoralDB[[#This Row],[index.html]],"&gt;"),"&gt;")&amp;"&gt;"</f>
        <v>&lt;a href="canciones/carmelo_erdozain/y_vendra.html"&gt;</v>
      </c>
      <c r="Y453"/>
      <c r="Z453" s="1"/>
      <c r="AA453" s="1"/>
      <c r="AB453" s="1"/>
      <c r="AC453" s="1"/>
    </row>
    <row r="454" spans="1:29" x14ac:dyDescent="0.3">
      <c r="A454" s="1">
        <f>ROW(CantoralDB[[#This Row],[Título]])-1</f>
        <v>453</v>
      </c>
      <c r="B454" s="1" t="s">
        <v>251</v>
      </c>
      <c r="C454" s="1"/>
      <c r="J454" s="1"/>
      <c r="M454" s="15" t="s">
        <v>478</v>
      </c>
      <c r="N454" s="1" t="s">
        <v>5312</v>
      </c>
      <c r="O454" s="15">
        <v>6</v>
      </c>
      <c r="P454" s="15">
        <v>1979</v>
      </c>
      <c r="Q454" s="15" t="str" cm="1">
        <f t="array" ref="Q4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4" s="15" t="str" cm="1">
        <f t="array" ref="R4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canciones/carmelo_erdozain/nace_el_niño_en_un_portal.html</v>
      </c>
      <c r="T454" s="1"/>
      <c r="U454" s="1"/>
      <c r="V454" s="32" t="s">
        <v>5751</v>
      </c>
      <c r="W4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href="canciones/carmelo_erdozain/nace_el_niño_en_un_portal.html"&gt;Nace el niño en un portal&lt;/a&gt;&lt;/li&gt;</v>
      </c>
      <c r="X454" s="15" t="str">
        <f>_xlfn.TEXTBEFORE(_xlfn.TEXTAFTER(CantoralDB[[#This Row],[index.html]],"&gt;"),"&gt;")&amp;"&gt;"</f>
        <v>&lt;a href="canciones/carmelo_erdozain/nace_el_niño_en_un_portal.html"&gt;</v>
      </c>
      <c r="Y454"/>
      <c r="Z454" s="1"/>
      <c r="AA454" s="1"/>
      <c r="AB454" s="1"/>
      <c r="AC454" s="1"/>
    </row>
    <row r="455" spans="1:29" x14ac:dyDescent="0.3">
      <c r="A455" s="1">
        <f>ROW(CantoralDB[[#This Row],[Título]])-1</f>
        <v>454</v>
      </c>
      <c r="B455" s="1" t="s">
        <v>5587</v>
      </c>
      <c r="C455" s="1"/>
      <c r="J455" s="1"/>
      <c r="M455" s="15" t="s">
        <v>478</v>
      </c>
      <c r="N455" s="1" t="s">
        <v>5312</v>
      </c>
      <c r="O455" s="15">
        <v>7</v>
      </c>
      <c r="P455" s="15">
        <v>1979</v>
      </c>
      <c r="Q455" s="15" t="str" cm="1">
        <f t="array" ref="Q4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5" s="15" t="str" cm="1">
        <f t="array" ref="R4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canciones/carmelo_erdozain/un_arco_iris_de_sol_y_nieve.html</v>
      </c>
      <c r="T455" s="1"/>
      <c r="U455" s="1"/>
      <c r="V455" s="32" t="s">
        <v>5752</v>
      </c>
      <c r="W4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href="canciones/carmelo_erdozain/un_arco_iris_de_sol_y_nieve.html"&gt;Un arco íris de sol y nieve&lt;/a&gt;&lt;/li&gt;</v>
      </c>
      <c r="X455" s="15" t="str">
        <f>_xlfn.TEXTBEFORE(_xlfn.TEXTAFTER(CantoralDB[[#This Row],[index.html]],"&gt;"),"&gt;")&amp;"&gt;"</f>
        <v>&lt;a href="canciones/carmelo_erdozain/un_arco_iris_de_sol_y_nieve.html"&gt;</v>
      </c>
      <c r="Y455"/>
      <c r="Z455" s="1"/>
      <c r="AA455" s="1"/>
      <c r="AB455" s="1"/>
      <c r="AC455" s="1"/>
    </row>
    <row r="456" spans="1:29" x14ac:dyDescent="0.3">
      <c r="A456" s="1">
        <f>ROW(CantoralDB[[#This Row],[Título]])-1</f>
        <v>455</v>
      </c>
      <c r="B456" s="1" t="s">
        <v>5588</v>
      </c>
      <c r="C456" s="1"/>
      <c r="J456" s="1"/>
      <c r="M456" s="15" t="s">
        <v>478</v>
      </c>
      <c r="N456" s="1" t="s">
        <v>5312</v>
      </c>
      <c r="O456" s="15">
        <v>8</v>
      </c>
      <c r="P456" s="15">
        <v>1979</v>
      </c>
      <c r="Q456" s="15" t="str" cm="1">
        <f t="array" ref="Q4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6" s="15" t="str" cm="1">
        <f t="array" ref="R4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canciones/carmelo_erdozain/tres_reyes_magos_llegan_de_oriente.html</v>
      </c>
      <c r="T456" s="1"/>
      <c r="U456" s="1"/>
      <c r="V456" s="32" t="s">
        <v>5753</v>
      </c>
      <c r="W4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href="canciones/carmelo_erdozain/tres_reyes_magos_llegan_de_oriente.html"&gt;Tres reyes magos llegan de oriente&lt;/a&gt;&lt;/li&gt;</v>
      </c>
      <c r="X456" s="15" t="str">
        <f>_xlfn.TEXTBEFORE(_xlfn.TEXTAFTER(CantoralDB[[#This Row],[index.html]],"&gt;"),"&gt;")&amp;"&gt;"</f>
        <v>&lt;a href="canciones/carmelo_erdozain/tres_reyes_magos_llegan_de_oriente.html"&gt;</v>
      </c>
      <c r="Y456"/>
      <c r="Z456" s="1"/>
      <c r="AA456" s="1"/>
      <c r="AB456" s="1"/>
      <c r="AC456" s="1"/>
    </row>
    <row r="457" spans="1:29" x14ac:dyDescent="0.3">
      <c r="A457" s="1">
        <f>ROW(CantoralDB[[#This Row],[Título]])-1</f>
        <v>456</v>
      </c>
      <c r="B457" s="1" t="s">
        <v>5589</v>
      </c>
      <c r="C457" s="1"/>
      <c r="J457" s="1"/>
      <c r="M457" s="15" t="s">
        <v>478</v>
      </c>
      <c r="N457" s="1" t="s">
        <v>5312</v>
      </c>
      <c r="O457" s="15">
        <v>9</v>
      </c>
      <c r="P457" s="15">
        <v>1979</v>
      </c>
      <c r="Q457" s="15" t="str" cm="1">
        <f t="array" ref="Q4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7" s="15" t="str" cm="1">
        <f t="array" ref="R4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canciones/carmelo_erdozain/porque_mi_niño_no_tiene_nada.html</v>
      </c>
      <c r="T457" s="1"/>
      <c r="U457" s="1"/>
      <c r="V457" s="32" t="s">
        <v>5754</v>
      </c>
      <c r="W4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href="canciones/carmelo_erdozain/porque_mi_niño_no_tiene_nada.html"&gt;Porque mi niño no tiene nada&lt;/a&gt;&lt;/li&gt;</v>
      </c>
      <c r="X457" s="15" t="str">
        <f>_xlfn.TEXTBEFORE(_xlfn.TEXTAFTER(CantoralDB[[#This Row],[index.html]],"&gt;"),"&gt;")&amp;"&gt;"</f>
        <v>&lt;a href="canciones/carmelo_erdozain/porque_mi_niño_no_tiene_nada.html"&gt;</v>
      </c>
      <c r="Y457"/>
      <c r="Z457" s="1"/>
      <c r="AA457" s="1"/>
      <c r="AB457" s="1"/>
      <c r="AC457" s="1"/>
    </row>
    <row r="458" spans="1:29" x14ac:dyDescent="0.3">
      <c r="A458" s="1">
        <f>ROW(CantoralDB[[#This Row],[Título]])-1</f>
        <v>457</v>
      </c>
      <c r="B458" s="1" t="s">
        <v>3281</v>
      </c>
      <c r="C458" s="1"/>
      <c r="J458" s="1"/>
      <c r="M458" s="15" t="s">
        <v>478</v>
      </c>
      <c r="N458" s="1" t="s">
        <v>5312</v>
      </c>
      <c r="O458" s="15">
        <v>10</v>
      </c>
      <c r="P458" s="15">
        <v>1979</v>
      </c>
      <c r="Q458" s="15" t="str" cm="1">
        <f t="array" ref="Q4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8" s="15" t="str" cm="1">
        <f t="array" ref="R4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canciones/carmelo_erdozain/llega_el_dia.html</v>
      </c>
      <c r="T458" s="1"/>
      <c r="U458" s="1"/>
      <c r="V458" s="32" t="s">
        <v>5755</v>
      </c>
      <c r="W4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href="canciones/carmelo_erdozain/llega_el_dia.html"&gt;Llega el día&lt;/a&gt;&lt;/li&gt;</v>
      </c>
      <c r="X458" s="15" t="str">
        <f>_xlfn.TEXTBEFORE(_xlfn.TEXTAFTER(CantoralDB[[#This Row],[index.html]],"&gt;"),"&gt;")&amp;"&gt;"</f>
        <v>&lt;a href="canciones/carmelo_erdozain/llega_el_dia.html"&gt;</v>
      </c>
      <c r="Y458"/>
      <c r="Z458" s="1"/>
      <c r="AA458" s="1"/>
      <c r="AB458" s="1"/>
      <c r="AC458" s="1"/>
    </row>
    <row r="459" spans="1:29" x14ac:dyDescent="0.3">
      <c r="A459" s="1">
        <f>ROW(CantoralDB[[#This Row],[Título]])-1</f>
        <v>458</v>
      </c>
      <c r="B459" s="1" t="s">
        <v>1191</v>
      </c>
      <c r="C459" s="1"/>
      <c r="E459" s="1">
        <v>68</v>
      </c>
      <c r="H459" s="1" t="s">
        <v>1027</v>
      </c>
      <c r="J459" s="1" t="s">
        <v>605</v>
      </c>
      <c r="M459" s="15" t="s">
        <v>478</v>
      </c>
      <c r="N459" s="1" t="s">
        <v>5500</v>
      </c>
      <c r="O459" s="15"/>
      <c r="P459" s="15">
        <v>1995</v>
      </c>
      <c r="Q459" s="15" t="str" cm="1">
        <f t="array" ref="Q4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59" s="15" t="str" cm="1">
        <f t="array" ref="R4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canciones/carmelo_erdozain/cuantos_años_han_de_pasar.html</v>
      </c>
      <c r="T459" s="1"/>
      <c r="U459" s="1"/>
      <c r="V459" s="15"/>
      <c r="W4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data-nold="68"&gt;&lt;a href="canciones/carmelo_erdozain/cuantos_años_han_de_pasar.html"&gt;Cuántos años han de pasar&lt;/a&gt;&lt;/li&gt;</v>
      </c>
      <c r="X459" s="15" t="str">
        <f>_xlfn.TEXTBEFORE(_xlfn.TEXTAFTER(CantoralDB[[#This Row],[index.html]],"&gt;"),"&gt;")&amp;"&gt;"</f>
        <v>&lt;a href="canciones/carmelo_erdozain/cuantos_años_han_de_pasar.html"&gt;</v>
      </c>
      <c r="Y459"/>
      <c r="Z459" s="1"/>
      <c r="AA459" s="1"/>
      <c r="AB459" s="1"/>
      <c r="AC459" s="1"/>
    </row>
    <row r="460" spans="1:29" x14ac:dyDescent="0.3">
      <c r="A460" s="1">
        <f>ROW(CantoralDB[[#This Row],[Título]])-1</f>
        <v>459</v>
      </c>
      <c r="B460" s="1" t="s">
        <v>1206</v>
      </c>
      <c r="C460" s="1"/>
      <c r="E460" s="1">
        <v>87</v>
      </c>
      <c r="H460" s="1" t="s">
        <v>1027</v>
      </c>
      <c r="J460" s="1" t="s">
        <v>605</v>
      </c>
      <c r="M460" s="15" t="s">
        <v>478</v>
      </c>
      <c r="N460" s="1" t="s">
        <v>5500</v>
      </c>
      <c r="O460" s="15"/>
      <c r="P460" s="15">
        <v>1995</v>
      </c>
      <c r="Q460" s="15" t="str" cm="1">
        <f t="array" ref="Q4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0" s="15" t="str" cm="1">
        <f t="array" ref="R4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canciones/carmelo_erdozain/dios_te_salve_maria_llena_eres_de_gracia.html</v>
      </c>
      <c r="T460" s="1"/>
      <c r="U460" s="1"/>
      <c r="V460" s="32" t="s">
        <v>5851</v>
      </c>
      <c r="W4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data-nold="87"&gt;&lt;a href="canciones/carmelo_erdozain/dios_te_salve_maria_llena_eres_de_gracia.html"&gt;Dios te salve, María, llena eres de gracia&lt;/a&gt;&lt;/li&gt;</v>
      </c>
      <c r="X460" s="15" t="str">
        <f>_xlfn.TEXTBEFORE(_xlfn.TEXTAFTER(CantoralDB[[#This Row],[index.html]],"&gt;"),"&gt;")&amp;"&gt;"</f>
        <v>&lt;a href="canciones/carmelo_erdozain/dios_te_salve_maria_llena_eres_de_gracia.html"&gt;</v>
      </c>
      <c r="Y460"/>
      <c r="Z460" s="1"/>
      <c r="AA460" s="1"/>
      <c r="AB460" s="1"/>
      <c r="AC460" s="1"/>
    </row>
    <row r="461" spans="1:29" x14ac:dyDescent="0.3">
      <c r="A461" s="1">
        <f>ROW(CantoralDB[[#This Row],[Título]])-1</f>
        <v>460</v>
      </c>
      <c r="B461" s="1" t="s">
        <v>1262</v>
      </c>
      <c r="C461" s="1"/>
      <c r="E461" s="1">
        <v>137</v>
      </c>
      <c r="H461" s="1" t="s">
        <v>529</v>
      </c>
      <c r="J461" s="1" t="s">
        <v>605</v>
      </c>
      <c r="M461" s="15" t="s">
        <v>478</v>
      </c>
      <c r="N461" s="1" t="s">
        <v>5500</v>
      </c>
      <c r="O461" s="15"/>
      <c r="P461" s="15">
        <v>1995</v>
      </c>
      <c r="Q461" s="15" t="str" cm="1">
        <f t="array" ref="Q4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1" s="15" t="str" cm="1">
        <f t="array" ref="R4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canciones/carmelo_erdozain/hoy_me_siento_peregrino.html</v>
      </c>
      <c r="T461" s="1"/>
      <c r="U461" s="1"/>
      <c r="V461" s="32" t="s">
        <v>5853</v>
      </c>
      <c r="W4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data-nold="137"&gt;&lt;a href="canciones/carmelo_erdozain/hoy_me_siento_peregrino.html"&gt;Hoy me siento peregrino&lt;/a&gt;&lt;/li&gt;</v>
      </c>
      <c r="X461" s="15" t="str">
        <f>_xlfn.TEXTBEFORE(_xlfn.TEXTAFTER(CantoralDB[[#This Row],[index.html]],"&gt;"),"&gt;")&amp;"&gt;"</f>
        <v>&lt;a href="canciones/carmelo_erdozain/hoy_me_siento_peregrino.html"&gt;</v>
      </c>
      <c r="Y461"/>
      <c r="Z461" s="1"/>
      <c r="AA461" s="1"/>
      <c r="AB461" s="1"/>
      <c r="AC461" s="1"/>
    </row>
    <row r="462" spans="1:29" x14ac:dyDescent="0.3">
      <c r="A462" s="1">
        <f>ROW(CantoralDB[[#This Row],[Título]])-1</f>
        <v>461</v>
      </c>
      <c r="B462" s="1" t="s">
        <v>1348</v>
      </c>
      <c r="C462" s="1"/>
      <c r="E462" s="1">
        <v>296</v>
      </c>
      <c r="H462" s="1" t="s">
        <v>1024</v>
      </c>
      <c r="J462" s="1" t="s">
        <v>605</v>
      </c>
      <c r="M462" s="15" t="s">
        <v>478</v>
      </c>
      <c r="N462" s="1" t="s">
        <v>5500</v>
      </c>
      <c r="O462" s="15"/>
      <c r="P462" s="15">
        <v>1995</v>
      </c>
      <c r="Q462" s="15" t="str" cm="1">
        <f t="array" ref="Q4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2" s="15" t="str" cm="1">
        <f t="array" ref="R4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canciones/carmelo_erdozain/yo_estare_con_vosotros.html</v>
      </c>
      <c r="T462" s="1"/>
      <c r="U462" s="1"/>
      <c r="V462" s="32" t="s">
        <v>2961</v>
      </c>
      <c r="W4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data-nold="296"&gt;&lt;a href="canciones/carmelo_erdozain/yo_estare_con_vosotros.html"&gt;Yo estaré con vosotros&lt;/a&gt;&lt;/li&gt;</v>
      </c>
      <c r="X462" s="15" t="str">
        <f>_xlfn.TEXTBEFORE(_xlfn.TEXTAFTER(CantoralDB[[#This Row],[index.html]],"&gt;"),"&gt;")&amp;"&gt;"</f>
        <v>&lt;a href="canciones/carmelo_erdozain/yo_estare_con_vosotros.html"&gt;</v>
      </c>
      <c r="Y462"/>
      <c r="Z462" s="1"/>
      <c r="AA462" s="1"/>
      <c r="AB462" s="1"/>
      <c r="AC462" s="1"/>
    </row>
    <row r="463" spans="1:29" x14ac:dyDescent="0.3">
      <c r="A463" s="1">
        <f>ROW(CantoralDB[[#This Row],[Título]])-1</f>
        <v>462</v>
      </c>
      <c r="B463" s="1" t="s">
        <v>5556</v>
      </c>
      <c r="C463" s="1"/>
      <c r="J463" s="1"/>
      <c r="M463" s="15" t="s">
        <v>478</v>
      </c>
      <c r="N463" s="1" t="s">
        <v>3437</v>
      </c>
      <c r="O463" s="15">
        <v>1</v>
      </c>
      <c r="P463" s="15">
        <v>1985</v>
      </c>
      <c r="Q463" s="15" t="str" cm="1">
        <f t="array" ref="Q4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3" s="15" t="str" cm="1">
        <f t="array" ref="R4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canciones/carmelo_erdozain/cerca_esta.html</v>
      </c>
      <c r="T463" s="1"/>
      <c r="U463" s="1"/>
      <c r="V463" s="32" t="s">
        <v>5833</v>
      </c>
      <c r="W4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href="canciones/carmelo_erdozain/cerca_esta.html"&gt;Cerca está&lt;/a&gt;&lt;/li&gt;</v>
      </c>
      <c r="X463" s="15" t="str">
        <f>_xlfn.TEXTBEFORE(_xlfn.TEXTAFTER(CantoralDB[[#This Row],[index.html]],"&gt;"),"&gt;")&amp;"&gt;"</f>
        <v>&lt;a href="canciones/carmelo_erdozain/cerca_esta.html"&gt;</v>
      </c>
      <c r="Y463"/>
      <c r="Z463" s="1"/>
      <c r="AA463" s="1"/>
      <c r="AB463" s="1"/>
      <c r="AC463" s="1"/>
    </row>
    <row r="464" spans="1:29" x14ac:dyDescent="0.3">
      <c r="A464" s="1">
        <f>ROW(CantoralDB[[#This Row],[Título]])-1</f>
        <v>463</v>
      </c>
      <c r="B464" s="1" t="s">
        <v>5557</v>
      </c>
      <c r="C464" s="1"/>
      <c r="J464" s="1"/>
      <c r="M464" s="15" t="s">
        <v>478</v>
      </c>
      <c r="N464" s="1" t="s">
        <v>3437</v>
      </c>
      <c r="O464" s="15">
        <v>2</v>
      </c>
      <c r="P464" s="15">
        <v>1985</v>
      </c>
      <c r="Q464" s="15" t="str" cm="1">
        <f t="array" ref="Q4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4" s="15" t="str" cm="1">
        <f t="array" ref="R4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canciones/carmelo_erdozain/tu_me_llamas_por_mi_nombre.html</v>
      </c>
      <c r="T464" s="1"/>
      <c r="U464" s="1"/>
      <c r="V464" s="32" t="s">
        <v>5756</v>
      </c>
      <c r="W4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href="canciones/carmelo_erdozain/tu_me_llamas_por_mi_nombre.html"&gt;Tú me llamas por mi nombre&lt;/a&gt;&lt;/li&gt;</v>
      </c>
      <c r="X464" s="15" t="str">
        <f>_xlfn.TEXTBEFORE(_xlfn.TEXTAFTER(CantoralDB[[#This Row],[index.html]],"&gt;"),"&gt;")&amp;"&gt;"</f>
        <v>&lt;a href="canciones/carmelo_erdozain/tu_me_llamas_por_mi_nombre.html"&gt;</v>
      </c>
      <c r="Y464"/>
      <c r="Z464" s="1"/>
      <c r="AA464" s="1"/>
      <c r="AB464" s="1"/>
      <c r="AC464" s="1"/>
    </row>
    <row r="465" spans="1:29" x14ac:dyDescent="0.3">
      <c r="A465" s="1">
        <f>ROW(CantoralDB[[#This Row],[Título]])-1</f>
        <v>464</v>
      </c>
      <c r="B465" s="1" t="s">
        <v>5558</v>
      </c>
      <c r="C465" s="1"/>
      <c r="J465" s="1"/>
      <c r="M465" s="15" t="s">
        <v>478</v>
      </c>
      <c r="N465" s="1" t="s">
        <v>3437</v>
      </c>
      <c r="O465" s="15">
        <v>3</v>
      </c>
      <c r="P465" s="15">
        <v>1985</v>
      </c>
      <c r="Q465" s="15" t="str" cm="1">
        <f t="array" ref="Q4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5" s="15" t="str" cm="1">
        <f t="array" ref="R4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canciones/carmelo_erdozain/en_el_lago.html</v>
      </c>
      <c r="T465" s="1"/>
      <c r="U465" s="1"/>
      <c r="V465" s="32" t="s">
        <v>5757</v>
      </c>
      <c r="W4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href="canciones/carmelo_erdozain/en_el_lago.html"&gt;En el lago&lt;/a&gt;&lt;/li&gt;</v>
      </c>
      <c r="X465" s="15" t="str">
        <f>_xlfn.TEXTBEFORE(_xlfn.TEXTAFTER(CantoralDB[[#This Row],[index.html]],"&gt;"),"&gt;")&amp;"&gt;"</f>
        <v>&lt;a href="canciones/carmelo_erdozain/en_el_lago.html"&gt;</v>
      </c>
      <c r="Y465"/>
      <c r="Z465" s="1"/>
      <c r="AA465" s="1"/>
      <c r="AB465" s="1"/>
      <c r="AC465" s="1"/>
    </row>
    <row r="466" spans="1:29" x14ac:dyDescent="0.3">
      <c r="A466" s="1">
        <f>ROW(CantoralDB[[#This Row],[Título]])-1</f>
        <v>465</v>
      </c>
      <c r="B466" s="1" t="s">
        <v>5559</v>
      </c>
      <c r="C466" s="1"/>
      <c r="J466" s="1"/>
      <c r="M466" s="15" t="s">
        <v>478</v>
      </c>
      <c r="N466" s="1" t="s">
        <v>3437</v>
      </c>
      <c r="O466" s="15">
        <v>4</v>
      </c>
      <c r="P466" s="15">
        <v>1985</v>
      </c>
      <c r="Q466" s="15" t="str" cm="1">
        <f t="array" ref="Q4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6" s="15" t="str" cm="1">
        <f t="array" ref="R4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canciones/carmelo_erdozain/vestido_de_sol.html</v>
      </c>
      <c r="T466" s="1"/>
      <c r="U466" s="1"/>
      <c r="V466" s="32" t="s">
        <v>5758</v>
      </c>
      <c r="W4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href="canciones/carmelo_erdozain/vestido_de_sol.html"&gt;Vestido de sol&lt;/a&gt;&lt;/li&gt;</v>
      </c>
      <c r="X466" s="15" t="str">
        <f>_xlfn.TEXTBEFORE(_xlfn.TEXTAFTER(CantoralDB[[#This Row],[index.html]],"&gt;"),"&gt;")&amp;"&gt;"</f>
        <v>&lt;a href="canciones/carmelo_erdozain/vestido_de_sol.html"&gt;</v>
      </c>
      <c r="Y466"/>
      <c r="Z466" s="1"/>
      <c r="AA466" s="1"/>
      <c r="AB466" s="1"/>
      <c r="AC466" s="1"/>
    </row>
    <row r="467" spans="1:29" x14ac:dyDescent="0.3">
      <c r="A467" s="1">
        <f>ROW(CantoralDB[[#This Row],[Título]])-1</f>
        <v>466</v>
      </c>
      <c r="B467" s="1" t="s">
        <v>5560</v>
      </c>
      <c r="C467" s="1"/>
      <c r="J467" s="1"/>
      <c r="M467" s="15" t="s">
        <v>478</v>
      </c>
      <c r="N467" s="1" t="s">
        <v>3437</v>
      </c>
      <c r="O467" s="15">
        <v>5</v>
      </c>
      <c r="P467" s="15">
        <v>1985</v>
      </c>
      <c r="Q467" s="15" t="str" cm="1">
        <f t="array" ref="Q4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7" s="15" t="str" cm="1">
        <f t="array" ref="R4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canciones/carmelo_erdozain/dichosos_son_sobre_los_montes.html</v>
      </c>
      <c r="T467" s="1"/>
      <c r="U467" s="1"/>
      <c r="V467" s="32" t="s">
        <v>5759</v>
      </c>
      <c r="W4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href="canciones/carmelo_erdozain/dichosos_son_sobre_los_montes.html"&gt;Dichosos son sobre los montes&lt;/a&gt;&lt;/li&gt;</v>
      </c>
      <c r="X467" s="15" t="str">
        <f>_xlfn.TEXTBEFORE(_xlfn.TEXTAFTER(CantoralDB[[#This Row],[index.html]],"&gt;"),"&gt;")&amp;"&gt;"</f>
        <v>&lt;a href="canciones/carmelo_erdozain/dichosos_son_sobre_los_montes.html"&gt;</v>
      </c>
      <c r="Y467"/>
      <c r="Z467" s="1"/>
      <c r="AA467" s="1"/>
      <c r="AB467" s="1"/>
      <c r="AC467" s="1"/>
    </row>
    <row r="468" spans="1:29" x14ac:dyDescent="0.3">
      <c r="A468" s="1">
        <f>ROW(CantoralDB[[#This Row],[Título]])-1</f>
        <v>467</v>
      </c>
      <c r="B468" s="1" t="s">
        <v>5561</v>
      </c>
      <c r="C468" s="1"/>
      <c r="J468" s="1"/>
      <c r="M468" s="15" t="s">
        <v>478</v>
      </c>
      <c r="N468" s="1" t="s">
        <v>3437</v>
      </c>
      <c r="O468" s="15">
        <v>6</v>
      </c>
      <c r="P468" s="15">
        <v>1985</v>
      </c>
      <c r="Q468" s="15" t="str" cm="1">
        <f t="array" ref="Q4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8" s="15" t="str" cm="1">
        <f t="array" ref="R4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canciones/carmelo_erdozain/se_buscan_jovenes.html</v>
      </c>
      <c r="T468" s="1"/>
      <c r="U468" s="1"/>
      <c r="V468" s="32" t="s">
        <v>5760</v>
      </c>
      <c r="W4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href="canciones/carmelo_erdozain/se_buscan_jovenes.html"&gt;Se buscan jóvenes&lt;/a&gt;&lt;/li&gt;</v>
      </c>
      <c r="X468" s="15" t="str">
        <f>_xlfn.TEXTBEFORE(_xlfn.TEXTAFTER(CantoralDB[[#This Row],[index.html]],"&gt;"),"&gt;")&amp;"&gt;"</f>
        <v>&lt;a href="canciones/carmelo_erdozain/se_buscan_jovenes.html"&gt;</v>
      </c>
      <c r="Y468"/>
      <c r="Z468" s="1"/>
      <c r="AA468" s="1"/>
      <c r="AB468" s="1"/>
      <c r="AC468" s="1"/>
    </row>
    <row r="469" spans="1:29" x14ac:dyDescent="0.3">
      <c r="A469" s="1">
        <f>ROW(CantoralDB[[#This Row],[Título]])-1</f>
        <v>468</v>
      </c>
      <c r="B469" s="1" t="s">
        <v>5562</v>
      </c>
      <c r="C469" s="1"/>
      <c r="J469" s="1"/>
      <c r="M469" s="15" t="s">
        <v>478</v>
      </c>
      <c r="N469" s="1" t="s">
        <v>3437</v>
      </c>
      <c r="O469" s="15">
        <v>7</v>
      </c>
      <c r="P469" s="15">
        <v>1985</v>
      </c>
      <c r="Q469" s="15" t="str" cm="1">
        <f t="array" ref="Q4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69" s="15" t="str" cm="1">
        <f t="array" ref="R4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canciones/carmelo_erdozain/quedate_señor.html</v>
      </c>
      <c r="T469" s="1"/>
      <c r="U469" s="1"/>
      <c r="V469" s="32" t="s">
        <v>5761</v>
      </c>
      <c r="W4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href="canciones/carmelo_erdozain/quedate_señor.html"&gt;Quédate, Señor&lt;/a&gt;&lt;/li&gt;</v>
      </c>
      <c r="X469" s="15" t="str">
        <f>_xlfn.TEXTBEFORE(_xlfn.TEXTAFTER(CantoralDB[[#This Row],[index.html]],"&gt;"),"&gt;")&amp;"&gt;"</f>
        <v>&lt;a href="canciones/carmelo_erdozain/quedate_señor.html"&gt;</v>
      </c>
      <c r="Y469"/>
      <c r="Z469" s="1"/>
      <c r="AA469" s="1"/>
      <c r="AB469" s="1"/>
      <c r="AC469" s="1"/>
    </row>
    <row r="470" spans="1:29" x14ac:dyDescent="0.3">
      <c r="A470" s="1">
        <f>ROW(CantoralDB[[#This Row],[Título]])-1</f>
        <v>469</v>
      </c>
      <c r="B470" s="1" t="s">
        <v>5563</v>
      </c>
      <c r="C470" s="1"/>
      <c r="J470" s="1"/>
      <c r="M470" s="15" t="s">
        <v>478</v>
      </c>
      <c r="N470" s="1" t="s">
        <v>3437</v>
      </c>
      <c r="O470" s="15">
        <v>8</v>
      </c>
      <c r="P470" s="15">
        <v>1985</v>
      </c>
      <c r="Q470" s="15" t="str" cm="1">
        <f t="array" ref="Q4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0" s="15" t="str" cm="1">
        <f t="array" ref="R4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canciones/carmelo_erdozain/señor_del_alba.html</v>
      </c>
      <c r="T470" s="1"/>
      <c r="U470" s="1"/>
      <c r="V470" s="32" t="s">
        <v>5762</v>
      </c>
      <c r="W4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href="canciones/carmelo_erdozain/señor_del_alba.html"&gt;Señor del alba&lt;/a&gt;&lt;/li&gt;</v>
      </c>
      <c r="X470" s="15" t="str">
        <f>_xlfn.TEXTBEFORE(_xlfn.TEXTAFTER(CantoralDB[[#This Row],[index.html]],"&gt;"),"&gt;")&amp;"&gt;"</f>
        <v>&lt;a href="canciones/carmelo_erdozain/señor_del_alba.html"&gt;</v>
      </c>
      <c r="Y470"/>
      <c r="Z470" s="1"/>
      <c r="AA470" s="1"/>
      <c r="AB470" s="1"/>
      <c r="AC470" s="1"/>
    </row>
    <row r="471" spans="1:29" x14ac:dyDescent="0.3">
      <c r="A471" s="1">
        <f>ROW(CantoralDB[[#This Row],[Título]])-1</f>
        <v>470</v>
      </c>
      <c r="B471" s="1" t="s">
        <v>5564</v>
      </c>
      <c r="C471" s="1"/>
      <c r="J471" s="1"/>
      <c r="M471" s="15" t="s">
        <v>478</v>
      </c>
      <c r="N471" s="1" t="s">
        <v>3437</v>
      </c>
      <c r="O471" s="15">
        <v>9</v>
      </c>
      <c r="P471" s="15">
        <v>1985</v>
      </c>
      <c r="Q471" s="15" t="str" cm="1">
        <f t="array" ref="Q4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1" s="15" t="str" cm="1">
        <f t="array" ref="R4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canciones/carmelo_erdozain/siervo_de_yahveh.html</v>
      </c>
      <c r="T471" s="1"/>
      <c r="U471" s="1"/>
      <c r="V471" s="32" t="s">
        <v>5763</v>
      </c>
      <c r="W4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href="canciones/carmelo_erdozain/siervo_de_yahveh.html"&gt;Siervo de Yahveh&lt;/a&gt;&lt;/li&gt;</v>
      </c>
      <c r="X471" s="15" t="str">
        <f>_xlfn.TEXTBEFORE(_xlfn.TEXTAFTER(CantoralDB[[#This Row],[index.html]],"&gt;"),"&gt;")&amp;"&gt;"</f>
        <v>&lt;a href="canciones/carmelo_erdozain/siervo_de_yahveh.html"&gt;</v>
      </c>
      <c r="Y471"/>
      <c r="Z471" s="1"/>
      <c r="AA471" s="1"/>
      <c r="AB471" s="1"/>
      <c r="AC471" s="1"/>
    </row>
    <row r="472" spans="1:29" x14ac:dyDescent="0.3">
      <c r="A472" s="1">
        <f>ROW(CantoralDB[[#This Row],[Título]])-1</f>
        <v>471</v>
      </c>
      <c r="B472" s="1" t="s">
        <v>5565</v>
      </c>
      <c r="C472" s="1"/>
      <c r="J472" s="1"/>
      <c r="M472" s="15" t="s">
        <v>478</v>
      </c>
      <c r="N472" s="1" t="s">
        <v>3437</v>
      </c>
      <c r="O472" s="15">
        <v>10</v>
      </c>
      <c r="P472" s="15">
        <v>1985</v>
      </c>
      <c r="Q472" s="15" t="str" cm="1">
        <f t="array" ref="Q4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2" s="15" t="str" cm="1">
        <f t="array" ref="R4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canciones/carmelo_erdozain/hay_una_casa_muy_cerca.html</v>
      </c>
      <c r="T472" s="1"/>
      <c r="U472" s="1"/>
      <c r="V472" s="32" t="s">
        <v>5764</v>
      </c>
      <c r="W4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href="canciones/carmelo_erdozain/hay_una_casa_muy_cerca.html"&gt;Hay una casa muy cerca&lt;/a&gt;&lt;/li&gt;</v>
      </c>
      <c r="X472" s="15" t="str">
        <f>_xlfn.TEXTBEFORE(_xlfn.TEXTAFTER(CantoralDB[[#This Row],[index.html]],"&gt;"),"&gt;")&amp;"&gt;"</f>
        <v>&lt;a href="canciones/carmelo_erdozain/hay_una_casa_muy_cerca.html"&gt;</v>
      </c>
      <c r="Y472"/>
      <c r="Z472" s="1"/>
      <c r="AA472" s="1"/>
      <c r="AB472" s="1"/>
      <c r="AC472" s="1"/>
    </row>
    <row r="473" spans="1:29" x14ac:dyDescent="0.3">
      <c r="A473" s="1">
        <f>ROW(CantoralDB[[#This Row],[Título]])-1</f>
        <v>472</v>
      </c>
      <c r="B473" s="1" t="s">
        <v>1270</v>
      </c>
      <c r="C473" s="1"/>
      <c r="E473" s="1">
        <v>154</v>
      </c>
      <c r="H473" s="1" t="s">
        <v>1024</v>
      </c>
      <c r="J473" s="1" t="s">
        <v>605</v>
      </c>
      <c r="M473" s="15" t="s">
        <v>478</v>
      </c>
      <c r="N473" s="1" t="s">
        <v>5490</v>
      </c>
      <c r="O473" s="15">
        <v>1</v>
      </c>
      <c r="P473" s="15">
        <v>1983</v>
      </c>
      <c r="Q473" s="15" t="str" cm="1">
        <f t="array" ref="Q4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3" s="15" t="str" cm="1">
        <f t="array" ref="R4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4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canciones/carmelo_erdozain/las_puertas_de_la_nueva_ciudad.html</v>
      </c>
      <c r="T473" s="1"/>
      <c r="U473" s="1"/>
      <c r="V473" s="32" t="s">
        <v>5837</v>
      </c>
      <c r="W4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 data-nold="154"&gt;&lt;a href="canciones/carmelo_erdozain/las_puertas_de_la_nueva_ciudad.html"&gt;Las puertas de la nueva ciudad&lt;/a&gt;&lt;/li&gt;</v>
      </c>
      <c r="X473" s="15" t="str">
        <f>_xlfn.TEXTBEFORE(_xlfn.TEXTAFTER(CantoralDB[[#This Row],[index.html]],"&gt;"),"&gt;")&amp;"&gt;"</f>
        <v>&lt;a href="canciones/carmelo_erdozain/las_puertas_de_la_nueva_ciudad.html"&gt;</v>
      </c>
      <c r="Y473"/>
      <c r="Z473" s="1"/>
      <c r="AA473" s="1"/>
      <c r="AB473" s="1"/>
      <c r="AC473" s="1"/>
    </row>
    <row r="474" spans="1:29" x14ac:dyDescent="0.3">
      <c r="A474" s="1">
        <f>ROW(CantoralDB[[#This Row],[Título]])-1</f>
        <v>473</v>
      </c>
      <c r="B474" s="1" t="s">
        <v>5590</v>
      </c>
      <c r="C474" s="1"/>
      <c r="J474" s="1"/>
      <c r="M474" s="15" t="s">
        <v>478</v>
      </c>
      <c r="N474" s="1" t="s">
        <v>5490</v>
      </c>
      <c r="O474" s="15">
        <v>2</v>
      </c>
      <c r="P474" s="15">
        <v>1983</v>
      </c>
      <c r="Q474" s="15" t="str" cm="1">
        <f t="array" ref="Q4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4" s="15" t="str" cm="1">
        <f t="array" ref="R4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canciones/carmelo_erdozain/como_busca_la_cierva_herida.html</v>
      </c>
      <c r="T474" s="1"/>
      <c r="U474" s="1"/>
      <c r="V474" s="32" t="s">
        <v>5838</v>
      </c>
      <c r="W4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href="canciones/carmelo_erdozain/como_busca_la_cierva_herida.html"&gt;Como busca la cierva herida&lt;/a&gt;&lt;/li&gt;</v>
      </c>
      <c r="X474" s="15" t="str">
        <f>_xlfn.TEXTBEFORE(_xlfn.TEXTAFTER(CantoralDB[[#This Row],[index.html]],"&gt;"),"&gt;")&amp;"&gt;"</f>
        <v>&lt;a href="canciones/carmelo_erdozain/como_busca_la_cierva_herida.html"&gt;</v>
      </c>
      <c r="Y474"/>
      <c r="Z474" s="1"/>
      <c r="AA474" s="1"/>
      <c r="AB474" s="1"/>
      <c r="AC474" s="1"/>
    </row>
    <row r="475" spans="1:29" x14ac:dyDescent="0.3">
      <c r="A475" s="1">
        <f>ROW(CantoralDB[[#This Row],[Título]])-1</f>
        <v>474</v>
      </c>
      <c r="B475" s="1" t="s">
        <v>5591</v>
      </c>
      <c r="C475" s="1"/>
      <c r="J475" s="1"/>
      <c r="M475" s="15" t="s">
        <v>478</v>
      </c>
      <c r="N475" s="1" t="s">
        <v>5490</v>
      </c>
      <c r="O475" s="15">
        <v>3</v>
      </c>
      <c r="P475" s="15">
        <v>1983</v>
      </c>
      <c r="Q475" s="15" t="str" cm="1">
        <f t="array" ref="Q4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5" s="15" t="str" cm="1">
        <f t="array" ref="R4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canciones/carmelo_erdozain/a_tus_manos_señor_encomiendo_mi_espiritu.html</v>
      </c>
      <c r="T475" s="1"/>
      <c r="U475" s="1"/>
      <c r="V475" s="32" t="s">
        <v>5839</v>
      </c>
      <c r="W4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href="canciones/carmelo_erdozain/a_tus_manos_señor_encomiendo_mi_espiritu.html"&gt;A tus manos, Señor, encomiendo mi espíritu&lt;/a&gt;&lt;/li&gt;</v>
      </c>
      <c r="X475" s="15" t="str">
        <f>_xlfn.TEXTBEFORE(_xlfn.TEXTAFTER(CantoralDB[[#This Row],[index.html]],"&gt;"),"&gt;")&amp;"&gt;"</f>
        <v>&lt;a href="canciones/carmelo_erdozain/a_tus_manos_señor_encomiendo_mi_espiritu.html"&gt;</v>
      </c>
      <c r="Y475"/>
      <c r="Z475" s="1"/>
      <c r="AA475" s="1"/>
      <c r="AB475" s="1"/>
      <c r="AC475" s="1"/>
    </row>
    <row r="476" spans="1:29" x14ac:dyDescent="0.3">
      <c r="A476" s="1">
        <f>ROW(CantoralDB[[#This Row],[Título]])-1</f>
        <v>475</v>
      </c>
      <c r="B476" s="1" t="s">
        <v>5592</v>
      </c>
      <c r="C476" s="1"/>
      <c r="J476" s="1"/>
      <c r="M476" s="15" t="s">
        <v>478</v>
      </c>
      <c r="N476" s="1" t="s">
        <v>5490</v>
      </c>
      <c r="O476" s="15">
        <v>4</v>
      </c>
      <c r="P476" s="15">
        <v>1983</v>
      </c>
      <c r="Q476" s="15" t="str" cm="1">
        <f t="array" ref="Q4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6" s="15" t="str" cm="1">
        <f t="array" ref="R4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canciones/carmelo_erdozain/con_amor_te_presento_señor.html</v>
      </c>
      <c r="T476" s="1"/>
      <c r="U476" s="1"/>
      <c r="V476" s="32" t="s">
        <v>5834</v>
      </c>
      <c r="W4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href="canciones/carmelo_erdozain/con_amor_te_presento_señor.html"&gt;Con amor te presento, Señor&lt;/a&gt;&lt;/li&gt;</v>
      </c>
      <c r="X476" s="15" t="str">
        <f>_xlfn.TEXTBEFORE(_xlfn.TEXTAFTER(CantoralDB[[#This Row],[index.html]],"&gt;"),"&gt;")&amp;"&gt;"</f>
        <v>&lt;a href="canciones/carmelo_erdozain/con_amor_te_presento_señor.html"&gt;</v>
      </c>
      <c r="Y476"/>
      <c r="Z476" s="1"/>
      <c r="AA476" s="1"/>
      <c r="AB476" s="1"/>
      <c r="AC476" s="1"/>
    </row>
    <row r="477" spans="1:29" x14ac:dyDescent="0.3">
      <c r="A477" s="1">
        <f>ROW(CantoralDB[[#This Row],[Título]])-1</f>
        <v>476</v>
      </c>
      <c r="B477" s="1" t="s">
        <v>5594</v>
      </c>
      <c r="C477" s="1"/>
      <c r="J477" s="1"/>
      <c r="M477" s="15" t="s">
        <v>478</v>
      </c>
      <c r="N477" s="1" t="s">
        <v>5490</v>
      </c>
      <c r="O477" s="15">
        <v>6</v>
      </c>
      <c r="P477" s="15">
        <v>1983</v>
      </c>
      <c r="Q477" s="15" t="str" cm="1">
        <f t="array" ref="Q4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7" s="15" t="str" cm="1">
        <f t="array" ref="R4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canciones/carmelo_erdozain/a_la_hora_de_nona.html</v>
      </c>
      <c r="T477" s="1"/>
      <c r="U477" s="1"/>
      <c r="V477" s="32" t="s">
        <v>5840</v>
      </c>
      <c r="W4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href="canciones/carmelo_erdozain/a_la_hora_de_nona.html"&gt;A la hora de nona&lt;/a&gt;&lt;/li&gt;</v>
      </c>
      <c r="X477" s="15" t="str">
        <f>_xlfn.TEXTBEFORE(_xlfn.TEXTAFTER(CantoralDB[[#This Row],[index.html]],"&gt;"),"&gt;")&amp;"&gt;"</f>
        <v>&lt;a href="canciones/carmelo_erdozain/a_la_hora_de_nona.html"&gt;</v>
      </c>
      <c r="Y477"/>
      <c r="Z477" s="1"/>
      <c r="AA477" s="1"/>
      <c r="AB477" s="1"/>
      <c r="AC477" s="1"/>
    </row>
    <row r="478" spans="1:29" x14ac:dyDescent="0.3">
      <c r="A478" s="1">
        <f>ROW(CantoralDB[[#This Row],[Título]])-1</f>
        <v>477</v>
      </c>
      <c r="B478" s="1" t="s">
        <v>5595</v>
      </c>
      <c r="C478" s="1"/>
      <c r="J478" s="1"/>
      <c r="M478" s="15" t="s">
        <v>478</v>
      </c>
      <c r="N478" s="1" t="s">
        <v>5490</v>
      </c>
      <c r="O478" s="15">
        <v>7</v>
      </c>
      <c r="P478" s="15">
        <v>1983</v>
      </c>
      <c r="Q478" s="15" t="str" cm="1">
        <f t="array" ref="Q4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8" s="15" t="str" cm="1">
        <f t="array" ref="R4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canciones/carmelo_erdozain/cristo_es_la_resurreccion.html</v>
      </c>
      <c r="T478" s="1"/>
      <c r="U478" s="1"/>
      <c r="V478" s="32" t="s">
        <v>5841</v>
      </c>
      <c r="W4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href="canciones/carmelo_erdozain/cristo_es_la_resurreccion.html"&gt;Cristo es la resurrección&lt;/a&gt;&lt;/li&gt;</v>
      </c>
      <c r="X478" s="15" t="str">
        <f>_xlfn.TEXTBEFORE(_xlfn.TEXTAFTER(CantoralDB[[#This Row],[index.html]],"&gt;"),"&gt;")&amp;"&gt;"</f>
        <v>&lt;a href="canciones/carmelo_erdozain/cristo_es_la_resurreccion.html"&gt;</v>
      </c>
      <c r="Y478"/>
      <c r="Z478" s="1"/>
      <c r="AA478" s="1"/>
      <c r="AB478" s="1"/>
      <c r="AC478" s="1"/>
    </row>
    <row r="479" spans="1:29" x14ac:dyDescent="0.3">
      <c r="A479" s="1">
        <f>ROW(CantoralDB[[#This Row],[Título]])-1</f>
        <v>478</v>
      </c>
      <c r="B479" s="1" t="s">
        <v>5596</v>
      </c>
      <c r="C479" s="1"/>
      <c r="J479" s="1"/>
      <c r="M479" s="15" t="s">
        <v>478</v>
      </c>
      <c r="N479" s="1" t="s">
        <v>5490</v>
      </c>
      <c r="O479" s="15">
        <v>8</v>
      </c>
      <c r="P479" s="15">
        <v>1983</v>
      </c>
      <c r="Q479" s="15" t="str" cm="1">
        <f t="array" ref="Q4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79" s="15" t="str" cm="1">
        <f t="array" ref="R4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canciones/carmelo_erdozain/dale_el_descanso_señor.html</v>
      </c>
      <c r="T479" s="1"/>
      <c r="U479" s="1"/>
      <c r="V479" s="32" t="s">
        <v>5835</v>
      </c>
      <c r="W4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href="canciones/carmelo_erdozain/dale_el_descanso_señor.html"&gt;Dale el descanso, Señor&lt;/a&gt;&lt;/li&gt;</v>
      </c>
      <c r="X479" s="15" t="str">
        <f>_xlfn.TEXTBEFORE(_xlfn.TEXTAFTER(CantoralDB[[#This Row],[index.html]],"&gt;"),"&gt;")&amp;"&gt;"</f>
        <v>&lt;a href="canciones/carmelo_erdozain/dale_el_descanso_señor.html"&gt;</v>
      </c>
      <c r="Y479"/>
      <c r="Z479" s="1"/>
      <c r="AA479" s="1"/>
      <c r="AB479" s="1"/>
      <c r="AC479" s="1"/>
    </row>
    <row r="480" spans="1:29" x14ac:dyDescent="0.3">
      <c r="A480" s="1">
        <f>ROW(CantoralDB[[#This Row],[Título]])-1</f>
        <v>479</v>
      </c>
      <c r="B480" s="1" t="s">
        <v>5597</v>
      </c>
      <c r="C480" s="1"/>
      <c r="J480" s="1"/>
      <c r="M480" s="15" t="s">
        <v>478</v>
      </c>
      <c r="N480" s="1" t="s">
        <v>5490</v>
      </c>
      <c r="O480" s="15">
        <v>9</v>
      </c>
      <c r="P480" s="15">
        <v>1983</v>
      </c>
      <c r="Q480" s="15" t="str" cm="1">
        <f t="array" ref="Q4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80" s="15" t="str" cm="1">
        <f t="array" ref="R4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canciones/carmelo_erdozain/cristo_es_nuestra_paz.html</v>
      </c>
      <c r="T480" s="1"/>
      <c r="U480" s="1"/>
      <c r="V480" s="32" t="s">
        <v>5842</v>
      </c>
      <c r="W4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href="canciones/carmelo_erdozain/cristo_es_nuestra_paz.html"&gt;Cristo es nuestra paz&lt;/a&gt;&lt;/li&gt;</v>
      </c>
      <c r="X480" s="15" t="str">
        <f>_xlfn.TEXTBEFORE(_xlfn.TEXTAFTER(CantoralDB[[#This Row],[index.html]],"&gt;"),"&gt;")&amp;"&gt;"</f>
        <v>&lt;a href="canciones/carmelo_erdozain/cristo_es_nuestra_paz.html"&gt;</v>
      </c>
      <c r="Y480"/>
      <c r="Z480" s="1"/>
      <c r="AA480" s="1"/>
      <c r="AB480" s="1"/>
      <c r="AC480" s="1"/>
    </row>
    <row r="481" spans="1:29" x14ac:dyDescent="0.3">
      <c r="A481" s="1">
        <f>ROW(CantoralDB[[#This Row],[Título]])-1</f>
        <v>480</v>
      </c>
      <c r="B481" s="1" t="s">
        <v>5598</v>
      </c>
      <c r="C481" s="1"/>
      <c r="J481" s="1"/>
      <c r="M481" s="15" t="s">
        <v>478</v>
      </c>
      <c r="N481" s="1" t="s">
        <v>5490</v>
      </c>
      <c r="O481" s="15">
        <v>10</v>
      </c>
      <c r="P481" s="15">
        <v>1983</v>
      </c>
      <c r="Q481" s="15" t="str" cm="1">
        <f t="array" ref="Q4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carmelo_erdozain</v>
      </c>
      <c r="R481" s="15" t="str" cm="1">
        <f t="array" ref="R4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carmelo_erdozain</v>
      </c>
      <c r="S4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canciones/carmelo_erdozain/despidamos_al_hermano.html</v>
      </c>
      <c r="T481" s="1"/>
      <c r="U481" s="1"/>
      <c r="V481" s="32" t="s">
        <v>5836</v>
      </c>
      <c r="W4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data-author="Carmelo Erdozáin"&gt;&lt;a href="canciones/carmelo_erdozain/despidamos_al_hermano.html"&gt;Despidamos al hermano&lt;/a&gt;&lt;/li&gt;</v>
      </c>
      <c r="X481" s="15" t="str">
        <f>_xlfn.TEXTBEFORE(_xlfn.TEXTAFTER(CantoralDB[[#This Row],[index.html]],"&gt;"),"&gt;")&amp;"&gt;"</f>
        <v>&lt;a href="canciones/carmelo_erdozain/despidamos_al_hermano.html"&gt;</v>
      </c>
      <c r="Y481"/>
      <c r="Z481" s="1"/>
      <c r="AA481" s="1"/>
      <c r="AB481" s="1"/>
      <c r="AC481" s="1"/>
    </row>
    <row r="482" spans="1:29" x14ac:dyDescent="0.3">
      <c r="A482" s="1">
        <f>ROW(CantoralDB[[#This Row],[Título]])-1</f>
        <v>481</v>
      </c>
      <c r="B482" s="1" t="s">
        <v>4655</v>
      </c>
      <c r="C482" s="1"/>
      <c r="H482" s="1" t="s">
        <v>1024</v>
      </c>
      <c r="J482" s="1" t="s">
        <v>605</v>
      </c>
      <c r="M482" s="15" t="s">
        <v>482</v>
      </c>
      <c r="N482" s="1" t="s">
        <v>4654</v>
      </c>
      <c r="O482" s="15">
        <v>1</v>
      </c>
      <c r="P482" s="15">
        <v>1988</v>
      </c>
      <c r="Q482" s="15" t="str" cm="1">
        <f t="array" ref="Q4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2" s="15" t="str" cm="1">
        <f t="array" ref="R4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canciones/cesareo_gabarain/porque_nos_invitas.html</v>
      </c>
      <c r="T482" s="1"/>
      <c r="U482" s="1"/>
      <c r="V482" s="32" t="s">
        <v>4635</v>
      </c>
      <c r="W4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href="canciones/cesareo_gabarain/porque_nos_invitas.html"&gt;Porque nos invitas&lt;/a&gt;&lt;/li&gt;</v>
      </c>
      <c r="X482" s="15" t="str">
        <f>_xlfn.TEXTBEFORE(_xlfn.TEXTAFTER(CantoralDB[[#This Row],[index.html]],"&gt;"),"&gt;")&amp;"&gt;"</f>
        <v>&lt;a href="canciones/cesareo_gabarain/porque_nos_invitas.html"&gt;</v>
      </c>
      <c r="Y482"/>
      <c r="Z482" s="1"/>
      <c r="AA482" s="1"/>
      <c r="AB482" s="1"/>
      <c r="AC482" s="1"/>
    </row>
    <row r="483" spans="1:29" x14ac:dyDescent="0.3">
      <c r="A483" s="1">
        <f>ROW(CantoralDB[[#This Row],[Título]])-1</f>
        <v>482</v>
      </c>
      <c r="B483" s="1" t="s">
        <v>133</v>
      </c>
      <c r="C483" s="1"/>
      <c r="H483" s="1" t="s">
        <v>1027</v>
      </c>
      <c r="J483" s="1" t="s">
        <v>605</v>
      </c>
      <c r="M483" s="15" t="s">
        <v>482</v>
      </c>
      <c r="N483" s="1" t="s">
        <v>4654</v>
      </c>
      <c r="O483" s="15">
        <v>2</v>
      </c>
      <c r="P483" s="15">
        <v>1988</v>
      </c>
      <c r="Q483" s="15" t="str" cm="1">
        <f t="array" ref="Q4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3" s="15" t="str" cm="1">
        <f t="array" ref="R4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canciones/cesareo_gabarain/señor_ten_piedad.html</v>
      </c>
      <c r="T483" s="1"/>
      <c r="U483" s="1"/>
      <c r="V483" s="32" t="s">
        <v>4622</v>
      </c>
      <c r="W4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href="canciones/cesareo_gabarain/señor_ten_piedad.html"&gt;Señor, ten piedad&lt;/a&gt;&lt;/li&gt;</v>
      </c>
      <c r="X483" s="15" t="str">
        <f>_xlfn.TEXTBEFORE(_xlfn.TEXTAFTER(CantoralDB[[#This Row],[index.html]],"&gt;"),"&gt;")&amp;"&gt;"</f>
        <v>&lt;a href="canciones/cesareo_gabarain/señor_ten_piedad.html"&gt;</v>
      </c>
      <c r="Y483"/>
      <c r="Z483" s="1"/>
      <c r="AA483" s="1"/>
      <c r="AB483" s="1"/>
      <c r="AC483" s="1"/>
    </row>
    <row r="484" spans="1:29" x14ac:dyDescent="0.3">
      <c r="A484" s="1">
        <f>ROW(CantoralDB[[#This Row],[Título]])-1</f>
        <v>483</v>
      </c>
      <c r="B484" s="1" t="s">
        <v>192</v>
      </c>
      <c r="C484" s="1"/>
      <c r="H484" s="1" t="s">
        <v>529</v>
      </c>
      <c r="J484" s="1" t="s">
        <v>605</v>
      </c>
      <c r="M484" s="15" t="s">
        <v>482</v>
      </c>
      <c r="N484" s="1" t="s">
        <v>4654</v>
      </c>
      <c r="O484" s="15">
        <v>3</v>
      </c>
      <c r="P484" s="15">
        <v>1988</v>
      </c>
      <c r="Q484" s="15" t="str" cm="1">
        <f t="array" ref="Q4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4" s="15" t="str" cm="1">
        <f t="array" ref="R4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canciones/cesareo_gabarain/gloria.html</v>
      </c>
      <c r="T484" s="1"/>
      <c r="U484" s="1"/>
      <c r="V484" s="32" t="s">
        <v>4636</v>
      </c>
      <c r="W4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href="canciones/cesareo_gabarain/gloria.html"&gt;Gloria&lt;/a&gt;&lt;/li&gt;</v>
      </c>
      <c r="X484" s="15" t="str">
        <f>_xlfn.TEXTBEFORE(_xlfn.TEXTAFTER(CantoralDB[[#This Row],[index.html]],"&gt;"),"&gt;")&amp;"&gt;"</f>
        <v>&lt;a href="canciones/cesareo_gabarain/gloria.html"&gt;</v>
      </c>
      <c r="Y484"/>
      <c r="Z484" s="1"/>
      <c r="AA484" s="1"/>
      <c r="AB484" s="1"/>
      <c r="AC484" s="1"/>
    </row>
    <row r="485" spans="1:29" x14ac:dyDescent="0.3">
      <c r="A485" s="1">
        <f>ROW(CantoralDB[[#This Row],[Título]])-1</f>
        <v>484</v>
      </c>
      <c r="B485" s="1" t="s">
        <v>4771</v>
      </c>
      <c r="C485" s="1"/>
      <c r="H485" s="1" t="s">
        <v>1024</v>
      </c>
      <c r="J485" s="1" t="s">
        <v>605</v>
      </c>
      <c r="M485" s="15" t="s">
        <v>482</v>
      </c>
      <c r="N485" s="1" t="s">
        <v>4654</v>
      </c>
      <c r="O485" s="15">
        <v>4</v>
      </c>
      <c r="P485" s="15">
        <v>1988</v>
      </c>
      <c r="Q485" s="15" t="str" cm="1">
        <f t="array" ref="Q4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5" s="15" t="str" cm="1">
        <f t="array" ref="R4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canciones/cesareo_gabarain/se_acerca_el_señor.html</v>
      </c>
      <c r="T485" s="1"/>
      <c r="U485" s="1"/>
      <c r="V485" s="32" t="s">
        <v>4637</v>
      </c>
      <c r="W4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href="canciones/cesareo_gabarain/se_acerca_el_señor.html"&gt;Se acerca el Señor&lt;/a&gt;&lt;/li&gt;</v>
      </c>
      <c r="X485" s="15" t="str">
        <f>_xlfn.TEXTBEFORE(_xlfn.TEXTAFTER(CantoralDB[[#This Row],[index.html]],"&gt;"),"&gt;")&amp;"&gt;"</f>
        <v>&lt;a href="canciones/cesareo_gabarain/se_acerca_el_señor.html"&gt;</v>
      </c>
      <c r="Y485"/>
      <c r="Z485" s="1"/>
      <c r="AA485" s="1"/>
      <c r="AB485" s="1"/>
      <c r="AC485" s="1"/>
    </row>
    <row r="486" spans="1:29" x14ac:dyDescent="0.3">
      <c r="A486" s="1">
        <f>ROW(CantoralDB[[#This Row],[Título]])-1</f>
        <v>485</v>
      </c>
      <c r="B486" s="1" t="s">
        <v>1216</v>
      </c>
      <c r="C486" s="1"/>
      <c r="H486" s="1" t="s">
        <v>529</v>
      </c>
      <c r="I486" s="1" t="s">
        <v>2947</v>
      </c>
      <c r="J486" s="1" t="s">
        <v>605</v>
      </c>
      <c r="M486" s="15" t="s">
        <v>482</v>
      </c>
      <c r="N486" s="1" t="s">
        <v>4654</v>
      </c>
      <c r="O486" s="15">
        <v>5</v>
      </c>
      <c r="P486" s="15">
        <v>1988</v>
      </c>
      <c r="Q486" s="15" t="str" cm="1">
        <f t="array" ref="Q4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6" s="15" t="str" cm="1">
        <f t="array" ref="R4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canciones/cesareo_gabarain/el_señor_es_bueno.html</v>
      </c>
      <c r="T486" s="1"/>
      <c r="U486" s="1"/>
      <c r="V486" s="32" t="s">
        <v>4638</v>
      </c>
      <c r="W4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href="canciones/cesareo_gabarain/el_señor_es_bueno.html"&gt;El Señor es bueno&lt;/a&gt;&lt;/li&gt;</v>
      </c>
      <c r="X486" s="15" t="str">
        <f>_xlfn.TEXTBEFORE(_xlfn.TEXTAFTER(CantoralDB[[#This Row],[index.html]],"&gt;"),"&gt;")&amp;"&gt;"</f>
        <v>&lt;a href="canciones/cesareo_gabarain/el_señor_es_bueno.html"&gt;</v>
      </c>
      <c r="Y486"/>
      <c r="Z486" s="1"/>
      <c r="AA486" s="1"/>
      <c r="AB486" s="1"/>
      <c r="AC486" s="1"/>
    </row>
    <row r="487" spans="1:29" x14ac:dyDescent="0.3">
      <c r="A487" s="1">
        <f>ROW(CantoralDB[[#This Row],[Título]])-1</f>
        <v>486</v>
      </c>
      <c r="B487" s="1" t="s">
        <v>4772</v>
      </c>
      <c r="C487" s="1"/>
      <c r="H487" s="1" t="s">
        <v>529</v>
      </c>
      <c r="J487" s="1" t="s">
        <v>605</v>
      </c>
      <c r="M487" s="15" t="s">
        <v>482</v>
      </c>
      <c r="N487" s="1" t="s">
        <v>4654</v>
      </c>
      <c r="O487" s="15">
        <v>6</v>
      </c>
      <c r="P487" s="15">
        <v>1988</v>
      </c>
      <c r="Q487" s="15" t="str" cm="1">
        <f t="array" ref="Q4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7" s="15" t="str" cm="1">
        <f t="array" ref="R4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canciones/cesareo_gabarain/aclama_al_señor_tierra_entera.html</v>
      </c>
      <c r="T487" s="1"/>
      <c r="U487" s="1"/>
      <c r="V487" s="32" t="s">
        <v>4639</v>
      </c>
      <c r="W4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href="canciones/cesareo_gabarain/aclama_al_señor_tierra_entera.html"&gt;Aclama al Señor tierra entera&lt;/a&gt;&lt;/li&gt;</v>
      </c>
      <c r="X487" s="15" t="str">
        <f>_xlfn.TEXTBEFORE(_xlfn.TEXTAFTER(CantoralDB[[#This Row],[index.html]],"&gt;"),"&gt;")&amp;"&gt;"</f>
        <v>&lt;a href="canciones/cesareo_gabarain/aclama_al_señor_tierra_entera.html"&gt;</v>
      </c>
      <c r="Y487"/>
      <c r="Z487" s="1"/>
      <c r="AA487" s="1"/>
      <c r="AB487" s="1"/>
      <c r="AC487" s="1"/>
    </row>
    <row r="488" spans="1:29" x14ac:dyDescent="0.3">
      <c r="A488" s="1">
        <f>ROW(CantoralDB[[#This Row],[Título]])-1</f>
        <v>487</v>
      </c>
      <c r="B488" s="1" t="s">
        <v>1243</v>
      </c>
      <c r="C488" s="1"/>
      <c r="H488" s="1" t="s">
        <v>529</v>
      </c>
      <c r="J488" s="1" t="s">
        <v>605</v>
      </c>
      <c r="M488" s="15" t="s">
        <v>482</v>
      </c>
      <c r="N488" s="1" t="s">
        <v>4654</v>
      </c>
      <c r="O488" s="15">
        <v>7</v>
      </c>
      <c r="P488" s="15">
        <v>1988</v>
      </c>
      <c r="Q488" s="15" t="str" cm="1">
        <f t="array" ref="Q4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8" s="15" t="str" cm="1">
        <f t="array" ref="R4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canciones/cesareo_gabarain/envia_tu_espiritu_señor.html</v>
      </c>
      <c r="T488" s="1"/>
      <c r="U488" s="1"/>
      <c r="V488" s="32" t="s">
        <v>4640</v>
      </c>
      <c r="W4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href="canciones/cesareo_gabarain/envia_tu_espiritu_señor.html"&gt;Envía tu Espíritu, Señor&lt;/a&gt;&lt;/li&gt;</v>
      </c>
      <c r="X488" s="15" t="str">
        <f>_xlfn.TEXTBEFORE(_xlfn.TEXTAFTER(CantoralDB[[#This Row],[index.html]],"&gt;"),"&gt;")&amp;"&gt;"</f>
        <v>&lt;a href="canciones/cesareo_gabarain/envia_tu_espiritu_señor.html"&gt;</v>
      </c>
      <c r="Y488"/>
      <c r="Z488" s="1"/>
      <c r="AA488" s="1"/>
      <c r="AB488" s="1"/>
      <c r="AC488" s="1"/>
    </row>
    <row r="489" spans="1:29" x14ac:dyDescent="0.3">
      <c r="A489" s="1">
        <f>ROW(CantoralDB[[#This Row],[Título]])-1</f>
        <v>488</v>
      </c>
      <c r="B489" s="1" t="s">
        <v>1850</v>
      </c>
      <c r="C489" s="1"/>
      <c r="H489" s="1" t="s">
        <v>1026</v>
      </c>
      <c r="J489" s="1" t="s">
        <v>605</v>
      </c>
      <c r="M489" s="15" t="s">
        <v>482</v>
      </c>
      <c r="N489" s="1" t="s">
        <v>4654</v>
      </c>
      <c r="O489" s="15">
        <v>8</v>
      </c>
      <c r="P489" s="15">
        <v>1988</v>
      </c>
      <c r="Q489" s="15" t="str" cm="1">
        <f t="array" ref="Q4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89" s="15" t="str" cm="1">
        <f t="array" ref="R4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canciones/cesareo_gabarain/aleluya_i.html</v>
      </c>
      <c r="T489" s="1"/>
      <c r="U489" s="1"/>
      <c r="V489" s="32" t="s">
        <v>4641</v>
      </c>
      <c r="W4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href="canciones/cesareo_gabarain/aleluya_i.html"&gt;Aleluya I&lt;/a&gt;&lt;/li&gt;</v>
      </c>
      <c r="X489" s="15" t="str">
        <f>_xlfn.TEXTBEFORE(_xlfn.TEXTAFTER(CantoralDB[[#This Row],[index.html]],"&gt;"),"&gt;")&amp;"&gt;"</f>
        <v>&lt;a href="canciones/cesareo_gabarain/aleluya_i.html"&gt;</v>
      </c>
      <c r="Y489"/>
      <c r="Z489" s="1"/>
      <c r="AA489" s="1"/>
      <c r="AB489" s="1"/>
      <c r="AC489" s="1"/>
    </row>
    <row r="490" spans="1:29" x14ac:dyDescent="0.3">
      <c r="A490" s="1">
        <f>ROW(CantoralDB[[#This Row],[Título]])-1</f>
        <v>489</v>
      </c>
      <c r="B490" s="1" t="s">
        <v>4773</v>
      </c>
      <c r="C490" s="1"/>
      <c r="H490" s="1" t="s">
        <v>1024</v>
      </c>
      <c r="J490" s="1" t="s">
        <v>605</v>
      </c>
      <c r="M490" s="15" t="s">
        <v>482</v>
      </c>
      <c r="N490" s="1" t="s">
        <v>4654</v>
      </c>
      <c r="O490" s="15">
        <v>9</v>
      </c>
      <c r="P490" s="15">
        <v>1988</v>
      </c>
      <c r="Q490" s="15" t="str" cm="1">
        <f t="array" ref="Q4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0" s="15" t="str" cm="1">
        <f t="array" ref="R4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canciones/cesareo_gabarain/habla_señor_que_tu_siervo_escucha.html</v>
      </c>
      <c r="T490" s="1"/>
      <c r="U490" s="1"/>
      <c r="V490" s="32" t="s">
        <v>4642</v>
      </c>
      <c r="W4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href="canciones/cesareo_gabarain/habla_señor_que_tu_siervo_escucha.html"&gt;Habla, Señor, que tu siervo escucha&lt;/a&gt;&lt;/li&gt;</v>
      </c>
      <c r="X490" s="15" t="str">
        <f>_xlfn.TEXTBEFORE(_xlfn.TEXTAFTER(CantoralDB[[#This Row],[index.html]],"&gt;"),"&gt;")&amp;"&gt;"</f>
        <v>&lt;a href="canciones/cesareo_gabarain/habla_señor_que_tu_siervo_escucha.html"&gt;</v>
      </c>
      <c r="Y490"/>
      <c r="Z490" s="1"/>
      <c r="AA490" s="1"/>
      <c r="AB490" s="1"/>
      <c r="AC490" s="1"/>
    </row>
    <row r="491" spans="1:29" x14ac:dyDescent="0.3">
      <c r="A491" s="1">
        <f>ROW(CantoralDB[[#This Row],[Título]])-1</f>
        <v>490</v>
      </c>
      <c r="B491" s="1" t="s">
        <v>4968</v>
      </c>
      <c r="C491" s="1"/>
      <c r="H491" s="1" t="s">
        <v>529</v>
      </c>
      <c r="J491" s="1" t="s">
        <v>605</v>
      </c>
      <c r="M491" s="15" t="s">
        <v>482</v>
      </c>
      <c r="N491" s="1" t="s">
        <v>4654</v>
      </c>
      <c r="O491" s="15">
        <v>10</v>
      </c>
      <c r="P491" s="15">
        <v>1988</v>
      </c>
      <c r="Q491" s="15" t="str" cm="1">
        <f t="array" ref="Q4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1" s="15" t="str" cm="1">
        <f t="array" ref="R4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canciones/cesareo_gabarain/palabra_del_señor.html</v>
      </c>
      <c r="T491" s="1"/>
      <c r="U491" s="1"/>
      <c r="V491" s="32" t="s">
        <v>4643</v>
      </c>
      <c r="W4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href="canciones/cesareo_gabarain/palabra_del_señor.html"&gt;Palabra del Señor&lt;/a&gt;&lt;/li&gt;</v>
      </c>
      <c r="X491" s="15" t="str">
        <f>_xlfn.TEXTBEFORE(_xlfn.TEXTAFTER(CantoralDB[[#This Row],[index.html]],"&gt;"),"&gt;")&amp;"&gt;"</f>
        <v>&lt;a href="canciones/cesareo_gabarain/palabra_del_señor.html"&gt;</v>
      </c>
      <c r="Y491"/>
      <c r="Z491" s="1"/>
      <c r="AA491" s="1"/>
      <c r="AB491" s="1"/>
      <c r="AC491" s="1"/>
    </row>
    <row r="492" spans="1:29" x14ac:dyDescent="0.3">
      <c r="A492" s="1">
        <f>ROW(CantoralDB[[#This Row],[Título]])-1</f>
        <v>491</v>
      </c>
      <c r="B492" s="1" t="s">
        <v>4969</v>
      </c>
      <c r="C492" s="1"/>
      <c r="H492" s="1" t="s">
        <v>529</v>
      </c>
      <c r="J492" s="1" t="s">
        <v>605</v>
      </c>
      <c r="M492" s="15" t="s">
        <v>482</v>
      </c>
      <c r="N492" s="1" t="s">
        <v>4654</v>
      </c>
      <c r="O492" s="15">
        <v>11</v>
      </c>
      <c r="P492" s="15">
        <v>1988</v>
      </c>
      <c r="Q492" s="15" t="str" cm="1">
        <f t="array" ref="Q4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2" s="15" t="str" cm="1">
        <f t="array" ref="R4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canciones/cesareo_gabarain/tu_palabra_señor_es_la_verdad.html</v>
      </c>
      <c r="T492" s="1"/>
      <c r="U492" s="1"/>
      <c r="V492" s="32" t="s">
        <v>4644</v>
      </c>
      <c r="W4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href="canciones/cesareo_gabarain/tu_palabra_señor_es_la_verdad.html"&gt;Tu Palabra, Señor, es la verdad&lt;/a&gt;&lt;/li&gt;</v>
      </c>
      <c r="X492" s="15" t="str">
        <f>_xlfn.TEXTBEFORE(_xlfn.TEXTAFTER(CantoralDB[[#This Row],[index.html]],"&gt;"),"&gt;")&amp;"&gt;"</f>
        <v>&lt;a href="canciones/cesareo_gabarain/tu_palabra_señor_es_la_verdad.html"&gt;</v>
      </c>
      <c r="Y492"/>
      <c r="Z492" s="1"/>
      <c r="AA492" s="1"/>
      <c r="AB492" s="1"/>
      <c r="AC492" s="1"/>
    </row>
    <row r="493" spans="1:29" x14ac:dyDescent="0.3">
      <c r="A493" s="1">
        <f>ROW(CantoralDB[[#This Row],[Título]])-1</f>
        <v>492</v>
      </c>
      <c r="B493" s="1" t="s">
        <v>4970</v>
      </c>
      <c r="C493" s="1"/>
      <c r="H493" s="1" t="s">
        <v>529</v>
      </c>
      <c r="J493" s="1" t="s">
        <v>605</v>
      </c>
      <c r="M493" s="15" t="s">
        <v>482</v>
      </c>
      <c r="N493" s="1" t="s">
        <v>4654</v>
      </c>
      <c r="O493" s="15">
        <v>12</v>
      </c>
      <c r="P493" s="15">
        <v>1988</v>
      </c>
      <c r="Q493" s="15" t="str" cm="1">
        <f t="array" ref="Q4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3" s="15" t="str" cm="1">
        <f t="array" ref="R4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canciones/cesareo_gabarain/aclamad_el_misterio.html</v>
      </c>
      <c r="T493" s="1"/>
      <c r="U493" s="1"/>
      <c r="V493" s="32" t="s">
        <v>4645</v>
      </c>
      <c r="W4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href="canciones/cesareo_gabarain/aclamad_el_misterio.html"&gt;Aclamad el misterio&lt;/a&gt;&lt;/li&gt;</v>
      </c>
      <c r="X493" s="15" t="str">
        <f>_xlfn.TEXTBEFORE(_xlfn.TEXTAFTER(CantoralDB[[#This Row],[index.html]],"&gt;"),"&gt;")&amp;"&gt;"</f>
        <v>&lt;a href="canciones/cesareo_gabarain/aclamad_el_misterio.html"&gt;</v>
      </c>
      <c r="Y493"/>
      <c r="Z493" s="1"/>
      <c r="AA493" s="1"/>
      <c r="AB493" s="1"/>
      <c r="AC493" s="1"/>
    </row>
    <row r="494" spans="1:29" x14ac:dyDescent="0.3">
      <c r="A494" s="1">
        <f>ROW(CantoralDB[[#This Row],[Título]])-1</f>
        <v>493</v>
      </c>
      <c r="B494" s="1" t="s">
        <v>1183</v>
      </c>
      <c r="C494" s="1"/>
      <c r="H494" s="1" t="s">
        <v>1024</v>
      </c>
      <c r="J494" s="1" t="s">
        <v>605</v>
      </c>
      <c r="M494" s="15" t="s">
        <v>482</v>
      </c>
      <c r="N494" s="1" t="s">
        <v>4654</v>
      </c>
      <c r="O494" s="15">
        <v>13</v>
      </c>
      <c r="P494" s="15">
        <v>1988</v>
      </c>
      <c r="Q494" s="15" t="str" cm="1">
        <f t="array" ref="Q4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4" s="15" t="str" cm="1">
        <f t="array" ref="R4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canciones/cesareo_gabarain/cristo_se_entrego_por_nosotros.html</v>
      </c>
      <c r="T494" s="1"/>
      <c r="U494" s="1"/>
      <c r="V494" s="32" t="s">
        <v>4646</v>
      </c>
      <c r="W4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href="canciones/cesareo_gabarain/cristo_se_entrego_por_nosotros.html"&gt;Cristo se entregó por nosotros&lt;/a&gt;&lt;/li&gt;</v>
      </c>
      <c r="X494" s="15" t="str">
        <f>_xlfn.TEXTBEFORE(_xlfn.TEXTAFTER(CantoralDB[[#This Row],[index.html]],"&gt;"),"&gt;")&amp;"&gt;"</f>
        <v>&lt;a href="canciones/cesareo_gabarain/cristo_se_entrego_por_nosotros.html"&gt;</v>
      </c>
      <c r="Y494"/>
      <c r="Z494" s="1"/>
      <c r="AA494" s="1"/>
      <c r="AB494" s="1"/>
      <c r="AC494" s="1"/>
    </row>
    <row r="495" spans="1:29" x14ac:dyDescent="0.3">
      <c r="A495" s="1">
        <f>ROW(CantoralDB[[#This Row],[Título]])-1</f>
        <v>494</v>
      </c>
      <c r="B495" s="1" t="s">
        <v>5098</v>
      </c>
      <c r="C495" s="1"/>
      <c r="J495" s="1"/>
      <c r="M495" s="15" t="s">
        <v>482</v>
      </c>
      <c r="N495" s="1" t="s">
        <v>4654</v>
      </c>
      <c r="O495" s="15">
        <v>14</v>
      </c>
      <c r="P495" s="15">
        <v>1988</v>
      </c>
      <c r="Q495" s="15" t="str" cm="1">
        <f t="array" ref="Q4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5" s="15" t="str" cm="1">
        <f t="array" ref="R4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canciones/cesareo_gabarain/por_cristo_(i).html</v>
      </c>
      <c r="T495" s="1"/>
      <c r="U495" s="1"/>
      <c r="V495" s="32" t="s">
        <v>4647</v>
      </c>
      <c r="W4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href="canciones/cesareo_gabarain/por_cristo_(i).html"&gt;Por Cristo (I)&lt;/a&gt;&lt;/li&gt;</v>
      </c>
      <c r="X495" s="15" t="str">
        <f>_xlfn.TEXTBEFORE(_xlfn.TEXTAFTER(CantoralDB[[#This Row],[index.html]],"&gt;"),"&gt;")&amp;"&gt;"</f>
        <v>&lt;a href="canciones/cesareo_gabarain/por_cristo_(i).html"&gt;</v>
      </c>
      <c r="Y495"/>
      <c r="Z495" s="1"/>
      <c r="AA495" s="1"/>
      <c r="AB495" s="1"/>
      <c r="AC495" s="1"/>
    </row>
    <row r="496" spans="1:29" x14ac:dyDescent="0.3">
      <c r="A496" s="1">
        <f>ROW(CantoralDB[[#This Row],[Título]])-1</f>
        <v>495</v>
      </c>
      <c r="B496" s="1" t="s">
        <v>5099</v>
      </c>
      <c r="C496" s="1"/>
      <c r="J496" s="1"/>
      <c r="M496" s="15" t="s">
        <v>482</v>
      </c>
      <c r="N496" s="1" t="s">
        <v>4654</v>
      </c>
      <c r="O496" s="15">
        <v>15</v>
      </c>
      <c r="P496" s="15">
        <v>1988</v>
      </c>
      <c r="Q496" s="15" t="str" cm="1">
        <f t="array" ref="Q4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6" s="15" t="str" cm="1">
        <f t="array" ref="R4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canciones/cesareo_gabarain/por_cristo_(ii).html</v>
      </c>
      <c r="T496" s="1"/>
      <c r="U496" s="1"/>
      <c r="V496" s="32" t="s">
        <v>4648</v>
      </c>
      <c r="W4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href="canciones/cesareo_gabarain/por_cristo_(ii).html"&gt;Por Cristo (II)&lt;/a&gt;&lt;/li&gt;</v>
      </c>
      <c r="X496" s="15" t="str">
        <f>_xlfn.TEXTBEFORE(_xlfn.TEXTAFTER(CantoralDB[[#This Row],[index.html]],"&gt;"),"&gt;")&amp;"&gt;"</f>
        <v>&lt;a href="canciones/cesareo_gabarain/por_cristo_(ii).html"&gt;</v>
      </c>
      <c r="Y496"/>
      <c r="Z496" s="1"/>
      <c r="AA496" s="1"/>
      <c r="AB496" s="1"/>
      <c r="AC496" s="1"/>
    </row>
    <row r="497" spans="1:29" x14ac:dyDescent="0.3">
      <c r="A497" s="1">
        <f>ROW(CantoralDB[[#This Row],[Título]])-1</f>
        <v>496</v>
      </c>
      <c r="B497" s="1" t="s">
        <v>201</v>
      </c>
      <c r="C497" s="1"/>
      <c r="H497" s="1" t="s">
        <v>529</v>
      </c>
      <c r="J497" s="1" t="s">
        <v>605</v>
      </c>
      <c r="M497" s="15" t="s">
        <v>482</v>
      </c>
      <c r="N497" s="1" t="s">
        <v>4654</v>
      </c>
      <c r="O497" s="15">
        <v>16</v>
      </c>
      <c r="P497" s="15">
        <v>1988</v>
      </c>
      <c r="Q497" s="15" t="str" cm="1">
        <f t="array" ref="Q4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7" s="15" t="str" cm="1">
        <f t="array" ref="R4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canciones/cesareo_gabarain/cordero_de_dios.html</v>
      </c>
      <c r="T497" s="1"/>
      <c r="U497" s="1"/>
      <c r="V497" s="32" t="s">
        <v>4649</v>
      </c>
      <c r="W4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href="canciones/cesareo_gabarain/cordero_de_dios.html"&gt;Cordero de Dios&lt;/a&gt;&lt;/li&gt;</v>
      </c>
      <c r="X497" s="15" t="str">
        <f>_xlfn.TEXTBEFORE(_xlfn.TEXTAFTER(CantoralDB[[#This Row],[index.html]],"&gt;"),"&gt;")&amp;"&gt;"</f>
        <v>&lt;a href="canciones/cesareo_gabarain/cordero_de_dios.html"&gt;</v>
      </c>
      <c r="Y497"/>
      <c r="Z497" s="1"/>
      <c r="AA497" s="1"/>
      <c r="AB497" s="1"/>
      <c r="AC497" s="1"/>
    </row>
    <row r="498" spans="1:29" x14ac:dyDescent="0.3">
      <c r="A498" s="1">
        <f>ROW(CantoralDB[[#This Row],[Título]])-1</f>
        <v>497</v>
      </c>
      <c r="B498" s="1" t="s">
        <v>5017</v>
      </c>
      <c r="C498" s="1"/>
      <c r="H498" s="1" t="s">
        <v>1025</v>
      </c>
      <c r="J498" s="1" t="s">
        <v>605</v>
      </c>
      <c r="M498" s="15" t="s">
        <v>482</v>
      </c>
      <c r="N498" s="1" t="s">
        <v>4654</v>
      </c>
      <c r="O498" s="15">
        <v>17</v>
      </c>
      <c r="P498" s="15">
        <v>1988</v>
      </c>
      <c r="Q498" s="15" t="str" cm="1">
        <f t="array" ref="Q4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8" s="15" t="str" cm="1">
        <f t="array" ref="R4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canciones/cesareo_gabarain/esperamos_tu_venida.html</v>
      </c>
      <c r="T498" s="1"/>
      <c r="U498" s="1"/>
      <c r="V498" s="32" t="s">
        <v>4650</v>
      </c>
      <c r="W4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href="canciones/cesareo_gabarain/esperamos_tu_venida.html"&gt;Esperamos tu venida&lt;/a&gt;&lt;/li&gt;</v>
      </c>
      <c r="X498" s="15" t="str">
        <f>_xlfn.TEXTBEFORE(_xlfn.TEXTAFTER(CantoralDB[[#This Row],[index.html]],"&gt;"),"&gt;")&amp;"&gt;"</f>
        <v>&lt;a href="canciones/cesareo_gabarain/esperamos_tu_venida.html"&gt;</v>
      </c>
      <c r="Y498"/>
      <c r="Z498" s="1"/>
      <c r="AA498" s="1"/>
      <c r="AB498" s="1"/>
      <c r="AC498" s="1"/>
    </row>
    <row r="499" spans="1:29" x14ac:dyDescent="0.3">
      <c r="A499" s="1">
        <f>ROW(CantoralDB[[#This Row],[Título]])-1</f>
        <v>498</v>
      </c>
      <c r="B499" s="1" t="s">
        <v>5018</v>
      </c>
      <c r="C499" s="1"/>
      <c r="H499" s="1" t="s">
        <v>1024</v>
      </c>
      <c r="J499" s="1" t="s">
        <v>605</v>
      </c>
      <c r="M499" s="15" t="s">
        <v>482</v>
      </c>
      <c r="N499" s="1" t="s">
        <v>4654</v>
      </c>
      <c r="O499" s="15">
        <v>18</v>
      </c>
      <c r="P499" s="15">
        <v>1988</v>
      </c>
      <c r="Q499" s="15" t="str" cm="1">
        <f t="array" ref="Q4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499" s="15" t="str" cm="1">
        <f t="array" ref="R4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4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canciones/cesareo_gabarain/alegrese_el_cielo.html</v>
      </c>
      <c r="T499" s="1"/>
      <c r="U499" s="1"/>
      <c r="V499" s="32" t="s">
        <v>4651</v>
      </c>
      <c r="W4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href="canciones/cesareo_gabarain/alegrese_el_cielo.html"&gt;Alégrese el cielo&lt;/a&gt;&lt;/li&gt;</v>
      </c>
      <c r="X499" s="15" t="str">
        <f>_xlfn.TEXTBEFORE(_xlfn.TEXTAFTER(CantoralDB[[#This Row],[index.html]],"&gt;"),"&gt;")&amp;"&gt;"</f>
        <v>&lt;a href="canciones/cesareo_gabarain/alegrese_el_cielo.html"&gt;</v>
      </c>
      <c r="Y499"/>
      <c r="Z499" s="1"/>
      <c r="AA499" s="1"/>
      <c r="AB499" s="1"/>
      <c r="AC499" s="1"/>
    </row>
    <row r="500" spans="1:29" x14ac:dyDescent="0.3">
      <c r="A500" s="1">
        <f>ROW(CantoralDB[[#This Row],[Título]])-1</f>
        <v>499</v>
      </c>
      <c r="B500" s="1" t="s">
        <v>5019</v>
      </c>
      <c r="C500" s="1"/>
      <c r="H500" s="1" t="s">
        <v>1025</v>
      </c>
      <c r="J500" s="1" t="s">
        <v>605</v>
      </c>
      <c r="M500" s="15" t="s">
        <v>482</v>
      </c>
      <c r="N500" s="1" t="s">
        <v>4654</v>
      </c>
      <c r="O500" s="15">
        <v>19</v>
      </c>
      <c r="P500" s="15">
        <v>1988</v>
      </c>
      <c r="Q500" s="15" t="str" cm="1">
        <f t="array" ref="Q5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0" s="15" t="str" cm="1">
        <f t="array" ref="R5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canciones/cesareo_gabarain/dios_no_quiere_la_muerte.html</v>
      </c>
      <c r="T500" s="1"/>
      <c r="U500" s="1"/>
      <c r="V500" s="32" t="s">
        <v>4652</v>
      </c>
      <c r="W5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href="canciones/cesareo_gabarain/dios_no_quiere_la_muerte.html"&gt;Dios no quiere la muerte&lt;/a&gt;&lt;/li&gt;</v>
      </c>
      <c r="X500" s="15" t="str">
        <f>_xlfn.TEXTBEFORE(_xlfn.TEXTAFTER(CantoralDB[[#This Row],[index.html]],"&gt;"),"&gt;")&amp;"&gt;"</f>
        <v>&lt;a href="canciones/cesareo_gabarain/dios_no_quiere_la_muerte.html"&gt;</v>
      </c>
      <c r="Y500"/>
      <c r="Z500" s="1"/>
      <c r="AA500" s="1"/>
      <c r="AB500" s="1"/>
      <c r="AC500" s="1"/>
    </row>
    <row r="501" spans="1:29" x14ac:dyDescent="0.3">
      <c r="A501" s="1">
        <f>ROW(CantoralDB[[#This Row],[Título]])-1</f>
        <v>500</v>
      </c>
      <c r="B501" s="1" t="s">
        <v>5100</v>
      </c>
      <c r="C501" s="1"/>
      <c r="H501" s="1" t="s">
        <v>472</v>
      </c>
      <c r="I501" s="1" t="s">
        <v>2948</v>
      </c>
      <c r="J501" s="1" t="s">
        <v>605</v>
      </c>
      <c r="M501" s="15" t="s">
        <v>482</v>
      </c>
      <c r="N501" s="1" t="s">
        <v>4654</v>
      </c>
      <c r="O501" s="15">
        <v>20</v>
      </c>
      <c r="P501" s="15">
        <v>1988</v>
      </c>
      <c r="Q501" s="15" t="str" cm="1">
        <f t="array" ref="Q5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1" s="15" t="str" cm="1">
        <f t="array" ref="R5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canciones/cesareo_gabarain/cristo_resucito_(i).html</v>
      </c>
      <c r="T501" s="1"/>
      <c r="U501" s="1"/>
      <c r="V501" s="32" t="s">
        <v>4653</v>
      </c>
      <c r="W5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href="canciones/cesareo_gabarain/cristo_resucito_(i).html"&gt;Cristo resucitó (I)&lt;/a&gt;&lt;/li&gt;</v>
      </c>
      <c r="X501" s="15" t="str">
        <f>_xlfn.TEXTBEFORE(_xlfn.TEXTAFTER(CantoralDB[[#This Row],[index.html]],"&gt;"),"&gt;")&amp;"&gt;"</f>
        <v>&lt;a href="canciones/cesareo_gabarain/cristo_resucito_(i).html"&gt;</v>
      </c>
      <c r="Y501"/>
      <c r="Z501" s="1"/>
      <c r="AA501" s="1"/>
      <c r="AB501" s="1"/>
      <c r="AC501" s="1"/>
    </row>
    <row r="502" spans="1:29" x14ac:dyDescent="0.3">
      <c r="A502" s="1">
        <f>ROW(CantoralDB[[#This Row],[Título]])-1</f>
        <v>501</v>
      </c>
      <c r="B502" s="1" t="s">
        <v>5021</v>
      </c>
      <c r="C502" s="1"/>
      <c r="H502" s="1" t="s">
        <v>472</v>
      </c>
      <c r="I502" s="1" t="s">
        <v>2948</v>
      </c>
      <c r="J502" s="1" t="s">
        <v>605</v>
      </c>
      <c r="M502" s="15" t="s">
        <v>482</v>
      </c>
      <c r="N502" s="1" t="s">
        <v>4654</v>
      </c>
      <c r="O502" s="15">
        <v>21</v>
      </c>
      <c r="P502" s="15">
        <v>1988</v>
      </c>
      <c r="Q502" s="15" t="str" cm="1">
        <f t="array" ref="Q5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2" s="15" t="str" cm="1">
        <f t="array" ref="R5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canciones/cesareo_gabarain/id_por_el_mundo.html</v>
      </c>
      <c r="T502" s="1"/>
      <c r="U502" s="1"/>
      <c r="V502" s="32" t="s">
        <v>5097</v>
      </c>
      <c r="W5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href="canciones/cesareo_gabarain/id_por_el_mundo.html"&gt;Id por el mundo&lt;/a&gt;&lt;/li&gt;</v>
      </c>
      <c r="X502" s="15" t="str">
        <f>_xlfn.TEXTBEFORE(_xlfn.TEXTAFTER(CantoralDB[[#This Row],[index.html]],"&gt;"),"&gt;")&amp;"&gt;"</f>
        <v>&lt;a href="canciones/cesareo_gabarain/id_por_el_mundo.html"&gt;</v>
      </c>
      <c r="Y502"/>
      <c r="Z502" s="1"/>
      <c r="AA502" s="1"/>
      <c r="AB502" s="1"/>
      <c r="AC502" s="1"/>
    </row>
    <row r="503" spans="1:29" x14ac:dyDescent="0.3">
      <c r="A503" s="1">
        <f>ROW(CantoralDB[[#This Row],[Título]])-1</f>
        <v>502</v>
      </c>
      <c r="B503" s="1" t="s">
        <v>9</v>
      </c>
      <c r="C503" s="1" t="s">
        <v>990</v>
      </c>
      <c r="D503" s="1" t="s">
        <v>1032</v>
      </c>
      <c r="E503" s="1">
        <v>19</v>
      </c>
      <c r="G503" s="1" t="s">
        <v>208</v>
      </c>
      <c r="H503" s="1" t="s">
        <v>529</v>
      </c>
      <c r="I503" s="1" t="s">
        <v>2948</v>
      </c>
      <c r="J503" s="1" t="s">
        <v>605</v>
      </c>
      <c r="M503" s="15" t="s">
        <v>482</v>
      </c>
      <c r="N503" s="1" t="s">
        <v>9</v>
      </c>
      <c r="O503" s="15">
        <v>1</v>
      </c>
      <c r="P503" s="15">
        <v>1991</v>
      </c>
      <c r="Q503" s="15" t="str" cm="1">
        <f t="array" ref="Q5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3" s="15" t="str" cm="1">
        <f t="array" ref="R5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canciones/cesareo_gabarain/al_atardecer_de_la_vida.html</v>
      </c>
      <c r="T503" s="1" t="s">
        <v>795</v>
      </c>
      <c r="U503" s="1"/>
      <c r="V503" s="32" t="s">
        <v>4597</v>
      </c>
      <c r="W5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data-nnew="K04" data-nold="19"&gt;&lt;a href="canciones/cesareo_gabarain/al_atardecer_de_la_vida.html"&gt;Al atardecer de la vida&lt;/a&gt;&lt;/li&gt;</v>
      </c>
      <c r="X503" s="15" t="str">
        <f>_xlfn.TEXTBEFORE(_xlfn.TEXTAFTER(CantoralDB[[#This Row],[index.html]],"&gt;"),"&gt;")&amp;"&gt;"</f>
        <v>&lt;a href="canciones/cesareo_gabarain/al_atardecer_de_la_vida.html"&gt;</v>
      </c>
      <c r="Y503"/>
      <c r="Z503" s="1"/>
      <c r="AA503" s="1"/>
      <c r="AB503" s="1"/>
      <c r="AC503" s="1"/>
    </row>
    <row r="504" spans="1:29" x14ac:dyDescent="0.3">
      <c r="A504" s="1">
        <f>ROW(CantoralDB[[#This Row],[Título]])-1</f>
        <v>503</v>
      </c>
      <c r="B504" s="1" t="s">
        <v>4658</v>
      </c>
      <c r="C504" s="1"/>
      <c r="H504" s="1" t="s">
        <v>1024</v>
      </c>
      <c r="J504" s="1" t="s">
        <v>605</v>
      </c>
      <c r="M504" s="15" t="s">
        <v>482</v>
      </c>
      <c r="N504" s="1" t="s">
        <v>9</v>
      </c>
      <c r="O504" s="15">
        <v>2</v>
      </c>
      <c r="P504" s="15">
        <v>1991</v>
      </c>
      <c r="Q504" s="15" t="str" cm="1">
        <f t="array" ref="Q5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4" s="15" t="str" cm="1">
        <f t="array" ref="R5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canciones/cesareo_gabarain/concedele_señor_el_descanso_eterno.html</v>
      </c>
      <c r="T504" s="1"/>
      <c r="U504" s="1"/>
      <c r="V504" s="32" t="s">
        <v>4668</v>
      </c>
      <c r="W5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href="canciones/cesareo_gabarain/concedele_señor_el_descanso_eterno.html"&gt;Concédele, Señor, el descanso eterno&lt;/a&gt;&lt;/li&gt;</v>
      </c>
      <c r="X504" s="15" t="str">
        <f>_xlfn.TEXTBEFORE(_xlfn.TEXTAFTER(CantoralDB[[#This Row],[index.html]],"&gt;"),"&gt;")&amp;"&gt;"</f>
        <v>&lt;a href="canciones/cesareo_gabarain/concedele_señor_el_descanso_eterno.html"&gt;</v>
      </c>
      <c r="Y504"/>
      <c r="Z504" s="1"/>
      <c r="AA504" s="1"/>
      <c r="AB504" s="1"/>
      <c r="AC504" s="1"/>
    </row>
    <row r="505" spans="1:29" x14ac:dyDescent="0.3">
      <c r="A505" s="1">
        <f>ROW(CantoralDB[[#This Row],[Título]])-1</f>
        <v>504</v>
      </c>
      <c r="B505" s="1" t="s">
        <v>4659</v>
      </c>
      <c r="C505" s="1"/>
      <c r="H505" s="1" t="s">
        <v>529</v>
      </c>
      <c r="J505" s="1" t="s">
        <v>605</v>
      </c>
      <c r="M505" s="15" t="s">
        <v>482</v>
      </c>
      <c r="N505" s="1" t="s">
        <v>9</v>
      </c>
      <c r="O505" s="15">
        <v>3</v>
      </c>
      <c r="P505" s="15">
        <v>1991</v>
      </c>
      <c r="Q505" s="15" t="str" cm="1">
        <f t="array" ref="Q5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5" s="15" t="str" cm="1">
        <f t="array" ref="R5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canciones/cesareo_gabarain/que_los_angeles_te_lleven.html</v>
      </c>
      <c r="T505" s="1"/>
      <c r="U505" s="1"/>
      <c r="V505" s="32" t="s">
        <v>4669</v>
      </c>
      <c r="W5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href="canciones/cesareo_gabarain/que_los_angeles_te_lleven.html"&gt;Que los ángeles te lleven&lt;/a&gt;&lt;/li&gt;</v>
      </c>
      <c r="X505" s="15" t="str">
        <f>_xlfn.TEXTBEFORE(_xlfn.TEXTAFTER(CantoralDB[[#This Row],[index.html]],"&gt;"),"&gt;")&amp;"&gt;"</f>
        <v>&lt;a href="canciones/cesareo_gabarain/que_los_angeles_te_lleven.html"&gt;</v>
      </c>
      <c r="Y505"/>
      <c r="Z505" s="1"/>
      <c r="AA505" s="1"/>
      <c r="AB505" s="1"/>
      <c r="AC505" s="1"/>
    </row>
    <row r="506" spans="1:29" x14ac:dyDescent="0.3">
      <c r="A506" s="1">
        <f>ROW(CantoralDB[[#This Row],[Título]])-1</f>
        <v>505</v>
      </c>
      <c r="B506" s="1" t="s">
        <v>4660</v>
      </c>
      <c r="C506" s="1"/>
      <c r="H506" s="1" t="s">
        <v>529</v>
      </c>
      <c r="I506" s="1" t="s">
        <v>2948</v>
      </c>
      <c r="J506" s="1" t="s">
        <v>605</v>
      </c>
      <c r="M506" s="15" t="s">
        <v>482</v>
      </c>
      <c r="N506" s="1" t="s">
        <v>9</v>
      </c>
      <c r="O506" s="15">
        <v>4</v>
      </c>
      <c r="P506" s="15">
        <v>1991</v>
      </c>
      <c r="Q506" s="15" t="str" cm="1">
        <f t="array" ref="Q5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6" s="15" t="str" cm="1">
        <f t="array" ref="R5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canciones/cesareo_gabarain/morimos_para_vivir.html</v>
      </c>
      <c r="T506" s="1"/>
      <c r="U506" s="1"/>
      <c r="V506" s="32" t="s">
        <v>4670</v>
      </c>
      <c r="W5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href="canciones/cesareo_gabarain/morimos_para_vivir.html"&gt;Morimos para vivir&lt;/a&gt;&lt;/li&gt;</v>
      </c>
      <c r="X506" s="15" t="str">
        <f>_xlfn.TEXTBEFORE(_xlfn.TEXTAFTER(CantoralDB[[#This Row],[index.html]],"&gt;"),"&gt;")&amp;"&gt;"</f>
        <v>&lt;a href="canciones/cesareo_gabarain/morimos_para_vivir.html"&gt;</v>
      </c>
      <c r="Y506"/>
      <c r="Z506" s="1"/>
      <c r="AA506" s="1"/>
      <c r="AB506" s="1"/>
      <c r="AC506" s="1"/>
    </row>
    <row r="507" spans="1:29" x14ac:dyDescent="0.3">
      <c r="A507" s="1">
        <f>ROW(CantoralDB[[#This Row],[Título]])-1</f>
        <v>506</v>
      </c>
      <c r="B507" s="1" t="s">
        <v>4661</v>
      </c>
      <c r="C507" s="1"/>
      <c r="H507" s="1" t="s">
        <v>1024</v>
      </c>
      <c r="J507" s="1" t="s">
        <v>605</v>
      </c>
      <c r="M507" s="15" t="s">
        <v>482</v>
      </c>
      <c r="N507" s="1" t="s">
        <v>9</v>
      </c>
      <c r="O507" s="15">
        <v>5</v>
      </c>
      <c r="P507" s="15">
        <v>1991</v>
      </c>
      <c r="Q507" s="15" t="str" cm="1">
        <f t="array" ref="Q5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7" s="15" t="str" cm="1">
        <f t="array" ref="R5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canciones/cesareo_gabarain/abridme_las_puertas_del_triunfo.html</v>
      </c>
      <c r="T507" s="1"/>
      <c r="U507" s="1"/>
      <c r="V507" s="32" t="s">
        <v>4671</v>
      </c>
      <c r="W5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href="canciones/cesareo_gabarain/abridme_las_puertas_del_triunfo.html"&gt;Abridme las puertas del triunfo&lt;/a&gt;&lt;/li&gt;</v>
      </c>
      <c r="X507" s="15" t="str">
        <f>_xlfn.TEXTBEFORE(_xlfn.TEXTAFTER(CantoralDB[[#This Row],[index.html]],"&gt;"),"&gt;")&amp;"&gt;"</f>
        <v>&lt;a href="canciones/cesareo_gabarain/abridme_las_puertas_del_triunfo.html"&gt;</v>
      </c>
      <c r="Y507"/>
      <c r="Z507" s="1"/>
      <c r="AA507" s="1"/>
      <c r="AB507" s="1"/>
      <c r="AC507" s="1"/>
    </row>
    <row r="508" spans="1:29" x14ac:dyDescent="0.3">
      <c r="A508" s="1">
        <f>ROW(CantoralDB[[#This Row],[Título]])-1</f>
        <v>507</v>
      </c>
      <c r="B508" s="1" t="s">
        <v>4662</v>
      </c>
      <c r="C508" s="1"/>
      <c r="H508" s="1" t="s">
        <v>1025</v>
      </c>
      <c r="J508" s="1" t="s">
        <v>605</v>
      </c>
      <c r="M508" s="15" t="s">
        <v>482</v>
      </c>
      <c r="N508" s="1" t="s">
        <v>9</v>
      </c>
      <c r="O508" s="15">
        <v>6</v>
      </c>
      <c r="P508" s="15">
        <v>1991</v>
      </c>
      <c r="Q508" s="15" t="str" cm="1">
        <f t="array" ref="Q5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8" s="15" t="str" cm="1">
        <f t="array" ref="R5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canciones/cesareo_gabarain/no_he_de_morir_vivire.html</v>
      </c>
      <c r="T508" s="1"/>
      <c r="U508" s="1"/>
      <c r="V508" s="32" t="s">
        <v>4672</v>
      </c>
      <c r="W5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href="canciones/cesareo_gabarain/no_he_de_morir_vivire.html"&gt;No he de morir, viviré&lt;/a&gt;&lt;/li&gt;</v>
      </c>
      <c r="X508" s="15" t="str">
        <f>_xlfn.TEXTBEFORE(_xlfn.TEXTAFTER(CantoralDB[[#This Row],[index.html]],"&gt;"),"&gt;")&amp;"&gt;"</f>
        <v>&lt;a href="canciones/cesareo_gabarain/no_he_de_morir_vivire.html"&gt;</v>
      </c>
      <c r="Y508"/>
      <c r="Z508" s="1"/>
      <c r="AA508" s="1"/>
      <c r="AB508" s="1"/>
      <c r="AC508" s="1"/>
    </row>
    <row r="509" spans="1:29" x14ac:dyDescent="0.3">
      <c r="A509" s="1">
        <f>ROW(CantoralDB[[#This Row],[Título]])-1</f>
        <v>508</v>
      </c>
      <c r="B509" s="1" t="s">
        <v>4663</v>
      </c>
      <c r="C509" s="1"/>
      <c r="H509" s="1" t="s">
        <v>1024</v>
      </c>
      <c r="J509" s="1" t="s">
        <v>605</v>
      </c>
      <c r="M509" s="15" t="s">
        <v>482</v>
      </c>
      <c r="N509" s="1" t="s">
        <v>9</v>
      </c>
      <c r="O509" s="15">
        <v>7</v>
      </c>
      <c r="P509" s="15">
        <v>1991</v>
      </c>
      <c r="Q509" s="15" t="str" cm="1">
        <f t="array" ref="Q5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09" s="15" t="str" cm="1">
        <f t="array" ref="R5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canciones/cesareo_gabarain/yo_soy_el_pan_de_la_vida.html</v>
      </c>
      <c r="T509" s="1"/>
      <c r="U509" s="1"/>
      <c r="V509" s="32" t="s">
        <v>4673</v>
      </c>
      <c r="W5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href="canciones/cesareo_gabarain/yo_soy_el_pan_de_la_vida.html"&gt;Yo soy el pan de la vida&lt;/a&gt;&lt;/li&gt;</v>
      </c>
      <c r="X509" s="15" t="str">
        <f>_xlfn.TEXTBEFORE(_xlfn.TEXTAFTER(CantoralDB[[#This Row],[index.html]],"&gt;"),"&gt;")&amp;"&gt;"</f>
        <v>&lt;a href="canciones/cesareo_gabarain/yo_soy_el_pan_de_la_vida.html"&gt;</v>
      </c>
      <c r="Y509"/>
      <c r="Z509" s="1"/>
      <c r="AA509" s="1"/>
      <c r="AB509" s="1"/>
      <c r="AC509" s="1"/>
    </row>
    <row r="510" spans="1:29" x14ac:dyDescent="0.3">
      <c r="A510" s="1">
        <f>ROW(CantoralDB[[#This Row],[Título]])-1</f>
        <v>509</v>
      </c>
      <c r="B510" s="1" t="s">
        <v>4664</v>
      </c>
      <c r="C510" s="1"/>
      <c r="H510" s="1" t="s">
        <v>1027</v>
      </c>
      <c r="J510" s="1" t="s">
        <v>605</v>
      </c>
      <c r="M510" s="15" t="s">
        <v>482</v>
      </c>
      <c r="N510" s="1" t="s">
        <v>9</v>
      </c>
      <c r="O510" s="15">
        <v>8</v>
      </c>
      <c r="P510" s="15">
        <v>1991</v>
      </c>
      <c r="Q510" s="15" t="str" cm="1">
        <f t="array" ref="Q5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0" s="15" t="str" cm="1">
        <f t="array" ref="R5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canciones/cesareo_gabarain/yo_soy_la_resurreccion_y_la_vida.html</v>
      </c>
      <c r="T510" s="1"/>
      <c r="U510" s="1"/>
      <c r="V510" s="32" t="s">
        <v>4674</v>
      </c>
      <c r="W5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href="canciones/cesareo_gabarain/yo_soy_la_resurreccion_y_la_vida.html"&gt;Yo soy la resurrección y la vida&lt;/a&gt;&lt;/li&gt;</v>
      </c>
      <c r="X510" s="15" t="str">
        <f>_xlfn.TEXTBEFORE(_xlfn.TEXTAFTER(CantoralDB[[#This Row],[index.html]],"&gt;"),"&gt;")&amp;"&gt;"</f>
        <v>&lt;a href="canciones/cesareo_gabarain/yo_soy_la_resurreccion_y_la_vida.html"&gt;</v>
      </c>
      <c r="Y510"/>
      <c r="Z510" s="1"/>
      <c r="AA510" s="1"/>
      <c r="AB510" s="1"/>
      <c r="AC510" s="1"/>
    </row>
    <row r="511" spans="1:29" x14ac:dyDescent="0.3">
      <c r="A511" s="1">
        <f>ROW(CantoralDB[[#This Row],[Título]])-1</f>
        <v>510</v>
      </c>
      <c r="B511" s="1" t="s">
        <v>2033</v>
      </c>
      <c r="C511" s="1"/>
      <c r="H511" s="1" t="s">
        <v>1025</v>
      </c>
      <c r="J511" s="1" t="s">
        <v>605</v>
      </c>
      <c r="M511" s="15" t="s">
        <v>482</v>
      </c>
      <c r="N511" s="1" t="s">
        <v>9</v>
      </c>
      <c r="O511" s="15">
        <v>9</v>
      </c>
      <c r="P511" s="15">
        <v>1991</v>
      </c>
      <c r="Q511" s="15" t="str" cm="1">
        <f t="array" ref="Q5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1" s="15" t="str" cm="1">
        <f t="array" ref="R5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canciones/cesareo_gabarain/dichosos_los_que_mueren_en_el_señor.html</v>
      </c>
      <c r="T511" s="1"/>
      <c r="U511" s="1"/>
      <c r="V511" s="32" t="s">
        <v>4675</v>
      </c>
      <c r="W5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href="canciones/cesareo_gabarain/dichosos_los_que_mueren_en_el_señor.html"&gt;Dichosos los que mueren en el Señor&lt;/a&gt;&lt;/li&gt;</v>
      </c>
      <c r="X511" s="15" t="str">
        <f>_xlfn.TEXTBEFORE(_xlfn.TEXTAFTER(CantoralDB[[#This Row],[index.html]],"&gt;"),"&gt;")&amp;"&gt;"</f>
        <v>&lt;a href="canciones/cesareo_gabarain/dichosos_los_que_mueren_en_el_señor.html"&gt;</v>
      </c>
      <c r="Y511"/>
      <c r="Z511" s="1"/>
      <c r="AA511" s="1"/>
      <c r="AB511" s="1"/>
      <c r="AC511" s="1"/>
    </row>
    <row r="512" spans="1:29" x14ac:dyDescent="0.3">
      <c r="A512" s="1">
        <f>ROW(CantoralDB[[#This Row],[Título]])-1</f>
        <v>511</v>
      </c>
      <c r="B512" s="1" t="s">
        <v>4665</v>
      </c>
      <c r="C512" s="1"/>
      <c r="H512" s="1" t="s">
        <v>1027</v>
      </c>
      <c r="J512" s="1" t="s">
        <v>605</v>
      </c>
      <c r="M512" s="15" t="s">
        <v>482</v>
      </c>
      <c r="N512" s="1" t="s">
        <v>9</v>
      </c>
      <c r="O512" s="15">
        <v>10</v>
      </c>
      <c r="P512" s="15">
        <v>1991</v>
      </c>
      <c r="Q512" s="15" t="str" cm="1">
        <f t="array" ref="Q5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2" s="15" t="str" cm="1">
        <f t="array" ref="R5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canciones/cesareo_gabarain/el_descanso_eterno.html</v>
      </c>
      <c r="T512" s="1"/>
      <c r="U512" s="1"/>
      <c r="V512" s="32" t="s">
        <v>4676</v>
      </c>
      <c r="W5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href="canciones/cesareo_gabarain/el_descanso_eterno.html"&gt;El descanso eterno&lt;/a&gt;&lt;/li&gt;</v>
      </c>
      <c r="X512" s="15" t="str">
        <f>_xlfn.TEXTBEFORE(_xlfn.TEXTAFTER(CantoralDB[[#This Row],[index.html]],"&gt;"),"&gt;")&amp;"&gt;"</f>
        <v>&lt;a href="canciones/cesareo_gabarain/el_descanso_eterno.html"&gt;</v>
      </c>
      <c r="Y512"/>
      <c r="Z512" s="1"/>
      <c r="AA512" s="1"/>
      <c r="AB512" s="1"/>
      <c r="AC512" s="1"/>
    </row>
    <row r="513" spans="1:29" x14ac:dyDescent="0.3">
      <c r="A513" s="1">
        <f>ROW(CantoralDB[[#This Row],[Título]])-1</f>
        <v>512</v>
      </c>
      <c r="B513" s="1" t="s">
        <v>5069</v>
      </c>
      <c r="C513" s="1"/>
      <c r="H513" s="1" t="s">
        <v>1027</v>
      </c>
      <c r="J513" s="1" t="s">
        <v>605</v>
      </c>
      <c r="M513" s="15" t="s">
        <v>482</v>
      </c>
      <c r="N513" s="1" t="s">
        <v>9</v>
      </c>
      <c r="O513" s="15">
        <v>11</v>
      </c>
      <c r="P513" s="15">
        <v>1991</v>
      </c>
      <c r="Q513" s="15" t="str" cm="1">
        <f t="array" ref="Q5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3" s="15" t="str" cm="1">
        <f t="array" ref="R5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canciones/cesareo_gabarain/recibe_a_tu_siervo.html</v>
      </c>
      <c r="T513" s="1"/>
      <c r="U513" s="1"/>
      <c r="V513" s="32" t="s">
        <v>4677</v>
      </c>
      <c r="W5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href="canciones/cesareo_gabarain/recibe_a_tu_siervo.html"&gt;Recibe a tu siervo&lt;/a&gt;&lt;/li&gt;</v>
      </c>
      <c r="X513" s="15" t="str">
        <f>_xlfn.TEXTBEFORE(_xlfn.TEXTAFTER(CantoralDB[[#This Row],[index.html]],"&gt;"),"&gt;")&amp;"&gt;"</f>
        <v>&lt;a href="canciones/cesareo_gabarain/recibe_a_tu_siervo.html"&gt;</v>
      </c>
      <c r="Y513"/>
      <c r="Z513" s="1"/>
      <c r="AA513" s="1"/>
      <c r="AB513" s="1"/>
      <c r="AC513" s="1"/>
    </row>
    <row r="514" spans="1:29" x14ac:dyDescent="0.3">
      <c r="A514" s="1">
        <f>ROW(CantoralDB[[#This Row],[Título]])-1</f>
        <v>513</v>
      </c>
      <c r="B514" s="1" t="s">
        <v>4666</v>
      </c>
      <c r="C514" s="1"/>
      <c r="H514" s="1" t="s">
        <v>529</v>
      </c>
      <c r="J514" s="1" t="s">
        <v>605</v>
      </c>
      <c r="M514" s="15" t="s">
        <v>482</v>
      </c>
      <c r="N514" s="1" t="s">
        <v>9</v>
      </c>
      <c r="O514" s="15">
        <v>12</v>
      </c>
      <c r="P514" s="15">
        <v>1991</v>
      </c>
      <c r="Q514" s="15" t="str" cm="1">
        <f t="array" ref="Q5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4" s="15" t="str" cm="1">
        <f t="array" ref="R5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canciones/cesareo_gabarain/vive_con_cristo.html</v>
      </c>
      <c r="T514" s="1"/>
      <c r="U514" s="1"/>
      <c r="V514" s="32" t="s">
        <v>4678</v>
      </c>
      <c r="W5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href="canciones/cesareo_gabarain/vive_con_cristo.html"&gt;Vive con Cristo&lt;/a&gt;&lt;/li&gt;</v>
      </c>
      <c r="X514" s="15" t="str">
        <f>_xlfn.TEXTBEFORE(_xlfn.TEXTAFTER(CantoralDB[[#This Row],[index.html]],"&gt;"),"&gt;")&amp;"&gt;"</f>
        <v>&lt;a href="canciones/cesareo_gabarain/vive_con_cristo.html"&gt;</v>
      </c>
      <c r="Y514"/>
      <c r="Z514" s="1"/>
      <c r="AA514" s="1"/>
      <c r="AB514" s="1"/>
      <c r="AC514" s="1"/>
    </row>
    <row r="515" spans="1:29" x14ac:dyDescent="0.3">
      <c r="A515" s="1">
        <f>ROW(CantoralDB[[#This Row],[Título]])-1</f>
        <v>514</v>
      </c>
      <c r="B515" s="1" t="s">
        <v>4667</v>
      </c>
      <c r="C515" s="1"/>
      <c r="H515" s="1" t="s">
        <v>1027</v>
      </c>
      <c r="J515" s="1" t="s">
        <v>605</v>
      </c>
      <c r="M515" s="15" t="s">
        <v>482</v>
      </c>
      <c r="N515" s="1" t="s">
        <v>9</v>
      </c>
      <c r="O515" s="15">
        <v>13</v>
      </c>
      <c r="P515" s="15">
        <v>1991</v>
      </c>
      <c r="Q515" s="15" t="str" cm="1">
        <f t="array" ref="Q5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5" s="15" t="str" cm="1">
        <f t="array" ref="R5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canciones/cesareo_gabarain/en_los_brazos_de_dios.html</v>
      </c>
      <c r="T515" s="1"/>
      <c r="U515" s="1"/>
      <c r="V515" s="32" t="s">
        <v>4679</v>
      </c>
      <c r="W5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href="canciones/cesareo_gabarain/en_los_brazos_de_dios.html"&gt;En los brazos de Dios&lt;/a&gt;&lt;/li&gt;</v>
      </c>
      <c r="X515" s="15" t="str">
        <f>_xlfn.TEXTBEFORE(_xlfn.TEXTAFTER(CantoralDB[[#This Row],[index.html]],"&gt;"),"&gt;")&amp;"&gt;"</f>
        <v>&lt;a href="canciones/cesareo_gabarain/en_los_brazos_de_dios.html"&gt;</v>
      </c>
      <c r="Y515"/>
      <c r="Z515" s="1"/>
      <c r="AA515" s="1"/>
      <c r="AB515" s="1"/>
      <c r="AC515" s="1"/>
    </row>
    <row r="516" spans="1:29" x14ac:dyDescent="0.3">
      <c r="A516" s="1">
        <f>ROW(CantoralDB[[#This Row],[Título]])-1</f>
        <v>515</v>
      </c>
      <c r="B516" s="1" t="s">
        <v>1274</v>
      </c>
      <c r="C516" s="1"/>
      <c r="E516" s="1">
        <v>160</v>
      </c>
      <c r="H516" s="1" t="s">
        <v>1025</v>
      </c>
      <c r="J516" s="1" t="s">
        <v>605</v>
      </c>
      <c r="M516" s="15" t="s">
        <v>482</v>
      </c>
      <c r="N516" s="1" t="s">
        <v>9</v>
      </c>
      <c r="O516" s="15">
        <v>14</v>
      </c>
      <c r="P516" s="15">
        <v>1991</v>
      </c>
      <c r="Q516" s="15" t="str" cm="1">
        <f t="array" ref="Q5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6" s="15" t="str" cm="1">
        <f t="array" ref="R5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canciones/cesareo_gabarain/los_que_a_la_pobreza.html</v>
      </c>
      <c r="T516" s="1"/>
      <c r="U516" s="1"/>
      <c r="V516" s="32" t="s">
        <v>4619</v>
      </c>
      <c r="W5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data-nold="160"&gt;&lt;a href="canciones/cesareo_gabarain/los_que_a_la_pobreza.html"&gt;Los que a la pobreza&lt;/a&gt;&lt;/li&gt;</v>
      </c>
      <c r="X516" s="15" t="str">
        <f>_xlfn.TEXTBEFORE(_xlfn.TEXTAFTER(CantoralDB[[#This Row],[index.html]],"&gt;"),"&gt;")&amp;"&gt;"</f>
        <v>&lt;a href="canciones/cesareo_gabarain/los_que_a_la_pobreza.html"&gt;</v>
      </c>
      <c r="Y516"/>
      <c r="Z516" s="1"/>
      <c r="AA516" s="1"/>
      <c r="AB516" s="1"/>
      <c r="AC516" s="1"/>
    </row>
    <row r="517" spans="1:29" x14ac:dyDescent="0.3">
      <c r="A517" s="1">
        <f>ROW(CantoralDB[[#This Row],[Título]])-1</f>
        <v>516</v>
      </c>
      <c r="B517" s="1" t="s">
        <v>594</v>
      </c>
      <c r="C517" s="1" t="s">
        <v>990</v>
      </c>
      <c r="D517" s="1" t="s">
        <v>1012</v>
      </c>
      <c r="E517" s="1">
        <v>251</v>
      </c>
      <c r="G517" s="1" t="s">
        <v>208</v>
      </c>
      <c r="H517" s="1" t="s">
        <v>1027</v>
      </c>
      <c r="J517" s="1" t="s">
        <v>605</v>
      </c>
      <c r="M517" s="15" t="s">
        <v>482</v>
      </c>
      <c r="N517" s="1" t="s">
        <v>9</v>
      </c>
      <c r="O517" s="15">
        <v>15</v>
      </c>
      <c r="P517" s="15">
        <v>1991</v>
      </c>
      <c r="Q517" s="15" t="str" cm="1">
        <f t="array" ref="Q5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7" s="15" t="str" cm="1">
        <f t="array" ref="R5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canciones/cesareo_gabarain/tu_nos_dijiste_que_la_muerte.html</v>
      </c>
      <c r="T517" s="1"/>
      <c r="U517" s="1"/>
      <c r="V517" s="32" t="s">
        <v>4620</v>
      </c>
      <c r="W5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data-nnew="K78" data-nold="251"&gt;&lt;a href="canciones/cesareo_gabarain/tu_nos_dijiste_que_la_muerte.html"&gt;Tú nos dijiste que la muerte&lt;/a&gt;&lt;/li&gt;</v>
      </c>
      <c r="X517" s="15" t="str">
        <f>_xlfn.TEXTBEFORE(_xlfn.TEXTAFTER(CantoralDB[[#This Row],[index.html]],"&gt;"),"&gt;")&amp;"&gt;"</f>
        <v>&lt;a href="canciones/cesareo_gabarain/tu_nos_dijiste_que_la_muerte.html"&gt;</v>
      </c>
      <c r="Y517"/>
      <c r="Z517" s="1"/>
      <c r="AA517" s="1"/>
      <c r="AB517" s="1"/>
      <c r="AC517" s="1"/>
    </row>
    <row r="518" spans="1:29" x14ac:dyDescent="0.3">
      <c r="A518" s="1">
        <f>ROW(CantoralDB[[#This Row],[Título]])-1</f>
        <v>517</v>
      </c>
      <c r="B518" s="1" t="s">
        <v>4681</v>
      </c>
      <c r="C518" s="1"/>
      <c r="H518" s="1" t="s">
        <v>1025</v>
      </c>
      <c r="J518" s="1" t="s">
        <v>605</v>
      </c>
      <c r="M518" s="15" t="s">
        <v>482</v>
      </c>
      <c r="N518" s="1" t="s">
        <v>4680</v>
      </c>
      <c r="O518" s="15">
        <v>1</v>
      </c>
      <c r="P518" s="15">
        <v>1982</v>
      </c>
      <c r="Q518" s="15" t="str" cm="1">
        <f t="array" ref="Q5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8" s="15" t="str" cm="1">
        <f t="array" ref="R5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canciones/cesareo_gabarain/la_alegria_en_el_perdon.html</v>
      </c>
      <c r="T518" s="1"/>
      <c r="U518" s="1"/>
      <c r="V518" s="32" t="s">
        <v>4690</v>
      </c>
      <c r="W5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href="canciones/cesareo_gabarain/la_alegria_en_el_perdon.html"&gt;La alegría en el perdón&lt;/a&gt;&lt;/li&gt;</v>
      </c>
      <c r="X518" s="15" t="str">
        <f>_xlfn.TEXTBEFORE(_xlfn.TEXTAFTER(CantoralDB[[#This Row],[index.html]],"&gt;"),"&gt;")&amp;"&gt;"</f>
        <v>&lt;a href="canciones/cesareo_gabarain/la_alegria_en_el_perdon.html"&gt;</v>
      </c>
      <c r="Y518"/>
      <c r="Z518" s="1"/>
      <c r="AA518" s="1"/>
      <c r="AB518" s="1"/>
      <c r="AC518" s="1"/>
    </row>
    <row r="519" spans="1:29" x14ac:dyDescent="0.3">
      <c r="A519" s="1">
        <f>ROW(CantoralDB[[#This Row],[Título]])-1</f>
        <v>518</v>
      </c>
      <c r="B519" s="1" t="s">
        <v>4682</v>
      </c>
      <c r="C519" s="1"/>
      <c r="H519" s="1" t="s">
        <v>1024</v>
      </c>
      <c r="I519" s="1" t="s">
        <v>2945</v>
      </c>
      <c r="J519" s="1" t="s">
        <v>605</v>
      </c>
      <c r="M519" s="15" t="s">
        <v>482</v>
      </c>
      <c r="N519" s="1" t="s">
        <v>4680</v>
      </c>
      <c r="O519" s="15">
        <v>2</v>
      </c>
      <c r="P519" s="15">
        <v>1982</v>
      </c>
      <c r="Q519" s="15" t="str" cm="1">
        <f t="array" ref="Q5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19" s="15" t="str" cm="1">
        <f t="array" ref="R5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canciones/cesareo_gabarain/el_joven_rico.html</v>
      </c>
      <c r="T519" s="1"/>
      <c r="U519" s="1"/>
      <c r="V519" s="32" t="s">
        <v>4691</v>
      </c>
      <c r="W5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href="canciones/cesareo_gabarain/el_joven_rico.html"&gt;El joven rico&lt;/a&gt;&lt;/li&gt;</v>
      </c>
      <c r="X519" s="15" t="str">
        <f>_xlfn.TEXTBEFORE(_xlfn.TEXTAFTER(CantoralDB[[#This Row],[index.html]],"&gt;"),"&gt;")&amp;"&gt;"</f>
        <v>&lt;a href="canciones/cesareo_gabarain/el_joven_rico.html"&gt;</v>
      </c>
      <c r="Y519"/>
      <c r="Z519" s="1"/>
      <c r="AA519" s="1"/>
      <c r="AB519" s="1"/>
      <c r="AC519" s="1"/>
    </row>
    <row r="520" spans="1:29" x14ac:dyDescent="0.3">
      <c r="A520" s="1">
        <f>ROW(CantoralDB[[#This Row],[Título]])-1</f>
        <v>519</v>
      </c>
      <c r="B520" s="1" t="s">
        <v>4683</v>
      </c>
      <c r="C520" s="1"/>
      <c r="H520" s="1" t="s">
        <v>1024</v>
      </c>
      <c r="J520" s="1" t="s">
        <v>605</v>
      </c>
      <c r="M520" s="15" t="s">
        <v>482</v>
      </c>
      <c r="N520" s="1" t="s">
        <v>4680</v>
      </c>
      <c r="O520" s="15">
        <v>3</v>
      </c>
      <c r="P520" s="15">
        <v>1982</v>
      </c>
      <c r="Q520" s="15" t="str" cm="1">
        <f t="array" ref="Q5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0" s="15" t="str" cm="1">
        <f t="array" ref="R5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canciones/cesareo_gabarain/tuve_hambre_y_me_diste_de_comer.html</v>
      </c>
      <c r="T520" s="1"/>
      <c r="U520" s="1"/>
      <c r="V520" s="32" t="s">
        <v>4692</v>
      </c>
      <c r="W5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href="canciones/cesareo_gabarain/tuve_hambre_y_me_diste_de_comer.html"&gt;Tuve hambre y me diste de comer&lt;/a&gt;&lt;/li&gt;</v>
      </c>
      <c r="X520" s="15" t="str">
        <f>_xlfn.TEXTBEFORE(_xlfn.TEXTAFTER(CantoralDB[[#This Row],[index.html]],"&gt;"),"&gt;")&amp;"&gt;"</f>
        <v>&lt;a href="canciones/cesareo_gabarain/tuve_hambre_y_me_diste_de_comer.html"&gt;</v>
      </c>
      <c r="Y520"/>
      <c r="Z520" s="1"/>
      <c r="AA520" s="1"/>
      <c r="AB520" s="1"/>
      <c r="AC520" s="1"/>
    </row>
    <row r="521" spans="1:29" x14ac:dyDescent="0.3">
      <c r="A521" s="1">
        <f>ROW(CantoralDB[[#This Row],[Título]])-1</f>
        <v>520</v>
      </c>
      <c r="B521" s="1" t="s">
        <v>4684</v>
      </c>
      <c r="C521" s="1"/>
      <c r="H521" s="1" t="s">
        <v>1025</v>
      </c>
      <c r="J521" s="1" t="s">
        <v>605</v>
      </c>
      <c r="M521" s="15" t="s">
        <v>482</v>
      </c>
      <c r="N521" s="1" t="s">
        <v>4680</v>
      </c>
      <c r="O521" s="15">
        <v>4</v>
      </c>
      <c r="P521" s="15">
        <v>1982</v>
      </c>
      <c r="Q521" s="15" t="str" cm="1">
        <f t="array" ref="Q5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1" s="15" t="str" cm="1">
        <f t="array" ref="R5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canciones/cesareo_gabarain/señor_tu_tienes_palabras_de_vida_eterna.html</v>
      </c>
      <c r="T521" s="1"/>
      <c r="U521" s="1"/>
      <c r="V521" s="32" t="s">
        <v>4693</v>
      </c>
      <c r="W5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href="canciones/cesareo_gabarain/señor_tu_tienes_palabras_de_vida_eterna.html"&gt;Señor, Tú tienes palabras de vida eterna&lt;/a&gt;&lt;/li&gt;</v>
      </c>
      <c r="X521" s="15" t="str">
        <f>_xlfn.TEXTBEFORE(_xlfn.TEXTAFTER(CantoralDB[[#This Row],[index.html]],"&gt;"),"&gt;")&amp;"&gt;"</f>
        <v>&lt;a href="canciones/cesareo_gabarain/señor_tu_tienes_palabras_de_vida_eterna.html"&gt;</v>
      </c>
      <c r="Y521"/>
      <c r="Z521" s="1"/>
      <c r="AA521" s="1"/>
      <c r="AB521" s="1"/>
      <c r="AC521" s="1"/>
    </row>
    <row r="522" spans="1:29" x14ac:dyDescent="0.3">
      <c r="A522" s="1">
        <f>ROW(CantoralDB[[#This Row],[Título]])-1</f>
        <v>521</v>
      </c>
      <c r="B522" s="1" t="s">
        <v>4685</v>
      </c>
      <c r="C522" s="1"/>
      <c r="H522" s="1" t="s">
        <v>1027</v>
      </c>
      <c r="I522" s="1" t="s">
        <v>2948</v>
      </c>
      <c r="J522" s="1" t="s">
        <v>605</v>
      </c>
      <c r="M522" s="15" t="s">
        <v>482</v>
      </c>
      <c r="N522" s="1" t="s">
        <v>4680</v>
      </c>
      <c r="O522" s="15">
        <v>5</v>
      </c>
      <c r="P522" s="15">
        <v>1982</v>
      </c>
      <c r="Q522" s="15" t="str" cm="1">
        <f t="array" ref="Q5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2" s="15" t="str" cm="1">
        <f t="array" ref="R5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canciones/cesareo_gabarain/cantando_de_alegria.html</v>
      </c>
      <c r="T522" s="1"/>
      <c r="U522" s="1"/>
      <c r="V522" s="32" t="s">
        <v>4694</v>
      </c>
      <c r="W5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href="canciones/cesareo_gabarain/cantando_de_alegria.html"&gt;Cantando de alegría&lt;/a&gt;&lt;/li&gt;</v>
      </c>
      <c r="X522" s="15" t="str">
        <f>_xlfn.TEXTBEFORE(_xlfn.TEXTAFTER(CantoralDB[[#This Row],[index.html]],"&gt;"),"&gt;")&amp;"&gt;"</f>
        <v>&lt;a href="canciones/cesareo_gabarain/cantando_de_alegria.html"&gt;</v>
      </c>
      <c r="Y522"/>
      <c r="Z522" s="1"/>
      <c r="AA522" s="1"/>
      <c r="AB522" s="1"/>
      <c r="AC522" s="1"/>
    </row>
    <row r="523" spans="1:29" x14ac:dyDescent="0.3">
      <c r="A523" s="1">
        <f>ROW(CantoralDB[[#This Row],[Título]])-1</f>
        <v>522</v>
      </c>
      <c r="B523" s="1" t="s">
        <v>4686</v>
      </c>
      <c r="C523" s="1"/>
      <c r="H523" s="1" t="s">
        <v>1026</v>
      </c>
      <c r="J523" s="1" t="s">
        <v>605</v>
      </c>
      <c r="M523" s="15" t="s">
        <v>482</v>
      </c>
      <c r="N523" s="1" t="s">
        <v>4680</v>
      </c>
      <c r="O523" s="15">
        <v>6</v>
      </c>
      <c r="P523" s="15">
        <v>1982</v>
      </c>
      <c r="Q523" s="15" t="str" cm="1">
        <f t="array" ref="Q5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3" s="15" t="str" cm="1">
        <f t="array" ref="R5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canciones/cesareo_gabarain/solo_tu.html</v>
      </c>
      <c r="T523" s="1"/>
      <c r="U523" s="1"/>
      <c r="V523" s="32" t="s">
        <v>4695</v>
      </c>
      <c r="W5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href="canciones/cesareo_gabarain/solo_tu.html"&gt;Solo Tú&lt;/a&gt;&lt;/li&gt;</v>
      </c>
      <c r="X523" s="15" t="str">
        <f>_xlfn.TEXTBEFORE(_xlfn.TEXTAFTER(CantoralDB[[#This Row],[index.html]],"&gt;"),"&gt;")&amp;"&gt;"</f>
        <v>&lt;a href="canciones/cesareo_gabarain/solo_tu.html"&gt;</v>
      </c>
      <c r="Y523"/>
      <c r="Z523" s="1"/>
      <c r="AA523" s="1"/>
      <c r="AB523" s="1"/>
      <c r="AC523" s="1"/>
    </row>
    <row r="524" spans="1:29" x14ac:dyDescent="0.3">
      <c r="A524" s="1">
        <f>ROW(CantoralDB[[#This Row],[Título]])-1</f>
        <v>523</v>
      </c>
      <c r="B524" s="1" t="s">
        <v>4687</v>
      </c>
      <c r="C524" s="1"/>
      <c r="H524" s="1" t="s">
        <v>1025</v>
      </c>
      <c r="J524" s="1" t="s">
        <v>605</v>
      </c>
      <c r="M524" s="15" t="s">
        <v>482</v>
      </c>
      <c r="N524" s="1" t="s">
        <v>4680</v>
      </c>
      <c r="O524" s="15">
        <v>7</v>
      </c>
      <c r="P524" s="15">
        <v>1982</v>
      </c>
      <c r="Q524" s="15" t="str" cm="1">
        <f t="array" ref="Q5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4" s="15" t="str" cm="1">
        <f t="array" ref="R5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canciones/cesareo_gabarain/tu_que_caminas_sobre_la_mar.html</v>
      </c>
      <c r="T524" s="1"/>
      <c r="U524" s="1"/>
      <c r="V524" s="32" t="s">
        <v>4696</v>
      </c>
      <c r="W5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href="canciones/cesareo_gabarain/tu_que_caminas_sobre_la_mar.html"&gt;Tú que caminas sobre la mar&lt;/a&gt;&lt;/li&gt;</v>
      </c>
      <c r="X524" s="15" t="str">
        <f>_xlfn.TEXTBEFORE(_xlfn.TEXTAFTER(CantoralDB[[#This Row],[index.html]],"&gt;"),"&gt;")&amp;"&gt;"</f>
        <v>&lt;a href="canciones/cesareo_gabarain/tu_que_caminas_sobre_la_mar.html"&gt;</v>
      </c>
      <c r="Y524"/>
      <c r="Z524" s="1"/>
      <c r="AA524" s="1"/>
      <c r="AB524" s="1"/>
      <c r="AC524" s="1"/>
    </row>
    <row r="525" spans="1:29" x14ac:dyDescent="0.3">
      <c r="A525" s="1">
        <f>ROW(CantoralDB[[#This Row],[Título]])-1</f>
        <v>524</v>
      </c>
      <c r="B525" s="1" t="s">
        <v>4688</v>
      </c>
      <c r="C525" s="1"/>
      <c r="H525" s="1" t="s">
        <v>1024</v>
      </c>
      <c r="J525" s="1" t="s">
        <v>605</v>
      </c>
      <c r="M525" s="15" t="s">
        <v>482</v>
      </c>
      <c r="N525" s="1" t="s">
        <v>4680</v>
      </c>
      <c r="O525" s="15">
        <v>8</v>
      </c>
      <c r="P525" s="15">
        <v>1982</v>
      </c>
      <c r="Q525" s="15" t="str" cm="1">
        <f t="array" ref="Q5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5" s="15" t="str" cm="1">
        <f t="array" ref="R5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canciones/cesareo_gabarain/levantate_y_anda.html</v>
      </c>
      <c r="T525" s="1"/>
      <c r="U525" s="1"/>
      <c r="V525" s="32" t="s">
        <v>4697</v>
      </c>
      <c r="W5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href="canciones/cesareo_gabarain/levantate_y_anda.html"&gt;Levántate y anda&lt;/a&gt;&lt;/li&gt;</v>
      </c>
      <c r="X525" s="15" t="str">
        <f>_xlfn.TEXTBEFORE(_xlfn.TEXTAFTER(CantoralDB[[#This Row],[index.html]],"&gt;"),"&gt;")&amp;"&gt;"</f>
        <v>&lt;a href="canciones/cesareo_gabarain/levantate_y_anda.html"&gt;</v>
      </c>
      <c r="Y525"/>
      <c r="Z525" s="1"/>
      <c r="AA525" s="1"/>
      <c r="AB525" s="1"/>
      <c r="AC525" s="1"/>
    </row>
    <row r="526" spans="1:29" x14ac:dyDescent="0.3">
      <c r="A526" s="1">
        <f>ROW(CantoralDB[[#This Row],[Título]])-1</f>
        <v>525</v>
      </c>
      <c r="B526" s="1" t="s">
        <v>4680</v>
      </c>
      <c r="C526" s="1"/>
      <c r="H526" s="1" t="s">
        <v>529</v>
      </c>
      <c r="I526" s="1" t="s">
        <v>2948</v>
      </c>
      <c r="J526" s="1" t="s">
        <v>605</v>
      </c>
      <c r="M526" s="15" t="s">
        <v>482</v>
      </c>
      <c r="N526" s="1" t="s">
        <v>4680</v>
      </c>
      <c r="O526" s="15">
        <v>9</v>
      </c>
      <c r="P526" s="15">
        <v>1982</v>
      </c>
      <c r="Q526" s="15" t="str" cm="1">
        <f t="array" ref="Q5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6" s="15" t="str" cm="1">
        <f t="array" ref="R5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canciones/cesareo_gabarain/bendito_eres_señor.html</v>
      </c>
      <c r="T526" s="1"/>
      <c r="U526" s="1"/>
      <c r="V526" s="32" t="s">
        <v>4698</v>
      </c>
      <c r="W5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href="canciones/cesareo_gabarain/bendito_eres_señor.html"&gt;Bendito eres, Señor&lt;/a&gt;&lt;/li&gt;</v>
      </c>
      <c r="X526" s="15" t="str">
        <f>_xlfn.TEXTBEFORE(_xlfn.TEXTAFTER(CantoralDB[[#This Row],[index.html]],"&gt;"),"&gt;")&amp;"&gt;"</f>
        <v>&lt;a href="canciones/cesareo_gabarain/bendito_eres_señor.html"&gt;</v>
      </c>
      <c r="Y526"/>
      <c r="Z526" s="1"/>
      <c r="AA526" s="1"/>
      <c r="AB526" s="1"/>
      <c r="AC526" s="1"/>
    </row>
    <row r="527" spans="1:29" x14ac:dyDescent="0.3">
      <c r="A527" s="1">
        <f>ROW(CantoralDB[[#This Row],[Título]])-1</f>
        <v>526</v>
      </c>
      <c r="B527" s="1" t="s">
        <v>4689</v>
      </c>
      <c r="C527" s="1"/>
      <c r="H527" s="1" t="s">
        <v>1025</v>
      </c>
      <c r="J527" s="1" t="s">
        <v>605</v>
      </c>
      <c r="M527" s="15" t="s">
        <v>482</v>
      </c>
      <c r="N527" s="1" t="s">
        <v>4680</v>
      </c>
      <c r="O527" s="15">
        <v>10</v>
      </c>
      <c r="P527" s="15">
        <v>1982</v>
      </c>
      <c r="Q527" s="15" t="str" cm="1">
        <f t="array" ref="Q5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7" s="15" t="str" cm="1">
        <f t="array" ref="R5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canciones/cesareo_gabarain/camino_de_emaus.html</v>
      </c>
      <c r="T527" s="1"/>
      <c r="U527" s="1"/>
      <c r="V527" s="32" t="s">
        <v>4699</v>
      </c>
      <c r="W5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href="canciones/cesareo_gabarain/camino_de_emaus.html"&gt;Camino de Emaús&lt;/a&gt;&lt;/li&gt;</v>
      </c>
      <c r="X527" s="15" t="str">
        <f>_xlfn.TEXTBEFORE(_xlfn.TEXTAFTER(CantoralDB[[#This Row],[index.html]],"&gt;"),"&gt;")&amp;"&gt;"</f>
        <v>&lt;a href="canciones/cesareo_gabarain/camino_de_emaus.html"&gt;</v>
      </c>
      <c r="Y527"/>
      <c r="Z527" s="1"/>
      <c r="AA527" s="1"/>
      <c r="AB527" s="1"/>
      <c r="AC527" s="1"/>
    </row>
    <row r="528" spans="1:29" x14ac:dyDescent="0.3">
      <c r="A528" s="1">
        <f>ROW(CantoralDB[[#This Row],[Título]])-1</f>
        <v>527</v>
      </c>
      <c r="B528" s="1" t="s">
        <v>4700</v>
      </c>
      <c r="C528" s="1"/>
      <c r="H528" s="1" t="s">
        <v>1026</v>
      </c>
      <c r="J528" s="1" t="s">
        <v>605</v>
      </c>
      <c r="M528" s="15" t="s">
        <v>482</v>
      </c>
      <c r="N528" s="1" t="s">
        <v>4700</v>
      </c>
      <c r="O528" s="15">
        <v>1</v>
      </c>
      <c r="P528" s="15">
        <v>1990</v>
      </c>
      <c r="Q528" s="15" t="str" cm="1">
        <f t="array" ref="Q5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8" s="15" t="str" cm="1">
        <f t="array" ref="R5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canciones/cesareo_gabarain/cantando_venimos.html</v>
      </c>
      <c r="T528" s="1"/>
      <c r="U528" s="1"/>
      <c r="V528" s="32" t="s">
        <v>4706</v>
      </c>
      <c r="W5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href="canciones/cesareo_gabarain/cantando_venimos.html"&gt;Cantando venimos&lt;/a&gt;&lt;/li&gt;</v>
      </c>
      <c r="X528" s="15" t="str">
        <f>_xlfn.TEXTBEFORE(_xlfn.TEXTAFTER(CantoralDB[[#This Row],[index.html]],"&gt;"),"&gt;")&amp;"&gt;"</f>
        <v>&lt;a href="canciones/cesareo_gabarain/cantando_venimos.html"&gt;</v>
      </c>
      <c r="Y528"/>
      <c r="Z528" s="1"/>
      <c r="AA528" s="1"/>
      <c r="AB528" s="1"/>
      <c r="AC528" s="1"/>
    </row>
    <row r="529" spans="1:29" x14ac:dyDescent="0.3">
      <c r="A529" s="1">
        <f>ROW(CantoralDB[[#This Row],[Título]])-1</f>
        <v>528</v>
      </c>
      <c r="B529" s="1" t="s">
        <v>4701</v>
      </c>
      <c r="C529" s="1"/>
      <c r="H529" s="1" t="s">
        <v>1027</v>
      </c>
      <c r="J529" s="1" t="s">
        <v>605</v>
      </c>
      <c r="M529" s="15" t="s">
        <v>482</v>
      </c>
      <c r="N529" s="1" t="s">
        <v>4700</v>
      </c>
      <c r="O529" s="15">
        <v>2</v>
      </c>
      <c r="P529" s="15">
        <v>1990</v>
      </c>
      <c r="Q529" s="15" t="str" cm="1">
        <f t="array" ref="Q5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29" s="15" t="str" cm="1">
        <f t="array" ref="R5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canciones/cesareo_gabarain/gloria_a_dios.html</v>
      </c>
      <c r="T529" s="1"/>
      <c r="U529" s="1"/>
      <c r="V529" s="32" t="s">
        <v>4707</v>
      </c>
      <c r="W5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href="canciones/cesareo_gabarain/gloria_a_dios.html"&gt;Gloria a Dios&lt;/a&gt;&lt;/li&gt;</v>
      </c>
      <c r="X529" s="15" t="str">
        <f>_xlfn.TEXTBEFORE(_xlfn.TEXTAFTER(CantoralDB[[#This Row],[index.html]],"&gt;"),"&gt;")&amp;"&gt;"</f>
        <v>&lt;a href="canciones/cesareo_gabarain/gloria_a_dios.html"&gt;</v>
      </c>
      <c r="Y529"/>
      <c r="Z529" s="1"/>
      <c r="AA529" s="1"/>
      <c r="AB529" s="1"/>
      <c r="AC529" s="1"/>
    </row>
    <row r="530" spans="1:29" x14ac:dyDescent="0.3">
      <c r="A530" s="1">
        <f>ROW(CantoralDB[[#This Row],[Título]])-1</f>
        <v>529</v>
      </c>
      <c r="B530" s="1" t="s">
        <v>4702</v>
      </c>
      <c r="C530" s="1"/>
      <c r="H530" s="1" t="s">
        <v>1024</v>
      </c>
      <c r="J530" s="1" t="s">
        <v>605</v>
      </c>
      <c r="M530" s="15" t="s">
        <v>482</v>
      </c>
      <c r="N530" s="1" t="s">
        <v>4700</v>
      </c>
      <c r="O530" s="15">
        <v>3</v>
      </c>
      <c r="P530" s="15">
        <v>1990</v>
      </c>
      <c r="Q530" s="15" t="str" cm="1">
        <f t="array" ref="Q5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0" s="15" t="str" cm="1">
        <f t="array" ref="R5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canciones/cesareo_gabarain/yo_quisiera_escuchar.html</v>
      </c>
      <c r="T530" s="1"/>
      <c r="U530" s="1"/>
      <c r="V530" s="32" t="s">
        <v>4708</v>
      </c>
      <c r="W5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href="canciones/cesareo_gabarain/yo_quisiera_escuchar.html"&gt;Yo quisiera escuchar&lt;/a&gt;&lt;/li&gt;</v>
      </c>
      <c r="X530" s="15" t="str">
        <f>_xlfn.TEXTBEFORE(_xlfn.TEXTAFTER(CantoralDB[[#This Row],[index.html]],"&gt;"),"&gt;")&amp;"&gt;"</f>
        <v>&lt;a href="canciones/cesareo_gabarain/yo_quisiera_escuchar.html"&gt;</v>
      </c>
      <c r="Y530"/>
      <c r="Z530" s="1"/>
      <c r="AA530" s="1"/>
      <c r="AB530" s="1"/>
      <c r="AC530" s="1"/>
    </row>
    <row r="531" spans="1:29" x14ac:dyDescent="0.3">
      <c r="A531" s="1">
        <f>ROW(CantoralDB[[#This Row],[Título]])-1</f>
        <v>530</v>
      </c>
      <c r="B531" s="1" t="s">
        <v>4703</v>
      </c>
      <c r="C531" s="1"/>
      <c r="H531" s="1" t="s">
        <v>1024</v>
      </c>
      <c r="J531" s="1" t="s">
        <v>605</v>
      </c>
      <c r="M531" s="15" t="s">
        <v>482</v>
      </c>
      <c r="N531" s="1" t="s">
        <v>4700</v>
      </c>
      <c r="O531" s="15">
        <v>4</v>
      </c>
      <c r="P531" s="15">
        <v>1990</v>
      </c>
      <c r="Q531" s="15" t="str" cm="1">
        <f t="array" ref="Q5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1" s="15" t="str" cm="1">
        <f t="array" ref="R5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canciones/cesareo_gabarain/gracias_por_tu_palabra.html</v>
      </c>
      <c r="T531" s="1"/>
      <c r="U531" s="1"/>
      <c r="V531" s="32" t="s">
        <v>4709</v>
      </c>
      <c r="W5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href="canciones/cesareo_gabarain/gracias_por_tu_palabra.html"&gt;Gracias por tu palabra&lt;/a&gt;&lt;/li&gt;</v>
      </c>
      <c r="X531" s="15" t="str">
        <f>_xlfn.TEXTBEFORE(_xlfn.TEXTAFTER(CantoralDB[[#This Row],[index.html]],"&gt;"),"&gt;")&amp;"&gt;"</f>
        <v>&lt;a href="canciones/cesareo_gabarain/gracias_por_tu_palabra.html"&gt;</v>
      </c>
      <c r="Y531"/>
      <c r="Z531" s="1"/>
      <c r="AA531" s="1"/>
      <c r="AB531" s="1"/>
      <c r="AC531" s="1"/>
    </row>
    <row r="532" spans="1:29" x14ac:dyDescent="0.3">
      <c r="A532" s="1">
        <f>ROW(CantoralDB[[#This Row],[Título]])-1</f>
        <v>531</v>
      </c>
      <c r="B532" s="1" t="s">
        <v>5033</v>
      </c>
      <c r="C532" s="1"/>
      <c r="H532" s="1" t="s">
        <v>1025</v>
      </c>
      <c r="J532" s="1" t="s">
        <v>605</v>
      </c>
      <c r="M532" s="15" t="s">
        <v>482</v>
      </c>
      <c r="N532" s="1" t="s">
        <v>4700</v>
      </c>
      <c r="O532" s="15">
        <v>5</v>
      </c>
      <c r="P532" s="15">
        <v>1990</v>
      </c>
      <c r="Q532" s="15" t="str" cm="1">
        <f t="array" ref="Q5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2" s="15" t="str" cm="1">
        <f t="array" ref="R5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canciones/cesareo_gabarain/padre_nuestro_(cantando_venimos).html</v>
      </c>
      <c r="T532" s="1"/>
      <c r="U532" s="1"/>
      <c r="V532" s="32" t="s">
        <v>4710</v>
      </c>
      <c r="W5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href="canciones/cesareo_gabarain/padre_nuestro_(cantando_venimos).html"&gt;Padre nuestro (Cantando venimos)&lt;/a&gt;&lt;/li&gt;</v>
      </c>
      <c r="X532" s="15" t="str">
        <f>_xlfn.TEXTBEFORE(_xlfn.TEXTAFTER(CantoralDB[[#This Row],[index.html]],"&gt;"),"&gt;")&amp;"&gt;"</f>
        <v>&lt;a href="canciones/cesareo_gabarain/padre_nuestro_(cantando_venimos).html"&gt;</v>
      </c>
      <c r="Y532"/>
      <c r="Z532" s="1"/>
      <c r="AA532" s="1"/>
      <c r="AB532" s="1"/>
      <c r="AC532" s="1"/>
    </row>
    <row r="533" spans="1:29" x14ac:dyDescent="0.3">
      <c r="A533" s="1">
        <f>ROW(CantoralDB[[#This Row],[Título]])-1</f>
        <v>532</v>
      </c>
      <c r="B533" s="1" t="s">
        <v>4704</v>
      </c>
      <c r="C533" s="1"/>
      <c r="H533" s="1" t="s">
        <v>1025</v>
      </c>
      <c r="J533" s="1" t="s">
        <v>605</v>
      </c>
      <c r="M533" s="15" t="s">
        <v>482</v>
      </c>
      <c r="N533" s="1" t="s">
        <v>4700</v>
      </c>
      <c r="O533" s="15">
        <v>6</v>
      </c>
      <c r="P533" s="15">
        <v>1990</v>
      </c>
      <c r="Q533" s="15" t="str" cm="1">
        <f t="array" ref="Q5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3" s="15" t="str" cm="1">
        <f t="array" ref="R5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canciones/cesareo_gabarain/como_cantan_los_pajaros.html</v>
      </c>
      <c r="T533" s="1"/>
      <c r="U533" s="1"/>
      <c r="V533" s="32" t="s">
        <v>4711</v>
      </c>
      <c r="W5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href="canciones/cesareo_gabarain/como_cantan_los_pajaros.html"&gt;Como cantan los pájaros&lt;/a&gt;&lt;/li&gt;</v>
      </c>
      <c r="X533" s="15" t="str">
        <f>_xlfn.TEXTBEFORE(_xlfn.TEXTAFTER(CantoralDB[[#This Row],[index.html]],"&gt;"),"&gt;")&amp;"&gt;"</f>
        <v>&lt;a href="canciones/cesareo_gabarain/como_cantan_los_pajaros.html"&gt;</v>
      </c>
      <c r="Y533"/>
      <c r="Z533" s="1"/>
      <c r="AA533" s="1"/>
      <c r="AB533" s="1"/>
      <c r="AC533" s="1"/>
    </row>
    <row r="534" spans="1:29" x14ac:dyDescent="0.3">
      <c r="A534" s="1">
        <f>ROW(CantoralDB[[#This Row],[Título]])-1</f>
        <v>533</v>
      </c>
      <c r="B534" s="1" t="s">
        <v>4705</v>
      </c>
      <c r="C534" s="1"/>
      <c r="H534" s="1" t="s">
        <v>529</v>
      </c>
      <c r="I534" s="1" t="s">
        <v>2948</v>
      </c>
      <c r="J534" s="1" t="s">
        <v>605</v>
      </c>
      <c r="M534" s="15" t="s">
        <v>482</v>
      </c>
      <c r="N534" s="1" t="s">
        <v>4700</v>
      </c>
      <c r="O534" s="15">
        <v>7</v>
      </c>
      <c r="P534" s="15">
        <v>1990</v>
      </c>
      <c r="Q534" s="15" t="str" cm="1">
        <f t="array" ref="Q5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4" s="15" t="str" cm="1">
        <f t="array" ref="R5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canciones/cesareo_gabarain/somos_un_pueblo_nacido.html</v>
      </c>
      <c r="T534" s="1"/>
      <c r="U534" s="1"/>
      <c r="V534" s="32" t="s">
        <v>4712</v>
      </c>
      <c r="W5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href="canciones/cesareo_gabarain/somos_un_pueblo_nacido.html"&gt;Somos un pueblo nacido&lt;/a&gt;&lt;/li&gt;</v>
      </c>
      <c r="X534" s="15" t="str">
        <f>_xlfn.TEXTBEFORE(_xlfn.TEXTAFTER(CantoralDB[[#This Row],[index.html]],"&gt;"),"&gt;")&amp;"&gt;"</f>
        <v>&lt;a href="canciones/cesareo_gabarain/somos_un_pueblo_nacido.html"&gt;</v>
      </c>
      <c r="Y534"/>
      <c r="Z534" s="1"/>
      <c r="AA534" s="1"/>
      <c r="AB534" s="1"/>
      <c r="AC534" s="1"/>
    </row>
    <row r="535" spans="1:29" x14ac:dyDescent="0.3">
      <c r="A535" s="1">
        <f>ROW(CantoralDB[[#This Row],[Título]])-1</f>
        <v>534</v>
      </c>
      <c r="B535" s="1" t="s">
        <v>5022</v>
      </c>
      <c r="C535" s="1"/>
      <c r="H535" s="1" t="s">
        <v>1027</v>
      </c>
      <c r="J535" s="1" t="s">
        <v>605</v>
      </c>
      <c r="M535" s="15" t="s">
        <v>482</v>
      </c>
      <c r="N535" s="1" t="s">
        <v>4713</v>
      </c>
      <c r="O535" s="15">
        <v>1</v>
      </c>
      <c r="P535" s="15">
        <v>1988</v>
      </c>
      <c r="Q535" s="15" t="str" cm="1">
        <f t="array" ref="Q5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5" s="15" t="str" cm="1">
        <f t="array" ref="R5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canciones/cesareo_gabarain/ven_señor_no_tardes_mas.html</v>
      </c>
      <c r="T535" s="1"/>
      <c r="U535" s="1"/>
      <c r="V535" s="32" t="s">
        <v>5007</v>
      </c>
      <c r="W5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href="canciones/cesareo_gabarain/ven_señor_no_tardes_mas.html"&gt;Ven, Señor, no tardes más&lt;/a&gt;&lt;/li&gt;</v>
      </c>
      <c r="X535" s="15" t="str">
        <f>_xlfn.TEXTBEFORE(_xlfn.TEXTAFTER(CantoralDB[[#This Row],[index.html]],"&gt;"),"&gt;")&amp;"&gt;"</f>
        <v>&lt;a href="canciones/cesareo_gabarain/ven_señor_no_tardes_mas.html"&gt;</v>
      </c>
      <c r="Y535"/>
      <c r="Z535" s="1"/>
      <c r="AA535" s="1"/>
      <c r="AB535" s="1"/>
      <c r="AC535" s="1"/>
    </row>
    <row r="536" spans="1:29" x14ac:dyDescent="0.3">
      <c r="A536" s="1">
        <f>ROW(CantoralDB[[#This Row],[Título]])-1</f>
        <v>535</v>
      </c>
      <c r="B536" s="1" t="s">
        <v>5023</v>
      </c>
      <c r="C536" s="1"/>
      <c r="H536" s="1" t="s">
        <v>1027</v>
      </c>
      <c r="J536" s="1" t="s">
        <v>605</v>
      </c>
      <c r="M536" s="15" t="s">
        <v>482</v>
      </c>
      <c r="N536" s="1" t="s">
        <v>4713</v>
      </c>
      <c r="O536" s="15">
        <v>2</v>
      </c>
      <c r="P536" s="15">
        <v>1988</v>
      </c>
      <c r="Q536" s="15" t="str" cm="1">
        <f t="array" ref="Q5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6" s="15" t="str" cm="1">
        <f t="array" ref="R5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canciones/cesareo_gabarain/levantate_que_esta_llegando.html</v>
      </c>
      <c r="T536" s="1"/>
      <c r="U536" s="1"/>
      <c r="V536" s="32" t="s">
        <v>5008</v>
      </c>
      <c r="W5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href="canciones/cesareo_gabarain/levantate_que_esta_llegando.html"&gt;Levántate, que está llegando&lt;/a&gt;&lt;/li&gt;</v>
      </c>
      <c r="X536" s="15" t="str">
        <f>_xlfn.TEXTBEFORE(_xlfn.TEXTAFTER(CantoralDB[[#This Row],[index.html]],"&gt;"),"&gt;")&amp;"&gt;"</f>
        <v>&lt;a href="canciones/cesareo_gabarain/levantate_que_esta_llegando.html"&gt;</v>
      </c>
      <c r="Y536"/>
      <c r="Z536" s="1"/>
      <c r="AA536" s="1"/>
      <c r="AB536" s="1"/>
      <c r="AC536" s="1"/>
    </row>
    <row r="537" spans="1:29" x14ac:dyDescent="0.3">
      <c r="A537" s="1">
        <f>ROW(CantoralDB[[#This Row],[Título]])-1</f>
        <v>536</v>
      </c>
      <c r="B537" s="1" t="s">
        <v>5024</v>
      </c>
      <c r="C537" s="1"/>
      <c r="H537" s="1" t="s">
        <v>1026</v>
      </c>
      <c r="J537" s="1" t="s">
        <v>605</v>
      </c>
      <c r="M537" s="15" t="s">
        <v>482</v>
      </c>
      <c r="N537" s="1" t="s">
        <v>4713</v>
      </c>
      <c r="O537" s="15">
        <v>3</v>
      </c>
      <c r="P537" s="15">
        <v>1988</v>
      </c>
      <c r="Q537" s="15" t="str" cm="1">
        <f t="array" ref="Q5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7" s="15" t="str" cm="1">
        <f t="array" ref="R5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canciones/cesareo_gabarain/un_niño_nos_ha_nacido.html</v>
      </c>
      <c r="T537" s="1"/>
      <c r="U537" s="1"/>
      <c r="V537" s="32" t="s">
        <v>5009</v>
      </c>
      <c r="W5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href="canciones/cesareo_gabarain/un_niño_nos_ha_nacido.html"&gt;Un niño nos ha nacido&lt;/a&gt;&lt;/li&gt;</v>
      </c>
      <c r="X537" s="15" t="str">
        <f>_xlfn.TEXTBEFORE(_xlfn.TEXTAFTER(CantoralDB[[#This Row],[index.html]],"&gt;"),"&gt;")&amp;"&gt;"</f>
        <v>&lt;a href="canciones/cesareo_gabarain/un_niño_nos_ha_nacido.html"&gt;</v>
      </c>
      <c r="Y537"/>
      <c r="Z537" s="1"/>
      <c r="AA537" s="1"/>
      <c r="AB537" s="1"/>
      <c r="AC537" s="1"/>
    </row>
    <row r="538" spans="1:29" x14ac:dyDescent="0.3">
      <c r="A538" s="1">
        <f>ROW(CantoralDB[[#This Row],[Título]])-1</f>
        <v>537</v>
      </c>
      <c r="B538" s="1" t="s">
        <v>5025</v>
      </c>
      <c r="C538" s="1"/>
      <c r="H538" s="1" t="s">
        <v>1025</v>
      </c>
      <c r="J538" s="1" t="s">
        <v>605</v>
      </c>
      <c r="M538" s="15" t="s">
        <v>482</v>
      </c>
      <c r="N538" s="1" t="s">
        <v>4713</v>
      </c>
      <c r="O538" s="15">
        <v>4</v>
      </c>
      <c r="P538" s="15">
        <v>1988</v>
      </c>
      <c r="Q538" s="15" t="str" cm="1">
        <f t="array" ref="Q5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8" s="15" t="str" cm="1">
        <f t="array" ref="R5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canciones/cesareo_gabarain/ven_dios_nacido_en_un_portal.html</v>
      </c>
      <c r="T538" s="1"/>
      <c r="U538" s="1"/>
      <c r="V538" s="32" t="s">
        <v>5010</v>
      </c>
      <c r="W5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href="canciones/cesareo_gabarain/ven_dios_nacido_en_un_portal.html"&gt;Ven, Dios nacido en un portal&lt;/a&gt;&lt;/li&gt;</v>
      </c>
      <c r="X538" s="15" t="str">
        <f>_xlfn.TEXTBEFORE(_xlfn.TEXTAFTER(CantoralDB[[#This Row],[index.html]],"&gt;"),"&gt;")&amp;"&gt;"</f>
        <v>&lt;a href="canciones/cesareo_gabarain/ven_dios_nacido_en_un_portal.html"&gt;</v>
      </c>
      <c r="Y538"/>
      <c r="Z538" s="1"/>
      <c r="AA538" s="1"/>
      <c r="AB538" s="1"/>
      <c r="AC538" s="1"/>
    </row>
    <row r="539" spans="1:29" x14ac:dyDescent="0.3">
      <c r="A539" s="1">
        <f>ROW(CantoralDB[[#This Row],[Título]])-1</f>
        <v>538</v>
      </c>
      <c r="B539" s="1" t="s">
        <v>1851</v>
      </c>
      <c r="C539" s="1"/>
      <c r="H539" s="1" t="s">
        <v>1025</v>
      </c>
      <c r="J539" s="1" t="s">
        <v>605</v>
      </c>
      <c r="M539" s="15" t="s">
        <v>482</v>
      </c>
      <c r="N539" s="1" t="s">
        <v>4713</v>
      </c>
      <c r="O539" s="15">
        <v>5</v>
      </c>
      <c r="P539" s="15">
        <v>1988</v>
      </c>
      <c r="Q539" s="15" t="str" cm="1">
        <f t="array" ref="Q5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39" s="15" t="str" cm="1">
        <f t="array" ref="R5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canciones/cesareo_gabarain/aleluya_ii.html</v>
      </c>
      <c r="T539" s="1"/>
      <c r="U539" s="1"/>
      <c r="V539" s="32" t="s">
        <v>5011</v>
      </c>
      <c r="W5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href="canciones/cesareo_gabarain/aleluya_ii.html"&gt;Aleluya II&lt;/a&gt;&lt;/li&gt;</v>
      </c>
      <c r="X539" s="15" t="str">
        <f>_xlfn.TEXTBEFORE(_xlfn.TEXTAFTER(CantoralDB[[#This Row],[index.html]],"&gt;"),"&gt;")&amp;"&gt;"</f>
        <v>&lt;a href="canciones/cesareo_gabarain/aleluya_ii.html"&gt;</v>
      </c>
      <c r="Y539"/>
      <c r="Z539" s="1"/>
      <c r="AA539" s="1"/>
      <c r="AB539" s="1"/>
      <c r="AC539" s="1"/>
    </row>
    <row r="540" spans="1:29" x14ac:dyDescent="0.3">
      <c r="A540" s="1">
        <f>ROW(CantoralDB[[#This Row],[Título]])-1</f>
        <v>539</v>
      </c>
      <c r="B540" s="1" t="s">
        <v>5026</v>
      </c>
      <c r="C540" s="1"/>
      <c r="H540" s="1" t="s">
        <v>529</v>
      </c>
      <c r="J540" s="1" t="s">
        <v>605</v>
      </c>
      <c r="M540" s="15" t="s">
        <v>482</v>
      </c>
      <c r="N540" s="1" t="s">
        <v>4713</v>
      </c>
      <c r="O540" s="15">
        <v>6</v>
      </c>
      <c r="P540" s="15">
        <v>1988</v>
      </c>
      <c r="Q540" s="15" t="str" cm="1">
        <f t="array" ref="Q5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0" s="15" t="str" cm="1">
        <f t="array" ref="R5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canciones/cesareo_gabarain/aleluya_iii.html</v>
      </c>
      <c r="T540" s="1"/>
      <c r="U540" s="1"/>
      <c r="V540" s="32" t="s">
        <v>5011</v>
      </c>
      <c r="W5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href="canciones/cesareo_gabarain/aleluya_iii.html"&gt;Aleluya III&lt;/a&gt;&lt;/li&gt;</v>
      </c>
      <c r="X540" s="15" t="str">
        <f>_xlfn.TEXTBEFORE(_xlfn.TEXTAFTER(CantoralDB[[#This Row],[index.html]],"&gt;"),"&gt;")&amp;"&gt;"</f>
        <v>&lt;a href="canciones/cesareo_gabarain/aleluya_iii.html"&gt;</v>
      </c>
      <c r="Y540"/>
      <c r="Z540" s="1"/>
      <c r="AA540" s="1"/>
      <c r="AB540" s="1"/>
      <c r="AC540" s="1"/>
    </row>
    <row r="541" spans="1:29" x14ac:dyDescent="0.3">
      <c r="A541" s="1">
        <f>ROW(CantoralDB[[#This Row],[Título]])-1</f>
        <v>540</v>
      </c>
      <c r="B541" s="1" t="s">
        <v>5027</v>
      </c>
      <c r="C541" s="1"/>
      <c r="H541" s="1" t="s">
        <v>1027</v>
      </c>
      <c r="J541" s="1" t="s">
        <v>605</v>
      </c>
      <c r="M541" s="15" t="s">
        <v>482</v>
      </c>
      <c r="N541" s="1" t="s">
        <v>4713</v>
      </c>
      <c r="O541" s="15">
        <v>9</v>
      </c>
      <c r="P541" s="15">
        <v>1988</v>
      </c>
      <c r="Q541" s="15" t="str" cm="1">
        <f t="array" ref="Q5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1" s="15" t="str" cm="1">
        <f t="array" ref="R5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canciones/cesareo_gabarain/aleluya_iv.html</v>
      </c>
      <c r="T541" s="1"/>
      <c r="U541" s="1"/>
      <c r="V541" s="32" t="s">
        <v>5011</v>
      </c>
      <c r="W5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href="canciones/cesareo_gabarain/aleluya_iv.html"&gt;Aleluya IV&lt;/a&gt;&lt;/li&gt;</v>
      </c>
      <c r="X541" s="15" t="str">
        <f>_xlfn.TEXTBEFORE(_xlfn.TEXTAFTER(CantoralDB[[#This Row],[index.html]],"&gt;"),"&gt;")&amp;"&gt;"</f>
        <v>&lt;a href="canciones/cesareo_gabarain/aleluya_iv.html"&gt;</v>
      </c>
      <c r="Y541"/>
      <c r="Z541" s="1"/>
      <c r="AA541" s="1"/>
      <c r="AB541" s="1"/>
      <c r="AC541" s="1"/>
    </row>
    <row r="542" spans="1:29" x14ac:dyDescent="0.3">
      <c r="A542" s="1">
        <f>ROW(CantoralDB[[#This Row],[Título]])-1</f>
        <v>541</v>
      </c>
      <c r="B542" s="1" t="s">
        <v>5224</v>
      </c>
      <c r="C542" s="1"/>
      <c r="H542" s="1" t="s">
        <v>1027</v>
      </c>
      <c r="J542" s="1" t="s">
        <v>605</v>
      </c>
      <c r="M542" s="15" t="s">
        <v>482</v>
      </c>
      <c r="N542" s="1" t="s">
        <v>4713</v>
      </c>
      <c r="O542" s="15">
        <v>11</v>
      </c>
      <c r="P542" s="15">
        <v>1988</v>
      </c>
      <c r="Q542" s="15" t="str" cm="1">
        <f t="array" ref="Q5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2" s="15" t="str" cm="1">
        <f t="array" ref="R5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canciones/cesareo_gabarain/el_señor_es_mi_pastor_(i).html</v>
      </c>
      <c r="T542" s="1"/>
      <c r="U542" s="1"/>
      <c r="V542" s="32" t="s">
        <v>5012</v>
      </c>
      <c r="W5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href="canciones/cesareo_gabarain/el_señor_es_mi_pastor_(i).html"&gt;El Señor es mi pastor (I)&lt;/a&gt;&lt;/li&gt;</v>
      </c>
      <c r="X542" s="15" t="str">
        <f>_xlfn.TEXTBEFORE(_xlfn.TEXTAFTER(CantoralDB[[#This Row],[index.html]],"&gt;"),"&gt;")&amp;"&gt;"</f>
        <v>&lt;a href="canciones/cesareo_gabarain/el_señor_es_mi_pastor_(i).html"&gt;</v>
      </c>
      <c r="Y542"/>
      <c r="Z542" s="1"/>
      <c r="AA542" s="1"/>
      <c r="AB542" s="1"/>
      <c r="AC542" s="1"/>
    </row>
    <row r="543" spans="1:29" x14ac:dyDescent="0.3">
      <c r="A543" s="1">
        <f>ROW(CantoralDB[[#This Row],[Título]])-1</f>
        <v>542</v>
      </c>
      <c r="B543" s="1" t="s">
        <v>5028</v>
      </c>
      <c r="C543" s="1"/>
      <c r="H543" s="1" t="s">
        <v>1026</v>
      </c>
      <c r="J543" s="1" t="s">
        <v>605</v>
      </c>
      <c r="M543" s="15" t="s">
        <v>482</v>
      </c>
      <c r="N543" s="1" t="s">
        <v>4713</v>
      </c>
      <c r="O543" s="15">
        <v>12</v>
      </c>
      <c r="P543" s="15">
        <v>1988</v>
      </c>
      <c r="Q543" s="15" t="str" cm="1">
        <f t="array" ref="Q5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3" s="15" t="str" cm="1">
        <f t="array" ref="R5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canciones/cesareo_gabarain/aleluya_v.html</v>
      </c>
      <c r="T543" s="1"/>
      <c r="U543" s="1"/>
      <c r="V543" s="32" t="s">
        <v>5013</v>
      </c>
      <c r="W5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href="canciones/cesareo_gabarain/aleluya_v.html"&gt;Aleluya V&lt;/a&gt;&lt;/li&gt;</v>
      </c>
      <c r="X543" s="15" t="str">
        <f>_xlfn.TEXTBEFORE(_xlfn.TEXTAFTER(CantoralDB[[#This Row],[index.html]],"&gt;"),"&gt;")&amp;"&gt;"</f>
        <v>&lt;a href="canciones/cesareo_gabarain/aleluya_v.html"&gt;</v>
      </c>
      <c r="Y543"/>
      <c r="Z543" s="1"/>
      <c r="AA543" s="1"/>
      <c r="AB543" s="1"/>
      <c r="AC543" s="1"/>
    </row>
    <row r="544" spans="1:29" x14ac:dyDescent="0.3">
      <c r="A544" s="1">
        <f>ROW(CantoralDB[[#This Row],[Título]])-1</f>
        <v>543</v>
      </c>
      <c r="B544" s="1" t="s">
        <v>5029</v>
      </c>
      <c r="C544" s="1"/>
      <c r="H544" s="1" t="s">
        <v>1024</v>
      </c>
      <c r="J544" s="1" t="s">
        <v>605</v>
      </c>
      <c r="M544" s="15" t="s">
        <v>482</v>
      </c>
      <c r="N544" s="1" t="s">
        <v>4713</v>
      </c>
      <c r="O544" s="15">
        <v>13</v>
      </c>
      <c r="P544" s="15">
        <v>1988</v>
      </c>
      <c r="Q544" s="15" t="str" cm="1">
        <f t="array" ref="Q5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4" s="15" t="str" cm="1">
        <f t="array" ref="R5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canciones/cesareo_gabarain/tomad_y_comed_yo_soy_vuestro_pan.html</v>
      </c>
      <c r="T544" s="1"/>
      <c r="U544" s="1"/>
      <c r="V544" s="32" t="s">
        <v>5014</v>
      </c>
      <c r="W5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href="canciones/cesareo_gabarain/tomad_y_comed_yo_soy_vuestro_pan.html"&gt;Tomad y comed, yo soy vuestro Pan&lt;/a&gt;&lt;/li&gt;</v>
      </c>
      <c r="X544" s="15" t="str">
        <f>_xlfn.TEXTBEFORE(_xlfn.TEXTAFTER(CantoralDB[[#This Row],[index.html]],"&gt;"),"&gt;")&amp;"&gt;"</f>
        <v>&lt;a href="canciones/cesareo_gabarain/tomad_y_comed_yo_soy_vuestro_pan.html"&gt;</v>
      </c>
      <c r="Y544"/>
      <c r="Z544" s="1"/>
      <c r="AA544" s="1"/>
      <c r="AB544" s="1"/>
      <c r="AC544" s="1"/>
    </row>
    <row r="545" spans="1:29" x14ac:dyDescent="0.3">
      <c r="A545" s="1">
        <f>ROW(CantoralDB[[#This Row],[Título]])-1</f>
        <v>544</v>
      </c>
      <c r="B545" s="1" t="s">
        <v>5030</v>
      </c>
      <c r="C545" s="1"/>
      <c r="H545" s="1" t="s">
        <v>1024</v>
      </c>
      <c r="J545" s="1" t="s">
        <v>605</v>
      </c>
      <c r="M545" s="15" t="s">
        <v>482</v>
      </c>
      <c r="N545" s="1" t="s">
        <v>4713</v>
      </c>
      <c r="O545" s="15">
        <v>14</v>
      </c>
      <c r="P545" s="15">
        <v>1988</v>
      </c>
      <c r="Q545" s="15" t="str" cm="1">
        <f t="array" ref="Q5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5" s="15" t="str" cm="1">
        <f t="array" ref="R5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canciones/cesareo_gabarain/ven_y_llenanos.html</v>
      </c>
      <c r="T545" s="1"/>
      <c r="U545" s="1"/>
      <c r="V545" s="32" t="s">
        <v>5015</v>
      </c>
      <c r="W5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href="canciones/cesareo_gabarain/ven_y_llenanos.html"&gt;Ven y llénanos&lt;/a&gt;&lt;/li&gt;</v>
      </c>
      <c r="X545" s="15" t="str">
        <f>_xlfn.TEXTBEFORE(_xlfn.TEXTAFTER(CantoralDB[[#This Row],[index.html]],"&gt;"),"&gt;")&amp;"&gt;"</f>
        <v>&lt;a href="canciones/cesareo_gabarain/ven_y_llenanos.html"&gt;</v>
      </c>
      <c r="Y545"/>
      <c r="Z545" s="1"/>
      <c r="AA545" s="1"/>
      <c r="AB545" s="1"/>
      <c r="AC545" s="1"/>
    </row>
    <row r="546" spans="1:29" x14ac:dyDescent="0.3">
      <c r="A546" s="1">
        <f>ROW(CantoralDB[[#This Row],[Título]])-1</f>
        <v>545</v>
      </c>
      <c r="B546" s="1" t="s">
        <v>2183</v>
      </c>
      <c r="C546" s="1"/>
      <c r="H546" s="1" t="s">
        <v>1027</v>
      </c>
      <c r="J546" s="1" t="s">
        <v>605</v>
      </c>
      <c r="M546" s="15" t="s">
        <v>482</v>
      </c>
      <c r="N546" s="1" t="s">
        <v>4713</v>
      </c>
      <c r="O546" s="15">
        <v>15</v>
      </c>
      <c r="P546" s="15">
        <v>1988</v>
      </c>
      <c r="Q546" s="15" t="str" cm="1">
        <f t="array" ref="Q5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6" s="15" t="str" cm="1">
        <f t="array" ref="R5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canciones/cesareo_gabarain/gustad_y_ved.html</v>
      </c>
      <c r="T546" s="1"/>
      <c r="U546" s="1"/>
      <c r="V546" s="32" t="s">
        <v>5016</v>
      </c>
      <c r="W5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href="canciones/cesareo_gabarain/gustad_y_ved.html"&gt;Gustad y ved&lt;/a&gt;&lt;/li&gt;</v>
      </c>
      <c r="X546" s="15" t="str">
        <f>_xlfn.TEXTBEFORE(_xlfn.TEXTAFTER(CantoralDB[[#This Row],[index.html]],"&gt;"),"&gt;")&amp;"&gt;"</f>
        <v>&lt;a href="canciones/cesareo_gabarain/gustad_y_ved.html"&gt;</v>
      </c>
      <c r="Y546"/>
      <c r="Z546" s="1"/>
      <c r="AA546" s="1"/>
      <c r="AB546" s="1"/>
      <c r="AC546" s="1"/>
    </row>
    <row r="547" spans="1:29" x14ac:dyDescent="0.3">
      <c r="A547" s="1">
        <f>ROW(CantoralDB[[#This Row],[Título]])-1</f>
        <v>546</v>
      </c>
      <c r="B547" s="1" t="s">
        <v>4714</v>
      </c>
      <c r="C547" s="1"/>
      <c r="J547" s="1"/>
      <c r="M547" s="15" t="s">
        <v>482</v>
      </c>
      <c r="N547" s="1" t="s">
        <v>4728</v>
      </c>
      <c r="O547" s="15">
        <v>1</v>
      </c>
      <c r="P547" s="15">
        <v>1974</v>
      </c>
      <c r="Q547" s="15" t="str" cm="1">
        <f t="array" ref="Q5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7" s="15" t="str" cm="1">
        <f t="array" ref="R5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canciones/cesareo_gabarain/dios_no_es_una_imagen_de_madera.html</v>
      </c>
      <c r="T547" s="1"/>
      <c r="U547" s="1"/>
      <c r="V547" s="32" t="s">
        <v>4735</v>
      </c>
      <c r="W5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href="canciones/cesareo_gabarain/dios_no_es_una_imagen_de_madera.html"&gt;Dios no es una imagen de madera&lt;/a&gt;&lt;/li&gt;</v>
      </c>
      <c r="X547" s="15" t="str">
        <f>_xlfn.TEXTBEFORE(_xlfn.TEXTAFTER(CantoralDB[[#This Row],[index.html]],"&gt;"),"&gt;")&amp;"&gt;"</f>
        <v>&lt;a href="canciones/cesareo_gabarain/dios_no_es_una_imagen_de_madera.html"&gt;</v>
      </c>
      <c r="Y547"/>
      <c r="Z547" s="1"/>
      <c r="AA547" s="1"/>
      <c r="AB547" s="1"/>
      <c r="AC547" s="1"/>
    </row>
    <row r="548" spans="1:29" x14ac:dyDescent="0.3">
      <c r="A548" s="1">
        <f>ROW(CantoralDB[[#This Row],[Título]])-1</f>
        <v>547</v>
      </c>
      <c r="B548" s="1" t="s">
        <v>4715</v>
      </c>
      <c r="C548" s="1"/>
      <c r="J548" s="1"/>
      <c r="M548" s="15" t="s">
        <v>482</v>
      </c>
      <c r="N548" s="1" t="s">
        <v>4728</v>
      </c>
      <c r="O548" s="15">
        <v>2</v>
      </c>
      <c r="P548" s="15">
        <v>1974</v>
      </c>
      <c r="Q548" s="15" t="str" cm="1">
        <f t="array" ref="Q5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8" s="15" t="str" cm="1">
        <f t="array" ref="R5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canciones/cesareo_gabarain/dios_hizo_todas_las_cosas.html</v>
      </c>
      <c r="T548" s="1"/>
      <c r="U548" s="1"/>
      <c r="V548" s="32" t="s">
        <v>4736</v>
      </c>
      <c r="W5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href="canciones/cesareo_gabarain/dios_hizo_todas_las_cosas.html"&gt;Dios hizo todas las cosas&lt;/a&gt;&lt;/li&gt;</v>
      </c>
      <c r="X548" s="15" t="str">
        <f>_xlfn.TEXTBEFORE(_xlfn.TEXTAFTER(CantoralDB[[#This Row],[index.html]],"&gt;"),"&gt;")&amp;"&gt;"</f>
        <v>&lt;a href="canciones/cesareo_gabarain/dios_hizo_todas_las_cosas.html"&gt;</v>
      </c>
      <c r="Y548"/>
      <c r="Z548" s="1"/>
      <c r="AA548" s="1"/>
      <c r="AB548" s="1"/>
      <c r="AC548" s="1"/>
    </row>
    <row r="549" spans="1:29" x14ac:dyDescent="0.3">
      <c r="A549" s="1">
        <f>ROW(CantoralDB[[#This Row],[Título]])-1</f>
        <v>548</v>
      </c>
      <c r="B549" s="1" t="s">
        <v>4716</v>
      </c>
      <c r="C549" s="1"/>
      <c r="J549" s="1"/>
      <c r="M549" s="15" t="s">
        <v>482</v>
      </c>
      <c r="N549" s="1" t="s">
        <v>4728</v>
      </c>
      <c r="O549" s="15">
        <v>3</v>
      </c>
      <c r="P549" s="15">
        <v>1974</v>
      </c>
      <c r="Q549" s="15" t="str" cm="1">
        <f t="array" ref="Q5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49" s="15" t="str" cm="1">
        <f t="array" ref="R5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canciones/cesareo_gabarain/yo_tengo_dentro_de_mi.html</v>
      </c>
      <c r="T549" s="1"/>
      <c r="U549" s="1"/>
      <c r="V549" s="32" t="s">
        <v>4737</v>
      </c>
      <c r="W5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href="canciones/cesareo_gabarain/yo_tengo_dentro_de_mi.html"&gt;Yo tengo dentro de mí&lt;/a&gt;&lt;/li&gt;</v>
      </c>
      <c r="X549" s="15" t="str">
        <f>_xlfn.TEXTBEFORE(_xlfn.TEXTAFTER(CantoralDB[[#This Row],[index.html]],"&gt;"),"&gt;")&amp;"&gt;"</f>
        <v>&lt;a href="canciones/cesareo_gabarain/yo_tengo_dentro_de_mi.html"&gt;</v>
      </c>
      <c r="Y549"/>
      <c r="Z549" s="1"/>
      <c r="AA549" s="1"/>
      <c r="AB549" s="1"/>
      <c r="AC549" s="1"/>
    </row>
    <row r="550" spans="1:29" x14ac:dyDescent="0.3">
      <c r="A550" s="1">
        <f>ROW(CantoralDB[[#This Row],[Título]])-1</f>
        <v>549</v>
      </c>
      <c r="B550" s="1" t="s">
        <v>4717</v>
      </c>
      <c r="C550" s="1"/>
      <c r="J550" s="1"/>
      <c r="M550" s="15" t="s">
        <v>482</v>
      </c>
      <c r="N550" s="1" t="s">
        <v>4728</v>
      </c>
      <c r="O550" s="15">
        <v>4</v>
      </c>
      <c r="P550" s="15">
        <v>1974</v>
      </c>
      <c r="Q550" s="15" t="str" cm="1">
        <f t="array" ref="Q5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0" s="15" t="str" cm="1">
        <f t="array" ref="R5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canciones/cesareo_gabarain/creo_en_ti_señor.html</v>
      </c>
      <c r="T550" s="1"/>
      <c r="U550" s="1"/>
      <c r="V550" s="32" t="s">
        <v>4738</v>
      </c>
      <c r="W5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href="canciones/cesareo_gabarain/creo_en_ti_señor.html"&gt;Creo en ti, Señor&lt;/a&gt;&lt;/li&gt;</v>
      </c>
      <c r="X550" s="15" t="str">
        <f>_xlfn.TEXTBEFORE(_xlfn.TEXTAFTER(CantoralDB[[#This Row],[index.html]],"&gt;"),"&gt;")&amp;"&gt;"</f>
        <v>&lt;a href="canciones/cesareo_gabarain/creo_en_ti_señor.html"&gt;</v>
      </c>
      <c r="Y550"/>
      <c r="Z550" s="1"/>
      <c r="AA550" s="1"/>
      <c r="AB550" s="1"/>
      <c r="AC550" s="1"/>
    </row>
    <row r="551" spans="1:29" x14ac:dyDescent="0.3">
      <c r="A551" s="1">
        <f>ROW(CantoralDB[[#This Row],[Título]])-1</f>
        <v>550</v>
      </c>
      <c r="B551" s="1" t="s">
        <v>4718</v>
      </c>
      <c r="C551" s="1"/>
      <c r="J551" s="1"/>
      <c r="M551" s="15" t="s">
        <v>482</v>
      </c>
      <c r="N551" s="1" t="s">
        <v>4728</v>
      </c>
      <c r="O551" s="15">
        <v>5</v>
      </c>
      <c r="P551" s="15">
        <v>1974</v>
      </c>
      <c r="Q551" s="15" t="str" cm="1">
        <f t="array" ref="Q5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1" s="15" t="str" cm="1">
        <f t="array" ref="R5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canciones/cesareo_gabarain/dios_nos_ha_hecho_hermanos.html</v>
      </c>
      <c r="T551" s="1"/>
      <c r="U551" s="1"/>
      <c r="V551" s="32" t="s">
        <v>4739</v>
      </c>
      <c r="W5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href="canciones/cesareo_gabarain/dios_nos_ha_hecho_hermanos.html"&gt;Dios nos ha hecho hermanos&lt;/a&gt;&lt;/li&gt;</v>
      </c>
      <c r="X551" s="15" t="str">
        <f>_xlfn.TEXTBEFORE(_xlfn.TEXTAFTER(CantoralDB[[#This Row],[index.html]],"&gt;"),"&gt;")&amp;"&gt;"</f>
        <v>&lt;a href="canciones/cesareo_gabarain/dios_nos_ha_hecho_hermanos.html"&gt;</v>
      </c>
      <c r="Y551"/>
      <c r="Z551" s="1"/>
      <c r="AA551" s="1"/>
      <c r="AB551" s="1"/>
      <c r="AC551" s="1"/>
    </row>
    <row r="552" spans="1:29" x14ac:dyDescent="0.3">
      <c r="A552" s="1">
        <f>ROW(CantoralDB[[#This Row],[Título]])-1</f>
        <v>551</v>
      </c>
      <c r="B552" s="1" t="s">
        <v>4719</v>
      </c>
      <c r="C552" s="1"/>
      <c r="J552" s="1"/>
      <c r="M552" s="15" t="s">
        <v>482</v>
      </c>
      <c r="N552" s="1" t="s">
        <v>4728</v>
      </c>
      <c r="O552" s="15">
        <v>7</v>
      </c>
      <c r="P552" s="15">
        <v>1974</v>
      </c>
      <c r="Q552" s="15" t="str" cm="1">
        <f t="array" ref="Q5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2" s="15" t="str" cm="1">
        <f t="array" ref="R5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canciones/cesareo_gabarain/una_vida_singular.html</v>
      </c>
      <c r="T552" s="1"/>
      <c r="U552" s="1"/>
      <c r="V552" s="32" t="s">
        <v>4740</v>
      </c>
      <c r="W5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href="canciones/cesareo_gabarain/una_vida_singular.html"&gt;Una vida singular&lt;/a&gt;&lt;/li&gt;</v>
      </c>
      <c r="X552" s="15" t="str">
        <f>_xlfn.TEXTBEFORE(_xlfn.TEXTAFTER(CantoralDB[[#This Row],[index.html]],"&gt;"),"&gt;")&amp;"&gt;"</f>
        <v>&lt;a href="canciones/cesareo_gabarain/una_vida_singular.html"&gt;</v>
      </c>
      <c r="Y552"/>
      <c r="Z552" s="1"/>
      <c r="AA552" s="1"/>
      <c r="AB552" s="1"/>
      <c r="AC552" s="1"/>
    </row>
    <row r="553" spans="1:29" x14ac:dyDescent="0.3">
      <c r="A553" s="1">
        <f>ROW(CantoralDB[[#This Row],[Título]])-1</f>
        <v>552</v>
      </c>
      <c r="B553" s="1" t="s">
        <v>4720</v>
      </c>
      <c r="C553" s="1"/>
      <c r="J553" s="1"/>
      <c r="M553" s="15" t="s">
        <v>482</v>
      </c>
      <c r="N553" s="1" t="s">
        <v>4728</v>
      </c>
      <c r="O553" s="15">
        <v>8</v>
      </c>
      <c r="P553" s="15">
        <v>1974</v>
      </c>
      <c r="Q553" s="15" t="str" cm="1">
        <f t="array" ref="Q5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3" s="15" t="str" cm="1">
        <f t="array" ref="R5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canciones/cesareo_gabarain/dios_esta_muy_cerca_de_mi.html</v>
      </c>
      <c r="T553" s="1"/>
      <c r="U553" s="1"/>
      <c r="V553" s="32" t="s">
        <v>4741</v>
      </c>
      <c r="W5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href="canciones/cesareo_gabarain/dios_esta_muy_cerca_de_mi.html"&gt;Dios está muy cerca de mí&lt;/a&gt;&lt;/li&gt;</v>
      </c>
      <c r="X553" s="15" t="str">
        <f>_xlfn.TEXTBEFORE(_xlfn.TEXTAFTER(CantoralDB[[#This Row],[index.html]],"&gt;"),"&gt;")&amp;"&gt;"</f>
        <v>&lt;a href="canciones/cesareo_gabarain/dios_esta_muy_cerca_de_mi.html"&gt;</v>
      </c>
      <c r="Y553"/>
      <c r="Z553" s="1"/>
      <c r="AA553" s="1"/>
      <c r="AB553" s="1"/>
      <c r="AC553" s="1"/>
    </row>
    <row r="554" spans="1:29" x14ac:dyDescent="0.3">
      <c r="A554" s="1">
        <f>ROW(CantoralDB[[#This Row],[Título]])-1</f>
        <v>553</v>
      </c>
      <c r="B554" s="1" t="s">
        <v>4721</v>
      </c>
      <c r="C554" s="1"/>
      <c r="J554" s="1"/>
      <c r="M554" s="15" t="s">
        <v>482</v>
      </c>
      <c r="N554" s="1" t="s">
        <v>4728</v>
      </c>
      <c r="O554" s="15">
        <v>9</v>
      </c>
      <c r="P554" s="15">
        <v>1974</v>
      </c>
      <c r="Q554" s="15" t="str" cm="1">
        <f t="array" ref="Q5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4" s="15" t="str" cm="1">
        <f t="array" ref="R5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canciones/cesareo_gabarain/hola_jesus.html</v>
      </c>
      <c r="T554" s="1"/>
      <c r="U554" s="1"/>
      <c r="V554" s="32" t="s">
        <v>4742</v>
      </c>
      <c r="W5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href="canciones/cesareo_gabarain/hola_jesus.html"&gt;Hola, Jesús&lt;/a&gt;&lt;/li&gt;</v>
      </c>
      <c r="X554" s="15" t="str">
        <f>_xlfn.TEXTBEFORE(_xlfn.TEXTAFTER(CantoralDB[[#This Row],[index.html]],"&gt;"),"&gt;")&amp;"&gt;"</f>
        <v>&lt;a href="canciones/cesareo_gabarain/hola_jesus.html"&gt;</v>
      </c>
      <c r="Y554"/>
      <c r="Z554" s="1"/>
      <c r="AA554" s="1"/>
      <c r="AB554" s="1"/>
      <c r="AC554" s="1"/>
    </row>
    <row r="555" spans="1:29" x14ac:dyDescent="0.3">
      <c r="A555" s="1">
        <f>ROW(CantoralDB[[#This Row],[Título]])-1</f>
        <v>554</v>
      </c>
      <c r="B555" s="1" t="s">
        <v>4722</v>
      </c>
      <c r="C555" s="1"/>
      <c r="J555" s="1"/>
      <c r="M555" s="15" t="s">
        <v>482</v>
      </c>
      <c r="N555" s="1" t="s">
        <v>4728</v>
      </c>
      <c r="O555" s="15">
        <v>10</v>
      </c>
      <c r="P555" s="15">
        <v>1974</v>
      </c>
      <c r="Q555" s="15" t="str" cm="1">
        <f t="array" ref="Q5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5" s="15" t="str" cm="1">
        <f t="array" ref="R5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canciones/cesareo_gabarain/ven_conmigo.html</v>
      </c>
      <c r="T555" s="1"/>
      <c r="U555" s="1"/>
      <c r="V555" s="32" t="s">
        <v>4743</v>
      </c>
      <c r="W5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href="canciones/cesareo_gabarain/ven_conmigo.html"&gt;Ven conmigo&lt;/a&gt;&lt;/li&gt;</v>
      </c>
      <c r="X555" s="15" t="str">
        <f>_xlfn.TEXTBEFORE(_xlfn.TEXTAFTER(CantoralDB[[#This Row],[index.html]],"&gt;"),"&gt;")&amp;"&gt;"</f>
        <v>&lt;a href="canciones/cesareo_gabarain/ven_conmigo.html"&gt;</v>
      </c>
      <c r="Y555"/>
      <c r="Z555" s="1"/>
      <c r="AA555" s="1"/>
      <c r="AB555" s="1"/>
      <c r="AC555" s="1"/>
    </row>
    <row r="556" spans="1:29" x14ac:dyDescent="0.3">
      <c r="A556" s="1">
        <f>ROW(CantoralDB[[#This Row],[Título]])-1</f>
        <v>555</v>
      </c>
      <c r="B556" s="1" t="s">
        <v>4723</v>
      </c>
      <c r="C556" s="1"/>
      <c r="J556" s="1"/>
      <c r="M556" s="15" t="s">
        <v>482</v>
      </c>
      <c r="N556" s="1" t="s">
        <v>4728</v>
      </c>
      <c r="O556" s="15">
        <v>11</v>
      </c>
      <c r="P556" s="15">
        <v>1974</v>
      </c>
      <c r="Q556" s="15" t="str" cm="1">
        <f t="array" ref="Q5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6" s="15" t="str" cm="1">
        <f t="array" ref="R5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canciones/cesareo_gabarain/se_muy_bien.html</v>
      </c>
      <c r="T556" s="1"/>
      <c r="U556" s="1"/>
      <c r="V556" s="32" t="s">
        <v>4744</v>
      </c>
      <c r="W5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href="canciones/cesareo_gabarain/se_muy_bien.html"&gt;Sé muy bien&lt;/a&gt;&lt;/li&gt;</v>
      </c>
      <c r="X556" s="15" t="str">
        <f>_xlfn.TEXTBEFORE(_xlfn.TEXTAFTER(CantoralDB[[#This Row],[index.html]],"&gt;"),"&gt;")&amp;"&gt;"</f>
        <v>&lt;a href="canciones/cesareo_gabarain/se_muy_bien.html"&gt;</v>
      </c>
      <c r="Y556"/>
      <c r="Z556" s="1"/>
      <c r="AA556" s="1"/>
      <c r="AB556" s="1"/>
      <c r="AC556" s="1"/>
    </row>
    <row r="557" spans="1:29" x14ac:dyDescent="0.3">
      <c r="A557" s="1">
        <f>ROW(CantoralDB[[#This Row],[Título]])-1</f>
        <v>556</v>
      </c>
      <c r="B557" s="1" t="s">
        <v>4724</v>
      </c>
      <c r="C557" s="1"/>
      <c r="J557" s="1"/>
      <c r="M557" s="15" t="s">
        <v>482</v>
      </c>
      <c r="N557" s="1" t="s">
        <v>4728</v>
      </c>
      <c r="O557" s="15">
        <v>12</v>
      </c>
      <c r="P557" s="15">
        <v>1974</v>
      </c>
      <c r="Q557" s="15" t="str" cm="1">
        <f t="array" ref="Q5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7" s="15" t="str" cm="1">
        <f t="array" ref="R5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canciones/cesareo_gabarain/el_pequeño_david.html</v>
      </c>
      <c r="T557" s="1"/>
      <c r="U557" s="1"/>
      <c r="V557" s="32" t="s">
        <v>4745</v>
      </c>
      <c r="W5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href="canciones/cesareo_gabarain/el_pequeño_david.html"&gt;El pequeño David&lt;/a&gt;&lt;/li&gt;</v>
      </c>
      <c r="X557" s="15" t="str">
        <f>_xlfn.TEXTBEFORE(_xlfn.TEXTAFTER(CantoralDB[[#This Row],[index.html]],"&gt;"),"&gt;")&amp;"&gt;"</f>
        <v>&lt;a href="canciones/cesareo_gabarain/el_pequeño_david.html"&gt;</v>
      </c>
      <c r="Y557"/>
      <c r="Z557" s="1"/>
      <c r="AA557" s="1"/>
      <c r="AB557" s="1"/>
      <c r="AC557" s="1"/>
    </row>
    <row r="558" spans="1:29" x14ac:dyDescent="0.3">
      <c r="A558" s="1">
        <f>ROW(CantoralDB[[#This Row],[Título]])-1</f>
        <v>557</v>
      </c>
      <c r="B558" s="1" t="s">
        <v>4725</v>
      </c>
      <c r="C558" s="1"/>
      <c r="J558" s="1"/>
      <c r="M558" s="15" t="s">
        <v>482</v>
      </c>
      <c r="N558" s="1" t="s">
        <v>4728</v>
      </c>
      <c r="O558" s="15">
        <v>13</v>
      </c>
      <c r="P558" s="15">
        <v>1974</v>
      </c>
      <c r="Q558" s="15" t="str" cm="1">
        <f t="array" ref="Q5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8" s="15" t="str" cm="1">
        <f t="array" ref="R5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canciones/cesareo_gabarain/ya_viene_el_niñito.html</v>
      </c>
      <c r="T558" s="1"/>
      <c r="U558" s="1"/>
      <c r="V558" s="32" t="s">
        <v>4746</v>
      </c>
      <c r="W5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href="canciones/cesareo_gabarain/ya_viene_el_niñito.html"&gt;Ya viene el niñito&lt;/a&gt;&lt;/li&gt;</v>
      </c>
      <c r="X558" s="15" t="str">
        <f>_xlfn.TEXTBEFORE(_xlfn.TEXTAFTER(CantoralDB[[#This Row],[index.html]],"&gt;"),"&gt;")&amp;"&gt;"</f>
        <v>&lt;a href="canciones/cesareo_gabarain/ya_viene_el_niñito.html"&gt;</v>
      </c>
      <c r="Y558"/>
      <c r="Z558" s="1"/>
      <c r="AA558" s="1"/>
      <c r="AB558" s="1"/>
      <c r="AC558" s="1"/>
    </row>
    <row r="559" spans="1:29" x14ac:dyDescent="0.3">
      <c r="A559" s="1">
        <f>ROW(CantoralDB[[#This Row],[Título]])-1</f>
        <v>558</v>
      </c>
      <c r="B559" s="1" t="s">
        <v>4726</v>
      </c>
      <c r="C559" s="1"/>
      <c r="J559" s="1"/>
      <c r="M559" s="15" t="s">
        <v>482</v>
      </c>
      <c r="N559" s="1" t="s">
        <v>4728</v>
      </c>
      <c r="O559" s="15">
        <v>14</v>
      </c>
      <c r="P559" s="15">
        <v>1974</v>
      </c>
      <c r="Q559" s="15" t="str" cm="1">
        <f t="array" ref="Q5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59" s="15" t="str" cm="1">
        <f t="array" ref="R5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canciones/cesareo_gabarain/mis_dos_mamas.html</v>
      </c>
      <c r="T559" s="1"/>
      <c r="U559" s="1"/>
      <c r="V559" s="32" t="s">
        <v>4747</v>
      </c>
      <c r="W5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href="canciones/cesareo_gabarain/mis_dos_mamas.html"&gt;Mis dos mamás&lt;/a&gt;&lt;/li&gt;</v>
      </c>
      <c r="X559" s="15" t="str">
        <f>_xlfn.TEXTBEFORE(_xlfn.TEXTAFTER(CantoralDB[[#This Row],[index.html]],"&gt;"),"&gt;")&amp;"&gt;"</f>
        <v>&lt;a href="canciones/cesareo_gabarain/mis_dos_mamas.html"&gt;</v>
      </c>
      <c r="Y559"/>
      <c r="Z559" s="1"/>
      <c r="AA559" s="1"/>
      <c r="AB559" s="1"/>
      <c r="AC559" s="1"/>
    </row>
    <row r="560" spans="1:29" x14ac:dyDescent="0.3">
      <c r="A560" s="1">
        <f>ROW(CantoralDB[[#This Row],[Título]])-1</f>
        <v>559</v>
      </c>
      <c r="B560" s="1" t="s">
        <v>4727</v>
      </c>
      <c r="C560" s="1"/>
      <c r="J560" s="1"/>
      <c r="M560" s="15" t="s">
        <v>482</v>
      </c>
      <c r="N560" s="1" t="s">
        <v>4728</v>
      </c>
      <c r="O560" s="15">
        <v>15</v>
      </c>
      <c r="P560" s="15">
        <v>1974</v>
      </c>
      <c r="Q560" s="15" t="str" cm="1">
        <f t="array" ref="Q5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0" s="15" t="str" cm="1">
        <f t="array" ref="R5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canciones/cesareo_gabarain/cancion_de_juventud.html</v>
      </c>
      <c r="T560" s="1"/>
      <c r="U560" s="1"/>
      <c r="V560" s="32" t="s">
        <v>4748</v>
      </c>
      <c r="W5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href="canciones/cesareo_gabarain/cancion_de_juventud.html"&gt;Canción de juventud&lt;/a&gt;&lt;/li&gt;</v>
      </c>
      <c r="X560" s="15" t="str">
        <f>_xlfn.TEXTBEFORE(_xlfn.TEXTAFTER(CantoralDB[[#This Row],[index.html]],"&gt;"),"&gt;")&amp;"&gt;"</f>
        <v>&lt;a href="canciones/cesareo_gabarain/cancion_de_juventud.html"&gt;</v>
      </c>
      <c r="Y560"/>
      <c r="Z560" s="1"/>
      <c r="AA560" s="1"/>
      <c r="AB560" s="1"/>
      <c r="AC560" s="1"/>
    </row>
    <row r="561" spans="1:29" x14ac:dyDescent="0.3">
      <c r="A561" s="1">
        <f>ROW(CantoralDB[[#This Row],[Título]])-1</f>
        <v>560</v>
      </c>
      <c r="B561" s="1" t="s">
        <v>488</v>
      </c>
      <c r="C561" s="1" t="s">
        <v>190</v>
      </c>
      <c r="D561" s="1" t="s">
        <v>742</v>
      </c>
      <c r="G561" s="1" t="s">
        <v>215</v>
      </c>
      <c r="H561" s="1" t="s">
        <v>1027</v>
      </c>
      <c r="J561" s="1" t="s">
        <v>605</v>
      </c>
      <c r="M561" s="15" t="s">
        <v>482</v>
      </c>
      <c r="N561" s="1" t="s">
        <v>4593</v>
      </c>
      <c r="O561" s="15">
        <v>1</v>
      </c>
      <c r="P561" s="15">
        <v>1974</v>
      </c>
      <c r="Q561" s="15" t="str" cm="1">
        <f t="array" ref="Q5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1" s="15" t="str" cm="1">
        <f t="array" ref="R5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canciones/cesareo_gabarain/peregrino_(exodo_y_liberacion).html</v>
      </c>
      <c r="T561" s="1"/>
      <c r="U561" s="1"/>
      <c r="V561" s="32" t="s">
        <v>4616</v>
      </c>
      <c r="W5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data-momento="Entrada" data-nnew="A25"&gt;&lt;a href="canciones/cesareo_gabarain/peregrino_(exodo_y_liberacion).html"&gt;Peregrino (Éxodo y liberación)&lt;/a&gt;&lt;/li&gt;</v>
      </c>
      <c r="X561" s="15" t="str">
        <f>_xlfn.TEXTBEFORE(_xlfn.TEXTAFTER(CantoralDB[[#This Row],[index.html]],"&gt;"),"&gt;")&amp;"&gt;"</f>
        <v>&lt;a href="canciones/cesareo_gabarain/peregrino_(exodo_y_liberacion).html"&gt;</v>
      </c>
      <c r="Y561"/>
      <c r="Z561" s="1"/>
      <c r="AA561" s="1"/>
      <c r="AB561" s="1"/>
      <c r="AC561" s="1"/>
    </row>
    <row r="562" spans="1:29" x14ac:dyDescent="0.3">
      <c r="A562" s="1">
        <f>ROW(CantoralDB[[#This Row],[Título]])-1</f>
        <v>561</v>
      </c>
      <c r="B562" s="1" t="s">
        <v>4729</v>
      </c>
      <c r="C562" s="1"/>
      <c r="J562" s="1"/>
      <c r="M562" s="15" t="s">
        <v>482</v>
      </c>
      <c r="N562" s="1" t="s">
        <v>4593</v>
      </c>
      <c r="O562" s="15">
        <v>2</v>
      </c>
      <c r="P562" s="15">
        <v>1974</v>
      </c>
      <c r="Q562" s="15" t="str" cm="1">
        <f t="array" ref="Q5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2" s="15" t="str" cm="1">
        <f t="array" ref="R5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canciones/cesareo_gabarain/nueva_creacion.html</v>
      </c>
      <c r="T562" s="1"/>
      <c r="U562" s="1"/>
      <c r="V562" s="32" t="s">
        <v>4749</v>
      </c>
      <c r="W5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href="canciones/cesareo_gabarain/nueva_creacion.html"&gt;Nueva creación&lt;/a&gt;&lt;/li&gt;</v>
      </c>
      <c r="X562" s="15" t="str">
        <f>_xlfn.TEXTBEFORE(_xlfn.TEXTAFTER(CantoralDB[[#This Row],[index.html]],"&gt;"),"&gt;")&amp;"&gt;"</f>
        <v>&lt;a href="canciones/cesareo_gabarain/nueva_creacion.html"&gt;</v>
      </c>
      <c r="Y562"/>
      <c r="Z562" s="1"/>
      <c r="AA562" s="1"/>
      <c r="AB562" s="1"/>
      <c r="AC562" s="1"/>
    </row>
    <row r="563" spans="1:29" x14ac:dyDescent="0.3">
      <c r="A563" s="1">
        <f>ROW(CantoralDB[[#This Row],[Título]])-1</f>
        <v>562</v>
      </c>
      <c r="B563" s="1" t="s">
        <v>4730</v>
      </c>
      <c r="C563" s="1"/>
      <c r="J563" s="1"/>
      <c r="M563" s="15" t="s">
        <v>482</v>
      </c>
      <c r="N563" s="1" t="s">
        <v>4593</v>
      </c>
      <c r="O563" s="15">
        <v>3</v>
      </c>
      <c r="P563" s="15">
        <v>1974</v>
      </c>
      <c r="Q563" s="15" t="str" cm="1">
        <f t="array" ref="Q5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3" s="15" t="str" cm="1">
        <f t="array" ref="R5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canciones/cesareo_gabarain/bendito_seas.html</v>
      </c>
      <c r="T563" s="1"/>
      <c r="U563" s="1"/>
      <c r="V563" s="32" t="s">
        <v>4750</v>
      </c>
      <c r="W5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href="canciones/cesareo_gabarain/bendito_seas.html"&gt;Bendito seas&lt;/a&gt;&lt;/li&gt;</v>
      </c>
      <c r="X563" s="15" t="str">
        <f>_xlfn.TEXTBEFORE(_xlfn.TEXTAFTER(CantoralDB[[#This Row],[index.html]],"&gt;"),"&gt;")&amp;"&gt;"</f>
        <v>&lt;a href="canciones/cesareo_gabarain/bendito_seas.html"&gt;</v>
      </c>
      <c r="Y563"/>
      <c r="Z563" s="1"/>
      <c r="AA563" s="1"/>
      <c r="AB563" s="1"/>
      <c r="AC563" s="1"/>
    </row>
    <row r="564" spans="1:29" x14ac:dyDescent="0.3">
      <c r="A564" s="1">
        <f>ROW(CantoralDB[[#This Row],[Título]])-1</f>
        <v>563</v>
      </c>
      <c r="B564" s="1" t="s">
        <v>4731</v>
      </c>
      <c r="C564" s="1"/>
      <c r="J564" s="1"/>
      <c r="M564" s="15" t="s">
        <v>482</v>
      </c>
      <c r="N564" s="1" t="s">
        <v>4593</v>
      </c>
      <c r="O564" s="15">
        <v>4</v>
      </c>
      <c r="P564" s="15">
        <v>1974</v>
      </c>
      <c r="Q564" s="15" t="str" cm="1">
        <f t="array" ref="Q5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4" s="15" t="str" cm="1">
        <f t="array" ref="R5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canciones/cesareo_gabarain/cristo_nuestro_salvador.html</v>
      </c>
      <c r="T564" s="1"/>
      <c r="U564" s="1"/>
      <c r="V564" s="32" t="s">
        <v>4751</v>
      </c>
      <c r="W5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href="canciones/cesareo_gabarain/cristo_nuestro_salvador.html"&gt;Cristo, nuestro Salvador&lt;/a&gt;&lt;/li&gt;</v>
      </c>
      <c r="X564" s="15" t="str">
        <f>_xlfn.TEXTBEFORE(_xlfn.TEXTAFTER(CantoralDB[[#This Row],[index.html]],"&gt;"),"&gt;")&amp;"&gt;"</f>
        <v>&lt;a href="canciones/cesareo_gabarain/cristo_nuestro_salvador.html"&gt;</v>
      </c>
      <c r="Y564"/>
      <c r="Z564" s="1"/>
      <c r="AA564" s="1"/>
      <c r="AB564" s="1"/>
      <c r="AC564" s="1"/>
    </row>
    <row r="565" spans="1:29" x14ac:dyDescent="0.3">
      <c r="A565" s="1">
        <f>ROW(CantoralDB[[#This Row],[Título]])-1</f>
        <v>564</v>
      </c>
      <c r="B565" s="1" t="s">
        <v>4732</v>
      </c>
      <c r="C565" s="1"/>
      <c r="J565" s="1"/>
      <c r="M565" s="15" t="s">
        <v>482</v>
      </c>
      <c r="N565" s="1" t="s">
        <v>4593</v>
      </c>
      <c r="O565" s="15">
        <v>5</v>
      </c>
      <c r="P565" s="15">
        <v>1974</v>
      </c>
      <c r="Q565" s="15" t="str" cm="1">
        <f t="array" ref="Q5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5" s="15" t="str" cm="1">
        <f t="array" ref="R5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canciones/cesareo_gabarain/canto_de_esperanza.html</v>
      </c>
      <c r="T565" s="1"/>
      <c r="U565" s="1"/>
      <c r="V565" s="32" t="s">
        <v>4752</v>
      </c>
      <c r="W5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href="canciones/cesareo_gabarain/canto_de_esperanza.html"&gt;Canto de esperanza&lt;/a&gt;&lt;/li&gt;</v>
      </c>
      <c r="X565" s="15" t="str">
        <f>_xlfn.TEXTBEFORE(_xlfn.TEXTAFTER(CantoralDB[[#This Row],[index.html]],"&gt;"),"&gt;")&amp;"&gt;"</f>
        <v>&lt;a href="canciones/cesareo_gabarain/canto_de_esperanza.html"&gt;</v>
      </c>
      <c r="Y565"/>
      <c r="Z565" s="1"/>
      <c r="AA565" s="1"/>
      <c r="AB565" s="1"/>
      <c r="AC565" s="1"/>
    </row>
    <row r="566" spans="1:29" x14ac:dyDescent="0.3">
      <c r="A566" s="1">
        <f>ROW(CantoralDB[[#This Row],[Título]])-1</f>
        <v>565</v>
      </c>
      <c r="B566" s="1" t="s">
        <v>4733</v>
      </c>
      <c r="C566" s="1"/>
      <c r="J566" s="1"/>
      <c r="M566" s="15" t="s">
        <v>482</v>
      </c>
      <c r="N566" s="1" t="s">
        <v>4593</v>
      </c>
      <c r="O566" s="15">
        <v>6</v>
      </c>
      <c r="P566" s="15">
        <v>1974</v>
      </c>
      <c r="Q566" s="15" t="str" cm="1">
        <f t="array" ref="Q5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6" s="15" t="str" cm="1">
        <f t="array" ref="R5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canciones/cesareo_gabarain/señor_me_has_llamado_amigo.html</v>
      </c>
      <c r="T566" s="1"/>
      <c r="U566" s="1"/>
      <c r="V566" s="32" t="s">
        <v>4753</v>
      </c>
      <c r="W5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href="canciones/cesareo_gabarain/señor_me_has_llamado_amigo.html"&gt;Señor, me has llamado amigo&lt;/a&gt;&lt;/li&gt;</v>
      </c>
      <c r="X566" s="15" t="str">
        <f>_xlfn.TEXTBEFORE(_xlfn.TEXTAFTER(CantoralDB[[#This Row],[index.html]],"&gt;"),"&gt;")&amp;"&gt;"</f>
        <v>&lt;a href="canciones/cesareo_gabarain/señor_me_has_llamado_amigo.html"&gt;</v>
      </c>
      <c r="Y566"/>
      <c r="Z566" s="1"/>
      <c r="AA566" s="1"/>
      <c r="AB566" s="1"/>
      <c r="AC566" s="1"/>
    </row>
    <row r="567" spans="1:29" x14ac:dyDescent="0.3">
      <c r="A567" s="1">
        <f>ROW(CantoralDB[[#This Row],[Título]])-1</f>
        <v>566</v>
      </c>
      <c r="B567" s="1" t="s">
        <v>2848</v>
      </c>
      <c r="C567" s="1"/>
      <c r="H567" s="1" t="s">
        <v>472</v>
      </c>
      <c r="J567" s="1" t="s">
        <v>605</v>
      </c>
      <c r="M567" s="15" t="s">
        <v>482</v>
      </c>
      <c r="N567" s="1" t="s">
        <v>4593</v>
      </c>
      <c r="O567" s="15">
        <v>7</v>
      </c>
      <c r="P567" s="15">
        <v>1974</v>
      </c>
      <c r="Q567" s="15" t="str" cm="1">
        <f t="array" ref="Q5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7" s="15" t="str" cm="1">
        <f t="array" ref="R5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canciones/cesareo_gabarain/a_quien_temere.html</v>
      </c>
      <c r="T567" s="1"/>
      <c r="U567" s="1"/>
      <c r="V567" s="32" t="s">
        <v>4598</v>
      </c>
      <c r="W5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href="canciones/cesareo_gabarain/a_quien_temere.html"&gt;A quién temeré&lt;/a&gt;&lt;/li&gt;</v>
      </c>
      <c r="X567" s="15" t="str">
        <f>_xlfn.TEXTBEFORE(_xlfn.TEXTAFTER(CantoralDB[[#This Row],[index.html]],"&gt;"),"&gt;")&amp;"&gt;"</f>
        <v>&lt;a href="canciones/cesareo_gabarain/a_quien_temere.html"&gt;</v>
      </c>
      <c r="Y567"/>
      <c r="Z567" s="1"/>
      <c r="AA567" s="1"/>
      <c r="AB567" s="1"/>
      <c r="AC567" s="1"/>
    </row>
    <row r="568" spans="1:29" x14ac:dyDescent="0.3">
      <c r="A568" s="1">
        <f>ROW(CantoralDB[[#This Row],[Título]])-1</f>
        <v>567</v>
      </c>
      <c r="B568" s="1" t="s">
        <v>111</v>
      </c>
      <c r="C568" s="1" t="s">
        <v>990</v>
      </c>
      <c r="D568" s="1" t="s">
        <v>724</v>
      </c>
      <c r="E568" s="1">
        <v>313</v>
      </c>
      <c r="F568" s="1">
        <v>318</v>
      </c>
      <c r="G568" s="1" t="s">
        <v>208</v>
      </c>
      <c r="H568" s="1" t="s">
        <v>529</v>
      </c>
      <c r="I568" s="1" t="s">
        <v>2948</v>
      </c>
      <c r="J568" s="1" t="s">
        <v>605</v>
      </c>
      <c r="M568" s="15" t="s">
        <v>482</v>
      </c>
      <c r="N568" s="1" t="s">
        <v>4593</v>
      </c>
      <c r="O568" s="15">
        <v>8</v>
      </c>
      <c r="P568" s="15">
        <v>1974</v>
      </c>
      <c r="Q568" s="15" t="str" cm="1">
        <f t="array" ref="Q5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8" s="15" t="str" cm="1">
        <f t="array" ref="R5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canciones/cesareo_gabarain/pescador_de_hombres.html</v>
      </c>
      <c r="T568" s="1" t="s">
        <v>850</v>
      </c>
      <c r="U568" s="1"/>
      <c r="V568" s="32" t="s">
        <v>4617</v>
      </c>
      <c r="W5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data-nnew="K54" data-nold="313" data-nrcc="318"&gt;&lt;a href="canciones/cesareo_gabarain/pescador_de_hombres.html"&gt;Pescador de hombres&lt;/a&gt;&lt;/li&gt;</v>
      </c>
      <c r="X568" s="15" t="str">
        <f>_xlfn.TEXTBEFORE(_xlfn.TEXTAFTER(CantoralDB[[#This Row],[index.html]],"&gt;"),"&gt;")&amp;"&gt;"</f>
        <v>&lt;a href="canciones/cesareo_gabarain/pescador_de_hombres.html"&gt;</v>
      </c>
      <c r="Y568"/>
      <c r="Z568" s="1"/>
      <c r="AA568" s="1"/>
      <c r="AB568" s="1"/>
      <c r="AC568" s="1"/>
    </row>
    <row r="569" spans="1:29" x14ac:dyDescent="0.3">
      <c r="A569" s="1">
        <f>ROW(CantoralDB[[#This Row],[Título]])-1</f>
        <v>568</v>
      </c>
      <c r="B569" s="1" t="s">
        <v>143</v>
      </c>
      <c r="C569" s="1" t="s">
        <v>990</v>
      </c>
      <c r="D569" s="1" t="s">
        <v>1008</v>
      </c>
      <c r="E569" s="1">
        <v>266</v>
      </c>
      <c r="G569" s="1" t="s">
        <v>208</v>
      </c>
      <c r="H569" s="1" t="s">
        <v>529</v>
      </c>
      <c r="I569" s="1" t="s">
        <v>2948</v>
      </c>
      <c r="J569" s="1" t="s">
        <v>605</v>
      </c>
      <c r="M569" s="15" t="s">
        <v>482</v>
      </c>
      <c r="N569" s="1" t="s">
        <v>4593</v>
      </c>
      <c r="O569" s="15">
        <v>9</v>
      </c>
      <c r="P569" s="15">
        <v>1974</v>
      </c>
      <c r="Q569" s="15" t="str" cm="1">
        <f t="array" ref="Q5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69" s="15" t="str" cm="1">
        <f t="array" ref="R5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canciones/cesareo_gabarain/todos_unidos.html</v>
      </c>
      <c r="T569" s="1"/>
      <c r="U569" s="1"/>
      <c r="V569" s="32" t="s">
        <v>4621</v>
      </c>
      <c r="W5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data-nnew="K74" data-nold="266"&gt;&lt;a href="canciones/cesareo_gabarain/todos_unidos.html"&gt;Todos unidos&lt;/a&gt;&lt;/li&gt;</v>
      </c>
      <c r="X569" s="15" t="str">
        <f>_xlfn.TEXTBEFORE(_xlfn.TEXTAFTER(CantoralDB[[#This Row],[index.html]],"&gt;"),"&gt;")&amp;"&gt;"</f>
        <v>&lt;a href="canciones/cesareo_gabarain/todos_unidos.html"&gt;</v>
      </c>
      <c r="Y569"/>
      <c r="Z569" s="1"/>
      <c r="AA569" s="1"/>
      <c r="AB569" s="1"/>
      <c r="AC569" s="1"/>
    </row>
    <row r="570" spans="1:29" x14ac:dyDescent="0.3">
      <c r="A570" s="1">
        <f>ROW(CantoralDB[[#This Row],[Título]])-1</f>
        <v>569</v>
      </c>
      <c r="B570" s="1" t="s">
        <v>4734</v>
      </c>
      <c r="C570" s="1"/>
      <c r="J570" s="1"/>
      <c r="M570" s="15" t="s">
        <v>482</v>
      </c>
      <c r="N570" s="1" t="s">
        <v>4593</v>
      </c>
      <c r="O570" s="15">
        <v>10</v>
      </c>
      <c r="P570" s="15">
        <v>1974</v>
      </c>
      <c r="Q570" s="15" t="str" cm="1">
        <f t="array" ref="Q5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0" s="15" t="str" cm="1">
        <f t="array" ref="R5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canciones/cesareo_gabarain/yo_vi_reir_a_dios.html</v>
      </c>
      <c r="T570" s="1"/>
      <c r="U570" s="1"/>
      <c r="V570" s="32" t="s">
        <v>4754</v>
      </c>
      <c r="W5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href="canciones/cesareo_gabarain/yo_vi_reir_a_dios.html"&gt;Yo vi reír a Dios&lt;/a&gt;&lt;/li&gt;</v>
      </c>
      <c r="X570" s="15" t="str">
        <f>_xlfn.TEXTBEFORE(_xlfn.TEXTAFTER(CantoralDB[[#This Row],[index.html]],"&gt;"),"&gt;")&amp;"&gt;"</f>
        <v>&lt;a href="canciones/cesareo_gabarain/yo_vi_reir_a_dios.html"&gt;</v>
      </c>
      <c r="Y570"/>
      <c r="Z570" s="1"/>
      <c r="AA570" s="1"/>
      <c r="AB570" s="1"/>
      <c r="AC570" s="1"/>
    </row>
    <row r="571" spans="1:29" x14ac:dyDescent="0.3">
      <c r="A571" s="1">
        <f>ROW(CantoralDB[[#This Row],[Título]])-1</f>
        <v>570</v>
      </c>
      <c r="B571" s="1" t="s">
        <v>137</v>
      </c>
      <c r="C571" s="1" t="s">
        <v>990</v>
      </c>
      <c r="D571" s="1" t="s">
        <v>1002</v>
      </c>
      <c r="E571" s="1">
        <v>241</v>
      </c>
      <c r="G571" s="1" t="s">
        <v>208</v>
      </c>
      <c r="H571" s="1" t="s">
        <v>529</v>
      </c>
      <c r="J571" s="1" t="s">
        <v>605</v>
      </c>
      <c r="M571" s="15" t="s">
        <v>482</v>
      </c>
      <c r="N571" s="1" t="s">
        <v>4593</v>
      </c>
      <c r="O571" s="15">
        <v>11</v>
      </c>
      <c r="P571" s="15">
        <v>1974</v>
      </c>
      <c r="Q571" s="15" t="str" cm="1">
        <f t="array" ref="Q5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1" s="15" t="str" cm="1">
        <f t="array" ref="R5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canciones/cesareo_gabarain/sois_la_semilla.html</v>
      </c>
      <c r="T571" s="1" t="s">
        <v>857</v>
      </c>
      <c r="U571" s="1"/>
      <c r="V571" s="32" t="s">
        <v>4618</v>
      </c>
      <c r="W5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data-nnew="K68" data-nold="241"&gt;&lt;a href="canciones/cesareo_gabarain/sois_la_semilla.html"&gt;Sois la semilla&lt;/a&gt;&lt;/li&gt;</v>
      </c>
      <c r="X571" s="15" t="str">
        <f>_xlfn.TEXTBEFORE(_xlfn.TEXTAFTER(CantoralDB[[#This Row],[index.html]],"&gt;"),"&gt;")&amp;"&gt;"</f>
        <v>&lt;a href="canciones/cesareo_gabarain/sois_la_semilla.html"&gt;</v>
      </c>
      <c r="Y571"/>
      <c r="Z571" s="1"/>
      <c r="AA571" s="1"/>
      <c r="AB571" s="1"/>
      <c r="AC571" s="1"/>
    </row>
    <row r="572" spans="1:29" x14ac:dyDescent="0.3">
      <c r="A572" s="1">
        <f>ROW(CantoralDB[[#This Row],[Título]])-1</f>
        <v>571</v>
      </c>
      <c r="B572" s="1" t="s">
        <v>4764</v>
      </c>
      <c r="C572" s="1"/>
      <c r="H572" s="1" t="s">
        <v>1027</v>
      </c>
      <c r="J572" s="1" t="s">
        <v>605</v>
      </c>
      <c r="M572" s="15" t="s">
        <v>482</v>
      </c>
      <c r="N572" s="1" t="s">
        <v>4630</v>
      </c>
      <c r="O572" s="15">
        <v>1</v>
      </c>
      <c r="P572" s="15">
        <v>1985</v>
      </c>
      <c r="Q572" s="15" t="str" cm="1">
        <f t="array" ref="Q5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2" s="15" t="str" cm="1">
        <f t="array" ref="R5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canciones/cesareo_gabarain/por_el_aire_vuela_el_pajaro.html</v>
      </c>
      <c r="T572" s="1"/>
      <c r="U572" s="1"/>
      <c r="V572" s="32" t="s">
        <v>4755</v>
      </c>
      <c r="W5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href="canciones/cesareo_gabarain/por_el_aire_vuela_el_pajaro.html"&gt;Por el aire vuela el pájaro&lt;/a&gt;&lt;/li&gt;</v>
      </c>
      <c r="X572" s="15" t="str">
        <f>_xlfn.TEXTBEFORE(_xlfn.TEXTAFTER(CantoralDB[[#This Row],[index.html]],"&gt;"),"&gt;")&amp;"&gt;"</f>
        <v>&lt;a href="canciones/cesareo_gabarain/por_el_aire_vuela_el_pajaro.html"&gt;</v>
      </c>
      <c r="Y572"/>
      <c r="Z572" s="1"/>
      <c r="AA572" s="1"/>
      <c r="AB572" s="1"/>
      <c r="AC572" s="1"/>
    </row>
    <row r="573" spans="1:29" x14ac:dyDescent="0.3">
      <c r="A573" s="1">
        <f>ROW(CantoralDB[[#This Row],[Título]])-1</f>
        <v>572</v>
      </c>
      <c r="B573" s="1" t="s">
        <v>4765</v>
      </c>
      <c r="C573" s="1"/>
      <c r="H573" s="1" t="s">
        <v>529</v>
      </c>
      <c r="I573" s="1" t="s">
        <v>2948</v>
      </c>
      <c r="J573" s="1" t="s">
        <v>605</v>
      </c>
      <c r="M573" s="15" t="s">
        <v>482</v>
      </c>
      <c r="N573" s="1" t="s">
        <v>4630</v>
      </c>
      <c r="O573" s="15">
        <v>2</v>
      </c>
      <c r="P573" s="15">
        <v>1985</v>
      </c>
      <c r="Q573" s="15" t="str" cm="1">
        <f t="array" ref="Q5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3" s="15" t="str" cm="1">
        <f t="array" ref="R5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canciones/cesareo_gabarain/aleluya_mi_padre_dios_me_quiere.html</v>
      </c>
      <c r="T573" s="1"/>
      <c r="U573" s="1"/>
      <c r="V573" s="32" t="s">
        <v>4756</v>
      </c>
      <c r="W5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href="canciones/cesareo_gabarain/aleluya_mi_padre_dios_me_quiere.html"&gt;Aleluya, mi Padre Dios me quiere&lt;/a&gt;&lt;/li&gt;</v>
      </c>
      <c r="X573" s="15" t="str">
        <f>_xlfn.TEXTBEFORE(_xlfn.TEXTAFTER(CantoralDB[[#This Row],[index.html]],"&gt;"),"&gt;")&amp;"&gt;"</f>
        <v>&lt;a href="canciones/cesareo_gabarain/aleluya_mi_padre_dios_me_quiere.html"&gt;</v>
      </c>
      <c r="Y573"/>
      <c r="Z573" s="1"/>
      <c r="AA573" s="1"/>
      <c r="AB573" s="1"/>
      <c r="AC573" s="1"/>
    </row>
    <row r="574" spans="1:29" x14ac:dyDescent="0.3">
      <c r="A574" s="1">
        <f>ROW(CantoralDB[[#This Row],[Título]])-1</f>
        <v>573</v>
      </c>
      <c r="B574" s="1" t="s">
        <v>4766</v>
      </c>
      <c r="C574" s="1"/>
      <c r="H574" s="1" t="s">
        <v>1026</v>
      </c>
      <c r="I574" s="1" t="s">
        <v>2945</v>
      </c>
      <c r="J574" s="1" t="s">
        <v>605</v>
      </c>
      <c r="M574" s="15" t="s">
        <v>482</v>
      </c>
      <c r="N574" s="1" t="s">
        <v>4630</v>
      </c>
      <c r="O574" s="15">
        <v>3</v>
      </c>
      <c r="P574" s="15">
        <v>1985</v>
      </c>
      <c r="Q574" s="15" t="str" cm="1">
        <f t="array" ref="Q5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4" s="15" t="str" cm="1">
        <f t="array" ref="R5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canciones/cesareo_gabarain/dios_es_alegre.html</v>
      </c>
      <c r="T574" s="1"/>
      <c r="U574" s="1"/>
      <c r="V574" s="32" t="s">
        <v>4757</v>
      </c>
      <c r="W5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href="canciones/cesareo_gabarain/dios_es_alegre.html"&gt;Dios es alegre&lt;/a&gt;&lt;/li&gt;</v>
      </c>
      <c r="X574" s="15" t="str">
        <f>_xlfn.TEXTBEFORE(_xlfn.TEXTAFTER(CantoralDB[[#This Row],[index.html]],"&gt;"),"&gt;")&amp;"&gt;"</f>
        <v>&lt;a href="canciones/cesareo_gabarain/dios_es_alegre.html"&gt;</v>
      </c>
      <c r="Y574"/>
      <c r="Z574" s="1"/>
      <c r="AA574" s="1"/>
      <c r="AB574" s="1"/>
      <c r="AC574" s="1"/>
    </row>
    <row r="575" spans="1:29" x14ac:dyDescent="0.3">
      <c r="A575" s="1">
        <f>ROW(CantoralDB[[#This Row],[Título]])-1</f>
        <v>574</v>
      </c>
      <c r="B575" s="1" t="s">
        <v>4767</v>
      </c>
      <c r="C575" s="1"/>
      <c r="H575" s="1" t="s">
        <v>1024</v>
      </c>
      <c r="J575" s="1" t="s">
        <v>605</v>
      </c>
      <c r="M575" s="15" t="s">
        <v>482</v>
      </c>
      <c r="N575" s="1" t="s">
        <v>4630</v>
      </c>
      <c r="O575" s="15">
        <v>4</v>
      </c>
      <c r="P575" s="15">
        <v>1985</v>
      </c>
      <c r="Q575" s="15" t="str" cm="1">
        <f t="array" ref="Q5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5" s="15" t="str" cm="1">
        <f t="array" ref="R5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canciones/cesareo_gabarain/buenos_dias_señor.html</v>
      </c>
      <c r="T575" s="1"/>
      <c r="U575" s="1"/>
      <c r="V575" s="32" t="s">
        <v>4758</v>
      </c>
      <c r="W5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href="canciones/cesareo_gabarain/buenos_dias_señor.html"&gt;Buenos días, Señor&lt;/a&gt;&lt;/li&gt;</v>
      </c>
      <c r="X575" s="15" t="str">
        <f>_xlfn.TEXTBEFORE(_xlfn.TEXTAFTER(CantoralDB[[#This Row],[index.html]],"&gt;"),"&gt;")&amp;"&gt;"</f>
        <v>&lt;a href="canciones/cesareo_gabarain/buenos_dias_señor.html"&gt;</v>
      </c>
      <c r="Y575"/>
      <c r="Z575" s="1"/>
      <c r="AA575" s="1"/>
      <c r="AB575" s="1"/>
      <c r="AC575" s="1"/>
    </row>
    <row r="576" spans="1:29" x14ac:dyDescent="0.3">
      <c r="A576" s="1">
        <f>ROW(CantoralDB[[#This Row],[Título]])-1</f>
        <v>575</v>
      </c>
      <c r="B576" s="1" t="s">
        <v>4604</v>
      </c>
      <c r="C576" s="1"/>
      <c r="H576" s="1" t="s">
        <v>529</v>
      </c>
      <c r="J576" s="1" t="s">
        <v>605</v>
      </c>
      <c r="M576" s="15" t="s">
        <v>482</v>
      </c>
      <c r="N576" s="1" t="s">
        <v>4630</v>
      </c>
      <c r="O576" s="15">
        <v>5</v>
      </c>
      <c r="P576" s="15">
        <v>1985</v>
      </c>
      <c r="Q576" s="15" t="str" cm="1">
        <f t="array" ref="Q5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6" s="15" t="str" cm="1">
        <f t="array" ref="R5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canciones/cesareo_gabarain/lampara_de_barro.html</v>
      </c>
      <c r="T576" s="1"/>
      <c r="U576" s="1"/>
      <c r="V576" s="32" t="s">
        <v>4759</v>
      </c>
      <c r="W5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href="canciones/cesareo_gabarain/lampara_de_barro.html"&gt;Lámpara de barro&lt;/a&gt;&lt;/li&gt;</v>
      </c>
      <c r="X576" s="15" t="str">
        <f>_xlfn.TEXTBEFORE(_xlfn.TEXTAFTER(CantoralDB[[#This Row],[index.html]],"&gt;"),"&gt;")&amp;"&gt;"</f>
        <v>&lt;a href="canciones/cesareo_gabarain/lampara_de_barro.html"&gt;</v>
      </c>
      <c r="Y576"/>
      <c r="Z576" s="1"/>
      <c r="AA576" s="1"/>
      <c r="AB576" s="1"/>
      <c r="AC576" s="1"/>
    </row>
    <row r="577" spans="1:29" x14ac:dyDescent="0.3">
      <c r="A577" s="1">
        <f>ROW(CantoralDB[[#This Row],[Título]])-1</f>
        <v>576</v>
      </c>
      <c r="B577" s="1" t="s">
        <v>4768</v>
      </c>
      <c r="C577" s="1"/>
      <c r="H577" s="1" t="s">
        <v>1027</v>
      </c>
      <c r="J577" s="1" t="s">
        <v>605</v>
      </c>
      <c r="M577" s="15" t="s">
        <v>482</v>
      </c>
      <c r="N577" s="1" t="s">
        <v>4630</v>
      </c>
      <c r="O577" s="15">
        <v>6</v>
      </c>
      <c r="P577" s="15">
        <v>1985</v>
      </c>
      <c r="Q577" s="15" t="str" cm="1">
        <f t="array" ref="Q5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7" s="15" t="str" cm="1">
        <f t="array" ref="R5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canciones/cesareo_gabarain/una_roca_inmovil.html</v>
      </c>
      <c r="T577" s="1"/>
      <c r="U577" s="1"/>
      <c r="V577" s="32" t="s">
        <v>4760</v>
      </c>
      <c r="W5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href="canciones/cesareo_gabarain/una_roca_inmovil.html"&gt;Una roca inmóvil&lt;/a&gt;&lt;/li&gt;</v>
      </c>
      <c r="X577" s="15" t="str">
        <f>_xlfn.TEXTBEFORE(_xlfn.TEXTAFTER(CantoralDB[[#This Row],[index.html]],"&gt;"),"&gt;")&amp;"&gt;"</f>
        <v>&lt;a href="canciones/cesareo_gabarain/una_roca_inmovil.html"&gt;</v>
      </c>
      <c r="Y577"/>
      <c r="Z577" s="1"/>
      <c r="AA577" s="1"/>
      <c r="AB577" s="1"/>
      <c r="AC577" s="1"/>
    </row>
    <row r="578" spans="1:29" x14ac:dyDescent="0.3">
      <c r="A578" s="1">
        <f>ROW(CantoralDB[[#This Row],[Título]])-1</f>
        <v>577</v>
      </c>
      <c r="B578" s="1" t="s">
        <v>1354</v>
      </c>
      <c r="C578" s="1"/>
      <c r="E578" s="1">
        <v>315</v>
      </c>
      <c r="H578" s="1" t="s">
        <v>1024</v>
      </c>
      <c r="J578" s="1" t="s">
        <v>605</v>
      </c>
      <c r="M578" s="15" t="s">
        <v>482</v>
      </c>
      <c r="N578" s="1" t="s">
        <v>4630</v>
      </c>
      <c r="O578" s="15">
        <v>8</v>
      </c>
      <c r="P578" s="15">
        <v>1985</v>
      </c>
      <c r="Q578" s="15" t="str" cm="1">
        <f t="array" ref="Q5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8" s="15" t="str" cm="1">
        <f t="array" ref="R5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canciones/cesareo_gabarain/yo_pensaba_que_el_hombre_era_grande.html</v>
      </c>
      <c r="T578" s="1"/>
      <c r="U578" s="1"/>
      <c r="V578" s="32" t="s">
        <v>4629</v>
      </c>
      <c r="W5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data-nold="315"&gt;&lt;a href="canciones/cesareo_gabarain/yo_pensaba_que_el_hombre_era_grande.html"&gt;Yo pensaba que el hombre era grande&lt;/a&gt;&lt;/li&gt;</v>
      </c>
      <c r="X578" s="15" t="str">
        <f>_xlfn.TEXTBEFORE(_xlfn.TEXTAFTER(CantoralDB[[#This Row],[index.html]],"&gt;"),"&gt;")&amp;"&gt;"</f>
        <v>&lt;a href="canciones/cesareo_gabarain/yo_pensaba_que_el_hombre_era_grande.html"&gt;</v>
      </c>
      <c r="Y578"/>
      <c r="Z578" s="1"/>
      <c r="AA578" s="1"/>
      <c r="AB578" s="1"/>
      <c r="AC578" s="1"/>
    </row>
    <row r="579" spans="1:29" x14ac:dyDescent="0.3">
      <c r="A579" s="1">
        <f>ROW(CantoralDB[[#This Row],[Título]])-1</f>
        <v>578</v>
      </c>
      <c r="B579" s="1" t="s">
        <v>4769</v>
      </c>
      <c r="C579" s="1"/>
      <c r="H579" s="1" t="s">
        <v>1024</v>
      </c>
      <c r="J579" s="1" t="s">
        <v>605</v>
      </c>
      <c r="M579" s="15" t="s">
        <v>482</v>
      </c>
      <c r="N579" s="1" t="s">
        <v>4630</v>
      </c>
      <c r="O579" s="15">
        <v>10</v>
      </c>
      <c r="P579" s="15">
        <v>1985</v>
      </c>
      <c r="Q579" s="15" t="str" cm="1">
        <f t="array" ref="Q5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79" s="15" t="str" cm="1">
        <f t="array" ref="R5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canciones/cesareo_gabarain/padre_bueno_dios_alegre.html</v>
      </c>
      <c r="T579" s="1"/>
      <c r="U579" s="1"/>
      <c r="V579" s="32" t="s">
        <v>4761</v>
      </c>
      <c r="W5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href="canciones/cesareo_gabarain/padre_bueno_dios_alegre.html"&gt;Padre bueno, Dios alegre&lt;/a&gt;&lt;/li&gt;</v>
      </c>
      <c r="X579" s="15" t="str">
        <f>_xlfn.TEXTBEFORE(_xlfn.TEXTAFTER(CantoralDB[[#This Row],[index.html]],"&gt;"),"&gt;")&amp;"&gt;"</f>
        <v>&lt;a href="canciones/cesareo_gabarain/padre_bueno_dios_alegre.html"&gt;</v>
      </c>
      <c r="Y579"/>
      <c r="Z579" s="1"/>
      <c r="AA579" s="1"/>
      <c r="AB579" s="1"/>
      <c r="AC579" s="1"/>
    </row>
    <row r="580" spans="1:29" x14ac:dyDescent="0.3">
      <c r="A580" s="1">
        <f>ROW(CantoralDB[[#This Row],[Título]])-1</f>
        <v>579</v>
      </c>
      <c r="B580" s="1" t="s">
        <v>78</v>
      </c>
      <c r="C580" s="1" t="s">
        <v>198</v>
      </c>
      <c r="D580" s="1" t="s">
        <v>1429</v>
      </c>
      <c r="E580" s="1">
        <v>140</v>
      </c>
      <c r="G580" s="1" t="s">
        <v>208</v>
      </c>
      <c r="H580" s="1" t="s">
        <v>1026</v>
      </c>
      <c r="J580" s="1" t="s">
        <v>605</v>
      </c>
      <c r="M580" s="15" t="s">
        <v>482</v>
      </c>
      <c r="N580" s="1" t="s">
        <v>4630</v>
      </c>
      <c r="O580" s="15">
        <v>11</v>
      </c>
      <c r="P580" s="15">
        <v>1985</v>
      </c>
      <c r="Q580" s="15" t="str" cm="1">
        <f t="array" ref="Q5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0" s="15" t="str" cm="1">
        <f t="array" ref="R5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canciones/cesareo_gabarain/hoy_señor_te_damos_gracias.html</v>
      </c>
      <c r="T580" s="1"/>
      <c r="U580" s="1"/>
      <c r="V580" s="32" t="s">
        <v>4762</v>
      </c>
      <c r="W5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data-momento="Despedida" data-nnew="L04" data-nold="140"&gt;&lt;a href="canciones/cesareo_gabarain/hoy_señor_te_damos_gracias.html"&gt;Hoy, Señor, te damos gracias&lt;/a&gt;&lt;/li&gt;</v>
      </c>
      <c r="X580" s="15" t="str">
        <f>_xlfn.TEXTBEFORE(_xlfn.TEXTAFTER(CantoralDB[[#This Row],[index.html]],"&gt;"),"&gt;")&amp;"&gt;"</f>
        <v>&lt;a href="canciones/cesareo_gabarain/hoy_señor_te_damos_gracias.html"&gt;</v>
      </c>
      <c r="Y580"/>
      <c r="Z580" s="1"/>
      <c r="AA580" s="1"/>
      <c r="AB580" s="1"/>
      <c r="AC580" s="1"/>
    </row>
    <row r="581" spans="1:29" x14ac:dyDescent="0.3">
      <c r="A581" s="1">
        <f>ROW(CantoralDB[[#This Row],[Título]])-1</f>
        <v>580</v>
      </c>
      <c r="B581" s="1" t="s">
        <v>4770</v>
      </c>
      <c r="C581" s="1"/>
      <c r="H581" s="1" t="s">
        <v>1024</v>
      </c>
      <c r="J581" s="1" t="s">
        <v>605</v>
      </c>
      <c r="M581" s="15" t="s">
        <v>482</v>
      </c>
      <c r="N581" s="1" t="s">
        <v>4630</v>
      </c>
      <c r="O581" s="15">
        <v>12</v>
      </c>
      <c r="P581" s="15">
        <v>1985</v>
      </c>
      <c r="Q581" s="15" t="str" cm="1">
        <f t="array" ref="Q5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1" s="15" t="str" cm="1">
        <f t="array" ref="R5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canciones/cesareo_gabarain/demos_gracias_al_señor.html</v>
      </c>
      <c r="T581" s="1"/>
      <c r="U581" s="1"/>
      <c r="V581" s="32" t="s">
        <v>4763</v>
      </c>
      <c r="W5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href="canciones/cesareo_gabarain/demos_gracias_al_señor.html"&gt;Demos gracias al Señor&lt;/a&gt;&lt;/li&gt;</v>
      </c>
      <c r="X581" s="15" t="str">
        <f>_xlfn.TEXTBEFORE(_xlfn.TEXTAFTER(CantoralDB[[#This Row],[index.html]],"&gt;"),"&gt;")&amp;"&gt;"</f>
        <v>&lt;a href="canciones/cesareo_gabarain/demos_gracias_al_señor.html"&gt;</v>
      </c>
      <c r="Y581"/>
      <c r="Z581" s="1"/>
      <c r="AA581" s="1"/>
      <c r="AB581" s="1"/>
      <c r="AC581" s="1"/>
    </row>
    <row r="582" spans="1:29" x14ac:dyDescent="0.3">
      <c r="A582" s="1">
        <f>ROW(CantoralDB[[#This Row],[Título]])-1</f>
        <v>581</v>
      </c>
      <c r="B582" s="1" t="s">
        <v>4971</v>
      </c>
      <c r="C582" s="1"/>
      <c r="J582" s="1"/>
      <c r="M582" s="15" t="s">
        <v>482</v>
      </c>
      <c r="N582" s="1" t="s">
        <v>4971</v>
      </c>
      <c r="O582" s="15">
        <v>1</v>
      </c>
      <c r="P582" s="15">
        <v>1977</v>
      </c>
      <c r="Q582" s="15" t="str" cm="1">
        <f t="array" ref="Q5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2" s="15" t="str" cm="1">
        <f t="array" ref="R5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canciones/cesareo_gabarain/en_medio_de_la_noche.html</v>
      </c>
      <c r="T582" s="1"/>
      <c r="U582" s="1"/>
      <c r="V582" s="32" t="s">
        <v>4988</v>
      </c>
      <c r="W5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href="canciones/cesareo_gabarain/en_medio_de_la_noche.html"&gt;En medio de la noche&lt;/a&gt;&lt;/li&gt;</v>
      </c>
      <c r="X582" s="15" t="str">
        <f>_xlfn.TEXTBEFORE(_xlfn.TEXTAFTER(CantoralDB[[#This Row],[index.html]],"&gt;"),"&gt;")&amp;"&gt;"</f>
        <v>&lt;a href="canciones/cesareo_gabarain/en_medio_de_la_noche.html"&gt;</v>
      </c>
      <c r="Y582"/>
      <c r="Z582" s="1"/>
      <c r="AA582" s="1"/>
      <c r="AB582" s="1"/>
      <c r="AC582" s="1"/>
    </row>
    <row r="583" spans="1:29" x14ac:dyDescent="0.3">
      <c r="A583" s="1">
        <f>ROW(CantoralDB[[#This Row],[Título]])-1</f>
        <v>582</v>
      </c>
      <c r="B583" s="1" t="s">
        <v>4972</v>
      </c>
      <c r="C583" s="1"/>
      <c r="J583" s="1"/>
      <c r="M583" s="15" t="s">
        <v>482</v>
      </c>
      <c r="N583" s="1" t="s">
        <v>4971</v>
      </c>
      <c r="O583" s="15">
        <v>2</v>
      </c>
      <c r="P583" s="15">
        <v>1977</v>
      </c>
      <c r="Q583" s="15" t="str" cm="1">
        <f t="array" ref="Q5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3" s="15" t="str" cm="1">
        <f t="array" ref="R5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canciones/cesareo_gabarain/dindon_dilin_dindan.html</v>
      </c>
      <c r="T583" s="1"/>
      <c r="U583" s="1"/>
      <c r="V583" s="32" t="s">
        <v>4989</v>
      </c>
      <c r="W5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href="canciones/cesareo_gabarain/dindon_dilin_dindan.html"&gt;Dindón, dilín, dindán&lt;/a&gt;&lt;/li&gt;</v>
      </c>
      <c r="X583" s="15" t="str">
        <f>_xlfn.TEXTBEFORE(_xlfn.TEXTAFTER(CantoralDB[[#This Row],[index.html]],"&gt;"),"&gt;")&amp;"&gt;"</f>
        <v>&lt;a href="canciones/cesareo_gabarain/dindon_dilin_dindan.html"&gt;</v>
      </c>
      <c r="Y583"/>
      <c r="Z583" s="1"/>
      <c r="AA583" s="1"/>
      <c r="AB583" s="1"/>
      <c r="AC583" s="1"/>
    </row>
    <row r="584" spans="1:29" x14ac:dyDescent="0.3">
      <c r="A584" s="1">
        <f>ROW(CantoralDB[[#This Row],[Título]])-1</f>
        <v>583</v>
      </c>
      <c r="B584" s="1" t="s">
        <v>4973</v>
      </c>
      <c r="C584" s="1"/>
      <c r="J584" s="1"/>
      <c r="M584" s="15" t="s">
        <v>482</v>
      </c>
      <c r="N584" s="1" t="s">
        <v>4971</v>
      </c>
      <c r="O584" s="15">
        <v>3</v>
      </c>
      <c r="P584" s="15">
        <v>1977</v>
      </c>
      <c r="Q584" s="15" t="str" cm="1">
        <f t="array" ref="Q5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4" s="15" t="str" cm="1">
        <f t="array" ref="R5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canciones/cesareo_gabarain/dios_ama_tanto_a_los_hombres.html</v>
      </c>
      <c r="T584" s="1"/>
      <c r="U584" s="1"/>
      <c r="V584" s="32" t="s">
        <v>4990</v>
      </c>
      <c r="W5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href="canciones/cesareo_gabarain/dios_ama_tanto_a_los_hombres.html"&gt;Dios ama tanto a los hombres&lt;/a&gt;&lt;/li&gt;</v>
      </c>
      <c r="X584" s="15" t="str">
        <f>_xlfn.TEXTBEFORE(_xlfn.TEXTAFTER(CantoralDB[[#This Row],[index.html]],"&gt;"),"&gt;")&amp;"&gt;"</f>
        <v>&lt;a href="canciones/cesareo_gabarain/dios_ama_tanto_a_los_hombres.html"&gt;</v>
      </c>
      <c r="Y584"/>
      <c r="Z584" s="1"/>
      <c r="AA584" s="1"/>
      <c r="AB584" s="1"/>
      <c r="AC584" s="1"/>
    </row>
    <row r="585" spans="1:29" x14ac:dyDescent="0.3">
      <c r="A585" s="1">
        <f>ROW(CantoralDB[[#This Row],[Título]])-1</f>
        <v>584</v>
      </c>
      <c r="B585" s="1" t="s">
        <v>2164</v>
      </c>
      <c r="C585" s="1"/>
      <c r="J585" s="1"/>
      <c r="M585" s="15" t="s">
        <v>482</v>
      </c>
      <c r="N585" s="1" t="s">
        <v>4971</v>
      </c>
      <c r="O585" s="15">
        <v>4</v>
      </c>
      <c r="P585" s="15">
        <v>1977</v>
      </c>
      <c r="Q585" s="15" t="str" cm="1">
        <f t="array" ref="Q5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5" s="15" t="str" cm="1">
        <f t="array" ref="R5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canciones/cesareo_gabarain/vamos_amigos.html</v>
      </c>
      <c r="T585" s="1"/>
      <c r="U585" s="1"/>
      <c r="V585" s="32" t="s">
        <v>4991</v>
      </c>
      <c r="W5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href="canciones/cesareo_gabarain/vamos_amigos.html"&gt;Vamos, amigos&lt;/a&gt;&lt;/li&gt;</v>
      </c>
      <c r="X585" s="15" t="str">
        <f>_xlfn.TEXTBEFORE(_xlfn.TEXTAFTER(CantoralDB[[#This Row],[index.html]],"&gt;"),"&gt;")&amp;"&gt;"</f>
        <v>&lt;a href="canciones/cesareo_gabarain/vamos_amigos.html"&gt;</v>
      </c>
      <c r="Y585"/>
      <c r="Z585" s="1"/>
      <c r="AA585" s="1"/>
      <c r="AB585" s="1"/>
      <c r="AC585" s="1"/>
    </row>
    <row r="586" spans="1:29" x14ac:dyDescent="0.3">
      <c r="A586" s="1">
        <f>ROW(CantoralDB[[#This Row],[Título]])-1</f>
        <v>585</v>
      </c>
      <c r="B586" s="1" t="s">
        <v>4974</v>
      </c>
      <c r="C586" s="1"/>
      <c r="J586" s="1"/>
      <c r="M586" s="15" t="s">
        <v>482</v>
      </c>
      <c r="N586" s="1" t="s">
        <v>4971</v>
      </c>
      <c r="O586" s="15">
        <v>5</v>
      </c>
      <c r="P586" s="15">
        <v>1977</v>
      </c>
      <c r="Q586" s="15" t="str" cm="1">
        <f t="array" ref="Q5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6" s="15" t="str" cm="1">
        <f t="array" ref="R5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canciones/cesareo_gabarain/a_media_noche_en_un_portal.html</v>
      </c>
      <c r="T586" s="1"/>
      <c r="U586" s="1"/>
      <c r="V586" s="32" t="s">
        <v>4992</v>
      </c>
      <c r="W5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href="canciones/cesareo_gabarain/a_media_noche_en_un_portal.html"&gt;A media noche en un portal&lt;/a&gt;&lt;/li&gt;</v>
      </c>
      <c r="X586" s="15" t="str">
        <f>_xlfn.TEXTBEFORE(_xlfn.TEXTAFTER(CantoralDB[[#This Row],[index.html]],"&gt;"),"&gt;")&amp;"&gt;"</f>
        <v>&lt;a href="canciones/cesareo_gabarain/a_media_noche_en_un_portal.html"&gt;</v>
      </c>
      <c r="Y586"/>
      <c r="Z586" s="1"/>
      <c r="AA586" s="1"/>
      <c r="AB586" s="1"/>
      <c r="AC586" s="1"/>
    </row>
    <row r="587" spans="1:29" x14ac:dyDescent="0.3">
      <c r="A587" s="1">
        <f>ROW(CantoralDB[[#This Row],[Título]])-1</f>
        <v>586</v>
      </c>
      <c r="B587" s="1" t="s">
        <v>2314</v>
      </c>
      <c r="C587" s="1"/>
      <c r="J587" s="1"/>
      <c r="M587" s="15" t="s">
        <v>482</v>
      </c>
      <c r="N587" s="1" t="s">
        <v>4971</v>
      </c>
      <c r="O587" s="15">
        <v>6</v>
      </c>
      <c r="P587" s="15">
        <v>1977</v>
      </c>
      <c r="Q587" s="15" t="str" cm="1">
        <f t="array" ref="Q5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7" s="15" t="str" cm="1">
        <f t="array" ref="R5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canciones/cesareo_gabarain/quien_eres_tu.html</v>
      </c>
      <c r="T587" s="1"/>
      <c r="U587" s="1"/>
      <c r="V587" s="32" t="s">
        <v>4993</v>
      </c>
      <c r="W5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href="canciones/cesareo_gabarain/quien_eres_tu.html"&gt;Quién eres tú&lt;/a&gt;&lt;/li&gt;</v>
      </c>
      <c r="X587" s="15" t="str">
        <f>_xlfn.TEXTBEFORE(_xlfn.TEXTAFTER(CantoralDB[[#This Row],[index.html]],"&gt;"),"&gt;")&amp;"&gt;"</f>
        <v>&lt;a href="canciones/cesareo_gabarain/quien_eres_tu.html"&gt;</v>
      </c>
      <c r="Y587"/>
      <c r="Z587" s="1"/>
      <c r="AA587" s="1"/>
      <c r="AB587" s="1"/>
      <c r="AC587" s="1"/>
    </row>
    <row r="588" spans="1:29" x14ac:dyDescent="0.3">
      <c r="A588" s="1">
        <f>ROW(CantoralDB[[#This Row],[Título]])-1</f>
        <v>587</v>
      </c>
      <c r="B588" s="1" t="s">
        <v>4975</v>
      </c>
      <c r="C588" s="1"/>
      <c r="J588" s="1"/>
      <c r="M588" s="15" t="s">
        <v>482</v>
      </c>
      <c r="N588" s="1" t="s">
        <v>4971</v>
      </c>
      <c r="O588" s="15">
        <v>7</v>
      </c>
      <c r="P588" s="15">
        <v>1977</v>
      </c>
      <c r="Q588" s="15" t="str" cm="1">
        <f t="array" ref="Q5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8" s="15" t="str" cm="1">
        <f t="array" ref="R5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canciones/cesareo_gabarain/la_navidad_es.html</v>
      </c>
      <c r="T588" s="1"/>
      <c r="U588" s="1"/>
      <c r="V588" s="32" t="s">
        <v>4994</v>
      </c>
      <c r="W5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href="canciones/cesareo_gabarain/la_navidad_es.html"&gt;La navidad es&lt;/a&gt;&lt;/li&gt;</v>
      </c>
      <c r="X588" s="15" t="str">
        <f>_xlfn.TEXTBEFORE(_xlfn.TEXTAFTER(CantoralDB[[#This Row],[index.html]],"&gt;"),"&gt;")&amp;"&gt;"</f>
        <v>&lt;a href="canciones/cesareo_gabarain/la_navidad_es.html"&gt;</v>
      </c>
      <c r="Y588"/>
      <c r="Z588" s="1"/>
      <c r="AA588" s="1"/>
      <c r="AB588" s="1"/>
      <c r="AC588" s="1"/>
    </row>
    <row r="589" spans="1:29" x14ac:dyDescent="0.3">
      <c r="A589" s="1">
        <f>ROW(CantoralDB[[#This Row],[Título]])-1</f>
        <v>588</v>
      </c>
      <c r="B589" s="1" t="s">
        <v>4976</v>
      </c>
      <c r="C589" s="1"/>
      <c r="J589" s="1"/>
      <c r="M589" s="15" t="s">
        <v>482</v>
      </c>
      <c r="N589" s="1" t="s">
        <v>4971</v>
      </c>
      <c r="O589" s="15">
        <v>8</v>
      </c>
      <c r="P589" s="15">
        <v>1977</v>
      </c>
      <c r="Q589" s="15" t="str" cm="1">
        <f t="array" ref="Q5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89" s="15" t="str" cm="1">
        <f t="array" ref="R5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canciones/cesareo_gabarain/niño_hambriento.html</v>
      </c>
      <c r="T589" s="1"/>
      <c r="U589" s="1"/>
      <c r="V589" s="32" t="s">
        <v>4995</v>
      </c>
      <c r="W5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href="canciones/cesareo_gabarain/niño_hambriento.html"&gt;Niño hambriento&lt;/a&gt;&lt;/li&gt;</v>
      </c>
      <c r="X589" s="15" t="str">
        <f>_xlfn.TEXTBEFORE(_xlfn.TEXTAFTER(CantoralDB[[#This Row],[index.html]],"&gt;"),"&gt;")&amp;"&gt;"</f>
        <v>&lt;a href="canciones/cesareo_gabarain/niño_hambriento.html"&gt;</v>
      </c>
      <c r="Y589"/>
      <c r="Z589" s="1"/>
      <c r="AA589" s="1"/>
      <c r="AB589" s="1"/>
      <c r="AC589" s="1"/>
    </row>
    <row r="590" spans="1:29" x14ac:dyDescent="0.3">
      <c r="A590" s="1">
        <f>ROW(CantoralDB[[#This Row],[Título]])-1</f>
        <v>589</v>
      </c>
      <c r="B590" s="1" t="s">
        <v>4977</v>
      </c>
      <c r="C590" s="1"/>
      <c r="J590" s="1"/>
      <c r="M590" s="15" t="s">
        <v>482</v>
      </c>
      <c r="N590" s="1" t="s">
        <v>4971</v>
      </c>
      <c r="O590" s="15">
        <v>9</v>
      </c>
      <c r="P590" s="15">
        <v>1977</v>
      </c>
      <c r="Q590" s="15" t="str" cm="1">
        <f t="array" ref="Q5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0" s="15" t="str" cm="1">
        <f t="array" ref="R5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canciones/cesareo_gabarain/dios_es_bueno.html</v>
      </c>
      <c r="T590" s="1"/>
      <c r="U590" s="1"/>
      <c r="V590" s="32" t="s">
        <v>4996</v>
      </c>
      <c r="W5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href="canciones/cesareo_gabarain/dios_es_bueno.html"&gt;Dios es bueno&lt;/a&gt;&lt;/li&gt;</v>
      </c>
      <c r="X590" s="15" t="str">
        <f>_xlfn.TEXTBEFORE(_xlfn.TEXTAFTER(CantoralDB[[#This Row],[index.html]],"&gt;"),"&gt;")&amp;"&gt;"</f>
        <v>&lt;a href="canciones/cesareo_gabarain/dios_es_bueno.html"&gt;</v>
      </c>
      <c r="Y590"/>
      <c r="Z590" s="1"/>
      <c r="AA590" s="1"/>
      <c r="AB590" s="1"/>
      <c r="AC590" s="1"/>
    </row>
    <row r="591" spans="1:29" x14ac:dyDescent="0.3">
      <c r="A591" s="1">
        <f>ROW(CantoralDB[[#This Row],[Título]])-1</f>
        <v>590</v>
      </c>
      <c r="B591" s="1" t="s">
        <v>4978</v>
      </c>
      <c r="C591" s="1"/>
      <c r="J591" s="1"/>
      <c r="M591" s="15" t="s">
        <v>482</v>
      </c>
      <c r="N591" s="1" t="s">
        <v>4971</v>
      </c>
      <c r="O591" s="15">
        <v>10</v>
      </c>
      <c r="P591" s="15">
        <v>1977</v>
      </c>
      <c r="Q591" s="15" t="str" cm="1">
        <f t="array" ref="Q5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1" s="15" t="str" cm="1">
        <f t="array" ref="R5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canciones/cesareo_gabarain/la_historia_ocurrio.html</v>
      </c>
      <c r="T591" s="1"/>
      <c r="U591" s="1"/>
      <c r="V591" s="32" t="s">
        <v>4997</v>
      </c>
      <c r="W5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href="canciones/cesareo_gabarain/la_historia_ocurrio.html"&gt;La historia ocurrió&lt;/a&gt;&lt;/li&gt;</v>
      </c>
      <c r="X591" s="15" t="str">
        <f>_xlfn.TEXTBEFORE(_xlfn.TEXTAFTER(CantoralDB[[#This Row],[index.html]],"&gt;"),"&gt;")&amp;"&gt;"</f>
        <v>&lt;a href="canciones/cesareo_gabarain/la_historia_ocurrio.html"&gt;</v>
      </c>
      <c r="Y591"/>
      <c r="Z591" s="1"/>
      <c r="AA591" s="1"/>
      <c r="AB591" s="1"/>
      <c r="AC591" s="1"/>
    </row>
    <row r="592" spans="1:29" x14ac:dyDescent="0.3">
      <c r="A592" s="1">
        <f>ROW(CantoralDB[[#This Row],[Título]])-1</f>
        <v>591</v>
      </c>
      <c r="B592" s="1" t="s">
        <v>4979</v>
      </c>
      <c r="C592" s="1"/>
      <c r="H592" s="1" t="s">
        <v>1025</v>
      </c>
      <c r="J592" s="1" t="s">
        <v>605</v>
      </c>
      <c r="M592" s="15" t="s">
        <v>482</v>
      </c>
      <c r="N592" s="1" t="s">
        <v>4608</v>
      </c>
      <c r="O592" s="15">
        <v>1</v>
      </c>
      <c r="P592" s="15">
        <v>1978</v>
      </c>
      <c r="Q592" s="15" t="str" cm="1">
        <f t="array" ref="Q5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2" s="15" t="str" cm="1">
        <f t="array" ref="R5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canciones/cesareo_gabarain/los_cielos_y_la_tierra.html</v>
      </c>
      <c r="T592" s="1"/>
      <c r="U592" s="1"/>
      <c r="V592" s="32" t="s">
        <v>4998</v>
      </c>
      <c r="W5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href="canciones/cesareo_gabarain/los_cielos_y_la_tierra.html"&gt;Los cielos y la tierra&lt;/a&gt;&lt;/li&gt;</v>
      </c>
      <c r="X592" s="15" t="str">
        <f>_xlfn.TEXTBEFORE(_xlfn.TEXTAFTER(CantoralDB[[#This Row],[index.html]],"&gt;"),"&gt;")&amp;"&gt;"</f>
        <v>&lt;a href="canciones/cesareo_gabarain/los_cielos_y_la_tierra.html"&gt;</v>
      </c>
      <c r="Y592"/>
      <c r="Z592" s="1"/>
      <c r="AA592" s="1"/>
      <c r="AB592" s="1"/>
      <c r="AC592" s="1"/>
    </row>
    <row r="593" spans="1:29" x14ac:dyDescent="0.3">
      <c r="A593" s="1">
        <f>ROW(CantoralDB[[#This Row],[Título]])-1</f>
        <v>592</v>
      </c>
      <c r="B593" s="1" t="s">
        <v>1208</v>
      </c>
      <c r="C593" s="1"/>
      <c r="E593" s="1">
        <v>89</v>
      </c>
      <c r="H593" s="1" t="s">
        <v>1025</v>
      </c>
      <c r="J593" s="1" t="s">
        <v>605</v>
      </c>
      <c r="M593" s="15" t="s">
        <v>482</v>
      </c>
      <c r="N593" s="1" t="s">
        <v>4608</v>
      </c>
      <c r="O593" s="15">
        <v>2</v>
      </c>
      <c r="P593" s="15">
        <v>1978</v>
      </c>
      <c r="Q593" s="15" t="str" cm="1">
        <f t="array" ref="Q5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3" s="15" t="str" cm="1">
        <f t="array" ref="R5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5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canciones/cesareo_gabarain/en_el_trabajo_de_cada_dia.html</v>
      </c>
      <c r="T593" s="1"/>
      <c r="U593" s="1"/>
      <c r="V593" s="32" t="s">
        <v>4607</v>
      </c>
      <c r="W5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data-nold="89"&gt;&lt;a href="canciones/cesareo_gabarain/en_el_trabajo_de_cada_dia.html"&gt;En el trabajo de cada día&lt;/a&gt;&lt;/li&gt;</v>
      </c>
      <c r="X593" s="15" t="str">
        <f>_xlfn.TEXTBEFORE(_xlfn.TEXTAFTER(CantoralDB[[#This Row],[index.html]],"&gt;"),"&gt;")&amp;"&gt;"</f>
        <v>&lt;a href="canciones/cesareo_gabarain/en_el_trabajo_de_cada_dia.html"&gt;</v>
      </c>
      <c r="Y593"/>
      <c r="Z593" s="1"/>
      <c r="AA593" s="1"/>
      <c r="AB593" s="1"/>
      <c r="AC593" s="1"/>
    </row>
    <row r="594" spans="1:29" x14ac:dyDescent="0.3">
      <c r="A594" s="1">
        <f>ROW(CantoralDB[[#This Row],[Título]])-1</f>
        <v>593</v>
      </c>
      <c r="B594" s="1" t="s">
        <v>4980</v>
      </c>
      <c r="C594" s="1"/>
      <c r="H594" s="1" t="s">
        <v>1025</v>
      </c>
      <c r="J594" s="1" t="s">
        <v>605</v>
      </c>
      <c r="M594" s="15" t="s">
        <v>482</v>
      </c>
      <c r="N594" s="1" t="s">
        <v>4608</v>
      </c>
      <c r="O594" s="15">
        <v>3</v>
      </c>
      <c r="P594" s="15">
        <v>1978</v>
      </c>
      <c r="Q594" s="15" t="str" cm="1">
        <f t="array" ref="Q5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4" s="15" t="str" cm="1">
        <f t="array" ref="R5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canciones/cesareo_gabarain/como_a_su_madre_acuden.html</v>
      </c>
      <c r="T594" s="1"/>
      <c r="U594" s="1"/>
      <c r="V594" s="32" t="s">
        <v>4999</v>
      </c>
      <c r="W5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href="canciones/cesareo_gabarain/como_a_su_madre_acuden.html"&gt;Como a su Madre acuden&lt;/a&gt;&lt;/li&gt;</v>
      </c>
      <c r="X594" s="15" t="str">
        <f>_xlfn.TEXTBEFORE(_xlfn.TEXTAFTER(CantoralDB[[#This Row],[index.html]],"&gt;"),"&gt;")&amp;"&gt;"</f>
        <v>&lt;a href="canciones/cesareo_gabarain/como_a_su_madre_acuden.html"&gt;</v>
      </c>
      <c r="Y594"/>
      <c r="Z594" s="1"/>
      <c r="AA594" s="1"/>
      <c r="AB594" s="1"/>
      <c r="AC594" s="1"/>
    </row>
    <row r="595" spans="1:29" x14ac:dyDescent="0.3">
      <c r="A595" s="1">
        <f>ROW(CantoralDB[[#This Row],[Título]])-1</f>
        <v>594</v>
      </c>
      <c r="B595" s="1" t="s">
        <v>4981</v>
      </c>
      <c r="C595" s="1"/>
      <c r="H595" s="1" t="s">
        <v>529</v>
      </c>
      <c r="J595" s="1" t="s">
        <v>605</v>
      </c>
      <c r="M595" s="15" t="s">
        <v>482</v>
      </c>
      <c r="N595" s="1" t="s">
        <v>4608</v>
      </c>
      <c r="O595" s="15">
        <v>4</v>
      </c>
      <c r="P595" s="15">
        <v>1978</v>
      </c>
      <c r="Q595" s="15" t="str" cm="1">
        <f t="array" ref="Q5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5" s="15" t="str" cm="1">
        <f t="array" ref="R5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canciones/cesareo_gabarain/hoy_he_vuelto.html</v>
      </c>
      <c r="T595" s="1"/>
      <c r="U595" s="1"/>
      <c r="V595" s="32" t="s">
        <v>5000</v>
      </c>
      <c r="W5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href="canciones/cesareo_gabarain/hoy_he_vuelto.html"&gt;Hoy he vuelto&lt;/a&gt;&lt;/li&gt;</v>
      </c>
      <c r="X595" s="15" t="str">
        <f>_xlfn.TEXTBEFORE(_xlfn.TEXTAFTER(CantoralDB[[#This Row],[index.html]],"&gt;"),"&gt;")&amp;"&gt;"</f>
        <v>&lt;a href="canciones/cesareo_gabarain/hoy_he_vuelto.html"&gt;</v>
      </c>
      <c r="Y595"/>
      <c r="Z595" s="1"/>
      <c r="AA595" s="1"/>
      <c r="AB595" s="1"/>
      <c r="AC595" s="1"/>
    </row>
    <row r="596" spans="1:29" x14ac:dyDescent="0.3">
      <c r="A596" s="1">
        <f>ROW(CantoralDB[[#This Row],[Título]])-1</f>
        <v>595</v>
      </c>
      <c r="B596" s="1" t="s">
        <v>4982</v>
      </c>
      <c r="C596" s="1"/>
      <c r="H596" s="1" t="s">
        <v>529</v>
      </c>
      <c r="J596" s="1" t="s">
        <v>605</v>
      </c>
      <c r="M596" s="15" t="s">
        <v>482</v>
      </c>
      <c r="N596" s="1" t="s">
        <v>4608</v>
      </c>
      <c r="O596" s="15">
        <v>5</v>
      </c>
      <c r="P596" s="15">
        <v>1978</v>
      </c>
      <c r="Q596" s="15" t="str" cm="1">
        <f t="array" ref="Q5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6" s="15" t="str" cm="1">
        <f t="array" ref="R5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canciones/cesareo_gabarain/antes_que_el_mundo_hiciera.html</v>
      </c>
      <c r="T596" s="1"/>
      <c r="U596" s="1"/>
      <c r="V596" s="32" t="s">
        <v>5002</v>
      </c>
      <c r="W5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href="canciones/cesareo_gabarain/antes_que_el_mundo_hiciera.html"&gt;Antes que el mundo hiciera&lt;/a&gt;&lt;/li&gt;</v>
      </c>
      <c r="X596" s="15" t="str">
        <f>_xlfn.TEXTBEFORE(_xlfn.TEXTAFTER(CantoralDB[[#This Row],[index.html]],"&gt;"),"&gt;")&amp;"&gt;"</f>
        <v>&lt;a href="canciones/cesareo_gabarain/antes_que_el_mundo_hiciera.html"&gt;</v>
      </c>
      <c r="Y596"/>
      <c r="Z596" s="1"/>
      <c r="AA596" s="1"/>
      <c r="AB596" s="1"/>
      <c r="AC596" s="1"/>
    </row>
    <row r="597" spans="1:29" x14ac:dyDescent="0.3">
      <c r="A597" s="1">
        <f>ROW(CantoralDB[[#This Row],[Título]])-1</f>
        <v>596</v>
      </c>
      <c r="B597" s="1" t="s">
        <v>4983</v>
      </c>
      <c r="C597" s="1"/>
      <c r="H597" s="1" t="s">
        <v>1027</v>
      </c>
      <c r="J597" s="1" t="s">
        <v>605</v>
      </c>
      <c r="M597" s="15" t="s">
        <v>482</v>
      </c>
      <c r="N597" s="1" t="s">
        <v>4608</v>
      </c>
      <c r="O597" s="15">
        <v>6</v>
      </c>
      <c r="P597" s="15">
        <v>1978</v>
      </c>
      <c r="Q597" s="15" t="str" cm="1">
        <f t="array" ref="Q5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7" s="15" t="str" cm="1">
        <f t="array" ref="R5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canciones/cesareo_gabarain/maria_es_esa_mujer.html</v>
      </c>
      <c r="T597" s="1"/>
      <c r="U597" s="1"/>
      <c r="V597" s="32" t="s">
        <v>5003</v>
      </c>
      <c r="W5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href="canciones/cesareo_gabarain/maria_es_esa_mujer.html"&gt;María es esa mujer&lt;/a&gt;&lt;/li&gt;</v>
      </c>
      <c r="X597" s="15" t="str">
        <f>_xlfn.TEXTBEFORE(_xlfn.TEXTAFTER(CantoralDB[[#This Row],[index.html]],"&gt;"),"&gt;")&amp;"&gt;"</f>
        <v>&lt;a href="canciones/cesareo_gabarain/maria_es_esa_mujer.html"&gt;</v>
      </c>
      <c r="Y597"/>
      <c r="Z597" s="1"/>
      <c r="AA597" s="1"/>
      <c r="AB597" s="1"/>
      <c r="AC597" s="1"/>
    </row>
    <row r="598" spans="1:29" x14ac:dyDescent="0.3">
      <c r="A598" s="1">
        <f>ROW(CantoralDB[[#This Row],[Título]])-1</f>
        <v>597</v>
      </c>
      <c r="B598" s="1" t="s">
        <v>4984</v>
      </c>
      <c r="C598" s="1"/>
      <c r="H598" s="1" t="s">
        <v>529</v>
      </c>
      <c r="J598" s="1" t="s">
        <v>605</v>
      </c>
      <c r="M598" s="15" t="s">
        <v>482</v>
      </c>
      <c r="N598" s="1" t="s">
        <v>4608</v>
      </c>
      <c r="O598" s="15">
        <v>7</v>
      </c>
      <c r="P598" s="15">
        <v>1978</v>
      </c>
      <c r="Q598" s="15" t="str" cm="1">
        <f t="array" ref="Q5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8" s="15" t="str" cm="1">
        <f t="array" ref="R5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canciones/cesareo_gabarain/muy_de_mañana.html</v>
      </c>
      <c r="T598" s="1"/>
      <c r="U598" s="1"/>
      <c r="V598" s="32" t="s">
        <v>5004</v>
      </c>
      <c r="W5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href="canciones/cesareo_gabarain/muy_de_mañana.html"&gt;Muy de mañana&lt;/a&gt;&lt;/li&gt;</v>
      </c>
      <c r="X598" s="15" t="str">
        <f>_xlfn.TEXTBEFORE(_xlfn.TEXTAFTER(CantoralDB[[#This Row],[index.html]],"&gt;"),"&gt;")&amp;"&gt;"</f>
        <v>&lt;a href="canciones/cesareo_gabarain/muy_de_mañana.html"&gt;</v>
      </c>
      <c r="Y598"/>
      <c r="Z598" s="1"/>
      <c r="AA598" s="1"/>
      <c r="AB598" s="1"/>
      <c r="AC598" s="1"/>
    </row>
    <row r="599" spans="1:29" x14ac:dyDescent="0.3">
      <c r="A599" s="1">
        <f>ROW(CantoralDB[[#This Row],[Título]])-1</f>
        <v>598</v>
      </c>
      <c r="B599" s="1" t="s">
        <v>4985</v>
      </c>
      <c r="C599" s="1"/>
      <c r="H599" s="1" t="s">
        <v>529</v>
      </c>
      <c r="I599" s="1" t="s">
        <v>2949</v>
      </c>
      <c r="J599" s="1" t="s">
        <v>605</v>
      </c>
      <c r="M599" s="15" t="s">
        <v>482</v>
      </c>
      <c r="N599" s="1" t="s">
        <v>4608</v>
      </c>
      <c r="O599" s="15">
        <v>8</v>
      </c>
      <c r="P599" s="15">
        <v>1978</v>
      </c>
      <c r="Q599" s="15" t="str" cm="1">
        <f t="array" ref="Q5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599" s="15" t="str" cm="1">
        <f t="array" ref="R5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5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canciones/cesareo_gabarain/cristo_nuestro_hermano.html</v>
      </c>
      <c r="T599" s="1"/>
      <c r="U599" s="1"/>
      <c r="V599" s="32" t="s">
        <v>5001</v>
      </c>
      <c r="W5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href="canciones/cesareo_gabarain/cristo_nuestro_hermano.html"&gt;Cristo nuestro hermano&lt;/a&gt;&lt;/li&gt;</v>
      </c>
      <c r="X599" s="15" t="str">
        <f>_xlfn.TEXTBEFORE(_xlfn.TEXTAFTER(CantoralDB[[#This Row],[index.html]],"&gt;"),"&gt;")&amp;"&gt;"</f>
        <v>&lt;a href="canciones/cesareo_gabarain/cristo_nuestro_hermano.html"&gt;</v>
      </c>
      <c r="Y599"/>
      <c r="Z599" s="1"/>
      <c r="AA599" s="1"/>
      <c r="AB599" s="1"/>
      <c r="AC599" s="1"/>
    </row>
    <row r="600" spans="1:29" x14ac:dyDescent="0.3">
      <c r="A600" s="1">
        <f>ROW(CantoralDB[[#This Row],[Título]])-1</f>
        <v>599</v>
      </c>
      <c r="B600" s="1" t="s">
        <v>4986</v>
      </c>
      <c r="C600" s="1"/>
      <c r="H600" s="1" t="s">
        <v>1025</v>
      </c>
      <c r="J600" s="1" t="s">
        <v>605</v>
      </c>
      <c r="M600" s="15" t="s">
        <v>482</v>
      </c>
      <c r="N600" s="1" t="s">
        <v>4608</v>
      </c>
      <c r="O600" s="15">
        <v>9</v>
      </c>
      <c r="P600" s="15">
        <v>1978</v>
      </c>
      <c r="Q600" s="15" t="str" cm="1">
        <f t="array" ref="Q6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0" s="15" t="str" cm="1">
        <f t="array" ref="R6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canciones/cesareo_gabarain/luz_de_la_mañana.html</v>
      </c>
      <c r="T600" s="1"/>
      <c r="U600" s="1"/>
      <c r="V600" s="32" t="s">
        <v>5005</v>
      </c>
      <c r="W6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href="canciones/cesareo_gabarain/luz_de_la_mañana.html"&gt;Luz de la mañana&lt;/a&gt;&lt;/li&gt;</v>
      </c>
      <c r="X600" s="15" t="str">
        <f>_xlfn.TEXTBEFORE(_xlfn.TEXTAFTER(CantoralDB[[#This Row],[index.html]],"&gt;"),"&gt;")&amp;"&gt;"</f>
        <v>&lt;a href="canciones/cesareo_gabarain/luz_de_la_mañana.html"&gt;</v>
      </c>
      <c r="Y600"/>
      <c r="Z600" s="1"/>
      <c r="AA600" s="1"/>
      <c r="AB600" s="1"/>
      <c r="AC600" s="1"/>
    </row>
    <row r="601" spans="1:29" x14ac:dyDescent="0.3">
      <c r="A601" s="1">
        <f>ROW(CantoralDB[[#This Row],[Título]])-1</f>
        <v>600</v>
      </c>
      <c r="B601" s="1" t="s">
        <v>4987</v>
      </c>
      <c r="C601" s="1"/>
      <c r="H601" s="1" t="s">
        <v>1025</v>
      </c>
      <c r="J601" s="1" t="s">
        <v>605</v>
      </c>
      <c r="M601" s="15" t="s">
        <v>482</v>
      </c>
      <c r="N601" s="1" t="s">
        <v>4608</v>
      </c>
      <c r="O601" s="15">
        <v>10</v>
      </c>
      <c r="P601" s="15">
        <v>1978</v>
      </c>
      <c r="Q601" s="15" t="str" cm="1">
        <f t="array" ref="Q6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1" s="15" t="str" cm="1">
        <f t="array" ref="R6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canciones/cesareo_gabarain/dijo_que_si_maria.html</v>
      </c>
      <c r="T601" s="1"/>
      <c r="U601" s="1"/>
      <c r="V601" s="32" t="s">
        <v>5006</v>
      </c>
      <c r="W6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href="canciones/cesareo_gabarain/dijo_que_si_maria.html"&gt;Dijo que sí María&lt;/a&gt;&lt;/li&gt;</v>
      </c>
      <c r="X601" s="15" t="str">
        <f>_xlfn.TEXTBEFORE(_xlfn.TEXTAFTER(CantoralDB[[#This Row],[index.html]],"&gt;"),"&gt;")&amp;"&gt;"</f>
        <v>&lt;a href="canciones/cesareo_gabarain/dijo_que_si_maria.html"&gt;</v>
      </c>
      <c r="Y601"/>
      <c r="Z601" s="1"/>
      <c r="AA601" s="1"/>
      <c r="AB601" s="1"/>
      <c r="AC601" s="1"/>
    </row>
    <row r="602" spans="1:29" x14ac:dyDescent="0.3">
      <c r="A602" s="1">
        <f>ROW(CantoralDB[[#This Row],[Título]])-1</f>
        <v>601</v>
      </c>
      <c r="B602" s="1" t="s">
        <v>5071</v>
      </c>
      <c r="C602" s="1"/>
      <c r="J602" s="1"/>
      <c r="M602" s="15" t="s">
        <v>482</v>
      </c>
      <c r="N602" s="1" t="s">
        <v>5070</v>
      </c>
      <c r="O602" s="15">
        <v>2</v>
      </c>
      <c r="P602" s="15">
        <v>1981</v>
      </c>
      <c r="Q602" s="15" t="str" cm="1">
        <f t="array" ref="Q6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2" s="15" t="str" cm="1">
        <f t="array" ref="R6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canciones/cesareo_gabarain/alabado_seas_mi_señor.html</v>
      </c>
      <c r="T602" s="1"/>
      <c r="U602" s="1"/>
      <c r="V602" s="32" t="s">
        <v>5102</v>
      </c>
      <c r="W6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href="canciones/cesareo_gabarain/alabado_seas_mi_señor.html"&gt;Alabado seas, mi Señor&lt;/a&gt;&lt;/li&gt;</v>
      </c>
      <c r="X602" s="15" t="str">
        <f>_xlfn.TEXTBEFORE(_xlfn.TEXTAFTER(CantoralDB[[#This Row],[index.html]],"&gt;"),"&gt;")&amp;"&gt;"</f>
        <v>&lt;a href="canciones/cesareo_gabarain/alabado_seas_mi_señor.html"&gt;</v>
      </c>
      <c r="Y602"/>
      <c r="Z602" s="1"/>
      <c r="AA602" s="1"/>
      <c r="AB602" s="1"/>
      <c r="AC602" s="1"/>
    </row>
    <row r="603" spans="1:29" x14ac:dyDescent="0.3">
      <c r="A603" s="1">
        <f>ROW(CantoralDB[[#This Row],[Título]])-1</f>
        <v>602</v>
      </c>
      <c r="B603" s="1" t="s">
        <v>5072</v>
      </c>
      <c r="C603" s="1"/>
      <c r="J603" s="1"/>
      <c r="M603" s="15" t="s">
        <v>482</v>
      </c>
      <c r="N603" s="1" t="s">
        <v>5070</v>
      </c>
      <c r="O603" s="15">
        <v>3</v>
      </c>
      <c r="P603" s="15">
        <v>1981</v>
      </c>
      <c r="Q603" s="15" t="str" cm="1">
        <f t="array" ref="Q6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3" s="15" t="str" cm="1">
        <f t="array" ref="R6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canciones/cesareo_gabarain/las_huellas_del_crucificado.html</v>
      </c>
      <c r="T603" s="1"/>
      <c r="U603" s="1"/>
      <c r="V603" s="32" t="s">
        <v>5103</v>
      </c>
      <c r="W6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href="canciones/cesareo_gabarain/las_huellas_del_crucificado.html"&gt;Las huellas del crucificado&lt;/a&gt;&lt;/li&gt;</v>
      </c>
      <c r="X603" s="15" t="str">
        <f>_xlfn.TEXTBEFORE(_xlfn.TEXTAFTER(CantoralDB[[#This Row],[index.html]],"&gt;"),"&gt;")&amp;"&gt;"</f>
        <v>&lt;a href="canciones/cesareo_gabarain/las_huellas_del_crucificado.html"&gt;</v>
      </c>
      <c r="Y603"/>
      <c r="Z603" s="1"/>
      <c r="AA603" s="1"/>
      <c r="AB603" s="1"/>
      <c r="AC603" s="1"/>
    </row>
    <row r="604" spans="1:29" x14ac:dyDescent="0.3">
      <c r="A604" s="1">
        <f>ROW(CantoralDB[[#This Row],[Título]])-1</f>
        <v>603</v>
      </c>
      <c r="B604" s="1" t="s">
        <v>5073</v>
      </c>
      <c r="C604" s="1"/>
      <c r="J604" s="1"/>
      <c r="M604" s="15" t="s">
        <v>482</v>
      </c>
      <c r="N604" s="1" t="s">
        <v>5070</v>
      </c>
      <c r="O604" s="15">
        <v>4</v>
      </c>
      <c r="P604" s="15">
        <v>1981</v>
      </c>
      <c r="Q604" s="15" t="str" cm="1">
        <f t="array" ref="Q6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4" s="15" t="str" cm="1">
        <f t="array" ref="R6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canciones/cesareo_gabarain/dos_buscadores_del_absoluto.html</v>
      </c>
      <c r="T604" s="1"/>
      <c r="U604" s="1"/>
      <c r="V604" s="32" t="s">
        <v>5104</v>
      </c>
      <c r="W6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href="canciones/cesareo_gabarain/dos_buscadores_del_absoluto.html"&gt;Dos buscadores del absoluto&lt;/a&gt;&lt;/li&gt;</v>
      </c>
      <c r="X604" s="15" t="str">
        <f>_xlfn.TEXTBEFORE(_xlfn.TEXTAFTER(CantoralDB[[#This Row],[index.html]],"&gt;"),"&gt;")&amp;"&gt;"</f>
        <v>&lt;a href="canciones/cesareo_gabarain/dos_buscadores_del_absoluto.html"&gt;</v>
      </c>
      <c r="Y604"/>
      <c r="Z604" s="1"/>
      <c r="AA604" s="1"/>
      <c r="AB604" s="1"/>
      <c r="AC604" s="1"/>
    </row>
    <row r="605" spans="1:29" x14ac:dyDescent="0.3">
      <c r="A605" s="1">
        <f>ROW(CantoralDB[[#This Row],[Título]])-1</f>
        <v>604</v>
      </c>
      <c r="B605" s="1" t="s">
        <v>5074</v>
      </c>
      <c r="C605" s="1"/>
      <c r="J605" s="1"/>
      <c r="M605" s="15" t="s">
        <v>482</v>
      </c>
      <c r="N605" s="1" t="s">
        <v>5070</v>
      </c>
      <c r="O605" s="15">
        <v>5</v>
      </c>
      <c r="P605" s="15">
        <v>1981</v>
      </c>
      <c r="Q605" s="15" t="str" cm="1">
        <f t="array" ref="Q6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5" s="15" t="str" cm="1">
        <f t="array" ref="R6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canciones/cesareo_gabarain/francisco_evangelio_vivo.html</v>
      </c>
      <c r="T605" s="1"/>
      <c r="U605" s="1"/>
      <c r="V605" s="32" t="s">
        <v>5105</v>
      </c>
      <c r="W6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href="canciones/cesareo_gabarain/francisco_evangelio_vivo.html"&gt;Francisco, Evangelio vivo&lt;/a&gt;&lt;/li&gt;</v>
      </c>
      <c r="X605" s="15" t="str">
        <f>_xlfn.TEXTBEFORE(_xlfn.TEXTAFTER(CantoralDB[[#This Row],[index.html]],"&gt;"),"&gt;")&amp;"&gt;"</f>
        <v>&lt;a href="canciones/cesareo_gabarain/francisco_evangelio_vivo.html"&gt;</v>
      </c>
      <c r="Y605"/>
      <c r="Z605" s="1"/>
      <c r="AA605" s="1"/>
      <c r="AB605" s="1"/>
      <c r="AC605" s="1"/>
    </row>
    <row r="606" spans="1:29" x14ac:dyDescent="0.3">
      <c r="A606" s="1">
        <f>ROW(CantoralDB[[#This Row],[Título]])-1</f>
        <v>605</v>
      </c>
      <c r="B606" s="1" t="s">
        <v>5075</v>
      </c>
      <c r="C606" s="1"/>
      <c r="J606" s="1"/>
      <c r="M606" s="15" t="s">
        <v>482</v>
      </c>
      <c r="N606" s="1" t="s">
        <v>5070</v>
      </c>
      <c r="O606" s="15">
        <v>6</v>
      </c>
      <c r="P606" s="15">
        <v>1981</v>
      </c>
      <c r="Q606" s="15" t="str" cm="1">
        <f t="array" ref="Q6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6" s="15" t="str" cm="1">
        <f t="array" ref="R6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canciones/cesareo_gabarain/francisco_repara_mi_iglesia.html</v>
      </c>
      <c r="T606" s="1"/>
      <c r="U606" s="1"/>
      <c r="V606" s="32" t="s">
        <v>5106</v>
      </c>
      <c r="W6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href="canciones/cesareo_gabarain/francisco_repara_mi_iglesia.html"&gt;Francisco, repara mi Iglesia&lt;/a&gt;&lt;/li&gt;</v>
      </c>
      <c r="X606" s="15" t="str">
        <f>_xlfn.TEXTBEFORE(_xlfn.TEXTAFTER(CantoralDB[[#This Row],[index.html]],"&gt;"),"&gt;")&amp;"&gt;"</f>
        <v>&lt;a href="canciones/cesareo_gabarain/francisco_repara_mi_iglesia.html"&gt;</v>
      </c>
      <c r="Y606"/>
      <c r="Z606" s="1"/>
      <c r="AA606" s="1"/>
      <c r="AB606" s="1"/>
      <c r="AC606" s="1"/>
    </row>
    <row r="607" spans="1:29" x14ac:dyDescent="0.3">
      <c r="A607" s="1">
        <f>ROW(CantoralDB[[#This Row],[Título]])-1</f>
        <v>606</v>
      </c>
      <c r="B607" s="1" t="s">
        <v>5076</v>
      </c>
      <c r="C607" s="1"/>
      <c r="J607" s="1"/>
      <c r="M607" s="15" t="s">
        <v>482</v>
      </c>
      <c r="N607" s="1" t="s">
        <v>5070</v>
      </c>
      <c r="O607" s="15">
        <v>7</v>
      </c>
      <c r="P607" s="15">
        <v>1981</v>
      </c>
      <c r="Q607" s="15" t="str" cm="1">
        <f t="array" ref="Q6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7" s="15" t="str" cm="1">
        <f t="array" ref="R6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canciones/cesareo_gabarain/hermana_clara.html</v>
      </c>
      <c r="T607" s="1"/>
      <c r="U607" s="1"/>
      <c r="V607" s="32" t="s">
        <v>5107</v>
      </c>
      <c r="W6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href="canciones/cesareo_gabarain/hermana_clara.html"&gt;Hermana Clara&lt;/a&gt;&lt;/li&gt;</v>
      </c>
      <c r="X607" s="15" t="str">
        <f>_xlfn.TEXTBEFORE(_xlfn.TEXTAFTER(CantoralDB[[#This Row],[index.html]],"&gt;"),"&gt;")&amp;"&gt;"</f>
        <v>&lt;a href="canciones/cesareo_gabarain/hermana_clara.html"&gt;</v>
      </c>
      <c r="Y607"/>
      <c r="Z607" s="1"/>
      <c r="AA607" s="1"/>
      <c r="AB607" s="1"/>
      <c r="AC607" s="1"/>
    </row>
    <row r="608" spans="1:29" x14ac:dyDescent="0.3">
      <c r="A608" s="1">
        <f>ROW(CantoralDB[[#This Row],[Título]])-1</f>
        <v>607</v>
      </c>
      <c r="B608" s="1" t="s">
        <v>5077</v>
      </c>
      <c r="C608" s="1"/>
      <c r="J608" s="1"/>
      <c r="M608" s="15" t="s">
        <v>482</v>
      </c>
      <c r="N608" s="1" t="s">
        <v>5070</v>
      </c>
      <c r="O608" s="15">
        <v>8</v>
      </c>
      <c r="P608" s="15">
        <v>1981</v>
      </c>
      <c r="Q608" s="15" t="str" cm="1">
        <f t="array" ref="Q6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8" s="15" t="str" cm="1">
        <f t="array" ref="R6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canciones/cesareo_gabarain/quiero_llamar_hermanos_a_todos.html</v>
      </c>
      <c r="T608" s="1"/>
      <c r="U608" s="1"/>
      <c r="V608" s="32" t="s">
        <v>5108</v>
      </c>
      <c r="W6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href="canciones/cesareo_gabarain/quiero_llamar_hermanos_a_todos.html"&gt;Quiero llamar hermanos a todos&lt;/a&gt;&lt;/li&gt;</v>
      </c>
      <c r="X608" s="15" t="str">
        <f>_xlfn.TEXTBEFORE(_xlfn.TEXTAFTER(CantoralDB[[#This Row],[index.html]],"&gt;"),"&gt;")&amp;"&gt;"</f>
        <v>&lt;a href="canciones/cesareo_gabarain/quiero_llamar_hermanos_a_todos.html"&gt;</v>
      </c>
      <c r="Y608"/>
      <c r="Z608" s="1"/>
      <c r="AA608" s="1"/>
      <c r="AB608" s="1"/>
      <c r="AC608" s="1"/>
    </row>
    <row r="609" spans="1:29" x14ac:dyDescent="0.3">
      <c r="A609" s="1">
        <f>ROW(CantoralDB[[#This Row],[Título]])-1</f>
        <v>608</v>
      </c>
      <c r="B609" s="1" t="s">
        <v>5078</v>
      </c>
      <c r="C609" s="1"/>
      <c r="J609" s="1"/>
      <c r="M609" s="15" t="s">
        <v>482</v>
      </c>
      <c r="N609" s="1" t="s">
        <v>5070</v>
      </c>
      <c r="O609" s="15">
        <v>9</v>
      </c>
      <c r="P609" s="15">
        <v>1981</v>
      </c>
      <c r="Q609" s="15" t="str" cm="1">
        <f t="array" ref="Q6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09" s="15" t="str" cm="1">
        <f t="array" ref="R6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canciones/cesareo_gabarain/hermano_lobo.html</v>
      </c>
      <c r="T609" s="1"/>
      <c r="U609" s="1"/>
      <c r="V609" s="32" t="s">
        <v>5109</v>
      </c>
      <c r="W6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href="canciones/cesareo_gabarain/hermano_lobo.html"&gt;Hermano lobo&lt;/a&gt;&lt;/li&gt;</v>
      </c>
      <c r="X609" s="15" t="str">
        <f>_xlfn.TEXTBEFORE(_xlfn.TEXTAFTER(CantoralDB[[#This Row],[index.html]],"&gt;"),"&gt;")&amp;"&gt;"</f>
        <v>&lt;a href="canciones/cesareo_gabarain/hermano_lobo.html"&gt;</v>
      </c>
      <c r="Y609"/>
      <c r="Z609" s="1"/>
      <c r="AA609" s="1"/>
      <c r="AB609" s="1"/>
      <c r="AC609" s="1"/>
    </row>
    <row r="610" spans="1:29" x14ac:dyDescent="0.3">
      <c r="A610" s="1">
        <f>ROW(CantoralDB[[#This Row],[Título]])-1</f>
        <v>609</v>
      </c>
      <c r="B610" s="1" t="s">
        <v>5079</v>
      </c>
      <c r="C610" s="1"/>
      <c r="J610" s="1"/>
      <c r="M610" s="15" t="s">
        <v>482</v>
      </c>
      <c r="N610" s="1" t="s">
        <v>5070</v>
      </c>
      <c r="O610" s="15">
        <v>10</v>
      </c>
      <c r="P610" s="15">
        <v>1981</v>
      </c>
      <c r="Q610" s="15" t="str" cm="1">
        <f t="array" ref="Q6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0" s="15" t="str" cm="1">
        <f t="array" ref="R6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canciones/cesareo_gabarain/plegaria_a_nuestra_señora_de_los_angeles.html</v>
      </c>
      <c r="T610" s="1"/>
      <c r="U610" s="1"/>
      <c r="V610" s="32" t="s">
        <v>5110</v>
      </c>
      <c r="W6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href="canciones/cesareo_gabarain/plegaria_a_nuestra_señora_de_los_angeles.html"&gt;Plegaria a Nuestra Señora de los Ángeles&lt;/a&gt;&lt;/li&gt;</v>
      </c>
      <c r="X610" s="15" t="str">
        <f>_xlfn.TEXTBEFORE(_xlfn.TEXTAFTER(CantoralDB[[#This Row],[index.html]],"&gt;"),"&gt;")&amp;"&gt;"</f>
        <v>&lt;a href="canciones/cesareo_gabarain/plegaria_a_nuestra_señora_de_los_angeles.html"&gt;</v>
      </c>
      <c r="Y610"/>
      <c r="Z610" s="1"/>
      <c r="AA610" s="1"/>
      <c r="AB610" s="1"/>
      <c r="AC610" s="1"/>
    </row>
    <row r="611" spans="1:29" x14ac:dyDescent="0.3">
      <c r="A611" s="1">
        <f>ROW(CantoralDB[[#This Row],[Título]])-1</f>
        <v>610</v>
      </c>
      <c r="B611" s="1" t="s">
        <v>5080</v>
      </c>
      <c r="C611" s="1"/>
      <c r="J611" s="1"/>
      <c r="M611" s="15" t="s">
        <v>482</v>
      </c>
      <c r="N611" s="1" t="s">
        <v>5070</v>
      </c>
      <c r="O611" s="15">
        <v>11</v>
      </c>
      <c r="P611" s="15">
        <v>1981</v>
      </c>
      <c r="Q611" s="15" t="str" cm="1">
        <f t="array" ref="Q6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1" s="15" t="str" cm="1">
        <f t="array" ref="R6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canciones/cesareo_gabarain/hazme_señor_instrumento_de_tu_paz.html</v>
      </c>
      <c r="T611" s="1"/>
      <c r="U611" s="1"/>
      <c r="V611" s="32" t="s">
        <v>5111</v>
      </c>
      <c r="W6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href="canciones/cesareo_gabarain/hazme_señor_instrumento_de_tu_paz.html"&gt;Hazme, Señor, instrumento de tu paz&lt;/a&gt;&lt;/li&gt;</v>
      </c>
      <c r="X611" s="15" t="str">
        <f>_xlfn.TEXTBEFORE(_xlfn.TEXTAFTER(CantoralDB[[#This Row],[index.html]],"&gt;"),"&gt;")&amp;"&gt;"</f>
        <v>&lt;a href="canciones/cesareo_gabarain/hazme_señor_instrumento_de_tu_paz.html"&gt;</v>
      </c>
      <c r="Y611"/>
      <c r="Z611" s="1"/>
      <c r="AA611" s="1"/>
      <c r="AB611" s="1"/>
      <c r="AC611" s="1"/>
    </row>
    <row r="612" spans="1:29" x14ac:dyDescent="0.3">
      <c r="A612" s="1">
        <f>ROW(CantoralDB[[#This Row],[Título]])-1</f>
        <v>611</v>
      </c>
      <c r="B612" s="1" t="s">
        <v>5081</v>
      </c>
      <c r="C612" s="1"/>
      <c r="J612" s="1"/>
      <c r="M612" s="15" t="s">
        <v>482</v>
      </c>
      <c r="N612" s="1" t="s">
        <v>5070</v>
      </c>
      <c r="O612" s="15">
        <v>12</v>
      </c>
      <c r="P612" s="15">
        <v>1981</v>
      </c>
      <c r="Q612" s="15" t="str" cm="1">
        <f t="array" ref="Q6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2" s="15" t="str" cm="1">
        <f t="array" ref="R6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canciones/cesareo_gabarain/la_perfecta_alegria.html</v>
      </c>
      <c r="T612" s="1"/>
      <c r="U612" s="1"/>
      <c r="V612" s="32" t="s">
        <v>5112</v>
      </c>
      <c r="W6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href="canciones/cesareo_gabarain/la_perfecta_alegria.html"&gt;La perfecta alegría&lt;/a&gt;&lt;/li&gt;</v>
      </c>
      <c r="X612" s="15" t="str">
        <f>_xlfn.TEXTBEFORE(_xlfn.TEXTAFTER(CantoralDB[[#This Row],[index.html]],"&gt;"),"&gt;")&amp;"&gt;"</f>
        <v>&lt;a href="canciones/cesareo_gabarain/la_perfecta_alegria.html"&gt;</v>
      </c>
      <c r="Y612"/>
      <c r="Z612" s="1"/>
      <c r="AA612" s="1"/>
      <c r="AB612" s="1"/>
      <c r="AC612" s="1"/>
    </row>
    <row r="613" spans="1:29" x14ac:dyDescent="0.3">
      <c r="A613" s="1">
        <f>ROW(CantoralDB[[#This Row],[Título]])-1</f>
        <v>612</v>
      </c>
      <c r="B613" s="1" t="s">
        <v>5082</v>
      </c>
      <c r="C613" s="1"/>
      <c r="J613" s="1"/>
      <c r="M613" s="15" t="s">
        <v>482</v>
      </c>
      <c r="N613" s="1" t="s">
        <v>4600</v>
      </c>
      <c r="O613" s="15">
        <v>1</v>
      </c>
      <c r="P613" s="15">
        <v>1975</v>
      </c>
      <c r="Q613" s="15" t="str" cm="1">
        <f t="array" ref="Q6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3" s="15" t="str" cm="1">
        <f t="array" ref="R6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canciones/cesareo_gabarain/alaba_a_tu_señor.html</v>
      </c>
      <c r="T613" s="1"/>
      <c r="U613" s="1"/>
      <c r="V613" s="32" t="s">
        <v>5113</v>
      </c>
      <c r="W6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href="canciones/cesareo_gabarain/alaba_a_tu_señor.html"&gt;Alaba a tu Señor&lt;/a&gt;&lt;/li&gt;</v>
      </c>
      <c r="X613" s="15" t="str">
        <f>_xlfn.TEXTBEFORE(_xlfn.TEXTAFTER(CantoralDB[[#This Row],[index.html]],"&gt;"),"&gt;")&amp;"&gt;"</f>
        <v>&lt;a href="canciones/cesareo_gabarain/alaba_a_tu_señor.html"&gt;</v>
      </c>
      <c r="Y613"/>
      <c r="Z613" s="1"/>
      <c r="AA613" s="1"/>
      <c r="AB613" s="1"/>
      <c r="AC613" s="1"/>
    </row>
    <row r="614" spans="1:29" x14ac:dyDescent="0.3">
      <c r="A614" s="1">
        <f>ROW(CantoralDB[[#This Row],[Título]])-1</f>
        <v>613</v>
      </c>
      <c r="B614" s="1" t="s">
        <v>163</v>
      </c>
      <c r="C614" s="1" t="s">
        <v>190</v>
      </c>
      <c r="D614" s="1" t="s">
        <v>760</v>
      </c>
      <c r="E614" s="1">
        <v>278</v>
      </c>
      <c r="G614" s="1" t="s">
        <v>208</v>
      </c>
      <c r="H614" s="1" t="s">
        <v>529</v>
      </c>
      <c r="J614" s="1" t="s">
        <v>605</v>
      </c>
      <c r="M614" s="15" t="s">
        <v>482</v>
      </c>
      <c r="N614" s="1" t="s">
        <v>4600</v>
      </c>
      <c r="O614" s="15">
        <v>2</v>
      </c>
      <c r="P614" s="15">
        <v>1975</v>
      </c>
      <c r="Q614" s="15" t="str" cm="1">
        <f t="array" ref="Q6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4" s="15" t="str" cm="1">
        <f t="array" ref="R6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canciones/cesareo_gabarain/vienen_con_alegria.html</v>
      </c>
      <c r="T614" s="1"/>
      <c r="U614" s="1"/>
      <c r="V614" s="32" t="s">
        <v>4627</v>
      </c>
      <c r="W6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data-momento="Entrada" data-nnew="A43" data-nold="278"&gt;&lt;a href="canciones/cesareo_gabarain/vienen_con_alegria.html"&gt;Vienen con alegría&lt;/a&gt;&lt;/li&gt;</v>
      </c>
      <c r="X614" s="15" t="str">
        <f>_xlfn.TEXTBEFORE(_xlfn.TEXTAFTER(CantoralDB[[#This Row],[index.html]],"&gt;"),"&gt;")&amp;"&gt;"</f>
        <v>&lt;a href="canciones/cesareo_gabarain/vienen_con_alegria.html"&gt;</v>
      </c>
      <c r="Y614"/>
      <c r="Z614" s="1"/>
      <c r="AA614" s="1"/>
      <c r="AB614" s="1"/>
      <c r="AC614" s="1"/>
    </row>
    <row r="615" spans="1:29" x14ac:dyDescent="0.3">
      <c r="A615" s="1">
        <f>ROW(CantoralDB[[#This Row],[Título]])-1</f>
        <v>614</v>
      </c>
      <c r="B615" s="1" t="s">
        <v>1221</v>
      </c>
      <c r="C615" s="1"/>
      <c r="E615" s="1">
        <v>302</v>
      </c>
      <c r="H615" s="1" t="s">
        <v>1025</v>
      </c>
      <c r="J615" s="1" t="s">
        <v>605</v>
      </c>
      <c r="M615" s="15" t="s">
        <v>482</v>
      </c>
      <c r="N615" s="1" t="s">
        <v>4600</v>
      </c>
      <c r="O615" s="15">
        <v>3</v>
      </c>
      <c r="P615" s="15">
        <v>1975</v>
      </c>
      <c r="Q615" s="15" t="str" cm="1">
        <f t="array" ref="Q6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5" s="15" t="str" cm="1">
        <f t="array" ref="R6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canciones/cesareo_gabarain/cristo_te_necesita_para_amar.html</v>
      </c>
      <c r="T615" s="1"/>
      <c r="U615" s="1"/>
      <c r="V615" s="32" t="s">
        <v>4601</v>
      </c>
      <c r="W6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data-nold="302"&gt;&lt;a href="canciones/cesareo_gabarain/cristo_te_necesita_para_amar.html"&gt;Cristo te necesita para amar&lt;/a&gt;&lt;/li&gt;</v>
      </c>
      <c r="X615" s="15" t="str">
        <f>_xlfn.TEXTBEFORE(_xlfn.TEXTAFTER(CantoralDB[[#This Row],[index.html]],"&gt;"),"&gt;")&amp;"&gt;"</f>
        <v>&lt;a href="canciones/cesareo_gabarain/cristo_te_necesita_para_amar.html"&gt;</v>
      </c>
      <c r="Y615"/>
      <c r="Z615" s="1"/>
      <c r="AA615" s="1"/>
      <c r="AB615" s="1"/>
      <c r="AC615" s="1"/>
    </row>
    <row r="616" spans="1:29" x14ac:dyDescent="0.3">
      <c r="A616" s="1">
        <f>ROW(CantoralDB[[#This Row],[Título]])-1</f>
        <v>615</v>
      </c>
      <c r="B616" s="1" t="s">
        <v>5083</v>
      </c>
      <c r="C616" s="1"/>
      <c r="J616" s="1"/>
      <c r="M616" s="15" t="s">
        <v>482</v>
      </c>
      <c r="N616" s="1" t="s">
        <v>4600</v>
      </c>
      <c r="O616" s="15">
        <v>4</v>
      </c>
      <c r="P616" s="15">
        <v>1975</v>
      </c>
      <c r="Q616" s="15" t="str" cm="1">
        <f t="array" ref="Q6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6" s="15" t="str" cm="1">
        <f t="array" ref="R6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canciones/cesareo_gabarain/cantando_la_alegria.html</v>
      </c>
      <c r="T616" s="1"/>
      <c r="U616" s="1"/>
      <c r="V616" s="32" t="s">
        <v>5114</v>
      </c>
      <c r="W6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href="canciones/cesareo_gabarain/cantando_la_alegria.html"&gt;Cantando la alegría&lt;/a&gt;&lt;/li&gt;</v>
      </c>
      <c r="X616" s="15" t="str">
        <f>_xlfn.TEXTBEFORE(_xlfn.TEXTAFTER(CantoralDB[[#This Row],[index.html]],"&gt;"),"&gt;")&amp;"&gt;"</f>
        <v>&lt;a href="canciones/cesareo_gabarain/cantando_la_alegria.html"&gt;</v>
      </c>
      <c r="Y616"/>
      <c r="Z616" s="1"/>
      <c r="AA616" s="1"/>
      <c r="AB616" s="1"/>
      <c r="AC616" s="1"/>
    </row>
    <row r="617" spans="1:29" x14ac:dyDescent="0.3">
      <c r="A617" s="1">
        <f>ROW(CantoralDB[[#This Row],[Título]])-1</f>
        <v>616</v>
      </c>
      <c r="B617" s="1" t="s">
        <v>5084</v>
      </c>
      <c r="C617" s="1"/>
      <c r="J617" s="1"/>
      <c r="M617" s="15" t="s">
        <v>482</v>
      </c>
      <c r="N617" s="1" t="s">
        <v>4600</v>
      </c>
      <c r="O617" s="15">
        <v>5</v>
      </c>
      <c r="P617" s="15">
        <v>1975</v>
      </c>
      <c r="Q617" s="15" t="str" cm="1">
        <f t="array" ref="Q6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7" s="15" t="str" cm="1">
        <f t="array" ref="R6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canciones/cesareo_gabarain/dios_confio_en_el.html</v>
      </c>
      <c r="T617" s="1"/>
      <c r="U617" s="1"/>
      <c r="V617" s="32" t="s">
        <v>5115</v>
      </c>
      <c r="W6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href="canciones/cesareo_gabarain/dios_confio_en_el.html"&gt;Dios confió en Él&lt;/a&gt;&lt;/li&gt;</v>
      </c>
      <c r="X617" s="15" t="str">
        <f>_xlfn.TEXTBEFORE(_xlfn.TEXTAFTER(CantoralDB[[#This Row],[index.html]],"&gt;"),"&gt;")&amp;"&gt;"</f>
        <v>&lt;a href="canciones/cesareo_gabarain/dios_confio_en_el.html"&gt;</v>
      </c>
      <c r="Y617"/>
      <c r="Z617" s="1"/>
      <c r="AA617" s="1"/>
      <c r="AB617" s="1"/>
      <c r="AC617" s="1"/>
    </row>
    <row r="618" spans="1:29" x14ac:dyDescent="0.3">
      <c r="A618" s="1">
        <f>ROW(CantoralDB[[#This Row],[Título]])-1</f>
        <v>617</v>
      </c>
      <c r="B618" s="1" t="s">
        <v>1353</v>
      </c>
      <c r="C618" s="1"/>
      <c r="E618" s="1">
        <v>311</v>
      </c>
      <c r="H618" s="1" t="s">
        <v>1024</v>
      </c>
      <c r="J618" s="1" t="s">
        <v>605</v>
      </c>
      <c r="M618" s="15" t="s">
        <v>482</v>
      </c>
      <c r="N618" s="1" t="s">
        <v>4600</v>
      </c>
      <c r="O618" s="15">
        <v>6</v>
      </c>
      <c r="P618" s="15">
        <v>1975</v>
      </c>
      <c r="Q618" s="15" t="str" cm="1">
        <f t="array" ref="Q6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8" s="15" t="str" cm="1">
        <f t="array" ref="R6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canciones/cesareo_gabarain/yo_tengo_un_amigo_que_me_ama.html</v>
      </c>
      <c r="T618" s="1"/>
      <c r="U618" s="1"/>
      <c r="V618" s="32" t="s">
        <v>4631</v>
      </c>
      <c r="W6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data-nold="311"&gt;&lt;a href="canciones/cesareo_gabarain/yo_tengo_un_amigo_que_me_ama.html"&gt;Yo tengo un amigo que me ama&lt;/a&gt;&lt;/li&gt;</v>
      </c>
      <c r="X618" s="15" t="str">
        <f>_xlfn.TEXTBEFORE(_xlfn.TEXTAFTER(CantoralDB[[#This Row],[index.html]],"&gt;"),"&gt;")&amp;"&gt;"</f>
        <v>&lt;a href="canciones/cesareo_gabarain/yo_tengo_un_amigo_que_me_ama.html"&gt;</v>
      </c>
      <c r="Y618"/>
      <c r="Z618" s="1"/>
      <c r="AA618" s="1"/>
      <c r="AB618" s="1"/>
      <c r="AC618" s="1"/>
    </row>
    <row r="619" spans="1:29" x14ac:dyDescent="0.3">
      <c r="A619" s="1">
        <f>ROW(CantoralDB[[#This Row],[Título]])-1</f>
        <v>618</v>
      </c>
      <c r="B619" s="1" t="s">
        <v>5085</v>
      </c>
      <c r="C619" s="1"/>
      <c r="J619" s="1"/>
      <c r="M619" s="15" t="s">
        <v>482</v>
      </c>
      <c r="N619" s="1" t="s">
        <v>4600</v>
      </c>
      <c r="O619" s="15">
        <v>7</v>
      </c>
      <c r="P619" s="15">
        <v>1975</v>
      </c>
      <c r="Q619" s="15" t="str" cm="1">
        <f t="array" ref="Q6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19" s="15" t="str" cm="1">
        <f t="array" ref="R6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canciones/cesareo_gabarain/busca_una_esperanza.html</v>
      </c>
      <c r="T619" s="1"/>
      <c r="U619" s="1"/>
      <c r="V619" s="32" t="s">
        <v>5116</v>
      </c>
      <c r="W6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href="canciones/cesareo_gabarain/busca_una_esperanza.html"&gt;Busca una esperanza&lt;/a&gt;&lt;/li&gt;</v>
      </c>
      <c r="X619" s="15" t="str">
        <f>_xlfn.TEXTBEFORE(_xlfn.TEXTAFTER(CantoralDB[[#This Row],[index.html]],"&gt;"),"&gt;")&amp;"&gt;"</f>
        <v>&lt;a href="canciones/cesareo_gabarain/busca_una_esperanza.html"&gt;</v>
      </c>
      <c r="Y619"/>
      <c r="Z619" s="1"/>
      <c r="AA619" s="1"/>
      <c r="AB619" s="1"/>
      <c r="AC619" s="1"/>
    </row>
    <row r="620" spans="1:29" x14ac:dyDescent="0.3">
      <c r="A620" s="1">
        <f>ROW(CantoralDB[[#This Row],[Título]])-1</f>
        <v>619</v>
      </c>
      <c r="B620" s="1" t="s">
        <v>1864</v>
      </c>
      <c r="C620" s="1"/>
      <c r="J620" s="1"/>
      <c r="M620" s="15" t="s">
        <v>482</v>
      </c>
      <c r="N620" s="1" t="s">
        <v>4600</v>
      </c>
      <c r="O620" s="15">
        <v>8</v>
      </c>
      <c r="P620" s="15">
        <v>1975</v>
      </c>
      <c r="Q620" s="15" t="str" cm="1">
        <f t="array" ref="Q6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0" s="15" t="str" cm="1">
        <f t="array" ref="R6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canciones/cesareo_gabarain/cada_mañana.html</v>
      </c>
      <c r="T620" s="1"/>
      <c r="U620" s="1"/>
      <c r="V620" s="32" t="s">
        <v>5117</v>
      </c>
      <c r="W6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href="canciones/cesareo_gabarain/cada_mañana.html"&gt;Cada mañana&lt;/a&gt;&lt;/li&gt;</v>
      </c>
      <c r="X620" s="15" t="str">
        <f>_xlfn.TEXTBEFORE(_xlfn.TEXTAFTER(CantoralDB[[#This Row],[index.html]],"&gt;"),"&gt;")&amp;"&gt;"</f>
        <v>&lt;a href="canciones/cesareo_gabarain/cada_mañana.html"&gt;</v>
      </c>
      <c r="Y620"/>
      <c r="Z620" s="1"/>
      <c r="AA620" s="1"/>
      <c r="AB620" s="1"/>
      <c r="AC620" s="1"/>
    </row>
    <row r="621" spans="1:29" x14ac:dyDescent="0.3">
      <c r="A621" s="1">
        <f>ROW(CantoralDB[[#This Row],[Título]])-1</f>
        <v>620</v>
      </c>
      <c r="B621" s="1" t="s">
        <v>5086</v>
      </c>
      <c r="C621" s="1"/>
      <c r="J621" s="1"/>
      <c r="M621" s="15" t="s">
        <v>482</v>
      </c>
      <c r="N621" s="1" t="s">
        <v>4600</v>
      </c>
      <c r="O621" s="15">
        <v>9</v>
      </c>
      <c r="P621" s="15">
        <v>1975</v>
      </c>
      <c r="Q621" s="15" t="str" cm="1">
        <f t="array" ref="Q6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1" s="15" t="str" cm="1">
        <f t="array" ref="R6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canciones/cesareo_gabarain/dios_y_el_hombre.html</v>
      </c>
      <c r="T621" s="1"/>
      <c r="U621" s="1"/>
      <c r="V621" s="32" t="s">
        <v>5118</v>
      </c>
      <c r="W6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href="canciones/cesareo_gabarain/dios_y_el_hombre.html"&gt;Dios y el hombre&lt;/a&gt;&lt;/li&gt;</v>
      </c>
      <c r="X621" s="15" t="str">
        <f>_xlfn.TEXTBEFORE(_xlfn.TEXTAFTER(CantoralDB[[#This Row],[index.html]],"&gt;"),"&gt;")&amp;"&gt;"</f>
        <v>&lt;a href="canciones/cesareo_gabarain/dios_y_el_hombre.html"&gt;</v>
      </c>
      <c r="Y621"/>
      <c r="Z621" s="1"/>
      <c r="AA621" s="1"/>
      <c r="AB621" s="1"/>
      <c r="AC621" s="1"/>
    </row>
    <row r="622" spans="1:29" x14ac:dyDescent="0.3">
      <c r="A622" s="1">
        <f>ROW(CantoralDB[[#This Row],[Título]])-1</f>
        <v>621</v>
      </c>
      <c r="B622" s="1" t="s">
        <v>5087</v>
      </c>
      <c r="C622" s="1"/>
      <c r="J622" s="1"/>
      <c r="M622" s="15" t="s">
        <v>482</v>
      </c>
      <c r="N622" s="1" t="s">
        <v>4600</v>
      </c>
      <c r="O622" s="15">
        <v>10</v>
      </c>
      <c r="P622" s="15">
        <v>1975</v>
      </c>
      <c r="Q622" s="15" t="str" cm="1">
        <f t="array" ref="Q6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2" s="15" t="str" cm="1">
        <f t="array" ref="R6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canciones/cesareo_gabarain/el_viñador.html</v>
      </c>
      <c r="T622" s="1"/>
      <c r="U622" s="1"/>
      <c r="V622" s="32" t="s">
        <v>5119</v>
      </c>
      <c r="W6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href="canciones/cesareo_gabarain/el_viñador.html"&gt;El viñador&lt;/a&gt;&lt;/li&gt;</v>
      </c>
      <c r="X622" s="15" t="str">
        <f>_xlfn.TEXTBEFORE(_xlfn.TEXTAFTER(CantoralDB[[#This Row],[index.html]],"&gt;"),"&gt;")&amp;"&gt;"</f>
        <v>&lt;a href="canciones/cesareo_gabarain/el_viñador.html"&gt;</v>
      </c>
      <c r="Y622"/>
      <c r="Z622" s="1"/>
      <c r="AA622" s="1"/>
      <c r="AB622" s="1"/>
      <c r="AC622" s="1"/>
    </row>
    <row r="623" spans="1:29" x14ac:dyDescent="0.3">
      <c r="A623" s="1">
        <f>ROW(CantoralDB[[#This Row],[Título]])-1</f>
        <v>622</v>
      </c>
      <c r="B623" s="1" t="s">
        <v>5088</v>
      </c>
      <c r="C623" s="1"/>
      <c r="J623" s="1"/>
      <c r="M623" s="15" t="s">
        <v>482</v>
      </c>
      <c r="N623" s="1" t="s">
        <v>4595</v>
      </c>
      <c r="O623" s="15">
        <v>1</v>
      </c>
      <c r="P623" s="15">
        <v>1980</v>
      </c>
      <c r="Q623" s="15" t="str" cm="1">
        <f t="array" ref="Q6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3" s="15" t="str" cm="1">
        <f t="array" ref="R6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canciones/cesareo_gabarain/quiero_buscar.html</v>
      </c>
      <c r="T623" s="1"/>
      <c r="U623" s="1"/>
      <c r="V623" s="32" t="s">
        <v>5120</v>
      </c>
      <c r="W6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href="canciones/cesareo_gabarain/quiero_buscar.html"&gt;Quiero buscar&lt;/a&gt;&lt;/li&gt;</v>
      </c>
      <c r="X623" s="15" t="str">
        <f>_xlfn.TEXTBEFORE(_xlfn.TEXTAFTER(CantoralDB[[#This Row],[index.html]],"&gt;"),"&gt;")&amp;"&gt;"</f>
        <v>&lt;a href="canciones/cesareo_gabarain/quiero_buscar.html"&gt;</v>
      </c>
      <c r="Y623"/>
      <c r="Z623" s="1"/>
      <c r="AA623" s="1"/>
      <c r="AB623" s="1"/>
      <c r="AC623" s="1"/>
    </row>
    <row r="624" spans="1:29" x14ac:dyDescent="0.3">
      <c r="A624" s="1">
        <f>ROW(CantoralDB[[#This Row],[Título]])-1</f>
        <v>623</v>
      </c>
      <c r="B624" s="1" t="s">
        <v>28</v>
      </c>
      <c r="C624" s="1" t="s">
        <v>190</v>
      </c>
      <c r="D624" s="1" t="s">
        <v>727</v>
      </c>
      <c r="E624" s="1">
        <v>38</v>
      </c>
      <c r="G624" s="1" t="s">
        <v>208</v>
      </c>
      <c r="H624" s="1" t="s">
        <v>1024</v>
      </c>
      <c r="J624" s="1" t="s">
        <v>605</v>
      </c>
      <c r="M624" s="15" t="s">
        <v>482</v>
      </c>
      <c r="N624" s="1" t="s">
        <v>4595</v>
      </c>
      <c r="O624" s="15">
        <v>2</v>
      </c>
      <c r="P624" s="15">
        <v>1980</v>
      </c>
      <c r="Q624" s="15" t="str" cm="1">
        <f t="array" ref="Q6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4" s="15" t="str" cm="1">
        <f t="array" ref="R6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canciones/cesareo_gabarain/caminando_voy.html</v>
      </c>
      <c r="T624" s="1"/>
      <c r="U624" s="1"/>
      <c r="V624" s="32" t="s">
        <v>4599</v>
      </c>
      <c r="W6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data-momento="Entrada" data-nnew="A10" data-nold="38"&gt;&lt;a href="canciones/cesareo_gabarain/caminando_voy.html"&gt;Caminando voy&lt;/a&gt;&lt;/li&gt;</v>
      </c>
      <c r="X624" s="15" t="str">
        <f>_xlfn.TEXTBEFORE(_xlfn.TEXTAFTER(CantoralDB[[#This Row],[index.html]],"&gt;"),"&gt;")&amp;"&gt;"</f>
        <v>&lt;a href="canciones/cesareo_gabarain/caminando_voy.html"&gt;</v>
      </c>
      <c r="Y624"/>
      <c r="Z624" s="1"/>
      <c r="AA624" s="1"/>
      <c r="AB624" s="1"/>
      <c r="AC624" s="1"/>
    </row>
    <row r="625" spans="1:29" x14ac:dyDescent="0.3">
      <c r="A625" s="1">
        <f>ROW(CantoralDB[[#This Row],[Título]])-1</f>
        <v>624</v>
      </c>
      <c r="B625" s="1" t="s">
        <v>5089</v>
      </c>
      <c r="C625" s="1"/>
      <c r="J625" s="1"/>
      <c r="M625" s="15" t="s">
        <v>482</v>
      </c>
      <c r="N625" s="1" t="s">
        <v>4595</v>
      </c>
      <c r="O625" s="15">
        <v>3</v>
      </c>
      <c r="P625" s="15">
        <v>1980</v>
      </c>
      <c r="Q625" s="15" t="str" cm="1">
        <f t="array" ref="Q6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5" s="15" t="str" cm="1">
        <f t="array" ref="R6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canciones/cesareo_gabarain/la_fuerza_escondida.html</v>
      </c>
      <c r="T625" s="1"/>
      <c r="U625" s="1"/>
      <c r="V625" s="32" t="s">
        <v>5121</v>
      </c>
      <c r="W6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href="canciones/cesareo_gabarain/la_fuerza_escondida.html"&gt;La fuerza escondida&lt;/a&gt;&lt;/li&gt;</v>
      </c>
      <c r="X625" s="15" t="str">
        <f>_xlfn.TEXTBEFORE(_xlfn.TEXTAFTER(CantoralDB[[#This Row],[index.html]],"&gt;"),"&gt;")&amp;"&gt;"</f>
        <v>&lt;a href="canciones/cesareo_gabarain/la_fuerza_escondida.html"&gt;</v>
      </c>
      <c r="Y625"/>
      <c r="Z625" s="1"/>
      <c r="AA625" s="1"/>
      <c r="AB625" s="1"/>
      <c r="AC625" s="1"/>
    </row>
    <row r="626" spans="1:29" x14ac:dyDescent="0.3">
      <c r="A626" s="1">
        <f>ROW(CantoralDB[[#This Row],[Título]])-1</f>
        <v>625</v>
      </c>
      <c r="B626" s="1" t="s">
        <v>62</v>
      </c>
      <c r="C626" s="1" t="s">
        <v>990</v>
      </c>
      <c r="D626" s="1" t="s">
        <v>702</v>
      </c>
      <c r="E626" s="1">
        <v>106</v>
      </c>
      <c r="G626" s="1" t="s">
        <v>208</v>
      </c>
      <c r="H626" s="1" t="s">
        <v>472</v>
      </c>
      <c r="I626" s="1" t="s">
        <v>2948</v>
      </c>
      <c r="J626" s="1" t="s">
        <v>605</v>
      </c>
      <c r="M626" s="15" t="s">
        <v>482</v>
      </c>
      <c r="N626" s="1" t="s">
        <v>4595</v>
      </c>
      <c r="O626" s="15">
        <v>4</v>
      </c>
      <c r="P626" s="15">
        <v>1980</v>
      </c>
      <c r="Q626" s="15" t="str" cm="1">
        <f t="array" ref="Q6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6" s="15" t="str" cm="1">
        <f t="array" ref="R6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canciones/cesareo_gabarain/eres_mi_riqueza.html</v>
      </c>
      <c r="T626" s="1" t="s">
        <v>830</v>
      </c>
      <c r="U626" s="1"/>
      <c r="V626" s="32" t="s">
        <v>4609</v>
      </c>
      <c r="W6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data-nnew="K32" data-nold="106"&gt;&lt;a href="canciones/cesareo_gabarain/eres_mi_riqueza.html"&gt;Eres mi riqueza&lt;/a&gt;&lt;/li&gt;</v>
      </c>
      <c r="X626" s="15" t="str">
        <f>_xlfn.TEXTBEFORE(_xlfn.TEXTAFTER(CantoralDB[[#This Row],[index.html]],"&gt;"),"&gt;")&amp;"&gt;"</f>
        <v>&lt;a href="canciones/cesareo_gabarain/eres_mi_riqueza.html"&gt;</v>
      </c>
      <c r="Y626"/>
      <c r="Z626" s="1"/>
      <c r="AA626" s="1"/>
      <c r="AB626" s="1"/>
      <c r="AC626" s="1"/>
    </row>
    <row r="627" spans="1:29" x14ac:dyDescent="0.3">
      <c r="A627" s="1">
        <f>ROW(CantoralDB[[#This Row],[Título]])-1</f>
        <v>626</v>
      </c>
      <c r="B627" s="1" t="s">
        <v>5090</v>
      </c>
      <c r="C627" s="1"/>
      <c r="J627" s="1"/>
      <c r="M627" s="15" t="s">
        <v>482</v>
      </c>
      <c r="N627" s="1" t="s">
        <v>4595</v>
      </c>
      <c r="O627" s="15">
        <v>5</v>
      </c>
      <c r="P627" s="15">
        <v>1980</v>
      </c>
      <c r="Q627" s="15" t="str" cm="1">
        <f t="array" ref="Q6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7" s="15" t="str" cm="1">
        <f t="array" ref="R6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canciones/cesareo_gabarain/muerte_y_vida.html</v>
      </c>
      <c r="T627" s="1"/>
      <c r="U627" s="1"/>
      <c r="V627" s="32" t="s">
        <v>5122</v>
      </c>
      <c r="W6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href="canciones/cesareo_gabarain/muerte_y_vida.html"&gt;Muerte y vida&lt;/a&gt;&lt;/li&gt;</v>
      </c>
      <c r="X627" s="15" t="str">
        <f>_xlfn.TEXTBEFORE(_xlfn.TEXTAFTER(CantoralDB[[#This Row],[index.html]],"&gt;"),"&gt;")&amp;"&gt;"</f>
        <v>&lt;a href="canciones/cesareo_gabarain/muerte_y_vida.html"&gt;</v>
      </c>
      <c r="Y627"/>
      <c r="Z627" s="1"/>
      <c r="AA627" s="1"/>
      <c r="AB627" s="1"/>
      <c r="AC627" s="1"/>
    </row>
    <row r="628" spans="1:29" x14ac:dyDescent="0.3">
      <c r="A628" s="1">
        <f>ROW(CantoralDB[[#This Row],[Título]])-1</f>
        <v>627</v>
      </c>
      <c r="B628" s="1" t="s">
        <v>79</v>
      </c>
      <c r="C628" s="1" t="s">
        <v>990</v>
      </c>
      <c r="D628" s="1" t="s">
        <v>710</v>
      </c>
      <c r="E628" s="1">
        <v>142</v>
      </c>
      <c r="G628" s="1" t="s">
        <v>208</v>
      </c>
      <c r="H628" s="1" t="s">
        <v>529</v>
      </c>
      <c r="I628" s="1" t="s">
        <v>2945</v>
      </c>
      <c r="J628" s="1" t="s">
        <v>605</v>
      </c>
      <c r="M628" s="15" t="s">
        <v>482</v>
      </c>
      <c r="N628" s="1" t="s">
        <v>4595</v>
      </c>
      <c r="O628" s="15">
        <v>6</v>
      </c>
      <c r="P628" s="15">
        <v>1980</v>
      </c>
      <c r="Q628" s="15" t="str" cm="1">
        <f t="array" ref="Q6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8" s="15" t="str" cm="1">
        <f t="array" ref="R6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canciones/cesareo_gabarain/iglesia_soy.html</v>
      </c>
      <c r="T628" s="1"/>
      <c r="U628" s="1"/>
      <c r="V628" s="32" t="s">
        <v>4611</v>
      </c>
      <c r="W6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data-nnew="K40" data-nold="142"&gt;&lt;a href="canciones/cesareo_gabarain/iglesia_soy.html"&gt;Iglesia soy&lt;/a&gt;&lt;/li&gt;</v>
      </c>
      <c r="X628" s="15" t="str">
        <f>_xlfn.TEXTBEFORE(_xlfn.TEXTAFTER(CantoralDB[[#This Row],[index.html]],"&gt;"),"&gt;")&amp;"&gt;"</f>
        <v>&lt;a href="canciones/cesareo_gabarain/iglesia_soy.html"&gt;</v>
      </c>
      <c r="Y628"/>
      <c r="Z628" s="1"/>
      <c r="AA628" s="1"/>
      <c r="AB628" s="1"/>
      <c r="AC628" s="1"/>
    </row>
    <row r="629" spans="1:29" x14ac:dyDescent="0.3">
      <c r="A629" s="1">
        <f>ROW(CantoralDB[[#This Row],[Título]])-1</f>
        <v>628</v>
      </c>
      <c r="B629" s="1" t="s">
        <v>17</v>
      </c>
      <c r="C629" s="1" t="s">
        <v>193</v>
      </c>
      <c r="D629" s="1" t="s">
        <v>1374</v>
      </c>
      <c r="E629" s="1">
        <v>20</v>
      </c>
      <c r="G629" s="1" t="s">
        <v>208</v>
      </c>
      <c r="H629" s="1" t="s">
        <v>1027</v>
      </c>
      <c r="I629" s="1" t="s">
        <v>2948</v>
      </c>
      <c r="J629" s="1" t="s">
        <v>605</v>
      </c>
      <c r="M629" s="15" t="s">
        <v>482</v>
      </c>
      <c r="N629" s="1" t="s">
        <v>4595</v>
      </c>
      <c r="O629" s="15">
        <v>7</v>
      </c>
      <c r="P629" s="15">
        <v>1980</v>
      </c>
      <c r="Q629" s="15" t="str" cm="1">
        <f t="array" ref="Q6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29" s="15" t="str" cm="1">
        <f t="array" ref="R6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canciones/cesareo_gabarain/aleluya_creo_en_ti_señor.html</v>
      </c>
      <c r="T629" s="1"/>
      <c r="U629" s="1"/>
      <c r="V629" s="32" t="s">
        <v>4596</v>
      </c>
      <c r="W6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data-momento="Aleluya" data-nnew="E06" data-nold="20"&gt;&lt;a href="canciones/cesareo_gabarain/aleluya_creo_en_ti_señor.html"&gt;Aleluya, creo en Ti, Señor&lt;/a&gt;&lt;/li&gt;</v>
      </c>
      <c r="X629" s="15" t="str">
        <f>_xlfn.TEXTBEFORE(_xlfn.TEXTAFTER(CantoralDB[[#This Row],[index.html]],"&gt;"),"&gt;")&amp;"&gt;"</f>
        <v>&lt;a href="canciones/cesareo_gabarain/aleluya_creo_en_ti_señor.html"&gt;</v>
      </c>
      <c r="Y629"/>
      <c r="Z629" s="1"/>
      <c r="AA629" s="1"/>
      <c r="AB629" s="1"/>
      <c r="AC629" s="1"/>
    </row>
    <row r="630" spans="1:29" x14ac:dyDescent="0.3">
      <c r="A630" s="1">
        <f>ROW(CantoralDB[[#This Row],[Título]])-1</f>
        <v>629</v>
      </c>
      <c r="B630" s="1" t="s">
        <v>1193</v>
      </c>
      <c r="C630" s="1"/>
      <c r="E630" s="1">
        <v>70</v>
      </c>
      <c r="H630" s="1" t="s">
        <v>1024</v>
      </c>
      <c r="J630" s="1" t="s">
        <v>605</v>
      </c>
      <c r="M630" s="15" t="s">
        <v>482</v>
      </c>
      <c r="N630" s="1" t="s">
        <v>4595</v>
      </c>
      <c r="O630" s="15">
        <v>8</v>
      </c>
      <c r="P630" s="15">
        <v>1980</v>
      </c>
      <c r="Q630" s="15" t="str" cm="1">
        <f t="array" ref="Q6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0" s="15" t="str" cm="1">
        <f t="array" ref="R6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canciones/cesareo_gabarain/cuando_rezamos_cuando_cantamos.html</v>
      </c>
      <c r="T630" s="1"/>
      <c r="U630" s="1"/>
      <c r="V630" s="32" t="s">
        <v>4602</v>
      </c>
      <c r="W6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data-nold="70"&gt;&lt;a href="canciones/cesareo_gabarain/cuando_rezamos_cuando_cantamos.html"&gt;Cuando rezamos, cuando cantamos&lt;/a&gt;&lt;/li&gt;</v>
      </c>
      <c r="X630" s="15" t="str">
        <f>_xlfn.TEXTBEFORE(_xlfn.TEXTAFTER(CantoralDB[[#This Row],[index.html]],"&gt;"),"&gt;")&amp;"&gt;"</f>
        <v>&lt;a href="canciones/cesareo_gabarain/cuando_rezamos_cuando_cantamos.html"&gt;</v>
      </c>
      <c r="Y630"/>
      <c r="Z630" s="1"/>
      <c r="AA630" s="1"/>
      <c r="AB630" s="1"/>
      <c r="AC630" s="1"/>
    </row>
    <row r="631" spans="1:29" x14ac:dyDescent="0.3">
      <c r="A631" s="1">
        <f>ROW(CantoralDB[[#This Row],[Título]])-1</f>
        <v>630</v>
      </c>
      <c r="B631" s="1" t="s">
        <v>5091</v>
      </c>
      <c r="C631" s="1"/>
      <c r="J631" s="1"/>
      <c r="M631" s="15" t="s">
        <v>482</v>
      </c>
      <c r="N631" s="1" t="s">
        <v>4595</v>
      </c>
      <c r="O631" s="15">
        <v>9</v>
      </c>
      <c r="P631" s="15">
        <v>1980</v>
      </c>
      <c r="Q631" s="15" t="str" cm="1">
        <f t="array" ref="Q6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1" s="15" t="str" cm="1">
        <f t="array" ref="R6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canciones/cesareo_gabarain/quiero_decirte_que_si.html</v>
      </c>
      <c r="T631" s="1"/>
      <c r="U631" s="1"/>
      <c r="V631" s="32" t="s">
        <v>5123</v>
      </c>
      <c r="W6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href="canciones/cesareo_gabarain/quiero_decirte_que_si.html"&gt;Quiero decirte que sí&lt;/a&gt;&lt;/li&gt;</v>
      </c>
      <c r="X631" s="15" t="str">
        <f>_xlfn.TEXTBEFORE(_xlfn.TEXTAFTER(CantoralDB[[#This Row],[index.html]],"&gt;"),"&gt;")&amp;"&gt;"</f>
        <v>&lt;a href="canciones/cesareo_gabarain/quiero_decirte_que_si.html"&gt;</v>
      </c>
      <c r="Y631"/>
      <c r="Z631" s="1"/>
      <c r="AA631" s="1"/>
      <c r="AB631" s="1"/>
      <c r="AC631" s="1"/>
    </row>
    <row r="632" spans="1:29" x14ac:dyDescent="0.3">
      <c r="A632" s="1">
        <f>ROW(CantoralDB[[#This Row],[Título]])-1</f>
        <v>631</v>
      </c>
      <c r="B632" s="1" t="s">
        <v>1491</v>
      </c>
      <c r="C632" s="1"/>
      <c r="J632" s="1"/>
      <c r="M632" s="15" t="s">
        <v>482</v>
      </c>
      <c r="N632" s="1" t="s">
        <v>4595</v>
      </c>
      <c r="O632" s="15">
        <v>10</v>
      </c>
      <c r="P632" s="15">
        <v>1980</v>
      </c>
      <c r="Q632" s="15" t="str" cm="1">
        <f t="array" ref="Q6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2" s="15" t="str" cm="1">
        <f t="array" ref="R6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canciones/cesareo_gabarain/testigos.html</v>
      </c>
      <c r="T632" s="1"/>
      <c r="U632" s="1"/>
      <c r="V632" s="32" t="s">
        <v>5124</v>
      </c>
      <c r="W6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href="canciones/cesareo_gabarain/testigos.html"&gt;Testigos&lt;/a&gt;&lt;/li&gt;</v>
      </c>
      <c r="X632" s="15" t="str">
        <f>_xlfn.TEXTBEFORE(_xlfn.TEXTAFTER(CantoralDB[[#This Row],[index.html]],"&gt;"),"&gt;")&amp;"&gt;"</f>
        <v>&lt;a href="canciones/cesareo_gabarain/testigos.html"&gt;</v>
      </c>
      <c r="Y632"/>
      <c r="Z632" s="1"/>
      <c r="AA632" s="1"/>
      <c r="AB632" s="1"/>
      <c r="AC632" s="1"/>
    </row>
    <row r="633" spans="1:29" x14ac:dyDescent="0.3">
      <c r="A633" s="1">
        <f>ROW(CantoralDB[[#This Row],[Título]])-1</f>
        <v>632</v>
      </c>
      <c r="B633" s="1" t="s">
        <v>2887</v>
      </c>
      <c r="C633" s="1"/>
      <c r="E633" s="1">
        <v>306</v>
      </c>
      <c r="H633" s="1" t="s">
        <v>1024</v>
      </c>
      <c r="J633" s="1" t="s">
        <v>605</v>
      </c>
      <c r="M633" s="15" t="s">
        <v>482</v>
      </c>
      <c r="N633" s="1" t="s">
        <v>3009</v>
      </c>
      <c r="O633" s="15">
        <v>1</v>
      </c>
      <c r="P633" s="15">
        <v>1984</v>
      </c>
      <c r="Q633" s="15" t="str" cm="1">
        <f t="array" ref="Q6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3" s="15" t="str" cm="1">
        <f t="array" ref="R6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canciones/cesareo_gabarain/la_misa_es_una_fiesta_muy_alegre.html</v>
      </c>
      <c r="T633" s="1"/>
      <c r="U633" s="1"/>
      <c r="V633" s="32" t="s">
        <v>4613</v>
      </c>
      <c r="W6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data-nold="306"&gt;&lt;a href="canciones/cesareo_gabarain/la_misa_es_una_fiesta_muy_alegre.html"&gt;La misa es una fiesta muy alegre&lt;/a&gt;&lt;/li&gt;</v>
      </c>
      <c r="X633" s="15" t="str">
        <f>_xlfn.TEXTBEFORE(_xlfn.TEXTAFTER(CantoralDB[[#This Row],[index.html]],"&gt;"),"&gt;")&amp;"&gt;"</f>
        <v>&lt;a href="canciones/cesareo_gabarain/la_misa_es_una_fiesta_muy_alegre.html"&gt;</v>
      </c>
      <c r="Y633"/>
      <c r="Z633" s="1"/>
      <c r="AA633" s="1"/>
      <c r="AB633" s="1"/>
      <c r="AC633" s="1"/>
    </row>
    <row r="634" spans="1:29" x14ac:dyDescent="0.3">
      <c r="A634" s="1">
        <f>ROW(CantoralDB[[#This Row],[Título]])-1</f>
        <v>633</v>
      </c>
      <c r="B634" s="1" t="s">
        <v>2889</v>
      </c>
      <c r="C634" s="1"/>
      <c r="E634" s="1">
        <v>312</v>
      </c>
      <c r="H634" s="1" t="s">
        <v>1024</v>
      </c>
      <c r="J634" s="1" t="s">
        <v>605</v>
      </c>
      <c r="M634" s="15" t="s">
        <v>482</v>
      </c>
      <c r="N634" s="1" t="s">
        <v>3009</v>
      </c>
      <c r="O634" s="15">
        <v>2</v>
      </c>
      <c r="P634" s="15">
        <v>1984</v>
      </c>
      <c r="Q634" s="15" t="str" cm="1">
        <f t="array" ref="Q6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4" s="15" t="str" cm="1">
        <f t="array" ref="R6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canciones/cesareo_gabarain/tu_que_siempre_nos_perdonas.html</v>
      </c>
      <c r="T634" s="1"/>
      <c r="U634" s="1"/>
      <c r="V634" s="32" t="s">
        <v>4623</v>
      </c>
      <c r="W6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data-nold="312"&gt;&lt;a href="canciones/cesareo_gabarain/tu_que_siempre_nos_perdonas.html"&gt;Tú, que siempre nos perdonas&lt;/a&gt;&lt;/li&gt;</v>
      </c>
      <c r="X634" s="15" t="str">
        <f>_xlfn.TEXTBEFORE(_xlfn.TEXTAFTER(CantoralDB[[#This Row],[index.html]],"&gt;"),"&gt;")&amp;"&gt;"</f>
        <v>&lt;a href="canciones/cesareo_gabarain/tu_que_siempre_nos_perdonas.html"&gt;</v>
      </c>
      <c r="Y634"/>
      <c r="Z634" s="1"/>
      <c r="AA634" s="1"/>
      <c r="AB634" s="1"/>
      <c r="AC634" s="1"/>
    </row>
    <row r="635" spans="1:29" x14ac:dyDescent="0.3">
      <c r="A635" s="1">
        <f>ROW(CantoralDB[[#This Row],[Título]])-1</f>
        <v>634</v>
      </c>
      <c r="B635" s="1" t="s">
        <v>5043</v>
      </c>
      <c r="C635" s="1"/>
      <c r="H635" s="1" t="s">
        <v>529</v>
      </c>
      <c r="J635" s="1" t="s">
        <v>605</v>
      </c>
      <c r="M635" s="15" t="s">
        <v>482</v>
      </c>
      <c r="N635" s="1" t="s">
        <v>3009</v>
      </c>
      <c r="O635" s="15">
        <v>3</v>
      </c>
      <c r="P635" s="15">
        <v>1984</v>
      </c>
      <c r="Q635" s="15" t="str" cm="1">
        <f t="array" ref="Q6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5" s="15" t="str" cm="1">
        <f t="array" ref="R6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canciones/cesareo_gabarain/gloria_gloria.html</v>
      </c>
      <c r="T635" s="1"/>
      <c r="U635" s="1"/>
      <c r="V635" s="32" t="s">
        <v>5034</v>
      </c>
      <c r="W6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href="canciones/cesareo_gabarain/gloria_gloria.html"&gt;Gloria, gloria&lt;/a&gt;&lt;/li&gt;</v>
      </c>
      <c r="X635" s="15" t="str">
        <f>_xlfn.TEXTBEFORE(_xlfn.TEXTAFTER(CantoralDB[[#This Row],[index.html]],"&gt;"),"&gt;")&amp;"&gt;"</f>
        <v>&lt;a href="canciones/cesareo_gabarain/gloria_gloria.html"&gt;</v>
      </c>
      <c r="Y635"/>
      <c r="Z635" s="1"/>
      <c r="AA635" s="1"/>
      <c r="AB635" s="1"/>
      <c r="AC635" s="1"/>
    </row>
    <row r="636" spans="1:29" x14ac:dyDescent="0.3">
      <c r="A636" s="1">
        <f>ROW(CantoralDB[[#This Row],[Título]])-1</f>
        <v>635</v>
      </c>
      <c r="B636" s="1" t="s">
        <v>1242</v>
      </c>
      <c r="C636" s="1"/>
      <c r="E636" s="1">
        <v>105</v>
      </c>
      <c r="H636" s="1" t="s">
        <v>1024</v>
      </c>
      <c r="J636" s="1" t="s">
        <v>605</v>
      </c>
      <c r="M636" s="15" t="s">
        <v>482</v>
      </c>
      <c r="N636" s="1" t="s">
        <v>3009</v>
      </c>
      <c r="O636" s="15">
        <v>4</v>
      </c>
      <c r="P636" s="15">
        <v>1984</v>
      </c>
      <c r="Q636" s="15" t="str" cm="1">
        <f t="array" ref="Q6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6" s="15" t="str" cm="1">
        <f t="array" ref="R6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canciones/cesareo_gabarain/enseñame_señor_tus_caminos.html</v>
      </c>
      <c r="T636" s="1"/>
      <c r="U636" s="1"/>
      <c r="V636" s="32" t="s">
        <v>4632</v>
      </c>
      <c r="W6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data-nold="105"&gt;&lt;a href="canciones/cesareo_gabarain/enseñame_señor_tus_caminos.html"&gt;Enséñame, Señor, tus caminos&lt;/a&gt;&lt;/li&gt;</v>
      </c>
      <c r="X636" s="15" t="str">
        <f>_xlfn.TEXTBEFORE(_xlfn.TEXTAFTER(CantoralDB[[#This Row],[index.html]],"&gt;"),"&gt;")&amp;"&gt;"</f>
        <v>&lt;a href="canciones/cesareo_gabarain/enseñame_señor_tus_caminos.html"&gt;</v>
      </c>
      <c r="Y636"/>
      <c r="Z636" s="1"/>
      <c r="AA636" s="1"/>
      <c r="AB636" s="1"/>
      <c r="AC636" s="1"/>
    </row>
    <row r="637" spans="1:29" x14ac:dyDescent="0.3">
      <c r="A637" s="1">
        <f>ROW(CantoralDB[[#This Row],[Título]])-1</f>
        <v>636</v>
      </c>
      <c r="B637" s="1" t="s">
        <v>102</v>
      </c>
      <c r="C637" s="1" t="s">
        <v>200</v>
      </c>
      <c r="D637" s="1" t="s">
        <v>666</v>
      </c>
      <c r="E637" s="1">
        <v>193</v>
      </c>
      <c r="G637" s="1" t="s">
        <v>208</v>
      </c>
      <c r="H637" s="1" t="s">
        <v>1027</v>
      </c>
      <c r="J637" s="1" t="s">
        <v>605</v>
      </c>
      <c r="M637" s="15" t="s">
        <v>482</v>
      </c>
      <c r="N637" s="1" t="s">
        <v>3009</v>
      </c>
      <c r="O637" s="15">
        <v>5</v>
      </c>
      <c r="P637" s="15">
        <v>1984</v>
      </c>
      <c r="Q637" s="15" t="str" cm="1">
        <f t="array" ref="Q6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7" s="15" t="str" cm="1">
        <f t="array" ref="R6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canciones/cesareo_gabarain/ojala_escuchemos_hoy_su_voz.html</v>
      </c>
      <c r="T637" s="1"/>
      <c r="U637" s="1"/>
      <c r="V637" s="32" t="s">
        <v>4633</v>
      </c>
      <c r="W6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data-momento="Antífonas" data-nnew="D31" data-nold="193"&gt;&lt;a href="canciones/cesareo_gabarain/ojala_escuchemos_hoy_su_voz.html"&gt;Ojalá escuchemos hoy su voz&lt;/a&gt;&lt;/li&gt;</v>
      </c>
      <c r="X637" s="15" t="str">
        <f>_xlfn.TEXTBEFORE(_xlfn.TEXTAFTER(CantoralDB[[#This Row],[index.html]],"&gt;"),"&gt;")&amp;"&gt;"</f>
        <v>&lt;a href="canciones/cesareo_gabarain/ojala_escuchemos_hoy_su_voz.html"&gt;</v>
      </c>
      <c r="Y637"/>
      <c r="Z637" s="1"/>
      <c r="AA637" s="1"/>
      <c r="AB637" s="1"/>
      <c r="AC637" s="1"/>
    </row>
    <row r="638" spans="1:29" x14ac:dyDescent="0.3">
      <c r="A638" s="1">
        <f>ROW(CantoralDB[[#This Row],[Título]])-1</f>
        <v>637</v>
      </c>
      <c r="B638" s="1" t="s">
        <v>1259</v>
      </c>
      <c r="C638" s="1"/>
      <c r="E638" s="1">
        <v>133</v>
      </c>
      <c r="H638" s="1" t="s">
        <v>1025</v>
      </c>
      <c r="J638" s="1" t="s">
        <v>605</v>
      </c>
      <c r="M638" s="15" t="s">
        <v>482</v>
      </c>
      <c r="N638" s="1" t="s">
        <v>3009</v>
      </c>
      <c r="O638" s="15">
        <v>6</v>
      </c>
      <c r="P638" s="15">
        <v>1984</v>
      </c>
      <c r="Q638" s="15" t="str" cm="1">
        <f t="array" ref="Q6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8" s="15" t="str" cm="1">
        <f t="array" ref="R6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canciones/cesareo_gabarain/haz_señor.html</v>
      </c>
      <c r="T638" s="1"/>
      <c r="U638" s="1"/>
      <c r="V638" s="32" t="s">
        <v>4634</v>
      </c>
      <c r="W6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data-nold="133"&gt;&lt;a href="canciones/cesareo_gabarain/haz_señor.html"&gt;Haz, Señor&lt;/a&gt;&lt;/li&gt;</v>
      </c>
      <c r="X638" s="15" t="str">
        <f>_xlfn.TEXTBEFORE(_xlfn.TEXTAFTER(CantoralDB[[#This Row],[index.html]],"&gt;"),"&gt;")&amp;"&gt;"</f>
        <v>&lt;a href="canciones/cesareo_gabarain/haz_señor.html"&gt;</v>
      </c>
      <c r="Y638"/>
      <c r="Z638" s="1"/>
      <c r="AA638" s="1"/>
      <c r="AB638" s="1"/>
      <c r="AC638" s="1"/>
    </row>
    <row r="639" spans="1:29" x14ac:dyDescent="0.3">
      <c r="A639" s="1">
        <f>ROW(CantoralDB[[#This Row],[Título]])-1</f>
        <v>638</v>
      </c>
      <c r="B639" s="1" t="s">
        <v>5044</v>
      </c>
      <c r="C639" s="1"/>
      <c r="H639" s="1" t="s">
        <v>529</v>
      </c>
      <c r="J639" s="1" t="s">
        <v>605</v>
      </c>
      <c r="M639" s="15" t="s">
        <v>482</v>
      </c>
      <c r="N639" s="1" t="s">
        <v>3009</v>
      </c>
      <c r="O639" s="15">
        <v>7</v>
      </c>
      <c r="P639" s="15">
        <v>1984</v>
      </c>
      <c r="Q639" s="15" t="str" cm="1">
        <f t="array" ref="Q6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39" s="15" t="str" cm="1">
        <f t="array" ref="R6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canciones/cesareo_gabarain/creo_señor.html</v>
      </c>
      <c r="T639" s="1"/>
      <c r="U639" s="1"/>
      <c r="V639" s="32" t="s">
        <v>5035</v>
      </c>
      <c r="W6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href="canciones/cesareo_gabarain/creo_señor.html"&gt;Creo, Señor&lt;/a&gt;&lt;/li&gt;</v>
      </c>
      <c r="X639" s="15" t="str">
        <f>_xlfn.TEXTBEFORE(_xlfn.TEXTAFTER(CantoralDB[[#This Row],[index.html]],"&gt;"),"&gt;")&amp;"&gt;"</f>
        <v>&lt;a href="canciones/cesareo_gabarain/creo_señor.html"&gt;</v>
      </c>
      <c r="Y639"/>
      <c r="Z639" s="1"/>
      <c r="AA639" s="1"/>
      <c r="AB639" s="1"/>
      <c r="AC639" s="1"/>
    </row>
    <row r="640" spans="1:29" x14ac:dyDescent="0.3">
      <c r="A640" s="1">
        <f>ROW(CantoralDB[[#This Row],[Título]])-1</f>
        <v>639</v>
      </c>
      <c r="B640" s="1" t="s">
        <v>151</v>
      </c>
      <c r="C640" s="1" t="s">
        <v>194</v>
      </c>
      <c r="D640" s="1" t="s">
        <v>770</v>
      </c>
      <c r="E640" s="1">
        <v>468</v>
      </c>
      <c r="G640" s="1" t="s">
        <v>208</v>
      </c>
      <c r="H640" s="1" t="s">
        <v>472</v>
      </c>
      <c r="I640" s="1" t="s">
        <v>2948</v>
      </c>
      <c r="J640" s="1" t="s">
        <v>605</v>
      </c>
      <c r="M640" s="15" t="s">
        <v>482</v>
      </c>
      <c r="N640" s="1" t="s">
        <v>3009</v>
      </c>
      <c r="O640" s="15">
        <v>8</v>
      </c>
      <c r="P640" s="15">
        <v>1984</v>
      </c>
      <c r="Q640" s="15" t="str" cm="1">
        <f t="array" ref="Q6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0" s="15" t="str" cm="1">
        <f t="array" ref="R6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canciones/cesareo_gabarain/un_niño_se_te_acerco.html</v>
      </c>
      <c r="T640" s="1" t="s">
        <v>863</v>
      </c>
      <c r="U640" s="1"/>
      <c r="V640" s="32" t="s">
        <v>4624</v>
      </c>
      <c r="W6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data-momento="Ofertorio" data-nnew="F18" data-nold="468"&gt;&lt;a href="canciones/cesareo_gabarain/un_niño_se_te_acerco.html"&gt;Un niño se te acercó&lt;/a&gt;&lt;/li&gt;</v>
      </c>
      <c r="X640" s="15" t="str">
        <f>_xlfn.TEXTBEFORE(_xlfn.TEXTAFTER(CantoralDB[[#This Row],[index.html]],"&gt;"),"&gt;")&amp;"&gt;"</f>
        <v>&lt;a href="canciones/cesareo_gabarain/un_niño_se_te_acerco.html"&gt;</v>
      </c>
      <c r="Y640"/>
      <c r="Z640" s="1"/>
      <c r="AA640" s="1"/>
      <c r="AB640" s="1"/>
      <c r="AC640" s="1"/>
    </row>
    <row r="641" spans="1:29" x14ac:dyDescent="0.3">
      <c r="A641" s="1">
        <f>ROW(CantoralDB[[#This Row],[Título]])-1</f>
        <v>640</v>
      </c>
      <c r="B641" s="1" t="s">
        <v>5135</v>
      </c>
      <c r="C641" s="1"/>
      <c r="H641" s="1" t="s">
        <v>1026</v>
      </c>
      <c r="J641" s="1" t="s">
        <v>605</v>
      </c>
      <c r="M641" s="15" t="s">
        <v>482</v>
      </c>
      <c r="N641" s="1" t="s">
        <v>3009</v>
      </c>
      <c r="O641" s="15">
        <v>9</v>
      </c>
      <c r="P641" s="15">
        <v>1984</v>
      </c>
      <c r="Q641" s="15" t="str" cm="1">
        <f t="array" ref="Q6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1" s="15" t="str" cm="1">
        <f t="array" ref="R6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canciones/cesareo_gabarain/santo_(i).html</v>
      </c>
      <c r="T641" s="1"/>
      <c r="U641" s="1"/>
      <c r="V641" s="32" t="s">
        <v>5036</v>
      </c>
      <c r="W6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href="canciones/cesareo_gabarain/santo_(i).html"&gt;Santo (I)&lt;/a&gt;&lt;/li&gt;</v>
      </c>
      <c r="X641" s="15" t="str">
        <f>_xlfn.TEXTBEFORE(_xlfn.TEXTAFTER(CantoralDB[[#This Row],[index.html]],"&gt;"),"&gt;")&amp;"&gt;"</f>
        <v>&lt;a href="canciones/cesareo_gabarain/santo_(i).html"&gt;</v>
      </c>
      <c r="Y641"/>
      <c r="Z641" s="1"/>
      <c r="AA641" s="1"/>
      <c r="AB641" s="1"/>
      <c r="AC641" s="1"/>
    </row>
    <row r="642" spans="1:29" x14ac:dyDescent="0.3">
      <c r="A642" s="1">
        <f>ROW(CantoralDB[[#This Row],[Título]])-1</f>
        <v>641</v>
      </c>
      <c r="B642" s="1" t="s">
        <v>5045</v>
      </c>
      <c r="C642" s="1"/>
      <c r="H642" s="1" t="s">
        <v>529</v>
      </c>
      <c r="J642" s="1" t="s">
        <v>605</v>
      </c>
      <c r="M642" s="15" t="s">
        <v>482</v>
      </c>
      <c r="N642" s="1" t="s">
        <v>3009</v>
      </c>
      <c r="O642" s="15">
        <v>12</v>
      </c>
      <c r="P642" s="15">
        <v>1984</v>
      </c>
      <c r="Q642" s="15" t="str" cm="1">
        <f t="array" ref="Q6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2" s="15" t="str" cm="1">
        <f t="array" ref="R6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canciones/cesareo_gabarain/tu_nos_invitas_jesus.html</v>
      </c>
      <c r="T642" s="1"/>
      <c r="U642" s="1"/>
      <c r="V642" s="32" t="s">
        <v>5038</v>
      </c>
      <c r="W6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href="canciones/cesareo_gabarain/tu_nos_invitas_jesus.html"&gt;Tú nos invitas, Jesús&lt;/a&gt;&lt;/li&gt;</v>
      </c>
      <c r="X642" s="15" t="str">
        <f>_xlfn.TEXTBEFORE(_xlfn.TEXTAFTER(CantoralDB[[#This Row],[index.html]],"&gt;"),"&gt;")&amp;"&gt;"</f>
        <v>&lt;a href="canciones/cesareo_gabarain/tu_nos_invitas_jesus.html"&gt;</v>
      </c>
      <c r="Y642"/>
      <c r="Z642" s="1"/>
      <c r="AA642" s="1"/>
      <c r="AB642" s="1"/>
      <c r="AC642" s="1"/>
    </row>
    <row r="643" spans="1:29" x14ac:dyDescent="0.3">
      <c r="A643" s="1">
        <f>ROW(CantoralDB[[#This Row],[Título]])-1</f>
        <v>642</v>
      </c>
      <c r="B643" s="1" t="s">
        <v>139</v>
      </c>
      <c r="C643" s="1" t="s">
        <v>990</v>
      </c>
      <c r="D643" s="1" t="s">
        <v>1004</v>
      </c>
      <c r="E643" s="1">
        <v>463</v>
      </c>
      <c r="F643" s="1">
        <v>26</v>
      </c>
      <c r="G643" s="1" t="s">
        <v>208</v>
      </c>
      <c r="H643" s="1" t="s">
        <v>529</v>
      </c>
      <c r="J643" s="1" t="s">
        <v>605</v>
      </c>
      <c r="M643" s="15" t="s">
        <v>482</v>
      </c>
      <c r="N643" s="1" t="s">
        <v>3009</v>
      </c>
      <c r="O643" s="15">
        <v>13</v>
      </c>
      <c r="P643" s="15">
        <v>1984</v>
      </c>
      <c r="Q643" s="15" t="str" cm="1">
        <f t="array" ref="Q6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3" s="15" t="str" cm="1">
        <f t="array" ref="R6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canciones/cesareo_gabarain/tan_cerca_de_mi.html</v>
      </c>
      <c r="T643" s="1"/>
      <c r="U643" s="1"/>
      <c r="V643" s="32" t="s">
        <v>5039</v>
      </c>
      <c r="W6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data-momento="Comunión" data-nnew="K70" data-nold="463" data-nrcc="26"&gt;&lt;a href="canciones/cesareo_gabarain/tan_cerca_de_mi.html"&gt;Tan cerca de mí&lt;/a&gt;&lt;/li&gt;</v>
      </c>
      <c r="X643" s="15" t="str">
        <f>_xlfn.TEXTBEFORE(_xlfn.TEXTAFTER(CantoralDB[[#This Row],[index.html]],"&gt;"),"&gt;")&amp;"&gt;"</f>
        <v>&lt;a href="canciones/cesareo_gabarain/tan_cerca_de_mi.html"&gt;</v>
      </c>
      <c r="Y643"/>
      <c r="Z643" s="1"/>
      <c r="AA643" s="1"/>
      <c r="AB643" s="1"/>
      <c r="AC643" s="1"/>
    </row>
    <row r="644" spans="1:29" x14ac:dyDescent="0.3">
      <c r="A644" s="1">
        <f>ROW(CantoralDB[[#This Row],[Título]])-1</f>
        <v>643</v>
      </c>
      <c r="B644" s="1" t="s">
        <v>2888</v>
      </c>
      <c r="C644" s="1"/>
      <c r="E644" s="1">
        <v>307</v>
      </c>
      <c r="H644" s="1" t="s">
        <v>1024</v>
      </c>
      <c r="J644" s="1" t="s">
        <v>605</v>
      </c>
      <c r="M644" s="15" t="s">
        <v>482</v>
      </c>
      <c r="N644" s="1" t="s">
        <v>3009</v>
      </c>
      <c r="O644" s="15">
        <v>14</v>
      </c>
      <c r="P644" s="15">
        <v>1984</v>
      </c>
      <c r="Q644" s="15" t="str" cm="1">
        <f t="array" ref="Q6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4" s="15" t="str" cm="1">
        <f t="array" ref="R6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canciones/cesareo_gabarain/la_misa_no_termina_aqui_en_la_iglesia.html</v>
      </c>
      <c r="T644" s="1"/>
      <c r="U644" s="1"/>
      <c r="V644" s="32" t="s">
        <v>4614</v>
      </c>
      <c r="W6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data-nold="307"&gt;&lt;a href="canciones/cesareo_gabarain/la_misa_no_termina_aqui_en_la_iglesia.html"&gt;La misa no termina aquí en la iglesia&lt;/a&gt;&lt;/li&gt;</v>
      </c>
      <c r="X644" s="15" t="str">
        <f>_xlfn.TEXTBEFORE(_xlfn.TEXTAFTER(CantoralDB[[#This Row],[index.html]],"&gt;"),"&gt;")&amp;"&gt;"</f>
        <v>&lt;a href="canciones/cesareo_gabarain/la_misa_no_termina_aqui_en_la_iglesia.html"&gt;</v>
      </c>
      <c r="Y644"/>
      <c r="Z644" s="1"/>
      <c r="AA644" s="1"/>
      <c r="AB644" s="1"/>
      <c r="AC644" s="1"/>
    </row>
    <row r="645" spans="1:29" x14ac:dyDescent="0.3">
      <c r="A645" s="1">
        <f>ROW(CantoralDB[[#This Row],[Título]])-1</f>
        <v>644</v>
      </c>
      <c r="B645" s="1" t="s">
        <v>5046</v>
      </c>
      <c r="C645" s="1"/>
      <c r="J645" s="1"/>
      <c r="M645" s="15" t="s">
        <v>482</v>
      </c>
      <c r="N645" s="1" t="s">
        <v>3009</v>
      </c>
      <c r="O645" s="15">
        <v>15</v>
      </c>
      <c r="P645" s="15">
        <v>1984</v>
      </c>
      <c r="Q645" s="15" t="str" cm="1">
        <f t="array" ref="Q6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5" s="15" t="str" cm="1">
        <f t="array" ref="R6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canciones/cesareo_gabarain/ya_llega_ya_llega.html</v>
      </c>
      <c r="T645" s="1"/>
      <c r="U645" s="1"/>
      <c r="V645" s="32" t="s">
        <v>5040</v>
      </c>
      <c r="W6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href="canciones/cesareo_gabarain/ya_llega_ya_llega.html"&gt;Ya llega, ya llega&lt;/a&gt;&lt;/li&gt;</v>
      </c>
      <c r="X645" s="15" t="str">
        <f>_xlfn.TEXTBEFORE(_xlfn.TEXTAFTER(CantoralDB[[#This Row],[index.html]],"&gt;"),"&gt;")&amp;"&gt;"</f>
        <v>&lt;a href="canciones/cesareo_gabarain/ya_llega_ya_llega.html"&gt;</v>
      </c>
      <c r="Y645"/>
      <c r="Z645" s="1"/>
      <c r="AA645" s="1"/>
      <c r="AB645" s="1"/>
      <c r="AC645" s="1"/>
    </row>
    <row r="646" spans="1:29" x14ac:dyDescent="0.3">
      <c r="A646" s="1">
        <f>ROW(CantoralDB[[#This Row],[Título]])-1</f>
        <v>645</v>
      </c>
      <c r="B646" s="1" t="s">
        <v>5047</v>
      </c>
      <c r="C646" s="1"/>
      <c r="J646" s="1"/>
      <c r="M646" s="15" t="s">
        <v>482</v>
      </c>
      <c r="N646" s="1" t="s">
        <v>3009</v>
      </c>
      <c r="O646" s="15">
        <v>16</v>
      </c>
      <c r="P646" s="15">
        <v>1984</v>
      </c>
      <c r="Q646" s="15" t="str" cm="1">
        <f t="array" ref="Q6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6" s="15" t="str" cm="1">
        <f t="array" ref="R6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canciones/cesareo_gabarain/danos_señor.html</v>
      </c>
      <c r="T646" s="1"/>
      <c r="U646" s="1"/>
      <c r="V646" s="32" t="s">
        <v>5041</v>
      </c>
      <c r="W6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href="canciones/cesareo_gabarain/danos_señor.html"&gt;Danos, Señor&lt;/a&gt;&lt;/li&gt;</v>
      </c>
      <c r="X646" s="15" t="str">
        <f>_xlfn.TEXTBEFORE(_xlfn.TEXTAFTER(CantoralDB[[#This Row],[index.html]],"&gt;"),"&gt;")&amp;"&gt;"</f>
        <v>&lt;a href="canciones/cesareo_gabarain/danos_señor.html"&gt;</v>
      </c>
      <c r="Y646"/>
      <c r="Z646" s="1"/>
      <c r="AA646" s="1"/>
      <c r="AB646" s="1"/>
      <c r="AC646" s="1"/>
    </row>
    <row r="647" spans="1:29" x14ac:dyDescent="0.3">
      <c r="A647" s="1">
        <f>ROW(CantoralDB[[#This Row],[Título]])-1</f>
        <v>646</v>
      </c>
      <c r="B647" s="1" t="s">
        <v>1346</v>
      </c>
      <c r="C647" s="1"/>
      <c r="E647" s="1">
        <v>292</v>
      </c>
      <c r="H647" s="1" t="s">
        <v>1027</v>
      </c>
      <c r="J647" s="1" t="s">
        <v>605</v>
      </c>
      <c r="M647" s="15" t="s">
        <v>482</v>
      </c>
      <c r="N647" s="1" t="s">
        <v>3009</v>
      </c>
      <c r="O647" s="15">
        <v>17</v>
      </c>
      <c r="P647" s="15">
        <v>1984</v>
      </c>
      <c r="Q647" s="15" t="str" cm="1">
        <f t="array" ref="Q6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7" s="15" t="str" cm="1">
        <f t="array" ref="R6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canciones/cesareo_gabarain/yo_confio_en_ti_señor.html</v>
      </c>
      <c r="T647" s="1"/>
      <c r="U647" s="1"/>
      <c r="V647" s="32" t="s">
        <v>4628</v>
      </c>
      <c r="W6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data-nold="292"&gt;&lt;a href="canciones/cesareo_gabarain/yo_confio_en_ti_señor.html"&gt;Yo confío en ti, Señor&lt;/a&gt;&lt;/li&gt;</v>
      </c>
      <c r="X647" s="15" t="str">
        <f>_xlfn.TEXTBEFORE(_xlfn.TEXTAFTER(CantoralDB[[#This Row],[index.html]],"&gt;"),"&gt;")&amp;"&gt;"</f>
        <v>&lt;a href="canciones/cesareo_gabarain/yo_confio_en_ti_señor.html"&gt;</v>
      </c>
      <c r="Y647"/>
      <c r="Z647" s="1"/>
      <c r="AA647" s="1"/>
      <c r="AB647" s="1"/>
      <c r="AC647" s="1"/>
    </row>
    <row r="648" spans="1:29" x14ac:dyDescent="0.3">
      <c r="A648" s="1">
        <f>ROW(CantoralDB[[#This Row],[Título]])-1</f>
        <v>647</v>
      </c>
      <c r="B648" s="1" t="s">
        <v>5048</v>
      </c>
      <c r="C648" s="1"/>
      <c r="J648" s="1"/>
      <c r="M648" s="15" t="s">
        <v>482</v>
      </c>
      <c r="N648" s="1" t="s">
        <v>3009</v>
      </c>
      <c r="O648" s="15">
        <v>19</v>
      </c>
      <c r="P648" s="15">
        <v>1984</v>
      </c>
      <c r="Q648" s="15" t="str" cm="1">
        <f t="array" ref="Q6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8" s="15" t="str" cm="1">
        <f t="array" ref="R6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canciones/cesareo_gabarain/creo_en_dios_padre.html</v>
      </c>
      <c r="T648" s="1"/>
      <c r="U648" s="1"/>
      <c r="V648" s="32" t="s">
        <v>5042</v>
      </c>
      <c r="W6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href="canciones/cesareo_gabarain/creo_en_dios_padre.html"&gt;Creo en Dios Padre&lt;/a&gt;&lt;/li&gt;</v>
      </c>
      <c r="X648" s="15" t="str">
        <f>_xlfn.TEXTBEFORE(_xlfn.TEXTAFTER(CantoralDB[[#This Row],[index.html]],"&gt;"),"&gt;")&amp;"&gt;"</f>
        <v>&lt;a href="canciones/cesareo_gabarain/creo_en_dios_padre.html"&gt;</v>
      </c>
      <c r="Y648"/>
      <c r="Z648" s="1"/>
      <c r="AA648" s="1"/>
      <c r="AB648" s="1"/>
      <c r="AC648" s="1"/>
    </row>
    <row r="649" spans="1:29" x14ac:dyDescent="0.3">
      <c r="A649" s="1">
        <f>ROW(CantoralDB[[#This Row],[Título]])-1</f>
        <v>648</v>
      </c>
      <c r="B649" s="1" t="s">
        <v>1351</v>
      </c>
      <c r="C649" s="1"/>
      <c r="E649" s="1">
        <v>308</v>
      </c>
      <c r="F649" s="1">
        <v>206</v>
      </c>
      <c r="H649" s="1" t="s">
        <v>1024</v>
      </c>
      <c r="J649" s="1" t="s">
        <v>605</v>
      </c>
      <c r="M649" s="15" t="s">
        <v>482</v>
      </c>
      <c r="N649" s="1" t="s">
        <v>4604</v>
      </c>
      <c r="O649" s="15">
        <v>1</v>
      </c>
      <c r="P649" s="15">
        <v>1977</v>
      </c>
      <c r="Q649" s="15" t="str" cm="1">
        <f t="array" ref="Q6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49" s="15" t="str" cm="1">
        <f t="array" ref="R6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canciones/cesareo_gabarain/nadie_hay_tan_grande_como_tu.html</v>
      </c>
      <c r="T649" s="1"/>
      <c r="U649" s="1"/>
      <c r="V649" s="32" t="s">
        <v>4615</v>
      </c>
      <c r="W6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data-nold="308" data-nrcc="206"&gt;&lt;a href="canciones/cesareo_gabarain/nadie_hay_tan_grande_como_tu.html"&gt;Nadie hay tan grande como tú&lt;/a&gt;&lt;/li&gt;</v>
      </c>
      <c r="X649" s="15" t="str">
        <f>_xlfn.TEXTBEFORE(_xlfn.TEXTAFTER(CantoralDB[[#This Row],[index.html]],"&gt;"),"&gt;")&amp;"&gt;"</f>
        <v>&lt;a href="canciones/cesareo_gabarain/nadie_hay_tan_grande_como_tu.html"&gt;</v>
      </c>
      <c r="Y649"/>
      <c r="Z649" s="1"/>
      <c r="AA649" s="1"/>
      <c r="AB649" s="1"/>
      <c r="AC649" s="1"/>
    </row>
    <row r="650" spans="1:29" x14ac:dyDescent="0.3">
      <c r="A650" s="1">
        <f>ROW(CantoralDB[[#This Row],[Título]])-1</f>
        <v>649</v>
      </c>
      <c r="B650" s="1" t="s">
        <v>5054</v>
      </c>
      <c r="C650" s="1"/>
      <c r="H650" s="1" t="s">
        <v>472</v>
      </c>
      <c r="I650" s="1" t="s">
        <v>2948</v>
      </c>
      <c r="J650" s="1" t="s">
        <v>605</v>
      </c>
      <c r="M650" s="15" t="s">
        <v>482</v>
      </c>
      <c r="N650" s="1" t="s">
        <v>4604</v>
      </c>
      <c r="O650" s="15">
        <v>2</v>
      </c>
      <c r="P650" s="15">
        <v>1977</v>
      </c>
      <c r="Q650" s="15" t="str" cm="1">
        <f t="array" ref="Q6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0" s="15" t="str" cm="1">
        <f t="array" ref="R6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canciones/cesareo_gabarain/junto_al_mar.html</v>
      </c>
      <c r="T650" s="1"/>
      <c r="U650" s="1"/>
      <c r="V650" s="32" t="s">
        <v>5049</v>
      </c>
      <c r="W6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href="canciones/cesareo_gabarain/junto_al_mar.html"&gt;Junto al mar&lt;/a&gt;&lt;/li&gt;</v>
      </c>
      <c r="X650" s="15" t="str">
        <f>_xlfn.TEXTBEFORE(_xlfn.TEXTAFTER(CantoralDB[[#This Row],[index.html]],"&gt;"),"&gt;")&amp;"&gt;"</f>
        <v>&lt;a href="canciones/cesareo_gabarain/junto_al_mar.html"&gt;</v>
      </c>
      <c r="Y650"/>
      <c r="Z650" s="1"/>
      <c r="AA650" s="1"/>
      <c r="AB650" s="1"/>
      <c r="AC650" s="1"/>
    </row>
    <row r="651" spans="1:29" x14ac:dyDescent="0.3">
      <c r="A651" s="1">
        <f>ROW(CantoralDB[[#This Row],[Título]])-1</f>
        <v>650</v>
      </c>
      <c r="B651" s="1" t="s">
        <v>2058</v>
      </c>
      <c r="C651" s="1"/>
      <c r="H651" s="1" t="s">
        <v>1024</v>
      </c>
      <c r="J651" s="1" t="s">
        <v>605</v>
      </c>
      <c r="M651" s="15" t="s">
        <v>482</v>
      </c>
      <c r="N651" s="1" t="s">
        <v>4604</v>
      </c>
      <c r="O651" s="15">
        <v>3</v>
      </c>
      <c r="P651" s="15">
        <v>1977</v>
      </c>
      <c r="Q651" s="15" t="str" cm="1">
        <f t="array" ref="Q6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1" s="15" t="str" cm="1">
        <f t="array" ref="R6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canciones/cesareo_gabarain/buen_pastor.html</v>
      </c>
      <c r="T651" s="1"/>
      <c r="U651" s="1"/>
      <c r="V651" s="32" t="s">
        <v>5050</v>
      </c>
      <c r="W6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href="canciones/cesareo_gabarain/buen_pastor.html"&gt;Buen pastor&lt;/a&gt;&lt;/li&gt;</v>
      </c>
      <c r="X651" s="15" t="str">
        <f>_xlfn.TEXTBEFORE(_xlfn.TEXTAFTER(CantoralDB[[#This Row],[index.html]],"&gt;"),"&gt;")&amp;"&gt;"</f>
        <v>&lt;a href="canciones/cesareo_gabarain/buen_pastor.html"&gt;</v>
      </c>
      <c r="Y651"/>
      <c r="Z651" s="1"/>
      <c r="AA651" s="1"/>
      <c r="AB651" s="1"/>
      <c r="AC651" s="1"/>
    </row>
    <row r="652" spans="1:29" x14ac:dyDescent="0.3">
      <c r="A652" s="1">
        <f>ROW(CantoralDB[[#This Row],[Título]])-1</f>
        <v>651</v>
      </c>
      <c r="B652" s="1" t="s">
        <v>5055</v>
      </c>
      <c r="C652" s="1"/>
      <c r="H652" s="1" t="s">
        <v>1025</v>
      </c>
      <c r="J652" s="1" t="s">
        <v>605</v>
      </c>
      <c r="M652" s="15" t="s">
        <v>482</v>
      </c>
      <c r="N652" s="1" t="s">
        <v>4604</v>
      </c>
      <c r="O652" s="15">
        <v>4</v>
      </c>
      <c r="P652" s="15">
        <v>1977</v>
      </c>
      <c r="Q652" s="15" t="str" cm="1">
        <f t="array" ref="Q6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2" s="15" t="str" cm="1">
        <f t="array" ref="R6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canciones/cesareo_gabarain/samaritana.html</v>
      </c>
      <c r="T652" s="1"/>
      <c r="U652" s="1"/>
      <c r="V652" s="32" t="s">
        <v>5051</v>
      </c>
      <c r="W6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href="canciones/cesareo_gabarain/samaritana.html"&gt;Samaritana&lt;/a&gt;&lt;/li&gt;</v>
      </c>
      <c r="X652" s="15" t="str">
        <f>_xlfn.TEXTBEFORE(_xlfn.TEXTAFTER(CantoralDB[[#This Row],[index.html]],"&gt;"),"&gt;")&amp;"&gt;"</f>
        <v>&lt;a href="canciones/cesareo_gabarain/samaritana.html"&gt;</v>
      </c>
      <c r="Y652"/>
      <c r="Z652" s="1"/>
      <c r="AA652" s="1"/>
      <c r="AB652" s="1"/>
      <c r="AC652" s="1"/>
    </row>
    <row r="653" spans="1:29" x14ac:dyDescent="0.3">
      <c r="A653" s="1">
        <f>ROW(CantoralDB[[#This Row],[Título]])-1</f>
        <v>652</v>
      </c>
      <c r="B653" s="1" t="s">
        <v>177</v>
      </c>
      <c r="C653" s="1" t="s">
        <v>190</v>
      </c>
      <c r="D653" s="1" t="s">
        <v>729</v>
      </c>
      <c r="G653" s="1" t="s">
        <v>208</v>
      </c>
      <c r="H653" s="1" t="s">
        <v>529</v>
      </c>
      <c r="J653" s="1" t="s">
        <v>605</v>
      </c>
      <c r="M653" s="15" t="s">
        <v>482</v>
      </c>
      <c r="N653" s="1" t="s">
        <v>4604</v>
      </c>
      <c r="O653" s="15">
        <v>5</v>
      </c>
      <c r="P653" s="15">
        <v>1977</v>
      </c>
      <c r="Q653" s="15" t="str" cm="1">
        <f t="array" ref="Q6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3" s="15" t="str" cm="1">
        <f t="array" ref="R6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canciones/cesareo_gabarain/dios_es_amor.html</v>
      </c>
      <c r="T653" s="1" t="s">
        <v>817</v>
      </c>
      <c r="U653" s="1"/>
      <c r="V653" s="32" t="s">
        <v>4603</v>
      </c>
      <c r="W6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data-momento="Entrada" data-nnew="A12"&gt;&lt;a href="canciones/cesareo_gabarain/dios_es_amor.html"&gt;Dios es amor&lt;/a&gt;&lt;/li&gt;</v>
      </c>
      <c r="X653" s="15" t="str">
        <f>_xlfn.TEXTBEFORE(_xlfn.TEXTAFTER(CantoralDB[[#This Row],[index.html]],"&gt;"),"&gt;")&amp;"&gt;"</f>
        <v>&lt;a href="canciones/cesareo_gabarain/dios_es_amor.html"&gt;</v>
      </c>
      <c r="Y653"/>
      <c r="Z653" s="1"/>
      <c r="AA653" s="1"/>
      <c r="AB653" s="1"/>
      <c r="AC653" s="1"/>
    </row>
    <row r="654" spans="1:29" x14ac:dyDescent="0.3">
      <c r="A654" s="1">
        <f>ROW(CantoralDB[[#This Row],[Título]])-1</f>
        <v>653</v>
      </c>
      <c r="B654" s="1" t="s">
        <v>5056</v>
      </c>
      <c r="C654" s="1"/>
      <c r="H654" s="1" t="s">
        <v>1024</v>
      </c>
      <c r="J654" s="1" t="s">
        <v>605</v>
      </c>
      <c r="M654" s="15" t="s">
        <v>482</v>
      </c>
      <c r="N654" s="1" t="s">
        <v>4604</v>
      </c>
      <c r="O654" s="15">
        <v>6</v>
      </c>
      <c r="P654" s="15">
        <v>1977</v>
      </c>
      <c r="Q654" s="15" t="str" cm="1">
        <f t="array" ref="Q6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4" s="15" t="str" cm="1">
        <f t="array" ref="R6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canciones/cesareo_gabarain/mi_amigo_vive.html</v>
      </c>
      <c r="T654" s="1"/>
      <c r="U654" s="1"/>
      <c r="V654" s="32" t="s">
        <v>5052</v>
      </c>
      <c r="W6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href="canciones/cesareo_gabarain/mi_amigo_vive.html"&gt;Mi amigo vive&lt;/a&gt;&lt;/li&gt;</v>
      </c>
      <c r="X654" s="15" t="str">
        <f>_xlfn.TEXTBEFORE(_xlfn.TEXTAFTER(CantoralDB[[#This Row],[index.html]],"&gt;"),"&gt;")&amp;"&gt;"</f>
        <v>&lt;a href="canciones/cesareo_gabarain/mi_amigo_vive.html"&gt;</v>
      </c>
      <c r="Y654"/>
      <c r="Z654" s="1"/>
      <c r="AA654" s="1"/>
      <c r="AB654" s="1"/>
      <c r="AC654" s="1"/>
    </row>
    <row r="655" spans="1:29" x14ac:dyDescent="0.3">
      <c r="A655" s="1">
        <f>ROW(CantoralDB[[#This Row],[Título]])-1</f>
        <v>654</v>
      </c>
      <c r="B655" s="1" t="s">
        <v>5057</v>
      </c>
      <c r="C655" s="1"/>
      <c r="H655" s="1" t="s">
        <v>1024</v>
      </c>
      <c r="J655" s="1" t="s">
        <v>605</v>
      </c>
      <c r="M655" s="15" t="s">
        <v>482</v>
      </c>
      <c r="N655" s="1" t="s">
        <v>4604</v>
      </c>
      <c r="O655" s="15">
        <v>8</v>
      </c>
      <c r="P655" s="15">
        <v>1977</v>
      </c>
      <c r="Q655" s="15" t="str" cm="1">
        <f t="array" ref="Q6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5" s="15" t="str" cm="1">
        <f t="array" ref="R6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canciones/cesareo_gabarain/tu_pones_lo_demas.html</v>
      </c>
      <c r="T655" s="1"/>
      <c r="U655" s="1"/>
      <c r="V655" s="32" t="s">
        <v>5053</v>
      </c>
      <c r="W6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href="canciones/cesareo_gabarain/tu_pones_lo_demas.html"&gt;Tú pones lo demás&lt;/a&gt;&lt;/li&gt;</v>
      </c>
      <c r="X655" s="15" t="str">
        <f>_xlfn.TEXTBEFORE(_xlfn.TEXTAFTER(CantoralDB[[#This Row],[index.html]],"&gt;"),"&gt;")&amp;"&gt;"</f>
        <v>&lt;a href="canciones/cesareo_gabarain/tu_pones_lo_demas.html"&gt;</v>
      </c>
      <c r="Y655"/>
      <c r="Z655" s="1"/>
      <c r="AA655" s="1"/>
      <c r="AB655" s="1"/>
      <c r="AC655" s="1"/>
    </row>
    <row r="656" spans="1:29" x14ac:dyDescent="0.3">
      <c r="A656" s="1">
        <f>ROW(CantoralDB[[#This Row],[Título]])-1</f>
        <v>655</v>
      </c>
      <c r="B656" s="1" t="s">
        <v>5058</v>
      </c>
      <c r="C656" s="1"/>
      <c r="H656" s="1" t="s">
        <v>1024</v>
      </c>
      <c r="J656" s="1" t="s">
        <v>605</v>
      </c>
      <c r="M656" s="15" t="s">
        <v>482</v>
      </c>
      <c r="N656" s="1" t="s">
        <v>4604</v>
      </c>
      <c r="O656" s="15">
        <v>10</v>
      </c>
      <c r="P656" s="15">
        <v>1977</v>
      </c>
      <c r="Q656" s="15" t="str" cm="1">
        <f t="array" ref="Q6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6" s="15" t="str" cm="1">
        <f t="array" ref="R6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canciones/cesareo_gabarain/padre_nuestro_(lampara_de_barro).html</v>
      </c>
      <c r="T656" s="1"/>
      <c r="U656" s="1"/>
      <c r="V656" s="32" t="s">
        <v>5037</v>
      </c>
      <c r="W6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href="canciones/cesareo_gabarain/padre_nuestro_(lampara_de_barro).html"&gt;Padre nuestro (Lámpara de barro)&lt;/a&gt;&lt;/li&gt;</v>
      </c>
      <c r="X656" s="15" t="str">
        <f>_xlfn.TEXTBEFORE(_xlfn.TEXTAFTER(CantoralDB[[#This Row],[index.html]],"&gt;"),"&gt;")&amp;"&gt;"</f>
        <v>&lt;a href="canciones/cesareo_gabarain/padre_nuestro_(lampara_de_barro).html"&gt;</v>
      </c>
      <c r="Y656"/>
      <c r="Z656" s="1"/>
      <c r="AA656" s="1"/>
      <c r="AB656" s="1"/>
      <c r="AC656" s="1"/>
    </row>
    <row r="657" spans="1:29" x14ac:dyDescent="0.3">
      <c r="A657" s="1">
        <f>ROW(CantoralDB[[#This Row],[Título]])-1</f>
        <v>656</v>
      </c>
      <c r="B657" s="1" t="s">
        <v>1245</v>
      </c>
      <c r="C657" s="1"/>
      <c r="E657" s="1">
        <v>115</v>
      </c>
      <c r="H657" s="1" t="s">
        <v>529</v>
      </c>
      <c r="J657" s="1" t="s">
        <v>605</v>
      </c>
      <c r="M657" s="15" t="s">
        <v>482</v>
      </c>
      <c r="N657" s="1" t="s">
        <v>4606</v>
      </c>
      <c r="O657" s="15">
        <v>1</v>
      </c>
      <c r="P657" s="15">
        <v>1971</v>
      </c>
      <c r="Q657" s="15" t="str" cm="1">
        <f t="array" ref="Q6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7" s="15" t="str" cm="1">
        <f t="array" ref="R6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canciones/cesareo_gabarain/esperando_esperando.html</v>
      </c>
      <c r="T657" s="1"/>
      <c r="U657" s="1"/>
      <c r="V657" s="32" t="s">
        <v>4610</v>
      </c>
      <c r="W6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data-nold="115"&gt;&lt;a href="canciones/cesareo_gabarain/esperando_esperando.html"&gt;Esperando, esperando&lt;/a&gt;&lt;/li&gt;</v>
      </c>
      <c r="X657" s="15" t="str">
        <f>_xlfn.TEXTBEFORE(_xlfn.TEXTAFTER(CantoralDB[[#This Row],[index.html]],"&gt;"),"&gt;")&amp;"&gt;"</f>
        <v>&lt;a href="canciones/cesareo_gabarain/esperando_esperando.html"&gt;</v>
      </c>
      <c r="Y657"/>
      <c r="Z657" s="1"/>
      <c r="AA657" s="1"/>
      <c r="AB657" s="1"/>
      <c r="AC657" s="1"/>
    </row>
    <row r="658" spans="1:29" x14ac:dyDescent="0.3">
      <c r="A658" s="1">
        <f>ROW(CantoralDB[[#This Row],[Título]])-1</f>
        <v>657</v>
      </c>
      <c r="B658" s="1" t="s">
        <v>5092</v>
      </c>
      <c r="C658" s="1"/>
      <c r="J658" s="1"/>
      <c r="M658" s="15" t="s">
        <v>482</v>
      </c>
      <c r="N658" s="1" t="s">
        <v>4606</v>
      </c>
      <c r="O658" s="15">
        <v>2</v>
      </c>
      <c r="P658" s="15">
        <v>1971</v>
      </c>
      <c r="Q658" s="15" t="str" cm="1">
        <f t="array" ref="Q6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8" s="15" t="str" cm="1">
        <f t="array" ref="R6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canciones/cesareo_gabarain/el_señor_es_nuestra_luz.html</v>
      </c>
      <c r="T658" s="1"/>
      <c r="U658" s="1"/>
      <c r="V658" s="32" t="s">
        <v>5125</v>
      </c>
      <c r="W6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href="canciones/cesareo_gabarain/el_señor_es_nuestra_luz.html"&gt;El Señor es nuestra luz&lt;/a&gt;&lt;/li&gt;</v>
      </c>
      <c r="X658" s="15" t="str">
        <f>_xlfn.TEXTBEFORE(_xlfn.TEXTAFTER(CantoralDB[[#This Row],[index.html]],"&gt;"),"&gt;")&amp;"&gt;"</f>
        <v>&lt;a href="canciones/cesareo_gabarain/el_señor_es_nuestra_luz.html"&gt;</v>
      </c>
      <c r="Y658"/>
      <c r="Z658" s="1"/>
      <c r="AA658" s="1"/>
      <c r="AB658" s="1"/>
      <c r="AC658" s="1"/>
    </row>
    <row r="659" spans="1:29" x14ac:dyDescent="0.3">
      <c r="A659" s="1">
        <f>ROW(CantoralDB[[#This Row],[Título]])-1</f>
        <v>658</v>
      </c>
      <c r="B659" s="1" t="s">
        <v>5093</v>
      </c>
      <c r="C659" s="1"/>
      <c r="J659" s="1"/>
      <c r="M659" s="15" t="s">
        <v>482</v>
      </c>
      <c r="N659" s="1" t="s">
        <v>4606</v>
      </c>
      <c r="O659" s="15">
        <v>3</v>
      </c>
      <c r="P659" s="15">
        <v>1971</v>
      </c>
      <c r="Q659" s="15" t="str" cm="1">
        <f t="array" ref="Q6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59" s="15" t="str" cm="1">
        <f t="array" ref="R6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canciones/cesareo_gabarain/perdon_señor.html</v>
      </c>
      <c r="T659" s="1"/>
      <c r="U659" s="1"/>
      <c r="V659" s="32" t="s">
        <v>5126</v>
      </c>
      <c r="W6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href="canciones/cesareo_gabarain/perdon_señor.html"&gt;Perdón, Señor&lt;/a&gt;&lt;/li&gt;</v>
      </c>
      <c r="X659" s="15" t="str">
        <f>_xlfn.TEXTBEFORE(_xlfn.TEXTAFTER(CantoralDB[[#This Row],[index.html]],"&gt;"),"&gt;")&amp;"&gt;"</f>
        <v>&lt;a href="canciones/cesareo_gabarain/perdon_señor.html"&gt;</v>
      </c>
      <c r="Y659"/>
      <c r="Z659" s="1"/>
      <c r="AA659" s="1"/>
      <c r="AB659" s="1"/>
      <c r="AC659" s="1"/>
    </row>
    <row r="660" spans="1:29" x14ac:dyDescent="0.3">
      <c r="A660" s="1">
        <f>ROW(CantoralDB[[#This Row],[Título]])-1</f>
        <v>659</v>
      </c>
      <c r="B660" s="1" t="s">
        <v>5101</v>
      </c>
      <c r="C660" s="1"/>
      <c r="J660" s="1"/>
      <c r="M660" s="15" t="s">
        <v>482</v>
      </c>
      <c r="N660" s="1" t="s">
        <v>4606</v>
      </c>
      <c r="O660" s="15">
        <v>4</v>
      </c>
      <c r="P660" s="15">
        <v>1971</v>
      </c>
      <c r="Q660" s="15" t="str" cm="1">
        <f t="array" ref="Q6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0" s="15" t="str" cm="1">
        <f t="array" ref="R6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canciones/cesareo_gabarain/cristo_resucito_(ii).html</v>
      </c>
      <c r="T660" s="1"/>
      <c r="U660" s="1"/>
      <c r="V660" s="32" t="s">
        <v>5127</v>
      </c>
      <c r="W6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href="canciones/cesareo_gabarain/cristo_resucito_(ii).html"&gt;Cristo resucitó (II)&lt;/a&gt;&lt;/li&gt;</v>
      </c>
      <c r="X660" s="15" t="str">
        <f>_xlfn.TEXTBEFORE(_xlfn.TEXTAFTER(CantoralDB[[#This Row],[index.html]],"&gt;"),"&gt;")&amp;"&gt;"</f>
        <v>&lt;a href="canciones/cesareo_gabarain/cristo_resucito_(ii).html"&gt;</v>
      </c>
      <c r="Y660"/>
      <c r="Z660" s="1"/>
      <c r="AA660" s="1"/>
      <c r="AB660" s="1"/>
      <c r="AC660" s="1"/>
    </row>
    <row r="661" spans="1:29" x14ac:dyDescent="0.3">
      <c r="A661" s="1">
        <f>ROW(CantoralDB[[#This Row],[Título]])-1</f>
        <v>660</v>
      </c>
      <c r="B661" s="1" t="s">
        <v>5094</v>
      </c>
      <c r="C661" s="1"/>
      <c r="J661" s="1"/>
      <c r="M661" s="15" t="s">
        <v>482</v>
      </c>
      <c r="N661" s="1" t="s">
        <v>4606</v>
      </c>
      <c r="O661" s="15">
        <v>5</v>
      </c>
      <c r="P661" s="15">
        <v>1971</v>
      </c>
      <c r="Q661" s="15" t="str" cm="1">
        <f t="array" ref="Q6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1" s="15" t="str" cm="1">
        <f t="array" ref="R6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canciones/cesareo_gabarain/unidos_en_caridad.html</v>
      </c>
      <c r="T661" s="1"/>
      <c r="U661" s="1"/>
      <c r="V661" s="32" t="s">
        <v>5128</v>
      </c>
      <c r="W6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href="canciones/cesareo_gabarain/unidos_en_caridad.html"&gt;Unidos en caridad&lt;/a&gt;&lt;/li&gt;</v>
      </c>
      <c r="X661" s="15" t="str">
        <f>_xlfn.TEXTBEFORE(_xlfn.TEXTAFTER(CantoralDB[[#This Row],[index.html]],"&gt;"),"&gt;")&amp;"&gt;"</f>
        <v>&lt;a href="canciones/cesareo_gabarain/unidos_en_caridad.html"&gt;</v>
      </c>
      <c r="Y661"/>
      <c r="Z661" s="1"/>
      <c r="AA661" s="1"/>
      <c r="AB661" s="1"/>
      <c r="AC661" s="1"/>
    </row>
    <row r="662" spans="1:29" x14ac:dyDescent="0.3">
      <c r="A662" s="1">
        <f>ROW(CantoralDB[[#This Row],[Título]])-1</f>
        <v>661</v>
      </c>
      <c r="B662" s="1" t="s">
        <v>154</v>
      </c>
      <c r="C662" s="1" t="s">
        <v>191</v>
      </c>
      <c r="D662" s="1" t="s">
        <v>1470</v>
      </c>
      <c r="E662" s="1">
        <v>274</v>
      </c>
      <c r="G662" s="1" t="s">
        <v>208</v>
      </c>
      <c r="H662" s="1" t="s">
        <v>529</v>
      </c>
      <c r="J662" s="1" t="s">
        <v>605</v>
      </c>
      <c r="M662" s="15" t="s">
        <v>482</v>
      </c>
      <c r="N662" s="1" t="s">
        <v>4606</v>
      </c>
      <c r="O662" s="15">
        <v>6</v>
      </c>
      <c r="P662" s="15">
        <v>1971</v>
      </c>
      <c r="Q662" s="15" t="str" cm="1">
        <f t="array" ref="Q6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2" s="15" t="str" cm="1">
        <f t="array" ref="R6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canciones/cesareo_gabarain/una_nueva_vida.html</v>
      </c>
      <c r="T662" s="1"/>
      <c r="U662" s="1"/>
      <c r="V662" s="32" t="s">
        <v>4626</v>
      </c>
      <c r="W6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data-momento="Perdón - Agua" data-nnew="B09" data-nold="274"&gt;&lt;a href="canciones/cesareo_gabarain/una_nueva_vida.html"&gt;Una nueva vida&lt;/a&gt;&lt;/li&gt;</v>
      </c>
      <c r="X662" s="15" t="str">
        <f>_xlfn.TEXTBEFORE(_xlfn.TEXTAFTER(CantoralDB[[#This Row],[index.html]],"&gt;"),"&gt;")&amp;"&gt;"</f>
        <v>&lt;a href="canciones/cesareo_gabarain/una_nueva_vida.html"&gt;</v>
      </c>
      <c r="Y662"/>
      <c r="Z662" s="1"/>
      <c r="AA662" s="1"/>
      <c r="AB662" s="1"/>
      <c r="AC662" s="1"/>
    </row>
    <row r="663" spans="1:29" x14ac:dyDescent="0.3">
      <c r="A663" s="1">
        <f>ROW(CantoralDB[[#This Row],[Título]])-1</f>
        <v>662</v>
      </c>
      <c r="B663" s="1" t="s">
        <v>153</v>
      </c>
      <c r="C663" s="1" t="s">
        <v>194</v>
      </c>
      <c r="D663" s="1" t="s">
        <v>771</v>
      </c>
      <c r="E663" s="1">
        <v>271</v>
      </c>
      <c r="G663" s="1" t="s">
        <v>208</v>
      </c>
      <c r="H663" s="1" t="s">
        <v>1027</v>
      </c>
      <c r="J663" s="1" t="s">
        <v>605</v>
      </c>
      <c r="M663" s="15" t="s">
        <v>482</v>
      </c>
      <c r="N663" s="1" t="s">
        <v>4606</v>
      </c>
      <c r="O663" s="15">
        <v>7</v>
      </c>
      <c r="P663" s="15">
        <v>1971</v>
      </c>
      <c r="Q663" s="15" t="str" cm="1">
        <f t="array" ref="Q6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3" s="15" t="str" cm="1">
        <f t="array" ref="R6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canciones/cesareo_gabarain/una_espiga_dorada.html</v>
      </c>
      <c r="T663" s="1"/>
      <c r="U663" s="1"/>
      <c r="V663" s="32" t="s">
        <v>4625</v>
      </c>
      <c r="W6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data-momento="Ofertorio" data-nnew="F19" data-nold="271"&gt;&lt;a href="canciones/cesareo_gabarain/una_espiga_dorada.html"&gt;Una espiga dorada&lt;/a&gt;&lt;/li&gt;</v>
      </c>
      <c r="X663" s="15" t="str">
        <f>_xlfn.TEXTBEFORE(_xlfn.TEXTAFTER(CantoralDB[[#This Row],[index.html]],"&gt;"),"&gt;")&amp;"&gt;"</f>
        <v>&lt;a href="canciones/cesareo_gabarain/una_espiga_dorada.html"&gt;</v>
      </c>
      <c r="Y663"/>
      <c r="Z663" s="1"/>
      <c r="AA663" s="1"/>
      <c r="AB663" s="1"/>
      <c r="AC663" s="1"/>
    </row>
    <row r="664" spans="1:29" x14ac:dyDescent="0.3">
      <c r="A664" s="1">
        <f>ROW(CantoralDB[[#This Row],[Título]])-1</f>
        <v>663</v>
      </c>
      <c r="B664" s="1" t="s">
        <v>5095</v>
      </c>
      <c r="C664" s="1"/>
      <c r="J664" s="1"/>
      <c r="M664" s="15" t="s">
        <v>482</v>
      </c>
      <c r="N664" s="1" t="s">
        <v>4606</v>
      </c>
      <c r="O664" s="15">
        <v>9</v>
      </c>
      <c r="P664" s="15">
        <v>1971</v>
      </c>
      <c r="Q664" s="15" t="str" cm="1">
        <f t="array" ref="Q6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4" s="15" t="str" cm="1">
        <f t="array" ref="R6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canciones/cesareo_gabarain/tarde_en_cana.html</v>
      </c>
      <c r="T664" s="1"/>
      <c r="U664" s="1"/>
      <c r="V664" s="32" t="s">
        <v>5129</v>
      </c>
      <c r="W6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href="canciones/cesareo_gabarain/tarde_en_cana.html"&gt;Tarde en Caná&lt;/a&gt;&lt;/li&gt;</v>
      </c>
      <c r="X664" s="15" t="str">
        <f>_xlfn.TEXTBEFORE(_xlfn.TEXTAFTER(CantoralDB[[#This Row],[index.html]],"&gt;"),"&gt;")&amp;"&gt;"</f>
        <v>&lt;a href="canciones/cesareo_gabarain/tarde_en_cana.html"&gt;</v>
      </c>
      <c r="Y664"/>
      <c r="Z664" s="1"/>
      <c r="AA664" s="1"/>
      <c r="AB664" s="1"/>
      <c r="AC664" s="1"/>
    </row>
    <row r="665" spans="1:29" x14ac:dyDescent="0.3">
      <c r="A665" s="1">
        <f>ROW(CantoralDB[[#This Row],[Título]])-1</f>
        <v>664</v>
      </c>
      <c r="B665" s="1" t="s">
        <v>1661</v>
      </c>
      <c r="C665" s="1"/>
      <c r="J665" s="1"/>
      <c r="M665" s="15" t="s">
        <v>482</v>
      </c>
      <c r="N665" s="1" t="s">
        <v>4606</v>
      </c>
      <c r="O665" s="15">
        <v>12</v>
      </c>
      <c r="P665" s="15">
        <v>1971</v>
      </c>
      <c r="Q665" s="15" t="str" cm="1">
        <f t="array" ref="Q6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5" s="15" t="str" cm="1">
        <f t="array" ref="R6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canciones/cesareo_gabarain/credo.html</v>
      </c>
      <c r="T665" s="1"/>
      <c r="U665" s="1"/>
      <c r="V665" s="32" t="s">
        <v>5130</v>
      </c>
      <c r="W6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href="canciones/cesareo_gabarain/credo.html"&gt;Credo&lt;/a&gt;&lt;/li&gt;</v>
      </c>
      <c r="X665" s="15" t="str">
        <f>_xlfn.TEXTBEFORE(_xlfn.TEXTAFTER(CantoralDB[[#This Row],[index.html]],"&gt;"),"&gt;")&amp;"&gt;"</f>
        <v>&lt;a href="canciones/cesareo_gabarain/credo.html"&gt;</v>
      </c>
      <c r="Y665"/>
      <c r="Z665" s="1"/>
      <c r="AA665" s="1"/>
      <c r="AB665" s="1"/>
      <c r="AC665" s="1"/>
    </row>
    <row r="666" spans="1:29" x14ac:dyDescent="0.3">
      <c r="A666" s="1">
        <f>ROW(CantoralDB[[#This Row],[Título]])-1</f>
        <v>665</v>
      </c>
      <c r="B666" s="1" t="s">
        <v>5134</v>
      </c>
      <c r="C666" s="1"/>
      <c r="J666" s="1"/>
      <c r="M666" s="15" t="s">
        <v>482</v>
      </c>
      <c r="N666" s="1" t="s">
        <v>4606</v>
      </c>
      <c r="O666" s="15">
        <v>13</v>
      </c>
      <c r="P666" s="15">
        <v>1971</v>
      </c>
      <c r="Q666" s="15" t="str" cm="1">
        <f t="array" ref="Q6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6" s="15" t="str" cm="1">
        <f t="array" ref="R6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canciones/cesareo_gabarain/santo_(ii).html</v>
      </c>
      <c r="T666" s="1"/>
      <c r="U666" s="1"/>
      <c r="V666" s="32" t="s">
        <v>5131</v>
      </c>
      <c r="W6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href="canciones/cesareo_gabarain/santo_(ii).html"&gt;Santo (II)&lt;/a&gt;&lt;/li&gt;</v>
      </c>
      <c r="X666" s="15" t="str">
        <f>_xlfn.TEXTBEFORE(_xlfn.TEXTAFTER(CantoralDB[[#This Row],[index.html]],"&gt;"),"&gt;")&amp;"&gt;"</f>
        <v>&lt;a href="canciones/cesareo_gabarain/santo_(ii).html"&gt;</v>
      </c>
      <c r="Y666"/>
      <c r="Z666" s="1"/>
      <c r="AA666" s="1"/>
      <c r="AB666" s="1"/>
      <c r="AC666" s="1"/>
    </row>
    <row r="667" spans="1:29" x14ac:dyDescent="0.3">
      <c r="A667" s="1">
        <f>ROW(CantoralDB[[#This Row],[Título]])-1</f>
        <v>666</v>
      </c>
      <c r="B667" s="1" t="s">
        <v>5096</v>
      </c>
      <c r="C667" s="1"/>
      <c r="J667" s="1"/>
      <c r="M667" s="15" t="s">
        <v>482</v>
      </c>
      <c r="N667" s="1" t="s">
        <v>4606</v>
      </c>
      <c r="O667" s="15">
        <v>14</v>
      </c>
      <c r="P667" s="15">
        <v>1971</v>
      </c>
      <c r="Q667" s="15" t="str" cm="1">
        <f t="array" ref="Q6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7" s="15" t="str" cm="1">
        <f t="array" ref="R6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canciones/cesareo_gabarain/la_paz_este_con_vosotros.html</v>
      </c>
      <c r="T667" s="1"/>
      <c r="U667" s="1"/>
      <c r="V667" s="32" t="s">
        <v>5132</v>
      </c>
      <c r="W6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href="canciones/cesareo_gabarain/la_paz_este_con_vosotros.html"&gt;La paz esté con vosotros&lt;/a&gt;&lt;/li&gt;</v>
      </c>
      <c r="X667" s="15" t="str">
        <f>_xlfn.TEXTBEFORE(_xlfn.TEXTAFTER(CantoralDB[[#This Row],[index.html]],"&gt;"),"&gt;")&amp;"&gt;"</f>
        <v>&lt;a href="canciones/cesareo_gabarain/la_paz_este_con_vosotros.html"&gt;</v>
      </c>
      <c r="Y667"/>
      <c r="Z667" s="1"/>
      <c r="AA667" s="1"/>
      <c r="AB667" s="1"/>
      <c r="AC667" s="1"/>
    </row>
    <row r="668" spans="1:29" x14ac:dyDescent="0.3">
      <c r="A668" s="1">
        <f>ROW(CantoralDB[[#This Row],[Título]])-1</f>
        <v>667</v>
      </c>
      <c r="B668" s="1" t="s">
        <v>179</v>
      </c>
      <c r="C668" s="1" t="s">
        <v>475</v>
      </c>
      <c r="D668" s="1" t="s">
        <v>1410</v>
      </c>
      <c r="G668" s="1" t="s">
        <v>208</v>
      </c>
      <c r="H668" s="1" t="s">
        <v>1027</v>
      </c>
      <c r="J668" s="1" t="s">
        <v>605</v>
      </c>
      <c r="M668" s="15" t="s">
        <v>482</v>
      </c>
      <c r="N668" s="1" t="s">
        <v>4606</v>
      </c>
      <c r="O668" s="15">
        <v>15</v>
      </c>
      <c r="P668" s="15">
        <v>1971</v>
      </c>
      <c r="Q668" s="15" t="str" cm="1">
        <f t="array" ref="Q6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8" s="15" t="str" cm="1">
        <f t="array" ref="R6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6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canciones/cesareo_gabarain/el_niño_dios_ha_nacido_en_belen.html</v>
      </c>
      <c r="T668" s="1"/>
      <c r="U668" s="1"/>
      <c r="V668" s="32" t="s">
        <v>4605</v>
      </c>
      <c r="W6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data-momento="Navidad" data-nnew="O07"&gt;&lt;a href="canciones/cesareo_gabarain/el_niño_dios_ha_nacido_en_belen.html"&gt;El niño Dios ha nacido en Belén&lt;/a&gt;&lt;/li&gt;</v>
      </c>
      <c r="X668" s="15" t="str">
        <f>_xlfn.TEXTBEFORE(_xlfn.TEXTAFTER(CantoralDB[[#This Row],[index.html]],"&gt;"),"&gt;")&amp;"&gt;"</f>
        <v>&lt;a href="canciones/cesareo_gabarain/el_niño_dios_ha_nacido_en_belen.html"&gt;</v>
      </c>
      <c r="Y668"/>
      <c r="Z668" s="1"/>
      <c r="AA668" s="1"/>
      <c r="AB668" s="1"/>
      <c r="AC668" s="1"/>
    </row>
    <row r="669" spans="1:29" x14ac:dyDescent="0.3">
      <c r="A669" s="1">
        <f>ROW(CantoralDB[[#This Row],[Título]])-1</f>
        <v>668</v>
      </c>
      <c r="B669" s="1" t="s">
        <v>1486</v>
      </c>
      <c r="C669" s="1"/>
      <c r="J669" s="1"/>
      <c r="M669" s="15" t="s">
        <v>482</v>
      </c>
      <c r="N669" s="1" t="s">
        <v>4606</v>
      </c>
      <c r="O669" s="15">
        <v>16</v>
      </c>
      <c r="P669" s="15">
        <v>1971</v>
      </c>
      <c r="Q669" s="15" t="str" cm="1">
        <f t="array" ref="Q6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69" s="15" t="str" cm="1">
        <f t="array" ref="R6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canciones/cesareo_gabarain/amigos.html</v>
      </c>
      <c r="T669" s="1"/>
      <c r="U669" s="1"/>
      <c r="V669" s="32" t="s">
        <v>5133</v>
      </c>
      <c r="W6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href="canciones/cesareo_gabarain/amigos.html"&gt;Amigos&lt;/a&gt;&lt;/li&gt;</v>
      </c>
      <c r="X669" s="15" t="str">
        <f>_xlfn.TEXTBEFORE(_xlfn.TEXTAFTER(CantoralDB[[#This Row],[index.html]],"&gt;"),"&gt;")&amp;"&gt;"</f>
        <v>&lt;a href="canciones/cesareo_gabarain/amigos.html"&gt;</v>
      </c>
      <c r="Y669"/>
      <c r="Z669" s="1"/>
      <c r="AA669" s="1"/>
      <c r="AB669" s="1"/>
      <c r="AC669" s="1"/>
    </row>
    <row r="670" spans="1:29" x14ac:dyDescent="0.3">
      <c r="A670" s="1">
        <f>ROW(CantoralDB[[#This Row],[Título]])-1</f>
        <v>669</v>
      </c>
      <c r="B670" s="1" t="s">
        <v>5138</v>
      </c>
      <c r="C670" s="1"/>
      <c r="J670" s="1"/>
      <c r="M670" s="15" t="s">
        <v>482</v>
      </c>
      <c r="N670" s="1" t="s">
        <v>5136</v>
      </c>
      <c r="O670" s="15">
        <v>1</v>
      </c>
      <c r="P670" s="15">
        <v>1983</v>
      </c>
      <c r="Q670" s="15" t="str" cm="1">
        <f t="array" ref="Q6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0" s="15" t="str" cm="1">
        <f t="array" ref="R6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canciones/cesareo_gabarain/hoy_te_quiero_cantar.html</v>
      </c>
      <c r="T670" s="1"/>
      <c r="U670" s="1"/>
      <c r="V670" s="32" t="s">
        <v>5137</v>
      </c>
      <c r="W6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href="canciones/cesareo_gabarain/hoy_te_quiero_cantar.html"&gt;Hoy te quiero cantar&lt;/a&gt;&lt;/li&gt;</v>
      </c>
      <c r="X670" s="15" t="str">
        <f>_xlfn.TEXTBEFORE(_xlfn.TEXTAFTER(CantoralDB[[#This Row],[index.html]],"&gt;"),"&gt;")&amp;"&gt;"</f>
        <v>&lt;a href="canciones/cesareo_gabarain/hoy_te_quiero_cantar.html"&gt;</v>
      </c>
      <c r="Y670"/>
      <c r="Z670" s="1"/>
      <c r="AA670" s="1"/>
      <c r="AB670" s="1"/>
      <c r="AC670" s="1"/>
    </row>
    <row r="671" spans="1:29" x14ac:dyDescent="0.3">
      <c r="A671" s="1">
        <f>ROW(CantoralDB[[#This Row],[Título]])-1</f>
        <v>670</v>
      </c>
      <c r="B671" s="1" t="s">
        <v>5139</v>
      </c>
      <c r="C671" s="1"/>
      <c r="J671" s="1"/>
      <c r="M671" s="15" t="s">
        <v>482</v>
      </c>
      <c r="N671" s="1" t="s">
        <v>5136</v>
      </c>
      <c r="O671" s="15">
        <v>2</v>
      </c>
      <c r="P671" s="15">
        <v>1983</v>
      </c>
      <c r="Q671" s="15" t="str" cm="1">
        <f t="array" ref="Q6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1" s="15" t="str" cm="1">
        <f t="array" ref="R6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canciones/cesareo_gabarain/buscando_al_hijo.html</v>
      </c>
      <c r="T671" s="1"/>
      <c r="U671" s="1"/>
      <c r="V671" s="32" t="s">
        <v>5146</v>
      </c>
      <c r="W6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href="canciones/cesareo_gabarain/buscando_al_hijo.html"&gt;Buscando al Hijo&lt;/a&gt;&lt;/li&gt;</v>
      </c>
      <c r="X671" s="15" t="str">
        <f>_xlfn.TEXTBEFORE(_xlfn.TEXTAFTER(CantoralDB[[#This Row],[index.html]],"&gt;"),"&gt;")&amp;"&gt;"</f>
        <v>&lt;a href="canciones/cesareo_gabarain/buscando_al_hijo.html"&gt;</v>
      </c>
      <c r="Y671"/>
      <c r="Z671" s="1"/>
      <c r="AA671" s="1"/>
      <c r="AB671" s="1"/>
      <c r="AC671" s="1"/>
    </row>
    <row r="672" spans="1:29" x14ac:dyDescent="0.3">
      <c r="A672" s="1">
        <f>ROW(CantoralDB[[#This Row],[Título]])-1</f>
        <v>671</v>
      </c>
      <c r="B672" s="1" t="s">
        <v>5140</v>
      </c>
      <c r="C672" s="1"/>
      <c r="J672" s="1"/>
      <c r="M672" s="15" t="s">
        <v>482</v>
      </c>
      <c r="N672" s="1" t="s">
        <v>5136</v>
      </c>
      <c r="O672" s="15">
        <v>3</v>
      </c>
      <c r="P672" s="15">
        <v>1983</v>
      </c>
      <c r="Q672" s="15" t="str" cm="1">
        <f t="array" ref="Q6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2" s="15" t="str" cm="1">
        <f t="array" ref="R6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canciones/cesareo_gabarain/tu_no_eres_asi.html</v>
      </c>
      <c r="T672" s="1"/>
      <c r="U672" s="1"/>
      <c r="V672" s="32" t="s">
        <v>5147</v>
      </c>
      <c r="W6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href="canciones/cesareo_gabarain/tu_no_eres_asi.html"&gt;Tú no eres así&lt;/a&gt;&lt;/li&gt;</v>
      </c>
      <c r="X672" s="15" t="str">
        <f>_xlfn.TEXTBEFORE(_xlfn.TEXTAFTER(CantoralDB[[#This Row],[index.html]],"&gt;"),"&gt;")&amp;"&gt;"</f>
        <v>&lt;a href="canciones/cesareo_gabarain/tu_no_eres_asi.html"&gt;</v>
      </c>
      <c r="Y672"/>
      <c r="Z672" s="1"/>
      <c r="AA672" s="1"/>
      <c r="AB672" s="1"/>
      <c r="AC672" s="1"/>
    </row>
    <row r="673" spans="1:29" x14ac:dyDescent="0.3">
      <c r="A673" s="1">
        <f>ROW(CantoralDB[[#This Row],[Título]])-1</f>
        <v>672</v>
      </c>
      <c r="B673" s="1" t="s">
        <v>5141</v>
      </c>
      <c r="C673" s="1"/>
      <c r="J673" s="1"/>
      <c r="M673" s="15" t="s">
        <v>482</v>
      </c>
      <c r="N673" s="1" t="s">
        <v>5136</v>
      </c>
      <c r="O673" s="15">
        <v>4</v>
      </c>
      <c r="P673" s="15">
        <v>1983</v>
      </c>
      <c r="Q673" s="15" t="str" cm="1">
        <f t="array" ref="Q6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3" s="15" t="str" cm="1">
        <f t="array" ref="R6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canciones/cesareo_gabarain/en_tu_casa_no_hay_milagros.html</v>
      </c>
      <c r="T673" s="1"/>
      <c r="U673" s="1"/>
      <c r="V673" s="32" t="s">
        <v>5148</v>
      </c>
      <c r="W6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href="canciones/cesareo_gabarain/en_tu_casa_no_hay_milagros.html"&gt;En tu casa no hay milagros&lt;/a&gt;&lt;/li&gt;</v>
      </c>
      <c r="X673" s="15" t="str">
        <f>_xlfn.TEXTBEFORE(_xlfn.TEXTAFTER(CantoralDB[[#This Row],[index.html]],"&gt;"),"&gt;")&amp;"&gt;"</f>
        <v>&lt;a href="canciones/cesareo_gabarain/en_tu_casa_no_hay_milagros.html"&gt;</v>
      </c>
      <c r="Y673"/>
      <c r="Z673" s="1"/>
      <c r="AA673" s="1"/>
      <c r="AB673" s="1"/>
      <c r="AC673" s="1"/>
    </row>
    <row r="674" spans="1:29" x14ac:dyDescent="0.3">
      <c r="A674" s="1">
        <f>ROW(CantoralDB[[#This Row],[Título]])-1</f>
        <v>673</v>
      </c>
      <c r="B674" s="1" t="s">
        <v>5142</v>
      </c>
      <c r="C674" s="1"/>
      <c r="J674" s="1"/>
      <c r="M674" s="15" t="s">
        <v>482</v>
      </c>
      <c r="N674" s="1" t="s">
        <v>5136</v>
      </c>
      <c r="O674" s="15">
        <v>5</v>
      </c>
      <c r="P674" s="15">
        <v>1983</v>
      </c>
      <c r="Q674" s="15" t="str" cm="1">
        <f t="array" ref="Q6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4" s="15" t="str" cm="1">
        <f t="array" ref="R6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canciones/cesareo_gabarain/junto_a_la_cruz.html</v>
      </c>
      <c r="T674" s="1"/>
      <c r="U674" s="1"/>
      <c r="V674" s="32" t="s">
        <v>5149</v>
      </c>
      <c r="W6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href="canciones/cesareo_gabarain/junto_a_la_cruz.html"&gt;Junto a la Cruz&lt;/a&gt;&lt;/li&gt;</v>
      </c>
      <c r="X674" s="15" t="str">
        <f>_xlfn.TEXTBEFORE(_xlfn.TEXTAFTER(CantoralDB[[#This Row],[index.html]],"&gt;"),"&gt;")&amp;"&gt;"</f>
        <v>&lt;a href="canciones/cesareo_gabarain/junto_a_la_cruz.html"&gt;</v>
      </c>
      <c r="Y674"/>
      <c r="Z674" s="1"/>
      <c r="AA674" s="1"/>
      <c r="AB674" s="1"/>
      <c r="AC674" s="1"/>
    </row>
    <row r="675" spans="1:29" x14ac:dyDescent="0.3">
      <c r="A675" s="1">
        <f>ROW(CantoralDB[[#This Row],[Título]])-1</f>
        <v>674</v>
      </c>
      <c r="B675" s="1" t="s">
        <v>5143</v>
      </c>
      <c r="C675" s="1"/>
      <c r="J675" s="1"/>
      <c r="M675" s="15" t="s">
        <v>482</v>
      </c>
      <c r="N675" s="1" t="s">
        <v>5136</v>
      </c>
      <c r="O675" s="15">
        <v>6</v>
      </c>
      <c r="P675" s="15">
        <v>1983</v>
      </c>
      <c r="Q675" s="15" t="str" cm="1">
        <f t="array" ref="Q6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5" s="15" t="str" cm="1">
        <f t="array" ref="R6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canciones/cesareo_gabarain/maria_del_evangelio.html</v>
      </c>
      <c r="T675" s="1"/>
      <c r="U675" s="1"/>
      <c r="V675" s="32" t="s">
        <v>5150</v>
      </c>
      <c r="W6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href="canciones/cesareo_gabarain/maria_del_evangelio.html"&gt;María del Evangelio&lt;/a&gt;&lt;/li&gt;</v>
      </c>
      <c r="X675" s="15" t="str">
        <f>_xlfn.TEXTBEFORE(_xlfn.TEXTAFTER(CantoralDB[[#This Row],[index.html]],"&gt;"),"&gt;")&amp;"&gt;"</f>
        <v>&lt;a href="canciones/cesareo_gabarain/maria_del_evangelio.html"&gt;</v>
      </c>
      <c r="Y675"/>
      <c r="Z675" s="1"/>
      <c r="AA675" s="1"/>
      <c r="AB675" s="1"/>
      <c r="AC675" s="1"/>
    </row>
    <row r="676" spans="1:29" x14ac:dyDescent="0.3">
      <c r="A676" s="1">
        <f>ROW(CantoralDB[[#This Row],[Título]])-1</f>
        <v>675</v>
      </c>
      <c r="B676" s="1" t="s">
        <v>5144</v>
      </c>
      <c r="C676" s="1"/>
      <c r="J676" s="1"/>
      <c r="M676" s="15" t="s">
        <v>482</v>
      </c>
      <c r="N676" s="1" t="s">
        <v>5136</v>
      </c>
      <c r="O676" s="15">
        <v>7</v>
      </c>
      <c r="P676" s="15">
        <v>1983</v>
      </c>
      <c r="Q676" s="15" t="str" cm="1">
        <f t="array" ref="Q6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6" s="15" t="str" cm="1">
        <f t="array" ref="R6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canciones/cesareo_gabarain/si_un_niño_llora.html</v>
      </c>
      <c r="T676" s="1"/>
      <c r="U676" s="1"/>
      <c r="V676" s="32" t="s">
        <v>5151</v>
      </c>
      <c r="W6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href="canciones/cesareo_gabarain/si_un_niño_llora.html"&gt;Si un niño llora&lt;/a&gt;&lt;/li&gt;</v>
      </c>
      <c r="X676" s="15" t="str">
        <f>_xlfn.TEXTBEFORE(_xlfn.TEXTAFTER(CantoralDB[[#This Row],[index.html]],"&gt;"),"&gt;")&amp;"&gt;"</f>
        <v>&lt;a href="canciones/cesareo_gabarain/si_un_niño_llora.html"&gt;</v>
      </c>
      <c r="Y676"/>
      <c r="Z676" s="1"/>
      <c r="AA676" s="1"/>
      <c r="AB676" s="1"/>
      <c r="AC676" s="1"/>
    </row>
    <row r="677" spans="1:29" x14ac:dyDescent="0.3">
      <c r="A677" s="1">
        <f>ROW(CantoralDB[[#This Row],[Título]])-1</f>
        <v>676</v>
      </c>
      <c r="B677" s="1" t="s">
        <v>1500</v>
      </c>
      <c r="C677" s="1"/>
      <c r="J677" s="1"/>
      <c r="M677" s="15" t="s">
        <v>482</v>
      </c>
      <c r="N677" s="1" t="s">
        <v>5136</v>
      </c>
      <c r="O677" s="15">
        <v>8</v>
      </c>
      <c r="P677" s="15">
        <v>1983</v>
      </c>
      <c r="Q677" s="15" t="str" cm="1">
        <f t="array" ref="Q6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7" s="15" t="str" cm="1">
        <f t="array" ref="R6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canciones/cesareo_gabarain/caminando.html</v>
      </c>
      <c r="T677" s="1"/>
      <c r="U677" s="1"/>
      <c r="V677" s="32" t="s">
        <v>5152</v>
      </c>
      <c r="W6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href="canciones/cesareo_gabarain/caminando.html"&gt;Caminando&lt;/a&gt;&lt;/li&gt;</v>
      </c>
      <c r="X677" s="15" t="str">
        <f>_xlfn.TEXTBEFORE(_xlfn.TEXTAFTER(CantoralDB[[#This Row],[index.html]],"&gt;"),"&gt;")&amp;"&gt;"</f>
        <v>&lt;a href="canciones/cesareo_gabarain/caminando.html"&gt;</v>
      </c>
      <c r="Y677"/>
      <c r="Z677" s="1"/>
      <c r="AA677" s="1"/>
      <c r="AB677" s="1"/>
      <c r="AC677" s="1"/>
    </row>
    <row r="678" spans="1:29" x14ac:dyDescent="0.3">
      <c r="A678" s="1">
        <f>ROW(CantoralDB[[#This Row],[Título]])-1</f>
        <v>677</v>
      </c>
      <c r="B678" s="1" t="s">
        <v>5145</v>
      </c>
      <c r="C678" s="1"/>
      <c r="J678" s="1"/>
      <c r="M678" s="15" t="s">
        <v>482</v>
      </c>
      <c r="N678" s="1" t="s">
        <v>5136</v>
      </c>
      <c r="O678" s="15">
        <v>9</v>
      </c>
      <c r="P678" s="15">
        <v>1983</v>
      </c>
      <c r="Q678" s="15" t="str" cm="1">
        <f t="array" ref="Q6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8" s="15" t="str" cm="1">
        <f t="array" ref="R6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canciones/cesareo_gabarain/una_boda_en_cana.html</v>
      </c>
      <c r="T678" s="1"/>
      <c r="U678" s="1"/>
      <c r="V678" s="32" t="s">
        <v>5153</v>
      </c>
      <c r="W6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href="canciones/cesareo_gabarain/una_boda_en_cana.html"&gt;Una boda en Caná&lt;/a&gt;&lt;/li&gt;</v>
      </c>
      <c r="X678" s="15" t="str">
        <f>_xlfn.TEXTBEFORE(_xlfn.TEXTAFTER(CantoralDB[[#This Row],[index.html]],"&gt;"),"&gt;")&amp;"&gt;"</f>
        <v>&lt;a href="canciones/cesareo_gabarain/una_boda_en_cana.html"&gt;</v>
      </c>
      <c r="Y678"/>
      <c r="Z678" s="1"/>
      <c r="AA678" s="1"/>
      <c r="AB678" s="1"/>
      <c r="AC678" s="1"/>
    </row>
    <row r="679" spans="1:29" x14ac:dyDescent="0.3">
      <c r="A679" s="1">
        <f>ROW(CantoralDB[[#This Row],[Título]])-1</f>
        <v>678</v>
      </c>
      <c r="B679" s="1" t="s">
        <v>1550</v>
      </c>
      <c r="C679" s="1"/>
      <c r="J679" s="1"/>
      <c r="M679" s="15" t="s">
        <v>482</v>
      </c>
      <c r="N679" s="1" t="s">
        <v>5136</v>
      </c>
      <c r="O679" s="15">
        <v>10</v>
      </c>
      <c r="P679" s="15">
        <v>1983</v>
      </c>
      <c r="Q679" s="15" t="str" cm="1">
        <f t="array" ref="Q6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79" s="15" t="str" cm="1">
        <f t="array" ref="R6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canciones/cesareo_gabarain/enseñanos_a_orar.html</v>
      </c>
      <c r="T679" s="1"/>
      <c r="U679" s="1"/>
      <c r="V679" s="32" t="s">
        <v>5154</v>
      </c>
      <c r="W6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href="canciones/cesareo_gabarain/enseñanos_a_orar.html"&gt;Enséñanos a orar&lt;/a&gt;&lt;/li&gt;</v>
      </c>
      <c r="X679" s="15" t="str">
        <f>_xlfn.TEXTBEFORE(_xlfn.TEXTAFTER(CantoralDB[[#This Row],[index.html]],"&gt;"),"&gt;")&amp;"&gt;"</f>
        <v>&lt;a href="canciones/cesareo_gabarain/enseñanos_a_orar.html"&gt;</v>
      </c>
      <c r="Y679"/>
      <c r="Z679" s="1"/>
      <c r="AA679" s="1"/>
      <c r="AB679" s="1"/>
      <c r="AC679" s="1"/>
    </row>
    <row r="680" spans="1:29" x14ac:dyDescent="0.3">
      <c r="A680" s="1">
        <f>ROW(CantoralDB[[#This Row],[Título]])-1</f>
        <v>679</v>
      </c>
      <c r="B680" s="1" t="s">
        <v>5155</v>
      </c>
      <c r="C680" s="1"/>
      <c r="J680" s="1"/>
      <c r="M680" s="15" t="s">
        <v>482</v>
      </c>
      <c r="N680" s="1" t="s">
        <v>1932</v>
      </c>
      <c r="O680" s="15">
        <v>1</v>
      </c>
      <c r="P680" s="15">
        <v>1987</v>
      </c>
      <c r="Q680" s="15" t="str" cm="1">
        <f t="array" ref="Q6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0" s="15" t="str" cm="1">
        <f t="array" ref="R6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canciones/cesareo_gabarain/no_fue_facil_maria.html</v>
      </c>
      <c r="T680" s="1"/>
      <c r="U680" s="1"/>
      <c r="V680" s="32" t="s">
        <v>5165</v>
      </c>
      <c r="W6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href="canciones/cesareo_gabarain/no_fue_facil_maria.html"&gt;No fue fácil, María&lt;/a&gt;&lt;/li&gt;</v>
      </c>
      <c r="X680" s="15" t="str">
        <f>_xlfn.TEXTBEFORE(_xlfn.TEXTAFTER(CantoralDB[[#This Row],[index.html]],"&gt;"),"&gt;")&amp;"&gt;"</f>
        <v>&lt;a href="canciones/cesareo_gabarain/no_fue_facil_maria.html"&gt;</v>
      </c>
      <c r="Y680"/>
      <c r="Z680" s="1"/>
      <c r="AA680" s="1"/>
      <c r="AB680" s="1"/>
      <c r="AC680" s="1"/>
    </row>
    <row r="681" spans="1:29" x14ac:dyDescent="0.3">
      <c r="A681" s="1">
        <f>ROW(CantoralDB[[#This Row],[Título]])-1</f>
        <v>680</v>
      </c>
      <c r="B681" s="1" t="s">
        <v>5156</v>
      </c>
      <c r="C681" s="1"/>
      <c r="J681" s="1"/>
      <c r="M681" s="15" t="s">
        <v>482</v>
      </c>
      <c r="N681" s="1" t="s">
        <v>1932</v>
      </c>
      <c r="O681" s="15">
        <v>2</v>
      </c>
      <c r="P681" s="15">
        <v>1987</v>
      </c>
      <c r="Q681" s="15" t="str" cm="1">
        <f t="array" ref="Q6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1" s="15" t="str" cm="1">
        <f t="array" ref="R6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canciones/cesareo_gabarain/llena_de_gracia.html</v>
      </c>
      <c r="T681" s="1"/>
      <c r="U681" s="1"/>
      <c r="V681" s="32" t="s">
        <v>5166</v>
      </c>
      <c r="W6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href="canciones/cesareo_gabarain/llena_de_gracia.html"&gt;Llena de gracia&lt;/a&gt;&lt;/li&gt;</v>
      </c>
      <c r="X681" s="15" t="str">
        <f>_xlfn.TEXTBEFORE(_xlfn.TEXTAFTER(CantoralDB[[#This Row],[index.html]],"&gt;"),"&gt;")&amp;"&gt;"</f>
        <v>&lt;a href="canciones/cesareo_gabarain/llena_de_gracia.html"&gt;</v>
      </c>
      <c r="Y681"/>
      <c r="Z681" s="1"/>
      <c r="AA681" s="1"/>
      <c r="AB681" s="1"/>
      <c r="AC681" s="1"/>
    </row>
    <row r="682" spans="1:29" x14ac:dyDescent="0.3">
      <c r="A682" s="1">
        <f>ROW(CantoralDB[[#This Row],[Título]])-1</f>
        <v>681</v>
      </c>
      <c r="B682" s="1" t="s">
        <v>5157</v>
      </c>
      <c r="C682" s="1"/>
      <c r="J682" s="1"/>
      <c r="M682" s="15" t="s">
        <v>482</v>
      </c>
      <c r="N682" s="1" t="s">
        <v>1932</v>
      </c>
      <c r="O682" s="15">
        <v>3</v>
      </c>
      <c r="P682" s="15">
        <v>1987</v>
      </c>
      <c r="Q682" s="15" t="str" cm="1">
        <f t="array" ref="Q6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2" s="15" t="str" cm="1">
        <f t="array" ref="R6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canciones/cesareo_gabarain/en_cana_de_galilea.html</v>
      </c>
      <c r="T682" s="1"/>
      <c r="U682" s="1"/>
      <c r="V682" s="32" t="s">
        <v>5167</v>
      </c>
      <c r="W6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href="canciones/cesareo_gabarain/en_cana_de_galilea.html"&gt;En Caná de Galilea&lt;/a&gt;&lt;/li&gt;</v>
      </c>
      <c r="X682" s="15" t="str">
        <f>_xlfn.TEXTBEFORE(_xlfn.TEXTAFTER(CantoralDB[[#This Row],[index.html]],"&gt;"),"&gt;")&amp;"&gt;"</f>
        <v>&lt;a href="canciones/cesareo_gabarain/en_cana_de_galilea.html"&gt;</v>
      </c>
      <c r="Y682"/>
      <c r="Z682" s="1"/>
      <c r="AA682" s="1"/>
      <c r="AB682" s="1"/>
      <c r="AC682" s="1"/>
    </row>
    <row r="683" spans="1:29" x14ac:dyDescent="0.3">
      <c r="A683" s="1">
        <f>ROW(CantoralDB[[#This Row],[Título]])-1</f>
        <v>682</v>
      </c>
      <c r="B683" s="1" t="s">
        <v>5158</v>
      </c>
      <c r="C683" s="1"/>
      <c r="J683" s="1"/>
      <c r="M683" s="15" t="s">
        <v>482</v>
      </c>
      <c r="N683" s="1" t="s">
        <v>1932</v>
      </c>
      <c r="O683" s="15">
        <v>4</v>
      </c>
      <c r="P683" s="15">
        <v>1987</v>
      </c>
      <c r="Q683" s="15" t="str" cm="1">
        <f t="array" ref="Q6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3" s="15" t="str" cm="1">
        <f t="array" ref="R6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canciones/cesareo_gabarain/bendita_tu_eres.html</v>
      </c>
      <c r="T683" s="1"/>
      <c r="U683" s="1"/>
      <c r="V683" s="32" t="s">
        <v>5168</v>
      </c>
      <c r="W6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href="canciones/cesareo_gabarain/bendita_tu_eres.html"&gt;Bendita tú eres&lt;/a&gt;&lt;/li&gt;</v>
      </c>
      <c r="X683" s="15" t="str">
        <f>_xlfn.TEXTBEFORE(_xlfn.TEXTAFTER(CantoralDB[[#This Row],[index.html]],"&gt;"),"&gt;")&amp;"&gt;"</f>
        <v>&lt;a href="canciones/cesareo_gabarain/bendita_tu_eres.html"&gt;</v>
      </c>
      <c r="Y683"/>
      <c r="Z683" s="1"/>
      <c r="AA683" s="1"/>
      <c r="AB683" s="1"/>
      <c r="AC683" s="1"/>
    </row>
    <row r="684" spans="1:29" x14ac:dyDescent="0.3">
      <c r="A684" s="1">
        <f>ROW(CantoralDB[[#This Row],[Título]])-1</f>
        <v>683</v>
      </c>
      <c r="B684" s="1" t="s">
        <v>1932</v>
      </c>
      <c r="C684" s="1"/>
      <c r="J684" s="1"/>
      <c r="M684" s="15" t="s">
        <v>482</v>
      </c>
      <c r="N684" s="1" t="s">
        <v>1932</v>
      </c>
      <c r="O684" s="15">
        <v>5</v>
      </c>
      <c r="P684" s="15">
        <v>1987</v>
      </c>
      <c r="Q684" s="15" t="str" cm="1">
        <f t="array" ref="Q6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4" s="15" t="str" cm="1">
        <f t="array" ref="R6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canciones/cesareo_gabarain/madre_del_redentor.html</v>
      </c>
      <c r="T684" s="1"/>
      <c r="U684" s="1"/>
      <c r="V684" s="32" t="s">
        <v>5169</v>
      </c>
      <c r="W6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href="canciones/cesareo_gabarain/madre_del_redentor.html"&gt;Madre del Redentor&lt;/a&gt;&lt;/li&gt;</v>
      </c>
      <c r="X684" s="15" t="str">
        <f>_xlfn.TEXTBEFORE(_xlfn.TEXTAFTER(CantoralDB[[#This Row],[index.html]],"&gt;"),"&gt;")&amp;"&gt;"</f>
        <v>&lt;a href="canciones/cesareo_gabarain/madre_del_redentor.html"&gt;</v>
      </c>
      <c r="Y684"/>
      <c r="Z684" s="1"/>
      <c r="AA684" s="1"/>
      <c r="AB684" s="1"/>
      <c r="AC684" s="1"/>
    </row>
    <row r="685" spans="1:29" x14ac:dyDescent="0.3">
      <c r="A685" s="1">
        <f>ROW(CantoralDB[[#This Row],[Título]])-1</f>
        <v>684</v>
      </c>
      <c r="B685" s="1" t="s">
        <v>5159</v>
      </c>
      <c r="C685" s="1"/>
      <c r="J685" s="1"/>
      <c r="M685" s="15" t="s">
        <v>482</v>
      </c>
      <c r="N685" s="1" t="s">
        <v>1932</v>
      </c>
      <c r="O685" s="15">
        <v>6</v>
      </c>
      <c r="P685" s="15">
        <v>1987</v>
      </c>
      <c r="Q685" s="15" t="str" cm="1">
        <f t="array" ref="Q6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5" s="15" t="str" cm="1">
        <f t="array" ref="R6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canciones/cesareo_gabarain/bendito_quien_escucha_la_palabra.html</v>
      </c>
      <c r="T685" s="1"/>
      <c r="U685" s="1"/>
      <c r="V685" s="32" t="s">
        <v>5170</v>
      </c>
      <c r="W6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href="canciones/cesareo_gabarain/bendito_quien_escucha_la_palabra.html"&gt;Bendito quien escucha la palabra&lt;/a&gt;&lt;/li&gt;</v>
      </c>
      <c r="X685" s="15" t="str">
        <f>_xlfn.TEXTBEFORE(_xlfn.TEXTAFTER(CantoralDB[[#This Row],[index.html]],"&gt;"),"&gt;")&amp;"&gt;"</f>
        <v>&lt;a href="canciones/cesareo_gabarain/bendito_quien_escucha_la_palabra.html"&gt;</v>
      </c>
      <c r="Y685"/>
      <c r="Z685" s="1"/>
      <c r="AA685" s="1"/>
      <c r="AB685" s="1"/>
      <c r="AC685" s="1"/>
    </row>
    <row r="686" spans="1:29" x14ac:dyDescent="0.3">
      <c r="A686" s="1">
        <f>ROW(CantoralDB[[#This Row],[Título]])-1</f>
        <v>685</v>
      </c>
      <c r="B686" s="1" t="s">
        <v>5160</v>
      </c>
      <c r="C686" s="1"/>
      <c r="J686" s="1"/>
      <c r="M686" s="15" t="s">
        <v>482</v>
      </c>
      <c r="N686" s="1" t="s">
        <v>1932</v>
      </c>
      <c r="O686" s="15">
        <v>7</v>
      </c>
      <c r="P686" s="15">
        <v>1987</v>
      </c>
      <c r="Q686" s="15" t="str" cm="1">
        <f t="array" ref="Q6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6" s="15" t="str" cm="1">
        <f t="array" ref="R6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canciones/cesareo_gabarain/feliz_la_que_ha_creido.html</v>
      </c>
      <c r="T686" s="1"/>
      <c r="U686" s="1"/>
      <c r="V686" s="32" t="s">
        <v>5171</v>
      </c>
      <c r="W6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href="canciones/cesareo_gabarain/feliz_la_que_ha_creido.html"&gt;Feliz la que ha creído&lt;/a&gt;&lt;/li&gt;</v>
      </c>
      <c r="X686" s="15" t="str">
        <f>_xlfn.TEXTBEFORE(_xlfn.TEXTAFTER(CantoralDB[[#This Row],[index.html]],"&gt;"),"&gt;")&amp;"&gt;"</f>
        <v>&lt;a href="canciones/cesareo_gabarain/feliz_la_que_ha_creido.html"&gt;</v>
      </c>
      <c r="Y686"/>
      <c r="Z686" s="1"/>
      <c r="AA686" s="1"/>
      <c r="AB686" s="1"/>
      <c r="AC686" s="1"/>
    </row>
    <row r="687" spans="1:29" x14ac:dyDescent="0.3">
      <c r="A687" s="1">
        <f>ROW(CantoralDB[[#This Row],[Título]])-1</f>
        <v>686</v>
      </c>
      <c r="B687" s="1" t="s">
        <v>5161</v>
      </c>
      <c r="C687" s="1"/>
      <c r="J687" s="1"/>
      <c r="M687" s="15" t="s">
        <v>482</v>
      </c>
      <c r="N687" s="1" t="s">
        <v>1932</v>
      </c>
      <c r="O687" s="15">
        <v>8</v>
      </c>
      <c r="P687" s="15">
        <v>1987</v>
      </c>
      <c r="Q687" s="15" t="str" cm="1">
        <f t="array" ref="Q6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7" s="15" t="str" cm="1">
        <f t="array" ref="R6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canciones/cesareo_gabarain/puente_y_camino.html</v>
      </c>
      <c r="T687" s="1"/>
      <c r="U687" s="1"/>
      <c r="V687" s="32" t="s">
        <v>5172</v>
      </c>
      <c r="W6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href="canciones/cesareo_gabarain/puente_y_camino.html"&gt;Puente y camino&lt;/a&gt;&lt;/li&gt;</v>
      </c>
      <c r="X687" s="15" t="str">
        <f>_xlfn.TEXTBEFORE(_xlfn.TEXTAFTER(CantoralDB[[#This Row],[index.html]],"&gt;"),"&gt;")&amp;"&gt;"</f>
        <v>&lt;a href="canciones/cesareo_gabarain/puente_y_camino.html"&gt;</v>
      </c>
      <c r="Y687"/>
      <c r="Z687" s="1"/>
      <c r="AA687" s="1"/>
      <c r="AB687" s="1"/>
      <c r="AC687" s="1"/>
    </row>
    <row r="688" spans="1:29" x14ac:dyDescent="0.3">
      <c r="A688" s="1">
        <f>ROW(CantoralDB[[#This Row],[Título]])-1</f>
        <v>687</v>
      </c>
      <c r="B688" s="1" t="s">
        <v>5162</v>
      </c>
      <c r="C688" s="1"/>
      <c r="J688" s="1"/>
      <c r="M688" s="15" t="s">
        <v>482</v>
      </c>
      <c r="N688" s="1" t="s">
        <v>1932</v>
      </c>
      <c r="O688" s="15">
        <v>9</v>
      </c>
      <c r="P688" s="15">
        <v>1987</v>
      </c>
      <c r="Q688" s="15" t="str" cm="1">
        <f t="array" ref="Q6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8" s="15" t="str" cm="1">
        <f t="array" ref="R6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canciones/cesareo_gabarain/nos_acompañas_en_el_camino.html</v>
      </c>
      <c r="T688" s="1"/>
      <c r="U688" s="1"/>
      <c r="V688" s="32" t="s">
        <v>5173</v>
      </c>
      <c r="W6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href="canciones/cesareo_gabarain/nos_acompañas_en_el_camino.html"&gt;Nos acompañas en el camino&lt;/a&gt;&lt;/li&gt;</v>
      </c>
      <c r="X688" s="15" t="str">
        <f>_xlfn.TEXTBEFORE(_xlfn.TEXTAFTER(CantoralDB[[#This Row],[index.html]],"&gt;"),"&gt;")&amp;"&gt;"</f>
        <v>&lt;a href="canciones/cesareo_gabarain/nos_acompañas_en_el_camino.html"&gt;</v>
      </c>
      <c r="Y688"/>
      <c r="Z688" s="1"/>
      <c r="AA688" s="1"/>
      <c r="AB688" s="1"/>
      <c r="AC688" s="1"/>
    </row>
    <row r="689" spans="1:29" x14ac:dyDescent="0.3">
      <c r="A689" s="1">
        <f>ROW(CantoralDB[[#This Row],[Título]])-1</f>
        <v>688</v>
      </c>
      <c r="B689" s="1" t="s">
        <v>5163</v>
      </c>
      <c r="C689" s="1"/>
      <c r="J689" s="1"/>
      <c r="M689" s="15" t="s">
        <v>482</v>
      </c>
      <c r="N689" s="1" t="s">
        <v>1932</v>
      </c>
      <c r="O689" s="15">
        <v>10</v>
      </c>
      <c r="P689" s="15">
        <v>1987</v>
      </c>
      <c r="Q689" s="15" t="str" cm="1">
        <f t="array" ref="Q6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89" s="15" t="str" cm="1">
        <f t="array" ref="R6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canciones/cesareo_gabarain/madre_de_la_unidad.html</v>
      </c>
      <c r="T689" s="1"/>
      <c r="U689" s="1"/>
      <c r="V689" s="32" t="s">
        <v>5174</v>
      </c>
      <c r="W6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href="canciones/cesareo_gabarain/madre_de_la_unidad.html"&gt;Madre de la unidad&lt;/a&gt;&lt;/li&gt;</v>
      </c>
      <c r="X689" s="15" t="str">
        <f>_xlfn.TEXTBEFORE(_xlfn.TEXTAFTER(CantoralDB[[#This Row],[index.html]],"&gt;"),"&gt;")&amp;"&gt;"</f>
        <v>&lt;a href="canciones/cesareo_gabarain/madre_de_la_unidad.html"&gt;</v>
      </c>
      <c r="Y689"/>
      <c r="Z689" s="1"/>
      <c r="AA689" s="1"/>
      <c r="AB689" s="1"/>
      <c r="AC689" s="1"/>
    </row>
    <row r="690" spans="1:29" x14ac:dyDescent="0.3">
      <c r="A690" s="1">
        <f>ROW(CantoralDB[[#This Row],[Título]])-1</f>
        <v>689</v>
      </c>
      <c r="B690" s="1" t="s">
        <v>5164</v>
      </c>
      <c r="C690" s="1"/>
      <c r="J690" s="1"/>
      <c r="M690" s="15" t="s">
        <v>482</v>
      </c>
      <c r="N690" s="1" t="s">
        <v>1932</v>
      </c>
      <c r="O690" s="15">
        <v>11</v>
      </c>
      <c r="P690" s="15">
        <v>1987</v>
      </c>
      <c r="Q690" s="15" t="str" cm="1">
        <f t="array" ref="Q6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0" s="15" t="str" cm="1">
        <f t="array" ref="R6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canciones/cesareo_gabarain/madre_de_misericordia.html</v>
      </c>
      <c r="T690" s="1"/>
      <c r="U690" s="1"/>
      <c r="V690" s="32" t="s">
        <v>5175</v>
      </c>
      <c r="W6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href="canciones/cesareo_gabarain/madre_de_misericordia.html"&gt;Madre de misericordia&lt;/a&gt;&lt;/li&gt;</v>
      </c>
      <c r="X690" s="15" t="str">
        <f>_xlfn.TEXTBEFORE(_xlfn.TEXTAFTER(CantoralDB[[#This Row],[index.html]],"&gt;"),"&gt;")&amp;"&gt;"</f>
        <v>&lt;a href="canciones/cesareo_gabarain/madre_de_misericordia.html"&gt;</v>
      </c>
      <c r="Y690"/>
      <c r="Z690" s="1"/>
      <c r="AA690" s="1"/>
      <c r="AB690" s="1"/>
      <c r="AC690" s="1"/>
    </row>
    <row r="691" spans="1:29" x14ac:dyDescent="0.3">
      <c r="A691" s="1">
        <f>ROW(CantoralDB[[#This Row],[Título]])-1</f>
        <v>690</v>
      </c>
      <c r="B691" s="1" t="s">
        <v>5177</v>
      </c>
      <c r="C691" s="1"/>
      <c r="J691" s="1"/>
      <c r="M691" s="15" t="s">
        <v>482</v>
      </c>
      <c r="N691" s="1" t="s">
        <v>5176</v>
      </c>
      <c r="O691" s="15">
        <v>1</v>
      </c>
      <c r="P691" s="15">
        <v>1972</v>
      </c>
      <c r="Q691" s="15" t="str" cm="1">
        <f t="array" ref="Q6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1" s="15" t="str" cm="1">
        <f t="array" ref="R6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canciones/cesareo_gabarain/estrella_y_camino.html</v>
      </c>
      <c r="T691" s="1"/>
      <c r="U691" s="1"/>
      <c r="V691" s="32" t="s">
        <v>5188</v>
      </c>
      <c r="W6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href="canciones/cesareo_gabarain/estrella_y_camino.html"&gt;Estrella y camino&lt;/a&gt;&lt;/li&gt;</v>
      </c>
      <c r="X691" s="15" t="str">
        <f>_xlfn.TEXTBEFORE(_xlfn.TEXTAFTER(CantoralDB[[#This Row],[index.html]],"&gt;"),"&gt;")&amp;"&gt;"</f>
        <v>&lt;a href="canciones/cesareo_gabarain/estrella_y_camino.html"&gt;</v>
      </c>
      <c r="Y691"/>
      <c r="Z691" s="1"/>
      <c r="AA691" s="1"/>
      <c r="AB691" s="1"/>
      <c r="AC691" s="1"/>
    </row>
    <row r="692" spans="1:29" x14ac:dyDescent="0.3">
      <c r="A692" s="1">
        <f>ROW(CantoralDB[[#This Row],[Título]])-1</f>
        <v>691</v>
      </c>
      <c r="B692" s="1" t="s">
        <v>5178</v>
      </c>
      <c r="C692" s="1"/>
      <c r="J692" s="1"/>
      <c r="M692" s="15" t="s">
        <v>482</v>
      </c>
      <c r="N692" s="1" t="s">
        <v>5176</v>
      </c>
      <c r="O692" s="15">
        <v>2</v>
      </c>
      <c r="P692" s="15">
        <v>1972</v>
      </c>
      <c r="Q692" s="15" t="str" cm="1">
        <f t="array" ref="Q6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2" s="15" t="str" cm="1">
        <f t="array" ref="R6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canciones/cesareo_gabarain/madre_de_nuestra_alegria.html</v>
      </c>
      <c r="T692" s="1"/>
      <c r="U692" s="1"/>
      <c r="V692" s="32" t="s">
        <v>5189</v>
      </c>
      <c r="W6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href="canciones/cesareo_gabarain/madre_de_nuestra_alegria.html"&gt;Madre de nuestra alegría&lt;/a&gt;&lt;/li&gt;</v>
      </c>
      <c r="X692" s="15" t="str">
        <f>_xlfn.TEXTBEFORE(_xlfn.TEXTAFTER(CantoralDB[[#This Row],[index.html]],"&gt;"),"&gt;")&amp;"&gt;"</f>
        <v>&lt;a href="canciones/cesareo_gabarain/madre_de_nuestra_alegria.html"&gt;</v>
      </c>
      <c r="Y692"/>
      <c r="Z692" s="1"/>
      <c r="AA692" s="1"/>
      <c r="AB692" s="1"/>
      <c r="AC692" s="1"/>
    </row>
    <row r="693" spans="1:29" x14ac:dyDescent="0.3">
      <c r="A693" s="1">
        <f>ROW(CantoralDB[[#This Row],[Título]])-1</f>
        <v>692</v>
      </c>
      <c r="B693" s="1" t="s">
        <v>5179</v>
      </c>
      <c r="C693" s="1"/>
      <c r="J693" s="1"/>
      <c r="M693" s="15" t="s">
        <v>482</v>
      </c>
      <c r="N693" s="1" t="s">
        <v>5176</v>
      </c>
      <c r="O693" s="15">
        <v>4</v>
      </c>
      <c r="P693" s="15">
        <v>1972</v>
      </c>
      <c r="Q693" s="15" t="str" cm="1">
        <f t="array" ref="Q6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3" s="15" t="str" cm="1">
        <f t="array" ref="R6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canciones/cesareo_gabarain/humilde_nazarena.html</v>
      </c>
      <c r="T693" s="1"/>
      <c r="U693" s="1"/>
      <c r="V693" s="32" t="s">
        <v>5190</v>
      </c>
      <c r="W6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href="canciones/cesareo_gabarain/humilde_nazarena.html"&gt;Humilde nazarena&lt;/a&gt;&lt;/li&gt;</v>
      </c>
      <c r="X693" s="15" t="str">
        <f>_xlfn.TEXTBEFORE(_xlfn.TEXTAFTER(CantoralDB[[#This Row],[index.html]],"&gt;"),"&gt;")&amp;"&gt;"</f>
        <v>&lt;a href="canciones/cesareo_gabarain/humilde_nazarena.html"&gt;</v>
      </c>
      <c r="Y693"/>
      <c r="Z693" s="1"/>
      <c r="AA693" s="1"/>
      <c r="AB693" s="1"/>
      <c r="AC693" s="1"/>
    </row>
    <row r="694" spans="1:29" x14ac:dyDescent="0.3">
      <c r="A694" s="1">
        <f>ROW(CantoralDB[[#This Row],[Título]])-1</f>
        <v>693</v>
      </c>
      <c r="B694" s="1" t="s">
        <v>5180</v>
      </c>
      <c r="C694" s="1"/>
      <c r="J694" s="1"/>
      <c r="M694" s="15" t="s">
        <v>482</v>
      </c>
      <c r="N694" s="1" t="s">
        <v>5176</v>
      </c>
      <c r="O694" s="15">
        <v>5</v>
      </c>
      <c r="P694" s="15">
        <v>1972</v>
      </c>
      <c r="Q694" s="15" t="str" cm="1">
        <f t="array" ref="Q6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4" s="15" t="str" cm="1">
        <f t="array" ref="R6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canciones/cesareo_gabarain/madre_de_los_pobres.html</v>
      </c>
      <c r="T694" s="1"/>
      <c r="U694" s="1"/>
      <c r="V694" s="32" t="s">
        <v>5191</v>
      </c>
      <c r="W6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href="canciones/cesareo_gabarain/madre_de_los_pobres.html"&gt;Madre de los pobres&lt;/a&gt;&lt;/li&gt;</v>
      </c>
      <c r="X694" s="15" t="str">
        <f>_xlfn.TEXTBEFORE(_xlfn.TEXTAFTER(CantoralDB[[#This Row],[index.html]],"&gt;"),"&gt;")&amp;"&gt;"</f>
        <v>&lt;a href="canciones/cesareo_gabarain/madre_de_los_pobres.html"&gt;</v>
      </c>
      <c r="Y694"/>
      <c r="Z694" s="1"/>
      <c r="AA694" s="1"/>
      <c r="AB694" s="1"/>
      <c r="AC694" s="1"/>
    </row>
    <row r="695" spans="1:29" x14ac:dyDescent="0.3">
      <c r="A695" s="1">
        <f>ROW(CantoralDB[[#This Row],[Título]])-1</f>
        <v>694</v>
      </c>
      <c r="B695" s="1" t="s">
        <v>5181</v>
      </c>
      <c r="C695" s="1"/>
      <c r="J695" s="1"/>
      <c r="M695" s="15" t="s">
        <v>482</v>
      </c>
      <c r="N695" s="1" t="s">
        <v>5176</v>
      </c>
      <c r="O695" s="15">
        <v>6</v>
      </c>
      <c r="P695" s="15">
        <v>1972</v>
      </c>
      <c r="Q695" s="15" t="str" cm="1">
        <f t="array" ref="Q6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5" s="15" t="str" cm="1">
        <f t="array" ref="R6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canciones/cesareo_gabarain/madre_dolorosa.html</v>
      </c>
      <c r="T695" s="1"/>
      <c r="U695" s="1"/>
      <c r="V695" s="32" t="s">
        <v>5192</v>
      </c>
      <c r="W6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href="canciones/cesareo_gabarain/madre_dolorosa.html"&gt;Madre dolorosa&lt;/a&gt;&lt;/li&gt;</v>
      </c>
      <c r="X695" s="15" t="str">
        <f>_xlfn.TEXTBEFORE(_xlfn.TEXTAFTER(CantoralDB[[#This Row],[index.html]],"&gt;"),"&gt;")&amp;"&gt;"</f>
        <v>&lt;a href="canciones/cesareo_gabarain/madre_dolorosa.html"&gt;</v>
      </c>
      <c r="Y695"/>
      <c r="Z695" s="1"/>
      <c r="AA695" s="1"/>
      <c r="AB695" s="1"/>
      <c r="AC695" s="1"/>
    </row>
    <row r="696" spans="1:29" x14ac:dyDescent="0.3">
      <c r="A696" s="1">
        <f>ROW(CantoralDB[[#This Row],[Título]])-1</f>
        <v>695</v>
      </c>
      <c r="B696" s="1" t="s">
        <v>5182</v>
      </c>
      <c r="C696" s="1"/>
      <c r="J696" s="1"/>
      <c r="M696" s="15" t="s">
        <v>482</v>
      </c>
      <c r="N696" s="1" t="s">
        <v>5176</v>
      </c>
      <c r="O696" s="15">
        <v>7</v>
      </c>
      <c r="P696" s="15">
        <v>1972</v>
      </c>
      <c r="Q696" s="15" t="str" cm="1">
        <f t="array" ref="Q6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6" s="15" t="str" cm="1">
        <f t="array" ref="R6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canciones/cesareo_gabarain/del_cielo_vino.html</v>
      </c>
      <c r="T696" s="1"/>
      <c r="U696" s="1"/>
      <c r="V696" s="32" t="s">
        <v>5193</v>
      </c>
      <c r="W6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href="canciones/cesareo_gabarain/del_cielo_vino.html"&gt;Del cielo vino&lt;/a&gt;&lt;/li&gt;</v>
      </c>
      <c r="X696" s="15" t="str">
        <f>_xlfn.TEXTBEFORE(_xlfn.TEXTAFTER(CantoralDB[[#This Row],[index.html]],"&gt;"),"&gt;")&amp;"&gt;"</f>
        <v>&lt;a href="canciones/cesareo_gabarain/del_cielo_vino.html"&gt;</v>
      </c>
      <c r="Y696"/>
      <c r="Z696" s="1"/>
      <c r="AA696" s="1"/>
      <c r="AB696" s="1"/>
      <c r="AC696" s="1"/>
    </row>
    <row r="697" spans="1:29" x14ac:dyDescent="0.3">
      <c r="A697" s="1">
        <f>ROW(CantoralDB[[#This Row],[Título]])-1</f>
        <v>696</v>
      </c>
      <c r="B697" s="1" t="s">
        <v>5183</v>
      </c>
      <c r="C697" s="1"/>
      <c r="J697" s="1"/>
      <c r="M697" s="15" t="s">
        <v>482</v>
      </c>
      <c r="N697" s="1" t="s">
        <v>5176</v>
      </c>
      <c r="O697" s="15">
        <v>8</v>
      </c>
      <c r="P697" s="15">
        <v>1972</v>
      </c>
      <c r="Q697" s="15" t="str" cm="1">
        <f t="array" ref="Q6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7" s="15" t="str" cm="1">
        <f t="array" ref="R6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canciones/cesareo_gabarain/siempre_acudimos_a_ti.html</v>
      </c>
      <c r="T697" s="1"/>
      <c r="U697" s="1"/>
      <c r="V697" s="32" t="s">
        <v>5194</v>
      </c>
      <c r="W6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href="canciones/cesareo_gabarain/siempre_acudimos_a_ti.html"&gt;Siempre acudimos a ti&lt;/a&gt;&lt;/li&gt;</v>
      </c>
      <c r="X697" s="15" t="str">
        <f>_xlfn.TEXTBEFORE(_xlfn.TEXTAFTER(CantoralDB[[#This Row],[index.html]],"&gt;"),"&gt;")&amp;"&gt;"</f>
        <v>&lt;a href="canciones/cesareo_gabarain/siempre_acudimos_a_ti.html"&gt;</v>
      </c>
      <c r="Y697"/>
      <c r="Z697" s="1"/>
      <c r="AA697" s="1"/>
      <c r="AB697" s="1"/>
      <c r="AC697" s="1"/>
    </row>
    <row r="698" spans="1:29" x14ac:dyDescent="0.3">
      <c r="A698" s="1">
        <f>ROW(CantoralDB[[#This Row],[Título]])-1</f>
        <v>697</v>
      </c>
      <c r="B698" s="1" t="s">
        <v>5184</v>
      </c>
      <c r="C698" s="1"/>
      <c r="J698" s="1"/>
      <c r="M698" s="15" t="s">
        <v>482</v>
      </c>
      <c r="N698" s="1" t="s">
        <v>5176</v>
      </c>
      <c r="O698" s="15">
        <v>9</v>
      </c>
      <c r="P698" s="15">
        <v>1972</v>
      </c>
      <c r="Q698" s="15" t="str" cm="1">
        <f t="array" ref="Q6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8" s="15" t="str" cm="1">
        <f t="array" ref="R6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canciones/cesareo_gabarain/nana_de_belen.html</v>
      </c>
      <c r="T698" s="1"/>
      <c r="U698" s="1"/>
      <c r="V698" s="32" t="s">
        <v>5195</v>
      </c>
      <c r="W6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href="canciones/cesareo_gabarain/nana_de_belen.html"&gt;Nana de Belén&lt;/a&gt;&lt;/li&gt;</v>
      </c>
      <c r="X698" s="15" t="str">
        <f>_xlfn.TEXTBEFORE(_xlfn.TEXTAFTER(CantoralDB[[#This Row],[index.html]],"&gt;"),"&gt;")&amp;"&gt;"</f>
        <v>&lt;a href="canciones/cesareo_gabarain/nana_de_belen.html"&gt;</v>
      </c>
      <c r="Y698"/>
      <c r="Z698" s="1"/>
      <c r="AA698" s="1"/>
      <c r="AB698" s="1"/>
      <c r="AC698" s="1"/>
    </row>
    <row r="699" spans="1:29" x14ac:dyDescent="0.3">
      <c r="A699" s="1">
        <f>ROW(CantoralDB[[#This Row],[Título]])-1</f>
        <v>698</v>
      </c>
      <c r="B699" s="1" t="s">
        <v>5185</v>
      </c>
      <c r="C699" s="1"/>
      <c r="J699" s="1"/>
      <c r="M699" s="15" t="s">
        <v>482</v>
      </c>
      <c r="N699" s="1" t="s">
        <v>5176</v>
      </c>
      <c r="O699" s="15">
        <v>10</v>
      </c>
      <c r="P699" s="15">
        <v>1972</v>
      </c>
      <c r="Q699" s="15" t="str" cm="1">
        <f t="array" ref="Q6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699" s="15" t="str" cm="1">
        <f t="array" ref="R6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6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canciones/cesareo_gabarain/madre_del_amor.html</v>
      </c>
      <c r="T699" s="1"/>
      <c r="U699" s="1"/>
      <c r="V699" s="32" t="s">
        <v>5196</v>
      </c>
      <c r="W6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href="canciones/cesareo_gabarain/madre_del_amor.html"&gt;Madre del amor&lt;/a&gt;&lt;/li&gt;</v>
      </c>
      <c r="X699" s="15" t="str">
        <f>_xlfn.TEXTBEFORE(_xlfn.TEXTAFTER(CantoralDB[[#This Row],[index.html]],"&gt;"),"&gt;")&amp;"&gt;"</f>
        <v>&lt;a href="canciones/cesareo_gabarain/madre_del_amor.html"&gt;</v>
      </c>
      <c r="Y699"/>
      <c r="Z699" s="1"/>
      <c r="AA699" s="1"/>
      <c r="AB699" s="1"/>
      <c r="AC699" s="1"/>
    </row>
    <row r="700" spans="1:29" x14ac:dyDescent="0.3">
      <c r="A700" s="1">
        <f>ROW(CantoralDB[[#This Row],[Título]])-1</f>
        <v>699</v>
      </c>
      <c r="B700" s="1" t="s">
        <v>5186</v>
      </c>
      <c r="C700" s="1"/>
      <c r="J700" s="1"/>
      <c r="M700" s="15" t="s">
        <v>482</v>
      </c>
      <c r="N700" s="1" t="s">
        <v>5176</v>
      </c>
      <c r="O700" s="15">
        <v>11</v>
      </c>
      <c r="P700" s="15">
        <v>1972</v>
      </c>
      <c r="Q700" s="15" t="str" cm="1">
        <f t="array" ref="Q7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0" s="15" t="str" cm="1">
        <f t="array" ref="R7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canciones/cesareo_gabarain/mas_bella_es_maria.html</v>
      </c>
      <c r="T700" s="1"/>
      <c r="U700" s="1"/>
      <c r="V700" s="32" t="s">
        <v>5197</v>
      </c>
      <c r="W7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href="canciones/cesareo_gabarain/mas_bella_es_maria.html"&gt;Más bella es María&lt;/a&gt;&lt;/li&gt;</v>
      </c>
      <c r="X700" s="15" t="str">
        <f>_xlfn.TEXTBEFORE(_xlfn.TEXTAFTER(CantoralDB[[#This Row],[index.html]],"&gt;"),"&gt;")&amp;"&gt;"</f>
        <v>&lt;a href="canciones/cesareo_gabarain/mas_bella_es_maria.html"&gt;</v>
      </c>
      <c r="Y700"/>
      <c r="Z700" s="1"/>
      <c r="AA700" s="1"/>
      <c r="AB700" s="1"/>
      <c r="AC700" s="1"/>
    </row>
    <row r="701" spans="1:29" x14ac:dyDescent="0.3">
      <c r="A701" s="1">
        <f>ROW(CantoralDB[[#This Row],[Título]])-1</f>
        <v>700</v>
      </c>
      <c r="B701" s="1" t="s">
        <v>5187</v>
      </c>
      <c r="C701" s="1"/>
      <c r="J701" s="1"/>
      <c r="M701" s="15" t="s">
        <v>482</v>
      </c>
      <c r="N701" s="1" t="s">
        <v>5176</v>
      </c>
      <c r="O701" s="15">
        <v>12</v>
      </c>
      <c r="P701" s="15">
        <v>1972</v>
      </c>
      <c r="Q701" s="15" t="str" cm="1">
        <f t="array" ref="Q7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1" s="15" t="str" cm="1">
        <f t="array" ref="R7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canciones/cesareo_gabarain/madre_de_la_iglesia.html</v>
      </c>
      <c r="T701" s="1"/>
      <c r="U701" s="1"/>
      <c r="V701" s="32" t="s">
        <v>5198</v>
      </c>
      <c r="W7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href="canciones/cesareo_gabarain/madre_de_la_iglesia.html"&gt;Madre de la Iglesia&lt;/a&gt;&lt;/li&gt;</v>
      </c>
      <c r="X701" s="15" t="str">
        <f>_xlfn.TEXTBEFORE(_xlfn.TEXTAFTER(CantoralDB[[#This Row],[index.html]],"&gt;"),"&gt;")&amp;"&gt;"</f>
        <v>&lt;a href="canciones/cesareo_gabarain/madre_de_la_iglesia.html"&gt;</v>
      </c>
      <c r="Y701"/>
      <c r="Z701" s="1"/>
      <c r="AA701" s="1"/>
      <c r="AB701" s="1"/>
      <c r="AC701" s="1"/>
    </row>
    <row r="702" spans="1:29" x14ac:dyDescent="0.3">
      <c r="A702" s="1">
        <f>ROW(CantoralDB[[#This Row],[Título]])-1</f>
        <v>701</v>
      </c>
      <c r="B702" s="1" t="s">
        <v>5203</v>
      </c>
      <c r="C702" s="1"/>
      <c r="J702" s="1"/>
      <c r="M702" s="15" t="s">
        <v>482</v>
      </c>
      <c r="N702" s="1" t="s">
        <v>5203</v>
      </c>
      <c r="O702" s="15">
        <v>1</v>
      </c>
      <c r="P702" s="15">
        <v>1997</v>
      </c>
      <c r="Q702" s="15" t="str" cm="1">
        <f t="array" ref="Q7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2" s="15" t="str" cm="1">
        <f t="array" ref="R7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canciones/cesareo_gabarain/no_apagueis_vuestro_amor.html</v>
      </c>
      <c r="T702" s="1"/>
      <c r="U702" s="1"/>
      <c r="V702" s="32" t="s">
        <v>5226</v>
      </c>
      <c r="W7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href="canciones/cesareo_gabarain/no_apagueis_vuestro_amor.html"&gt;No apaguéis vuestro amor&lt;/a&gt;&lt;/li&gt;</v>
      </c>
      <c r="X702" s="15" t="str">
        <f>_xlfn.TEXTBEFORE(_xlfn.TEXTAFTER(CantoralDB[[#This Row],[index.html]],"&gt;"),"&gt;")&amp;"&gt;"</f>
        <v>&lt;a href="canciones/cesareo_gabarain/no_apagueis_vuestro_amor.html"&gt;</v>
      </c>
      <c r="Y702"/>
      <c r="Z702" s="1"/>
      <c r="AA702" s="1"/>
      <c r="AB702" s="1"/>
      <c r="AC702" s="1"/>
    </row>
    <row r="703" spans="1:29" x14ac:dyDescent="0.3">
      <c r="A703" s="1">
        <f>ROW(CantoralDB[[#This Row],[Título]])-1</f>
        <v>702</v>
      </c>
      <c r="B703" s="1" t="s">
        <v>5204</v>
      </c>
      <c r="C703" s="1"/>
      <c r="J703" s="1"/>
      <c r="M703" s="15" t="s">
        <v>482</v>
      </c>
      <c r="N703" s="1" t="s">
        <v>5203</v>
      </c>
      <c r="O703" s="15">
        <v>2</v>
      </c>
      <c r="P703" s="15">
        <v>1997</v>
      </c>
      <c r="Q703" s="15" t="str" cm="1">
        <f t="array" ref="Q7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3" s="15" t="str" cm="1">
        <f t="array" ref="R7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canciones/cesareo_gabarain/una_familia.html</v>
      </c>
      <c r="T703" s="1"/>
      <c r="U703" s="1"/>
      <c r="V703" s="32" t="s">
        <v>5227</v>
      </c>
      <c r="W7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href="canciones/cesareo_gabarain/una_familia.html"&gt;Una familia&lt;/a&gt;&lt;/li&gt;</v>
      </c>
      <c r="X703" s="15" t="str">
        <f>_xlfn.TEXTBEFORE(_xlfn.TEXTAFTER(CantoralDB[[#This Row],[index.html]],"&gt;"),"&gt;")&amp;"&gt;"</f>
        <v>&lt;a href="canciones/cesareo_gabarain/una_familia.html"&gt;</v>
      </c>
      <c r="Y703"/>
      <c r="Z703" s="1"/>
      <c r="AA703" s="1"/>
      <c r="AB703" s="1"/>
      <c r="AC703" s="1"/>
    </row>
    <row r="704" spans="1:29" x14ac:dyDescent="0.3">
      <c r="A704" s="1">
        <f>ROW(CantoralDB[[#This Row],[Título]])-1</f>
        <v>703</v>
      </c>
      <c r="B704" s="1" t="s">
        <v>5205</v>
      </c>
      <c r="C704" s="1"/>
      <c r="J704" s="1"/>
      <c r="M704" s="15" t="s">
        <v>482</v>
      </c>
      <c r="N704" s="1" t="s">
        <v>5203</v>
      </c>
      <c r="O704" s="15">
        <v>3</v>
      </c>
      <c r="P704" s="15">
        <v>1997</v>
      </c>
      <c r="Q704" s="15" t="str" cm="1">
        <f t="array" ref="Q7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4" s="15" t="str" cm="1">
        <f t="array" ref="R7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canciones/cesareo_gabarain/señor_tu_me_has_ungido.html</v>
      </c>
      <c r="T704" s="1"/>
      <c r="U704" s="1"/>
      <c r="V704" s="32" t="s">
        <v>5228</v>
      </c>
      <c r="W7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href="canciones/cesareo_gabarain/señor_tu_me_has_ungido.html"&gt;Señor, Tú me has ungido&lt;/a&gt;&lt;/li&gt;</v>
      </c>
      <c r="X704" s="15" t="str">
        <f>_xlfn.TEXTBEFORE(_xlfn.TEXTAFTER(CantoralDB[[#This Row],[index.html]],"&gt;"),"&gt;")&amp;"&gt;"</f>
        <v>&lt;a href="canciones/cesareo_gabarain/señor_tu_me_has_ungido.html"&gt;</v>
      </c>
      <c r="Y704"/>
      <c r="Z704" s="1"/>
      <c r="AA704" s="1"/>
      <c r="AB704" s="1"/>
      <c r="AC704" s="1"/>
    </row>
    <row r="705" spans="1:29" x14ac:dyDescent="0.3">
      <c r="A705" s="1">
        <f>ROW(CantoralDB[[#This Row],[Título]])-1</f>
        <v>704</v>
      </c>
      <c r="B705" s="1" t="s">
        <v>5206</v>
      </c>
      <c r="C705" s="1"/>
      <c r="J705" s="1"/>
      <c r="M705" s="15" t="s">
        <v>482</v>
      </c>
      <c r="N705" s="1" t="s">
        <v>5203</v>
      </c>
      <c r="O705" s="15">
        <v>4</v>
      </c>
      <c r="P705" s="15">
        <v>1997</v>
      </c>
      <c r="Q705" s="15" t="str" cm="1">
        <f t="array" ref="Q7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5" s="15" t="str" cm="1">
        <f t="array" ref="R7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canciones/cesareo_gabarain/yo_soy_el_agua_viva.html</v>
      </c>
      <c r="T705" s="1"/>
      <c r="U705" s="1"/>
      <c r="V705" s="32" t="s">
        <v>5229</v>
      </c>
      <c r="W7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href="canciones/cesareo_gabarain/yo_soy_el_agua_viva.html"&gt;Yo soy el agua viva&lt;/a&gt;&lt;/li&gt;</v>
      </c>
      <c r="X705" s="15" t="str">
        <f>_xlfn.TEXTBEFORE(_xlfn.TEXTAFTER(CantoralDB[[#This Row],[index.html]],"&gt;"),"&gt;")&amp;"&gt;"</f>
        <v>&lt;a href="canciones/cesareo_gabarain/yo_soy_el_agua_viva.html"&gt;</v>
      </c>
      <c r="Y705"/>
      <c r="Z705" s="1"/>
      <c r="AA705" s="1"/>
      <c r="AB705" s="1"/>
      <c r="AC705" s="1"/>
    </row>
    <row r="706" spans="1:29" x14ac:dyDescent="0.3">
      <c r="A706" s="1">
        <f>ROW(CantoralDB[[#This Row],[Título]])-1</f>
        <v>705</v>
      </c>
      <c r="B706" s="1" t="s">
        <v>5207</v>
      </c>
      <c r="C706" s="1"/>
      <c r="J706" s="1"/>
      <c r="M706" s="15" t="s">
        <v>482</v>
      </c>
      <c r="N706" s="1" t="s">
        <v>5203</v>
      </c>
      <c r="O706" s="15">
        <v>5</v>
      </c>
      <c r="P706" s="15">
        <v>1997</v>
      </c>
      <c r="Q706" s="15" t="str" cm="1">
        <f t="array" ref="Q7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6" s="15" t="str" cm="1">
        <f t="array" ref="R7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canciones/cesareo_gabarain/hemos_conocido_el_amor.html</v>
      </c>
      <c r="T706" s="1"/>
      <c r="U706" s="1"/>
      <c r="V706" s="32" t="s">
        <v>5230</v>
      </c>
      <c r="W7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href="canciones/cesareo_gabarain/hemos_conocido_el_amor.html"&gt;Hemos conocido el amor&lt;/a&gt;&lt;/li&gt;</v>
      </c>
      <c r="X706" s="15" t="str">
        <f>_xlfn.TEXTBEFORE(_xlfn.TEXTAFTER(CantoralDB[[#This Row],[index.html]],"&gt;"),"&gt;")&amp;"&gt;"</f>
        <v>&lt;a href="canciones/cesareo_gabarain/hemos_conocido_el_amor.html"&gt;</v>
      </c>
      <c r="Y706"/>
      <c r="Z706" s="1"/>
      <c r="AA706" s="1"/>
      <c r="AB706" s="1"/>
      <c r="AC706" s="1"/>
    </row>
    <row r="707" spans="1:29" x14ac:dyDescent="0.3">
      <c r="A707" s="1">
        <f>ROW(CantoralDB[[#This Row],[Título]])-1</f>
        <v>706</v>
      </c>
      <c r="B707" s="1" t="s">
        <v>5208</v>
      </c>
      <c r="C707" s="1"/>
      <c r="J707" s="1"/>
      <c r="M707" s="15" t="s">
        <v>482</v>
      </c>
      <c r="N707" s="1" t="s">
        <v>5203</v>
      </c>
      <c r="O707" s="15">
        <v>6</v>
      </c>
      <c r="P707" s="15">
        <v>1997</v>
      </c>
      <c r="Q707" s="15" t="str" cm="1">
        <f t="array" ref="Q7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7" s="15" t="str" cm="1">
        <f t="array" ref="R7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canciones/cesareo_gabarain/por_la_cruz_a_la_luz.html</v>
      </c>
      <c r="T707" s="1"/>
      <c r="U707" s="1"/>
      <c r="V707" s="32" t="s">
        <v>5231</v>
      </c>
      <c r="W7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href="canciones/cesareo_gabarain/por_la_cruz_a_la_luz.html"&gt;Por la cruz a la luz&lt;/a&gt;&lt;/li&gt;</v>
      </c>
      <c r="X707" s="15" t="str">
        <f>_xlfn.TEXTBEFORE(_xlfn.TEXTAFTER(CantoralDB[[#This Row],[index.html]],"&gt;"),"&gt;")&amp;"&gt;"</f>
        <v>&lt;a href="canciones/cesareo_gabarain/por_la_cruz_a_la_luz.html"&gt;</v>
      </c>
      <c r="Y707"/>
      <c r="Z707" s="1"/>
      <c r="AA707" s="1"/>
      <c r="AB707" s="1"/>
      <c r="AC707" s="1"/>
    </row>
    <row r="708" spans="1:29" x14ac:dyDescent="0.3">
      <c r="A708" s="1">
        <f>ROW(CantoralDB[[#This Row],[Título]])-1</f>
        <v>707</v>
      </c>
      <c r="B708" s="1" t="s">
        <v>5209</v>
      </c>
      <c r="C708" s="1"/>
      <c r="J708" s="1"/>
      <c r="M708" s="15" t="s">
        <v>482</v>
      </c>
      <c r="N708" s="1" t="s">
        <v>5203</v>
      </c>
      <c r="O708" s="15">
        <v>7</v>
      </c>
      <c r="P708" s="15">
        <v>1997</v>
      </c>
      <c r="Q708" s="15" t="str" cm="1">
        <f t="array" ref="Q7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8" s="15" t="str" cm="1">
        <f t="array" ref="R7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canciones/cesareo_gabarain/gloria_al_señor.html</v>
      </c>
      <c r="T708" s="1"/>
      <c r="U708" s="1"/>
      <c r="V708" s="32" t="s">
        <v>5232</v>
      </c>
      <c r="W7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href="canciones/cesareo_gabarain/gloria_al_señor.html"&gt;Gloria al Señor&lt;/a&gt;&lt;/li&gt;</v>
      </c>
      <c r="X708" s="15" t="str">
        <f>_xlfn.TEXTBEFORE(_xlfn.TEXTAFTER(CantoralDB[[#This Row],[index.html]],"&gt;"),"&gt;")&amp;"&gt;"</f>
        <v>&lt;a href="canciones/cesareo_gabarain/gloria_al_señor.html"&gt;</v>
      </c>
      <c r="Y708"/>
      <c r="Z708" s="1"/>
      <c r="AA708" s="1"/>
      <c r="AB708" s="1"/>
      <c r="AC708" s="1"/>
    </row>
    <row r="709" spans="1:29" x14ac:dyDescent="0.3">
      <c r="A709" s="1">
        <f>ROW(CantoralDB[[#This Row],[Título]])-1</f>
        <v>708</v>
      </c>
      <c r="B709" s="1" t="s">
        <v>5210</v>
      </c>
      <c r="C709" s="1"/>
      <c r="J709" s="1"/>
      <c r="M709" s="15" t="s">
        <v>482</v>
      </c>
      <c r="N709" s="1" t="s">
        <v>5203</v>
      </c>
      <c r="O709" s="15">
        <v>8</v>
      </c>
      <c r="P709" s="15">
        <v>1997</v>
      </c>
      <c r="Q709" s="15" t="str" cm="1">
        <f t="array" ref="Q7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09" s="15" t="str" cm="1">
        <f t="array" ref="R7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canciones/cesareo_gabarain/caminare_en_presencia_del_señor_(gabarain).html</v>
      </c>
      <c r="T709" s="1"/>
      <c r="U709" s="1"/>
      <c r="V709" s="32" t="s">
        <v>5233</v>
      </c>
      <c r="W7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href="canciones/cesareo_gabarain/caminare_en_presencia_del_señor_(gabarain).html"&gt;Caminaré en presencia del Señor (Gabarain)&lt;/a&gt;&lt;/li&gt;</v>
      </c>
      <c r="X709" s="15" t="str">
        <f>_xlfn.TEXTBEFORE(_xlfn.TEXTAFTER(CantoralDB[[#This Row],[index.html]],"&gt;"),"&gt;")&amp;"&gt;"</f>
        <v>&lt;a href="canciones/cesareo_gabarain/caminare_en_presencia_del_señor_(gabarain).html"&gt;</v>
      </c>
      <c r="Y709"/>
      <c r="Z709" s="1"/>
      <c r="AA709" s="1"/>
      <c r="AB709" s="1"/>
      <c r="AC709" s="1"/>
    </row>
    <row r="710" spans="1:29" x14ac:dyDescent="0.3">
      <c r="A710" s="1">
        <f>ROW(CantoralDB[[#This Row],[Título]])-1</f>
        <v>709</v>
      </c>
      <c r="B710" s="1" t="s">
        <v>5211</v>
      </c>
      <c r="C710" s="1"/>
      <c r="J710" s="1"/>
      <c r="M710" s="15" t="s">
        <v>482</v>
      </c>
      <c r="N710" s="1" t="s">
        <v>5203</v>
      </c>
      <c r="O710" s="15">
        <v>9</v>
      </c>
      <c r="P710" s="15">
        <v>1997</v>
      </c>
      <c r="Q710" s="15" t="str" cm="1">
        <f t="array" ref="Q7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0" s="15" t="str" cm="1">
        <f t="array" ref="R7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canciones/cesareo_gabarain/señor_conviertenos_a_ti.html</v>
      </c>
      <c r="T710" s="1"/>
      <c r="U710" s="1"/>
      <c r="V710" s="32" t="s">
        <v>5234</v>
      </c>
      <c r="W7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href="canciones/cesareo_gabarain/señor_conviertenos_a_ti.html"&gt;Señor, conviértenos a ti&lt;/a&gt;&lt;/li&gt;</v>
      </c>
      <c r="X710" s="15" t="str">
        <f>_xlfn.TEXTBEFORE(_xlfn.TEXTAFTER(CantoralDB[[#This Row],[index.html]],"&gt;"),"&gt;")&amp;"&gt;"</f>
        <v>&lt;a href="canciones/cesareo_gabarain/señor_conviertenos_a_ti.html"&gt;</v>
      </c>
      <c r="Y710"/>
      <c r="Z710" s="1"/>
      <c r="AA710" s="1"/>
      <c r="AB710" s="1"/>
      <c r="AC710" s="1"/>
    </row>
    <row r="711" spans="1:29" x14ac:dyDescent="0.3">
      <c r="A711" s="1">
        <f>ROW(CantoralDB[[#This Row],[Título]])-1</f>
        <v>710</v>
      </c>
      <c r="B711" s="1" t="s">
        <v>5212</v>
      </c>
      <c r="C711" s="1"/>
      <c r="J711" s="1"/>
      <c r="M711" s="15" t="s">
        <v>482</v>
      </c>
      <c r="N711" s="1" t="s">
        <v>5203</v>
      </c>
      <c r="O711" s="15">
        <v>10</v>
      </c>
      <c r="P711" s="15">
        <v>1997</v>
      </c>
      <c r="Q711" s="15" t="str" cm="1">
        <f t="array" ref="Q7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1" s="15" t="str" cm="1">
        <f t="array" ref="R7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canciones/cesareo_gabarain/te_adoramos_oh_cristo.html</v>
      </c>
      <c r="T711" s="1"/>
      <c r="U711" s="1"/>
      <c r="V711" s="32" t="s">
        <v>5235</v>
      </c>
      <c r="W7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href="canciones/cesareo_gabarain/te_adoramos_oh_cristo.html"&gt;Te adoramos, oh, Cristo&lt;/a&gt;&lt;/li&gt;</v>
      </c>
      <c r="X711" s="15" t="str">
        <f>_xlfn.TEXTBEFORE(_xlfn.TEXTAFTER(CantoralDB[[#This Row],[index.html]],"&gt;"),"&gt;")&amp;"&gt;"</f>
        <v>&lt;a href="canciones/cesareo_gabarain/te_adoramos_oh_cristo.html"&gt;</v>
      </c>
      <c r="Y711"/>
      <c r="Z711" s="1"/>
      <c r="AA711" s="1"/>
      <c r="AB711" s="1"/>
      <c r="AC711" s="1"/>
    </row>
    <row r="712" spans="1:29" x14ac:dyDescent="0.3">
      <c r="A712" s="1">
        <f>ROW(CantoralDB[[#This Row],[Título]])-1</f>
        <v>711</v>
      </c>
      <c r="B712" s="1" t="s">
        <v>622</v>
      </c>
      <c r="C712" s="1"/>
      <c r="J712" s="1"/>
      <c r="M712" s="15" t="s">
        <v>482</v>
      </c>
      <c r="N712" s="1" t="s">
        <v>5203</v>
      </c>
      <c r="O712" s="15">
        <v>11</v>
      </c>
      <c r="P712" s="15">
        <v>1997</v>
      </c>
      <c r="Q712" s="15" t="str" cm="1">
        <f t="array" ref="Q7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2" s="15" t="str" cm="1">
        <f t="array" ref="R7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canciones/cesareo_gabarain/tanto_amo_dios_al_mundo.html</v>
      </c>
      <c r="T712" s="1"/>
      <c r="U712" s="1"/>
      <c r="V712" s="32" t="s">
        <v>5236</v>
      </c>
      <c r="W7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href="canciones/cesareo_gabarain/tanto_amo_dios_al_mundo.html"&gt;Tanto amó Dios al mundo&lt;/a&gt;&lt;/li&gt;</v>
      </c>
      <c r="X712" s="15" t="str">
        <f>_xlfn.TEXTBEFORE(_xlfn.TEXTAFTER(CantoralDB[[#This Row],[index.html]],"&gt;"),"&gt;")&amp;"&gt;"</f>
        <v>&lt;a href="canciones/cesareo_gabarain/tanto_amo_dios_al_mundo.html"&gt;</v>
      </c>
      <c r="Y712"/>
      <c r="Z712" s="1"/>
      <c r="AA712" s="1"/>
      <c r="AB712" s="1"/>
      <c r="AC712" s="1"/>
    </row>
    <row r="713" spans="1:29" x14ac:dyDescent="0.3">
      <c r="A713" s="1">
        <f>ROW(CantoralDB[[#This Row],[Título]])-1</f>
        <v>712</v>
      </c>
      <c r="B713" s="1" t="s">
        <v>4417</v>
      </c>
      <c r="C713" s="1"/>
      <c r="J713" s="1"/>
      <c r="M713" s="15" t="s">
        <v>482</v>
      </c>
      <c r="N713" s="1" t="s">
        <v>5203</v>
      </c>
      <c r="O713" s="15">
        <v>12</v>
      </c>
      <c r="P713" s="15">
        <v>1997</v>
      </c>
      <c r="Q713" s="15" t="str" cm="1">
        <f t="array" ref="Q7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3" s="15" t="str" cm="1">
        <f t="array" ref="R7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canciones/cesareo_gabarain/escucha_señor.html</v>
      </c>
      <c r="T713" s="1"/>
      <c r="U713" s="1"/>
      <c r="V713" s="32" t="s">
        <v>5237</v>
      </c>
      <c r="W7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href="canciones/cesareo_gabarain/escucha_señor.html"&gt;Escucha, Señor&lt;/a&gt;&lt;/li&gt;</v>
      </c>
      <c r="X713" s="15" t="str">
        <f>_xlfn.TEXTBEFORE(_xlfn.TEXTAFTER(CantoralDB[[#This Row],[index.html]],"&gt;"),"&gt;")&amp;"&gt;"</f>
        <v>&lt;a href="canciones/cesareo_gabarain/escucha_señor.html"&gt;</v>
      </c>
      <c r="Y713"/>
      <c r="Z713" s="1"/>
      <c r="AA713" s="1"/>
      <c r="AB713" s="1"/>
      <c r="AC713" s="1"/>
    </row>
    <row r="714" spans="1:29" x14ac:dyDescent="0.3">
      <c r="A714" s="1">
        <f>ROW(CantoralDB[[#This Row],[Título]])-1</f>
        <v>713</v>
      </c>
      <c r="B714" s="1" t="s">
        <v>2428</v>
      </c>
      <c r="C714" s="1"/>
      <c r="J714" s="1"/>
      <c r="M714" s="15" t="s">
        <v>482</v>
      </c>
      <c r="N714" s="1" t="s">
        <v>5203</v>
      </c>
      <c r="O714" s="15">
        <v>13</v>
      </c>
      <c r="P714" s="15">
        <v>1997</v>
      </c>
      <c r="Q714" s="15" t="str" cm="1">
        <f t="array" ref="Q7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4" s="15" t="str" cm="1">
        <f t="array" ref="R7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canciones/cesareo_gabarain/mi_alma_esta_sedienta.html</v>
      </c>
      <c r="T714" s="1"/>
      <c r="U714" s="1"/>
      <c r="V714" s="32" t="s">
        <v>5238</v>
      </c>
      <c r="W7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href="canciones/cesareo_gabarain/mi_alma_esta_sedienta.html"&gt;Mi alma está sedienta&lt;/a&gt;&lt;/li&gt;</v>
      </c>
      <c r="X714" s="15" t="str">
        <f>_xlfn.TEXTBEFORE(_xlfn.TEXTAFTER(CantoralDB[[#This Row],[index.html]],"&gt;"),"&gt;")&amp;"&gt;"</f>
        <v>&lt;a href="canciones/cesareo_gabarain/mi_alma_esta_sedienta.html"&gt;</v>
      </c>
      <c r="Y714"/>
      <c r="Z714" s="1"/>
      <c r="AA714" s="1"/>
      <c r="AB714" s="1"/>
      <c r="AC714" s="1"/>
    </row>
    <row r="715" spans="1:29" x14ac:dyDescent="0.3">
      <c r="A715" s="1">
        <f>ROW(CantoralDB[[#This Row],[Título]])-1</f>
        <v>714</v>
      </c>
      <c r="B715" s="1" t="s">
        <v>5214</v>
      </c>
      <c r="C715" s="1"/>
      <c r="J715" s="1"/>
      <c r="M715" s="15" t="s">
        <v>482</v>
      </c>
      <c r="N715" s="1" t="s">
        <v>5213</v>
      </c>
      <c r="O715" s="15">
        <v>1</v>
      </c>
      <c r="P715" s="15">
        <v>1972</v>
      </c>
      <c r="Q715" s="15" t="str" cm="1">
        <f t="array" ref="Q7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5" s="15" t="str" cm="1">
        <f t="array" ref="R7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canciones/cesareo_gabarain/en_ti_confio.html</v>
      </c>
      <c r="T715" s="1"/>
      <c r="U715" s="1"/>
      <c r="V715" s="32" t="s">
        <v>5239</v>
      </c>
      <c r="W7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href="canciones/cesareo_gabarain/en_ti_confio.html"&gt;En ti confío&lt;/a&gt;&lt;/li&gt;</v>
      </c>
      <c r="X715" s="15" t="str">
        <f>_xlfn.TEXTBEFORE(_xlfn.TEXTAFTER(CantoralDB[[#This Row],[index.html]],"&gt;"),"&gt;")&amp;"&gt;"</f>
        <v>&lt;a href="canciones/cesareo_gabarain/en_ti_confio.html"&gt;</v>
      </c>
      <c r="Y715"/>
      <c r="Z715" s="1"/>
      <c r="AA715" s="1"/>
      <c r="AB715" s="1"/>
      <c r="AC715" s="1"/>
    </row>
    <row r="716" spans="1:29" x14ac:dyDescent="0.3">
      <c r="A716" s="1">
        <f>ROW(CantoralDB[[#This Row],[Título]])-1</f>
        <v>715</v>
      </c>
      <c r="B716" s="1" t="s">
        <v>5225</v>
      </c>
      <c r="C716" s="1"/>
      <c r="J716" s="1"/>
      <c r="M716" s="15" t="s">
        <v>482</v>
      </c>
      <c r="N716" s="1" t="s">
        <v>5213</v>
      </c>
      <c r="O716" s="15">
        <v>2</v>
      </c>
      <c r="P716" s="15">
        <v>1972</v>
      </c>
      <c r="Q716" s="15" t="str" cm="1">
        <f t="array" ref="Q7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6" s="15" t="str" cm="1">
        <f t="array" ref="R7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canciones/cesareo_gabarain/el_señor_es_mi_pastor_(ii).html</v>
      </c>
      <c r="T716" s="1"/>
      <c r="U716" s="1"/>
      <c r="V716" s="32" t="s">
        <v>5240</v>
      </c>
      <c r="W7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href="canciones/cesareo_gabarain/el_señor_es_mi_pastor_(ii).html"&gt;El Señor es mi pastor (II)&lt;/a&gt;&lt;/li&gt;</v>
      </c>
      <c r="X716" s="15" t="str">
        <f>_xlfn.TEXTBEFORE(_xlfn.TEXTAFTER(CantoralDB[[#This Row],[index.html]],"&gt;"),"&gt;")&amp;"&gt;"</f>
        <v>&lt;a href="canciones/cesareo_gabarain/el_señor_es_mi_pastor_(ii).html"&gt;</v>
      </c>
      <c r="Y716"/>
      <c r="Z716" s="1"/>
      <c r="AA716" s="1"/>
      <c r="AB716" s="1"/>
      <c r="AC716" s="1"/>
    </row>
    <row r="717" spans="1:29" x14ac:dyDescent="0.3">
      <c r="A717" s="1">
        <f>ROW(CantoralDB[[#This Row],[Título]])-1</f>
        <v>716</v>
      </c>
      <c r="B717" s="1" t="s">
        <v>5215</v>
      </c>
      <c r="C717" s="1"/>
      <c r="J717" s="1"/>
      <c r="M717" s="15" t="s">
        <v>482</v>
      </c>
      <c r="N717" s="1" t="s">
        <v>5213</v>
      </c>
      <c r="O717" s="15">
        <v>3</v>
      </c>
      <c r="P717" s="15">
        <v>1972</v>
      </c>
      <c r="Q717" s="15" t="str" cm="1">
        <f t="array" ref="Q7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7" s="15" t="str" cm="1">
        <f t="array" ref="R7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canciones/cesareo_gabarain/soy_yo_soy_yo.html</v>
      </c>
      <c r="T717" s="1"/>
      <c r="U717" s="1"/>
      <c r="V717" s="32" t="s">
        <v>5241</v>
      </c>
      <c r="W7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href="canciones/cesareo_gabarain/soy_yo_soy_yo.html"&gt;Soy yo, soy yo&lt;/a&gt;&lt;/li&gt;</v>
      </c>
      <c r="X717" s="15" t="str">
        <f>_xlfn.TEXTBEFORE(_xlfn.TEXTAFTER(CantoralDB[[#This Row],[index.html]],"&gt;"),"&gt;")&amp;"&gt;"</f>
        <v>&lt;a href="canciones/cesareo_gabarain/soy_yo_soy_yo.html"&gt;</v>
      </c>
      <c r="Y717"/>
      <c r="Z717" s="1"/>
      <c r="AA717" s="1"/>
      <c r="AB717" s="1"/>
      <c r="AC717" s="1"/>
    </row>
    <row r="718" spans="1:29" x14ac:dyDescent="0.3">
      <c r="A718" s="1">
        <f>ROW(CantoralDB[[#This Row],[Título]])-1</f>
        <v>717</v>
      </c>
      <c r="B718" s="1" t="s">
        <v>70</v>
      </c>
      <c r="C718" s="1"/>
      <c r="J718" s="1"/>
      <c r="M718" s="15" t="s">
        <v>482</v>
      </c>
      <c r="N718" s="1" t="s">
        <v>5213</v>
      </c>
      <c r="O718" s="15">
        <v>4</v>
      </c>
      <c r="P718" s="15">
        <v>1972</v>
      </c>
      <c r="Q718" s="15" t="str" cm="1">
        <f t="array" ref="Q7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8" s="15" t="str" cm="1">
        <f t="array" ref="R7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canciones/cesareo_gabarain/gracias_señor.html</v>
      </c>
      <c r="T718" s="1"/>
      <c r="U718" s="1"/>
      <c r="V718" s="32" t="s">
        <v>5242</v>
      </c>
      <c r="W7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href="canciones/cesareo_gabarain/gracias_señor.html"&gt;Gracias, Señor&lt;/a&gt;&lt;/li&gt;</v>
      </c>
      <c r="X718" s="15" t="str">
        <f>_xlfn.TEXTBEFORE(_xlfn.TEXTAFTER(CantoralDB[[#This Row],[index.html]],"&gt;"),"&gt;")&amp;"&gt;"</f>
        <v>&lt;a href="canciones/cesareo_gabarain/gracias_señor.html"&gt;</v>
      </c>
      <c r="Y718"/>
      <c r="Z718" s="1"/>
      <c r="AA718" s="1"/>
      <c r="AB718" s="1"/>
      <c r="AC718" s="1"/>
    </row>
    <row r="719" spans="1:29" x14ac:dyDescent="0.3">
      <c r="A719" s="1">
        <f>ROW(CantoralDB[[#This Row],[Título]])-1</f>
        <v>718</v>
      </c>
      <c r="B719" s="1" t="s">
        <v>5216</v>
      </c>
      <c r="C719" s="1"/>
      <c r="J719" s="1"/>
      <c r="M719" s="15" t="s">
        <v>482</v>
      </c>
      <c r="N719" s="1" t="s">
        <v>5213</v>
      </c>
      <c r="O719" s="15">
        <v>5</v>
      </c>
      <c r="P719" s="15">
        <v>1972</v>
      </c>
      <c r="Q719" s="15" t="str" cm="1">
        <f t="array" ref="Q7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19" s="15" t="str" cm="1">
        <f t="array" ref="R7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canciones/cesareo_gabarain/como_un_huerfano.html</v>
      </c>
      <c r="T719" s="1"/>
      <c r="U719" s="1"/>
      <c r="V719" s="32" t="s">
        <v>5243</v>
      </c>
      <c r="W7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href="canciones/cesareo_gabarain/como_un_huerfano.html"&gt;Como un huérfano&lt;/a&gt;&lt;/li&gt;</v>
      </c>
      <c r="X719" s="15" t="str">
        <f>_xlfn.TEXTBEFORE(_xlfn.TEXTAFTER(CantoralDB[[#This Row],[index.html]],"&gt;"),"&gt;")&amp;"&gt;"</f>
        <v>&lt;a href="canciones/cesareo_gabarain/como_un_huerfano.html"&gt;</v>
      </c>
      <c r="Y719"/>
      <c r="Z719" s="1"/>
      <c r="AA719" s="1"/>
      <c r="AB719" s="1"/>
      <c r="AC719" s="1"/>
    </row>
    <row r="720" spans="1:29" x14ac:dyDescent="0.3">
      <c r="A720" s="1">
        <f>ROW(CantoralDB[[#This Row],[Título]])-1</f>
        <v>719</v>
      </c>
      <c r="B720" s="1" t="s">
        <v>5217</v>
      </c>
      <c r="C720" s="1"/>
      <c r="J720" s="1"/>
      <c r="M720" s="15" t="s">
        <v>482</v>
      </c>
      <c r="N720" s="1" t="s">
        <v>5213</v>
      </c>
      <c r="O720" s="15">
        <v>6</v>
      </c>
      <c r="P720" s="15">
        <v>1972</v>
      </c>
      <c r="Q720" s="15" t="str" cm="1">
        <f t="array" ref="Q7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0" s="15" t="str" cm="1">
        <f t="array" ref="R7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canciones/cesareo_gabarain/en_el_taller_de_nazaret.html</v>
      </c>
      <c r="T720" s="1"/>
      <c r="U720" s="1"/>
      <c r="V720" s="32" t="s">
        <v>5244</v>
      </c>
      <c r="W7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href="canciones/cesareo_gabarain/en_el_taller_de_nazaret.html"&gt;En el taller de Nazaret&lt;/a&gt;&lt;/li&gt;</v>
      </c>
      <c r="X720" s="15" t="str">
        <f>_xlfn.TEXTBEFORE(_xlfn.TEXTAFTER(CantoralDB[[#This Row],[index.html]],"&gt;"),"&gt;")&amp;"&gt;"</f>
        <v>&lt;a href="canciones/cesareo_gabarain/en_el_taller_de_nazaret.html"&gt;</v>
      </c>
      <c r="Y720"/>
      <c r="Z720" s="1"/>
      <c r="AA720" s="1"/>
      <c r="AB720" s="1"/>
      <c r="AC720" s="1"/>
    </row>
    <row r="721" spans="1:29" x14ac:dyDescent="0.3">
      <c r="A721" s="1">
        <f>ROW(CantoralDB[[#This Row],[Título]])-1</f>
        <v>720</v>
      </c>
      <c r="B721" s="1" t="s">
        <v>5218</v>
      </c>
      <c r="C721" s="1"/>
      <c r="J721" s="1"/>
      <c r="M721" s="15" t="s">
        <v>482</v>
      </c>
      <c r="N721" s="1" t="s">
        <v>5213</v>
      </c>
      <c r="O721" s="15">
        <v>7</v>
      </c>
      <c r="P721" s="15">
        <v>1972</v>
      </c>
      <c r="Q721" s="15" t="str" cm="1">
        <f t="array" ref="Q7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1" s="15" t="str" cm="1">
        <f t="array" ref="R7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canciones/cesareo_gabarain/en_un_pesebre.html</v>
      </c>
      <c r="T721" s="1"/>
      <c r="U721" s="1"/>
      <c r="V721" s="32" t="s">
        <v>5245</v>
      </c>
      <c r="W7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href="canciones/cesareo_gabarain/en_un_pesebre.html"&gt;En un pesebre&lt;/a&gt;&lt;/li&gt;</v>
      </c>
      <c r="X721" s="15" t="str">
        <f>_xlfn.TEXTBEFORE(_xlfn.TEXTAFTER(CantoralDB[[#This Row],[index.html]],"&gt;"),"&gt;")&amp;"&gt;"</f>
        <v>&lt;a href="canciones/cesareo_gabarain/en_un_pesebre.html"&gt;</v>
      </c>
      <c r="Y721"/>
      <c r="Z721" s="1"/>
      <c r="AA721" s="1"/>
      <c r="AB721" s="1"/>
      <c r="AC721" s="1"/>
    </row>
    <row r="722" spans="1:29" x14ac:dyDescent="0.3">
      <c r="A722" s="1">
        <f>ROW(CantoralDB[[#This Row],[Título]])-1</f>
        <v>721</v>
      </c>
      <c r="B722" s="1" t="s">
        <v>5219</v>
      </c>
      <c r="C722" s="1"/>
      <c r="J722" s="1"/>
      <c r="M722" s="15" t="s">
        <v>482</v>
      </c>
      <c r="N722" s="1" t="s">
        <v>5213</v>
      </c>
      <c r="O722" s="15">
        <v>8</v>
      </c>
      <c r="P722" s="15">
        <v>1972</v>
      </c>
      <c r="Q722" s="15" t="str" cm="1">
        <f t="array" ref="Q7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2" s="15" t="str" cm="1">
        <f t="array" ref="R7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canciones/cesareo_gabarain/rezamos_al_cantar.html</v>
      </c>
      <c r="T722" s="1"/>
      <c r="U722" s="1"/>
      <c r="V722" s="32" t="s">
        <v>5246</v>
      </c>
      <c r="W7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href="canciones/cesareo_gabarain/rezamos_al_cantar.html"&gt;Rezamos al cantar&lt;/a&gt;&lt;/li&gt;</v>
      </c>
      <c r="X722" s="15" t="str">
        <f>_xlfn.TEXTBEFORE(_xlfn.TEXTAFTER(CantoralDB[[#This Row],[index.html]],"&gt;"),"&gt;")&amp;"&gt;"</f>
        <v>&lt;a href="canciones/cesareo_gabarain/rezamos_al_cantar.html"&gt;</v>
      </c>
      <c r="Y722"/>
      <c r="Z722" s="1"/>
      <c r="AA722" s="1"/>
      <c r="AB722" s="1"/>
      <c r="AC722" s="1"/>
    </row>
    <row r="723" spans="1:29" x14ac:dyDescent="0.3">
      <c r="A723" s="1">
        <f>ROW(CantoralDB[[#This Row],[Título]])-1</f>
        <v>722</v>
      </c>
      <c r="B723" s="1" t="s">
        <v>5220</v>
      </c>
      <c r="C723" s="1"/>
      <c r="J723" s="1"/>
      <c r="M723" s="15" t="s">
        <v>482</v>
      </c>
      <c r="N723" s="1" t="s">
        <v>5213</v>
      </c>
      <c r="O723" s="15">
        <v>9</v>
      </c>
      <c r="P723" s="15">
        <v>1972</v>
      </c>
      <c r="Q723" s="15" t="str" cm="1">
        <f t="array" ref="Q7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3" s="15" t="str" cm="1">
        <f t="array" ref="R7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canciones/cesareo_gabarain/dame_tu_perdon.html</v>
      </c>
      <c r="T723" s="1"/>
      <c r="U723" s="1"/>
      <c r="V723" s="32" t="s">
        <v>5247</v>
      </c>
      <c r="W7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href="canciones/cesareo_gabarain/dame_tu_perdon.html"&gt;Dame tu perdón&lt;/a&gt;&lt;/li&gt;</v>
      </c>
      <c r="X723" s="15" t="str">
        <f>_xlfn.TEXTBEFORE(_xlfn.TEXTAFTER(CantoralDB[[#This Row],[index.html]],"&gt;"),"&gt;")&amp;"&gt;"</f>
        <v>&lt;a href="canciones/cesareo_gabarain/dame_tu_perdon.html"&gt;</v>
      </c>
      <c r="Y723"/>
      <c r="Z723" s="1"/>
      <c r="AA723" s="1"/>
      <c r="AB723" s="1"/>
      <c r="AC723" s="1"/>
    </row>
    <row r="724" spans="1:29" x14ac:dyDescent="0.3">
      <c r="A724" s="1">
        <f>ROW(CantoralDB[[#This Row],[Título]])-1</f>
        <v>723</v>
      </c>
      <c r="B724" s="1" t="s">
        <v>5221</v>
      </c>
      <c r="C724" s="1"/>
      <c r="J724" s="1"/>
      <c r="M724" s="15" t="s">
        <v>482</v>
      </c>
      <c r="N724" s="1" t="s">
        <v>5213</v>
      </c>
      <c r="O724" s="15">
        <v>10</v>
      </c>
      <c r="P724" s="15">
        <v>1972</v>
      </c>
      <c r="Q724" s="15" t="str" cm="1">
        <f t="array" ref="Q7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4" s="15" t="str" cm="1">
        <f t="array" ref="R7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canciones/cesareo_gabarain/en_belen_nacio_jesus.html</v>
      </c>
      <c r="T724" s="1"/>
      <c r="U724" s="1"/>
      <c r="V724" s="32" t="s">
        <v>5248</v>
      </c>
      <c r="W7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href="canciones/cesareo_gabarain/en_belen_nacio_jesus.html"&gt;En Belén nació Jesús&lt;/a&gt;&lt;/li&gt;</v>
      </c>
      <c r="X724" s="15" t="str">
        <f>_xlfn.TEXTBEFORE(_xlfn.TEXTAFTER(CantoralDB[[#This Row],[index.html]],"&gt;"),"&gt;")&amp;"&gt;"</f>
        <v>&lt;a href="canciones/cesareo_gabarain/en_belen_nacio_jesus.html"&gt;</v>
      </c>
      <c r="Y724"/>
      <c r="Z724" s="1"/>
      <c r="AA724" s="1"/>
      <c r="AB724" s="1"/>
      <c r="AC724" s="1"/>
    </row>
    <row r="725" spans="1:29" x14ac:dyDescent="0.3">
      <c r="A725" s="1">
        <f>ROW(CantoralDB[[#This Row],[Título]])-1</f>
        <v>724</v>
      </c>
      <c r="B725" s="1" t="s">
        <v>5222</v>
      </c>
      <c r="C725" s="1"/>
      <c r="J725" s="1"/>
      <c r="M725" s="15" t="s">
        <v>482</v>
      </c>
      <c r="N725" s="1" t="s">
        <v>5213</v>
      </c>
      <c r="O725" s="15">
        <v>11</v>
      </c>
      <c r="P725" s="15">
        <v>1972</v>
      </c>
      <c r="Q725" s="15" t="str" cm="1">
        <f t="array" ref="Q7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5" s="15" t="str" cm="1">
        <f t="array" ref="R7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canciones/cesareo_gabarain/oh_libertad.html</v>
      </c>
      <c r="T725" s="1"/>
      <c r="U725" s="1"/>
      <c r="V725" s="32" t="s">
        <v>5249</v>
      </c>
      <c r="W7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href="canciones/cesareo_gabarain/oh_libertad.html"&gt;Oh, libertad&lt;/a&gt;&lt;/li&gt;</v>
      </c>
      <c r="X725" s="15" t="str">
        <f>_xlfn.TEXTBEFORE(_xlfn.TEXTAFTER(CantoralDB[[#This Row],[index.html]],"&gt;"),"&gt;")&amp;"&gt;"</f>
        <v>&lt;a href="canciones/cesareo_gabarain/oh_libertad.html"&gt;</v>
      </c>
      <c r="Y725"/>
      <c r="Z725" s="1"/>
      <c r="AA725" s="1"/>
      <c r="AB725" s="1"/>
      <c r="AC725" s="1"/>
    </row>
    <row r="726" spans="1:29" x14ac:dyDescent="0.3">
      <c r="A726" s="1">
        <f>ROW(CantoralDB[[#This Row],[Título]])-1</f>
        <v>725</v>
      </c>
      <c r="B726" s="1" t="s">
        <v>5223</v>
      </c>
      <c r="C726" s="1"/>
      <c r="J726" s="1"/>
      <c r="M726" s="15" t="s">
        <v>482</v>
      </c>
      <c r="N726" s="1" t="s">
        <v>5213</v>
      </c>
      <c r="O726" s="15">
        <v>12</v>
      </c>
      <c r="P726" s="15">
        <v>1972</v>
      </c>
      <c r="Q726" s="15" t="str" cm="1">
        <f t="array" ref="Q7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6" s="15" t="str" cm="1">
        <f t="array" ref="R7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canciones/cesareo_gabarain/ansia_de_dios.html</v>
      </c>
      <c r="T726" s="1"/>
      <c r="U726" s="1"/>
      <c r="V726" s="32" t="s">
        <v>5250</v>
      </c>
      <c r="W7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href="canciones/cesareo_gabarain/ansia_de_dios.html"&gt;Ansia de Dios&lt;/a&gt;&lt;/li&gt;</v>
      </c>
      <c r="X726" s="15" t="str">
        <f>_xlfn.TEXTBEFORE(_xlfn.TEXTAFTER(CantoralDB[[#This Row],[index.html]],"&gt;"),"&gt;")&amp;"&gt;"</f>
        <v>&lt;a href="canciones/cesareo_gabarain/ansia_de_dios.html"&gt;</v>
      </c>
      <c r="Y726"/>
      <c r="Z726" s="1"/>
      <c r="AA726" s="1"/>
      <c r="AB726" s="1"/>
      <c r="AC726" s="1"/>
    </row>
    <row r="727" spans="1:29" x14ac:dyDescent="0.3">
      <c r="A727" s="1">
        <f>ROW(CantoralDB[[#This Row],[Título]])-1</f>
        <v>726</v>
      </c>
      <c r="B727" s="1" t="s">
        <v>1916</v>
      </c>
      <c r="C727" s="1"/>
      <c r="J727" s="1"/>
      <c r="M727" s="15" t="s">
        <v>482</v>
      </c>
      <c r="N727" s="1" t="s">
        <v>5213</v>
      </c>
      <c r="O727" s="15">
        <v>13</v>
      </c>
      <c r="P727" s="15">
        <v>1972</v>
      </c>
      <c r="Q727" s="15" t="str" cm="1">
        <f t="array" ref="Q7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7" s="15" t="str" cm="1">
        <f t="array" ref="R7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canciones/cesareo_gabarain/bendito_seas_señor.html</v>
      </c>
      <c r="T727" s="1"/>
      <c r="U727" s="1"/>
      <c r="V727" s="32" t="s">
        <v>5251</v>
      </c>
      <c r="W7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href="canciones/cesareo_gabarain/bendito_seas_señor.html"&gt;Bendito seas, Señor&lt;/a&gt;&lt;/li&gt;</v>
      </c>
      <c r="X727" s="15" t="str">
        <f>_xlfn.TEXTBEFORE(_xlfn.TEXTAFTER(CantoralDB[[#This Row],[index.html]],"&gt;"),"&gt;")&amp;"&gt;"</f>
        <v>&lt;a href="canciones/cesareo_gabarain/bendito_seas_señor.html"&gt;</v>
      </c>
      <c r="Y727"/>
      <c r="Z727" s="1"/>
      <c r="AA727" s="1"/>
      <c r="AB727" s="1"/>
      <c r="AC727" s="1"/>
    </row>
    <row r="728" spans="1:29" x14ac:dyDescent="0.3">
      <c r="A728" s="1">
        <f>ROW(CantoralDB[[#This Row],[Título]])-1</f>
        <v>727</v>
      </c>
      <c r="B728" s="1" t="s">
        <v>5252</v>
      </c>
      <c r="C728" s="1"/>
      <c r="J728" s="1"/>
      <c r="M728" s="15" t="s">
        <v>482</v>
      </c>
      <c r="N728" s="1" t="s">
        <v>5252</v>
      </c>
      <c r="O728" s="15">
        <v>1</v>
      </c>
      <c r="P728" s="15">
        <v>1988</v>
      </c>
      <c r="Q728" s="15" t="str" cm="1">
        <f t="array" ref="Q7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8" s="15" t="str" cm="1">
        <f t="array" ref="R7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canciones/cesareo_gabarain/porque_eres_madre.html</v>
      </c>
      <c r="T728" s="1"/>
      <c r="U728" s="1"/>
      <c r="V728" s="32" t="s">
        <v>5258</v>
      </c>
      <c r="W7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href="canciones/cesareo_gabarain/porque_eres_madre.html"&gt;Porque eres madre&lt;/a&gt;&lt;/li&gt;</v>
      </c>
      <c r="X728" s="15" t="str">
        <f>_xlfn.TEXTBEFORE(_xlfn.TEXTAFTER(CantoralDB[[#This Row],[index.html]],"&gt;"),"&gt;")&amp;"&gt;"</f>
        <v>&lt;a href="canciones/cesareo_gabarain/porque_eres_madre.html"&gt;</v>
      </c>
      <c r="Y728"/>
      <c r="Z728" s="1"/>
      <c r="AA728" s="1"/>
      <c r="AB728" s="1"/>
      <c r="AC728" s="1"/>
    </row>
    <row r="729" spans="1:29" x14ac:dyDescent="0.3">
      <c r="A729" s="1">
        <f>ROW(CantoralDB[[#This Row],[Título]])-1</f>
        <v>728</v>
      </c>
      <c r="B729" s="1" t="s">
        <v>3091</v>
      </c>
      <c r="C729" s="1"/>
      <c r="J729" s="1"/>
      <c r="M729" s="15" t="s">
        <v>482</v>
      </c>
      <c r="N729" s="1" t="s">
        <v>5252</v>
      </c>
      <c r="O729" s="15">
        <v>2</v>
      </c>
      <c r="P729" s="15">
        <v>1988</v>
      </c>
      <c r="Q729" s="15" t="str" cm="1">
        <f t="array" ref="Q7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29" s="15" t="str" cm="1">
        <f t="array" ref="R7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canciones/cesareo_gabarain/madre_de_dios.html</v>
      </c>
      <c r="T729" s="1"/>
      <c r="U729" s="1"/>
      <c r="V729" s="32" t="s">
        <v>5259</v>
      </c>
      <c r="W7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href="canciones/cesareo_gabarain/madre_de_dios.html"&gt;Madre de Dios&lt;/a&gt;&lt;/li&gt;</v>
      </c>
      <c r="X729" s="15" t="str">
        <f>_xlfn.TEXTBEFORE(_xlfn.TEXTAFTER(CantoralDB[[#This Row],[index.html]],"&gt;"),"&gt;")&amp;"&gt;"</f>
        <v>&lt;a href="canciones/cesareo_gabarain/madre_de_dios.html"&gt;</v>
      </c>
      <c r="Y729"/>
      <c r="Z729" s="1"/>
      <c r="AA729" s="1"/>
      <c r="AB729" s="1"/>
      <c r="AC729" s="1"/>
    </row>
    <row r="730" spans="1:29" x14ac:dyDescent="0.3">
      <c r="A730" s="1">
        <f>ROW(CantoralDB[[#This Row],[Título]])-1</f>
        <v>729</v>
      </c>
      <c r="B730" s="1" t="s">
        <v>5253</v>
      </c>
      <c r="C730" s="1"/>
      <c r="J730" s="1"/>
      <c r="M730" s="15" t="s">
        <v>482</v>
      </c>
      <c r="N730" s="1" t="s">
        <v>5252</v>
      </c>
      <c r="O730" s="15">
        <v>3</v>
      </c>
      <c r="P730" s="15">
        <v>1988</v>
      </c>
      <c r="Q730" s="15" t="str" cm="1">
        <f t="array" ref="Q7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0" s="15" t="str" cm="1">
        <f t="array" ref="R7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canciones/cesareo_gabarain/y_salta_el_pequeño_juan.html</v>
      </c>
      <c r="T730" s="1"/>
      <c r="U730" s="1"/>
      <c r="V730" s="32" t="s">
        <v>5260</v>
      </c>
      <c r="W7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href="canciones/cesareo_gabarain/y_salta_el_pequeño_juan.html"&gt;Y salta el pequeño Juan&lt;/a&gt;&lt;/li&gt;</v>
      </c>
      <c r="X730" s="15" t="str">
        <f>_xlfn.TEXTBEFORE(_xlfn.TEXTAFTER(CantoralDB[[#This Row],[index.html]],"&gt;"),"&gt;")&amp;"&gt;"</f>
        <v>&lt;a href="canciones/cesareo_gabarain/y_salta_el_pequeño_juan.html"&gt;</v>
      </c>
      <c r="Y730"/>
      <c r="Z730" s="1"/>
      <c r="AA730" s="1"/>
      <c r="AB730" s="1"/>
      <c r="AC730" s="1"/>
    </row>
    <row r="731" spans="1:29" x14ac:dyDescent="0.3">
      <c r="A731" s="1">
        <f>ROW(CantoralDB[[#This Row],[Título]])-1</f>
        <v>730</v>
      </c>
      <c r="B731" s="1" t="s">
        <v>5254</v>
      </c>
      <c r="C731" s="1"/>
      <c r="J731" s="1"/>
      <c r="M731" s="15" t="s">
        <v>482</v>
      </c>
      <c r="N731" s="1" t="s">
        <v>5252</v>
      </c>
      <c r="O731" s="15">
        <v>4</v>
      </c>
      <c r="P731" s="15">
        <v>1988</v>
      </c>
      <c r="Q731" s="15" t="str" cm="1">
        <f t="array" ref="Q7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1" s="15" t="str" cm="1">
        <f t="array" ref="R7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canciones/cesareo_gabarain/a_jesus_que_va_a_nacer.html</v>
      </c>
      <c r="T731" s="1"/>
      <c r="U731" s="1"/>
      <c r="V731" s="32" t="s">
        <v>5261</v>
      </c>
      <c r="W7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href="canciones/cesareo_gabarain/a_jesus_que_va_a_nacer.html"&gt;A Jesús, que va a nacer&lt;/a&gt;&lt;/li&gt;</v>
      </c>
      <c r="X731" s="15" t="str">
        <f>_xlfn.TEXTBEFORE(_xlfn.TEXTAFTER(CantoralDB[[#This Row],[index.html]],"&gt;"),"&gt;")&amp;"&gt;"</f>
        <v>&lt;a href="canciones/cesareo_gabarain/a_jesus_que_va_a_nacer.html"&gt;</v>
      </c>
      <c r="Y731"/>
      <c r="Z731" s="1"/>
      <c r="AA731" s="1"/>
      <c r="AB731" s="1"/>
      <c r="AC731" s="1"/>
    </row>
    <row r="732" spans="1:29" x14ac:dyDescent="0.3">
      <c r="A732" s="1">
        <f>ROW(CantoralDB[[#This Row],[Título]])-1</f>
        <v>731</v>
      </c>
      <c r="B732" s="1" t="s">
        <v>5255</v>
      </c>
      <c r="C732" s="1"/>
      <c r="J732" s="1"/>
      <c r="M732" s="15" t="s">
        <v>482</v>
      </c>
      <c r="N732" s="1" t="s">
        <v>5252</v>
      </c>
      <c r="O732" s="15">
        <v>5</v>
      </c>
      <c r="P732" s="15">
        <v>1988</v>
      </c>
      <c r="Q732" s="15" t="str" cm="1">
        <f t="array" ref="Q7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2" s="15" t="str" cm="1">
        <f t="array" ref="R7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canciones/cesareo_gabarain/ruega_por_nosotros.html</v>
      </c>
      <c r="T732" s="1"/>
      <c r="U732" s="1"/>
      <c r="V732" s="32" t="s">
        <v>5262</v>
      </c>
      <c r="W7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href="canciones/cesareo_gabarain/ruega_por_nosotros.html"&gt;Ruega por nosotros&lt;/a&gt;&lt;/li&gt;</v>
      </c>
      <c r="X732" s="15" t="str">
        <f>_xlfn.TEXTBEFORE(_xlfn.TEXTAFTER(CantoralDB[[#This Row],[index.html]],"&gt;"),"&gt;")&amp;"&gt;"</f>
        <v>&lt;a href="canciones/cesareo_gabarain/ruega_por_nosotros.html"&gt;</v>
      </c>
      <c r="Y732"/>
      <c r="Z732" s="1"/>
      <c r="AA732" s="1"/>
      <c r="AB732" s="1"/>
      <c r="AC732" s="1"/>
    </row>
    <row r="733" spans="1:29" x14ac:dyDescent="0.3">
      <c r="A733" s="1">
        <f>ROW(CantoralDB[[#This Row],[Título]])-1</f>
        <v>732</v>
      </c>
      <c r="B733" s="1" t="s">
        <v>3198</v>
      </c>
      <c r="C733" s="1"/>
      <c r="J733" s="1"/>
      <c r="M733" s="15" t="s">
        <v>482</v>
      </c>
      <c r="N733" s="1" t="s">
        <v>5252</v>
      </c>
      <c r="O733" s="15">
        <v>6</v>
      </c>
      <c r="P733" s="15">
        <v>1988</v>
      </c>
      <c r="Q733" s="15" t="str" cm="1">
        <f t="array" ref="Q7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3" s="15" t="str" cm="1">
        <f t="array" ref="R7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canciones/cesareo_gabarain/proclama_mi_alma.html</v>
      </c>
      <c r="T733" s="1"/>
      <c r="U733" s="1"/>
      <c r="V733" s="32" t="s">
        <v>5263</v>
      </c>
      <c r="W7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href="canciones/cesareo_gabarain/proclama_mi_alma.html"&gt;Proclama mi alma&lt;/a&gt;&lt;/li&gt;</v>
      </c>
      <c r="X733" s="15" t="str">
        <f>_xlfn.TEXTBEFORE(_xlfn.TEXTAFTER(CantoralDB[[#This Row],[index.html]],"&gt;"),"&gt;")&amp;"&gt;"</f>
        <v>&lt;a href="canciones/cesareo_gabarain/proclama_mi_alma.html"&gt;</v>
      </c>
      <c r="Y733"/>
      <c r="Z733" s="1"/>
      <c r="AA733" s="1"/>
      <c r="AB733" s="1"/>
      <c r="AC733" s="1"/>
    </row>
    <row r="734" spans="1:29" x14ac:dyDescent="0.3">
      <c r="A734" s="1">
        <f>ROW(CantoralDB[[#This Row],[Título]])-1</f>
        <v>733</v>
      </c>
      <c r="B734" s="1" t="s">
        <v>5256</v>
      </c>
      <c r="C734" s="1"/>
      <c r="J734" s="1"/>
      <c r="M734" s="15" t="s">
        <v>482</v>
      </c>
      <c r="N734" s="1" t="s">
        <v>5252</v>
      </c>
      <c r="O734" s="15">
        <v>7</v>
      </c>
      <c r="P734" s="15">
        <v>1988</v>
      </c>
      <c r="Q734" s="15" t="str" cm="1">
        <f t="array" ref="Q7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4" s="15" t="str" cm="1">
        <f t="array" ref="R7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canciones/cesareo_gabarain/santa_maria.html</v>
      </c>
      <c r="T734" s="1"/>
      <c r="U734" s="1"/>
      <c r="V734" s="32" t="s">
        <v>5264</v>
      </c>
      <c r="W7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href="canciones/cesareo_gabarain/santa_maria.html"&gt;Santa María&lt;/a&gt;&lt;/li&gt;</v>
      </c>
      <c r="X734" s="15" t="str">
        <f>_xlfn.TEXTBEFORE(_xlfn.TEXTAFTER(CantoralDB[[#This Row],[index.html]],"&gt;"),"&gt;")&amp;"&gt;"</f>
        <v>&lt;a href="canciones/cesareo_gabarain/santa_maria.html"&gt;</v>
      </c>
      <c r="Y734"/>
      <c r="Z734" s="1"/>
      <c r="AA734" s="1"/>
      <c r="AB734" s="1"/>
      <c r="AC734" s="1"/>
    </row>
    <row r="735" spans="1:29" x14ac:dyDescent="0.3">
      <c r="A735" s="1">
        <f>ROW(CantoralDB[[#This Row],[Título]])-1</f>
        <v>734</v>
      </c>
      <c r="B735" s="1" t="s">
        <v>5257</v>
      </c>
      <c r="C735" s="1"/>
      <c r="J735" s="1"/>
      <c r="M735" s="15" t="s">
        <v>482</v>
      </c>
      <c r="N735" s="1" t="s">
        <v>5252</v>
      </c>
      <c r="O735" s="15">
        <v>8</v>
      </c>
      <c r="P735" s="15">
        <v>1988</v>
      </c>
      <c r="Q735" s="15" t="str" cm="1">
        <f t="array" ref="Q7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5" s="15" t="str" cm="1">
        <f t="array" ref="R7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canciones/cesareo_gabarain/he_visto_a_un_dios_pequeñito.html</v>
      </c>
      <c r="T735" s="1"/>
      <c r="U735" s="1"/>
      <c r="V735" s="32" t="s">
        <v>5265</v>
      </c>
      <c r="W7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href="canciones/cesareo_gabarain/he_visto_a_un_dios_pequeñito.html"&gt;He visto a un Dios pequeñito&lt;/a&gt;&lt;/li&gt;</v>
      </c>
      <c r="X735" s="15" t="str">
        <f>_xlfn.TEXTBEFORE(_xlfn.TEXTAFTER(CantoralDB[[#This Row],[index.html]],"&gt;"),"&gt;")&amp;"&gt;"</f>
        <v>&lt;a href="canciones/cesareo_gabarain/he_visto_a_un_dios_pequeñito.html"&gt;</v>
      </c>
      <c r="Y735"/>
      <c r="Z735" s="1"/>
      <c r="AA735" s="1"/>
      <c r="AB735" s="1"/>
      <c r="AC735" s="1"/>
    </row>
    <row r="736" spans="1:29" x14ac:dyDescent="0.3">
      <c r="A736" s="1">
        <f>ROW(CantoralDB[[#This Row],[Título]])-1</f>
        <v>735</v>
      </c>
      <c r="B736" s="1" t="s">
        <v>5267</v>
      </c>
      <c r="C736" s="1"/>
      <c r="J736" s="1"/>
      <c r="M736" s="15" t="s">
        <v>482</v>
      </c>
      <c r="N736" s="1" t="s">
        <v>5266</v>
      </c>
      <c r="O736" s="15">
        <v>1</v>
      </c>
      <c r="P736" s="15">
        <v>1985</v>
      </c>
      <c r="Q736" s="15" t="str" cm="1">
        <f t="array" ref="Q7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6" s="15" t="str" cm="1">
        <f t="array" ref="R7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canciones/cesareo_gabarain/cristo_horizonte_del_joven.html</v>
      </c>
      <c r="T736" s="1"/>
      <c r="U736" s="1"/>
      <c r="V736" s="32" t="s">
        <v>5276</v>
      </c>
      <c r="W7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href="canciones/cesareo_gabarain/cristo_horizonte_del_joven.html"&gt;Cristo, horizonte del joven&lt;/a&gt;&lt;/li&gt;</v>
      </c>
      <c r="X736" s="15" t="str">
        <f>_xlfn.TEXTBEFORE(_xlfn.TEXTAFTER(CantoralDB[[#This Row],[index.html]],"&gt;"),"&gt;")&amp;"&gt;"</f>
        <v>&lt;a href="canciones/cesareo_gabarain/cristo_horizonte_del_joven.html"&gt;</v>
      </c>
      <c r="Y736"/>
      <c r="Z736" s="1"/>
      <c r="AA736" s="1"/>
      <c r="AB736" s="1"/>
      <c r="AC736" s="1"/>
    </row>
    <row r="737" spans="1:29" x14ac:dyDescent="0.3">
      <c r="A737" s="1">
        <f>ROW(CantoralDB[[#This Row],[Título]])-1</f>
        <v>736</v>
      </c>
      <c r="B737" s="1" t="s">
        <v>5266</v>
      </c>
      <c r="C737" s="1"/>
      <c r="J737" s="1"/>
      <c r="M737" s="15" t="s">
        <v>482</v>
      </c>
      <c r="N737" s="1" t="s">
        <v>5266</v>
      </c>
      <c r="O737" s="15">
        <v>2</v>
      </c>
      <c r="P737" s="15">
        <v>1985</v>
      </c>
      <c r="Q737" s="15" t="str" cm="1">
        <f t="array" ref="Q7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7" s="15" t="str" cm="1">
        <f t="array" ref="R7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canciones/cesareo_gabarain/un_joven_soy.html</v>
      </c>
      <c r="T737" s="1"/>
      <c r="U737" s="1"/>
      <c r="V737" s="32" t="s">
        <v>5277</v>
      </c>
      <c r="W7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href="canciones/cesareo_gabarain/un_joven_soy.html"&gt;Un joven soy&lt;/a&gt;&lt;/li&gt;</v>
      </c>
      <c r="X737" s="15" t="str">
        <f>_xlfn.TEXTBEFORE(_xlfn.TEXTAFTER(CantoralDB[[#This Row],[index.html]],"&gt;"),"&gt;")&amp;"&gt;"</f>
        <v>&lt;a href="canciones/cesareo_gabarain/un_joven_soy.html"&gt;</v>
      </c>
      <c r="Y737"/>
      <c r="Z737" s="1"/>
      <c r="AA737" s="1"/>
      <c r="AB737" s="1"/>
      <c r="AC737" s="1"/>
    </row>
    <row r="738" spans="1:29" x14ac:dyDescent="0.3">
      <c r="A738" s="1">
        <f>ROW(CantoralDB[[#This Row],[Título]])-1</f>
        <v>737</v>
      </c>
      <c r="B738" s="1" t="s">
        <v>5268</v>
      </c>
      <c r="C738" s="1"/>
      <c r="J738" s="1"/>
      <c r="M738" s="15" t="s">
        <v>482</v>
      </c>
      <c r="N738" s="1" t="s">
        <v>5266</v>
      </c>
      <c r="O738" s="15">
        <v>3</v>
      </c>
      <c r="P738" s="15">
        <v>1985</v>
      </c>
      <c r="Q738" s="15" t="str" cm="1">
        <f t="array" ref="Q7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8" s="15" t="str" cm="1">
        <f t="array" ref="R7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canciones/cesareo_gabarain/te_damos_gracias.html</v>
      </c>
      <c r="T738" s="1"/>
      <c r="U738" s="1"/>
      <c r="V738" s="32" t="s">
        <v>5278</v>
      </c>
      <c r="W7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href="canciones/cesareo_gabarain/te_damos_gracias.html"&gt;Te damos gracias&lt;/a&gt;&lt;/li&gt;</v>
      </c>
      <c r="X738" s="15" t="str">
        <f>_xlfn.TEXTBEFORE(_xlfn.TEXTAFTER(CantoralDB[[#This Row],[index.html]],"&gt;"),"&gt;")&amp;"&gt;"</f>
        <v>&lt;a href="canciones/cesareo_gabarain/te_damos_gracias.html"&gt;</v>
      </c>
      <c r="Y738"/>
      <c r="Z738" s="1"/>
      <c r="AA738" s="1"/>
      <c r="AB738" s="1"/>
      <c r="AC738" s="1"/>
    </row>
    <row r="739" spans="1:29" x14ac:dyDescent="0.3">
      <c r="A739" s="1">
        <f>ROW(CantoralDB[[#This Row],[Título]])-1</f>
        <v>738</v>
      </c>
      <c r="B739" s="1" t="s">
        <v>5269</v>
      </c>
      <c r="C739" s="1"/>
      <c r="J739" s="1"/>
      <c r="M739" s="15" t="s">
        <v>482</v>
      </c>
      <c r="N739" s="1" t="s">
        <v>5266</v>
      </c>
      <c r="O739" s="15">
        <v>4</v>
      </c>
      <c r="P739" s="15">
        <v>1985</v>
      </c>
      <c r="Q739" s="15" t="str" cm="1">
        <f t="array" ref="Q7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39" s="15" t="str" cm="1">
        <f t="array" ref="R7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canciones/cesareo_gabarain/ven_a_vivir_mi_aventura.html</v>
      </c>
      <c r="T739" s="1"/>
      <c r="U739" s="1"/>
      <c r="V739" s="32" t="s">
        <v>5279</v>
      </c>
      <c r="W7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href="canciones/cesareo_gabarain/ven_a_vivir_mi_aventura.html"&gt;Ven a vivir mi aventura&lt;/a&gt;&lt;/li&gt;</v>
      </c>
      <c r="X739" s="15" t="str">
        <f>_xlfn.TEXTBEFORE(_xlfn.TEXTAFTER(CantoralDB[[#This Row],[index.html]],"&gt;"),"&gt;")&amp;"&gt;"</f>
        <v>&lt;a href="canciones/cesareo_gabarain/ven_a_vivir_mi_aventura.html"&gt;</v>
      </c>
      <c r="Y739"/>
      <c r="Z739" s="1"/>
      <c r="AA739" s="1"/>
      <c r="AB739" s="1"/>
      <c r="AC739" s="1"/>
    </row>
    <row r="740" spans="1:29" x14ac:dyDescent="0.3">
      <c r="A740" s="1">
        <f>ROW(CantoralDB[[#This Row],[Título]])-1</f>
        <v>739</v>
      </c>
      <c r="B740" s="1" t="s">
        <v>5270</v>
      </c>
      <c r="C740" s="1"/>
      <c r="J740" s="1"/>
      <c r="M740" s="15" t="s">
        <v>482</v>
      </c>
      <c r="N740" s="1" t="s">
        <v>5266</v>
      </c>
      <c r="O740" s="15">
        <v>5</v>
      </c>
      <c r="P740" s="15">
        <v>1985</v>
      </c>
      <c r="Q740" s="15" t="str" cm="1">
        <f t="array" ref="Q7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0" s="15" t="str" cm="1">
        <f t="array" ref="R7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canciones/cesareo_gabarain/una_joven_nazarena.html</v>
      </c>
      <c r="T740" s="1"/>
      <c r="U740" s="1"/>
      <c r="V740" s="32" t="s">
        <v>5280</v>
      </c>
      <c r="W7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href="canciones/cesareo_gabarain/una_joven_nazarena.html"&gt;Una joven nazarena&lt;/a&gt;&lt;/li&gt;</v>
      </c>
      <c r="X740" s="15" t="str">
        <f>_xlfn.TEXTBEFORE(_xlfn.TEXTAFTER(CantoralDB[[#This Row],[index.html]],"&gt;"),"&gt;")&amp;"&gt;"</f>
        <v>&lt;a href="canciones/cesareo_gabarain/una_joven_nazarena.html"&gt;</v>
      </c>
      <c r="Y740"/>
      <c r="Z740" s="1"/>
      <c r="AA740" s="1"/>
      <c r="AB740" s="1"/>
      <c r="AC740" s="1"/>
    </row>
    <row r="741" spans="1:29" x14ac:dyDescent="0.3">
      <c r="A741" s="1">
        <f>ROW(CantoralDB[[#This Row],[Título]])-1</f>
        <v>740</v>
      </c>
      <c r="B741" s="1" t="s">
        <v>5271</v>
      </c>
      <c r="C741" s="1"/>
      <c r="J741" s="1"/>
      <c r="M741" s="15" t="s">
        <v>482</v>
      </c>
      <c r="N741" s="1" t="s">
        <v>5266</v>
      </c>
      <c r="O741" s="15">
        <v>6</v>
      </c>
      <c r="P741" s="15">
        <v>1985</v>
      </c>
      <c r="Q741" s="15" t="str" cm="1">
        <f t="array" ref="Q7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1" s="15" t="str" cm="1">
        <f t="array" ref="R7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canciones/cesareo_gabarain/samuel.html</v>
      </c>
      <c r="T741" s="1"/>
      <c r="U741" s="1"/>
      <c r="V741" s="32" t="s">
        <v>5281</v>
      </c>
      <c r="W7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href="canciones/cesareo_gabarain/samuel.html"&gt;Samuel&lt;/a&gt;&lt;/li&gt;</v>
      </c>
      <c r="X741" s="15" t="str">
        <f>_xlfn.TEXTBEFORE(_xlfn.TEXTAFTER(CantoralDB[[#This Row],[index.html]],"&gt;"),"&gt;")&amp;"&gt;"</f>
        <v>&lt;a href="canciones/cesareo_gabarain/samuel.html"&gt;</v>
      </c>
      <c r="Y741"/>
      <c r="Z741" s="1"/>
      <c r="AA741" s="1"/>
      <c r="AB741" s="1"/>
      <c r="AC741" s="1"/>
    </row>
    <row r="742" spans="1:29" x14ac:dyDescent="0.3">
      <c r="A742" s="1">
        <f>ROW(CantoralDB[[#This Row],[Título]])-1</f>
        <v>741</v>
      </c>
      <c r="B742" s="1" t="s">
        <v>5272</v>
      </c>
      <c r="C742" s="1"/>
      <c r="J742" s="1"/>
      <c r="M742" s="15" t="s">
        <v>482</v>
      </c>
      <c r="N742" s="1" t="s">
        <v>5266</v>
      </c>
      <c r="O742" s="15">
        <v>7</v>
      </c>
      <c r="P742" s="15">
        <v>1985</v>
      </c>
      <c r="Q742" s="15" t="str" cm="1">
        <f t="array" ref="Q7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2" s="15" t="str" cm="1">
        <f t="array" ref="R7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canciones/cesareo_gabarain/el_joven_david.html</v>
      </c>
      <c r="T742" s="1"/>
      <c r="U742" s="1"/>
      <c r="V742" s="32" t="s">
        <v>5282</v>
      </c>
      <c r="W7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href="canciones/cesareo_gabarain/el_joven_david.html"&gt;El joven David&lt;/a&gt;&lt;/li&gt;</v>
      </c>
      <c r="X742" s="15" t="str">
        <f>_xlfn.TEXTBEFORE(_xlfn.TEXTAFTER(CantoralDB[[#This Row],[index.html]],"&gt;"),"&gt;")&amp;"&gt;"</f>
        <v>&lt;a href="canciones/cesareo_gabarain/el_joven_david.html"&gt;</v>
      </c>
      <c r="Y742"/>
      <c r="Z742" s="1"/>
      <c r="AA742" s="1"/>
      <c r="AB742" s="1"/>
      <c r="AC742" s="1"/>
    </row>
    <row r="743" spans="1:29" x14ac:dyDescent="0.3">
      <c r="A743" s="1">
        <f>ROW(CantoralDB[[#This Row],[Título]])-1</f>
        <v>742</v>
      </c>
      <c r="B743" s="1" t="s">
        <v>5273</v>
      </c>
      <c r="C743" s="1"/>
      <c r="J743" s="1"/>
      <c r="M743" s="15" t="s">
        <v>482</v>
      </c>
      <c r="N743" s="1" t="s">
        <v>5266</v>
      </c>
      <c r="O743" s="15">
        <v>8</v>
      </c>
      <c r="P743" s="15">
        <v>1985</v>
      </c>
      <c r="Q743" s="15" t="str" cm="1">
        <f t="array" ref="Q7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3" s="15" t="str" cm="1">
        <f t="array" ref="R7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canciones/cesareo_gabarain/bienaventuranzas_del_joven.html</v>
      </c>
      <c r="T743" s="1"/>
      <c r="U743" s="1"/>
      <c r="V743" s="32" t="s">
        <v>5283</v>
      </c>
      <c r="W7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href="canciones/cesareo_gabarain/bienaventuranzas_del_joven.html"&gt;Bienaventuranzas del joven&lt;/a&gt;&lt;/li&gt;</v>
      </c>
      <c r="X743" s="15" t="str">
        <f>_xlfn.TEXTBEFORE(_xlfn.TEXTAFTER(CantoralDB[[#This Row],[index.html]],"&gt;"),"&gt;")&amp;"&gt;"</f>
        <v>&lt;a href="canciones/cesareo_gabarain/bienaventuranzas_del_joven.html"&gt;</v>
      </c>
      <c r="Y743"/>
      <c r="Z743" s="1"/>
      <c r="AA743" s="1"/>
      <c r="AB743" s="1"/>
      <c r="AC743" s="1"/>
    </row>
    <row r="744" spans="1:29" x14ac:dyDescent="0.3">
      <c r="A744" s="1">
        <f>ROW(CantoralDB[[#This Row],[Título]])-1</f>
        <v>743</v>
      </c>
      <c r="B744" s="1" t="s">
        <v>5274</v>
      </c>
      <c r="C744" s="1"/>
      <c r="J744" s="1"/>
      <c r="M744" s="15" t="s">
        <v>482</v>
      </c>
      <c r="N744" s="1" t="s">
        <v>5266</v>
      </c>
      <c r="O744" s="15">
        <v>9</v>
      </c>
      <c r="P744" s="15">
        <v>1985</v>
      </c>
      <c r="Q744" s="15" t="str" cm="1">
        <f t="array" ref="Q7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4" s="15" t="str" cm="1">
        <f t="array" ref="R7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canciones/cesareo_gabarain/el_joven_es_levadura.html</v>
      </c>
      <c r="T744" s="1"/>
      <c r="U744" s="1"/>
      <c r="V744" s="32" t="s">
        <v>5284</v>
      </c>
      <c r="W7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href="canciones/cesareo_gabarain/el_joven_es_levadura.html"&gt;El joven es levadura&lt;/a&gt;&lt;/li&gt;</v>
      </c>
      <c r="X744" s="15" t="str">
        <f>_xlfn.TEXTBEFORE(_xlfn.TEXTAFTER(CantoralDB[[#This Row],[index.html]],"&gt;"),"&gt;")&amp;"&gt;"</f>
        <v>&lt;a href="canciones/cesareo_gabarain/el_joven_es_levadura.html"&gt;</v>
      </c>
      <c r="Y744"/>
      <c r="Z744" s="1"/>
      <c r="AA744" s="1"/>
      <c r="AB744" s="1"/>
      <c r="AC744" s="1"/>
    </row>
    <row r="745" spans="1:29" x14ac:dyDescent="0.3">
      <c r="A745" s="1">
        <f>ROW(CantoralDB[[#This Row],[Título]])-1</f>
        <v>744</v>
      </c>
      <c r="B745" s="1" t="s">
        <v>5275</v>
      </c>
      <c r="C745" s="1"/>
      <c r="J745" s="1"/>
      <c r="M745" s="15" t="s">
        <v>482</v>
      </c>
      <c r="N745" s="1" t="s">
        <v>5266</v>
      </c>
      <c r="O745" s="15">
        <v>10</v>
      </c>
      <c r="P745" s="15">
        <v>1985</v>
      </c>
      <c r="Q745" s="15" t="str" cm="1">
        <f t="array" ref="Q7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5" s="15" t="str" cm="1">
        <f t="array" ref="R7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canciones/cesareo_gabarain/merece_la_pena.html</v>
      </c>
      <c r="T745" s="1"/>
      <c r="U745" s="1"/>
      <c r="V745" s="32" t="s">
        <v>5285</v>
      </c>
      <c r="W7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href="canciones/cesareo_gabarain/merece_la_pena.html"&gt;Merece la pena&lt;/a&gt;&lt;/li&gt;</v>
      </c>
      <c r="X745" s="15" t="str">
        <f>_xlfn.TEXTBEFORE(_xlfn.TEXTAFTER(CantoralDB[[#This Row],[index.html]],"&gt;"),"&gt;")&amp;"&gt;"</f>
        <v>&lt;a href="canciones/cesareo_gabarain/merece_la_pena.html"&gt;</v>
      </c>
      <c r="Y745"/>
      <c r="Z745" s="1"/>
      <c r="AA745" s="1"/>
      <c r="AB745" s="1"/>
      <c r="AC745" s="1"/>
    </row>
    <row r="746" spans="1:29" x14ac:dyDescent="0.3">
      <c r="A746" s="1">
        <f>ROW(CantoralDB[[#This Row],[Título]])-1</f>
        <v>745</v>
      </c>
      <c r="B746" s="1" t="s">
        <v>5286</v>
      </c>
      <c r="C746" s="1"/>
      <c r="J746" s="1"/>
      <c r="M746" s="15" t="s">
        <v>482</v>
      </c>
      <c r="N746" s="1" t="s">
        <v>1838</v>
      </c>
      <c r="O746" s="15">
        <v>1</v>
      </c>
      <c r="P746" s="15">
        <v>1979</v>
      </c>
      <c r="Q746" s="15" t="str" cm="1">
        <f t="array" ref="Q7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6" s="15" t="str" cm="1">
        <f t="array" ref="R7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canciones/cesareo_gabarain/sufres_lloras_mueres.html</v>
      </c>
      <c r="T746" s="1"/>
      <c r="U746" s="1"/>
      <c r="V746" s="32" t="s">
        <v>5297</v>
      </c>
      <c r="W7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href="canciones/cesareo_gabarain/sufres_lloras_mueres.html"&gt;Sufres, lloras, mueres&lt;/a&gt;&lt;/li&gt;</v>
      </c>
      <c r="X746" s="15" t="str">
        <f>_xlfn.TEXTBEFORE(_xlfn.TEXTAFTER(CantoralDB[[#This Row],[index.html]],"&gt;"),"&gt;")&amp;"&gt;"</f>
        <v>&lt;a href="canciones/cesareo_gabarain/sufres_lloras_mueres.html"&gt;</v>
      </c>
      <c r="Y746"/>
      <c r="Z746" s="1"/>
      <c r="AA746" s="1"/>
      <c r="AB746" s="1"/>
      <c r="AC746" s="1"/>
    </row>
    <row r="747" spans="1:29" x14ac:dyDescent="0.3">
      <c r="A747" s="1">
        <f>ROW(CantoralDB[[#This Row],[Título]])-1</f>
        <v>746</v>
      </c>
      <c r="B747" s="1" t="s">
        <v>83</v>
      </c>
      <c r="C747" s="1" t="s">
        <v>190</v>
      </c>
      <c r="D747" s="1" t="s">
        <v>740</v>
      </c>
      <c r="E747" s="1">
        <v>145</v>
      </c>
      <c r="G747" s="1" t="s">
        <v>208</v>
      </c>
      <c r="H747" s="1" t="s">
        <v>529</v>
      </c>
      <c r="J747" s="1" t="s">
        <v>605</v>
      </c>
      <c r="M747" s="15" t="s">
        <v>482</v>
      </c>
      <c r="N747" s="1" t="s">
        <v>1838</v>
      </c>
      <c r="O747" s="15">
        <v>2</v>
      </c>
      <c r="P747" s="15">
        <v>1979</v>
      </c>
      <c r="Q747" s="15" t="str" cm="1">
        <f t="array" ref="Q7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7" s="15" t="str" cm="1">
        <f t="array" ref="R7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canciones/cesareo_gabarain/juntos_como_hermanos.html</v>
      </c>
      <c r="T747" s="1"/>
      <c r="U747" s="1"/>
      <c r="V747" s="32" t="s">
        <v>4612</v>
      </c>
      <c r="W7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 data-momento="Entrada" data-nnew="A23" data-nold="145"&gt;&lt;a href="canciones/cesareo_gabarain/juntos_como_hermanos.html"&gt;Juntos como hermanos&lt;/a&gt;&lt;/li&gt;</v>
      </c>
      <c r="X747" s="15" t="str">
        <f>_xlfn.TEXTBEFORE(_xlfn.TEXTAFTER(CantoralDB[[#This Row],[index.html]],"&gt;"),"&gt;")&amp;"&gt;"</f>
        <v>&lt;a href="canciones/cesareo_gabarain/juntos_como_hermanos.html"&gt;</v>
      </c>
      <c r="Y747"/>
      <c r="Z747" s="1"/>
      <c r="AA747" s="1"/>
      <c r="AB747" s="1"/>
      <c r="AC747" s="1"/>
    </row>
    <row r="748" spans="1:29" x14ac:dyDescent="0.3">
      <c r="A748" s="1">
        <f>ROW(CantoralDB[[#This Row],[Título]])-1</f>
        <v>747</v>
      </c>
      <c r="B748" s="1" t="s">
        <v>5287</v>
      </c>
      <c r="C748" s="1"/>
      <c r="J748" s="1"/>
      <c r="M748" s="15" t="s">
        <v>482</v>
      </c>
      <c r="N748" s="1" t="s">
        <v>1838</v>
      </c>
      <c r="O748" s="15">
        <v>5</v>
      </c>
      <c r="P748" s="15">
        <v>1979</v>
      </c>
      <c r="Q748" s="15" t="str" cm="1">
        <f t="array" ref="Q7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8" s="15" t="str" cm="1">
        <f t="array" ref="R7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canciones/cesareo_gabarain/en_el_tren_de_la_vida.html</v>
      </c>
      <c r="T748" s="1"/>
      <c r="U748" s="1"/>
      <c r="V748" s="32" t="s">
        <v>5298</v>
      </c>
      <c r="W7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href="canciones/cesareo_gabarain/en_el_tren_de_la_vida.html"&gt;En el tren de la vida&lt;/a&gt;&lt;/li&gt;</v>
      </c>
      <c r="X748" s="15" t="str">
        <f>_xlfn.TEXTBEFORE(_xlfn.TEXTAFTER(CantoralDB[[#This Row],[index.html]],"&gt;"),"&gt;")&amp;"&gt;"</f>
        <v>&lt;a href="canciones/cesareo_gabarain/en_el_tren_de_la_vida.html"&gt;</v>
      </c>
      <c r="Y748"/>
      <c r="Z748" s="1"/>
      <c r="AA748" s="1"/>
      <c r="AB748" s="1"/>
      <c r="AC748" s="1"/>
    </row>
    <row r="749" spans="1:29" x14ac:dyDescent="0.3">
      <c r="A749" s="1">
        <f>ROW(CantoralDB[[#This Row],[Título]])-1</f>
        <v>748</v>
      </c>
      <c r="B749" s="1" t="s">
        <v>5288</v>
      </c>
      <c r="C749" s="1"/>
      <c r="J749" s="1"/>
      <c r="M749" s="15" t="s">
        <v>482</v>
      </c>
      <c r="N749" s="1" t="s">
        <v>1838</v>
      </c>
      <c r="O749" s="15">
        <v>6</v>
      </c>
      <c r="P749" s="15">
        <v>1979</v>
      </c>
      <c r="Q749" s="15" t="str" cm="1">
        <f t="array" ref="Q7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49" s="15" t="str" cm="1">
        <f t="array" ref="R7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canciones/cesareo_gabarain/cansados_de_trabajar.html</v>
      </c>
      <c r="T749" s="1"/>
      <c r="U749" s="1"/>
      <c r="V749" s="32" t="s">
        <v>5299</v>
      </c>
      <c r="W7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href="canciones/cesareo_gabarain/cansados_de_trabajar.html"&gt;Cansados de trabajar&lt;/a&gt;&lt;/li&gt;</v>
      </c>
      <c r="X749" s="15" t="str">
        <f>_xlfn.TEXTBEFORE(_xlfn.TEXTAFTER(CantoralDB[[#This Row],[index.html]],"&gt;"),"&gt;")&amp;"&gt;"</f>
        <v>&lt;a href="canciones/cesareo_gabarain/cansados_de_trabajar.html"&gt;</v>
      </c>
      <c r="Y749"/>
      <c r="Z749" s="1"/>
      <c r="AA749" s="1"/>
      <c r="AB749" s="1"/>
      <c r="AC749" s="1"/>
    </row>
    <row r="750" spans="1:29" x14ac:dyDescent="0.3">
      <c r="A750" s="1">
        <f>ROW(CantoralDB[[#This Row],[Título]])-1</f>
        <v>749</v>
      </c>
      <c r="B750" s="1" t="s">
        <v>5289</v>
      </c>
      <c r="C750" s="1"/>
      <c r="J750" s="1"/>
      <c r="M750" s="15" t="s">
        <v>482</v>
      </c>
      <c r="N750" s="1" t="s">
        <v>1838</v>
      </c>
      <c r="O750" s="15">
        <v>7</v>
      </c>
      <c r="P750" s="15">
        <v>1979</v>
      </c>
      <c r="Q750" s="15" t="str" cm="1">
        <f t="array" ref="Q7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0" s="15" t="str" cm="1">
        <f t="array" ref="R7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canciones/cesareo_gabarain/mi_padre_dios_me_quiere.html</v>
      </c>
      <c r="T750" s="1"/>
      <c r="U750" s="1"/>
      <c r="V750" s="32" t="s">
        <v>5300</v>
      </c>
      <c r="W7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href="canciones/cesareo_gabarain/mi_padre_dios_me_quiere.html"&gt;Mi padre Dios me quiere&lt;/a&gt;&lt;/li&gt;</v>
      </c>
      <c r="X750" s="15" t="str">
        <f>_xlfn.TEXTBEFORE(_xlfn.TEXTAFTER(CantoralDB[[#This Row],[index.html]],"&gt;"),"&gt;")&amp;"&gt;"</f>
        <v>&lt;a href="canciones/cesareo_gabarain/mi_padre_dios_me_quiere.html"&gt;</v>
      </c>
      <c r="Y750"/>
      <c r="Z750" s="1"/>
      <c r="AA750" s="1"/>
      <c r="AB750" s="1"/>
      <c r="AC750" s="1"/>
    </row>
    <row r="751" spans="1:29" x14ac:dyDescent="0.3">
      <c r="A751" s="1">
        <f>ROW(CantoralDB[[#This Row],[Título]])-1</f>
        <v>750</v>
      </c>
      <c r="B751" s="1" t="s">
        <v>5290</v>
      </c>
      <c r="C751" s="1"/>
      <c r="J751" s="1"/>
      <c r="M751" s="15" t="s">
        <v>482</v>
      </c>
      <c r="N751" s="1" t="s">
        <v>1838</v>
      </c>
      <c r="O751" s="15">
        <v>8</v>
      </c>
      <c r="P751" s="15">
        <v>1979</v>
      </c>
      <c r="Q751" s="15" t="str" cm="1">
        <f t="array" ref="Q7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1" s="15" t="str" cm="1">
        <f t="array" ref="R7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canciones/cesareo_gabarain/en_tus_murallas_jerico.html</v>
      </c>
      <c r="T751" s="1"/>
      <c r="U751" s="1"/>
      <c r="V751" s="32" t="s">
        <v>5301</v>
      </c>
      <c r="W7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href="canciones/cesareo_gabarain/en_tus_murallas_jerico.html"&gt;En tus murallas, Jericó&lt;/a&gt;&lt;/li&gt;</v>
      </c>
      <c r="X751" s="15" t="str">
        <f>_xlfn.TEXTBEFORE(_xlfn.TEXTAFTER(CantoralDB[[#This Row],[index.html]],"&gt;"),"&gt;")&amp;"&gt;"</f>
        <v>&lt;a href="canciones/cesareo_gabarain/en_tus_murallas_jerico.html"&gt;</v>
      </c>
      <c r="Y751"/>
      <c r="Z751" s="1"/>
      <c r="AA751" s="1"/>
      <c r="AB751" s="1"/>
      <c r="AC751" s="1"/>
    </row>
    <row r="752" spans="1:29" x14ac:dyDescent="0.3">
      <c r="A752" s="1">
        <f>ROW(CantoralDB[[#This Row],[Título]])-1</f>
        <v>751</v>
      </c>
      <c r="B752" s="1" t="s">
        <v>5291</v>
      </c>
      <c r="C752" s="1"/>
      <c r="J752" s="1"/>
      <c r="M752" s="15" t="s">
        <v>482</v>
      </c>
      <c r="N752" s="1" t="s">
        <v>1838</v>
      </c>
      <c r="O752" s="15">
        <v>9</v>
      </c>
      <c r="P752" s="15">
        <v>1979</v>
      </c>
      <c r="Q752" s="15" t="str" cm="1">
        <f t="array" ref="Q7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2" s="15" t="str" cm="1">
        <f t="array" ref="R7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canciones/cesareo_gabarain/dios_y_esperanza_en_el_sufrir.html</v>
      </c>
      <c r="T752" s="1"/>
      <c r="U752" s="1"/>
      <c r="V752" s="32" t="s">
        <v>5302</v>
      </c>
      <c r="W7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href="canciones/cesareo_gabarain/dios_y_esperanza_en_el_sufrir.html"&gt;Dios y esperanza en el sufrir&lt;/a&gt;&lt;/li&gt;</v>
      </c>
      <c r="X752" s="15" t="str">
        <f>_xlfn.TEXTBEFORE(_xlfn.TEXTAFTER(CantoralDB[[#This Row],[index.html]],"&gt;"),"&gt;")&amp;"&gt;"</f>
        <v>&lt;a href="canciones/cesareo_gabarain/dios_y_esperanza_en_el_sufrir.html"&gt;</v>
      </c>
      <c r="Y752"/>
      <c r="Z752" s="1"/>
      <c r="AA752" s="1"/>
      <c r="AB752" s="1"/>
      <c r="AC752" s="1"/>
    </row>
    <row r="753" spans="1:29" x14ac:dyDescent="0.3">
      <c r="A753" s="1">
        <f>ROW(CantoralDB[[#This Row],[Título]])-1</f>
        <v>752</v>
      </c>
      <c r="B753" s="1" t="s">
        <v>1838</v>
      </c>
      <c r="C753" s="1"/>
      <c r="J753" s="1"/>
      <c r="M753" s="15" t="s">
        <v>482</v>
      </c>
      <c r="N753" s="1" t="s">
        <v>1838</v>
      </c>
      <c r="O753" s="15">
        <v>10</v>
      </c>
      <c r="P753" s="15">
        <v>1979</v>
      </c>
      <c r="Q753" s="15" t="str" cm="1">
        <f t="array" ref="Q7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3" s="15" t="str" cm="1">
        <f t="array" ref="R7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canciones/cesareo_gabarain/ven_señor.html</v>
      </c>
      <c r="T753" s="1"/>
      <c r="U753" s="1"/>
      <c r="V753" s="32" t="s">
        <v>5303</v>
      </c>
      <c r="W7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href="canciones/cesareo_gabarain/ven_señor.html"&gt;Ven, Señor&lt;/a&gt;&lt;/li&gt;</v>
      </c>
      <c r="X753" s="15" t="str">
        <f>_xlfn.TEXTBEFORE(_xlfn.TEXTAFTER(CantoralDB[[#This Row],[index.html]],"&gt;"),"&gt;")&amp;"&gt;"</f>
        <v>&lt;a href="canciones/cesareo_gabarain/ven_señor.html"&gt;</v>
      </c>
      <c r="Y753"/>
      <c r="Z753" s="1"/>
      <c r="AA753" s="1"/>
      <c r="AB753" s="1"/>
      <c r="AC753" s="1"/>
    </row>
    <row r="754" spans="1:29" x14ac:dyDescent="0.3">
      <c r="A754" s="1">
        <f>ROW(CantoralDB[[#This Row],[Título]])-1</f>
        <v>753</v>
      </c>
      <c r="B754" s="1" t="s">
        <v>5292</v>
      </c>
      <c r="C754" s="1"/>
      <c r="J754" s="1"/>
      <c r="M754" s="15" t="s">
        <v>482</v>
      </c>
      <c r="N754" s="1" t="s">
        <v>1838</v>
      </c>
      <c r="O754" s="15">
        <v>11</v>
      </c>
      <c r="P754" s="15">
        <v>1979</v>
      </c>
      <c r="Q754" s="15" t="str" cm="1">
        <f t="array" ref="Q7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4" s="15" t="str" cm="1">
        <f t="array" ref="R7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canciones/cesareo_gabarain/alguien_me_llama.html</v>
      </c>
      <c r="T754" s="1"/>
      <c r="U754" s="1"/>
      <c r="V754" s="32" t="s">
        <v>5304</v>
      </c>
      <c r="W7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href="canciones/cesareo_gabarain/alguien_me_llama.html"&gt;Alguien me llama&lt;/a&gt;&lt;/li&gt;</v>
      </c>
      <c r="X754" s="15" t="str">
        <f>_xlfn.TEXTBEFORE(_xlfn.TEXTAFTER(CantoralDB[[#This Row],[index.html]],"&gt;"),"&gt;")&amp;"&gt;"</f>
        <v>&lt;a href="canciones/cesareo_gabarain/alguien_me_llama.html"&gt;</v>
      </c>
      <c r="Y754"/>
      <c r="Z754" s="1"/>
      <c r="AA754" s="1"/>
      <c r="AB754" s="1"/>
      <c r="AC754" s="1"/>
    </row>
    <row r="755" spans="1:29" x14ac:dyDescent="0.3">
      <c r="A755" s="1">
        <f>ROW(CantoralDB[[#This Row],[Título]])-1</f>
        <v>754</v>
      </c>
      <c r="B755" s="1" t="s">
        <v>5293</v>
      </c>
      <c r="C755" s="1"/>
      <c r="J755" s="1"/>
      <c r="M755" s="15" t="s">
        <v>482</v>
      </c>
      <c r="N755" s="1" t="s">
        <v>1838</v>
      </c>
      <c r="O755" s="15">
        <v>12</v>
      </c>
      <c r="P755" s="15">
        <v>1979</v>
      </c>
      <c r="Q755" s="15" t="str" cm="1">
        <f t="array" ref="Q7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5" s="15" t="str" cm="1">
        <f t="array" ref="R7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canciones/cesareo_gabarain/señor_yo_quiero_ser_cristiano.html</v>
      </c>
      <c r="T755" s="1"/>
      <c r="U755" s="1"/>
      <c r="V755" s="32" t="s">
        <v>5305</v>
      </c>
      <c r="W7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href="canciones/cesareo_gabarain/señor_yo_quiero_ser_cristiano.html"&gt;Señor, yo quiero ser cristiano&lt;/a&gt;&lt;/li&gt;</v>
      </c>
      <c r="X755" s="15" t="str">
        <f>_xlfn.TEXTBEFORE(_xlfn.TEXTAFTER(CantoralDB[[#This Row],[index.html]],"&gt;"),"&gt;")&amp;"&gt;"</f>
        <v>&lt;a href="canciones/cesareo_gabarain/señor_yo_quiero_ser_cristiano.html"&gt;</v>
      </c>
      <c r="Y755"/>
      <c r="Z755" s="1"/>
      <c r="AA755" s="1"/>
      <c r="AB755" s="1"/>
      <c r="AC755" s="1"/>
    </row>
    <row r="756" spans="1:29" x14ac:dyDescent="0.3">
      <c r="A756" s="1">
        <f>ROW(CantoralDB[[#This Row],[Título]])-1</f>
        <v>755</v>
      </c>
      <c r="B756" s="1" t="s">
        <v>5294</v>
      </c>
      <c r="C756" s="1"/>
      <c r="J756" s="1"/>
      <c r="M756" s="15" t="s">
        <v>482</v>
      </c>
      <c r="N756" s="1" t="s">
        <v>1838</v>
      </c>
      <c r="O756" s="15">
        <v>13</v>
      </c>
      <c r="P756" s="15">
        <v>1979</v>
      </c>
      <c r="Q756" s="15" t="str" cm="1">
        <f t="array" ref="Q7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6" s="15" t="str" cm="1">
        <f t="array" ref="R7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canciones/cesareo_gabarain/pan_de_vida.html</v>
      </c>
      <c r="T756" s="1"/>
      <c r="U756" s="1"/>
      <c r="V756" s="32" t="s">
        <v>5306</v>
      </c>
      <c r="W7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href="canciones/cesareo_gabarain/pan_de_vida.html"&gt;Pan de vida&lt;/a&gt;&lt;/li&gt;</v>
      </c>
      <c r="X756" s="15" t="str">
        <f>_xlfn.TEXTBEFORE(_xlfn.TEXTAFTER(CantoralDB[[#This Row],[index.html]],"&gt;"),"&gt;")&amp;"&gt;"</f>
        <v>&lt;a href="canciones/cesareo_gabarain/pan_de_vida.html"&gt;</v>
      </c>
      <c r="Y756"/>
      <c r="Z756" s="1"/>
      <c r="AA756" s="1"/>
      <c r="AB756" s="1"/>
      <c r="AC756" s="1"/>
    </row>
    <row r="757" spans="1:29" x14ac:dyDescent="0.3">
      <c r="A757" s="1">
        <f>ROW(CantoralDB[[#This Row],[Título]])-1</f>
        <v>756</v>
      </c>
      <c r="B757" s="1" t="s">
        <v>5295</v>
      </c>
      <c r="C757" s="1"/>
      <c r="J757" s="1"/>
      <c r="M757" s="15" t="s">
        <v>482</v>
      </c>
      <c r="N757" s="1" t="s">
        <v>1838</v>
      </c>
      <c r="O757" s="15">
        <v>16</v>
      </c>
      <c r="P757" s="15">
        <v>1979</v>
      </c>
      <c r="Q757" s="15" t="str" cm="1">
        <f t="array" ref="Q7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7" s="15" t="str" cm="1">
        <f t="array" ref="R7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canciones/cesareo_gabarain/lejos_voy.html</v>
      </c>
      <c r="T757" s="1"/>
      <c r="U757" s="1"/>
      <c r="V757" s="32" t="s">
        <v>5307</v>
      </c>
      <c r="W7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href="canciones/cesareo_gabarain/lejos_voy.html"&gt;Lejos voy&lt;/a&gt;&lt;/li&gt;</v>
      </c>
      <c r="X757" s="15" t="str">
        <f>_xlfn.TEXTBEFORE(_xlfn.TEXTAFTER(CantoralDB[[#This Row],[index.html]],"&gt;"),"&gt;")&amp;"&gt;"</f>
        <v>&lt;a href="canciones/cesareo_gabarain/lejos_voy.html"&gt;</v>
      </c>
      <c r="Y757"/>
      <c r="Z757" s="1"/>
      <c r="AA757" s="1"/>
      <c r="AB757" s="1"/>
      <c r="AC757" s="1"/>
    </row>
    <row r="758" spans="1:29" x14ac:dyDescent="0.3">
      <c r="A758" s="1">
        <f>ROW(CantoralDB[[#This Row],[Título]])-1</f>
        <v>757</v>
      </c>
      <c r="B758" s="1" t="s">
        <v>5296</v>
      </c>
      <c r="C758" s="1"/>
      <c r="J758" s="1"/>
      <c r="M758" s="15" t="s">
        <v>482</v>
      </c>
      <c r="N758" s="1" t="s">
        <v>1838</v>
      </c>
      <c r="O758" s="15">
        <v>17</v>
      </c>
      <c r="P758" s="15">
        <v>1979</v>
      </c>
      <c r="Q758" s="15" t="str" cm="1">
        <f t="array" ref="Q7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cesareo_gabarain</v>
      </c>
      <c r="R758" s="15" t="str" cm="1">
        <f t="array" ref="R7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cesareo_gabarain</v>
      </c>
      <c r="S7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canciones/cesareo_gabarain/el_pan_sabroso.html</v>
      </c>
      <c r="T758" s="1"/>
      <c r="U758" s="1"/>
      <c r="V758" s="32" t="s">
        <v>5308</v>
      </c>
      <c r="W7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data-author="Cesáreo Gabarain"&gt;&lt;a href="canciones/cesareo_gabarain/el_pan_sabroso.html"&gt;El pan sabroso&lt;/a&gt;&lt;/li&gt;</v>
      </c>
      <c r="X758" s="15" t="str">
        <f>_xlfn.TEXTBEFORE(_xlfn.TEXTAFTER(CantoralDB[[#This Row],[index.html]],"&gt;"),"&gt;")&amp;"&gt;"</f>
        <v>&lt;a href="canciones/cesareo_gabarain/el_pan_sabroso.html"&gt;</v>
      </c>
      <c r="Y758"/>
      <c r="Z758" s="1"/>
      <c r="AA758" s="1"/>
      <c r="AB758" s="1"/>
      <c r="AC758" s="1"/>
    </row>
    <row r="759" spans="1:29" x14ac:dyDescent="0.3">
      <c r="A759" s="1">
        <f>ROW(CantoralDB[[#This Row],[Título]])-1</f>
        <v>758</v>
      </c>
      <c r="B759" s="1" t="s">
        <v>24</v>
      </c>
      <c r="C759" s="1" t="s">
        <v>990</v>
      </c>
      <c r="D759" s="1" t="s">
        <v>1036</v>
      </c>
      <c r="E759" s="1">
        <v>410</v>
      </c>
      <c r="G759" s="1" t="s">
        <v>208</v>
      </c>
      <c r="H759" s="1" t="s">
        <v>1024</v>
      </c>
      <c r="J759" s="1" t="s">
        <v>605</v>
      </c>
      <c r="M759" s="15" t="s">
        <v>541</v>
      </c>
      <c r="N759" s="1" t="s">
        <v>5064</v>
      </c>
      <c r="O759" s="15"/>
      <c r="P759" s="15">
        <v>1977</v>
      </c>
      <c r="Q759" s="15" t="str" cm="1">
        <f t="array" ref="Q7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59" s="15" t="str" cm="1">
        <f t="array" ref="R7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canciones/emilio_vicente_mateu/amar_es_darse.html</v>
      </c>
      <c r="T759" s="1"/>
      <c r="U759" s="1"/>
      <c r="V759" s="15"/>
      <c r="W7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data-momento="Comunión" data-nnew="K08" data-nold="410"&gt;&lt;a href="canciones/emilio_vicente_mateu/amar_es_darse.html"&gt;Amar es darse&lt;/a&gt;&lt;/li&gt;</v>
      </c>
      <c r="X759" s="15" t="str">
        <f>_xlfn.TEXTBEFORE(_xlfn.TEXTAFTER(CantoralDB[[#This Row],[index.html]],"&gt;"),"&gt;")&amp;"&gt;"</f>
        <v>&lt;a href="canciones/emilio_vicente_mateu/amar_es_darse.html"&gt;</v>
      </c>
      <c r="Y759"/>
      <c r="Z759" s="1"/>
      <c r="AA759" s="1"/>
      <c r="AB759" s="1"/>
      <c r="AC759" s="1"/>
    </row>
    <row r="760" spans="1:29" x14ac:dyDescent="0.3">
      <c r="A760" s="1">
        <f>ROW(CantoralDB[[#This Row],[Título]])-1</f>
        <v>759</v>
      </c>
      <c r="B760" s="1" t="s">
        <v>1316</v>
      </c>
      <c r="C760" s="1"/>
      <c r="E760" s="1">
        <v>239</v>
      </c>
      <c r="H760" s="1" t="s">
        <v>529</v>
      </c>
      <c r="J760" s="1" t="s">
        <v>605</v>
      </c>
      <c r="M760" s="15" t="s">
        <v>541</v>
      </c>
      <c r="N760" s="1" t="s">
        <v>5067</v>
      </c>
      <c r="O760" s="15"/>
      <c r="P760" s="15">
        <v>1975</v>
      </c>
      <c r="Q760" s="15" t="str" cm="1">
        <f t="array" ref="Q7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0" s="15" t="str" cm="1">
        <f t="array" ref="R7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canciones/emilio_vicente_mateu/siempre_unidos_mano_a_mano.html</v>
      </c>
      <c r="T760" s="1"/>
      <c r="U760" s="1"/>
      <c r="V760" s="15"/>
      <c r="W7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data-nold="239"&gt;&lt;a href="canciones/emilio_vicente_mateu/siempre_unidos_mano_a_mano.html"&gt;Siempre unidos, mano a mano&lt;/a&gt;&lt;/li&gt;</v>
      </c>
      <c r="X760" s="15" t="str">
        <f>_xlfn.TEXTBEFORE(_xlfn.TEXTAFTER(CantoralDB[[#This Row],[index.html]],"&gt;"),"&gt;")&amp;"&gt;"</f>
        <v>&lt;a href="canciones/emilio_vicente_mateu/siempre_unidos_mano_a_mano.html"&gt;</v>
      </c>
      <c r="Y760"/>
      <c r="Z760" s="1"/>
      <c r="AA760" s="1"/>
      <c r="AB760" s="1"/>
      <c r="AC760" s="1"/>
    </row>
    <row r="761" spans="1:29" x14ac:dyDescent="0.3">
      <c r="A761" s="1">
        <f>ROW(CantoralDB[[#This Row],[Título]])-1</f>
        <v>760</v>
      </c>
      <c r="B761" s="1" t="s">
        <v>1205</v>
      </c>
      <c r="C761" s="1"/>
      <c r="E761" s="1">
        <v>85</v>
      </c>
      <c r="I761" s="1" t="s">
        <v>5061</v>
      </c>
      <c r="J761" s="1" t="s">
        <v>605</v>
      </c>
      <c r="M761" s="15" t="s">
        <v>541</v>
      </c>
      <c r="N761" s="1" t="s">
        <v>5066</v>
      </c>
      <c r="O761" s="15"/>
      <c r="P761" s="15">
        <v>1978</v>
      </c>
      <c r="Q761" s="15" t="str" cm="1">
        <f t="array" ref="Q7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1" s="15" t="str" cm="1">
        <f t="array" ref="R7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canciones/emilio_vicente_mateu/dios_te_salve_mi_señora.html</v>
      </c>
      <c r="T761" s="1"/>
      <c r="U761" s="1"/>
      <c r="V761" s="15"/>
      <c r="W7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data-nold="85"&gt;&lt;a href="canciones/emilio_vicente_mateu/dios_te_salve_mi_señora.html"&gt;Dios te salve, mi señora&lt;/a&gt;&lt;/li&gt;</v>
      </c>
      <c r="X761" s="15" t="str">
        <f>_xlfn.TEXTBEFORE(_xlfn.TEXTAFTER(CantoralDB[[#This Row],[index.html]],"&gt;"),"&gt;")&amp;"&gt;"</f>
        <v>&lt;a href="canciones/emilio_vicente_mateu/dios_te_salve_mi_señora.html"&gt;</v>
      </c>
      <c r="Y761"/>
      <c r="Z761" s="1"/>
      <c r="AA761" s="1"/>
      <c r="AB761" s="1"/>
      <c r="AC761" s="1"/>
    </row>
    <row r="762" spans="1:29" x14ac:dyDescent="0.3">
      <c r="A762" s="1">
        <f>ROW(CantoralDB[[#This Row],[Título]])-1</f>
        <v>761</v>
      </c>
      <c r="B762" s="1" t="s">
        <v>1330</v>
      </c>
      <c r="C762" s="1"/>
      <c r="E762" s="1">
        <v>260</v>
      </c>
      <c r="H762" s="1" t="s">
        <v>1027</v>
      </c>
      <c r="J762" s="1" t="s">
        <v>605</v>
      </c>
      <c r="M762" s="15" t="s">
        <v>541</v>
      </c>
      <c r="N762" s="1" t="s">
        <v>5068</v>
      </c>
      <c r="O762" s="15"/>
      <c r="P762" s="15">
        <v>1980</v>
      </c>
      <c r="Q762" s="15" t="str" cm="1">
        <f t="array" ref="Q7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2" s="15" t="str" cm="1">
        <f t="array" ref="R7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canciones/emilio_vicente_mateu/tiempo_de_espera.html</v>
      </c>
      <c r="T762" s="1"/>
      <c r="U762" s="1"/>
      <c r="V762" s="32" t="s">
        <v>2962</v>
      </c>
      <c r="W7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data-nold="260"&gt;&lt;a href="canciones/emilio_vicente_mateu/tiempo_de_espera.html"&gt;Tiempo de espera&lt;/a&gt;&lt;/li&gt;</v>
      </c>
      <c r="X762" s="15" t="str">
        <f>_xlfn.TEXTBEFORE(_xlfn.TEXTAFTER(CantoralDB[[#This Row],[index.html]],"&gt;"),"&gt;")&amp;"&gt;"</f>
        <v>&lt;a href="canciones/emilio_vicente_mateu/tiempo_de_espera.html"&gt;</v>
      </c>
      <c r="Y762"/>
      <c r="Z762" s="1"/>
      <c r="AA762" s="1"/>
      <c r="AB762" s="1"/>
      <c r="AC762" s="1"/>
    </row>
    <row r="763" spans="1:29" x14ac:dyDescent="0.3">
      <c r="A763" s="1">
        <f>ROW(CantoralDB[[#This Row],[Título]])-1</f>
        <v>762</v>
      </c>
      <c r="B763" s="1" t="s">
        <v>27</v>
      </c>
      <c r="C763" s="1" t="s">
        <v>990</v>
      </c>
      <c r="D763" s="1" t="s">
        <v>683</v>
      </c>
      <c r="E763" s="1">
        <v>34</v>
      </c>
      <c r="G763" s="1" t="s">
        <v>208</v>
      </c>
      <c r="H763" s="1" t="s">
        <v>1027</v>
      </c>
      <c r="I763" s="1" t="s">
        <v>2947</v>
      </c>
      <c r="J763" s="1" t="s">
        <v>605</v>
      </c>
      <c r="M763" s="15" t="s">
        <v>541</v>
      </c>
      <c r="N763" s="1" t="s">
        <v>5065</v>
      </c>
      <c r="O763" s="15"/>
      <c r="P763" s="15">
        <v>1973</v>
      </c>
      <c r="Q763" s="15" t="str" cm="1">
        <f t="array" ref="Q7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3" s="15" t="str" cm="1">
        <f t="array" ref="R7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canciones/emilio_vicente_mateu/bienaventurados_seremos_señor.html</v>
      </c>
      <c r="T763" s="1" t="s">
        <v>806</v>
      </c>
      <c r="U763" s="1"/>
      <c r="V763" s="15"/>
      <c r="W7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data-momento="Comunión" data-nnew="K13" data-nold="34"&gt;&lt;a href="canciones/emilio_vicente_mateu/bienaventurados_seremos_señor.html"&gt;Bienaventurados seremos, Señor&lt;/a&gt;&lt;/li&gt;</v>
      </c>
      <c r="X763" s="15" t="str">
        <f>_xlfn.TEXTBEFORE(_xlfn.TEXTAFTER(CantoralDB[[#This Row],[index.html]],"&gt;"),"&gt;")&amp;"&gt;"</f>
        <v>&lt;a href="canciones/emilio_vicente_mateu/bienaventurados_seremos_señor.html"&gt;</v>
      </c>
      <c r="Y763"/>
      <c r="Z763" s="1"/>
      <c r="AA763" s="1"/>
      <c r="AB763" s="1"/>
      <c r="AC763" s="1"/>
    </row>
    <row r="764" spans="1:29" x14ac:dyDescent="0.3">
      <c r="A764" s="1">
        <f>ROW(CantoralDB[[#This Row],[Título]])-1</f>
        <v>763</v>
      </c>
      <c r="B764" s="1" t="s">
        <v>138</v>
      </c>
      <c r="C764" s="1" t="s">
        <v>990</v>
      </c>
      <c r="D764" s="1" t="s">
        <v>1003</v>
      </c>
      <c r="E764" s="1">
        <v>237</v>
      </c>
      <c r="G764" s="1" t="s">
        <v>208</v>
      </c>
      <c r="H764" s="1" t="s">
        <v>1027</v>
      </c>
      <c r="I764" s="1" t="s">
        <v>2949</v>
      </c>
      <c r="J764" s="1" t="s">
        <v>605</v>
      </c>
      <c r="M764" s="15" t="s">
        <v>541</v>
      </c>
      <c r="N764" s="1" t="s">
        <v>5065</v>
      </c>
      <c r="O764" s="15"/>
      <c r="P764" s="15">
        <v>1973</v>
      </c>
      <c r="Q764" s="15" t="str" cm="1">
        <f t="array" ref="Q7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4" s="15" t="str" cm="1">
        <f t="array" ref="R7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canciones/emilio_vicente_mateu/somos_un_pueblo_que_camina.html</v>
      </c>
      <c r="T764" s="1"/>
      <c r="U764" s="1"/>
      <c r="V764" s="15"/>
      <c r="W7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data-momento="Comunión" data-nnew="K69" data-nold="237"&gt;&lt;a href="canciones/emilio_vicente_mateu/somos_un_pueblo_que_camina.html"&gt;Somos un pueblo que camina&lt;/a&gt;&lt;/li&gt;</v>
      </c>
      <c r="X764" s="15" t="str">
        <f>_xlfn.TEXTBEFORE(_xlfn.TEXTAFTER(CantoralDB[[#This Row],[index.html]],"&gt;"),"&gt;")&amp;"&gt;"</f>
        <v>&lt;a href="canciones/emilio_vicente_mateu/somos_un_pueblo_que_camina.html"&gt;</v>
      </c>
      <c r="Y764"/>
      <c r="Z764" s="1"/>
      <c r="AA764" s="1"/>
      <c r="AB764" s="1"/>
      <c r="AC764" s="1"/>
    </row>
    <row r="765" spans="1:29" x14ac:dyDescent="0.3">
      <c r="A765" s="1">
        <f>ROW(CantoralDB[[#This Row],[Título]])-1</f>
        <v>764</v>
      </c>
      <c r="B765" s="1" t="s">
        <v>32</v>
      </c>
      <c r="C765" s="1" t="s">
        <v>475</v>
      </c>
      <c r="D765" s="1" t="s">
        <v>1395</v>
      </c>
      <c r="E765" s="1">
        <v>50</v>
      </c>
      <c r="G765" s="1" t="s">
        <v>208</v>
      </c>
      <c r="H765" s="1" t="s">
        <v>1024</v>
      </c>
      <c r="J765" s="1" t="s">
        <v>605</v>
      </c>
      <c r="M765" s="15" t="s">
        <v>541</v>
      </c>
      <c r="N765" s="1" t="s">
        <v>1238</v>
      </c>
      <c r="O765" s="15"/>
      <c r="P765" s="15">
        <v>1975</v>
      </c>
      <c r="Q765" s="15" t="str" cm="1">
        <f t="array" ref="Q7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5" s="15" t="str" cm="1">
        <f t="array" ref="R7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canciones/emilio_vicente_mateu/cantemos_todos_la_navidad.html</v>
      </c>
      <c r="T765" s="1"/>
      <c r="U765" s="1"/>
      <c r="V765" s="15"/>
      <c r="W7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data-momento="Navidad" data-nnew="O05" data-nold="50"&gt;&lt;a href="canciones/emilio_vicente_mateu/cantemos_todos_la_navidad.html"&gt;Cantemos todos la Navidad&lt;/a&gt;&lt;/li&gt;</v>
      </c>
      <c r="X765" s="15" t="str">
        <f>_xlfn.TEXTBEFORE(_xlfn.TEXTAFTER(CantoralDB[[#This Row],[index.html]],"&gt;"),"&gt;")&amp;"&gt;"</f>
        <v>&lt;a href="canciones/emilio_vicente_mateu/cantemos_todos_la_navidad.html"&gt;</v>
      </c>
      <c r="Y765"/>
      <c r="Z765" s="1"/>
      <c r="AA765" s="1"/>
      <c r="AB765" s="1"/>
      <c r="AC765" s="1"/>
    </row>
    <row r="766" spans="1:29" x14ac:dyDescent="0.3">
      <c r="A766" s="1">
        <f>ROW(CantoralDB[[#This Row],[Título]])-1</f>
        <v>765</v>
      </c>
      <c r="B766" s="1" t="s">
        <v>54</v>
      </c>
      <c r="C766" s="1" t="s">
        <v>475</v>
      </c>
      <c r="D766" s="1" t="s">
        <v>1411</v>
      </c>
      <c r="E766" s="1">
        <v>92</v>
      </c>
      <c r="G766" s="1" t="s">
        <v>208</v>
      </c>
      <c r="H766" s="1" t="s">
        <v>1027</v>
      </c>
      <c r="J766" s="1" t="s">
        <v>605</v>
      </c>
      <c r="M766" s="15" t="s">
        <v>541</v>
      </c>
      <c r="N766" s="1" t="s">
        <v>1238</v>
      </c>
      <c r="O766" s="15"/>
      <c r="P766" s="15">
        <v>1975</v>
      </c>
      <c r="Q766" s="15" t="str" cm="1">
        <f t="array" ref="Q7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6" s="15" t="str" cm="1">
        <f t="array" ref="R7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canciones/emilio_vicente_mateu/el_señor_nos_ha_nacido_en_belen.html</v>
      </c>
      <c r="T766" s="1"/>
      <c r="U766" s="1"/>
      <c r="V766" s="15"/>
      <c r="W7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data-momento="Navidad" data-nnew="O08" data-nold="92"&gt;&lt;a href="canciones/emilio_vicente_mateu/el_señor_nos_ha_nacido_en_belen.html"&gt;El Señor nos ha nacido en Belén&lt;/a&gt;&lt;/li&gt;</v>
      </c>
      <c r="X766" s="15" t="str">
        <f>_xlfn.TEXTBEFORE(_xlfn.TEXTAFTER(CantoralDB[[#This Row],[index.html]],"&gt;"),"&gt;")&amp;"&gt;"</f>
        <v>&lt;a href="canciones/emilio_vicente_mateu/el_señor_nos_ha_nacido_en_belen.html"&gt;</v>
      </c>
      <c r="Y766"/>
      <c r="Z766" s="1"/>
      <c r="AA766" s="1"/>
      <c r="AB766" s="1"/>
      <c r="AC766" s="1"/>
    </row>
    <row r="767" spans="1:29" x14ac:dyDescent="0.3">
      <c r="A767" s="1">
        <f>ROW(CantoralDB[[#This Row],[Título]])-1</f>
        <v>766</v>
      </c>
      <c r="B767" s="1" t="s">
        <v>87</v>
      </c>
      <c r="C767" s="1" t="s">
        <v>475</v>
      </c>
      <c r="D767" s="1" t="s">
        <v>1057</v>
      </c>
      <c r="E767" s="1">
        <v>158</v>
      </c>
      <c r="G767" s="1" t="s">
        <v>208</v>
      </c>
      <c r="H767" s="1" t="s">
        <v>529</v>
      </c>
      <c r="J767" s="1" t="s">
        <v>605</v>
      </c>
      <c r="M767" s="15" t="s">
        <v>541</v>
      </c>
      <c r="N767" s="1" t="s">
        <v>1238</v>
      </c>
      <c r="O767" s="15"/>
      <c r="P767" s="15">
        <v>1975</v>
      </c>
      <c r="Q767" s="15" t="str" cm="1">
        <f t="array" ref="Q7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7" s="15" t="str" cm="1">
        <f t="array" ref="R7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canciones/emilio_vicente_mateu/los_magos_vienen_de_oriente.html</v>
      </c>
      <c r="T767" s="1"/>
      <c r="U767" s="1"/>
      <c r="V767" s="15"/>
      <c r="W7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data-momento="Navidad" data-nnew="O11" data-nold="158"&gt;&lt;a href="canciones/emilio_vicente_mateu/los_magos_vienen_de_oriente.html"&gt;Los magos vienen de Oriente&lt;/a&gt;&lt;/li&gt;</v>
      </c>
      <c r="X767" s="15" t="str">
        <f>_xlfn.TEXTBEFORE(_xlfn.TEXTAFTER(CantoralDB[[#This Row],[index.html]],"&gt;"),"&gt;")&amp;"&gt;"</f>
        <v>&lt;a href="canciones/emilio_vicente_mateu/los_magos_vienen_de_oriente.html"&gt;</v>
      </c>
      <c r="Y767"/>
      <c r="Z767" s="1"/>
      <c r="AA767" s="1"/>
      <c r="AB767" s="1"/>
      <c r="AC767" s="1"/>
    </row>
    <row r="768" spans="1:29" x14ac:dyDescent="0.3">
      <c r="A768" s="1">
        <f>ROW(CantoralDB[[#This Row],[Título]])-1</f>
        <v>767</v>
      </c>
      <c r="B768" s="1" t="s">
        <v>1238</v>
      </c>
      <c r="C768" s="1"/>
      <c r="E768" s="1">
        <v>282</v>
      </c>
      <c r="H768" s="1" t="s">
        <v>472</v>
      </c>
      <c r="J768" s="1" t="s">
        <v>605</v>
      </c>
      <c r="M768" s="15" t="s">
        <v>541</v>
      </c>
      <c r="N768" s="1" t="s">
        <v>1238</v>
      </c>
      <c r="O768" s="15"/>
      <c r="P768" s="15">
        <v>1975</v>
      </c>
      <c r="Q768" s="15" t="str" cm="1">
        <f t="array" ref="Q7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8" s="15" t="str" cm="1">
        <f t="array" ref="R7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canciones/emilio_vicente_mateu/vendra_la_libertad.html</v>
      </c>
      <c r="T768" s="1"/>
      <c r="U768" s="1"/>
      <c r="V768" s="15"/>
      <c r="W7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data-nold="282"&gt;&lt;a href="canciones/emilio_vicente_mateu/vendra_la_libertad.html"&gt;Vendrá la libertad&lt;/a&gt;&lt;/li&gt;</v>
      </c>
      <c r="X768" s="15" t="str">
        <f>_xlfn.TEXTBEFORE(_xlfn.TEXTAFTER(CantoralDB[[#This Row],[index.html]],"&gt;"),"&gt;")&amp;"&gt;"</f>
        <v>&lt;a href="canciones/emilio_vicente_mateu/vendra_la_libertad.html"&gt;</v>
      </c>
      <c r="Y768"/>
      <c r="Z768" s="1"/>
      <c r="AA768" s="1"/>
      <c r="AB768" s="1"/>
      <c r="AC768" s="1"/>
    </row>
    <row r="769" spans="1:29" x14ac:dyDescent="0.3">
      <c r="A769" s="1">
        <f>ROW(CantoralDB[[#This Row],[Título]])-1</f>
        <v>768</v>
      </c>
      <c r="B769" s="1" t="s">
        <v>1321</v>
      </c>
      <c r="C769" s="1"/>
      <c r="E769" s="1">
        <v>246</v>
      </c>
      <c r="I769" s="1" t="s">
        <v>5061</v>
      </c>
      <c r="J769" s="1" t="s">
        <v>605</v>
      </c>
      <c r="M769" s="15" t="s">
        <v>541</v>
      </c>
      <c r="O769" s="15"/>
      <c r="P769" s="15"/>
      <c r="Q769" s="15" t="str" cm="1">
        <f t="array" ref="Q7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69" s="15" t="str" cm="1">
        <f t="array" ref="R7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canciones/emilio_vicente_mateu/somos_un_solo_cuerpo.html</v>
      </c>
      <c r="T769" s="1"/>
      <c r="U769" s="1"/>
      <c r="V769" s="15"/>
      <c r="W7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data-nold="246"&gt;&lt;a href="canciones/emilio_vicente_mateu/somos_un_solo_cuerpo.html"&gt;Somos un solo cuerpo&lt;/a&gt;&lt;/li&gt;</v>
      </c>
      <c r="X769" s="15" t="str">
        <f>_xlfn.TEXTBEFORE(_xlfn.TEXTAFTER(CantoralDB[[#This Row],[index.html]],"&gt;"),"&gt;")&amp;"&gt;"</f>
        <v>&lt;a href="canciones/emilio_vicente_mateu/somos_un_solo_cuerpo.html"&gt;</v>
      </c>
      <c r="Y769"/>
      <c r="Z769" s="1"/>
      <c r="AA769" s="1"/>
      <c r="AB769" s="1"/>
      <c r="AC769" s="1"/>
    </row>
    <row r="770" spans="1:29" x14ac:dyDescent="0.3">
      <c r="A770" s="1">
        <f>ROW(CantoralDB[[#This Row],[Título]])-1</f>
        <v>769</v>
      </c>
      <c r="B770" s="1" t="s">
        <v>1328</v>
      </c>
      <c r="C770" s="1"/>
      <c r="E770" s="1">
        <v>256</v>
      </c>
      <c r="J770" s="1"/>
      <c r="M770" s="15" t="s">
        <v>541</v>
      </c>
      <c r="O770" s="15"/>
      <c r="P770" s="15"/>
      <c r="Q770" s="15" t="str" cm="1">
        <f t="array" ref="Q7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emilio_vicente_mateu</v>
      </c>
      <c r="R770" s="15" t="str" cm="1">
        <f t="array" ref="R7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canciones/emilio_vicente_mateu/te_buscamos_señor.html</v>
      </c>
      <c r="T770" s="1"/>
      <c r="U770" s="1"/>
      <c r="V770" s="15"/>
      <c r="W7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data-author="Emilio Vicente Mateu" data-nold="256"&gt;&lt;a href="canciones/emilio_vicente_mateu/te_buscamos_señor.html"&gt;Te buscamos, Señor&lt;/a&gt;&lt;/li&gt;</v>
      </c>
      <c r="X770" s="15" t="str">
        <f>_xlfn.TEXTBEFORE(_xlfn.TEXTAFTER(CantoralDB[[#This Row],[index.html]],"&gt;"),"&gt;")&amp;"&gt;"</f>
        <v>&lt;a href="canciones/emilio_vicente_mateu/te_buscamos_señor.html"&gt;</v>
      </c>
      <c r="Y770"/>
      <c r="Z770" s="1"/>
      <c r="AA770" s="1"/>
      <c r="AB770" s="1"/>
      <c r="AC770" s="1"/>
    </row>
    <row r="771" spans="1:29" x14ac:dyDescent="0.3">
      <c r="A771" s="1">
        <f>ROW(CantoralDB[[#This Row],[Título]])-1</f>
        <v>770</v>
      </c>
      <c r="B771" s="1" t="s">
        <v>2109</v>
      </c>
      <c r="C771" s="1"/>
      <c r="E771" s="1">
        <v>293</v>
      </c>
      <c r="H771" s="1" t="s">
        <v>472</v>
      </c>
      <c r="J771" s="1" t="s">
        <v>605</v>
      </c>
      <c r="M771" s="15" t="s">
        <v>2134</v>
      </c>
      <c r="N771" s="1" t="s">
        <v>2353</v>
      </c>
      <c r="O771" s="15"/>
      <c r="P771" s="15">
        <v>1982</v>
      </c>
      <c r="Q771" s="15" t="str" cm="1">
        <f t="array" ref="Q7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1" s="15" t="str" cm="1">
        <f t="array" ref="R7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canciones/fernando_viejo/como_era_pedro.html</v>
      </c>
      <c r="T771" s="1"/>
      <c r="U771" s="1"/>
      <c r="V771" s="15"/>
      <c r="W7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data-nold="293"&gt;&lt;a href="canciones/fernando_viejo/como_era_pedro.html"&gt;Como era Pedro&lt;/a&gt;&lt;/li&gt;</v>
      </c>
      <c r="X771" s="15" t="str">
        <f>_xlfn.TEXTBEFORE(_xlfn.TEXTAFTER(CantoralDB[[#This Row],[index.html]],"&gt;"),"&gt;")&amp;"&gt;"</f>
        <v>&lt;a href="canciones/fernando_viejo/como_era_pedro.html"&gt;</v>
      </c>
      <c r="Y771"/>
      <c r="Z771" s="1"/>
      <c r="AA771" s="1"/>
      <c r="AB771" s="1"/>
      <c r="AC771" s="1"/>
    </row>
    <row r="772" spans="1:29" x14ac:dyDescent="0.3">
      <c r="A772" s="1">
        <f>ROW(CantoralDB[[#This Row],[Título]])-1</f>
        <v>771</v>
      </c>
      <c r="B772" s="1" t="s">
        <v>1188</v>
      </c>
      <c r="C772" s="1"/>
      <c r="E772" s="1">
        <v>64</v>
      </c>
      <c r="H772" s="1" t="s">
        <v>1024</v>
      </c>
      <c r="J772" s="1" t="s">
        <v>605</v>
      </c>
      <c r="M772" s="15" t="s">
        <v>2134</v>
      </c>
      <c r="N772" s="1" t="s">
        <v>2353</v>
      </c>
      <c r="O772" s="15"/>
      <c r="P772" s="15">
        <v>1982</v>
      </c>
      <c r="Q772" s="15" t="str" cm="1">
        <f t="array" ref="Q7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2" s="15" t="str" cm="1">
        <f t="array" ref="R7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canciones/fernando_viejo/creo_en_dios_y_en_su_palabra.html</v>
      </c>
      <c r="T772" s="1"/>
      <c r="U772" s="1"/>
      <c r="V772" s="15"/>
      <c r="W7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data-nold="64"&gt;&lt;a href="canciones/fernando_viejo/creo_en_dios_y_en_su_palabra.html"&gt;Creo en Dios y en su Palabra&lt;/a&gt;&lt;/li&gt;</v>
      </c>
      <c r="X772" s="15" t="str">
        <f>_xlfn.TEXTBEFORE(_xlfn.TEXTAFTER(CantoralDB[[#This Row],[index.html]],"&gt;"),"&gt;")&amp;"&gt;"</f>
        <v>&lt;a href="canciones/fernando_viejo/creo_en_dios_y_en_su_palabra.html"&gt;</v>
      </c>
      <c r="Y772"/>
      <c r="Z772" s="1"/>
      <c r="AA772" s="1"/>
      <c r="AB772" s="1"/>
      <c r="AC772" s="1"/>
    </row>
    <row r="773" spans="1:29" x14ac:dyDescent="0.3">
      <c r="A773" s="1">
        <f>ROW(CantoralDB[[#This Row],[Título]])-1</f>
        <v>772</v>
      </c>
      <c r="B773" s="1" t="s">
        <v>1258</v>
      </c>
      <c r="C773" s="1"/>
      <c r="E773" s="1">
        <v>132</v>
      </c>
      <c r="H773" s="1" t="s">
        <v>1027</v>
      </c>
      <c r="J773" s="1" t="s">
        <v>605</v>
      </c>
      <c r="M773" s="15" t="s">
        <v>2134</v>
      </c>
      <c r="N773" s="1" t="s">
        <v>2353</v>
      </c>
      <c r="O773" s="15"/>
      <c r="P773" s="15">
        <v>1982</v>
      </c>
      <c r="Q773" s="15" t="str" cm="1">
        <f t="array" ref="Q7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3" s="15" t="str" cm="1">
        <f t="array" ref="R7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canciones/fernando_viejo/hasta_cuando_señor.html</v>
      </c>
      <c r="T773" s="1"/>
      <c r="U773" s="1"/>
      <c r="V773" s="15"/>
      <c r="W7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data-nold="132"&gt;&lt;a href="canciones/fernando_viejo/hasta_cuando_señor.html"&gt;Hasta cuándo, Señor&lt;/a&gt;&lt;/li&gt;</v>
      </c>
      <c r="X773" s="15" t="str">
        <f>_xlfn.TEXTBEFORE(_xlfn.TEXTAFTER(CantoralDB[[#This Row],[index.html]],"&gt;"),"&gt;")&amp;"&gt;"</f>
        <v>&lt;a href="canciones/fernando_viejo/hasta_cuando_señor.html"&gt;</v>
      </c>
      <c r="Y773"/>
      <c r="Z773" s="1"/>
      <c r="AA773" s="1"/>
      <c r="AB773" s="1"/>
      <c r="AC773" s="1"/>
    </row>
    <row r="774" spans="1:29" x14ac:dyDescent="0.3">
      <c r="A774" s="1">
        <f>ROW(CantoralDB[[#This Row],[Título]])-1</f>
        <v>773</v>
      </c>
      <c r="B774" s="1" t="s">
        <v>1297</v>
      </c>
      <c r="C774" s="1"/>
      <c r="E774" s="1">
        <v>199</v>
      </c>
      <c r="H774" s="1" t="s">
        <v>1027</v>
      </c>
      <c r="J774" s="1" t="s">
        <v>605</v>
      </c>
      <c r="M774" s="15" t="s">
        <v>2134</v>
      </c>
      <c r="N774" s="1" t="s">
        <v>2353</v>
      </c>
      <c r="O774" s="15"/>
      <c r="P774" s="15">
        <v>1982</v>
      </c>
      <c r="Q774" s="15" t="str" cm="1">
        <f t="array" ref="Q7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4" s="15" t="str" cm="1">
        <f t="array" ref="R7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canciones/fernando_viejo/padre_nuestro_que_estas_en_la_tierra.html</v>
      </c>
      <c r="T774" s="1"/>
      <c r="U774" s="1"/>
      <c r="V774" s="15"/>
      <c r="W7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data-nold="199"&gt;&lt;a href="canciones/fernando_viejo/padre_nuestro_que_estas_en_la_tierra.html"&gt;Padre nuestro, que estás en la tierra&lt;/a&gt;&lt;/li&gt;</v>
      </c>
      <c r="X774" s="15" t="str">
        <f>_xlfn.TEXTBEFORE(_xlfn.TEXTAFTER(CantoralDB[[#This Row],[index.html]],"&gt;"),"&gt;")&amp;"&gt;"</f>
        <v>&lt;a href="canciones/fernando_viejo/padre_nuestro_que_estas_en_la_tierra.html"&gt;</v>
      </c>
      <c r="Y774"/>
      <c r="Z774" s="1"/>
      <c r="AA774" s="1"/>
      <c r="AB774" s="1"/>
      <c r="AC774" s="1"/>
    </row>
    <row r="775" spans="1:29" x14ac:dyDescent="0.3">
      <c r="A775" s="1">
        <f>ROW(CantoralDB[[#This Row],[Título]])-1</f>
        <v>774</v>
      </c>
      <c r="B775" s="1" t="s">
        <v>1298</v>
      </c>
      <c r="C775" s="1"/>
      <c r="E775" s="1">
        <v>204</v>
      </c>
      <c r="H775" s="1" t="s">
        <v>1026</v>
      </c>
      <c r="J775" s="1" t="s">
        <v>605</v>
      </c>
      <c r="M775" s="15" t="s">
        <v>2134</v>
      </c>
      <c r="N775" s="1" t="s">
        <v>2353</v>
      </c>
      <c r="O775" s="15"/>
      <c r="P775" s="15">
        <v>1982</v>
      </c>
      <c r="Q775" s="15" t="str" cm="1">
        <f t="array" ref="Q7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5" s="15" t="str" cm="1">
        <f t="array" ref="R7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canciones/fernando_viejo/piedad_señor_piedad.html</v>
      </c>
      <c r="T775" s="1"/>
      <c r="U775" s="1"/>
      <c r="V775" s="15"/>
      <c r="W7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data-nold="204"&gt;&lt;a href="canciones/fernando_viejo/piedad_señor_piedad.html"&gt;Piedad, Señor, piedad&lt;/a&gt;&lt;/li&gt;</v>
      </c>
      <c r="X775" s="15" t="str">
        <f>_xlfn.TEXTBEFORE(_xlfn.TEXTAFTER(CantoralDB[[#This Row],[index.html]],"&gt;"),"&gt;")&amp;"&gt;"</f>
        <v>&lt;a href="canciones/fernando_viejo/piedad_señor_piedad.html"&gt;</v>
      </c>
      <c r="Y775"/>
      <c r="Z775" s="1"/>
      <c r="AA775" s="1"/>
      <c r="AB775" s="1"/>
      <c r="AC775" s="1"/>
    </row>
    <row r="776" spans="1:29" x14ac:dyDescent="0.3">
      <c r="A776" s="1">
        <f>ROW(CantoralDB[[#This Row],[Título]])-1</f>
        <v>775</v>
      </c>
      <c r="B776" s="1" t="s">
        <v>1307</v>
      </c>
      <c r="C776" s="1"/>
      <c r="E776" s="1">
        <v>223</v>
      </c>
      <c r="H776" s="1" t="s">
        <v>472</v>
      </c>
      <c r="J776" s="1" t="s">
        <v>605</v>
      </c>
      <c r="M776" s="15" t="s">
        <v>2134</v>
      </c>
      <c r="N776" s="1" t="s">
        <v>2353</v>
      </c>
      <c r="O776" s="15"/>
      <c r="P776" s="15">
        <v>1982</v>
      </c>
      <c r="Q776" s="15" t="str" cm="1">
        <f t="array" ref="Q7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fernando_viejo</v>
      </c>
      <c r="R776" s="15" t="str" cm="1">
        <f t="array" ref="R7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canciones/fernando_viejo/que_detalle_señor.html</v>
      </c>
      <c r="T776" s="1"/>
      <c r="U776" s="1"/>
      <c r="V776" s="32" t="s">
        <v>2963</v>
      </c>
      <c r="W7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data-author="Fernando Viejo" data-nold="223"&gt;&lt;a href="canciones/fernando_viejo/que_detalle_señor.html"&gt;Qué detalle, Señor&lt;/a&gt;&lt;/li&gt;</v>
      </c>
      <c r="X776" s="15" t="str">
        <f>_xlfn.TEXTBEFORE(_xlfn.TEXTAFTER(CantoralDB[[#This Row],[index.html]],"&gt;"),"&gt;")&amp;"&gt;"</f>
        <v>&lt;a href="canciones/fernando_viejo/que_detalle_señor.html"&gt;</v>
      </c>
      <c r="Y776"/>
      <c r="Z776" s="1"/>
      <c r="AA776" s="1"/>
      <c r="AB776" s="1"/>
      <c r="AC776" s="1"/>
    </row>
    <row r="777" spans="1:29" x14ac:dyDescent="0.3">
      <c r="A777" s="1">
        <f>ROW(CantoralDB[[#This Row],[Título]])-1</f>
        <v>776</v>
      </c>
      <c r="B777" s="1" t="s">
        <v>21</v>
      </c>
      <c r="C777" s="1" t="s">
        <v>190</v>
      </c>
      <c r="D777" s="1" t="s">
        <v>1379</v>
      </c>
      <c r="E777" s="1">
        <v>21</v>
      </c>
      <c r="G777" s="1" t="s">
        <v>208</v>
      </c>
      <c r="H777" s="1" t="s">
        <v>1024</v>
      </c>
      <c r="I777" s="1" t="s">
        <v>2948</v>
      </c>
      <c r="J777" s="1" t="s">
        <v>605</v>
      </c>
      <c r="M777" s="15" t="s">
        <v>480</v>
      </c>
      <c r="N777" s="1" t="s">
        <v>21</v>
      </c>
      <c r="O777" s="15">
        <v>1</v>
      </c>
      <c r="P777" s="15">
        <v>1978</v>
      </c>
      <c r="Q777" s="15" t="str" cm="1">
        <f t="array" ref="Q7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77" s="15" t="str" cm="1">
        <f t="array" ref="R7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canciones/francisco_palazon/alrededor_de_tu_mesa.html</v>
      </c>
      <c r="T777" s="1"/>
      <c r="U777" s="1"/>
      <c r="V777" s="32" t="s">
        <v>3576</v>
      </c>
      <c r="W7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data-momento="Entrada" data-nnew="A07" data-nold="21"&gt;&lt;a href="canciones/francisco_palazon/alrededor_de_tu_mesa.html"&gt;Alrededor de tu mesa&lt;/a&gt;&lt;/li&gt;</v>
      </c>
      <c r="X777" s="15" t="str">
        <f>_xlfn.TEXTBEFORE(_xlfn.TEXTAFTER(CantoralDB[[#This Row],[index.html]],"&gt;"),"&gt;")&amp;"&gt;"</f>
        <v>&lt;a href="canciones/francisco_palazon/alrededor_de_tu_mesa.html"&gt;</v>
      </c>
      <c r="Y777"/>
      <c r="Z777" s="1"/>
      <c r="AA777" s="1"/>
      <c r="AB777" s="1"/>
      <c r="AC777" s="1"/>
    </row>
    <row r="778" spans="1:29" x14ac:dyDescent="0.3">
      <c r="A778" s="1">
        <f>ROW(CantoralDB[[#This Row],[Título]])-1</f>
        <v>777</v>
      </c>
      <c r="B778" s="1" t="s">
        <v>2188</v>
      </c>
      <c r="C778" s="1"/>
      <c r="H778" s="1" t="s">
        <v>1025</v>
      </c>
      <c r="J778" s="1" t="s">
        <v>605</v>
      </c>
      <c r="M778" s="15" t="s">
        <v>480</v>
      </c>
      <c r="N778" s="1" t="s">
        <v>21</v>
      </c>
      <c r="O778" s="15">
        <v>2</v>
      </c>
      <c r="P778" s="15">
        <v>1978</v>
      </c>
      <c r="Q778" s="15" t="str" cm="1">
        <f t="array" ref="Q7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78" s="15" t="str" cm="1">
        <f t="array" ref="R7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canciones/francisco_palazon/señor_ten_piedad_(alrededor_de_tu_mesa).html</v>
      </c>
      <c r="T778" s="1"/>
      <c r="U778" s="1"/>
      <c r="V778" s="32" t="s">
        <v>3577</v>
      </c>
      <c r="W7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href="canciones/francisco_palazon/señor_ten_piedad_(alrededor_de_tu_mesa).html"&gt;Señor, ten piedad (Alrededor de tu mesa)&lt;/a&gt;&lt;/li&gt;</v>
      </c>
      <c r="X778" s="15" t="str">
        <f>_xlfn.TEXTBEFORE(_xlfn.TEXTAFTER(CantoralDB[[#This Row],[index.html]],"&gt;"),"&gt;")&amp;"&gt;"</f>
        <v>&lt;a href="canciones/francisco_palazon/señor_ten_piedad_(alrededor_de_tu_mesa).html"&gt;</v>
      </c>
      <c r="Y778"/>
      <c r="Z778" s="1"/>
      <c r="AA778" s="1"/>
      <c r="AB778" s="1"/>
      <c r="AC778" s="1"/>
    </row>
    <row r="779" spans="1:29" x14ac:dyDescent="0.3">
      <c r="A779" s="1">
        <f>ROW(CantoralDB[[#This Row],[Título]])-1</f>
        <v>778</v>
      </c>
      <c r="B779" s="1" t="s">
        <v>67</v>
      </c>
      <c r="C779" s="1" t="s">
        <v>192</v>
      </c>
      <c r="D779" s="1" t="s">
        <v>1419</v>
      </c>
      <c r="E779" s="1">
        <v>128</v>
      </c>
      <c r="G779" s="1" t="s">
        <v>208</v>
      </c>
      <c r="H779" s="1" t="s">
        <v>529</v>
      </c>
      <c r="J779" s="1" t="s">
        <v>605</v>
      </c>
      <c r="M779" s="15" t="s">
        <v>480</v>
      </c>
      <c r="N779" s="1" t="s">
        <v>21</v>
      </c>
      <c r="O779" s="15">
        <v>3</v>
      </c>
      <c r="P779" s="15">
        <v>1978</v>
      </c>
      <c r="Q779" s="15" t="str" cm="1">
        <f t="array" ref="Q7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79" s="15" t="str" cm="1">
        <f t="array" ref="R7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canciones/francisco_palazon/gloria_a_dios_en_el_cielo.html</v>
      </c>
      <c r="T779" s="1"/>
      <c r="U779" s="1"/>
      <c r="V779" s="32" t="s">
        <v>3578</v>
      </c>
      <c r="W7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data-momento="Gloria" data-nnew="C02" data-nold="128"&gt;&lt;a href="canciones/francisco_palazon/gloria_a_dios_en_el_cielo.html"&gt;Gloria a Dios en el cielo&lt;/a&gt;&lt;/li&gt;</v>
      </c>
      <c r="X779" s="15" t="str">
        <f>_xlfn.TEXTBEFORE(_xlfn.TEXTAFTER(CantoralDB[[#This Row],[index.html]],"&gt;"),"&gt;")&amp;"&gt;"</f>
        <v>&lt;a href="canciones/francisco_palazon/gloria_a_dios_en_el_cielo.html"&gt;</v>
      </c>
      <c r="Y779"/>
      <c r="Z779" s="1"/>
      <c r="AA779" s="1"/>
      <c r="AB779" s="1"/>
      <c r="AC779" s="1"/>
    </row>
    <row r="780" spans="1:29" x14ac:dyDescent="0.3">
      <c r="A780" s="1">
        <f>ROW(CantoralDB[[#This Row],[Título]])-1</f>
        <v>779</v>
      </c>
      <c r="B780" s="1" t="s">
        <v>1915</v>
      </c>
      <c r="C780" s="1"/>
      <c r="H780" s="1" t="s">
        <v>1025</v>
      </c>
      <c r="J780" s="1" t="s">
        <v>605</v>
      </c>
      <c r="M780" s="15" t="s">
        <v>480</v>
      </c>
      <c r="N780" s="1" t="s">
        <v>21</v>
      </c>
      <c r="O780" s="15">
        <v>4</v>
      </c>
      <c r="P780" s="15">
        <v>1978</v>
      </c>
      <c r="Q780" s="15" t="str" cm="1">
        <f t="array" ref="Q7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0" s="15" t="str" cm="1">
        <f t="array" ref="R7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canciones/francisco_palazon/acabamos_de_oir_tu_palabra.html</v>
      </c>
      <c r="T780" s="1"/>
      <c r="U780" s="1"/>
      <c r="V780" s="32" t="s">
        <v>3579</v>
      </c>
      <c r="W7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href="canciones/francisco_palazon/acabamos_de_oir_tu_palabra.html"&gt;Acabamos de oír tu palabra&lt;/a&gt;&lt;/li&gt;</v>
      </c>
      <c r="X780" s="15" t="str">
        <f>_xlfn.TEXTBEFORE(_xlfn.TEXTAFTER(CantoralDB[[#This Row],[index.html]],"&gt;"),"&gt;")&amp;"&gt;"</f>
        <v>&lt;a href="canciones/francisco_palazon/acabamos_de_oir_tu_palabra.html"&gt;</v>
      </c>
      <c r="Y780"/>
      <c r="Z780" s="1"/>
      <c r="AA780" s="1"/>
      <c r="AB780" s="1"/>
      <c r="AC780" s="1"/>
    </row>
    <row r="781" spans="1:29" x14ac:dyDescent="0.3">
      <c r="A781" s="1">
        <f>ROW(CantoralDB[[#This Row],[Título]])-1</f>
        <v>780</v>
      </c>
      <c r="B781" s="1" t="s">
        <v>1916</v>
      </c>
      <c r="C781" s="1"/>
      <c r="H781" s="1" t="s">
        <v>1025</v>
      </c>
      <c r="J781" s="1" t="s">
        <v>605</v>
      </c>
      <c r="M781" s="15" t="s">
        <v>480</v>
      </c>
      <c r="N781" s="1" t="s">
        <v>21</v>
      </c>
      <c r="O781" s="15">
        <v>5</v>
      </c>
      <c r="P781" s="15">
        <v>1978</v>
      </c>
      <c r="Q781" s="15" t="str" cm="1">
        <f t="array" ref="Q7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1" s="15" t="str" cm="1">
        <f t="array" ref="R7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canciones/francisco_palazon/bendito_seas_señor.html</v>
      </c>
      <c r="T781" s="1"/>
      <c r="U781" s="1"/>
      <c r="V781" s="32" t="s">
        <v>3580</v>
      </c>
      <c r="W7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href="canciones/francisco_palazon/bendito_seas_señor.html"&gt;Bendito seas, Señor&lt;/a&gt;&lt;/li&gt;</v>
      </c>
      <c r="X781" s="15" t="str">
        <f>_xlfn.TEXTBEFORE(_xlfn.TEXTAFTER(CantoralDB[[#This Row],[index.html]],"&gt;"),"&gt;")&amp;"&gt;"</f>
        <v>&lt;a href="canciones/francisco_palazon/bendito_seas_señor.html"&gt;</v>
      </c>
      <c r="Y781"/>
      <c r="Z781" s="1"/>
      <c r="AA781" s="1"/>
      <c r="AB781" s="1"/>
      <c r="AC781" s="1"/>
    </row>
    <row r="782" spans="1:29" x14ac:dyDescent="0.3">
      <c r="A782" s="1">
        <f>ROW(CantoralDB[[#This Row],[Título]])-1</f>
        <v>781</v>
      </c>
      <c r="B782" s="1" t="s">
        <v>1232</v>
      </c>
      <c r="C782" s="1" t="s">
        <v>195</v>
      </c>
      <c r="D782" s="1" t="s">
        <v>1461</v>
      </c>
      <c r="E782" s="1">
        <v>245</v>
      </c>
      <c r="G782" s="1" t="s">
        <v>208</v>
      </c>
      <c r="H782" s="1" t="s">
        <v>529</v>
      </c>
      <c r="I782" s="1" t="s">
        <v>2945</v>
      </c>
      <c r="J782" s="1" t="s">
        <v>605</v>
      </c>
      <c r="M782" s="15" t="s">
        <v>480</v>
      </c>
      <c r="N782" s="1" t="s">
        <v>21</v>
      </c>
      <c r="O782" s="15">
        <v>6</v>
      </c>
      <c r="P782" s="15">
        <v>1978</v>
      </c>
      <c r="Q782" s="15" t="str" cm="1">
        <f t="array" ref="Q7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2" s="15" t="str" cm="1">
        <f t="array" ref="R7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canciones/francisco_palazon/santo_(palazon).html</v>
      </c>
      <c r="T782" s="1"/>
      <c r="U782" s="1"/>
      <c r="V782" s="32" t="s">
        <v>3581</v>
      </c>
      <c r="W7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data-momento="Santo" data-nnew="G05" data-nold="245"&gt;&lt;a href="canciones/francisco_palazon/santo_(palazon).html"&gt;Santo (Palazón)&lt;/a&gt;&lt;/li&gt;</v>
      </c>
      <c r="X782" s="15" t="str">
        <f>_xlfn.TEXTBEFORE(_xlfn.TEXTAFTER(CantoralDB[[#This Row],[index.html]],"&gt;"),"&gt;")&amp;"&gt;"</f>
        <v>&lt;a href="canciones/francisco_palazon/santo_(palazon).html"&gt;</v>
      </c>
      <c r="Y782"/>
      <c r="Z782" s="1"/>
      <c r="AA782" s="1"/>
      <c r="AB782" s="1"/>
      <c r="AC782" s="1"/>
    </row>
    <row r="783" spans="1:29" x14ac:dyDescent="0.3">
      <c r="A783" s="1">
        <f>ROW(CantoralDB[[#This Row],[Título]])-1</f>
        <v>782</v>
      </c>
      <c r="B783" s="1" t="s">
        <v>1917</v>
      </c>
      <c r="C783" s="1"/>
      <c r="H783" s="1" t="s">
        <v>1025</v>
      </c>
      <c r="J783" s="1" t="s">
        <v>605</v>
      </c>
      <c r="M783" s="15" t="s">
        <v>480</v>
      </c>
      <c r="N783" s="1" t="s">
        <v>21</v>
      </c>
      <c r="O783" s="15">
        <v>7</v>
      </c>
      <c r="P783" s="15">
        <v>1978</v>
      </c>
      <c r="Q783" s="15" t="str" cm="1">
        <f t="array" ref="Q7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3" s="15" t="str" cm="1">
        <f t="array" ref="R7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canciones/francisco_palazon/anunciamos_tu_muerte.html</v>
      </c>
      <c r="T783" s="1"/>
      <c r="U783" s="1"/>
      <c r="V783" s="32" t="s">
        <v>3582</v>
      </c>
      <c r="W7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href="canciones/francisco_palazon/anunciamos_tu_muerte.html"&gt;Anunciamos tu muerte&lt;/a&gt;&lt;/li&gt;</v>
      </c>
      <c r="X783" s="15" t="str">
        <f>_xlfn.TEXTBEFORE(_xlfn.TEXTAFTER(CantoralDB[[#This Row],[index.html]],"&gt;"),"&gt;")&amp;"&gt;"</f>
        <v>&lt;a href="canciones/francisco_palazon/anunciamos_tu_muerte.html"&gt;</v>
      </c>
      <c r="Y783"/>
      <c r="Z783" s="1"/>
      <c r="AA783" s="1"/>
      <c r="AB783" s="1"/>
      <c r="AC783" s="1"/>
    </row>
    <row r="784" spans="1:29" x14ac:dyDescent="0.3">
      <c r="A784" s="1">
        <f>ROW(CantoralDB[[#This Row],[Título]])-1</f>
        <v>783</v>
      </c>
      <c r="B784" s="1" t="s">
        <v>1553</v>
      </c>
      <c r="C784" s="1"/>
      <c r="H784" s="1" t="s">
        <v>1025</v>
      </c>
      <c r="J784" s="1" t="s">
        <v>605</v>
      </c>
      <c r="M784" s="15" t="s">
        <v>480</v>
      </c>
      <c r="N784" s="1" t="s">
        <v>21</v>
      </c>
      <c r="O784" s="15">
        <v>8</v>
      </c>
      <c r="P784" s="15">
        <v>1978</v>
      </c>
      <c r="Q784" s="15" t="str" cm="1">
        <f t="array" ref="Q7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4" s="15" t="str" cm="1">
        <f t="array" ref="R7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canciones/francisco_palazon/padre_nuestro.html</v>
      </c>
      <c r="T784" s="1"/>
      <c r="U784" s="1"/>
      <c r="V784" s="32" t="s">
        <v>3583</v>
      </c>
      <c r="W7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href="canciones/francisco_palazon/padre_nuestro.html"&gt;Padre nuestro&lt;/a&gt;&lt;/li&gt;</v>
      </c>
      <c r="X784" s="15" t="str">
        <f>_xlfn.TEXTBEFORE(_xlfn.TEXTAFTER(CantoralDB[[#This Row],[index.html]],"&gt;"),"&gt;")&amp;"&gt;"</f>
        <v>&lt;a href="canciones/francisco_palazon/padre_nuestro.html"&gt;</v>
      </c>
      <c r="Y784"/>
      <c r="Z784" s="1"/>
      <c r="AA784" s="1"/>
      <c r="AB784" s="1"/>
      <c r="AC784" s="1"/>
    </row>
    <row r="785" spans="1:29" x14ac:dyDescent="0.3">
      <c r="A785" s="1">
        <f>ROW(CantoralDB[[#This Row],[Título]])-1</f>
        <v>784</v>
      </c>
      <c r="B785" s="1" t="s">
        <v>201</v>
      </c>
      <c r="C785" s="1"/>
      <c r="H785" s="1" t="s">
        <v>1025</v>
      </c>
      <c r="J785" s="1" t="s">
        <v>605</v>
      </c>
      <c r="M785" s="15" t="s">
        <v>480</v>
      </c>
      <c r="N785" s="1" t="s">
        <v>21</v>
      </c>
      <c r="O785" s="15">
        <v>10</v>
      </c>
      <c r="P785" s="15">
        <v>1978</v>
      </c>
      <c r="Q785" s="15" t="str" cm="1">
        <f t="array" ref="Q7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5" s="15" t="str" cm="1">
        <f t="array" ref="R7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canciones/francisco_palazon/cordero_de_dios.html</v>
      </c>
      <c r="T785" s="1"/>
      <c r="U785" s="1"/>
      <c r="V785" s="32" t="s">
        <v>3584</v>
      </c>
      <c r="W7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href="canciones/francisco_palazon/cordero_de_dios.html"&gt;Cordero de Dios&lt;/a&gt;&lt;/li&gt;</v>
      </c>
      <c r="X785" s="15" t="str">
        <f>_xlfn.TEXTBEFORE(_xlfn.TEXTAFTER(CantoralDB[[#This Row],[index.html]],"&gt;"),"&gt;")&amp;"&gt;"</f>
        <v>&lt;a href="canciones/francisco_palazon/cordero_de_dios.html"&gt;</v>
      </c>
      <c r="Y785"/>
      <c r="Z785" s="1"/>
      <c r="AA785" s="1"/>
      <c r="AB785" s="1"/>
      <c r="AC785" s="1"/>
    </row>
    <row r="786" spans="1:29" x14ac:dyDescent="0.3">
      <c r="A786" s="1">
        <f>ROW(CantoralDB[[#This Row],[Título]])-1</f>
        <v>785</v>
      </c>
      <c r="B786" s="1" t="s">
        <v>8</v>
      </c>
      <c r="C786" s="1" t="s">
        <v>190</v>
      </c>
      <c r="D786" s="1" t="s">
        <v>1363</v>
      </c>
      <c r="E786" s="1">
        <v>9</v>
      </c>
      <c r="G786" s="1" t="s">
        <v>208</v>
      </c>
      <c r="H786" s="1" t="s">
        <v>472</v>
      </c>
      <c r="I786" s="1" t="s">
        <v>2947</v>
      </c>
      <c r="J786" s="1" t="s">
        <v>605</v>
      </c>
      <c r="M786" s="15" t="s">
        <v>480</v>
      </c>
      <c r="N786" s="1" t="s">
        <v>21</v>
      </c>
      <c r="O786" s="15">
        <v>11</v>
      </c>
      <c r="P786" s="15">
        <v>1978</v>
      </c>
      <c r="Q786" s="15" t="str" cm="1">
        <f t="array" ref="Q7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6" s="15" t="str" cm="1">
        <f t="array" ref="R7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canciones/francisco_palazon/acerquemonos_todos_al_altar.html</v>
      </c>
      <c r="T786" s="1"/>
      <c r="U786" s="1"/>
      <c r="V786" s="32" t="s">
        <v>3585</v>
      </c>
      <c r="W7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data-momento="Entrada" data-nnew="A04" data-nold="9"&gt;&lt;a href="canciones/francisco_palazon/acerquemonos_todos_al_altar.html"&gt;Acerquémonos todos al altar&lt;/a&gt;&lt;/li&gt;</v>
      </c>
      <c r="X786" s="15" t="str">
        <f>_xlfn.TEXTBEFORE(_xlfn.TEXTAFTER(CantoralDB[[#This Row],[index.html]],"&gt;"),"&gt;")&amp;"&gt;"</f>
        <v>&lt;a href="canciones/francisco_palazon/acerquemonos_todos_al_altar.html"&gt;</v>
      </c>
      <c r="Y786"/>
      <c r="Z786" s="1"/>
      <c r="AA786" s="1"/>
      <c r="AB786" s="1"/>
      <c r="AC786" s="1"/>
    </row>
    <row r="787" spans="1:29" x14ac:dyDescent="0.3">
      <c r="A787" s="1">
        <f>ROW(CantoralDB[[#This Row],[Título]])-1</f>
        <v>786</v>
      </c>
      <c r="B787" s="1" t="s">
        <v>1919</v>
      </c>
      <c r="C787" s="1"/>
      <c r="H787" s="1" t="s">
        <v>1025</v>
      </c>
      <c r="J787" s="1" t="s">
        <v>605</v>
      </c>
      <c r="M787" s="15" t="s">
        <v>480</v>
      </c>
      <c r="N787" s="1" t="s">
        <v>21</v>
      </c>
      <c r="O787" s="15">
        <v>12</v>
      </c>
      <c r="P787" s="15">
        <v>1978</v>
      </c>
      <c r="Q787" s="15" t="str" cm="1">
        <f t="array" ref="Q7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7" s="15" t="str" cm="1">
        <f t="array" ref="R7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canciones/francisco_palazon/anunciando_tu_venida.html</v>
      </c>
      <c r="T787" s="1"/>
      <c r="U787" s="1"/>
      <c r="V787" s="32" t="s">
        <v>3586</v>
      </c>
      <c r="W7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href="canciones/francisco_palazon/anunciando_tu_venida.html"&gt;Anunciando tu venida&lt;/a&gt;&lt;/li&gt;</v>
      </c>
      <c r="X787" s="15" t="str">
        <f>_xlfn.TEXTBEFORE(_xlfn.TEXTAFTER(CantoralDB[[#This Row],[index.html]],"&gt;"),"&gt;")&amp;"&gt;"</f>
        <v>&lt;a href="canciones/francisco_palazon/anunciando_tu_venida.html"&gt;</v>
      </c>
      <c r="Y787"/>
      <c r="Z787" s="1"/>
      <c r="AA787" s="1"/>
      <c r="AB787" s="1"/>
      <c r="AC787" s="1"/>
    </row>
    <row r="788" spans="1:29" x14ac:dyDescent="0.3">
      <c r="A788" s="1">
        <f>ROW(CantoralDB[[#This Row],[Título]])-1</f>
        <v>787</v>
      </c>
      <c r="B788" s="1" t="s">
        <v>2201</v>
      </c>
      <c r="C788" s="1"/>
      <c r="H788" s="1" t="s">
        <v>1025</v>
      </c>
      <c r="J788" s="1" t="s">
        <v>605</v>
      </c>
      <c r="M788" s="15" t="s">
        <v>480</v>
      </c>
      <c r="N788" s="1" t="s">
        <v>1920</v>
      </c>
      <c r="O788" s="15">
        <v>1</v>
      </c>
      <c r="P788" s="15">
        <v>1970</v>
      </c>
      <c r="Q788" s="15" t="str" cm="1">
        <f t="array" ref="Q7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8" s="15" t="str" cm="1">
        <f t="array" ref="R7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canciones/francisco_palazon/junto_a_los_canales_de_babilonia.html</v>
      </c>
      <c r="T788" s="1" t="s">
        <v>2189</v>
      </c>
      <c r="U788" s="1"/>
      <c r="V788" s="32" t="s">
        <v>4224</v>
      </c>
      <c r="W7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href="canciones/francisco_palazon/junto_a_los_canales_de_babilonia.html"&gt;Junto a los canales de Babilonia&lt;/a&gt;&lt;/li&gt;</v>
      </c>
      <c r="X788" s="15" t="str">
        <f>_xlfn.TEXTBEFORE(_xlfn.TEXTAFTER(CantoralDB[[#This Row],[index.html]],"&gt;"),"&gt;")&amp;"&gt;"</f>
        <v>&lt;a href="canciones/francisco_palazon/junto_a_los_canales_de_babilonia.html"&gt;</v>
      </c>
      <c r="Y788"/>
      <c r="Z788" s="1"/>
      <c r="AA788" s="1"/>
      <c r="AB788" s="1"/>
      <c r="AC788" s="1"/>
    </row>
    <row r="789" spans="1:29" x14ac:dyDescent="0.3">
      <c r="A789" s="1">
        <f>ROW(CantoralDB[[#This Row],[Título]])-1</f>
        <v>788</v>
      </c>
      <c r="B789" s="1" t="s">
        <v>2202</v>
      </c>
      <c r="C789" s="1"/>
      <c r="H789" s="1" t="s">
        <v>1027</v>
      </c>
      <c r="J789" s="1" t="s">
        <v>605</v>
      </c>
      <c r="M789" s="15" t="s">
        <v>480</v>
      </c>
      <c r="N789" s="1" t="s">
        <v>1920</v>
      </c>
      <c r="O789" s="15">
        <v>2</v>
      </c>
      <c r="P789" s="15">
        <v>1970</v>
      </c>
      <c r="Q789" s="15" t="str" cm="1">
        <f t="array" ref="Q7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89" s="15" t="str" cm="1">
        <f t="array" ref="R7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canciones/francisco_palazon/dichoso_quien_se_acuerda_del_hermano.html</v>
      </c>
      <c r="T789" s="1" t="s">
        <v>2190</v>
      </c>
      <c r="U789" s="1"/>
      <c r="V789" s="32" t="s">
        <v>4225</v>
      </c>
      <c r="W7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href="canciones/francisco_palazon/dichoso_quien_se_acuerda_del_hermano.html"&gt;Dichoso quien se acuerda del hermano&lt;/a&gt;&lt;/li&gt;</v>
      </c>
      <c r="X789" s="15" t="str">
        <f>_xlfn.TEXTBEFORE(_xlfn.TEXTAFTER(CantoralDB[[#This Row],[index.html]],"&gt;"),"&gt;")&amp;"&gt;"</f>
        <v>&lt;a href="canciones/francisco_palazon/dichoso_quien_se_acuerda_del_hermano.html"&gt;</v>
      </c>
      <c r="Y789"/>
      <c r="Z789" s="1"/>
      <c r="AA789" s="1"/>
      <c r="AB789" s="1"/>
      <c r="AC789" s="1"/>
    </row>
    <row r="790" spans="1:29" x14ac:dyDescent="0.3">
      <c r="A790" s="1">
        <f>ROW(CantoralDB[[#This Row],[Título]])-1</f>
        <v>789</v>
      </c>
      <c r="B790" s="1" t="s">
        <v>2203</v>
      </c>
      <c r="C790" s="1"/>
      <c r="H790" s="1" t="s">
        <v>1024</v>
      </c>
      <c r="J790" s="1" t="s">
        <v>605</v>
      </c>
      <c r="M790" s="15" t="s">
        <v>480</v>
      </c>
      <c r="N790" s="1" t="s">
        <v>1920</v>
      </c>
      <c r="O790" s="15">
        <v>3</v>
      </c>
      <c r="P790" s="15">
        <v>1970</v>
      </c>
      <c r="Q790" s="15" t="str" cm="1">
        <f t="array" ref="Q7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0" s="15" t="str" cm="1">
        <f t="array" ref="R7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canciones/francisco_palazon/señor_escucha_mi_oracion.html</v>
      </c>
      <c r="T790" s="1" t="s">
        <v>2191</v>
      </c>
      <c r="U790" s="1"/>
      <c r="V790" s="32" t="s">
        <v>4226</v>
      </c>
      <c r="W7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href="canciones/francisco_palazon/señor_escucha_mi_oracion.html"&gt;Señor, escucha mi oración&lt;/a&gt;&lt;/li&gt;</v>
      </c>
      <c r="X790" s="15" t="str">
        <f>_xlfn.TEXTBEFORE(_xlfn.TEXTAFTER(CantoralDB[[#This Row],[index.html]],"&gt;"),"&gt;")&amp;"&gt;"</f>
        <v>&lt;a href="canciones/francisco_palazon/señor_escucha_mi_oracion.html"&gt;</v>
      </c>
      <c r="Y790"/>
      <c r="Z790" s="1"/>
      <c r="AA790" s="1"/>
      <c r="AB790" s="1"/>
      <c r="AC790" s="1"/>
    </row>
    <row r="791" spans="1:29" x14ac:dyDescent="0.3">
      <c r="A791" s="1">
        <f>ROW(CantoralDB[[#This Row],[Título]])-1</f>
        <v>790</v>
      </c>
      <c r="B791" s="1" t="s">
        <v>2204</v>
      </c>
      <c r="C791" s="1"/>
      <c r="H791" s="1" t="s">
        <v>1024</v>
      </c>
      <c r="J791" s="1" t="s">
        <v>605</v>
      </c>
      <c r="M791" s="15" t="s">
        <v>480</v>
      </c>
      <c r="N791" s="1" t="s">
        <v>1920</v>
      </c>
      <c r="O791" s="15">
        <v>4</v>
      </c>
      <c r="P791" s="15">
        <v>1970</v>
      </c>
      <c r="Q791" s="15" t="str" cm="1">
        <f t="array" ref="Q7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1" s="15" t="str" cm="1">
        <f t="array" ref="R7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canciones/francisco_palazon/es_bueno_dar_gracias_al_señor.html</v>
      </c>
      <c r="T791" s="1" t="s">
        <v>2192</v>
      </c>
      <c r="U791" s="1"/>
      <c r="V791" s="32" t="s">
        <v>4227</v>
      </c>
      <c r="W7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href="canciones/francisco_palazon/es_bueno_dar_gracias_al_señor.html"&gt;Es bueno dar gracias al Señor&lt;/a&gt;&lt;/li&gt;</v>
      </c>
      <c r="X791" s="15" t="str">
        <f>_xlfn.TEXTBEFORE(_xlfn.TEXTAFTER(CantoralDB[[#This Row],[index.html]],"&gt;"),"&gt;")&amp;"&gt;"</f>
        <v>&lt;a href="canciones/francisco_palazon/es_bueno_dar_gracias_al_señor.html"&gt;</v>
      </c>
      <c r="Y791"/>
      <c r="Z791" s="1"/>
      <c r="AA791" s="1"/>
      <c r="AB791" s="1"/>
      <c r="AC791" s="1"/>
    </row>
    <row r="792" spans="1:29" x14ac:dyDescent="0.3">
      <c r="A792" s="1">
        <f>ROW(CantoralDB[[#This Row],[Título]])-1</f>
        <v>791</v>
      </c>
      <c r="B792" s="1" t="s">
        <v>2205</v>
      </c>
      <c r="C792" s="1"/>
      <c r="H792" s="1" t="s">
        <v>1026</v>
      </c>
      <c r="J792" s="1" t="s">
        <v>605</v>
      </c>
      <c r="M792" s="15" t="s">
        <v>480</v>
      </c>
      <c r="N792" s="1" t="s">
        <v>1920</v>
      </c>
      <c r="O792" s="15">
        <v>5</v>
      </c>
      <c r="P792" s="15">
        <v>1970</v>
      </c>
      <c r="Q792" s="15" t="str" cm="1">
        <f t="array" ref="Q7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2" s="15" t="str" cm="1">
        <f t="array" ref="R7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canciones/francisco_palazon/el_cielo_proclama_la_gloria_de_dios.html</v>
      </c>
      <c r="T792" s="1" t="s">
        <v>2193</v>
      </c>
      <c r="U792" s="1"/>
      <c r="V792" s="32" t="s">
        <v>4228</v>
      </c>
      <c r="W7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href="canciones/francisco_palazon/el_cielo_proclama_la_gloria_de_dios.html"&gt;El cielo proclama la gloria de Dios&lt;/a&gt;&lt;/li&gt;</v>
      </c>
      <c r="X792" s="15" t="str">
        <f>_xlfn.TEXTBEFORE(_xlfn.TEXTAFTER(CantoralDB[[#This Row],[index.html]],"&gt;"),"&gt;")&amp;"&gt;"</f>
        <v>&lt;a href="canciones/francisco_palazon/el_cielo_proclama_la_gloria_de_dios.html"&gt;</v>
      </c>
      <c r="Y792"/>
      <c r="Z792" s="1"/>
      <c r="AA792" s="1"/>
      <c r="AB792" s="1"/>
      <c r="AC792" s="1"/>
    </row>
    <row r="793" spans="1:29" x14ac:dyDescent="0.3">
      <c r="A793" s="1">
        <f>ROW(CantoralDB[[#This Row],[Título]])-1</f>
        <v>792</v>
      </c>
      <c r="B793" s="1" t="s">
        <v>2206</v>
      </c>
      <c r="C793" s="1"/>
      <c r="E793" s="1">
        <v>71</v>
      </c>
      <c r="H793" s="1" t="s">
        <v>1024</v>
      </c>
      <c r="J793" s="1" t="s">
        <v>605</v>
      </c>
      <c r="M793" s="15" t="s">
        <v>480</v>
      </c>
      <c r="N793" s="1" t="s">
        <v>1920</v>
      </c>
      <c r="O793" s="15">
        <v>6</v>
      </c>
      <c r="P793" s="15">
        <v>1970</v>
      </c>
      <c r="Q793" s="15" t="str" cm="1">
        <f t="array" ref="Q7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3" s="15" t="str" cm="1">
        <f t="array" ref="R7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canciones/francisco_palazon/dad_gracias_al_señor.html</v>
      </c>
      <c r="T793" s="1" t="s">
        <v>2194</v>
      </c>
      <c r="U793" s="1"/>
      <c r="V793" s="32" t="s">
        <v>4229</v>
      </c>
      <c r="W7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data-nold="71"&gt;&lt;a href="canciones/francisco_palazon/dad_gracias_al_señor.html"&gt;Dad gracias al Señor&lt;/a&gt;&lt;/li&gt;</v>
      </c>
      <c r="X793" s="15" t="str">
        <f>_xlfn.TEXTBEFORE(_xlfn.TEXTAFTER(CantoralDB[[#This Row],[index.html]],"&gt;"),"&gt;")&amp;"&gt;"</f>
        <v>&lt;a href="canciones/francisco_palazon/dad_gracias_al_señor.html"&gt;</v>
      </c>
      <c r="Y793"/>
      <c r="Z793" s="1"/>
      <c r="AA793" s="1"/>
      <c r="AB793" s="1"/>
      <c r="AC793" s="1"/>
    </row>
    <row r="794" spans="1:29" x14ac:dyDescent="0.3">
      <c r="A794" s="1">
        <f>ROW(CantoralDB[[#This Row],[Título]])-1</f>
        <v>793</v>
      </c>
      <c r="B794" s="1" t="s">
        <v>2207</v>
      </c>
      <c r="C794" s="1"/>
      <c r="H794" s="1" t="s">
        <v>1027</v>
      </c>
      <c r="J794" s="1" t="s">
        <v>605</v>
      </c>
      <c r="M794" s="15" t="s">
        <v>480</v>
      </c>
      <c r="N794" s="1" t="s">
        <v>1920</v>
      </c>
      <c r="O794" s="15">
        <v>7</v>
      </c>
      <c r="P794" s="15">
        <v>1970</v>
      </c>
      <c r="Q794" s="15" t="str" cm="1">
        <f t="array" ref="Q7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4" s="15" t="str" cm="1">
        <f t="array" ref="R7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canciones/francisco_palazon/llena_esta_la_tierra_de_tus_criaturas.html</v>
      </c>
      <c r="T794" s="1" t="s">
        <v>2195</v>
      </c>
      <c r="U794" s="1"/>
      <c r="V794" s="32" t="s">
        <v>4230</v>
      </c>
      <c r="W7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href="canciones/francisco_palazon/llena_esta_la_tierra_de_tus_criaturas.html"&gt;Llena está la tierra de tus criaturas&lt;/a&gt;&lt;/li&gt;</v>
      </c>
      <c r="X794" s="15" t="str">
        <f>_xlfn.TEXTBEFORE(_xlfn.TEXTAFTER(CantoralDB[[#This Row],[index.html]],"&gt;"),"&gt;")&amp;"&gt;"</f>
        <v>&lt;a href="canciones/francisco_palazon/llena_esta_la_tierra_de_tus_criaturas.html"&gt;</v>
      </c>
      <c r="Y794"/>
      <c r="Z794" s="1"/>
      <c r="AA794" s="1"/>
      <c r="AB794" s="1"/>
      <c r="AC794" s="1"/>
    </row>
    <row r="795" spans="1:29" x14ac:dyDescent="0.3">
      <c r="A795" s="1">
        <f>ROW(CantoralDB[[#This Row],[Título]])-1</f>
        <v>794</v>
      </c>
      <c r="B795" s="1" t="s">
        <v>1211</v>
      </c>
      <c r="C795" s="1"/>
      <c r="E795" s="1">
        <v>93</v>
      </c>
      <c r="H795" s="1" t="s">
        <v>1027</v>
      </c>
      <c r="J795" s="1" t="s">
        <v>605</v>
      </c>
      <c r="M795" s="15" t="s">
        <v>480</v>
      </c>
      <c r="N795" s="1" t="s">
        <v>1920</v>
      </c>
      <c r="O795" s="15">
        <v>8</v>
      </c>
      <c r="P795" s="15">
        <v>1970</v>
      </c>
      <c r="Q795" s="15" t="str" cm="1">
        <f t="array" ref="Q7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5" s="15" t="str" cm="1">
        <f t="array" ref="R7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7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canciones/francisco_palazon/el_auxilio_me_viene_del_señor.html</v>
      </c>
      <c r="T795" s="1" t="s">
        <v>2196</v>
      </c>
      <c r="U795" s="1"/>
      <c r="V795" s="32" t="s">
        <v>4231</v>
      </c>
      <c r="W7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data-nold="93"&gt;&lt;a href="canciones/francisco_palazon/el_auxilio_me_viene_del_señor.html"&gt;El auxilio me viene del Señor&lt;/a&gt;&lt;/li&gt;</v>
      </c>
      <c r="X795" s="15" t="str">
        <f>_xlfn.TEXTBEFORE(_xlfn.TEXTAFTER(CantoralDB[[#This Row],[index.html]],"&gt;"),"&gt;")&amp;"&gt;"</f>
        <v>&lt;a href="canciones/francisco_palazon/el_auxilio_me_viene_del_señor.html"&gt;</v>
      </c>
      <c r="Y795"/>
      <c r="Z795" s="1"/>
      <c r="AA795" s="1"/>
      <c r="AB795" s="1"/>
      <c r="AC795" s="1"/>
    </row>
    <row r="796" spans="1:29" x14ac:dyDescent="0.3">
      <c r="A796" s="1">
        <f>ROW(CantoralDB[[#This Row],[Título]])-1</f>
        <v>795</v>
      </c>
      <c r="B796" s="1" t="s">
        <v>2208</v>
      </c>
      <c r="C796" s="1"/>
      <c r="H796" s="1" t="s">
        <v>2954</v>
      </c>
      <c r="J796" s="1" t="s">
        <v>605</v>
      </c>
      <c r="M796" s="15" t="s">
        <v>480</v>
      </c>
      <c r="N796" s="1" t="s">
        <v>1920</v>
      </c>
      <c r="O796" s="15">
        <v>9</v>
      </c>
      <c r="P796" s="15">
        <v>1970</v>
      </c>
      <c r="Q796" s="15" t="str" cm="1">
        <f t="array" ref="Q7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6" s="15" t="str" cm="1">
        <f t="array" ref="R7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canciones/francisco_palazon/quien_puede_entrar_en_tu_templo.html</v>
      </c>
      <c r="T796" s="1" t="s">
        <v>2197</v>
      </c>
      <c r="U796" s="1"/>
      <c r="V796" s="32" t="s">
        <v>4232</v>
      </c>
      <c r="W7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href="canciones/francisco_palazon/quien_puede_entrar_en_tu_templo.html"&gt;Quién puede entrar en tu templo&lt;/a&gt;&lt;/li&gt;</v>
      </c>
      <c r="X796" s="15" t="str">
        <f>_xlfn.TEXTBEFORE(_xlfn.TEXTAFTER(CantoralDB[[#This Row],[index.html]],"&gt;"),"&gt;")&amp;"&gt;"</f>
        <v>&lt;a href="canciones/francisco_palazon/quien_puede_entrar_en_tu_templo.html"&gt;</v>
      </c>
      <c r="Y796"/>
      <c r="Z796" s="1"/>
      <c r="AA796" s="1"/>
      <c r="AB796" s="1"/>
      <c r="AC796" s="1"/>
    </row>
    <row r="797" spans="1:29" x14ac:dyDescent="0.3">
      <c r="A797" s="1">
        <f>ROW(CantoralDB[[#This Row],[Título]])-1</f>
        <v>796</v>
      </c>
      <c r="B797" s="1" t="s">
        <v>2209</v>
      </c>
      <c r="C797" s="1"/>
      <c r="H797" s="1" t="s">
        <v>529</v>
      </c>
      <c r="J797" s="1" t="s">
        <v>605</v>
      </c>
      <c r="M797" s="15" t="s">
        <v>480</v>
      </c>
      <c r="N797" s="1" t="s">
        <v>1920</v>
      </c>
      <c r="O797" s="15">
        <v>10</v>
      </c>
      <c r="P797" s="15">
        <v>1970</v>
      </c>
      <c r="Q797" s="15" t="str" cm="1">
        <f t="array" ref="Q7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7" s="15" t="str" cm="1">
        <f t="array" ref="R7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canciones/francisco_palazon/alabad_siervos_de_dios.html</v>
      </c>
      <c r="T797" s="1" t="s">
        <v>2198</v>
      </c>
      <c r="U797" s="1"/>
      <c r="V797" s="32" t="s">
        <v>4233</v>
      </c>
      <c r="W7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href="canciones/francisco_palazon/alabad_siervos_de_dios.html"&gt;Alabad, siervos de Dios&lt;/a&gt;&lt;/li&gt;</v>
      </c>
      <c r="X797" s="15" t="str">
        <f>_xlfn.TEXTBEFORE(_xlfn.TEXTAFTER(CantoralDB[[#This Row],[index.html]],"&gt;"),"&gt;")&amp;"&gt;"</f>
        <v>&lt;a href="canciones/francisco_palazon/alabad_siervos_de_dios.html"&gt;</v>
      </c>
      <c r="Y797"/>
      <c r="Z797" s="1"/>
      <c r="AA797" s="1"/>
      <c r="AB797" s="1"/>
      <c r="AC797" s="1"/>
    </row>
    <row r="798" spans="1:29" x14ac:dyDescent="0.3">
      <c r="A798" s="1">
        <f>ROW(CantoralDB[[#This Row],[Título]])-1</f>
        <v>797</v>
      </c>
      <c r="B798" s="1" t="s">
        <v>2210</v>
      </c>
      <c r="C798" s="1"/>
      <c r="H798" s="1" t="s">
        <v>529</v>
      </c>
      <c r="J798" s="1" t="s">
        <v>605</v>
      </c>
      <c r="M798" s="15" t="s">
        <v>480</v>
      </c>
      <c r="N798" s="1" t="s">
        <v>1920</v>
      </c>
      <c r="O798" s="15">
        <v>11</v>
      </c>
      <c r="P798" s="15">
        <v>1970</v>
      </c>
      <c r="Q798" s="15" t="str" cm="1">
        <f t="array" ref="Q7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8" s="15" t="str" cm="1">
        <f t="array" ref="R7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canciones/francisco_palazon/que_en_nuestros_dias_reine_la_paz.html</v>
      </c>
      <c r="T798" s="1" t="s">
        <v>2199</v>
      </c>
      <c r="U798" s="1"/>
      <c r="V798" s="32" t="s">
        <v>4234</v>
      </c>
      <c r="W7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href="canciones/francisco_palazon/que_en_nuestros_dias_reine_la_paz.html"&gt;Que en nuestros días reine la paz&lt;/a&gt;&lt;/li&gt;</v>
      </c>
      <c r="X798" s="15" t="str">
        <f>_xlfn.TEXTBEFORE(_xlfn.TEXTAFTER(CantoralDB[[#This Row],[index.html]],"&gt;"),"&gt;")&amp;"&gt;"</f>
        <v>&lt;a href="canciones/francisco_palazon/que_en_nuestros_dias_reine_la_paz.html"&gt;</v>
      </c>
      <c r="Y798"/>
      <c r="Z798" s="1"/>
      <c r="AA798" s="1"/>
      <c r="AB798" s="1"/>
      <c r="AC798" s="1"/>
    </row>
    <row r="799" spans="1:29" x14ac:dyDescent="0.3">
      <c r="A799" s="1">
        <f>ROW(CantoralDB[[#This Row],[Título]])-1</f>
        <v>798</v>
      </c>
      <c r="B799" s="1" t="s">
        <v>2200</v>
      </c>
      <c r="C799" s="1"/>
      <c r="H799" s="1" t="s">
        <v>1027</v>
      </c>
      <c r="J799" s="1" t="s">
        <v>605</v>
      </c>
      <c r="M799" s="15" t="s">
        <v>480</v>
      </c>
      <c r="N799" s="1" t="s">
        <v>1920</v>
      </c>
      <c r="O799" s="15">
        <v>12</v>
      </c>
      <c r="P799" s="15">
        <v>1970</v>
      </c>
      <c r="Q799" s="15" t="str" cm="1">
        <f t="array" ref="Q7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799" s="15" t="str" cm="1">
        <f t="array" ref="R7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7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canciones/francisco_palazon/contra_ti_solo_peque.html</v>
      </c>
      <c r="T799" s="1" t="s">
        <v>847</v>
      </c>
      <c r="U799" s="1"/>
      <c r="V799" s="32" t="s">
        <v>4235</v>
      </c>
      <c r="W7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href="canciones/francisco_palazon/contra_ti_solo_peque.html"&gt;Contra ti solo pequé&lt;/a&gt;&lt;/li&gt;</v>
      </c>
      <c r="X799" s="15" t="str">
        <f>_xlfn.TEXTBEFORE(_xlfn.TEXTAFTER(CantoralDB[[#This Row],[index.html]],"&gt;"),"&gt;")&amp;"&gt;"</f>
        <v>&lt;a href="canciones/francisco_palazon/contra_ti_solo_peque.html"&gt;</v>
      </c>
      <c r="Y799"/>
      <c r="Z799" s="1"/>
      <c r="AA799" s="1"/>
      <c r="AB799" s="1"/>
      <c r="AC799" s="1"/>
    </row>
    <row r="800" spans="1:29" x14ac:dyDescent="0.3">
      <c r="A800" s="1">
        <f>ROW(CantoralDB[[#This Row],[Título]])-1</f>
        <v>799</v>
      </c>
      <c r="B800" s="1" t="s">
        <v>2061</v>
      </c>
      <c r="C800" s="1"/>
      <c r="H800" s="1" t="s">
        <v>1025</v>
      </c>
      <c r="J800" s="1" t="s">
        <v>605</v>
      </c>
      <c r="M800" s="15" t="s">
        <v>480</v>
      </c>
      <c r="N800" s="1" t="s">
        <v>1924</v>
      </c>
      <c r="O800" s="15">
        <v>1</v>
      </c>
      <c r="P800" s="15">
        <v>1968</v>
      </c>
      <c r="Q800" s="15" t="str" cm="1">
        <f t="array" ref="Q8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0" s="15" t="str" cm="1">
        <f t="array" ref="R8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canciones/francisco_palazon/cantare_eternamente_(ii).html</v>
      </c>
      <c r="T800" s="1"/>
      <c r="U800" s="1"/>
      <c r="V800" s="15"/>
      <c r="W8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href="canciones/francisco_palazon/cantare_eternamente_(ii).html"&gt;Cantaré eternamente (II)&lt;/a&gt;&lt;/li&gt;</v>
      </c>
      <c r="X800" s="15" t="str">
        <f>_xlfn.TEXTBEFORE(_xlfn.TEXTAFTER(CantoralDB[[#This Row],[index.html]],"&gt;"),"&gt;")&amp;"&gt;"</f>
        <v>&lt;a href="canciones/francisco_palazon/cantare_eternamente_(ii).html"&gt;</v>
      </c>
      <c r="Y800"/>
      <c r="Z800" s="1"/>
      <c r="AA800" s="1"/>
      <c r="AB800" s="1"/>
      <c r="AC800" s="1"/>
    </row>
    <row r="801" spans="1:29" x14ac:dyDescent="0.3">
      <c r="A801" s="1">
        <f>ROW(CantoralDB[[#This Row],[Título]])-1</f>
        <v>800</v>
      </c>
      <c r="B801" s="1" t="s">
        <v>2062</v>
      </c>
      <c r="C801" s="1"/>
      <c r="H801" s="1" t="s">
        <v>1040</v>
      </c>
      <c r="J801" s="1" t="s">
        <v>605</v>
      </c>
      <c r="M801" s="15" t="s">
        <v>480</v>
      </c>
      <c r="N801" s="1" t="s">
        <v>1924</v>
      </c>
      <c r="O801" s="15">
        <v>2</v>
      </c>
      <c r="P801" s="15">
        <v>1968</v>
      </c>
      <c r="Q801" s="15" t="str" cm="1">
        <f t="array" ref="Q8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1" s="15" t="str" cm="1">
        <f t="array" ref="R8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canciones/francisco_palazon/acuerdate_señor.html</v>
      </c>
      <c r="T801" s="1"/>
      <c r="U801" s="1"/>
      <c r="V801" s="15"/>
      <c r="W8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href="canciones/francisco_palazon/acuerdate_señor.html"&gt;Acuérdate, Señor&lt;/a&gt;&lt;/li&gt;</v>
      </c>
      <c r="X801" s="15" t="str">
        <f>_xlfn.TEXTBEFORE(_xlfn.TEXTAFTER(CantoralDB[[#This Row],[index.html]],"&gt;"),"&gt;")&amp;"&gt;"</f>
        <v>&lt;a href="canciones/francisco_palazon/acuerdate_señor.html"&gt;</v>
      </c>
      <c r="Y801"/>
      <c r="Z801" s="1"/>
      <c r="AA801" s="1"/>
      <c r="AB801" s="1"/>
      <c r="AC801" s="1"/>
    </row>
    <row r="802" spans="1:29" x14ac:dyDescent="0.3">
      <c r="A802" s="1">
        <f>ROW(CantoralDB[[#This Row],[Título]])-1</f>
        <v>801</v>
      </c>
      <c r="B802" s="1" t="s">
        <v>2063</v>
      </c>
      <c r="C802" s="1"/>
      <c r="H802" s="1" t="s">
        <v>529</v>
      </c>
      <c r="J802" s="1" t="s">
        <v>605</v>
      </c>
      <c r="M802" s="15" t="s">
        <v>480</v>
      </c>
      <c r="N802" s="1" t="s">
        <v>1924</v>
      </c>
      <c r="O802" s="15">
        <v>3</v>
      </c>
      <c r="P802" s="15">
        <v>1968</v>
      </c>
      <c r="Q802" s="15" t="str" cm="1">
        <f t="array" ref="Q8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2" s="15" t="str" cm="1">
        <f t="array" ref="R8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canciones/francisco_palazon/pidamos_al_señor.html</v>
      </c>
      <c r="T802" s="1"/>
      <c r="U802" s="1"/>
      <c r="V802" s="15"/>
      <c r="W8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href="canciones/francisco_palazon/pidamos_al_señor.html"&gt;Pidamos al Señor&lt;/a&gt;&lt;/li&gt;</v>
      </c>
      <c r="X802" s="15" t="str">
        <f>_xlfn.TEXTBEFORE(_xlfn.TEXTAFTER(CantoralDB[[#This Row],[index.html]],"&gt;"),"&gt;")&amp;"&gt;"</f>
        <v>&lt;a href="canciones/francisco_palazon/pidamos_al_señor.html"&gt;</v>
      </c>
      <c r="Y802"/>
      <c r="Z802" s="1"/>
      <c r="AA802" s="1"/>
      <c r="AB802" s="1"/>
      <c r="AC802" s="1"/>
    </row>
    <row r="803" spans="1:29" x14ac:dyDescent="0.3">
      <c r="A803" s="1">
        <f>ROW(CantoralDB[[#This Row],[Título]])-1</f>
        <v>802</v>
      </c>
      <c r="B803" s="1" t="s">
        <v>2064</v>
      </c>
      <c r="C803" s="1"/>
      <c r="H803" s="1" t="s">
        <v>472</v>
      </c>
      <c r="J803" s="1" t="s">
        <v>605</v>
      </c>
      <c r="M803" s="15" t="s">
        <v>480</v>
      </c>
      <c r="N803" s="1" t="s">
        <v>1924</v>
      </c>
      <c r="O803" s="15">
        <v>4</v>
      </c>
      <c r="P803" s="15">
        <v>1968</v>
      </c>
      <c r="Q803" s="15" t="str" cm="1">
        <f t="array" ref="Q8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3" s="15" t="str" cm="1">
        <f t="array" ref="R8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canciones/francisco_palazon/tu_palabra_señor_es_gozo.html</v>
      </c>
      <c r="T803" s="1"/>
      <c r="U803" s="1"/>
      <c r="V803" s="15"/>
      <c r="W8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href="canciones/francisco_palazon/tu_palabra_señor_es_gozo.html"&gt;Tu Palabra, Señor, es gozo&lt;/a&gt;&lt;/li&gt;</v>
      </c>
      <c r="X803" s="15" t="str">
        <f>_xlfn.TEXTBEFORE(_xlfn.TEXTAFTER(CantoralDB[[#This Row],[index.html]],"&gt;"),"&gt;")&amp;"&gt;"</f>
        <v>&lt;a href="canciones/francisco_palazon/tu_palabra_señor_es_gozo.html"&gt;</v>
      </c>
      <c r="Y803"/>
      <c r="Z803" s="1"/>
      <c r="AA803" s="1"/>
      <c r="AB803" s="1"/>
      <c r="AC803" s="1"/>
    </row>
    <row r="804" spans="1:29" x14ac:dyDescent="0.3">
      <c r="A804" s="1">
        <f>ROW(CantoralDB[[#This Row],[Título]])-1</f>
        <v>803</v>
      </c>
      <c r="B804" s="1" t="s">
        <v>2881</v>
      </c>
      <c r="C804" s="1"/>
      <c r="H804" s="1" t="s">
        <v>1025</v>
      </c>
      <c r="J804" s="1" t="s">
        <v>605</v>
      </c>
      <c r="M804" s="15" t="s">
        <v>480</v>
      </c>
      <c r="N804" s="1" t="s">
        <v>1924</v>
      </c>
      <c r="O804" s="15">
        <v>5</v>
      </c>
      <c r="P804" s="15">
        <v>1968</v>
      </c>
      <c r="Q804" s="15" t="str" cm="1">
        <f t="array" ref="Q8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4" s="15" t="str" cm="1">
        <f t="array" ref="R8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canciones/francisco_palazon/vuelve_hacia_nosotros.html</v>
      </c>
      <c r="T804" s="1"/>
      <c r="U804" s="1"/>
      <c r="V804" s="15"/>
      <c r="W8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href="canciones/francisco_palazon/vuelve_hacia_nosotros.html"&gt;Vuelve hacia nosotros&lt;/a&gt;&lt;/li&gt;</v>
      </c>
      <c r="X804" s="15" t="str">
        <f>_xlfn.TEXTBEFORE(_xlfn.TEXTAFTER(CantoralDB[[#This Row],[index.html]],"&gt;"),"&gt;")&amp;"&gt;"</f>
        <v>&lt;a href="canciones/francisco_palazon/vuelve_hacia_nosotros.html"&gt;</v>
      </c>
      <c r="Y804"/>
      <c r="Z804" s="1"/>
      <c r="AA804" s="1"/>
      <c r="AB804" s="1"/>
      <c r="AC804" s="1"/>
    </row>
    <row r="805" spans="1:29" x14ac:dyDescent="0.3">
      <c r="A805" s="1">
        <f>ROW(CantoralDB[[#This Row],[Título]])-1</f>
        <v>804</v>
      </c>
      <c r="B805" s="1" t="s">
        <v>2065</v>
      </c>
      <c r="C805" s="1"/>
      <c r="H805" s="1" t="s">
        <v>1025</v>
      </c>
      <c r="J805" s="1" t="s">
        <v>605</v>
      </c>
      <c r="M805" s="15" t="s">
        <v>480</v>
      </c>
      <c r="N805" s="1" t="s">
        <v>1924</v>
      </c>
      <c r="O805" s="15">
        <v>6</v>
      </c>
      <c r="P805" s="15">
        <v>1968</v>
      </c>
      <c r="Q805" s="15" t="str" cm="1">
        <f t="array" ref="Q8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5" s="15" t="str" cm="1">
        <f t="array" ref="R8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canciones/francisco_palazon/de_la_gloria_del_señor_llena_esta_la_tierra.html</v>
      </c>
      <c r="T805" s="1"/>
      <c r="U805" s="1"/>
      <c r="V805" s="15"/>
      <c r="W8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href="canciones/francisco_palazon/de_la_gloria_del_señor_llena_esta_la_tierra.html"&gt;De la gloria del Señor llena está la tierra&lt;/a&gt;&lt;/li&gt;</v>
      </c>
      <c r="X805" s="15" t="str">
        <f>_xlfn.TEXTBEFORE(_xlfn.TEXTAFTER(CantoralDB[[#This Row],[index.html]],"&gt;"),"&gt;")&amp;"&gt;"</f>
        <v>&lt;a href="canciones/francisco_palazon/de_la_gloria_del_señor_llena_esta_la_tierra.html"&gt;</v>
      </c>
      <c r="Y805"/>
      <c r="Z805" s="1"/>
      <c r="AA805" s="1"/>
      <c r="AB805" s="1"/>
      <c r="AC805" s="1"/>
    </row>
    <row r="806" spans="1:29" x14ac:dyDescent="0.3">
      <c r="A806" s="1">
        <f>ROW(CantoralDB[[#This Row],[Título]])-1</f>
        <v>805</v>
      </c>
      <c r="B806" s="1" t="s">
        <v>140</v>
      </c>
      <c r="C806" s="1"/>
      <c r="H806" s="1" t="s">
        <v>1027</v>
      </c>
      <c r="J806" s="1" t="s">
        <v>605</v>
      </c>
      <c r="M806" s="15" t="s">
        <v>480</v>
      </c>
      <c r="N806" s="1" t="s">
        <v>1924</v>
      </c>
      <c r="O806" s="15">
        <v>7</v>
      </c>
      <c r="P806" s="15">
        <v>1968</v>
      </c>
      <c r="Q806" s="15" t="str" cm="1">
        <f t="array" ref="Q8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6" s="15" t="str" cm="1">
        <f t="array" ref="R8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canciones/francisco_palazon/te_damos_gracias_señor.html</v>
      </c>
      <c r="T806" s="1"/>
      <c r="U806" s="1"/>
      <c r="V806" s="15"/>
      <c r="W8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href="canciones/francisco_palazon/te_damos_gracias_señor.html"&gt;Te damos gracias, Señor&lt;/a&gt;&lt;/li&gt;</v>
      </c>
      <c r="X806" s="15" t="str">
        <f>_xlfn.TEXTBEFORE(_xlfn.TEXTAFTER(CantoralDB[[#This Row],[index.html]],"&gt;"),"&gt;")&amp;"&gt;"</f>
        <v>&lt;a href="canciones/francisco_palazon/te_damos_gracias_señor.html"&gt;</v>
      </c>
      <c r="Y806"/>
      <c r="Z806" s="1"/>
      <c r="AA806" s="1"/>
      <c r="AB806" s="1"/>
      <c r="AC806" s="1"/>
    </row>
    <row r="807" spans="1:29" x14ac:dyDescent="0.3">
      <c r="A807" s="1">
        <f>ROW(CantoralDB[[#This Row],[Título]])-1</f>
        <v>806</v>
      </c>
      <c r="B807" s="1" t="s">
        <v>4417</v>
      </c>
      <c r="C807" s="1"/>
      <c r="H807" s="1" t="s">
        <v>1027</v>
      </c>
      <c r="I807" s="1" t="s">
        <v>2945</v>
      </c>
      <c r="J807" s="1" t="s">
        <v>605</v>
      </c>
      <c r="M807" s="15" t="s">
        <v>480</v>
      </c>
      <c r="N807" s="1" t="s">
        <v>1924</v>
      </c>
      <c r="O807" s="15">
        <v>8</v>
      </c>
      <c r="P807" s="15">
        <v>1968</v>
      </c>
      <c r="Q807" s="15" t="str" cm="1">
        <f t="array" ref="Q8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7" s="15" t="str" cm="1">
        <f t="array" ref="R8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canciones/francisco_palazon/escucha_señor.html</v>
      </c>
      <c r="T807" s="1"/>
      <c r="U807" s="1"/>
      <c r="V807" s="15"/>
      <c r="W8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href="canciones/francisco_palazon/escucha_señor.html"&gt;Escucha, Señor&lt;/a&gt;&lt;/li&gt;</v>
      </c>
      <c r="X807" s="15" t="str">
        <f>_xlfn.TEXTBEFORE(_xlfn.TEXTAFTER(CantoralDB[[#This Row],[index.html]],"&gt;"),"&gt;")&amp;"&gt;"</f>
        <v>&lt;a href="canciones/francisco_palazon/escucha_señor.html"&gt;</v>
      </c>
      <c r="Y807"/>
      <c r="Z807" s="1"/>
      <c r="AA807" s="1"/>
      <c r="AB807" s="1"/>
      <c r="AC807" s="1"/>
    </row>
    <row r="808" spans="1:29" x14ac:dyDescent="0.3">
      <c r="A808" s="1">
        <f>ROW(CantoralDB[[#This Row],[Título]])-1</f>
        <v>807</v>
      </c>
      <c r="B808" s="1" t="s">
        <v>2066</v>
      </c>
      <c r="C808" s="1"/>
      <c r="H808" s="1" t="s">
        <v>1025</v>
      </c>
      <c r="J808" s="1" t="s">
        <v>605</v>
      </c>
      <c r="M808" s="15" t="s">
        <v>480</v>
      </c>
      <c r="N808" s="1" t="s">
        <v>1924</v>
      </c>
      <c r="O808" s="15">
        <v>9</v>
      </c>
      <c r="P808" s="15">
        <v>1968</v>
      </c>
      <c r="Q808" s="15" t="str" cm="1">
        <f t="array" ref="Q8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8" s="15" t="str" cm="1">
        <f t="array" ref="R8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canciones/francisco_palazon/cuando_bajas_señor.html</v>
      </c>
      <c r="T808" s="1"/>
      <c r="U808" s="1"/>
      <c r="V808" s="15"/>
      <c r="W8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href="canciones/francisco_palazon/cuando_bajas_señor.html"&gt;Cuando bajas, Señor&lt;/a&gt;&lt;/li&gt;</v>
      </c>
      <c r="X808" s="15" t="str">
        <f>_xlfn.TEXTBEFORE(_xlfn.TEXTAFTER(CantoralDB[[#This Row],[index.html]],"&gt;"),"&gt;")&amp;"&gt;"</f>
        <v>&lt;a href="canciones/francisco_palazon/cuando_bajas_señor.html"&gt;</v>
      </c>
      <c r="Y808"/>
      <c r="Z808" s="1"/>
      <c r="AA808" s="1"/>
      <c r="AB808" s="1"/>
      <c r="AC808" s="1"/>
    </row>
    <row r="809" spans="1:29" x14ac:dyDescent="0.3">
      <c r="A809" s="1">
        <f>ROW(CantoralDB[[#This Row],[Título]])-1</f>
        <v>808</v>
      </c>
      <c r="B809" s="1" t="s">
        <v>26</v>
      </c>
      <c r="C809" s="1"/>
      <c r="H809" s="1" t="s">
        <v>1025</v>
      </c>
      <c r="J809" s="1" t="s">
        <v>605</v>
      </c>
      <c r="M809" s="15" t="s">
        <v>480</v>
      </c>
      <c r="N809" s="1" t="s">
        <v>1924</v>
      </c>
      <c r="O809" s="15">
        <v>10</v>
      </c>
      <c r="P809" s="15">
        <v>1968</v>
      </c>
      <c r="Q809" s="15" t="str" cm="1">
        <f t="array" ref="Q8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09" s="15" t="str" cm="1">
        <f t="array" ref="R8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canciones/francisco_palazon/bendigamos_al_señor.html</v>
      </c>
      <c r="T809" s="1"/>
      <c r="U809" s="1"/>
      <c r="V809" s="15"/>
      <c r="W8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href="canciones/francisco_palazon/bendigamos_al_señor.html"&gt;Bendigamos al Señor&lt;/a&gt;&lt;/li&gt;</v>
      </c>
      <c r="X809" s="15" t="str">
        <f>_xlfn.TEXTBEFORE(_xlfn.TEXTAFTER(CantoralDB[[#This Row],[index.html]],"&gt;"),"&gt;")&amp;"&gt;"</f>
        <v>&lt;a href="canciones/francisco_palazon/bendigamos_al_señor.html"&gt;</v>
      </c>
      <c r="Y809"/>
      <c r="Z809" s="1"/>
      <c r="AA809" s="1"/>
      <c r="AB809" s="1"/>
      <c r="AC809" s="1"/>
    </row>
    <row r="810" spans="1:29" x14ac:dyDescent="0.3">
      <c r="A810" s="1">
        <f>ROW(CantoralDB[[#This Row],[Título]])-1</f>
        <v>809</v>
      </c>
      <c r="B810" s="1" t="s">
        <v>2101</v>
      </c>
      <c r="C810" s="1"/>
      <c r="J810" s="1"/>
      <c r="M810" s="15" t="s">
        <v>480</v>
      </c>
      <c r="N810" s="1" t="s">
        <v>1921</v>
      </c>
      <c r="O810" s="15">
        <v>1</v>
      </c>
      <c r="P810" s="15">
        <v>1983</v>
      </c>
      <c r="Q810" s="15" t="str" cm="1">
        <f t="array" ref="Q8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0" s="15" t="str" cm="1">
        <f t="array" ref="R8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canciones/francisco_palazon/hosanna_al_hijo_de_david.html</v>
      </c>
      <c r="T810" s="1"/>
      <c r="U810" s="1"/>
      <c r="V810" s="32" t="s">
        <v>3614</v>
      </c>
      <c r="W8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href="canciones/francisco_palazon/hosanna_al_hijo_de_david.html"&gt;Hosanna al hijo de David&lt;/a&gt;&lt;/li&gt;</v>
      </c>
      <c r="X810" s="15" t="str">
        <f>_xlfn.TEXTBEFORE(_xlfn.TEXTAFTER(CantoralDB[[#This Row],[index.html]],"&gt;"),"&gt;")&amp;"&gt;"</f>
        <v>&lt;a href="canciones/francisco_palazon/hosanna_al_hijo_de_david.html"&gt;</v>
      </c>
      <c r="Y810"/>
      <c r="Z810" s="1"/>
      <c r="AA810" s="1"/>
      <c r="AB810" s="1"/>
      <c r="AC810" s="1"/>
    </row>
    <row r="811" spans="1:29" x14ac:dyDescent="0.3">
      <c r="A811" s="1">
        <f>ROW(CantoralDB[[#This Row],[Título]])-1</f>
        <v>810</v>
      </c>
      <c r="B811" s="1" t="s">
        <v>2102</v>
      </c>
      <c r="C811" s="1"/>
      <c r="J811" s="1"/>
      <c r="M811" s="15" t="s">
        <v>480</v>
      </c>
      <c r="N811" s="1" t="s">
        <v>1921</v>
      </c>
      <c r="O811" s="15">
        <v>2</v>
      </c>
      <c r="P811" s="15">
        <v>1983</v>
      </c>
      <c r="Q811" s="15" t="str" cm="1">
        <f t="array" ref="Q8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1" s="15" t="str" cm="1">
        <f t="array" ref="R8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canciones/francisco_palazon/gloria_alabanza_y_honor.html</v>
      </c>
      <c r="T811" s="1"/>
      <c r="U811" s="1"/>
      <c r="V811" s="32" t="s">
        <v>3615</v>
      </c>
      <c r="W8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href="canciones/francisco_palazon/gloria_alabanza_y_honor.html"&gt;Gloria, alabanza y honor&lt;/a&gt;&lt;/li&gt;</v>
      </c>
      <c r="X811" s="15" t="str">
        <f>_xlfn.TEXTBEFORE(_xlfn.TEXTAFTER(CantoralDB[[#This Row],[index.html]],"&gt;"),"&gt;")&amp;"&gt;"</f>
        <v>&lt;a href="canciones/francisco_palazon/gloria_alabanza_y_honor.html"&gt;</v>
      </c>
      <c r="Y811"/>
      <c r="Z811" s="1"/>
      <c r="AA811" s="1"/>
      <c r="AB811" s="1"/>
      <c r="AC811" s="1"/>
    </row>
    <row r="812" spans="1:29" x14ac:dyDescent="0.3">
      <c r="A812" s="1">
        <f>ROW(CantoralDB[[#This Row],[Título]])-1</f>
        <v>811</v>
      </c>
      <c r="B812" s="1" t="s">
        <v>2103</v>
      </c>
      <c r="C812" s="1"/>
      <c r="J812" s="1"/>
      <c r="M812" s="15" t="s">
        <v>480</v>
      </c>
      <c r="N812" s="1" t="s">
        <v>1921</v>
      </c>
      <c r="O812" s="15">
        <v>3</v>
      </c>
      <c r="P812" s="15">
        <v>1983</v>
      </c>
      <c r="Q812" s="15" t="str" cm="1">
        <f t="array" ref="Q8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2" s="15" t="str" cm="1">
        <f t="array" ref="R8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canciones/francisco_palazon/los_niños_hebreos.html</v>
      </c>
      <c r="T812" s="1"/>
      <c r="U812" s="1"/>
      <c r="V812" s="32" t="s">
        <v>3616</v>
      </c>
      <c r="W8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href="canciones/francisco_palazon/los_niños_hebreos.html"&gt;Los niños hebreos&lt;/a&gt;&lt;/li&gt;</v>
      </c>
      <c r="X812" s="15" t="str">
        <f>_xlfn.TEXTBEFORE(_xlfn.TEXTAFTER(CantoralDB[[#This Row],[index.html]],"&gt;"),"&gt;")&amp;"&gt;"</f>
        <v>&lt;a href="canciones/francisco_palazon/los_niños_hebreos.html"&gt;</v>
      </c>
      <c r="Y812"/>
      <c r="Z812" s="1"/>
      <c r="AA812" s="1"/>
      <c r="AB812" s="1"/>
      <c r="AC812" s="1"/>
    </row>
    <row r="813" spans="1:29" x14ac:dyDescent="0.3">
      <c r="A813" s="1">
        <f>ROW(CantoralDB[[#This Row],[Título]])-1</f>
        <v>812</v>
      </c>
      <c r="B813" s="1" t="s">
        <v>2104</v>
      </c>
      <c r="C813" s="1"/>
      <c r="J813" s="1"/>
      <c r="M813" s="15" t="s">
        <v>480</v>
      </c>
      <c r="N813" s="1" t="s">
        <v>1921</v>
      </c>
      <c r="O813" s="15">
        <v>4</v>
      </c>
      <c r="P813" s="15">
        <v>1983</v>
      </c>
      <c r="Q813" s="15" t="str" cm="1">
        <f t="array" ref="Q8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3" s="15" t="str" cm="1">
        <f t="array" ref="R8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canciones/francisco_palazon/nosotros_hemos_de_gloriarnos.html</v>
      </c>
      <c r="T813" s="1"/>
      <c r="U813" s="1"/>
      <c r="V813" s="32" t="s">
        <v>3617</v>
      </c>
      <c r="W8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href="canciones/francisco_palazon/nosotros_hemos_de_gloriarnos.html"&gt;Nosotros hemos de gloriarnos&lt;/a&gt;&lt;/li&gt;</v>
      </c>
      <c r="X813" s="15" t="str">
        <f>_xlfn.TEXTBEFORE(_xlfn.TEXTAFTER(CantoralDB[[#This Row],[index.html]],"&gt;"),"&gt;")&amp;"&gt;"</f>
        <v>&lt;a href="canciones/francisco_palazon/nosotros_hemos_de_gloriarnos.html"&gt;</v>
      </c>
      <c r="Y813"/>
      <c r="Z813" s="1"/>
      <c r="AA813" s="1"/>
      <c r="AB813" s="1"/>
      <c r="AC813" s="1"/>
    </row>
    <row r="814" spans="1:29" x14ac:dyDescent="0.3">
      <c r="A814" s="1">
        <f>ROW(CantoralDB[[#This Row],[Título]])-1</f>
        <v>813</v>
      </c>
      <c r="B814" s="1" t="s">
        <v>104</v>
      </c>
      <c r="C814" s="1"/>
      <c r="E814" s="1">
        <v>185</v>
      </c>
      <c r="I814" s="1" t="s">
        <v>5061</v>
      </c>
      <c r="J814" s="1" t="s">
        <v>605</v>
      </c>
      <c r="M814" s="15" t="s">
        <v>480</v>
      </c>
      <c r="N814" s="1" t="s">
        <v>1921</v>
      </c>
      <c r="O814" s="15">
        <v>5</v>
      </c>
      <c r="P814" s="15">
        <v>1983</v>
      </c>
      <c r="Q814" s="15" t="str" cm="1">
        <f t="array" ref="Q8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4" s="15" t="str" cm="1">
        <f t="array" ref="R8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canciones/francisco_palazon/os_doy_un_mandato_nuevo.html</v>
      </c>
      <c r="T814" s="1"/>
      <c r="U814" s="1"/>
      <c r="V814" s="32" t="s">
        <v>3618</v>
      </c>
      <c r="W8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data-nold="185"&gt;&lt;a href="canciones/francisco_palazon/os_doy_un_mandato_nuevo.html"&gt;Os doy un mandato nuevo&lt;/a&gt;&lt;/li&gt;</v>
      </c>
      <c r="X814" s="15" t="str">
        <f>_xlfn.TEXTBEFORE(_xlfn.TEXTAFTER(CantoralDB[[#This Row],[index.html]],"&gt;"),"&gt;")&amp;"&gt;"</f>
        <v>&lt;a href="canciones/francisco_palazon/os_doy_un_mandato_nuevo.html"&gt;</v>
      </c>
      <c r="Y814"/>
      <c r="Z814" s="1"/>
      <c r="AA814" s="1"/>
      <c r="AB814" s="1"/>
      <c r="AC814" s="1"/>
    </row>
    <row r="815" spans="1:29" x14ac:dyDescent="0.3">
      <c r="A815" s="1">
        <f>ROW(CantoralDB[[#This Row],[Título]])-1</f>
        <v>814</v>
      </c>
      <c r="B815" s="1" t="s">
        <v>2105</v>
      </c>
      <c r="C815" s="1"/>
      <c r="J815" s="1"/>
      <c r="M815" s="15" t="s">
        <v>480</v>
      </c>
      <c r="N815" s="1" t="s">
        <v>1921</v>
      </c>
      <c r="O815" s="15">
        <v>6</v>
      </c>
      <c r="P815" s="15">
        <v>1983</v>
      </c>
      <c r="Q815" s="15" t="str" cm="1">
        <f t="array" ref="Q8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5" s="15" t="str" cm="1">
        <f t="array" ref="R8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canciones/francisco_palazon/que_la_lengua_humana.html</v>
      </c>
      <c r="T815" s="1"/>
      <c r="U815" s="1"/>
      <c r="V815" s="32" t="s">
        <v>3619</v>
      </c>
      <c r="W8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href="canciones/francisco_palazon/que_la_lengua_humana.html"&gt;Que la lengua humana&lt;/a&gt;&lt;/li&gt;</v>
      </c>
      <c r="X815" s="15" t="str">
        <f>_xlfn.TEXTBEFORE(_xlfn.TEXTAFTER(CantoralDB[[#This Row],[index.html]],"&gt;"),"&gt;")&amp;"&gt;"</f>
        <v>&lt;a href="canciones/francisco_palazon/que_la_lengua_humana.html"&gt;</v>
      </c>
      <c r="Y815"/>
      <c r="Z815" s="1"/>
      <c r="AA815" s="1"/>
      <c r="AB815" s="1"/>
      <c r="AC815" s="1"/>
    </row>
    <row r="816" spans="1:29" x14ac:dyDescent="0.3">
      <c r="A816" s="1">
        <f>ROW(CantoralDB[[#This Row],[Título]])-1</f>
        <v>815</v>
      </c>
      <c r="B816" s="1" t="s">
        <v>117</v>
      </c>
      <c r="C816" s="1"/>
      <c r="J816" s="1"/>
      <c r="M816" s="15" t="s">
        <v>480</v>
      </c>
      <c r="N816" s="1" t="s">
        <v>1921</v>
      </c>
      <c r="O816" s="15">
        <v>7</v>
      </c>
      <c r="P816" s="15">
        <v>1983</v>
      </c>
      <c r="Q816" s="15" t="str" cm="1">
        <f t="array" ref="Q8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6" s="15" t="str" cm="1">
        <f t="array" ref="R8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canciones/francisco_palazon/pueblo_mio.html</v>
      </c>
      <c r="T816" s="1"/>
      <c r="U816" s="1"/>
      <c r="V816" s="32" t="s">
        <v>3620</v>
      </c>
      <c r="W8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href="canciones/francisco_palazon/pueblo_mio.html"&gt;Pueblo mío&lt;/a&gt;&lt;/li&gt;</v>
      </c>
      <c r="X816" s="15" t="str">
        <f>_xlfn.TEXTBEFORE(_xlfn.TEXTAFTER(CantoralDB[[#This Row],[index.html]],"&gt;"),"&gt;")&amp;"&gt;"</f>
        <v>&lt;a href="canciones/francisco_palazon/pueblo_mio.html"&gt;</v>
      </c>
      <c r="Y816"/>
      <c r="Z816" s="1"/>
      <c r="AA816" s="1"/>
      <c r="AB816" s="1"/>
      <c r="AC816" s="1"/>
    </row>
    <row r="817" spans="1:29" x14ac:dyDescent="0.3">
      <c r="A817" s="1">
        <f>ROW(CantoralDB[[#This Row],[Título]])-1</f>
        <v>816</v>
      </c>
      <c r="B817" s="1" t="s">
        <v>41</v>
      </c>
      <c r="C817" s="1"/>
      <c r="J817" s="1"/>
      <c r="M817" s="15" t="s">
        <v>480</v>
      </c>
      <c r="N817" s="1" t="s">
        <v>1921</v>
      </c>
      <c r="O817" s="15">
        <v>8</v>
      </c>
      <c r="P817" s="15">
        <v>1983</v>
      </c>
      <c r="Q817" s="15" t="str" cm="1">
        <f t="array" ref="Q8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7" s="15" t="str" cm="1">
        <f t="array" ref="R8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canciones/francisco_palazon/cristo_por_nosotros.html</v>
      </c>
      <c r="T817" s="1"/>
      <c r="U817" s="1"/>
      <c r="V817" s="32" t="s">
        <v>3621</v>
      </c>
      <c r="W8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href="canciones/francisco_palazon/cristo_por_nosotros.html"&gt;Cristo por nosotros&lt;/a&gt;&lt;/li&gt;</v>
      </c>
      <c r="X817" s="15" t="str">
        <f>_xlfn.TEXTBEFORE(_xlfn.TEXTAFTER(CantoralDB[[#This Row],[index.html]],"&gt;"),"&gt;")&amp;"&gt;"</f>
        <v>&lt;a href="canciones/francisco_palazon/cristo_por_nosotros.html"&gt;</v>
      </c>
      <c r="Y817"/>
      <c r="Z817" s="1"/>
      <c r="AA817" s="1"/>
      <c r="AB817" s="1"/>
      <c r="AC817" s="1"/>
    </row>
    <row r="818" spans="1:29" x14ac:dyDescent="0.3">
      <c r="A818" s="1">
        <f>ROW(CantoralDB[[#This Row],[Título]])-1</f>
        <v>817</v>
      </c>
      <c r="B818" s="1" t="s">
        <v>2106</v>
      </c>
      <c r="C818" s="1"/>
      <c r="J818" s="1"/>
      <c r="M818" s="15" t="s">
        <v>480</v>
      </c>
      <c r="N818" s="1" t="s">
        <v>1921</v>
      </c>
      <c r="O818" s="15">
        <v>9</v>
      </c>
      <c r="P818" s="15">
        <v>1983</v>
      </c>
      <c r="Q818" s="15" t="str" cm="1">
        <f t="array" ref="Q8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8" s="15" t="str" cm="1">
        <f t="array" ref="R8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canciones/francisco_palazon/tu_cruz_adoramos_señor.html</v>
      </c>
      <c r="T818" s="1"/>
      <c r="U818" s="1"/>
      <c r="V818" s="32" t="s">
        <v>3622</v>
      </c>
      <c r="W8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href="canciones/francisco_palazon/tu_cruz_adoramos_señor.html"&gt;Tu cruz adoramos, Señor&lt;/a&gt;&lt;/li&gt;</v>
      </c>
      <c r="X818" s="15" t="str">
        <f>_xlfn.TEXTBEFORE(_xlfn.TEXTAFTER(CantoralDB[[#This Row],[index.html]],"&gt;"),"&gt;")&amp;"&gt;"</f>
        <v>&lt;a href="canciones/francisco_palazon/tu_cruz_adoramos_señor.html"&gt;</v>
      </c>
      <c r="Y818"/>
      <c r="Z818" s="1"/>
      <c r="AA818" s="1"/>
      <c r="AB818" s="1"/>
      <c r="AC818" s="1"/>
    </row>
    <row r="819" spans="1:29" x14ac:dyDescent="0.3">
      <c r="A819" s="1">
        <f>ROW(CantoralDB[[#This Row],[Título]])-1</f>
        <v>818</v>
      </c>
      <c r="B819" s="1" t="s">
        <v>2107</v>
      </c>
      <c r="C819" s="1"/>
      <c r="J819" s="1"/>
      <c r="M819" s="15" t="s">
        <v>480</v>
      </c>
      <c r="N819" s="1" t="s">
        <v>1921</v>
      </c>
      <c r="O819" s="15">
        <v>10</v>
      </c>
      <c r="P819" s="15">
        <v>1983</v>
      </c>
      <c r="Q819" s="15" t="str" cm="1">
        <f t="array" ref="Q8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19" s="15" t="str" cm="1">
        <f t="array" ref="R8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canciones/francisco_palazon/como_busca_la_cierva.html</v>
      </c>
      <c r="T819" s="1"/>
      <c r="U819" s="1"/>
      <c r="V819" s="32" t="s">
        <v>3623</v>
      </c>
      <c r="W8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href="canciones/francisco_palazon/como_busca_la_cierva.html"&gt;Como busca la cierva&lt;/a&gt;&lt;/li&gt;</v>
      </c>
      <c r="X819" s="15" t="str">
        <f>_xlfn.TEXTBEFORE(_xlfn.TEXTAFTER(CantoralDB[[#This Row],[index.html]],"&gt;"),"&gt;")&amp;"&gt;"</f>
        <v>&lt;a href="canciones/francisco_palazon/como_busca_la_cierva.html"&gt;</v>
      </c>
      <c r="Y819"/>
      <c r="Z819" s="1"/>
      <c r="AA819" s="1"/>
      <c r="AB819" s="1"/>
      <c r="AC819" s="1"/>
    </row>
    <row r="820" spans="1:29" x14ac:dyDescent="0.3">
      <c r="A820" s="1">
        <f>ROW(CantoralDB[[#This Row],[Título]])-1</f>
        <v>819</v>
      </c>
      <c r="B820" s="1" t="s">
        <v>2108</v>
      </c>
      <c r="C820" s="1"/>
      <c r="J820" s="1"/>
      <c r="M820" s="15" t="s">
        <v>480</v>
      </c>
      <c r="N820" s="1" t="s">
        <v>1921</v>
      </c>
      <c r="O820" s="15">
        <v>11</v>
      </c>
      <c r="P820" s="15">
        <v>1983</v>
      </c>
      <c r="Q820" s="15" t="str" cm="1">
        <f t="array" ref="Q8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0" s="15" t="str" cm="1">
        <f t="array" ref="R8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canciones/francisco_palazon/cantemos_el_gozo_de_la_resurreccion.html</v>
      </c>
      <c r="T820" s="1"/>
      <c r="U820" s="1"/>
      <c r="V820" s="32" t="s">
        <v>3624</v>
      </c>
      <c r="W8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href="canciones/francisco_palazon/cantemos_el_gozo_de_la_resurreccion.html"&gt;Cantemos el gozo de la resurrección&lt;/a&gt;&lt;/li&gt;</v>
      </c>
      <c r="X820" s="15" t="str">
        <f>_xlfn.TEXTBEFORE(_xlfn.TEXTAFTER(CantoralDB[[#This Row],[index.html]],"&gt;"),"&gt;")&amp;"&gt;"</f>
        <v>&lt;a href="canciones/francisco_palazon/cantemos_el_gozo_de_la_resurreccion.html"&gt;</v>
      </c>
      <c r="Y820"/>
      <c r="Z820" s="1"/>
      <c r="AA820" s="1"/>
      <c r="AB820" s="1"/>
      <c r="AC820" s="1"/>
    </row>
    <row r="821" spans="1:29" x14ac:dyDescent="0.3">
      <c r="A821" s="1">
        <f>ROW(CantoralDB[[#This Row],[Título]])-1</f>
        <v>820</v>
      </c>
      <c r="B821" s="1" t="s">
        <v>1212</v>
      </c>
      <c r="C821" s="1"/>
      <c r="E821" s="1">
        <v>99</v>
      </c>
      <c r="I821" s="1" t="s">
        <v>5061</v>
      </c>
      <c r="J821" s="1" t="s">
        <v>605</v>
      </c>
      <c r="M821" s="15" t="s">
        <v>480</v>
      </c>
      <c r="N821" s="1" t="s">
        <v>2215</v>
      </c>
      <c r="O821" s="15"/>
      <c r="P821" s="15">
        <v>1989</v>
      </c>
      <c r="Q821" s="15" t="str" cm="1">
        <f t="array" ref="Q8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1" s="15" t="str" cm="1">
        <f t="array" ref="R8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canciones/francisco_palazon/el_señor_es_mi_luz_y_mi_salvacion.html</v>
      </c>
      <c r="T821" s="1"/>
      <c r="U821" s="1"/>
      <c r="V821" s="15"/>
      <c r="W8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data-nold="99"&gt;&lt;a href="canciones/francisco_palazon/el_señor_es_mi_luz_y_mi_salvacion.html"&gt;El Señor es mi luz y mi salvación&lt;/a&gt;&lt;/li&gt;</v>
      </c>
      <c r="X821" s="15" t="str">
        <f>_xlfn.TEXTBEFORE(_xlfn.TEXTAFTER(CantoralDB[[#This Row],[index.html]],"&gt;"),"&gt;")&amp;"&gt;"</f>
        <v>&lt;a href="canciones/francisco_palazon/el_señor_es_mi_luz_y_mi_salvacion.html"&gt;</v>
      </c>
      <c r="Y821"/>
      <c r="Z821" s="1"/>
      <c r="AA821" s="1"/>
      <c r="AB821" s="1"/>
      <c r="AC821" s="1"/>
    </row>
    <row r="822" spans="1:29" x14ac:dyDescent="0.3">
      <c r="A822" s="1">
        <f>ROW(CantoralDB[[#This Row],[Título]])-1</f>
        <v>821</v>
      </c>
      <c r="B822" s="1" t="s">
        <v>1922</v>
      </c>
      <c r="C822" s="1"/>
      <c r="H822" s="1" t="s">
        <v>529</v>
      </c>
      <c r="J822" s="1" t="s">
        <v>605</v>
      </c>
      <c r="M822" s="15" t="s">
        <v>480</v>
      </c>
      <c r="N822" s="1" t="s">
        <v>1922</v>
      </c>
      <c r="O822" s="15">
        <v>1</v>
      </c>
      <c r="P822" s="15">
        <v>1985</v>
      </c>
      <c r="Q822" s="15" t="str" cm="1">
        <f t="array" ref="Q8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2" s="15" t="str" cm="1">
        <f t="array" ref="R8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canciones/francisco_palazon/el_alzar_de_mis_manos.html</v>
      </c>
      <c r="T822" s="1" t="s">
        <v>2211</v>
      </c>
      <c r="U822" s="1"/>
      <c r="V822" s="32" t="s">
        <v>3587</v>
      </c>
      <c r="W8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href="canciones/francisco_palazon/el_alzar_de_mis_manos.html"&gt;El alzar de mis manos&lt;/a&gt;&lt;/li&gt;</v>
      </c>
      <c r="X822" s="15" t="str">
        <f>_xlfn.TEXTBEFORE(_xlfn.TEXTAFTER(CantoralDB[[#This Row],[index.html]],"&gt;"),"&gt;")&amp;"&gt;"</f>
        <v>&lt;a href="canciones/francisco_palazon/el_alzar_de_mis_manos.html"&gt;</v>
      </c>
      <c r="Y822"/>
      <c r="Z822" s="1"/>
      <c r="AA822" s="1"/>
      <c r="AB822" s="1"/>
      <c r="AC822" s="1"/>
    </row>
    <row r="823" spans="1:29" x14ac:dyDescent="0.3">
      <c r="A823" s="1">
        <f>ROW(CantoralDB[[#This Row],[Título]])-1</f>
        <v>822</v>
      </c>
      <c r="B823" s="1" t="s">
        <v>1928</v>
      </c>
      <c r="C823" s="1"/>
      <c r="E823" s="1">
        <v>62</v>
      </c>
      <c r="H823" s="1" t="s">
        <v>1027</v>
      </c>
      <c r="J823" s="1" t="s">
        <v>605</v>
      </c>
      <c r="M823" s="15" t="s">
        <v>480</v>
      </c>
      <c r="N823" s="1" t="s">
        <v>1922</v>
      </c>
      <c r="O823" s="15">
        <v>2</v>
      </c>
      <c r="P823" s="15">
        <v>1985</v>
      </c>
      <c r="Q823" s="15" t="str" cm="1">
        <f t="array" ref="Q8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3" s="15" t="str" cm="1">
        <f t="array" ref="R8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canciones/francisco_palazon/cantico_de_daniel.html</v>
      </c>
      <c r="T823" s="1"/>
      <c r="U823" s="1"/>
      <c r="V823" s="32" t="s">
        <v>3588</v>
      </c>
      <c r="W8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data-nold="62"&gt;&lt;a href="canciones/francisco_palazon/cantico_de_daniel.html"&gt;Cántico de Daniel&lt;/a&gt;&lt;/li&gt;</v>
      </c>
      <c r="X823" s="15" t="str">
        <f>_xlfn.TEXTBEFORE(_xlfn.TEXTAFTER(CantoralDB[[#This Row],[index.html]],"&gt;"),"&gt;")&amp;"&gt;"</f>
        <v>&lt;a href="canciones/francisco_palazon/cantico_de_daniel.html"&gt;</v>
      </c>
      <c r="Y823"/>
      <c r="Z823" s="1"/>
      <c r="AA823" s="1"/>
      <c r="AB823" s="1"/>
      <c r="AC823" s="1"/>
    </row>
    <row r="824" spans="1:29" x14ac:dyDescent="0.3">
      <c r="A824" s="1">
        <f>ROW(CantoralDB[[#This Row],[Título]])-1</f>
        <v>823</v>
      </c>
      <c r="B824" s="1" t="s">
        <v>1164</v>
      </c>
      <c r="C824" s="1"/>
      <c r="E824" s="1">
        <v>27</v>
      </c>
      <c r="H824" s="1" t="s">
        <v>1027</v>
      </c>
      <c r="J824" s="1" t="s">
        <v>605</v>
      </c>
      <c r="M824" s="15" t="s">
        <v>480</v>
      </c>
      <c r="N824" s="1" t="s">
        <v>1922</v>
      </c>
      <c r="O824" s="15">
        <v>3</v>
      </c>
      <c r="P824" s="15">
        <v>1985</v>
      </c>
      <c r="Q824" s="15" t="str" cm="1">
        <f t="array" ref="Q8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4" s="15" t="str" cm="1">
        <f t="array" ref="R8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canciones/francisco_palazon/a_ti_levanto_mi_alma.html</v>
      </c>
      <c r="T824" s="1"/>
      <c r="U824" s="1"/>
      <c r="V824" s="32" t="s">
        <v>3589</v>
      </c>
      <c r="W8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data-nold="27"&gt;&lt;a href="canciones/francisco_palazon/a_ti_levanto_mi_alma.html"&gt;A ti levanto mi alma&lt;/a&gt;&lt;/li&gt;</v>
      </c>
      <c r="X824" s="15" t="str">
        <f>_xlfn.TEXTBEFORE(_xlfn.TEXTAFTER(CantoralDB[[#This Row],[index.html]],"&gt;"),"&gt;")&amp;"&gt;"</f>
        <v>&lt;a href="canciones/francisco_palazon/a_ti_levanto_mi_alma.html"&gt;</v>
      </c>
      <c r="Y824"/>
      <c r="Z824" s="1"/>
      <c r="AA824" s="1"/>
      <c r="AB824" s="1"/>
      <c r="AC824" s="1"/>
    </row>
    <row r="825" spans="1:29" x14ac:dyDescent="0.3">
      <c r="A825" s="1">
        <f>ROW(CantoralDB[[#This Row],[Título]])-1</f>
        <v>824</v>
      </c>
      <c r="B825" s="1" t="s">
        <v>2214</v>
      </c>
      <c r="C825" s="1"/>
      <c r="H825" s="1" t="s">
        <v>529</v>
      </c>
      <c r="J825" s="1" t="s">
        <v>605</v>
      </c>
      <c r="M825" s="15" t="s">
        <v>480</v>
      </c>
      <c r="N825" s="1" t="s">
        <v>1922</v>
      </c>
      <c r="O825" s="15">
        <v>4</v>
      </c>
      <c r="P825" s="15">
        <v>1985</v>
      </c>
      <c r="Q825" s="15" t="str" cm="1">
        <f t="array" ref="Q8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5" s="15" t="str" cm="1">
        <f t="array" ref="R8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canciones/francisco_palazon/el_señor_de_los_ejercitos.html</v>
      </c>
      <c r="T825" s="1" t="s">
        <v>2212</v>
      </c>
      <c r="U825" s="1"/>
      <c r="V825" s="32" t="s">
        <v>3590</v>
      </c>
      <c r="W8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href="canciones/francisco_palazon/el_señor_de_los_ejercitos.html"&gt;El Señor de los ejércitos&lt;/a&gt;&lt;/li&gt;</v>
      </c>
      <c r="X825" s="15" t="str">
        <f>_xlfn.TEXTBEFORE(_xlfn.TEXTAFTER(CantoralDB[[#This Row],[index.html]],"&gt;"),"&gt;")&amp;"&gt;"</f>
        <v>&lt;a href="canciones/francisco_palazon/el_señor_de_los_ejercitos.html"&gt;</v>
      </c>
      <c r="Y825"/>
      <c r="Z825" s="1"/>
      <c r="AA825" s="1"/>
      <c r="AB825" s="1"/>
      <c r="AC825" s="1"/>
    </row>
    <row r="826" spans="1:29" x14ac:dyDescent="0.3">
      <c r="A826" s="1">
        <f>ROW(CantoralDB[[#This Row],[Título]])-1</f>
        <v>825</v>
      </c>
      <c r="B826" s="1" t="s">
        <v>513</v>
      </c>
      <c r="C826" s="1" t="s">
        <v>200</v>
      </c>
      <c r="D826" s="1" t="s">
        <v>647</v>
      </c>
      <c r="G826" s="1" t="s">
        <v>208</v>
      </c>
      <c r="H826" s="1" t="s">
        <v>1027</v>
      </c>
      <c r="J826" s="1" t="s">
        <v>605</v>
      </c>
      <c r="M826" s="15" t="s">
        <v>480</v>
      </c>
      <c r="N826" s="1" t="s">
        <v>1922</v>
      </c>
      <c r="O826" s="15">
        <v>5</v>
      </c>
      <c r="P826" s="15">
        <v>1985</v>
      </c>
      <c r="Q826" s="15" t="str" cm="1">
        <f t="array" ref="Q8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6" s="15" t="str" cm="1">
        <f t="array" ref="R8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canciones/francisco_palazon/el_caliz_que_bendecimos.html</v>
      </c>
      <c r="T826" s="1" t="s">
        <v>819</v>
      </c>
      <c r="U826" s="1"/>
      <c r="V826" s="32" t="s">
        <v>3591</v>
      </c>
      <c r="W8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data-momento="Antífonas" data-nnew="D12"&gt;&lt;a href="canciones/francisco_palazon/el_caliz_que_bendecimos.html"&gt;El cáliz que bendecimos&lt;/a&gt;&lt;/li&gt;</v>
      </c>
      <c r="X826" s="15" t="str">
        <f>_xlfn.TEXTBEFORE(_xlfn.TEXTAFTER(CantoralDB[[#This Row],[index.html]],"&gt;"),"&gt;")&amp;"&gt;"</f>
        <v>&lt;a href="canciones/francisco_palazon/el_caliz_que_bendecimos.html"&gt;</v>
      </c>
      <c r="Y826"/>
      <c r="Z826" s="1"/>
      <c r="AA826" s="1"/>
      <c r="AB826" s="1"/>
      <c r="AC826" s="1"/>
    </row>
    <row r="827" spans="1:29" x14ac:dyDescent="0.3">
      <c r="A827" s="1">
        <f>ROW(CantoralDB[[#This Row],[Título]])-1</f>
        <v>826</v>
      </c>
      <c r="B827" s="1" t="s">
        <v>53</v>
      </c>
      <c r="C827" s="1" t="s">
        <v>200</v>
      </c>
      <c r="D827" s="1" t="s">
        <v>649</v>
      </c>
      <c r="E827" s="1">
        <v>98</v>
      </c>
      <c r="G827" s="1" t="s">
        <v>208</v>
      </c>
      <c r="H827" s="1" t="s">
        <v>1027</v>
      </c>
      <c r="J827" s="1" t="s">
        <v>605</v>
      </c>
      <c r="M827" s="15" t="s">
        <v>480</v>
      </c>
      <c r="N827" s="1" t="s">
        <v>1922</v>
      </c>
      <c r="O827" s="15">
        <v>6</v>
      </c>
      <c r="P827" s="15">
        <v>1985</v>
      </c>
      <c r="Q827" s="15" t="str" cm="1">
        <f t="array" ref="Q8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7" s="15" t="str" cm="1">
        <f t="array" ref="R8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canciones/francisco_palazon/el_señor_es_mi_pastor.html</v>
      </c>
      <c r="T827" s="1" t="s">
        <v>824</v>
      </c>
      <c r="U827" s="1"/>
      <c r="V827" s="32" t="s">
        <v>3592</v>
      </c>
      <c r="W8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data-momento="Antífonas" data-nnew="D14" data-nold="98"&gt;&lt;a href="canciones/francisco_palazon/el_señor_es_mi_pastor.html"&gt;El Señor es mi pastor&lt;/a&gt;&lt;/li&gt;</v>
      </c>
      <c r="X827" s="15" t="str">
        <f>_xlfn.TEXTBEFORE(_xlfn.TEXTAFTER(CantoralDB[[#This Row],[index.html]],"&gt;"),"&gt;")&amp;"&gt;"</f>
        <v>&lt;a href="canciones/francisco_palazon/el_señor_es_mi_pastor.html"&gt;</v>
      </c>
      <c r="Y827"/>
      <c r="Z827" s="1"/>
      <c r="AA827" s="1"/>
      <c r="AB827" s="1"/>
      <c r="AC827" s="1"/>
    </row>
    <row r="828" spans="1:29" x14ac:dyDescent="0.3">
      <c r="A828" s="1">
        <f>ROW(CantoralDB[[#This Row],[Título]])-1</f>
        <v>827</v>
      </c>
      <c r="B828" s="1" t="s">
        <v>1929</v>
      </c>
      <c r="C828" s="1"/>
      <c r="E828" s="1">
        <v>18</v>
      </c>
      <c r="H828" s="1" t="s">
        <v>1027</v>
      </c>
      <c r="J828" s="1" t="s">
        <v>605</v>
      </c>
      <c r="M828" s="15" t="s">
        <v>480</v>
      </c>
      <c r="N828" s="1" t="s">
        <v>1922</v>
      </c>
      <c r="O828" s="15">
        <v>7</v>
      </c>
      <c r="P828" s="15">
        <v>1985</v>
      </c>
      <c r="Q828" s="15" t="str" cm="1">
        <f t="array" ref="Q8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8" s="15" t="str" cm="1">
        <f t="array" ref="R8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canciones/francisco_palazon/el_señor_tenga_piedad.html</v>
      </c>
      <c r="T828" s="1"/>
      <c r="U828" s="1"/>
      <c r="V828" s="32" t="s">
        <v>3593</v>
      </c>
      <c r="W8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data-nold="18"&gt;&lt;a href="canciones/francisco_palazon/el_señor_tenga_piedad.html"&gt;El Señor tenga piedad&lt;/a&gt;&lt;/li&gt;</v>
      </c>
      <c r="X828" s="15" t="str">
        <f>_xlfn.TEXTBEFORE(_xlfn.TEXTAFTER(CantoralDB[[#This Row],[index.html]],"&gt;"),"&gt;")&amp;"&gt;"</f>
        <v>&lt;a href="canciones/francisco_palazon/el_señor_tenga_piedad.html"&gt;</v>
      </c>
      <c r="Y828"/>
      <c r="Z828" s="1"/>
      <c r="AA828" s="1"/>
      <c r="AB828" s="1"/>
      <c r="AC828" s="1"/>
    </row>
    <row r="829" spans="1:29" x14ac:dyDescent="0.3">
      <c r="A829" s="1">
        <f>ROW(CantoralDB[[#This Row],[Título]])-1</f>
        <v>828</v>
      </c>
      <c r="B829" s="1" t="s">
        <v>5059</v>
      </c>
      <c r="C829" s="1"/>
      <c r="E829" s="1">
        <v>36</v>
      </c>
      <c r="H829" s="1" t="s">
        <v>1024</v>
      </c>
      <c r="J829" s="1" t="s">
        <v>605</v>
      </c>
      <c r="M829" s="15" t="s">
        <v>480</v>
      </c>
      <c r="N829" s="1" t="s">
        <v>1922</v>
      </c>
      <c r="O829" s="15">
        <v>8</v>
      </c>
      <c r="P829" s="15">
        <v>1985</v>
      </c>
      <c r="Q829" s="15" t="str" cm="1">
        <f t="array" ref="Q8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29" s="15" t="str" cm="1">
        <f t="array" ref="R8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canciones/francisco_palazon/caminare_en_presencia_del_señor_(palazon).html</v>
      </c>
      <c r="T829" s="1"/>
      <c r="U829" s="1"/>
      <c r="V829" s="32" t="s">
        <v>3594</v>
      </c>
      <c r="W8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data-nold="36"&gt;&lt;a href="canciones/francisco_palazon/caminare_en_presencia_del_señor_(palazon).html"&gt;Caminaré en presencia del Señor (Palazón)&lt;/a&gt;&lt;/li&gt;</v>
      </c>
      <c r="X829" s="15" t="str">
        <f>_xlfn.TEXTBEFORE(_xlfn.TEXTAFTER(CantoralDB[[#This Row],[index.html]],"&gt;"),"&gt;")&amp;"&gt;"</f>
        <v>&lt;a href="canciones/francisco_palazon/caminare_en_presencia_del_señor_(palazon).html"&gt;</v>
      </c>
      <c r="Y829"/>
      <c r="Z829" s="1"/>
      <c r="AA829" s="1"/>
      <c r="AB829" s="1"/>
      <c r="AC829" s="1"/>
    </row>
    <row r="830" spans="1:29" x14ac:dyDescent="0.3">
      <c r="A830" s="1">
        <f>ROW(CantoralDB[[#This Row],[Título]])-1</f>
        <v>829</v>
      </c>
      <c r="B830" s="1" t="s">
        <v>1216</v>
      </c>
      <c r="C830" s="1"/>
      <c r="E830" s="1">
        <v>103</v>
      </c>
      <c r="H830" s="1" t="s">
        <v>529</v>
      </c>
      <c r="J830" s="1" t="s">
        <v>605</v>
      </c>
      <c r="M830" s="15" t="s">
        <v>480</v>
      </c>
      <c r="N830" s="1" t="s">
        <v>1922</v>
      </c>
      <c r="O830" s="15">
        <v>9</v>
      </c>
      <c r="P830" s="15">
        <v>1985</v>
      </c>
      <c r="Q830" s="15" t="str" cm="1">
        <f t="array" ref="Q8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0" s="15" t="str" cm="1">
        <f t="array" ref="R8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canciones/francisco_palazon/el_señor_es_bueno.html</v>
      </c>
      <c r="T830" s="1" t="s">
        <v>2213</v>
      </c>
      <c r="U830" s="1"/>
      <c r="V830" s="32" t="s">
        <v>3595</v>
      </c>
      <c r="W8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data-nold="103"&gt;&lt;a href="canciones/francisco_palazon/el_señor_es_bueno.html"&gt;El Señor es bueno&lt;/a&gt;&lt;/li&gt;</v>
      </c>
      <c r="X830" s="15" t="str">
        <f>_xlfn.TEXTBEFORE(_xlfn.TEXTAFTER(CantoralDB[[#This Row],[index.html]],"&gt;"),"&gt;")&amp;"&gt;"</f>
        <v>&lt;a href="canciones/francisco_palazon/el_señor_es_bueno.html"&gt;</v>
      </c>
      <c r="Y830"/>
      <c r="Z830" s="1"/>
      <c r="AA830" s="1"/>
      <c r="AB830" s="1"/>
      <c r="AC830" s="1"/>
    </row>
    <row r="831" spans="1:29" x14ac:dyDescent="0.3">
      <c r="A831" s="1">
        <f>ROW(CantoralDB[[#This Row],[Título]])-1</f>
        <v>830</v>
      </c>
      <c r="B831" s="1" t="s">
        <v>116</v>
      </c>
      <c r="C831" s="1"/>
      <c r="E831" s="1">
        <v>207</v>
      </c>
      <c r="H831" s="1" t="s">
        <v>1027</v>
      </c>
      <c r="J831" s="1" t="s">
        <v>605</v>
      </c>
      <c r="M831" s="15" t="s">
        <v>480</v>
      </c>
      <c r="N831" s="1" t="s">
        <v>1922</v>
      </c>
      <c r="O831" s="15">
        <v>10</v>
      </c>
      <c r="P831" s="15">
        <v>1985</v>
      </c>
      <c r="Q831" s="15" t="str" cm="1">
        <f t="array" ref="Q8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1" s="15" t="str" cm="1">
        <f t="array" ref="R8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canciones/francisco_palazon/protegeme_dios_mio.html</v>
      </c>
      <c r="T831" s="1"/>
      <c r="U831" s="1"/>
      <c r="V831" s="32" t="s">
        <v>3596</v>
      </c>
      <c r="W8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data-nold="207"&gt;&lt;a href="canciones/francisco_palazon/protegeme_dios_mio.html"&gt;Protégeme, Dios mío&lt;/a&gt;&lt;/li&gt;</v>
      </c>
      <c r="X831" s="15" t="str">
        <f>_xlfn.TEXTBEFORE(_xlfn.TEXTAFTER(CantoralDB[[#This Row],[index.html]],"&gt;"),"&gt;")&amp;"&gt;"</f>
        <v>&lt;a href="canciones/francisco_palazon/protegeme_dios_mio.html"&gt;</v>
      </c>
      <c r="Y831"/>
      <c r="Z831" s="1"/>
      <c r="AA831" s="1"/>
      <c r="AB831" s="1"/>
      <c r="AC831" s="1"/>
    </row>
    <row r="832" spans="1:29" x14ac:dyDescent="0.3">
      <c r="A832" s="1">
        <f>ROW(CantoralDB[[#This Row],[Título]])-1</f>
        <v>831</v>
      </c>
      <c r="B832" s="1" t="s">
        <v>74</v>
      </c>
      <c r="C832" s="1" t="s">
        <v>199</v>
      </c>
      <c r="D832" s="1" t="s">
        <v>1426</v>
      </c>
      <c r="E832" s="1">
        <v>430</v>
      </c>
      <c r="G832" s="1" t="s">
        <v>208</v>
      </c>
      <c r="H832" s="1" t="s">
        <v>1024</v>
      </c>
      <c r="J832" s="1" t="s">
        <v>605</v>
      </c>
      <c r="M832" s="15" t="s">
        <v>480</v>
      </c>
      <c r="N832" s="1" t="s">
        <v>2217</v>
      </c>
      <c r="O832" s="15"/>
      <c r="P832" s="15">
        <v>2002</v>
      </c>
      <c r="Q832" s="15" t="str" cm="1">
        <f t="array" ref="Q8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2" s="15" t="str" cm="1">
        <f t="array" ref="R8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canciones/francisco_palazon/himno_a_nuestra_señora_de_la_almudena.html</v>
      </c>
      <c r="T832" s="1"/>
      <c r="U832" s="1"/>
      <c r="V832" s="32" t="s">
        <v>3597</v>
      </c>
      <c r="W8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data-momento="María" data-nnew="M06" data-nold="430"&gt;&lt;a href="canciones/francisco_palazon/himno_a_nuestra_señora_de_la_almudena.html"&gt;Himno a Nuestra Señora de la Almudena&lt;/a&gt;&lt;/li&gt;</v>
      </c>
      <c r="X832" s="15" t="str">
        <f>_xlfn.TEXTBEFORE(_xlfn.TEXTAFTER(CantoralDB[[#This Row],[index.html]],"&gt;"),"&gt;")&amp;"&gt;"</f>
        <v>&lt;a href="canciones/francisco_palazon/himno_a_nuestra_señora_de_la_almudena.html"&gt;</v>
      </c>
      <c r="Y832"/>
      <c r="Z832" s="1"/>
      <c r="AA832" s="1"/>
      <c r="AB832" s="1"/>
      <c r="AC832" s="1"/>
    </row>
    <row r="833" spans="1:29" x14ac:dyDescent="0.3">
      <c r="A833" s="1">
        <f>ROW(CantoralDB[[#This Row],[Título]])-1</f>
        <v>832</v>
      </c>
      <c r="B833" s="1" t="s">
        <v>237</v>
      </c>
      <c r="C833" s="1" t="s">
        <v>199</v>
      </c>
      <c r="D833" s="1" t="s">
        <v>1047</v>
      </c>
      <c r="E833" s="1">
        <v>42</v>
      </c>
      <c r="G833" s="1" t="s">
        <v>208</v>
      </c>
      <c r="H833" s="1" t="s">
        <v>1024</v>
      </c>
      <c r="I833" s="1" t="s">
        <v>2948</v>
      </c>
      <c r="J833" s="1" t="s">
        <v>605</v>
      </c>
      <c r="M833" s="15" t="s">
        <v>480</v>
      </c>
      <c r="N833" s="1" t="s">
        <v>1275</v>
      </c>
      <c r="O833" s="15">
        <v>1</v>
      </c>
      <c r="P833" s="15">
        <v>1979</v>
      </c>
      <c r="Q833" s="15" t="str" cm="1">
        <f t="array" ref="Q8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3" s="15" t="str" cm="1">
        <f t="array" ref="R8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canciones/francisco_palazon/mujer_fuerte.html</v>
      </c>
      <c r="T833" s="1"/>
      <c r="U833" s="1"/>
      <c r="V833" s="32" t="s">
        <v>3598</v>
      </c>
      <c r="W8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data-momento="María" data-nnew="M16" data-nold="42"&gt;&lt;a href="canciones/francisco_palazon/mujer_fuerte.html"&gt;Mujer fuerte&lt;/a&gt;&lt;/li&gt;</v>
      </c>
      <c r="X833" s="15" t="str">
        <f>_xlfn.TEXTBEFORE(_xlfn.TEXTAFTER(CantoralDB[[#This Row],[index.html]],"&gt;"),"&gt;")&amp;"&gt;"</f>
        <v>&lt;a href="canciones/francisco_palazon/mujer_fuerte.html"&gt;</v>
      </c>
      <c r="Y833"/>
      <c r="Z833" s="1"/>
      <c r="AA833" s="1"/>
      <c r="AB833" s="1"/>
      <c r="AC833" s="1"/>
    </row>
    <row r="834" spans="1:29" x14ac:dyDescent="0.3">
      <c r="A834" s="1">
        <f>ROW(CantoralDB[[#This Row],[Título]])-1</f>
        <v>833</v>
      </c>
      <c r="B834" s="1" t="s">
        <v>1275</v>
      </c>
      <c r="C834" s="1"/>
      <c r="E834" s="1">
        <v>161</v>
      </c>
      <c r="H834" s="1" t="s">
        <v>529</v>
      </c>
      <c r="J834" s="1" t="s">
        <v>605</v>
      </c>
      <c r="M834" s="15" t="s">
        <v>480</v>
      </c>
      <c r="N834" s="1" t="s">
        <v>1275</v>
      </c>
      <c r="O834" s="15">
        <v>2</v>
      </c>
      <c r="P834" s="15">
        <v>1979</v>
      </c>
      <c r="Q834" s="15" t="str" cm="1">
        <f t="array" ref="Q8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4" s="15" t="str" cm="1">
        <f t="array" ref="R8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canciones/francisco_palazon/madre_de_los_creyentes.html</v>
      </c>
      <c r="T834" s="1"/>
      <c r="U834" s="1"/>
      <c r="V834" s="32" t="s">
        <v>2965</v>
      </c>
      <c r="W8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data-nold="161"&gt;&lt;a href="canciones/francisco_palazon/madre_de_los_creyentes.html"&gt;Madre de los creyentes&lt;/a&gt;&lt;/li&gt;</v>
      </c>
      <c r="X834" s="15" t="str">
        <f>_xlfn.TEXTBEFORE(_xlfn.TEXTAFTER(CantoralDB[[#This Row],[index.html]],"&gt;"),"&gt;")&amp;"&gt;"</f>
        <v>&lt;a href="canciones/francisco_palazon/madre_de_los_creyentes.html"&gt;</v>
      </c>
      <c r="Y834"/>
      <c r="Z834" s="1"/>
      <c r="AA834" s="1"/>
      <c r="AB834" s="1"/>
      <c r="AC834" s="1"/>
    </row>
    <row r="835" spans="1:29" x14ac:dyDescent="0.3">
      <c r="A835" s="1">
        <f>ROW(CantoralDB[[#This Row],[Título]])-1</f>
        <v>834</v>
      </c>
      <c r="B835" s="1" t="s">
        <v>1930</v>
      </c>
      <c r="C835" s="1"/>
      <c r="H835" s="1" t="s">
        <v>529</v>
      </c>
      <c r="J835" s="1" t="s">
        <v>605</v>
      </c>
      <c r="M835" s="15" t="s">
        <v>480</v>
      </c>
      <c r="N835" s="1" t="s">
        <v>1275</v>
      </c>
      <c r="O835" s="15">
        <v>3</v>
      </c>
      <c r="P835" s="15">
        <v>1979</v>
      </c>
      <c r="Q835" s="15" t="str" cm="1">
        <f t="array" ref="Q8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5" s="15" t="str" cm="1">
        <f t="array" ref="R8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canciones/francisco_palazon/a_ti_suspiramos.html</v>
      </c>
      <c r="T835" s="1"/>
      <c r="U835" s="1"/>
      <c r="V835" s="32" t="s">
        <v>3599</v>
      </c>
      <c r="W8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href="canciones/francisco_palazon/a_ti_suspiramos.html"&gt;A ti suspiramos&lt;/a&gt;&lt;/li&gt;</v>
      </c>
      <c r="X835" s="15" t="str">
        <f>_xlfn.TEXTBEFORE(_xlfn.TEXTAFTER(CantoralDB[[#This Row],[index.html]],"&gt;"),"&gt;")&amp;"&gt;"</f>
        <v>&lt;a href="canciones/francisco_palazon/a_ti_suspiramos.html"&gt;</v>
      </c>
      <c r="Y835"/>
      <c r="Z835" s="1"/>
      <c r="AA835" s="1"/>
      <c r="AB835" s="1"/>
      <c r="AC835" s="1"/>
    </row>
    <row r="836" spans="1:29" x14ac:dyDescent="0.3">
      <c r="A836" s="1">
        <f>ROW(CantoralDB[[#This Row],[Título]])-1</f>
        <v>835</v>
      </c>
      <c r="B836" s="1" t="s">
        <v>125</v>
      </c>
      <c r="C836" s="1" t="s">
        <v>199</v>
      </c>
      <c r="D836" s="1" t="s">
        <v>1049</v>
      </c>
      <c r="E836" s="1" t="s">
        <v>2890</v>
      </c>
      <c r="G836" s="1" t="s">
        <v>208</v>
      </c>
      <c r="H836" s="1" t="s">
        <v>472</v>
      </c>
      <c r="J836" s="1" t="s">
        <v>605</v>
      </c>
      <c r="M836" s="15" t="s">
        <v>480</v>
      </c>
      <c r="N836" s="1" t="s">
        <v>1275</v>
      </c>
      <c r="O836" s="15">
        <v>4</v>
      </c>
      <c r="P836" s="15">
        <v>1979</v>
      </c>
      <c r="Q836" s="15" t="str" cm="1">
        <f t="array" ref="Q8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6" s="15" t="str" cm="1">
        <f t="array" ref="R8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canciones/francisco_palazon/reina_del_cielo.html</v>
      </c>
      <c r="T836" s="1"/>
      <c r="U836" s="1"/>
      <c r="V836" s="32" t="s">
        <v>3600</v>
      </c>
      <c r="W8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data-momento="María" data-nnew="M19" data-nold="227 y 228"&gt;&lt;a href="canciones/francisco_palazon/reina_del_cielo.html"&gt;Reina del Cielo&lt;/a&gt;&lt;/li&gt;</v>
      </c>
      <c r="X836" s="15" t="str">
        <f>_xlfn.TEXTBEFORE(_xlfn.TEXTAFTER(CantoralDB[[#This Row],[index.html]],"&gt;"),"&gt;")&amp;"&gt;"</f>
        <v>&lt;a href="canciones/francisco_palazon/reina_del_cielo.html"&gt;</v>
      </c>
      <c r="Y836"/>
      <c r="Z836" s="1"/>
      <c r="AA836" s="1"/>
      <c r="AB836" s="1"/>
      <c r="AC836" s="1"/>
    </row>
    <row r="837" spans="1:29" x14ac:dyDescent="0.3">
      <c r="A837" s="1">
        <f>ROW(CantoralDB[[#This Row],[Título]])-1</f>
        <v>836</v>
      </c>
      <c r="B837" s="1" t="s">
        <v>1541</v>
      </c>
      <c r="C837" s="1"/>
      <c r="H837" s="1" t="s">
        <v>472</v>
      </c>
      <c r="J837" s="1" t="s">
        <v>605</v>
      </c>
      <c r="M837" s="15" t="s">
        <v>480</v>
      </c>
      <c r="N837" s="1" t="s">
        <v>1275</v>
      </c>
      <c r="O837" s="15">
        <v>5</v>
      </c>
      <c r="P837" s="15">
        <v>1979</v>
      </c>
      <c r="Q837" s="15" t="str" cm="1">
        <f t="array" ref="Q8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7" s="15" t="str" cm="1">
        <f t="array" ref="R8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canciones/francisco_palazon/magnificat.html</v>
      </c>
      <c r="T837" s="1"/>
      <c r="U837" s="1"/>
      <c r="V837" s="32" t="s">
        <v>3601</v>
      </c>
      <c r="W8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href="canciones/francisco_palazon/magnificat.html"&gt;Magnificat&lt;/a&gt;&lt;/li&gt;</v>
      </c>
      <c r="X837" s="15" t="str">
        <f>_xlfn.TEXTBEFORE(_xlfn.TEXTAFTER(CantoralDB[[#This Row],[index.html]],"&gt;"),"&gt;")&amp;"&gt;"</f>
        <v>&lt;a href="canciones/francisco_palazon/magnificat.html"&gt;</v>
      </c>
      <c r="Y837"/>
      <c r="Z837" s="1"/>
      <c r="AA837" s="1"/>
      <c r="AB837" s="1"/>
      <c r="AC837" s="1"/>
    </row>
    <row r="838" spans="1:29" x14ac:dyDescent="0.3">
      <c r="A838" s="1">
        <f>ROW(CantoralDB[[#This Row],[Título]])-1</f>
        <v>837</v>
      </c>
      <c r="B838" s="1" t="s">
        <v>1931</v>
      </c>
      <c r="C838" s="1"/>
      <c r="H838" s="1" t="s">
        <v>529</v>
      </c>
      <c r="J838" s="1" t="s">
        <v>605</v>
      </c>
      <c r="M838" s="15" t="s">
        <v>480</v>
      </c>
      <c r="N838" s="1" t="s">
        <v>1275</v>
      </c>
      <c r="O838" s="15">
        <v>6</v>
      </c>
      <c r="P838" s="15">
        <v>1979</v>
      </c>
      <c r="Q838" s="15" t="str" cm="1">
        <f t="array" ref="Q8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8" s="15" t="str" cm="1">
        <f t="array" ref="R8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canciones/francisco_palazon/morada_de_la_luz.html</v>
      </c>
      <c r="T838" s="1"/>
      <c r="U838" s="1"/>
      <c r="V838" s="32" t="s">
        <v>3602</v>
      </c>
      <c r="W8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href="canciones/francisco_palazon/morada_de_la_luz.html"&gt;Morada de la luz&lt;/a&gt;&lt;/li&gt;</v>
      </c>
      <c r="X838" s="15" t="str">
        <f>_xlfn.TEXTBEFORE(_xlfn.TEXTAFTER(CantoralDB[[#This Row],[index.html]],"&gt;"),"&gt;")&amp;"&gt;"</f>
        <v>&lt;a href="canciones/francisco_palazon/morada_de_la_luz.html"&gt;</v>
      </c>
      <c r="Y838"/>
      <c r="Z838" s="1"/>
      <c r="AA838" s="1"/>
      <c r="AB838" s="1"/>
      <c r="AC838" s="1"/>
    </row>
    <row r="839" spans="1:29" x14ac:dyDescent="0.3">
      <c r="A839" s="1">
        <f>ROW(CantoralDB[[#This Row],[Título]])-1</f>
        <v>838</v>
      </c>
      <c r="B839" s="1" t="s">
        <v>1932</v>
      </c>
      <c r="C839" s="1"/>
      <c r="H839" s="1" t="s">
        <v>529</v>
      </c>
      <c r="J839" s="1" t="s">
        <v>605</v>
      </c>
      <c r="M839" s="15" t="s">
        <v>480</v>
      </c>
      <c r="N839" s="1" t="s">
        <v>1275</v>
      </c>
      <c r="O839" s="15">
        <v>7</v>
      </c>
      <c r="P839" s="15">
        <v>1979</v>
      </c>
      <c r="Q839" s="15" t="str" cm="1">
        <f t="array" ref="Q8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39" s="15" t="str" cm="1">
        <f t="array" ref="R8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canciones/francisco_palazon/madre_del_redentor.html</v>
      </c>
      <c r="T839" s="1"/>
      <c r="U839" s="1"/>
      <c r="V839" s="32" t="s">
        <v>3603</v>
      </c>
      <c r="W8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href="canciones/francisco_palazon/madre_del_redentor.html"&gt;Madre del Redentor&lt;/a&gt;&lt;/li&gt;</v>
      </c>
      <c r="X839" s="15" t="str">
        <f>_xlfn.TEXTBEFORE(_xlfn.TEXTAFTER(CantoralDB[[#This Row],[index.html]],"&gt;"),"&gt;")&amp;"&gt;"</f>
        <v>&lt;a href="canciones/francisco_palazon/madre_del_redentor.html"&gt;</v>
      </c>
      <c r="Y839"/>
      <c r="Z839" s="1"/>
      <c r="AA839" s="1"/>
      <c r="AB839" s="1"/>
      <c r="AC839" s="1"/>
    </row>
    <row r="840" spans="1:29" x14ac:dyDescent="0.3">
      <c r="A840" s="1">
        <f>ROW(CantoralDB[[#This Row],[Título]])-1</f>
        <v>839</v>
      </c>
      <c r="B840" s="1" t="s">
        <v>1933</v>
      </c>
      <c r="C840" s="1"/>
      <c r="H840" s="1" t="s">
        <v>1027</v>
      </c>
      <c r="J840" s="1" t="s">
        <v>605</v>
      </c>
      <c r="M840" s="15" t="s">
        <v>480</v>
      </c>
      <c r="N840" s="1" t="s">
        <v>1275</v>
      </c>
      <c r="O840" s="15">
        <v>8</v>
      </c>
      <c r="P840" s="15">
        <v>1979</v>
      </c>
      <c r="Q840" s="15" t="str" cm="1">
        <f t="array" ref="Q8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0" s="15" t="str" cm="1">
        <f t="array" ref="R8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canciones/francisco_palazon/angelus.html</v>
      </c>
      <c r="T840" s="1"/>
      <c r="U840" s="1"/>
      <c r="V840" s="32" t="s">
        <v>3604</v>
      </c>
      <c r="W8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href="canciones/francisco_palazon/angelus.html"&gt;Ángelus&lt;/a&gt;&lt;/li&gt;</v>
      </c>
      <c r="X840" s="15" t="str">
        <f>_xlfn.TEXTBEFORE(_xlfn.TEXTAFTER(CantoralDB[[#This Row],[index.html]],"&gt;"),"&gt;")&amp;"&gt;"</f>
        <v>&lt;a href="canciones/francisco_palazon/angelus.html"&gt;</v>
      </c>
      <c r="Y840"/>
      <c r="Z840" s="1"/>
      <c r="AA840" s="1"/>
      <c r="AB840" s="1"/>
      <c r="AC840" s="1"/>
    </row>
    <row r="841" spans="1:29" x14ac:dyDescent="0.3">
      <c r="A841" s="1">
        <f>ROW(CantoralDB[[#This Row],[Título]])-1</f>
        <v>840</v>
      </c>
      <c r="B841" s="1" t="s">
        <v>1934</v>
      </c>
      <c r="C841" s="1"/>
      <c r="H841" s="1" t="s">
        <v>1027</v>
      </c>
      <c r="J841" s="1" t="s">
        <v>605</v>
      </c>
      <c r="M841" s="15" t="s">
        <v>480</v>
      </c>
      <c r="N841" s="1" t="s">
        <v>1275</v>
      </c>
      <c r="O841" s="15">
        <v>9</v>
      </c>
      <c r="P841" s="15">
        <v>1979</v>
      </c>
      <c r="Q841" s="15" t="str" cm="1">
        <f t="array" ref="Q8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1" s="15" t="str" cm="1">
        <f t="array" ref="R8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canciones/francisco_palazon/madre_nuestra.html</v>
      </c>
      <c r="T841" s="1"/>
      <c r="U841" s="1"/>
      <c r="V841" s="32" t="s">
        <v>3605</v>
      </c>
      <c r="W8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href="canciones/francisco_palazon/madre_nuestra.html"&gt;Madre nuestra&lt;/a&gt;&lt;/li&gt;</v>
      </c>
      <c r="X841" s="15" t="str">
        <f>_xlfn.TEXTBEFORE(_xlfn.TEXTAFTER(CantoralDB[[#This Row],[index.html]],"&gt;"),"&gt;")&amp;"&gt;"</f>
        <v>&lt;a href="canciones/francisco_palazon/madre_nuestra.html"&gt;</v>
      </c>
      <c r="Y841"/>
      <c r="Z841" s="1"/>
      <c r="AA841" s="1"/>
      <c r="AB841" s="1"/>
      <c r="AC841" s="1"/>
    </row>
    <row r="842" spans="1:29" x14ac:dyDescent="0.3">
      <c r="A842" s="1">
        <f>ROW(CantoralDB[[#This Row],[Título]])-1</f>
        <v>841</v>
      </c>
      <c r="B842" s="1" t="s">
        <v>496</v>
      </c>
      <c r="C842" s="1"/>
      <c r="H842" s="1" t="s">
        <v>529</v>
      </c>
      <c r="J842" s="1" t="s">
        <v>605</v>
      </c>
      <c r="M842" s="15" t="s">
        <v>480</v>
      </c>
      <c r="N842" s="1" t="s">
        <v>1275</v>
      </c>
      <c r="O842" s="15">
        <v>10</v>
      </c>
      <c r="P842" s="15">
        <v>1979</v>
      </c>
      <c r="Q842" s="15" t="str" cm="1">
        <f t="array" ref="Q8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2" s="15" t="str" cm="1">
        <f t="array" ref="R8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canciones/francisco_palazon/ave_maria.html</v>
      </c>
      <c r="T842" s="1"/>
      <c r="U842" s="1"/>
      <c r="V842" s="32" t="s">
        <v>3606</v>
      </c>
      <c r="W8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href="canciones/francisco_palazon/ave_maria.html"&gt;Ave María&lt;/a&gt;&lt;/li&gt;</v>
      </c>
      <c r="X842" s="15" t="str">
        <f>_xlfn.TEXTBEFORE(_xlfn.TEXTAFTER(CantoralDB[[#This Row],[index.html]],"&gt;"),"&gt;")&amp;"&gt;"</f>
        <v>&lt;a href="canciones/francisco_palazon/ave_maria.html"&gt;</v>
      </c>
      <c r="Y842"/>
      <c r="Z842" s="1"/>
      <c r="AA842" s="1"/>
      <c r="AB842" s="1"/>
      <c r="AC842" s="1"/>
    </row>
    <row r="843" spans="1:29" x14ac:dyDescent="0.3">
      <c r="A843" s="1">
        <f>ROW(CantoralDB[[#This Row],[Título]])-1</f>
        <v>842</v>
      </c>
      <c r="B843" s="1" t="s">
        <v>2038</v>
      </c>
      <c r="C843" s="1"/>
      <c r="H843" s="1" t="s">
        <v>1025</v>
      </c>
      <c r="J843" s="1" t="s">
        <v>605</v>
      </c>
      <c r="M843" s="15" t="s">
        <v>480</v>
      </c>
      <c r="N843" s="1" t="s">
        <v>2904</v>
      </c>
      <c r="O843" s="15">
        <v>1</v>
      </c>
      <c r="P843" s="15">
        <v>2000</v>
      </c>
      <c r="Q843" s="15" t="str" cm="1">
        <f t="array" ref="Q8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3" s="15" t="str" cm="1">
        <f t="array" ref="R8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canciones/francisco_palazon/unidos_por_la_fe_y_el_amor.html</v>
      </c>
      <c r="T843" s="1"/>
      <c r="U843" s="1"/>
      <c r="V843" s="32" t="s">
        <v>3607</v>
      </c>
      <c r="W8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href="canciones/francisco_palazon/unidos_por_la_fe_y_el_amor.html"&gt;Unidos por la fe y el amor&lt;/a&gt;&lt;/li&gt;</v>
      </c>
      <c r="X843" s="15" t="str">
        <f>_xlfn.TEXTBEFORE(_xlfn.TEXTAFTER(CantoralDB[[#This Row],[index.html]],"&gt;"),"&gt;")&amp;"&gt;"</f>
        <v>&lt;a href="canciones/francisco_palazon/unidos_por_la_fe_y_el_amor.html"&gt;</v>
      </c>
      <c r="Y843"/>
      <c r="Z843" s="1"/>
      <c r="AA843" s="1"/>
      <c r="AB843" s="1"/>
      <c r="AC843" s="1"/>
    </row>
    <row r="844" spans="1:29" x14ac:dyDescent="0.3">
      <c r="A844" s="1">
        <f>ROW(CantoralDB[[#This Row],[Título]])-1</f>
        <v>843</v>
      </c>
      <c r="B844" s="1" t="s">
        <v>1579</v>
      </c>
      <c r="C844" s="1"/>
      <c r="H844" s="1" t="s">
        <v>1024</v>
      </c>
      <c r="J844" s="1" t="s">
        <v>605</v>
      </c>
      <c r="M844" s="15" t="s">
        <v>480</v>
      </c>
      <c r="N844" s="1" t="s">
        <v>2904</v>
      </c>
      <c r="O844" s="15">
        <v>2</v>
      </c>
      <c r="P844" s="15">
        <v>2000</v>
      </c>
      <c r="Q844" s="15" t="str" cm="1">
        <f t="array" ref="Q8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4" s="15" t="str" cm="1">
        <f t="array" ref="R8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canciones/francisco_palazon/ten_piedad.html</v>
      </c>
      <c r="T844" s="1"/>
      <c r="U844" s="1"/>
      <c r="V844" s="32" t="s">
        <v>3608</v>
      </c>
      <c r="W8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href="canciones/francisco_palazon/ten_piedad.html"&gt;Ten piedad&lt;/a&gt;&lt;/li&gt;</v>
      </c>
      <c r="X844" s="15" t="str">
        <f>_xlfn.TEXTBEFORE(_xlfn.TEXTAFTER(CantoralDB[[#This Row],[index.html]],"&gt;"),"&gt;")&amp;"&gt;"</f>
        <v>&lt;a href="canciones/francisco_palazon/ten_piedad.html"&gt;</v>
      </c>
      <c r="Y844"/>
      <c r="Z844" s="1"/>
      <c r="AA844" s="1"/>
      <c r="AB844" s="1"/>
      <c r="AC844" s="1"/>
    </row>
    <row r="845" spans="1:29" x14ac:dyDescent="0.3">
      <c r="A845" s="1">
        <f>ROW(CantoralDB[[#This Row],[Título]])-1</f>
        <v>844</v>
      </c>
      <c r="B845" s="1" t="s">
        <v>2905</v>
      </c>
      <c r="C845" s="1"/>
      <c r="H845" s="1" t="s">
        <v>1024</v>
      </c>
      <c r="J845" s="1" t="s">
        <v>605</v>
      </c>
      <c r="M845" s="15" t="s">
        <v>480</v>
      </c>
      <c r="N845" s="1" t="s">
        <v>2904</v>
      </c>
      <c r="O845" s="15">
        <v>3</v>
      </c>
      <c r="P845" s="15">
        <v>2000</v>
      </c>
      <c r="Q845" s="15" t="str" cm="1">
        <f t="array" ref="Q8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5" s="15" t="str" cm="1">
        <f t="array" ref="R8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canciones/francisco_palazon/gloria_(misa_coral_en_re).html</v>
      </c>
      <c r="T845" s="1"/>
      <c r="U845" s="1"/>
      <c r="V845" s="32" t="s">
        <v>3609</v>
      </c>
      <c r="W8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href="canciones/francisco_palazon/gloria_(misa_coral_en_re).html"&gt;Gloria (misa coral en Re)&lt;/a&gt;&lt;/li&gt;</v>
      </c>
      <c r="X845" s="15" t="str">
        <f>_xlfn.TEXTBEFORE(_xlfn.TEXTAFTER(CantoralDB[[#This Row],[index.html]],"&gt;"),"&gt;")&amp;"&gt;"</f>
        <v>&lt;a href="canciones/francisco_palazon/gloria_(misa_coral_en_re).html"&gt;</v>
      </c>
      <c r="Y845"/>
      <c r="Z845" s="1"/>
      <c r="AA845" s="1"/>
      <c r="AB845" s="1"/>
      <c r="AC845" s="1"/>
    </row>
    <row r="846" spans="1:29" x14ac:dyDescent="0.3">
      <c r="A846" s="1">
        <f>ROW(CantoralDB[[#This Row],[Título]])-1</f>
        <v>845</v>
      </c>
      <c r="B846" s="1" t="s">
        <v>2906</v>
      </c>
      <c r="C846" s="1"/>
      <c r="H846" s="1" t="s">
        <v>1027</v>
      </c>
      <c r="J846" s="1" t="s">
        <v>605</v>
      </c>
      <c r="M846" s="15" t="s">
        <v>480</v>
      </c>
      <c r="N846" s="1" t="s">
        <v>2904</v>
      </c>
      <c r="O846" s="15">
        <v>4</v>
      </c>
      <c r="P846" s="15">
        <v>2000</v>
      </c>
      <c r="Q846" s="15" t="str" cm="1">
        <f t="array" ref="Q8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6" s="15" t="str" cm="1">
        <f t="array" ref="R8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canciones/francisco_palazon/aleluya_(misa_coral_en_re).html</v>
      </c>
      <c r="T846" s="1"/>
      <c r="U846" s="1"/>
      <c r="V846" s="32" t="s">
        <v>3610</v>
      </c>
      <c r="W8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href="canciones/francisco_palazon/aleluya_(misa_coral_en_re).html"&gt;Aleluya (misa coral en Re)&lt;/a&gt;&lt;/li&gt;</v>
      </c>
      <c r="X846" s="15" t="str">
        <f>_xlfn.TEXTBEFORE(_xlfn.TEXTAFTER(CantoralDB[[#This Row],[index.html]],"&gt;"),"&gt;")&amp;"&gt;"</f>
        <v>&lt;a href="canciones/francisco_palazon/aleluya_(misa_coral_en_re).html"&gt;</v>
      </c>
      <c r="Y846"/>
      <c r="Z846" s="1"/>
      <c r="AA846" s="1"/>
      <c r="AB846" s="1"/>
      <c r="AC846" s="1"/>
    </row>
    <row r="847" spans="1:29" x14ac:dyDescent="0.3">
      <c r="A847" s="1">
        <f>ROW(CantoralDB[[#This Row],[Título]])-1</f>
        <v>846</v>
      </c>
      <c r="B847" s="1" t="s">
        <v>2907</v>
      </c>
      <c r="C847" s="1"/>
      <c r="H847" s="1" t="s">
        <v>1024</v>
      </c>
      <c r="J847" s="1" t="s">
        <v>605</v>
      </c>
      <c r="M847" s="15" t="s">
        <v>480</v>
      </c>
      <c r="N847" s="1" t="s">
        <v>2904</v>
      </c>
      <c r="O847" s="15">
        <v>5</v>
      </c>
      <c r="P847" s="15">
        <v>2000</v>
      </c>
      <c r="Q847" s="15" t="str" cm="1">
        <f t="array" ref="Q8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7" s="15" t="str" cm="1">
        <f t="array" ref="R8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canciones/francisco_palazon/santo_(misa_coral_en_re).html</v>
      </c>
      <c r="T847" s="1"/>
      <c r="U847" s="1"/>
      <c r="V847" s="32" t="s">
        <v>3611</v>
      </c>
      <c r="W8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href="canciones/francisco_palazon/santo_(misa_coral_en_re).html"&gt;Santo (misa coral en Re)&lt;/a&gt;&lt;/li&gt;</v>
      </c>
      <c r="X847" s="15" t="str">
        <f>_xlfn.TEXTBEFORE(_xlfn.TEXTAFTER(CantoralDB[[#This Row],[index.html]],"&gt;"),"&gt;")&amp;"&gt;"</f>
        <v>&lt;a href="canciones/francisco_palazon/santo_(misa_coral_en_re).html"&gt;</v>
      </c>
      <c r="Y847"/>
      <c r="Z847" s="1"/>
      <c r="AA847" s="1"/>
      <c r="AB847" s="1"/>
      <c r="AC847" s="1"/>
    </row>
    <row r="848" spans="1:29" x14ac:dyDescent="0.3">
      <c r="A848" s="1">
        <f>ROW(CantoralDB[[#This Row],[Título]])-1</f>
        <v>847</v>
      </c>
      <c r="B848" s="1" t="s">
        <v>2908</v>
      </c>
      <c r="C848" s="1"/>
      <c r="H848" s="1" t="s">
        <v>1024</v>
      </c>
      <c r="J848" s="1" t="s">
        <v>605</v>
      </c>
      <c r="M848" s="15" t="s">
        <v>480</v>
      </c>
      <c r="N848" s="1" t="s">
        <v>2904</v>
      </c>
      <c r="O848" s="15">
        <v>6</v>
      </c>
      <c r="P848" s="15">
        <v>2000</v>
      </c>
      <c r="Q848" s="15" t="str" cm="1">
        <f t="array" ref="Q8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8" s="15" t="str" cm="1">
        <f t="array" ref="R8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canciones/francisco_palazon/padre_nuestro_(misa_coral_en_re).html</v>
      </c>
      <c r="T848" s="1"/>
      <c r="U848" s="1"/>
      <c r="V848" s="32" t="s">
        <v>3612</v>
      </c>
      <c r="W8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href="canciones/francisco_palazon/padre_nuestro_(misa_coral_en_re).html"&gt;Padre nuestro (misa coral en Re)&lt;/a&gt;&lt;/li&gt;</v>
      </c>
      <c r="X848" s="15" t="str">
        <f>_xlfn.TEXTBEFORE(_xlfn.TEXTAFTER(CantoralDB[[#This Row],[index.html]],"&gt;"),"&gt;")&amp;"&gt;"</f>
        <v>&lt;a href="canciones/francisco_palazon/padre_nuestro_(misa_coral_en_re).html"&gt;</v>
      </c>
      <c r="Y848"/>
      <c r="Z848" s="1"/>
      <c r="AA848" s="1"/>
      <c r="AB848" s="1"/>
      <c r="AC848" s="1"/>
    </row>
    <row r="849" spans="1:29" x14ac:dyDescent="0.3">
      <c r="A849" s="1">
        <f>ROW(CantoralDB[[#This Row],[Título]])-1</f>
        <v>848</v>
      </c>
      <c r="B849" s="1" t="s">
        <v>2909</v>
      </c>
      <c r="C849" s="1"/>
      <c r="H849" s="1" t="s">
        <v>1024</v>
      </c>
      <c r="J849" s="1" t="s">
        <v>605</v>
      </c>
      <c r="M849" s="15" t="s">
        <v>480</v>
      </c>
      <c r="N849" s="1" t="s">
        <v>2904</v>
      </c>
      <c r="O849" s="15">
        <v>7</v>
      </c>
      <c r="P849" s="15">
        <v>2000</v>
      </c>
      <c r="Q849" s="15" t="str" cm="1">
        <f t="array" ref="Q8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49" s="15" t="str" cm="1">
        <f t="array" ref="R8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canciones/francisco_palazon/cordero_de_dios_(misa_coral_en_re).html</v>
      </c>
      <c r="T849" s="1"/>
      <c r="U849" s="1"/>
      <c r="V849" s="32" t="s">
        <v>3613</v>
      </c>
      <c r="W8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href="canciones/francisco_palazon/cordero_de_dios_(misa_coral_en_re).html"&gt;Cordero de Dios (misa coral en Re)&lt;/a&gt;&lt;/li&gt;</v>
      </c>
      <c r="X849" s="15" t="str">
        <f>_xlfn.TEXTBEFORE(_xlfn.TEXTAFTER(CantoralDB[[#This Row],[index.html]],"&gt;"),"&gt;")&amp;"&gt;"</f>
        <v>&lt;a href="canciones/francisco_palazon/cordero_de_dios_(misa_coral_en_re).html"&gt;</v>
      </c>
      <c r="Y849"/>
      <c r="Z849" s="1"/>
      <c r="AA849" s="1"/>
      <c r="AB849" s="1"/>
      <c r="AC849" s="1"/>
    </row>
    <row r="850" spans="1:29" x14ac:dyDescent="0.3">
      <c r="A850" s="1">
        <f>ROW(CantoralDB[[#This Row],[Título]])-1</f>
        <v>849</v>
      </c>
      <c r="B850" s="1" t="s">
        <v>2067</v>
      </c>
      <c r="C850" s="1"/>
      <c r="H850" s="1" t="s">
        <v>529</v>
      </c>
      <c r="J850" s="1" t="s">
        <v>605</v>
      </c>
      <c r="M850" s="15" t="s">
        <v>480</v>
      </c>
      <c r="N850" s="1" t="s">
        <v>2037</v>
      </c>
      <c r="O850" s="15">
        <v>1</v>
      </c>
      <c r="P850" s="15">
        <v>2007</v>
      </c>
      <c r="Q850" s="15" t="str" cm="1">
        <f t="array" ref="Q8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0" s="15" t="str" cm="1">
        <f t="array" ref="R8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canciones/francisco_palazon/dales_señor_el_descanso_eterno.html</v>
      </c>
      <c r="T850" s="1"/>
      <c r="U850" s="1"/>
      <c r="V850" s="32" t="s">
        <v>3000</v>
      </c>
      <c r="W8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href="canciones/francisco_palazon/dales_señor_el_descanso_eterno.html"&gt;Dales, Señor, el descanso eterno&lt;/a&gt;&lt;/li&gt;</v>
      </c>
      <c r="X850" s="15" t="str">
        <f>_xlfn.TEXTBEFORE(_xlfn.TEXTAFTER(CantoralDB[[#This Row],[index.html]],"&gt;"),"&gt;")&amp;"&gt;"</f>
        <v>&lt;a href="canciones/francisco_palazon/dales_señor_el_descanso_eterno.html"&gt;</v>
      </c>
      <c r="Y850"/>
      <c r="Z850" s="1"/>
      <c r="AA850" s="1"/>
      <c r="AB850" s="1"/>
      <c r="AC850" s="1"/>
    </row>
    <row r="851" spans="1:29" x14ac:dyDescent="0.3">
      <c r="A851" s="1">
        <f>ROW(CantoralDB[[#This Row],[Título]])-1</f>
        <v>850</v>
      </c>
      <c r="B851" s="1" t="s">
        <v>2032</v>
      </c>
      <c r="C851" s="1"/>
      <c r="H851" s="1" t="s">
        <v>1025</v>
      </c>
      <c r="J851" s="1" t="s">
        <v>605</v>
      </c>
      <c r="M851" s="15" t="s">
        <v>480</v>
      </c>
      <c r="N851" s="1" t="s">
        <v>2037</v>
      </c>
      <c r="O851" s="15">
        <v>2</v>
      </c>
      <c r="P851" s="15">
        <v>2007</v>
      </c>
      <c r="Q851" s="15" t="str" cm="1">
        <f t="array" ref="Q8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1" s="15" t="str" cm="1">
        <f t="array" ref="R8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canciones/francisco_palazon/dale_señor.html</v>
      </c>
      <c r="T851" s="1"/>
      <c r="U851" s="1"/>
      <c r="V851" s="32" t="s">
        <v>2999</v>
      </c>
      <c r="W8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href="canciones/francisco_palazon/dale_señor.html"&gt;Dale, Señor&lt;/a&gt;&lt;/li&gt;</v>
      </c>
      <c r="X851" s="15" t="str">
        <f>_xlfn.TEXTBEFORE(_xlfn.TEXTAFTER(CantoralDB[[#This Row],[index.html]],"&gt;"),"&gt;")&amp;"&gt;"</f>
        <v>&lt;a href="canciones/francisco_palazon/dale_señor.html"&gt;</v>
      </c>
      <c r="Y851"/>
      <c r="AB851" s="1"/>
      <c r="AC851" s="1"/>
    </row>
    <row r="852" spans="1:29" x14ac:dyDescent="0.3">
      <c r="A852" s="1">
        <f>ROW(CantoralDB[[#This Row],[Título]])-1</f>
        <v>851</v>
      </c>
      <c r="B852" s="1" t="s">
        <v>2033</v>
      </c>
      <c r="C852" s="1"/>
      <c r="H852" s="1" t="s">
        <v>1025</v>
      </c>
      <c r="J852" s="1" t="s">
        <v>605</v>
      </c>
      <c r="M852" s="15" t="s">
        <v>480</v>
      </c>
      <c r="N852" s="1" t="s">
        <v>2037</v>
      </c>
      <c r="O852" s="15">
        <v>3</v>
      </c>
      <c r="P852" s="15">
        <v>2007</v>
      </c>
      <c r="Q852" s="15" t="str" cm="1">
        <f t="array" ref="Q8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2" s="15" t="str" cm="1">
        <f t="array" ref="R8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canciones/francisco_palazon/dichosos_los_que_mueren_en_el_señor.html</v>
      </c>
      <c r="T852" s="1"/>
      <c r="U852" s="1"/>
      <c r="V852" s="32" t="s">
        <v>3012</v>
      </c>
      <c r="W8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href="canciones/francisco_palazon/dichosos_los_que_mueren_en_el_señor.html"&gt;Dichosos los que mueren en el Señor&lt;/a&gt;&lt;/li&gt;</v>
      </c>
      <c r="X852" s="15" t="str">
        <f>_xlfn.TEXTBEFORE(_xlfn.TEXTAFTER(CantoralDB[[#This Row],[index.html]],"&gt;"),"&gt;")&amp;"&gt;"</f>
        <v>&lt;a href="canciones/francisco_palazon/dichosos_los_que_mueren_en_el_señor.html"&gt;</v>
      </c>
      <c r="Y852"/>
      <c r="AB852" s="1"/>
      <c r="AC852" s="1"/>
    </row>
    <row r="853" spans="1:29" x14ac:dyDescent="0.3">
      <c r="A853" s="1">
        <f>ROW(CantoralDB[[#This Row],[Título]])-1</f>
        <v>852</v>
      </c>
      <c r="B853" s="1" t="s">
        <v>2034</v>
      </c>
      <c r="C853" s="1"/>
      <c r="H853" s="1" t="s">
        <v>472</v>
      </c>
      <c r="J853" s="1" t="s">
        <v>605</v>
      </c>
      <c r="M853" s="15" t="s">
        <v>480</v>
      </c>
      <c r="N853" s="1" t="s">
        <v>2037</v>
      </c>
      <c r="O853" s="15">
        <v>4</v>
      </c>
      <c r="P853" s="15">
        <v>2007</v>
      </c>
      <c r="Q853" s="15" t="str" cm="1">
        <f t="array" ref="Q8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3" s="15" t="str" cm="1">
        <f t="array" ref="R8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canciones/francisco_palazon/kyrie_eleison.html</v>
      </c>
      <c r="T853" s="1"/>
      <c r="U853" s="1"/>
      <c r="V853" s="32" t="s">
        <v>3013</v>
      </c>
      <c r="W8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href="canciones/francisco_palazon/kyrie_eleison.html"&gt;Kyrie eleison&lt;/a&gt;&lt;/li&gt;</v>
      </c>
      <c r="X853" s="15" t="str">
        <f>_xlfn.TEXTBEFORE(_xlfn.TEXTAFTER(CantoralDB[[#This Row],[index.html]],"&gt;"),"&gt;")&amp;"&gt;"</f>
        <v>&lt;a href="canciones/francisco_palazon/kyrie_eleison.html"&gt;</v>
      </c>
      <c r="Y853"/>
      <c r="AB853" s="1"/>
      <c r="AC853" s="1"/>
    </row>
    <row r="854" spans="1:29" x14ac:dyDescent="0.3">
      <c r="A854" s="1">
        <f>ROW(CantoralDB[[#This Row],[Título]])-1</f>
        <v>853</v>
      </c>
      <c r="B854" s="1" t="s">
        <v>2035</v>
      </c>
      <c r="C854" s="1"/>
      <c r="H854" s="1" t="s">
        <v>1025</v>
      </c>
      <c r="J854" s="1" t="s">
        <v>605</v>
      </c>
      <c r="M854" s="15" t="s">
        <v>480</v>
      </c>
      <c r="N854" s="1" t="s">
        <v>2037</v>
      </c>
      <c r="O854" s="15">
        <v>5</v>
      </c>
      <c r="P854" s="15">
        <v>2007</v>
      </c>
      <c r="Q854" s="15" t="str" cm="1">
        <f t="array" ref="Q8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4" s="15" t="str" cm="1">
        <f t="array" ref="R8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canciones/francisco_palazon/te_ofrecemos_señor_sacrificios_y_oblaciones.html</v>
      </c>
      <c r="T854" s="1"/>
      <c r="U854" s="1"/>
      <c r="V854" s="32" t="s">
        <v>3014</v>
      </c>
      <c r="W8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href="canciones/francisco_palazon/te_ofrecemos_señor_sacrificios_y_oblaciones.html"&gt;Te ofrecemos, Señor, sacrificios y oblaciones&lt;/a&gt;&lt;/li&gt;</v>
      </c>
      <c r="X854" s="15" t="str">
        <f>_xlfn.TEXTBEFORE(_xlfn.TEXTAFTER(CantoralDB[[#This Row],[index.html]],"&gt;"),"&gt;")&amp;"&gt;"</f>
        <v>&lt;a href="canciones/francisco_palazon/te_ofrecemos_señor_sacrificios_y_oblaciones.html"&gt;</v>
      </c>
      <c r="Y854"/>
      <c r="AB854" s="1"/>
      <c r="AC854" s="1"/>
    </row>
    <row r="855" spans="1:29" x14ac:dyDescent="0.3">
      <c r="A855" s="1">
        <f>ROW(CantoralDB[[#This Row],[Título]])-1</f>
        <v>854</v>
      </c>
      <c r="B855" s="1" t="s">
        <v>3015</v>
      </c>
      <c r="C855" s="1"/>
      <c r="H855" s="1" t="s">
        <v>472</v>
      </c>
      <c r="J855" s="1" t="s">
        <v>605</v>
      </c>
      <c r="M855" s="15" t="s">
        <v>480</v>
      </c>
      <c r="N855" s="1" t="s">
        <v>2037</v>
      </c>
      <c r="O855" s="15">
        <v>6</v>
      </c>
      <c r="P855" s="15">
        <v>2007</v>
      </c>
      <c r="Q855" s="15" t="str" cm="1">
        <f t="array" ref="Q8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5" s="15" t="str" cm="1">
        <f t="array" ref="R8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canciones/francisco_palazon/santo_(requiem).html</v>
      </c>
      <c r="T855" s="1"/>
      <c r="U855" s="1"/>
      <c r="V855" s="32" t="s">
        <v>3017</v>
      </c>
      <c r="W8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href="canciones/francisco_palazon/santo_(requiem).html"&gt;Santo (Réquiem)&lt;/a&gt;&lt;/li&gt;</v>
      </c>
      <c r="X855" s="15" t="str">
        <f>_xlfn.TEXTBEFORE(_xlfn.TEXTAFTER(CantoralDB[[#This Row],[index.html]],"&gt;"),"&gt;")&amp;"&gt;"</f>
        <v>&lt;a href="canciones/francisco_palazon/santo_(requiem).html"&gt;</v>
      </c>
      <c r="Y855"/>
      <c r="AB855" s="1"/>
      <c r="AC855" s="1"/>
    </row>
    <row r="856" spans="1:29" x14ac:dyDescent="0.3">
      <c r="A856" s="1">
        <f>ROW(CantoralDB[[#This Row],[Título]])-1</f>
        <v>855</v>
      </c>
      <c r="B856" s="1" t="s">
        <v>3016</v>
      </c>
      <c r="C856" s="1"/>
      <c r="H856" s="1" t="s">
        <v>1024</v>
      </c>
      <c r="J856" s="1" t="s">
        <v>605</v>
      </c>
      <c r="M856" s="15" t="s">
        <v>480</v>
      </c>
      <c r="N856" s="1" t="s">
        <v>2037</v>
      </c>
      <c r="O856" s="15">
        <v>7</v>
      </c>
      <c r="P856" s="15">
        <v>2007</v>
      </c>
      <c r="Q856" s="15" t="str" cm="1">
        <f t="array" ref="Q8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6" s="15" t="str" cm="1">
        <f t="array" ref="R8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canciones/francisco_palazon/cordero_de_dios_(requiem).html</v>
      </c>
      <c r="T856" s="1"/>
      <c r="U856" s="1"/>
      <c r="V856" s="32" t="s">
        <v>3018</v>
      </c>
      <c r="W8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href="canciones/francisco_palazon/cordero_de_dios_(requiem).html"&gt;Cordero de Dios (Réquiem)&lt;/a&gt;&lt;/li&gt;</v>
      </c>
      <c r="X856" s="15" t="str">
        <f>_xlfn.TEXTBEFORE(_xlfn.TEXTAFTER(CantoralDB[[#This Row],[index.html]],"&gt;"),"&gt;")&amp;"&gt;"</f>
        <v>&lt;a href="canciones/francisco_palazon/cordero_de_dios_(requiem).html"&gt;</v>
      </c>
      <c r="Y856"/>
      <c r="AB856" s="1"/>
      <c r="AC856" s="1"/>
    </row>
    <row r="857" spans="1:29" x14ac:dyDescent="0.3">
      <c r="A857" s="1">
        <f>ROW(CantoralDB[[#This Row],[Título]])-1</f>
        <v>856</v>
      </c>
      <c r="B857" s="1" t="s">
        <v>3019</v>
      </c>
      <c r="C857" s="1"/>
      <c r="H857" s="1" t="s">
        <v>529</v>
      </c>
      <c r="J857" s="1" t="s">
        <v>605</v>
      </c>
      <c r="M857" s="15" t="s">
        <v>480</v>
      </c>
      <c r="N857" s="1" t="s">
        <v>2037</v>
      </c>
      <c r="O857" s="15">
        <v>8</v>
      </c>
      <c r="P857" s="15">
        <v>2007</v>
      </c>
      <c r="Q857" s="15" t="str" cm="1">
        <f t="array" ref="Q8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7" s="15" t="str" cm="1">
        <f t="array" ref="R8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canciones/francisco_palazon/este_es_el_pan_que_nos_da_jesus.html</v>
      </c>
      <c r="T857" s="1"/>
      <c r="U857" s="1"/>
      <c r="V857" s="32" t="s">
        <v>3020</v>
      </c>
      <c r="W8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href="canciones/francisco_palazon/este_es_el_pan_que_nos_da_jesus.html"&gt;Este es el Pan que nos da Jesús&lt;/a&gt;&lt;/li&gt;</v>
      </c>
      <c r="X857" s="15" t="str">
        <f>_xlfn.TEXTBEFORE(_xlfn.TEXTAFTER(CantoralDB[[#This Row],[index.html]],"&gt;"),"&gt;")&amp;"&gt;"</f>
        <v>&lt;a href="canciones/francisco_palazon/este_es_el_pan_que_nos_da_jesus.html"&gt;</v>
      </c>
      <c r="Y857"/>
      <c r="AB857" s="1"/>
      <c r="AC857" s="1"/>
    </row>
    <row r="858" spans="1:29" x14ac:dyDescent="0.3">
      <c r="A858" s="1">
        <f>ROW(CantoralDB[[#This Row],[Título]])-1</f>
        <v>857</v>
      </c>
      <c r="B858" s="1" t="s">
        <v>3024</v>
      </c>
      <c r="C858" s="1"/>
      <c r="H858" s="1" t="s">
        <v>1025</v>
      </c>
      <c r="J858" s="1" t="s">
        <v>605</v>
      </c>
      <c r="M858" s="15" t="s">
        <v>480</v>
      </c>
      <c r="N858" s="1" t="s">
        <v>2037</v>
      </c>
      <c r="O858" s="15">
        <v>9</v>
      </c>
      <c r="P858" s="15">
        <v>2007</v>
      </c>
      <c r="Q858" s="15" t="str" cm="1">
        <f t="array" ref="Q8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8" s="15" t="str" cm="1">
        <f t="array" ref="R8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canciones/francisco_palazon/al_paraiso_te_lleven_los_angeles.html</v>
      </c>
      <c r="T858" s="1"/>
      <c r="U858" s="1"/>
      <c r="V858" s="32" t="s">
        <v>3023</v>
      </c>
      <c r="W8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href="canciones/francisco_palazon/al_paraiso_te_lleven_los_angeles.html"&gt;Al Paraíso te lleven los ángeles&lt;/a&gt;&lt;/li&gt;</v>
      </c>
      <c r="X858" s="15" t="str">
        <f>_xlfn.TEXTBEFORE(_xlfn.TEXTAFTER(CantoralDB[[#This Row],[index.html]],"&gt;"),"&gt;")&amp;"&gt;"</f>
        <v>&lt;a href="canciones/francisco_palazon/al_paraiso_te_lleven_los_angeles.html"&gt;</v>
      </c>
      <c r="Y858"/>
      <c r="AB858" s="1"/>
      <c r="AC858" s="1"/>
    </row>
    <row r="859" spans="1:29" x14ac:dyDescent="0.3">
      <c r="A859" s="1">
        <f>ROW(CantoralDB[[#This Row],[Título]])-1</f>
        <v>858</v>
      </c>
      <c r="B859" s="1" t="s">
        <v>2036</v>
      </c>
      <c r="C859" s="1"/>
      <c r="H859" s="1" t="s">
        <v>529</v>
      </c>
      <c r="J859" s="1" t="s">
        <v>605</v>
      </c>
      <c r="M859" s="15" t="s">
        <v>480</v>
      </c>
      <c r="N859" s="1" t="s">
        <v>2037</v>
      </c>
      <c r="O859" s="15">
        <v>10</v>
      </c>
      <c r="P859" s="15">
        <v>2007</v>
      </c>
      <c r="Q859" s="15" t="str" cm="1">
        <f t="array" ref="Q8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59" s="15" t="str" cm="1">
        <f t="array" ref="R8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canciones/francisco_palazon/eres_madre_dolorosa.html</v>
      </c>
      <c r="T859" s="1"/>
      <c r="U859" s="1"/>
      <c r="V859" s="32" t="s">
        <v>3025</v>
      </c>
      <c r="W8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href="canciones/francisco_palazon/eres_madre_dolorosa.html"&gt;Eres Madre dolorosa&lt;/a&gt;&lt;/li&gt;</v>
      </c>
      <c r="X859" s="15" t="str">
        <f>_xlfn.TEXTBEFORE(_xlfn.TEXTAFTER(CantoralDB[[#This Row],[index.html]],"&gt;"),"&gt;")&amp;"&gt;"</f>
        <v>&lt;a href="canciones/francisco_palazon/eres_madre_dolorosa.html"&gt;</v>
      </c>
      <c r="Y859"/>
      <c r="AB859" s="1"/>
      <c r="AC859" s="1"/>
    </row>
    <row r="860" spans="1:29" x14ac:dyDescent="0.3">
      <c r="A860" s="1">
        <f>ROW(CantoralDB[[#This Row],[Título]])-1</f>
        <v>859</v>
      </c>
      <c r="B860" s="1" t="s">
        <v>2041</v>
      </c>
      <c r="C860" s="1"/>
      <c r="H860" s="1" t="s">
        <v>1024</v>
      </c>
      <c r="J860" s="1" t="s">
        <v>605</v>
      </c>
      <c r="M860" s="15" t="s">
        <v>480</v>
      </c>
      <c r="N860" s="1" t="s">
        <v>2039</v>
      </c>
      <c r="O860" s="15">
        <v>1</v>
      </c>
      <c r="P860" s="15">
        <v>1973</v>
      </c>
      <c r="Q860" s="15" t="str" cm="1">
        <f t="array" ref="Q8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0" s="15" t="str" cm="1">
        <f t="array" ref="R8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canciones/francisco_palazon/para_que_escuchase_el_viento.html</v>
      </c>
      <c r="T860" s="1"/>
      <c r="U860" s="1"/>
      <c r="V860" s="32" t="s">
        <v>3051</v>
      </c>
      <c r="W8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href="canciones/francisco_palazon/para_que_escuchase_el_viento.html"&gt;Para que escuchase el viento&lt;/a&gt;&lt;/li&gt;</v>
      </c>
      <c r="X860" s="15" t="str">
        <f>_xlfn.TEXTBEFORE(_xlfn.TEXTAFTER(CantoralDB[[#This Row],[index.html]],"&gt;"),"&gt;")&amp;"&gt;"</f>
        <v>&lt;a href="canciones/francisco_palazon/para_que_escuchase_el_viento.html"&gt;</v>
      </c>
      <c r="Y860"/>
      <c r="AB860" s="1"/>
      <c r="AC860" s="1"/>
    </row>
    <row r="861" spans="1:29" x14ac:dyDescent="0.3">
      <c r="A861" s="1">
        <f>ROW(CantoralDB[[#This Row],[Título]])-1</f>
        <v>860</v>
      </c>
      <c r="B861" s="1" t="s">
        <v>2042</v>
      </c>
      <c r="C861" s="1"/>
      <c r="H861" s="1" t="s">
        <v>529</v>
      </c>
      <c r="I861" s="1" t="s">
        <v>2945</v>
      </c>
      <c r="J861" s="1" t="s">
        <v>605</v>
      </c>
      <c r="M861" s="15" t="s">
        <v>480</v>
      </c>
      <c r="N861" s="1" t="s">
        <v>2039</v>
      </c>
      <c r="O861" s="15">
        <v>2</v>
      </c>
      <c r="P861" s="15">
        <v>1973</v>
      </c>
      <c r="Q861" s="15" t="str" cm="1">
        <f t="array" ref="Q8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1" s="15" t="str" cm="1">
        <f t="array" ref="R8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canciones/francisco_palazon/camino_a_jerico.html</v>
      </c>
      <c r="T861" s="1"/>
      <c r="U861" s="1"/>
      <c r="V861" s="32" t="s">
        <v>3052</v>
      </c>
      <c r="W8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href="canciones/francisco_palazon/camino_a_jerico.html"&gt;Camino a Jericó&lt;/a&gt;&lt;/li&gt;</v>
      </c>
      <c r="X861" s="15" t="str">
        <f>_xlfn.TEXTBEFORE(_xlfn.TEXTAFTER(CantoralDB[[#This Row],[index.html]],"&gt;"),"&gt;")&amp;"&gt;"</f>
        <v>&lt;a href="canciones/francisco_palazon/camino_a_jerico.html"&gt;</v>
      </c>
      <c r="Y861"/>
      <c r="AB861" s="1"/>
      <c r="AC861" s="1"/>
    </row>
    <row r="862" spans="1:29" x14ac:dyDescent="0.3">
      <c r="A862" s="1">
        <f>ROW(CantoralDB[[#This Row],[Título]])-1</f>
        <v>861</v>
      </c>
      <c r="B862" s="1" t="s">
        <v>2043</v>
      </c>
      <c r="C862" s="1"/>
      <c r="H862" s="1" t="s">
        <v>1025</v>
      </c>
      <c r="J862" s="1" t="s">
        <v>605</v>
      </c>
      <c r="M862" s="15" t="s">
        <v>480</v>
      </c>
      <c r="N862" s="1" t="s">
        <v>2039</v>
      </c>
      <c r="O862" s="15">
        <v>3</v>
      </c>
      <c r="P862" s="15">
        <v>1973</v>
      </c>
      <c r="Q862" s="15" t="str" cm="1">
        <f t="array" ref="Q8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2" s="15" t="str" cm="1">
        <f t="array" ref="R8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canciones/francisco_palazon/trigo_y_cizaña.html</v>
      </c>
      <c r="T862" s="1"/>
      <c r="U862" s="1"/>
      <c r="V862" s="32" t="s">
        <v>3053</v>
      </c>
      <c r="W8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href="canciones/francisco_palazon/trigo_y_cizaña.html"&gt;Trigo y cizaña&lt;/a&gt;&lt;/li&gt;</v>
      </c>
      <c r="X862" s="15" t="str">
        <f>_xlfn.TEXTBEFORE(_xlfn.TEXTAFTER(CantoralDB[[#This Row],[index.html]],"&gt;"),"&gt;")&amp;"&gt;"</f>
        <v>&lt;a href="canciones/francisco_palazon/trigo_y_cizaña.html"&gt;</v>
      </c>
      <c r="Y862"/>
      <c r="AB862" s="1"/>
      <c r="AC862" s="1"/>
    </row>
    <row r="863" spans="1:29" x14ac:dyDescent="0.3">
      <c r="A863" s="1">
        <f>ROW(CantoralDB[[#This Row],[Título]])-1</f>
        <v>862</v>
      </c>
      <c r="B863" s="1" t="s">
        <v>2044</v>
      </c>
      <c r="C863" s="1"/>
      <c r="H863" s="1" t="s">
        <v>529</v>
      </c>
      <c r="I863" s="1" t="s">
        <v>2947</v>
      </c>
      <c r="J863" s="1" t="s">
        <v>605</v>
      </c>
      <c r="M863" s="15" t="s">
        <v>480</v>
      </c>
      <c r="N863" s="1" t="s">
        <v>2039</v>
      </c>
      <c r="O863" s="15">
        <v>4</v>
      </c>
      <c r="P863" s="15">
        <v>1973</v>
      </c>
      <c r="Q863" s="15" t="str" cm="1">
        <f t="array" ref="Q8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3" s="15" t="str" cm="1">
        <f t="array" ref="R8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canciones/francisco_palazon/administradores_del_amor.html</v>
      </c>
      <c r="T863" s="1"/>
      <c r="U863" s="1"/>
      <c r="V863" s="32" t="s">
        <v>3054</v>
      </c>
      <c r="W8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href="canciones/francisco_palazon/administradores_del_amor.html"&gt;Administradores del amor&lt;/a&gt;&lt;/li&gt;</v>
      </c>
      <c r="X863" s="15" t="str">
        <f>_xlfn.TEXTBEFORE(_xlfn.TEXTAFTER(CantoralDB[[#This Row],[index.html]],"&gt;"),"&gt;")&amp;"&gt;"</f>
        <v>&lt;a href="canciones/francisco_palazon/administradores_del_amor.html"&gt;</v>
      </c>
      <c r="Y863"/>
      <c r="AB863" s="1"/>
      <c r="AC863" s="1"/>
    </row>
    <row r="864" spans="1:29" x14ac:dyDescent="0.3">
      <c r="A864" s="1">
        <f>ROW(CantoralDB[[#This Row],[Título]])-1</f>
        <v>863</v>
      </c>
      <c r="B864" s="1" t="s">
        <v>2045</v>
      </c>
      <c r="C864" s="1"/>
      <c r="H864" s="1" t="s">
        <v>1027</v>
      </c>
      <c r="J864" s="1" t="s">
        <v>605</v>
      </c>
      <c r="M864" s="15" t="s">
        <v>480</v>
      </c>
      <c r="N864" s="1" t="s">
        <v>2039</v>
      </c>
      <c r="O864" s="15">
        <v>5</v>
      </c>
      <c r="P864" s="15">
        <v>1973</v>
      </c>
      <c r="Q864" s="15" t="str" cm="1">
        <f t="array" ref="Q8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4" s="15" t="str" cm="1">
        <f t="array" ref="R8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canciones/francisco_palazon/la_oveja_negra.html</v>
      </c>
      <c r="T864" s="1"/>
      <c r="U864" s="1"/>
      <c r="V864" s="32" t="s">
        <v>3055</v>
      </c>
      <c r="W8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href="canciones/francisco_palazon/la_oveja_negra.html"&gt;La oveja negra&lt;/a&gt;&lt;/li&gt;</v>
      </c>
      <c r="X864" s="15" t="str">
        <f>_xlfn.TEXTBEFORE(_xlfn.TEXTAFTER(CantoralDB[[#This Row],[index.html]],"&gt;"),"&gt;")&amp;"&gt;"</f>
        <v>&lt;a href="canciones/francisco_palazon/la_oveja_negra.html"&gt;</v>
      </c>
      <c r="Y864"/>
      <c r="AB864" s="1"/>
      <c r="AC864" s="1"/>
    </row>
    <row r="865" spans="1:29" x14ac:dyDescent="0.3">
      <c r="A865" s="1">
        <f>ROW(CantoralDB[[#This Row],[Título]])-1</f>
        <v>864</v>
      </c>
      <c r="B865" s="1" t="s">
        <v>2046</v>
      </c>
      <c r="C865" s="1"/>
      <c r="H865" s="1" t="s">
        <v>1024</v>
      </c>
      <c r="J865" s="1" t="s">
        <v>605</v>
      </c>
      <c r="M865" s="15" t="s">
        <v>480</v>
      </c>
      <c r="N865" s="1" t="s">
        <v>2039</v>
      </c>
      <c r="O865" s="15">
        <v>6</v>
      </c>
      <c r="P865" s="15">
        <v>1973</v>
      </c>
      <c r="Q865" s="15" t="str" cm="1">
        <f t="array" ref="Q8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5" s="15" t="str" cm="1">
        <f t="array" ref="R8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canciones/francisco_palazon/noche_y_dia_en_altamar.html</v>
      </c>
      <c r="T865" s="1"/>
      <c r="U865" s="1"/>
      <c r="V865" s="32" t="s">
        <v>3056</v>
      </c>
      <c r="W8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href="canciones/francisco_palazon/noche_y_dia_en_altamar.html"&gt;Noche y día en altamar&lt;/a&gt;&lt;/li&gt;</v>
      </c>
      <c r="X865" s="15" t="str">
        <f>_xlfn.TEXTBEFORE(_xlfn.TEXTAFTER(CantoralDB[[#This Row],[index.html]],"&gt;"),"&gt;")&amp;"&gt;"</f>
        <v>&lt;a href="canciones/francisco_palazon/noche_y_dia_en_altamar.html"&gt;</v>
      </c>
      <c r="Y865"/>
      <c r="AB865" s="1"/>
      <c r="AC865" s="1"/>
    </row>
    <row r="866" spans="1:29" x14ac:dyDescent="0.3">
      <c r="A866" s="1">
        <f>ROW(CantoralDB[[#This Row],[Título]])-1</f>
        <v>865</v>
      </c>
      <c r="B866" s="1" t="s">
        <v>2047</v>
      </c>
      <c r="C866" s="1"/>
      <c r="E866" s="1">
        <v>91</v>
      </c>
      <c r="H866" s="1" t="s">
        <v>1027</v>
      </c>
      <c r="I866" s="1" t="s">
        <v>2947</v>
      </c>
      <c r="J866" s="1" t="s">
        <v>605</v>
      </c>
      <c r="M866" s="15" t="s">
        <v>480</v>
      </c>
      <c r="N866" s="1" t="s">
        <v>2039</v>
      </c>
      <c r="O866" s="15">
        <v>7</v>
      </c>
      <c r="P866" s="15">
        <v>1973</v>
      </c>
      <c r="Q866" s="15" t="str" cm="1">
        <f t="array" ref="Q8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6" s="15" t="str" cm="1">
        <f t="array" ref="R8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canciones/francisco_palazon/a_quien_se_parece.html</v>
      </c>
      <c r="T866" s="1"/>
      <c r="U866" s="1"/>
      <c r="V866" s="32" t="s">
        <v>3057</v>
      </c>
      <c r="W8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data-nold="91"&gt;&lt;a href="canciones/francisco_palazon/a_quien_se_parece.html"&gt;A quién se parece&lt;/a&gt;&lt;/li&gt;</v>
      </c>
      <c r="X866" s="15" t="str">
        <f>_xlfn.TEXTBEFORE(_xlfn.TEXTAFTER(CantoralDB[[#This Row],[index.html]],"&gt;"),"&gt;")&amp;"&gt;"</f>
        <v>&lt;a href="canciones/francisco_palazon/a_quien_se_parece.html"&gt;</v>
      </c>
      <c r="Y866"/>
      <c r="AB866" s="1"/>
      <c r="AC866" s="1"/>
    </row>
    <row r="867" spans="1:29" x14ac:dyDescent="0.3">
      <c r="A867" s="1">
        <f>ROW(CantoralDB[[#This Row],[Título]])-1</f>
        <v>866</v>
      </c>
      <c r="B867" s="1" t="s">
        <v>2048</v>
      </c>
      <c r="C867" s="1"/>
      <c r="H867" s="1" t="s">
        <v>529</v>
      </c>
      <c r="I867" s="1" t="s">
        <v>2949</v>
      </c>
      <c r="J867" s="1" t="s">
        <v>605</v>
      </c>
      <c r="M867" s="15" t="s">
        <v>480</v>
      </c>
      <c r="N867" s="1" t="s">
        <v>2039</v>
      </c>
      <c r="O867" s="15">
        <v>8</v>
      </c>
      <c r="P867" s="15">
        <v>1973</v>
      </c>
      <c r="Q867" s="15" t="str" cm="1">
        <f t="array" ref="Q8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7" s="15" t="str" cm="1">
        <f t="array" ref="R8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canciones/francisco_palazon/un_hombre_una_tierra.html</v>
      </c>
      <c r="T867" s="1"/>
      <c r="U867" s="1"/>
      <c r="V867" s="32" t="s">
        <v>3058</v>
      </c>
      <c r="W8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href="canciones/francisco_palazon/un_hombre_una_tierra.html"&gt;Un hombre, una tierra&lt;/a&gt;&lt;/li&gt;</v>
      </c>
      <c r="X867" s="15" t="str">
        <f>_xlfn.TEXTBEFORE(_xlfn.TEXTAFTER(CantoralDB[[#This Row],[index.html]],"&gt;"),"&gt;")&amp;"&gt;"</f>
        <v>&lt;a href="canciones/francisco_palazon/un_hombre_una_tierra.html"&gt;</v>
      </c>
      <c r="Y867"/>
      <c r="AB867" s="1"/>
      <c r="AC867" s="1"/>
    </row>
    <row r="868" spans="1:29" x14ac:dyDescent="0.3">
      <c r="A868" s="1">
        <f>ROW(CantoralDB[[#This Row],[Título]])-1</f>
        <v>867</v>
      </c>
      <c r="B868" s="1" t="s">
        <v>2049</v>
      </c>
      <c r="C868" s="1"/>
      <c r="H868" s="1" t="s">
        <v>529</v>
      </c>
      <c r="J868" s="1" t="s">
        <v>605</v>
      </c>
      <c r="M868" s="15" t="s">
        <v>480</v>
      </c>
      <c r="N868" s="1" t="s">
        <v>2039</v>
      </c>
      <c r="O868" s="15">
        <v>9</v>
      </c>
      <c r="P868" s="15">
        <v>1973</v>
      </c>
      <c r="Q868" s="15" t="str" cm="1">
        <f t="array" ref="Q8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8" s="15" t="str" cm="1">
        <f t="array" ref="R8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canciones/francisco_palazon/de_par_en_par.html</v>
      </c>
      <c r="T868" s="1"/>
      <c r="U868" s="1"/>
      <c r="V868" s="32" t="s">
        <v>3059</v>
      </c>
      <c r="W8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href="canciones/francisco_palazon/de_par_en_par.html"&gt;De par en par&lt;/a&gt;&lt;/li&gt;</v>
      </c>
      <c r="X868" s="15" t="str">
        <f>_xlfn.TEXTBEFORE(_xlfn.TEXTAFTER(CantoralDB[[#This Row],[index.html]],"&gt;"),"&gt;")&amp;"&gt;"</f>
        <v>&lt;a href="canciones/francisco_palazon/de_par_en_par.html"&gt;</v>
      </c>
      <c r="Y868"/>
      <c r="AB868" s="1"/>
      <c r="AC868" s="1"/>
    </row>
    <row r="869" spans="1:29" x14ac:dyDescent="0.3">
      <c r="A869" s="1">
        <f>ROW(CantoralDB[[#This Row],[Título]])-1</f>
        <v>868</v>
      </c>
      <c r="B869" s="1" t="s">
        <v>2050</v>
      </c>
      <c r="C869" s="1"/>
      <c r="H869" s="1" t="s">
        <v>1027</v>
      </c>
      <c r="I869" s="1" t="s">
        <v>2947</v>
      </c>
      <c r="J869" s="1" t="s">
        <v>605</v>
      </c>
      <c r="M869" s="15" t="s">
        <v>480</v>
      </c>
      <c r="N869" s="1" t="s">
        <v>2039</v>
      </c>
      <c r="O869" s="15">
        <v>10</v>
      </c>
      <c r="P869" s="15">
        <v>1973</v>
      </c>
      <c r="Q869" s="15" t="str" cm="1">
        <f t="array" ref="Q8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69" s="15" t="str" cm="1">
        <f t="array" ref="R8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canciones/francisco_palazon/el_hijo_prodigo.html</v>
      </c>
      <c r="T869" s="1"/>
      <c r="U869" s="1"/>
      <c r="V869" s="32" t="s">
        <v>3060</v>
      </c>
      <c r="W8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href="canciones/francisco_palazon/el_hijo_prodigo.html"&gt;El hijo pródigo&lt;/a&gt;&lt;/li&gt;</v>
      </c>
      <c r="X869" s="15" t="str">
        <f>_xlfn.TEXTBEFORE(_xlfn.TEXTAFTER(CantoralDB[[#This Row],[index.html]],"&gt;"),"&gt;")&amp;"&gt;"</f>
        <v>&lt;a href="canciones/francisco_palazon/el_hijo_prodigo.html"&gt;</v>
      </c>
      <c r="Y869"/>
      <c r="AB869" s="1"/>
      <c r="AC869" s="1"/>
    </row>
    <row r="870" spans="1:29" x14ac:dyDescent="0.3">
      <c r="A870" s="1">
        <f>ROW(CantoralDB[[#This Row],[Título]])-1</f>
        <v>869</v>
      </c>
      <c r="B870" s="1" t="s">
        <v>2051</v>
      </c>
      <c r="C870" s="1"/>
      <c r="H870" s="1" t="s">
        <v>529</v>
      </c>
      <c r="J870" s="1" t="s">
        <v>605</v>
      </c>
      <c r="M870" s="15" t="s">
        <v>480</v>
      </c>
      <c r="N870" s="1" t="s">
        <v>2040</v>
      </c>
      <c r="O870" s="15">
        <v>1</v>
      </c>
      <c r="P870" s="15">
        <v>1975</v>
      </c>
      <c r="Q870" s="15" t="str" cm="1">
        <f t="array" ref="Q8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0" s="15" t="str" cm="1">
        <f t="array" ref="R8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canciones/francisco_palazon/en_la_plaza_de_un_pueblo.html</v>
      </c>
      <c r="T870" s="1"/>
      <c r="U870" s="1"/>
      <c r="V870" s="32" t="s">
        <v>3041</v>
      </c>
      <c r="W8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href="canciones/francisco_palazon/en_la_plaza_de_un_pueblo.html"&gt;En la plaza de un pueblo&lt;/a&gt;&lt;/li&gt;</v>
      </c>
      <c r="X870" s="15" t="str">
        <f>_xlfn.TEXTBEFORE(_xlfn.TEXTAFTER(CantoralDB[[#This Row],[index.html]],"&gt;"),"&gt;")&amp;"&gt;"</f>
        <v>&lt;a href="canciones/francisco_palazon/en_la_plaza_de_un_pueblo.html"&gt;</v>
      </c>
      <c r="Y870"/>
      <c r="AB870" s="1"/>
      <c r="AC870" s="1"/>
    </row>
    <row r="871" spans="1:29" x14ac:dyDescent="0.3">
      <c r="A871" s="1">
        <f>ROW(CantoralDB[[#This Row],[Título]])-1</f>
        <v>870</v>
      </c>
      <c r="B871" s="1" t="s">
        <v>2052</v>
      </c>
      <c r="C871" s="1"/>
      <c r="H871" s="1" t="s">
        <v>1024</v>
      </c>
      <c r="J871" s="1" t="s">
        <v>605</v>
      </c>
      <c r="M871" s="15" t="s">
        <v>480</v>
      </c>
      <c r="N871" s="1" t="s">
        <v>2040</v>
      </c>
      <c r="O871" s="15">
        <v>2</v>
      </c>
      <c r="P871" s="15">
        <v>1975</v>
      </c>
      <c r="Q871" s="15" t="str" cm="1">
        <f t="array" ref="Q8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1" s="15" t="str" cm="1">
        <f t="array" ref="R8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canciones/francisco_palazon/fariseo_y_publicano.html</v>
      </c>
      <c r="T871" s="1"/>
      <c r="U871" s="1"/>
      <c r="V871" s="32" t="s">
        <v>3042</v>
      </c>
      <c r="W8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href="canciones/francisco_palazon/fariseo_y_publicano.html"&gt;Fariseo y publicano&lt;/a&gt;&lt;/li&gt;</v>
      </c>
      <c r="X871" s="15" t="str">
        <f>_xlfn.TEXTBEFORE(_xlfn.TEXTAFTER(CantoralDB[[#This Row],[index.html]],"&gt;"),"&gt;")&amp;"&gt;"</f>
        <v>&lt;a href="canciones/francisco_palazon/fariseo_y_publicano.html"&gt;</v>
      </c>
      <c r="Y871"/>
      <c r="AB871" s="1"/>
      <c r="AC871" s="1"/>
    </row>
    <row r="872" spans="1:29" x14ac:dyDescent="0.3">
      <c r="A872" s="1">
        <f>ROW(CantoralDB[[#This Row],[Título]])-1</f>
        <v>871</v>
      </c>
      <c r="B872" s="1" t="s">
        <v>2053</v>
      </c>
      <c r="C872" s="1"/>
      <c r="H872" s="1" t="s">
        <v>529</v>
      </c>
      <c r="J872" s="1" t="s">
        <v>605</v>
      </c>
      <c r="M872" s="15" t="s">
        <v>480</v>
      </c>
      <c r="N872" s="1" t="s">
        <v>2040</v>
      </c>
      <c r="O872" s="15">
        <v>3</v>
      </c>
      <c r="P872" s="15">
        <v>1975</v>
      </c>
      <c r="Q872" s="15" t="str" cm="1">
        <f t="array" ref="Q8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2" s="15" t="str" cm="1">
        <f t="array" ref="R8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canciones/francisco_palazon/de_cosas_sencillas.html</v>
      </c>
      <c r="T872" s="1"/>
      <c r="U872" s="1"/>
      <c r="V872" s="32" t="s">
        <v>3043</v>
      </c>
      <c r="W8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href="canciones/francisco_palazon/de_cosas_sencillas.html"&gt;De cosas sencillas&lt;/a&gt;&lt;/li&gt;</v>
      </c>
      <c r="X872" s="15" t="str">
        <f>_xlfn.TEXTBEFORE(_xlfn.TEXTAFTER(CantoralDB[[#This Row],[index.html]],"&gt;"),"&gt;")&amp;"&gt;"</f>
        <v>&lt;a href="canciones/francisco_palazon/de_cosas_sencillas.html"&gt;</v>
      </c>
      <c r="Y872"/>
      <c r="AB872" s="1"/>
      <c r="AC872" s="1"/>
    </row>
    <row r="873" spans="1:29" x14ac:dyDescent="0.3">
      <c r="A873" s="1">
        <f>ROW(CantoralDB[[#This Row],[Título]])-1</f>
        <v>872</v>
      </c>
      <c r="B873" s="1" t="s">
        <v>2054</v>
      </c>
      <c r="C873" s="1"/>
      <c r="H873" s="1" t="s">
        <v>1027</v>
      </c>
      <c r="J873" s="1" t="s">
        <v>605</v>
      </c>
      <c r="M873" s="15" t="s">
        <v>480</v>
      </c>
      <c r="N873" s="1" t="s">
        <v>2040</v>
      </c>
      <c r="O873" s="15">
        <v>4</v>
      </c>
      <c r="P873" s="15">
        <v>1975</v>
      </c>
      <c r="Q873" s="15" t="str" cm="1">
        <f t="array" ref="Q8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3" s="15" t="str" cm="1">
        <f t="array" ref="R8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canciones/francisco_palazon/y_ciegos_son_los_hombres.html</v>
      </c>
      <c r="T873" s="1"/>
      <c r="U873" s="1"/>
      <c r="V873" s="32" t="s">
        <v>3044</v>
      </c>
      <c r="W8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href="canciones/francisco_palazon/y_ciegos_son_los_hombres.html"&gt;Y ciegos son los hombres&lt;/a&gt;&lt;/li&gt;</v>
      </c>
      <c r="X873" s="15" t="str">
        <f>_xlfn.TEXTBEFORE(_xlfn.TEXTAFTER(CantoralDB[[#This Row],[index.html]],"&gt;"),"&gt;")&amp;"&gt;"</f>
        <v>&lt;a href="canciones/francisco_palazon/y_ciegos_son_los_hombres.html"&gt;</v>
      </c>
      <c r="Y873"/>
      <c r="AB873" s="1"/>
      <c r="AC873" s="1"/>
    </row>
    <row r="874" spans="1:29" x14ac:dyDescent="0.3">
      <c r="A874" s="1">
        <f>ROW(CantoralDB[[#This Row],[Título]])-1</f>
        <v>873</v>
      </c>
      <c r="B874" s="1" t="s">
        <v>2055</v>
      </c>
      <c r="C874" s="1"/>
      <c r="H874" s="1" t="s">
        <v>1024</v>
      </c>
      <c r="J874" s="1" t="s">
        <v>605</v>
      </c>
      <c r="M874" s="15" t="s">
        <v>480</v>
      </c>
      <c r="N874" s="1" t="s">
        <v>2040</v>
      </c>
      <c r="O874" s="15">
        <v>5</v>
      </c>
      <c r="P874" s="15">
        <v>1975</v>
      </c>
      <c r="Q874" s="15" t="str" cm="1">
        <f t="array" ref="Q8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4" s="15" t="str" cm="1">
        <f t="array" ref="R8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canciones/francisco_palazon/en_la_viña_del_señor.html</v>
      </c>
      <c r="T874" s="1"/>
      <c r="U874" s="1"/>
      <c r="V874" s="32" t="s">
        <v>3045</v>
      </c>
      <c r="W8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href="canciones/francisco_palazon/en_la_viña_del_señor.html"&gt;En la viña del Señor&lt;/a&gt;&lt;/li&gt;</v>
      </c>
      <c r="X874" s="15" t="str">
        <f>_xlfn.TEXTBEFORE(_xlfn.TEXTAFTER(CantoralDB[[#This Row],[index.html]],"&gt;"),"&gt;")&amp;"&gt;"</f>
        <v>&lt;a href="canciones/francisco_palazon/en_la_viña_del_señor.html"&gt;</v>
      </c>
      <c r="Y874"/>
      <c r="AB874" s="1"/>
      <c r="AC874" s="1"/>
    </row>
    <row r="875" spans="1:29" x14ac:dyDescent="0.3">
      <c r="A875" s="1">
        <f>ROW(CantoralDB[[#This Row],[Título]])-1</f>
        <v>874</v>
      </c>
      <c r="B875" s="1" t="s">
        <v>2056</v>
      </c>
      <c r="C875" s="1"/>
      <c r="H875" s="1" t="s">
        <v>1027</v>
      </c>
      <c r="J875" s="1" t="s">
        <v>605</v>
      </c>
      <c r="M875" s="15" t="s">
        <v>480</v>
      </c>
      <c r="N875" s="1" t="s">
        <v>2040</v>
      </c>
      <c r="O875" s="15">
        <v>6</v>
      </c>
      <c r="P875" s="15">
        <v>1975</v>
      </c>
      <c r="Q875" s="15" t="str" cm="1">
        <f t="array" ref="Q8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5" s="15" t="str" cm="1">
        <f t="array" ref="R8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canciones/francisco_palazon/invitacion.html</v>
      </c>
      <c r="T875" s="1"/>
      <c r="U875" s="1"/>
      <c r="V875" s="32" t="s">
        <v>3046</v>
      </c>
      <c r="W8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href="canciones/francisco_palazon/invitacion.html"&gt;Invitación&lt;/a&gt;&lt;/li&gt;</v>
      </c>
      <c r="X875" s="15" t="str">
        <f>_xlfn.TEXTBEFORE(_xlfn.TEXTAFTER(CantoralDB[[#This Row],[index.html]],"&gt;"),"&gt;")&amp;"&gt;"</f>
        <v>&lt;a href="canciones/francisco_palazon/invitacion.html"&gt;</v>
      </c>
      <c r="Y875"/>
      <c r="AB875" s="1"/>
      <c r="AC875" s="1"/>
    </row>
    <row r="876" spans="1:29" x14ac:dyDescent="0.3">
      <c r="A876" s="1">
        <f>ROW(CantoralDB[[#This Row],[Título]])-1</f>
        <v>875</v>
      </c>
      <c r="B876" s="1" t="s">
        <v>2057</v>
      </c>
      <c r="C876" s="1"/>
      <c r="H876" s="1" t="s">
        <v>2954</v>
      </c>
      <c r="J876" s="1" t="s">
        <v>605</v>
      </c>
      <c r="M876" s="15" t="s">
        <v>480</v>
      </c>
      <c r="N876" s="1" t="s">
        <v>2040</v>
      </c>
      <c r="O876" s="15">
        <v>7</v>
      </c>
      <c r="P876" s="15">
        <v>1975</v>
      </c>
      <c r="Q876" s="15" t="str" cm="1">
        <f t="array" ref="Q8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6" s="15" t="str" cm="1">
        <f t="array" ref="R8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canciones/francisco_palazon/dos_señores.html</v>
      </c>
      <c r="T876" s="1"/>
      <c r="U876" s="1"/>
      <c r="V876" s="32" t="s">
        <v>3047</v>
      </c>
      <c r="W8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href="canciones/francisco_palazon/dos_señores.html"&gt;Dos señores&lt;/a&gt;&lt;/li&gt;</v>
      </c>
      <c r="X876" s="15" t="str">
        <f>_xlfn.TEXTBEFORE(_xlfn.TEXTAFTER(CantoralDB[[#This Row],[index.html]],"&gt;"),"&gt;")&amp;"&gt;"</f>
        <v>&lt;a href="canciones/francisco_palazon/dos_señores.html"&gt;</v>
      </c>
      <c r="Y876"/>
      <c r="AB876" s="1"/>
      <c r="AC876" s="1"/>
    </row>
    <row r="877" spans="1:29" x14ac:dyDescent="0.3">
      <c r="A877" s="1">
        <f>ROW(CantoralDB[[#This Row],[Título]])-1</f>
        <v>876</v>
      </c>
      <c r="B877" s="1" t="s">
        <v>2058</v>
      </c>
      <c r="C877" s="1"/>
      <c r="H877" s="1" t="s">
        <v>2954</v>
      </c>
      <c r="J877" s="1" t="s">
        <v>605</v>
      </c>
      <c r="M877" s="15" t="s">
        <v>480</v>
      </c>
      <c r="N877" s="1" t="s">
        <v>2040</v>
      </c>
      <c r="O877" s="15">
        <v>8</v>
      </c>
      <c r="P877" s="15">
        <v>1975</v>
      </c>
      <c r="Q877" s="15" t="str" cm="1">
        <f t="array" ref="Q8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7" s="15" t="str" cm="1">
        <f t="array" ref="R8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canciones/francisco_palazon/buen_pastor.html</v>
      </c>
      <c r="T877" s="1"/>
      <c r="U877" s="1"/>
      <c r="V877" s="32" t="s">
        <v>3048</v>
      </c>
      <c r="W8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href="canciones/francisco_palazon/buen_pastor.html"&gt;Buen pastor&lt;/a&gt;&lt;/li&gt;</v>
      </c>
      <c r="X877" s="15" t="str">
        <f>_xlfn.TEXTBEFORE(_xlfn.TEXTAFTER(CantoralDB[[#This Row],[index.html]],"&gt;"),"&gt;")&amp;"&gt;"</f>
        <v>&lt;a href="canciones/francisco_palazon/buen_pastor.html"&gt;</v>
      </c>
      <c r="Y877"/>
      <c r="AB877" s="1"/>
      <c r="AC877" s="1"/>
    </row>
    <row r="878" spans="1:29" x14ac:dyDescent="0.3">
      <c r="A878" s="1">
        <f>ROW(CantoralDB[[#This Row],[Título]])-1</f>
        <v>877</v>
      </c>
      <c r="B878" s="1" t="s">
        <v>2059</v>
      </c>
      <c r="C878" s="1"/>
      <c r="H878" s="1" t="s">
        <v>1027</v>
      </c>
      <c r="J878" s="1" t="s">
        <v>605</v>
      </c>
      <c r="M878" s="15" t="s">
        <v>480</v>
      </c>
      <c r="N878" s="1" t="s">
        <v>2040</v>
      </c>
      <c r="O878" s="15">
        <v>9</v>
      </c>
      <c r="P878" s="15">
        <v>1975</v>
      </c>
      <c r="Q878" s="15" t="str" cm="1">
        <f t="array" ref="Q8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8" s="15" t="str" cm="1">
        <f t="array" ref="R8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canciones/francisco_palazon/el_pobre_lazaro.html</v>
      </c>
      <c r="T878" s="1"/>
      <c r="U878" s="1"/>
      <c r="V878" s="32" t="s">
        <v>3049</v>
      </c>
      <c r="W8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href="canciones/francisco_palazon/el_pobre_lazaro.html"&gt;El pobre Lázaro&lt;/a&gt;&lt;/li&gt;</v>
      </c>
      <c r="X878" s="15" t="str">
        <f>_xlfn.TEXTBEFORE(_xlfn.TEXTAFTER(CantoralDB[[#This Row],[index.html]],"&gt;"),"&gt;")&amp;"&gt;"</f>
        <v>&lt;a href="canciones/francisco_palazon/el_pobre_lazaro.html"&gt;</v>
      </c>
      <c r="Y878"/>
      <c r="AB878" s="1"/>
      <c r="AC878" s="1"/>
    </row>
    <row r="879" spans="1:29" x14ac:dyDescent="0.3">
      <c r="A879" s="1">
        <f>ROW(CantoralDB[[#This Row],[Título]])-1</f>
        <v>878</v>
      </c>
      <c r="B879" s="1" t="s">
        <v>2352</v>
      </c>
      <c r="C879" s="1"/>
      <c r="H879" s="1" t="s">
        <v>1040</v>
      </c>
      <c r="J879" s="1" t="s">
        <v>605</v>
      </c>
      <c r="M879" s="15" t="s">
        <v>480</v>
      </c>
      <c r="N879" s="1" t="s">
        <v>2040</v>
      </c>
      <c r="O879" s="15">
        <v>10</v>
      </c>
      <c r="P879" s="15">
        <v>1975</v>
      </c>
      <c r="Q879" s="15" t="str" cm="1">
        <f t="array" ref="Q8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79" s="15" t="str" cm="1">
        <f t="array" ref="R8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canciones/francisco_palazon/despues_de_la_medianoche.html</v>
      </c>
      <c r="T879" s="1"/>
      <c r="U879" s="1"/>
      <c r="V879" s="32" t="s">
        <v>3050</v>
      </c>
      <c r="W8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href="canciones/francisco_palazon/despues_de_la_medianoche.html"&gt;Después de la medianoche&lt;/a&gt;&lt;/li&gt;</v>
      </c>
      <c r="X879" s="15" t="str">
        <f>_xlfn.TEXTBEFORE(_xlfn.TEXTAFTER(CantoralDB[[#This Row],[index.html]],"&gt;"),"&gt;")&amp;"&gt;"</f>
        <v>&lt;a href="canciones/francisco_palazon/despues_de_la_medianoche.html"&gt;</v>
      </c>
      <c r="Y879"/>
      <c r="AB879" s="1"/>
      <c r="AC879" s="1"/>
    </row>
    <row r="880" spans="1:29" x14ac:dyDescent="0.3">
      <c r="A880" s="1">
        <f>ROW(CantoralDB[[#This Row],[Título]])-1</f>
        <v>879</v>
      </c>
      <c r="B880" s="1" t="s">
        <v>1244</v>
      </c>
      <c r="C880" s="1"/>
      <c r="E880" s="1">
        <v>110</v>
      </c>
      <c r="H880" s="1" t="s">
        <v>1027</v>
      </c>
      <c r="J880" s="1" t="s">
        <v>605</v>
      </c>
      <c r="M880" s="15" t="s">
        <v>480</v>
      </c>
      <c r="N880" s="1" t="s">
        <v>2216</v>
      </c>
      <c r="O880" s="15"/>
      <c r="P880" s="15"/>
      <c r="Q880" s="15" t="str" cm="1">
        <f t="array" ref="Q8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0" s="15" t="str" cm="1">
        <f t="array" ref="R8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canciones/francisco_palazon/el_señor_ha_estado_grande_con_nosotros.html</v>
      </c>
      <c r="T880" s="1"/>
      <c r="U880" s="1"/>
      <c r="V880" s="32" t="s">
        <v>4386</v>
      </c>
      <c r="W8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data-nold="110"&gt;&lt;a href="canciones/francisco_palazon/el_señor_ha_estado_grande_con_nosotros.html"&gt;El Señor ha estado grande con nosotros&lt;/a&gt;&lt;/li&gt;</v>
      </c>
      <c r="X880" s="15" t="str">
        <f>_xlfn.TEXTBEFORE(_xlfn.TEXTAFTER(CantoralDB[[#This Row],[index.html]],"&gt;"),"&gt;")&amp;"&gt;"</f>
        <v>&lt;a href="canciones/francisco_palazon/el_señor_ha_estado_grande_con_nosotros.html"&gt;</v>
      </c>
      <c r="Y880"/>
      <c r="AB880" s="1"/>
      <c r="AC880" s="1"/>
    </row>
    <row r="881" spans="1:29" x14ac:dyDescent="0.3">
      <c r="A881" s="1">
        <f>ROW(CantoralDB[[#This Row],[Título]])-1</f>
        <v>880</v>
      </c>
      <c r="B881" s="1" t="s">
        <v>127</v>
      </c>
      <c r="C881" s="1" t="s">
        <v>190</v>
      </c>
      <c r="D881" s="1" t="s">
        <v>748</v>
      </c>
      <c r="E881" s="1">
        <v>453</v>
      </c>
      <c r="G881" s="1" t="s">
        <v>208</v>
      </c>
      <c r="H881" s="1" t="s">
        <v>1027</v>
      </c>
      <c r="J881" s="1" t="s">
        <v>605</v>
      </c>
      <c r="M881" s="15" t="s">
        <v>480</v>
      </c>
      <c r="N881" s="1" t="s">
        <v>1923</v>
      </c>
      <c r="O881" s="15">
        <v>1</v>
      </c>
      <c r="P881" s="15">
        <v>1986</v>
      </c>
      <c r="Q881" s="15" t="str" cm="1">
        <f t="array" ref="Q8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1" s="15" t="str" cm="1">
        <f t="array" ref="R8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canciones/francisco_palazon/reunidos_en_el_nombre_del_señor.html</v>
      </c>
      <c r="T881" s="1"/>
      <c r="U881" s="1"/>
      <c r="V881" s="32" t="s">
        <v>3625</v>
      </c>
      <c r="W8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data-momento="Entrada" data-nnew="A31" data-nold="453"&gt;&lt;a href="canciones/francisco_palazon/reunidos_en_el_nombre_del_señor.html"&gt;Reunidos en el nombre del Señor&lt;/a&gt;&lt;/li&gt;</v>
      </c>
      <c r="X881" s="15" t="str">
        <f>_xlfn.TEXTBEFORE(_xlfn.TEXTAFTER(CantoralDB[[#This Row],[index.html]],"&gt;"),"&gt;")&amp;"&gt;"</f>
        <v>&lt;a href="canciones/francisco_palazon/reunidos_en_el_nombre_del_señor.html"&gt;</v>
      </c>
      <c r="Y881"/>
      <c r="AB881" s="1"/>
      <c r="AC881" s="1"/>
    </row>
    <row r="882" spans="1:29" x14ac:dyDescent="0.3">
      <c r="A882" s="1">
        <f>ROW(CantoralDB[[#This Row],[Título]])-1</f>
        <v>881</v>
      </c>
      <c r="B882" s="1" t="s">
        <v>2180</v>
      </c>
      <c r="C882" s="1"/>
      <c r="J882" s="1"/>
      <c r="M882" s="15" t="s">
        <v>480</v>
      </c>
      <c r="N882" s="1" t="s">
        <v>1923</v>
      </c>
      <c r="O882" s="15">
        <v>2</v>
      </c>
      <c r="P882" s="15">
        <v>1986</v>
      </c>
      <c r="Q882" s="15" t="str" cm="1">
        <f t="array" ref="Q8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2" s="15" t="str" cm="1">
        <f t="array" ref="R8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canciones/francisco_palazon/señor_ten_piedad_(reunidos_en_su_nombre).html</v>
      </c>
      <c r="T882" s="1"/>
      <c r="U882" s="1"/>
      <c r="V882" s="32" t="s">
        <v>3626</v>
      </c>
      <c r="W8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href="canciones/francisco_palazon/señor_ten_piedad_(reunidos_en_su_nombre).html"&gt;Señor, ten piedad (Reunidos en su nombre)&lt;/a&gt;&lt;/li&gt;</v>
      </c>
      <c r="X882" s="15" t="str">
        <f>_xlfn.TEXTBEFORE(_xlfn.TEXTAFTER(CantoralDB[[#This Row],[index.html]],"&gt;"),"&gt;")&amp;"&gt;"</f>
        <v>&lt;a href="canciones/francisco_palazon/señor_ten_piedad_(reunidos_en_su_nombre).html"&gt;</v>
      </c>
      <c r="Y882"/>
      <c r="AB882" s="1"/>
      <c r="AC882" s="1"/>
    </row>
    <row r="883" spans="1:29" x14ac:dyDescent="0.3">
      <c r="A883" s="1">
        <f>ROW(CantoralDB[[#This Row],[Título]])-1</f>
        <v>882</v>
      </c>
      <c r="B883" s="1" t="s">
        <v>2181</v>
      </c>
      <c r="C883" s="1"/>
      <c r="J883" s="1"/>
      <c r="M883" s="15" t="s">
        <v>480</v>
      </c>
      <c r="N883" s="1" t="s">
        <v>1923</v>
      </c>
      <c r="O883" s="15">
        <v>3</v>
      </c>
      <c r="P883" s="15">
        <v>1986</v>
      </c>
      <c r="Q883" s="15" t="str" cm="1">
        <f t="array" ref="Q8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3" s="15" t="str" cm="1">
        <f t="array" ref="R8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canciones/francisco_palazon/gloria_(reunidos_en_su_nombre).html</v>
      </c>
      <c r="T883" s="1"/>
      <c r="U883" s="1"/>
      <c r="V883" s="32" t="s">
        <v>3627</v>
      </c>
      <c r="W8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href="canciones/francisco_palazon/gloria_(reunidos_en_su_nombre).html"&gt;Gloria (Reunidos en su nombre)&lt;/a&gt;&lt;/li&gt;</v>
      </c>
      <c r="X883" s="15" t="str">
        <f>_xlfn.TEXTBEFORE(_xlfn.TEXTAFTER(CantoralDB[[#This Row],[index.html]],"&gt;"),"&gt;")&amp;"&gt;"</f>
        <v>&lt;a href="canciones/francisco_palazon/gloria_(reunidos_en_su_nombre).html"&gt;</v>
      </c>
      <c r="Y883"/>
      <c r="AB883" s="1"/>
      <c r="AC883" s="1"/>
    </row>
    <row r="884" spans="1:29" x14ac:dyDescent="0.3">
      <c r="A884" s="1">
        <f>ROW(CantoralDB[[#This Row],[Título]])-1</f>
        <v>883</v>
      </c>
      <c r="B884" s="1" t="s">
        <v>2182</v>
      </c>
      <c r="C884" s="1"/>
      <c r="J884" s="1"/>
      <c r="M884" s="15" t="s">
        <v>480</v>
      </c>
      <c r="N884" s="1" t="s">
        <v>1923</v>
      </c>
      <c r="O884" s="15">
        <v>4</v>
      </c>
      <c r="P884" s="15">
        <v>1986</v>
      </c>
      <c r="Q884" s="15" t="str" cm="1">
        <f t="array" ref="Q8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4" s="15" t="str" cm="1">
        <f t="array" ref="R8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canciones/francisco_palazon/santo_(reunidos_en_su_nombre).html</v>
      </c>
      <c r="T884" s="1"/>
      <c r="U884" s="1"/>
      <c r="V884" s="32" t="s">
        <v>3628</v>
      </c>
      <c r="W8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href="canciones/francisco_palazon/santo_(reunidos_en_su_nombre).html"&gt;Santo (Reunidos en su nombre)&lt;/a&gt;&lt;/li&gt;</v>
      </c>
      <c r="X884" s="15" t="str">
        <f>_xlfn.TEXTBEFORE(_xlfn.TEXTAFTER(CantoralDB[[#This Row],[index.html]],"&gt;"),"&gt;")&amp;"&gt;"</f>
        <v>&lt;a href="canciones/francisco_palazon/santo_(reunidos_en_su_nombre).html"&gt;</v>
      </c>
      <c r="Y884"/>
      <c r="AB884" s="1"/>
      <c r="AC884" s="1"/>
    </row>
    <row r="885" spans="1:29" x14ac:dyDescent="0.3">
      <c r="A885" s="1">
        <f>ROW(CantoralDB[[#This Row],[Título]])-1</f>
        <v>884</v>
      </c>
      <c r="B885" s="1" t="s">
        <v>2183</v>
      </c>
      <c r="C885" s="1"/>
      <c r="J885" s="1"/>
      <c r="M885" s="15" t="s">
        <v>480</v>
      </c>
      <c r="N885" s="1" t="s">
        <v>1923</v>
      </c>
      <c r="O885" s="15">
        <v>5</v>
      </c>
      <c r="P885" s="15">
        <v>1986</v>
      </c>
      <c r="Q885" s="15" t="str" cm="1">
        <f t="array" ref="Q8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5" s="15" t="str" cm="1">
        <f t="array" ref="R8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canciones/francisco_palazon/gustad_y_ved.html</v>
      </c>
      <c r="T885" s="1"/>
      <c r="U885" s="1"/>
      <c r="V885" s="32" t="s">
        <v>3629</v>
      </c>
      <c r="W8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href="canciones/francisco_palazon/gustad_y_ved.html"&gt;Gustad y ved&lt;/a&gt;&lt;/li&gt;</v>
      </c>
      <c r="X885" s="15" t="str">
        <f>_xlfn.TEXTBEFORE(_xlfn.TEXTAFTER(CantoralDB[[#This Row],[index.html]],"&gt;"),"&gt;")&amp;"&gt;"</f>
        <v>&lt;a href="canciones/francisco_palazon/gustad_y_ved.html"&gt;</v>
      </c>
      <c r="Y885"/>
      <c r="AB885" s="1"/>
      <c r="AC885" s="1"/>
    </row>
    <row r="886" spans="1:29" x14ac:dyDescent="0.3">
      <c r="A886" s="1">
        <f>ROW(CantoralDB[[#This Row],[Título]])-1</f>
        <v>885</v>
      </c>
      <c r="B886" s="1" t="s">
        <v>2184</v>
      </c>
      <c r="C886" s="1"/>
      <c r="J886" s="1"/>
      <c r="M886" s="15" t="s">
        <v>480</v>
      </c>
      <c r="N886" s="1" t="s">
        <v>1923</v>
      </c>
      <c r="O886" s="15">
        <v>6</v>
      </c>
      <c r="P886" s="15">
        <v>1986</v>
      </c>
      <c r="Q886" s="15" t="str" cm="1">
        <f t="array" ref="Q8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6" s="15" t="str" cm="1">
        <f t="array" ref="R8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canciones/francisco_palazon/te_ofrecemos_señor.html</v>
      </c>
      <c r="T886" s="1"/>
      <c r="U886" s="1"/>
      <c r="V886" s="32" t="s">
        <v>3630</v>
      </c>
      <c r="W8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href="canciones/francisco_palazon/te_ofrecemos_señor.html"&gt;Te ofrecemos, Señor&lt;/a&gt;&lt;/li&gt;</v>
      </c>
      <c r="X886" s="15" t="str">
        <f>_xlfn.TEXTBEFORE(_xlfn.TEXTAFTER(CantoralDB[[#This Row],[index.html]],"&gt;"),"&gt;")&amp;"&gt;"</f>
        <v>&lt;a href="canciones/francisco_palazon/te_ofrecemos_señor.html"&gt;</v>
      </c>
      <c r="Y886"/>
      <c r="AB886" s="1"/>
      <c r="AC886" s="1"/>
    </row>
    <row r="887" spans="1:29" x14ac:dyDescent="0.3">
      <c r="A887" s="1">
        <f>ROW(CantoralDB[[#This Row],[Título]])-1</f>
        <v>886</v>
      </c>
      <c r="B887" s="1" t="s">
        <v>2185</v>
      </c>
      <c r="C887" s="1"/>
      <c r="J887" s="1"/>
      <c r="M887" s="15" t="s">
        <v>480</v>
      </c>
      <c r="N887" s="1" t="s">
        <v>1923</v>
      </c>
      <c r="O887" s="15">
        <v>7</v>
      </c>
      <c r="P887" s="15">
        <v>1986</v>
      </c>
      <c r="Q887" s="15" t="str" cm="1">
        <f t="array" ref="Q8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7" s="15" t="str" cm="1">
        <f t="array" ref="R8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canciones/francisco_palazon/padre_nuestro_(reunidos_en_su_nombre).html</v>
      </c>
      <c r="T887" s="1"/>
      <c r="U887" s="1"/>
      <c r="V887" s="32" t="s">
        <v>3631</v>
      </c>
      <c r="W8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href="canciones/francisco_palazon/padre_nuestro_(reunidos_en_su_nombre).html"&gt;Padre nuestro (Reunidos en su nombre)&lt;/a&gt;&lt;/li&gt;</v>
      </c>
      <c r="X887" s="15" t="str">
        <f>_xlfn.TEXTBEFORE(_xlfn.TEXTAFTER(CantoralDB[[#This Row],[index.html]],"&gt;"),"&gt;")&amp;"&gt;"</f>
        <v>&lt;a href="canciones/francisco_palazon/padre_nuestro_(reunidos_en_su_nombre).html"&gt;</v>
      </c>
      <c r="Y887"/>
      <c r="AB887" s="1"/>
      <c r="AC887" s="1"/>
    </row>
    <row r="888" spans="1:29" x14ac:dyDescent="0.3">
      <c r="A888" s="1">
        <f>ROW(CantoralDB[[#This Row],[Título]])-1</f>
        <v>887</v>
      </c>
      <c r="B888" s="1" t="s">
        <v>2186</v>
      </c>
      <c r="C888" s="1"/>
      <c r="J888" s="1"/>
      <c r="M888" s="15" t="s">
        <v>480</v>
      </c>
      <c r="N888" s="1" t="s">
        <v>1923</v>
      </c>
      <c r="O888" s="15">
        <v>8</v>
      </c>
      <c r="P888" s="15">
        <v>1986</v>
      </c>
      <c r="Q888" s="15" t="str" cm="1">
        <f t="array" ref="Q8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8" s="15" t="str" cm="1">
        <f t="array" ref="R8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canciones/francisco_palazon/cordero_de_dios_(reunidos_en_su_nombre).html</v>
      </c>
      <c r="T888" s="1"/>
      <c r="U888" s="1"/>
      <c r="V888" s="32" t="s">
        <v>3632</v>
      </c>
      <c r="W8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href="canciones/francisco_palazon/cordero_de_dios_(reunidos_en_su_nombre).html"&gt;Cordero de Dios (Reunidos en su nombre)&lt;/a&gt;&lt;/li&gt;</v>
      </c>
      <c r="X888" s="15" t="str">
        <f>_xlfn.TEXTBEFORE(_xlfn.TEXTAFTER(CantoralDB[[#This Row],[index.html]],"&gt;"),"&gt;")&amp;"&gt;"</f>
        <v>&lt;a href="canciones/francisco_palazon/cordero_de_dios_(reunidos_en_su_nombre).html"&gt;</v>
      </c>
      <c r="Y888"/>
      <c r="AB888" s="1"/>
      <c r="AC888" s="1"/>
    </row>
    <row r="889" spans="1:29" x14ac:dyDescent="0.3">
      <c r="A889" s="1">
        <f>ROW(CantoralDB[[#This Row],[Título]])-1</f>
        <v>888</v>
      </c>
      <c r="B889" s="1" t="s">
        <v>1918</v>
      </c>
      <c r="C889" s="1"/>
      <c r="H889" s="1" t="s">
        <v>1027</v>
      </c>
      <c r="J889" s="1" t="s">
        <v>605</v>
      </c>
      <c r="M889" s="15" t="s">
        <v>480</v>
      </c>
      <c r="N889" s="1" t="s">
        <v>1923</v>
      </c>
      <c r="O889" s="15">
        <v>9</v>
      </c>
      <c r="P889" s="15">
        <v>1986</v>
      </c>
      <c r="Q889" s="15" t="str" cm="1">
        <f t="array" ref="Q8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89" s="15" t="str" cm="1">
        <f t="array" ref="R8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canciones/francisco_palazon/tuyo_es_el_reino.html</v>
      </c>
      <c r="T889" s="1"/>
      <c r="U889" s="1"/>
      <c r="V889" s="32" t="s">
        <v>3633</v>
      </c>
      <c r="W8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href="canciones/francisco_palazon/tuyo_es_el_reino.html"&gt;Tuyo es el reino&lt;/a&gt;&lt;/li&gt;</v>
      </c>
      <c r="X889" s="15" t="str">
        <f>_xlfn.TEXTBEFORE(_xlfn.TEXTAFTER(CantoralDB[[#This Row],[index.html]],"&gt;"),"&gt;")&amp;"&gt;"</f>
        <v>&lt;a href="canciones/francisco_palazon/tuyo_es_el_reino.html"&gt;</v>
      </c>
      <c r="Y889"/>
      <c r="AB889" s="1"/>
      <c r="AC889" s="1"/>
    </row>
    <row r="890" spans="1:29" x14ac:dyDescent="0.3">
      <c r="A890" s="1">
        <f>ROW(CantoralDB[[#This Row],[Título]])-1</f>
        <v>889</v>
      </c>
      <c r="B890" s="1" t="s">
        <v>2187</v>
      </c>
      <c r="C890" s="1"/>
      <c r="J890" s="1"/>
      <c r="M890" s="15" t="s">
        <v>480</v>
      </c>
      <c r="N890" s="1" t="s">
        <v>1923</v>
      </c>
      <c r="O890" s="15">
        <v>10</v>
      </c>
      <c r="P890" s="15">
        <v>1986</v>
      </c>
      <c r="Q890" s="15" t="str" cm="1">
        <f t="array" ref="Q8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0" s="15" t="str" cm="1">
        <f t="array" ref="R8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canciones/francisco_palazon/el_pan_que_compartimos.html</v>
      </c>
      <c r="T890" s="1"/>
      <c r="U890" s="1"/>
      <c r="V890" s="32" t="s">
        <v>3634</v>
      </c>
      <c r="W8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href="canciones/francisco_palazon/el_pan_que_compartimos.html"&gt;El pan que compartimos&lt;/a&gt;&lt;/li&gt;</v>
      </c>
      <c r="X890" s="15" t="str">
        <f>_xlfn.TEXTBEFORE(_xlfn.TEXTAFTER(CantoralDB[[#This Row],[index.html]],"&gt;"),"&gt;")&amp;"&gt;"</f>
        <v>&lt;a href="canciones/francisco_palazon/el_pan_que_compartimos.html"&gt;</v>
      </c>
      <c r="Y890"/>
      <c r="AB890" s="1"/>
      <c r="AC890" s="1"/>
    </row>
    <row r="891" spans="1:29" x14ac:dyDescent="0.3">
      <c r="A891" s="1">
        <f>ROW(CantoralDB[[#This Row],[Título]])-1</f>
        <v>890</v>
      </c>
      <c r="B891" s="1" t="s">
        <v>2025</v>
      </c>
      <c r="C891" s="1"/>
      <c r="H891" s="1" t="s">
        <v>1040</v>
      </c>
      <c r="J891" s="1" t="s">
        <v>605</v>
      </c>
      <c r="M891" s="15" t="s">
        <v>480</v>
      </c>
      <c r="N891" s="1" t="s">
        <v>1925</v>
      </c>
      <c r="O891" s="15">
        <v>1</v>
      </c>
      <c r="P891" s="15">
        <v>1970</v>
      </c>
      <c r="Q891" s="15" t="str" cm="1">
        <f t="array" ref="Q8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1" s="15" t="str" cm="1">
        <f t="array" ref="R8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canciones/francisco_palazon/bendice_alma_mia_al_señor.html</v>
      </c>
      <c r="T891" s="1"/>
      <c r="U891" s="1"/>
      <c r="V891" s="32" t="s">
        <v>3035</v>
      </c>
      <c r="W8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href="canciones/francisco_palazon/bendice_alma_mia_al_señor.html"&gt;Bendice, alma mía, al Señor&lt;/a&gt;&lt;/li&gt;</v>
      </c>
      <c r="X891" s="15" t="str">
        <f>_xlfn.TEXTBEFORE(_xlfn.TEXTAFTER(CantoralDB[[#This Row],[index.html]],"&gt;"),"&gt;")&amp;"&gt;"</f>
        <v>&lt;a href="canciones/francisco_palazon/bendice_alma_mia_al_señor.html"&gt;</v>
      </c>
      <c r="Y891"/>
      <c r="AB891" s="1"/>
      <c r="AC891" s="1"/>
    </row>
    <row r="892" spans="1:29" x14ac:dyDescent="0.3">
      <c r="A892" s="1">
        <f>ROW(CantoralDB[[#This Row],[Título]])-1</f>
        <v>891</v>
      </c>
      <c r="B892" s="1" t="s">
        <v>2026</v>
      </c>
      <c r="C892" s="1"/>
      <c r="H892" s="1" t="s">
        <v>1025</v>
      </c>
      <c r="J892" s="1" t="s">
        <v>605</v>
      </c>
      <c r="M892" s="15" t="s">
        <v>480</v>
      </c>
      <c r="N892" s="1" t="s">
        <v>1925</v>
      </c>
      <c r="O892" s="15">
        <v>2</v>
      </c>
      <c r="P892" s="15">
        <v>1970</v>
      </c>
      <c r="Q892" s="15" t="str" cm="1">
        <f t="array" ref="Q8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2" s="15" t="str" cm="1">
        <f t="array" ref="R8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canciones/francisco_palazon/alegrate_y_goza_jerusalen.html</v>
      </c>
      <c r="T892" s="1"/>
      <c r="U892" s="1"/>
      <c r="V892" s="32" t="s">
        <v>3036</v>
      </c>
      <c r="W8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href="canciones/francisco_palazon/alegrate_y_goza_jerusalen.html"&gt;Alégrate y goza, Jerusalén&lt;/a&gt;&lt;/li&gt;</v>
      </c>
      <c r="X892" s="15" t="str">
        <f>_xlfn.TEXTBEFORE(_xlfn.TEXTAFTER(CantoralDB[[#This Row],[index.html]],"&gt;"),"&gt;")&amp;"&gt;"</f>
        <v>&lt;a href="canciones/francisco_palazon/alegrate_y_goza_jerusalen.html"&gt;</v>
      </c>
      <c r="Y892"/>
      <c r="AB892" s="1"/>
      <c r="AC892" s="1"/>
    </row>
    <row r="893" spans="1:29" x14ac:dyDescent="0.3">
      <c r="A893" s="1">
        <f>ROW(CantoralDB[[#This Row],[Título]])-1</f>
        <v>892</v>
      </c>
      <c r="B893" s="1" t="s">
        <v>2027</v>
      </c>
      <c r="C893" s="1"/>
      <c r="H893" s="1" t="s">
        <v>529</v>
      </c>
      <c r="J893" s="1" t="s">
        <v>605</v>
      </c>
      <c r="M893" s="15" t="s">
        <v>480</v>
      </c>
      <c r="N893" s="1" t="s">
        <v>1925</v>
      </c>
      <c r="O893" s="15">
        <v>3</v>
      </c>
      <c r="P893" s="15">
        <v>1970</v>
      </c>
      <c r="Q893" s="15" t="str" cm="1">
        <f t="array" ref="Q8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3" s="15" t="str" cm="1">
        <f t="array" ref="R8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canciones/francisco_palazon/te_doy_gracias_señor.html</v>
      </c>
      <c r="T893" s="1"/>
      <c r="U893" s="1"/>
      <c r="V893" s="32" t="s">
        <v>3037</v>
      </c>
      <c r="W8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href="canciones/francisco_palazon/te_doy_gracias_señor.html"&gt;Te doy gracias, Señor&lt;/a&gt;&lt;/li&gt;</v>
      </c>
      <c r="X893" s="15" t="str">
        <f>_xlfn.TEXTBEFORE(_xlfn.TEXTAFTER(CantoralDB[[#This Row],[index.html]],"&gt;"),"&gt;")&amp;"&gt;"</f>
        <v>&lt;a href="canciones/francisco_palazon/te_doy_gracias_señor.html"&gt;</v>
      </c>
      <c r="Y893"/>
      <c r="AB893" s="1"/>
      <c r="AC893" s="1"/>
    </row>
    <row r="894" spans="1:29" x14ac:dyDescent="0.3">
      <c r="A894" s="1">
        <f>ROW(CantoralDB[[#This Row],[Título]])-1</f>
        <v>893</v>
      </c>
      <c r="B894" s="1" t="s">
        <v>2028</v>
      </c>
      <c r="C894" s="1"/>
      <c r="H894" s="1" t="s">
        <v>1027</v>
      </c>
      <c r="J894" s="1" t="s">
        <v>605</v>
      </c>
      <c r="M894" s="15" t="s">
        <v>480</v>
      </c>
      <c r="N894" s="1" t="s">
        <v>1925</v>
      </c>
      <c r="O894" s="15">
        <v>4</v>
      </c>
      <c r="P894" s="15">
        <v>1970</v>
      </c>
      <c r="Q894" s="15" t="str" cm="1">
        <f t="array" ref="Q8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4" s="15" t="str" cm="1">
        <f t="array" ref="R8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canciones/francisco_palazon/aleluya_aleluya_aleluya.html</v>
      </c>
      <c r="T894" s="1"/>
      <c r="U894" s="1"/>
      <c r="V894" s="32" t="s">
        <v>3038</v>
      </c>
      <c r="W8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href="canciones/francisco_palazon/aleluya_aleluya_aleluya.html"&gt;Aleluya, aleluya, aleluya&lt;/a&gt;&lt;/li&gt;</v>
      </c>
      <c r="X894" s="15" t="str">
        <f>_xlfn.TEXTBEFORE(_xlfn.TEXTAFTER(CantoralDB[[#This Row],[index.html]],"&gt;"),"&gt;")&amp;"&gt;"</f>
        <v>&lt;a href="canciones/francisco_palazon/aleluya_aleluya_aleluya.html"&gt;</v>
      </c>
      <c r="Y894"/>
      <c r="AB894" s="1"/>
      <c r="AC894" s="1"/>
    </row>
    <row r="895" spans="1:29" x14ac:dyDescent="0.3">
      <c r="A895" s="1">
        <f>ROW(CantoralDB[[#This Row],[Título]])-1</f>
        <v>894</v>
      </c>
      <c r="B895" s="1" t="s">
        <v>2029</v>
      </c>
      <c r="C895" s="1"/>
      <c r="H895" s="1" t="s">
        <v>2953</v>
      </c>
      <c r="J895" s="1" t="s">
        <v>605</v>
      </c>
      <c r="M895" s="15" t="s">
        <v>480</v>
      </c>
      <c r="N895" s="1" t="s">
        <v>1925</v>
      </c>
      <c r="O895" s="15">
        <v>5</v>
      </c>
      <c r="P895" s="15">
        <v>1970</v>
      </c>
      <c r="Q895" s="15" t="str" cm="1">
        <f t="array" ref="Q8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5" s="15" t="str" cm="1">
        <f t="array" ref="R8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8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canciones/francisco_palazon/alabad_al_señor_por_su_inmensa_grandeza.html</v>
      </c>
      <c r="T895" s="1"/>
      <c r="U895" s="1"/>
      <c r="V895" s="32" t="s">
        <v>3039</v>
      </c>
      <c r="W8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href="canciones/francisco_palazon/alabad_al_señor_por_su_inmensa_grandeza.html"&gt;Alabad al Señor por su inmensa grandeza&lt;/a&gt;&lt;/li&gt;</v>
      </c>
      <c r="X895" s="15" t="str">
        <f>_xlfn.TEXTBEFORE(_xlfn.TEXTAFTER(CantoralDB[[#This Row],[index.html]],"&gt;"),"&gt;")&amp;"&gt;"</f>
        <v>&lt;a href="canciones/francisco_palazon/alabad_al_señor_por_su_inmensa_grandeza.html"&gt;</v>
      </c>
      <c r="Y895"/>
      <c r="AB895" s="1"/>
      <c r="AC895" s="1"/>
    </row>
    <row r="896" spans="1:29" x14ac:dyDescent="0.3">
      <c r="A896" s="1">
        <f>ROW(CantoralDB[[#This Row],[Título]])-1</f>
        <v>895</v>
      </c>
      <c r="B896" s="1" t="s">
        <v>2030</v>
      </c>
      <c r="C896" s="1"/>
      <c r="E896" s="1">
        <v>232</v>
      </c>
      <c r="F896" s="1">
        <v>17</v>
      </c>
      <c r="H896" s="1" t="s">
        <v>529</v>
      </c>
      <c r="J896" s="1" t="s">
        <v>605</v>
      </c>
      <c r="M896" s="15" t="s">
        <v>480</v>
      </c>
      <c r="N896" s="1" t="s">
        <v>1925</v>
      </c>
      <c r="O896" s="15">
        <v>6</v>
      </c>
      <c r="P896" s="15">
        <v>1970</v>
      </c>
      <c r="Q896" s="15" t="str" cm="1">
        <f t="array" ref="Q8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6" s="15" t="str" cm="1">
        <f t="array" ref="R8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canciones/francisco_palazon/señor_dios_nuestro.html</v>
      </c>
      <c r="T896" s="1"/>
      <c r="U896" s="1"/>
      <c r="V896" s="32" t="s">
        <v>3032</v>
      </c>
      <c r="W8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data-nold="232" data-nrcc="17"&gt;&lt;a href="canciones/francisco_palazon/señor_dios_nuestro.html"&gt;Señor, Dios nuestro&lt;/a&gt;&lt;/li&gt;</v>
      </c>
      <c r="X896" s="15" t="str">
        <f>_xlfn.TEXTBEFORE(_xlfn.TEXTAFTER(CantoralDB[[#This Row],[index.html]],"&gt;"),"&gt;")&amp;"&gt;"</f>
        <v>&lt;a href="canciones/francisco_palazon/señor_dios_nuestro.html"&gt;</v>
      </c>
      <c r="Y896"/>
      <c r="AB896" s="1"/>
      <c r="AC896" s="1"/>
    </row>
    <row r="897" spans="1:29" x14ac:dyDescent="0.3">
      <c r="A897" s="1">
        <f>ROW(CantoralDB[[#This Row],[Título]])-1</f>
        <v>896</v>
      </c>
      <c r="B897" s="1" t="s">
        <v>1317</v>
      </c>
      <c r="C897" s="1"/>
      <c r="E897" s="1">
        <v>240</v>
      </c>
      <c r="H897" s="1" t="s">
        <v>1024</v>
      </c>
      <c r="J897" s="1" t="s">
        <v>605</v>
      </c>
      <c r="M897" s="15" t="s">
        <v>480</v>
      </c>
      <c r="N897" s="1" t="s">
        <v>1925</v>
      </c>
      <c r="O897" s="15">
        <v>7</v>
      </c>
      <c r="P897" s="15">
        <v>1970</v>
      </c>
      <c r="Q897" s="15" t="str" cm="1">
        <f t="array" ref="Q8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7" s="15" t="str" cm="1">
        <f t="array" ref="R8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canciones/francisco_palazon/señor_tu_has_sido_nuestro_refugio.html</v>
      </c>
      <c r="T897" s="1"/>
      <c r="U897" s="1"/>
      <c r="V897" s="32" t="s">
        <v>3034</v>
      </c>
      <c r="W8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data-nold="240"&gt;&lt;a href="canciones/francisco_palazon/señor_tu_has_sido_nuestro_refugio.html"&gt;Señor, tú has sido nuestro refugio&lt;/a&gt;&lt;/li&gt;</v>
      </c>
      <c r="X897" s="15" t="str">
        <f>_xlfn.TEXTBEFORE(_xlfn.TEXTAFTER(CantoralDB[[#This Row],[index.html]],"&gt;"),"&gt;")&amp;"&gt;"</f>
        <v>&lt;a href="canciones/francisco_palazon/señor_tu_has_sido_nuestro_refugio.html"&gt;</v>
      </c>
      <c r="Y897"/>
      <c r="AB897" s="1"/>
      <c r="AC897" s="1"/>
    </row>
    <row r="898" spans="1:29" x14ac:dyDescent="0.3">
      <c r="A898" s="1">
        <f>ROW(CantoralDB[[#This Row],[Título]])-1</f>
        <v>897</v>
      </c>
      <c r="B898" s="1" t="s">
        <v>31</v>
      </c>
      <c r="C898" s="1" t="s">
        <v>200</v>
      </c>
      <c r="D898" s="1" t="s">
        <v>1393</v>
      </c>
      <c r="E898" s="1">
        <v>41</v>
      </c>
      <c r="G898" s="1" t="s">
        <v>208</v>
      </c>
      <c r="H898" s="1" t="s">
        <v>1025</v>
      </c>
      <c r="J898" s="1" t="s">
        <v>605</v>
      </c>
      <c r="M898" s="15" t="s">
        <v>480</v>
      </c>
      <c r="N898" s="1" t="s">
        <v>1925</v>
      </c>
      <c r="O898" s="15">
        <v>8</v>
      </c>
      <c r="P898" s="15">
        <v>1970</v>
      </c>
      <c r="Q898" s="15" t="str" cm="1">
        <f t="array" ref="Q8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8" s="15" t="str" cm="1">
        <f t="array" ref="R8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canciones/francisco_palazon/cantare_eternamente.html</v>
      </c>
      <c r="T898" s="1" t="s">
        <v>810</v>
      </c>
      <c r="U898" s="1"/>
      <c r="V898" s="32" t="s">
        <v>3033</v>
      </c>
      <c r="W8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data-momento="Antífonas" data-nnew="D08" data-nold="41"&gt;&lt;a href="canciones/francisco_palazon/cantare_eternamente.html"&gt;Cantaré eternamente&lt;/a&gt;&lt;/li&gt;</v>
      </c>
      <c r="X898" s="15" t="str">
        <f>_xlfn.TEXTBEFORE(_xlfn.TEXTAFTER(CantoralDB[[#This Row],[index.html]],"&gt;"),"&gt;")&amp;"&gt;"</f>
        <v>&lt;a href="canciones/francisco_palazon/cantare_eternamente.html"&gt;</v>
      </c>
      <c r="Y898"/>
      <c r="AB898" s="1"/>
      <c r="AC898" s="1"/>
    </row>
    <row r="899" spans="1:29" x14ac:dyDescent="0.3">
      <c r="A899" s="1">
        <f>ROW(CantoralDB[[#This Row],[Título]])-1</f>
        <v>898</v>
      </c>
      <c r="B899" s="1" t="s">
        <v>2031</v>
      </c>
      <c r="C899" s="1"/>
      <c r="E899" s="1">
        <v>186</v>
      </c>
      <c r="F899" s="1">
        <v>36</v>
      </c>
      <c r="H899" s="1" t="s">
        <v>1040</v>
      </c>
      <c r="J899" s="1" t="s">
        <v>605</v>
      </c>
      <c r="M899" s="15" t="s">
        <v>480</v>
      </c>
      <c r="N899" s="1" t="s">
        <v>1925</v>
      </c>
      <c r="O899" s="15">
        <v>9</v>
      </c>
      <c r="P899" s="15">
        <v>1970</v>
      </c>
      <c r="Q899" s="15" t="str" cm="1">
        <f t="array" ref="Q8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899" s="15" t="str" cm="1">
        <f t="array" ref="R8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8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canciones/francisco_palazon/oh_dios_tu_mereces_un_himno_en_sion.html</v>
      </c>
      <c r="T899" s="1"/>
      <c r="U899" s="1"/>
      <c r="V899" s="32" t="s">
        <v>2966</v>
      </c>
      <c r="W8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data-nold="186" data-nrcc="36"&gt;&lt;a href="canciones/francisco_palazon/oh_dios_tu_mereces_un_himno_en_sion.html"&gt;Oh, Dios, Tú mereces un himno en Sión&lt;/a&gt;&lt;/li&gt;</v>
      </c>
      <c r="X899" s="15" t="str">
        <f>_xlfn.TEXTBEFORE(_xlfn.TEXTAFTER(CantoralDB[[#This Row],[index.html]],"&gt;"),"&gt;")&amp;"&gt;"</f>
        <v>&lt;a href="canciones/francisco_palazon/oh_dios_tu_mereces_un_himno_en_sion.html"&gt;</v>
      </c>
      <c r="Y899"/>
      <c r="AB899" s="1"/>
      <c r="AC899" s="1"/>
    </row>
    <row r="900" spans="1:29" x14ac:dyDescent="0.3">
      <c r="A900" s="1">
        <f>ROW(CantoralDB[[#This Row],[Título]])-1</f>
        <v>899</v>
      </c>
      <c r="B900" s="1" t="s">
        <v>1151</v>
      </c>
      <c r="C900" s="1"/>
      <c r="E900" s="1">
        <v>2</v>
      </c>
      <c r="H900" s="1" t="s">
        <v>529</v>
      </c>
      <c r="J900" s="1" t="s">
        <v>605</v>
      </c>
      <c r="M900" s="15" t="s">
        <v>480</v>
      </c>
      <c r="N900" s="1" t="s">
        <v>1925</v>
      </c>
      <c r="O900" s="15">
        <v>10</v>
      </c>
      <c r="P900" s="15">
        <v>1970</v>
      </c>
      <c r="Q900" s="15" t="str" cm="1">
        <f t="array" ref="Q9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0" s="15" t="str" cm="1">
        <f t="array" ref="R9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canciones/francisco_palazon/aclamad_justos_al_señor.html</v>
      </c>
      <c r="T900" s="1"/>
      <c r="U900" s="1"/>
      <c r="V900" s="32" t="s">
        <v>2964</v>
      </c>
      <c r="W9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data-nold="2"&gt;&lt;a href="canciones/francisco_palazon/aclamad_justos_al_señor.html"&gt;Aclamad, justos, al Señor&lt;/a&gt;&lt;/li&gt;</v>
      </c>
      <c r="X900" s="15" t="str">
        <f>_xlfn.TEXTBEFORE(_xlfn.TEXTAFTER(CantoralDB[[#This Row],[index.html]],"&gt;"),"&gt;")&amp;"&gt;"</f>
        <v>&lt;a href="canciones/francisco_palazon/aclamad_justos_al_señor.html"&gt;</v>
      </c>
      <c r="Y900"/>
      <c r="AB900" s="1"/>
      <c r="AC900" s="1"/>
    </row>
    <row r="901" spans="1:29" x14ac:dyDescent="0.3">
      <c r="A901" s="1">
        <f>ROW(CantoralDB[[#This Row],[Título]])-1</f>
        <v>900</v>
      </c>
      <c r="C901" s="1"/>
      <c r="J901" s="1"/>
      <c r="M901" s="15" t="s">
        <v>480</v>
      </c>
      <c r="N901" s="1" t="s">
        <v>2060</v>
      </c>
      <c r="O901" s="15"/>
      <c r="P901" s="15"/>
      <c r="Q901" s="15" t="str" cm="1">
        <f t="array" ref="Q9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1" s="15" t="str" cm="1">
        <f t="array" ref="R9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francisco_palazon</v>
      </c>
      <c r="S9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canciones/francisco_palazon/.html</v>
      </c>
      <c r="T901" s="1"/>
      <c r="U901" s="1"/>
      <c r="V901" s="15"/>
      <c r="W9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Palazón"&gt;&lt;a href="canciones/francisco_palazon/.html"&gt;&lt;/a&gt;&lt;/li&gt;</v>
      </c>
      <c r="X901" s="15" t="str">
        <f>_xlfn.TEXTBEFORE(_xlfn.TEXTAFTER(CantoralDB[[#This Row],[index.html]],"&gt;"),"&gt;")&amp;"&gt;"</f>
        <v>&lt;a href="canciones/francisco_palazon/.html"&gt;</v>
      </c>
      <c r="Y901"/>
      <c r="AB901" s="1"/>
      <c r="AC901" s="1"/>
    </row>
    <row r="902" spans="1:29" x14ac:dyDescent="0.3">
      <c r="A902" s="1">
        <f>ROW(CantoralDB[[#This Row],[Título]])-1</f>
        <v>901</v>
      </c>
      <c r="B902" s="1" t="s">
        <v>1214</v>
      </c>
      <c r="C902" s="1"/>
      <c r="E902" s="1">
        <v>100</v>
      </c>
      <c r="I902" s="1" t="s">
        <v>5061</v>
      </c>
      <c r="J902" s="1" t="s">
        <v>605</v>
      </c>
      <c r="M902" s="15" t="s">
        <v>480</v>
      </c>
      <c r="O902" s="15"/>
      <c r="P902" s="15"/>
      <c r="Q902" s="15" t="str" cm="1">
        <f t="array" ref="Q9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2" s="15" t="str" cm="1">
        <f t="array" ref="R9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canciones/francisco_palazon/el_señor_es_compasivo_y_misericordioso.html</v>
      </c>
      <c r="T902" s="1"/>
      <c r="U902" s="1"/>
      <c r="V902" s="15"/>
      <c r="W9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data-nold="100"&gt;&lt;a href="canciones/francisco_palazon/el_señor_es_compasivo_y_misericordioso.html"&gt;El Señor es compasivo y misericordioso&lt;/a&gt;&lt;/li&gt;</v>
      </c>
      <c r="X902" s="15" t="str">
        <f>_xlfn.TEXTBEFORE(_xlfn.TEXTAFTER(CantoralDB[[#This Row],[index.html]],"&gt;"),"&gt;")&amp;"&gt;"</f>
        <v>&lt;a href="canciones/francisco_palazon/el_señor_es_compasivo_y_misericordioso.html"&gt;</v>
      </c>
      <c r="Y902"/>
      <c r="AB902" s="1"/>
      <c r="AC902" s="1"/>
    </row>
    <row r="903" spans="1:29" x14ac:dyDescent="0.3">
      <c r="A903" s="1">
        <f>ROW(CantoralDB[[#This Row],[Título]])-1</f>
        <v>902</v>
      </c>
      <c r="B903" s="1" t="s">
        <v>1243</v>
      </c>
      <c r="C903" s="1"/>
      <c r="E903" s="1">
        <v>109</v>
      </c>
      <c r="H903" s="1" t="s">
        <v>1027</v>
      </c>
      <c r="J903" s="1" t="s">
        <v>605</v>
      </c>
      <c r="M903" s="15" t="s">
        <v>480</v>
      </c>
      <c r="O903" s="15"/>
      <c r="P903" s="15"/>
      <c r="Q903" s="15" t="str" cm="1">
        <f t="array" ref="Q9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3" s="15" t="str" cm="1">
        <f t="array" ref="R9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canciones/francisco_palazon/envia_tu_espiritu_señor.html</v>
      </c>
      <c r="T903" s="1"/>
      <c r="U903" s="1"/>
      <c r="V903" s="32" t="s">
        <v>5202</v>
      </c>
      <c r="W9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data-nold="109"&gt;&lt;a href="canciones/francisco_palazon/envia_tu_espiritu_señor.html"&gt;Envía tu Espíritu, Señor&lt;/a&gt;&lt;/li&gt;</v>
      </c>
      <c r="X903" s="15" t="str">
        <f>_xlfn.TEXTBEFORE(_xlfn.TEXTAFTER(CantoralDB[[#This Row],[index.html]],"&gt;"),"&gt;")&amp;"&gt;"</f>
        <v>&lt;a href="canciones/francisco_palazon/envia_tu_espiritu_señor.html"&gt;</v>
      </c>
      <c r="Y903"/>
      <c r="AB903" s="1"/>
      <c r="AC903" s="1"/>
    </row>
    <row r="904" spans="1:29" x14ac:dyDescent="0.3">
      <c r="A904" s="1">
        <f>ROW(CantoralDB[[#This Row],[Título]])-1</f>
        <v>903</v>
      </c>
      <c r="B904" s="1" t="s">
        <v>250</v>
      </c>
      <c r="C904" s="1" t="s">
        <v>990</v>
      </c>
      <c r="D904" s="1" t="s">
        <v>1001</v>
      </c>
      <c r="G904" s="1" t="s">
        <v>247</v>
      </c>
      <c r="H904" s="1" t="s">
        <v>472</v>
      </c>
      <c r="J904" s="1" t="s">
        <v>605</v>
      </c>
      <c r="M904" s="15" t="s">
        <v>480</v>
      </c>
      <c r="O904" s="15"/>
      <c r="P904" s="15"/>
      <c r="Q904" s="15" t="str" cm="1">
        <f t="array" ref="Q9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4" s="15" t="str" cm="1">
        <f t="array" ref="R9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canciones/francisco_palazon/si_me_falta_el_amor.html</v>
      </c>
      <c r="T904" s="1"/>
      <c r="U904" s="1"/>
      <c r="V904" s="32" t="s">
        <v>4385</v>
      </c>
      <c r="W9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data-momento="Comunión" data-nnew="K67"&gt;&lt;a href="canciones/francisco_palazon/si_me_falta_el_amor.html"&gt;Si me falta el amor&lt;/a&gt;&lt;/li&gt;</v>
      </c>
      <c r="X904" s="15" t="str">
        <f>_xlfn.TEXTBEFORE(_xlfn.TEXTAFTER(CantoralDB[[#This Row],[index.html]],"&gt;"),"&gt;")&amp;"&gt;"</f>
        <v>&lt;a href="canciones/francisco_palazon/si_me_falta_el_amor.html"&gt;</v>
      </c>
      <c r="Y904"/>
      <c r="AB904" s="1"/>
      <c r="AC904" s="1"/>
    </row>
    <row r="905" spans="1:29" x14ac:dyDescent="0.3">
      <c r="A905" s="1">
        <f>ROW(CantoralDB[[#This Row],[Título]])-1</f>
        <v>904</v>
      </c>
      <c r="B905" s="1" t="s">
        <v>159</v>
      </c>
      <c r="C905" s="1" t="s">
        <v>198</v>
      </c>
      <c r="D905" s="1" t="s">
        <v>1471</v>
      </c>
      <c r="E905" s="1">
        <v>470</v>
      </c>
      <c r="F905" s="1" t="s">
        <v>2432</v>
      </c>
      <c r="G905" s="1" t="s">
        <v>208</v>
      </c>
      <c r="H905" s="1" t="s">
        <v>529</v>
      </c>
      <c r="I905" s="1" t="s">
        <v>2948</v>
      </c>
      <c r="J905" s="1" t="s">
        <v>605</v>
      </c>
      <c r="M905" s="15" t="s">
        <v>480</v>
      </c>
      <c r="O905" s="15"/>
      <c r="P905" s="15"/>
      <c r="Q905" s="15" t="str" cm="1">
        <f t="array" ref="Q9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5" s="15" t="str" cm="1">
        <f t="array" ref="R9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canciones/francisco_palazon/vaso_nuevo.html</v>
      </c>
      <c r="T905" s="1"/>
      <c r="U905" s="1"/>
      <c r="V905" s="32" t="s">
        <v>4383</v>
      </c>
      <c r="W9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data-momento="Despedida" data-nnew="L08" data-nold="470" data-nrcc="54b"&gt;&lt;a href="canciones/francisco_palazon/vaso_nuevo.html"&gt;Vaso nuevo&lt;/a&gt;&lt;/li&gt;</v>
      </c>
      <c r="X905" s="15" t="str">
        <f>_xlfn.TEXTBEFORE(_xlfn.TEXTAFTER(CantoralDB[[#This Row],[index.html]],"&gt;"),"&gt;")&amp;"&gt;"</f>
        <v>&lt;a href="canciones/francisco_palazon/vaso_nuevo.html"&gt;</v>
      </c>
      <c r="Y905"/>
      <c r="AB905" s="1"/>
      <c r="AC905" s="1"/>
    </row>
    <row r="906" spans="1:29" x14ac:dyDescent="0.3">
      <c r="A906" s="1">
        <f>ROW(CantoralDB[[#This Row],[Título]])-1</f>
        <v>905</v>
      </c>
      <c r="B906" s="1" t="s">
        <v>2903</v>
      </c>
      <c r="C906" s="1"/>
      <c r="E906" s="1">
        <v>281</v>
      </c>
      <c r="H906" s="1" t="s">
        <v>1025</v>
      </c>
      <c r="J906" s="1" t="s">
        <v>605</v>
      </c>
      <c r="M906" s="15" t="s">
        <v>480</v>
      </c>
      <c r="O906" s="15"/>
      <c r="P906" s="15"/>
      <c r="Q906" s="15" t="str" cm="1">
        <f t="array" ref="Q9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francisco_palazon</v>
      </c>
      <c r="R906" s="15" t="str" cm="1">
        <f t="array" ref="R9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canciones/francisco_palazon/ven_a_salvar_a_tu_pueblo.html</v>
      </c>
      <c r="T906" s="1"/>
      <c r="U906" s="1"/>
      <c r="V906" s="32" t="s">
        <v>4384</v>
      </c>
      <c r="W9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Palazón" data-nold="281"&gt;&lt;a href="canciones/francisco_palazon/ven_a_salvar_a_tu_pueblo.html"&gt;Ven a salvar a tu pueblo&lt;/a&gt;&lt;/li&gt;</v>
      </c>
      <c r="X906" s="15" t="str">
        <f>_xlfn.TEXTBEFORE(_xlfn.TEXTAFTER(CantoralDB[[#This Row],[index.html]],"&gt;"),"&gt;")&amp;"&gt;"</f>
        <v>&lt;a href="canciones/francisco_palazon/ven_a_salvar_a_tu_pueblo.html"&gt;</v>
      </c>
      <c r="Y906"/>
      <c r="AB906" s="1"/>
      <c r="AC906" s="1"/>
    </row>
    <row r="907" spans="1:29" x14ac:dyDescent="0.3">
      <c r="A907" s="1">
        <f>ROW(CantoralDB[[#This Row],[Título]])-1</f>
        <v>906</v>
      </c>
      <c r="B907" s="1" t="s">
        <v>1985</v>
      </c>
      <c r="C907" s="1"/>
      <c r="H907" s="1" t="s">
        <v>1026</v>
      </c>
      <c r="I907" s="1" t="s">
        <v>2948</v>
      </c>
      <c r="J907" s="1" t="s">
        <v>605</v>
      </c>
      <c r="M907" s="15" t="s">
        <v>260</v>
      </c>
      <c r="N907" s="1" t="s">
        <v>1938</v>
      </c>
      <c r="O907" s="15">
        <v>1</v>
      </c>
      <c r="P907" s="15">
        <v>2023</v>
      </c>
      <c r="Q907" s="15" t="str" cm="1">
        <f t="array" ref="Q9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07" s="15" t="str" cm="1">
        <f t="array" ref="R9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canciones/hakuna/olor_a_tostadas.html</v>
      </c>
      <c r="T907" s="1"/>
      <c r="U907" s="1"/>
      <c r="V907" s="32" t="s">
        <v>4236</v>
      </c>
      <c r="W9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href="canciones/hakuna/olor_a_tostadas.html"&gt;Olor a tostadas&lt;/a&gt;&lt;/li&gt;</v>
      </c>
      <c r="X907" s="15" t="str">
        <f>_xlfn.TEXTBEFORE(_xlfn.TEXTAFTER(CantoralDB[[#This Row],[index.html]],"&gt;"),"&gt;")&amp;"&gt;"</f>
        <v>&lt;a href="canciones/hakuna/olor_a_tostadas.html"&gt;</v>
      </c>
      <c r="Y907"/>
      <c r="AB907" s="1"/>
      <c r="AC907" s="1"/>
    </row>
    <row r="908" spans="1:29" x14ac:dyDescent="0.3">
      <c r="A908" s="1">
        <f>ROW(CantoralDB[[#This Row],[Título]])-1</f>
        <v>907</v>
      </c>
      <c r="B908" s="1" t="s">
        <v>1956</v>
      </c>
      <c r="C908" s="1"/>
      <c r="H908" s="1" t="s">
        <v>1027</v>
      </c>
      <c r="J908" s="1" t="s">
        <v>605</v>
      </c>
      <c r="M908" s="15" t="s">
        <v>260</v>
      </c>
      <c r="N908" s="1" t="s">
        <v>1938</v>
      </c>
      <c r="O908" s="15">
        <v>2</v>
      </c>
      <c r="P908" s="15">
        <v>2023</v>
      </c>
      <c r="Q908" s="15" t="str" cm="1">
        <f t="array" ref="Q9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08" s="15" t="str" cm="1">
        <f t="array" ref="R9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canciones/hakuna/baila_y_dejate_de_historias.html</v>
      </c>
      <c r="T908" s="1"/>
      <c r="U908" s="1"/>
      <c r="V908" s="32" t="s">
        <v>4237</v>
      </c>
      <c r="W9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href="canciones/hakuna/baila_y_dejate_de_historias.html"&gt;Baila y déjate de historias&lt;/a&gt;&lt;/li&gt;</v>
      </c>
      <c r="X908" s="15" t="str">
        <f>_xlfn.TEXTBEFORE(_xlfn.TEXTAFTER(CantoralDB[[#This Row],[index.html]],"&gt;"),"&gt;")&amp;"&gt;"</f>
        <v>&lt;a href="canciones/hakuna/baila_y_dejate_de_historias.html"&gt;</v>
      </c>
      <c r="Y908"/>
      <c r="AB908" s="1"/>
      <c r="AC908" s="1"/>
    </row>
    <row r="909" spans="1:29" x14ac:dyDescent="0.3">
      <c r="A909" s="1">
        <f>ROW(CantoralDB[[#This Row],[Título]])-1</f>
        <v>908</v>
      </c>
      <c r="B909" s="1" t="s">
        <v>1948</v>
      </c>
      <c r="C909" s="1"/>
      <c r="H909" s="1" t="s">
        <v>529</v>
      </c>
      <c r="I909" s="1" t="s">
        <v>2948</v>
      </c>
      <c r="J909" s="1" t="s">
        <v>605</v>
      </c>
      <c r="M909" s="15" t="s">
        <v>260</v>
      </c>
      <c r="N909" s="1" t="s">
        <v>1938</v>
      </c>
      <c r="O909" s="15">
        <v>3</v>
      </c>
      <c r="P909" s="15">
        <v>2023</v>
      </c>
      <c r="Q909" s="15" t="str" cm="1">
        <f t="array" ref="Q9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09" s="15" t="str" cm="1">
        <f t="array" ref="R9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canciones/hakuna/ojala.html</v>
      </c>
      <c r="T909" s="1"/>
      <c r="U909" s="1"/>
      <c r="V909" s="32" t="s">
        <v>4238</v>
      </c>
      <c r="W9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href="canciones/hakuna/ojala.html"&gt;Ojalá&lt;/a&gt;&lt;/li&gt;</v>
      </c>
      <c r="X909" s="15" t="str">
        <f>_xlfn.TEXTBEFORE(_xlfn.TEXTAFTER(CantoralDB[[#This Row],[index.html]],"&gt;"),"&gt;")&amp;"&gt;"</f>
        <v>&lt;a href="canciones/hakuna/ojala.html"&gt;</v>
      </c>
      <c r="Y909"/>
      <c r="AB909" s="1"/>
      <c r="AC909" s="1"/>
    </row>
    <row r="910" spans="1:29" x14ac:dyDescent="0.3">
      <c r="A910" s="1">
        <f>ROW(CantoralDB[[#This Row],[Título]])-1</f>
        <v>909</v>
      </c>
      <c r="B910" s="1" t="s">
        <v>1991</v>
      </c>
      <c r="C910" s="1"/>
      <c r="H910" s="1" t="s">
        <v>1026</v>
      </c>
      <c r="J910" s="1" t="s">
        <v>605</v>
      </c>
      <c r="M910" s="15" t="s">
        <v>260</v>
      </c>
      <c r="N910" s="1" t="s">
        <v>1938</v>
      </c>
      <c r="O910" s="15">
        <v>4</v>
      </c>
      <c r="P910" s="15">
        <v>2023</v>
      </c>
      <c r="Q910" s="15" t="str" cm="1">
        <f t="array" ref="Q9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0" s="15" t="str" cm="1">
        <f t="array" ref="R9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canciones/hakuna/cuarto_lugar.html</v>
      </c>
      <c r="T910" s="1"/>
      <c r="U910" s="1"/>
      <c r="V910" s="32" t="s">
        <v>4239</v>
      </c>
      <c r="W9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href="canciones/hakuna/cuarto_lugar.html"&gt;Cuarto lugar&lt;/a&gt;&lt;/li&gt;</v>
      </c>
      <c r="X910" s="15" t="str">
        <f>_xlfn.TEXTBEFORE(_xlfn.TEXTAFTER(CantoralDB[[#This Row],[index.html]],"&gt;"),"&gt;")&amp;"&gt;"</f>
        <v>&lt;a href="canciones/hakuna/cuarto_lugar.html"&gt;</v>
      </c>
      <c r="Y910"/>
      <c r="AB910" s="1"/>
      <c r="AC910" s="1"/>
    </row>
    <row r="911" spans="1:29" x14ac:dyDescent="0.3">
      <c r="A911" s="1">
        <f>ROW(CantoralDB[[#This Row],[Título]])-1</f>
        <v>910</v>
      </c>
      <c r="B911" s="1" t="s">
        <v>1938</v>
      </c>
      <c r="C911" s="1"/>
      <c r="H911" s="1" t="s">
        <v>529</v>
      </c>
      <c r="I911" s="1" t="s">
        <v>2948</v>
      </c>
      <c r="J911" s="1" t="s">
        <v>605</v>
      </c>
      <c r="M911" s="15" t="s">
        <v>260</v>
      </c>
      <c r="N911" s="1" t="s">
        <v>1938</v>
      </c>
      <c r="O911" s="15">
        <v>5</v>
      </c>
      <c r="P911" s="15">
        <v>2023</v>
      </c>
      <c r="Q911" s="15" t="str" cm="1">
        <f t="array" ref="Q9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1" s="15" t="str" cm="1">
        <f t="array" ref="R9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canciones/hakuna/capricho.html</v>
      </c>
      <c r="T911" s="1"/>
      <c r="U911" s="1"/>
      <c r="V911" s="32" t="s">
        <v>4240</v>
      </c>
      <c r="W9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href="canciones/hakuna/capricho.html"&gt;Capricho&lt;/a&gt;&lt;/li&gt;</v>
      </c>
      <c r="X911" s="15" t="str">
        <f>_xlfn.TEXTBEFORE(_xlfn.TEXTAFTER(CantoralDB[[#This Row],[index.html]],"&gt;"),"&gt;")&amp;"&gt;"</f>
        <v>&lt;a href="canciones/hakuna/capricho.html"&gt;</v>
      </c>
      <c r="Y911"/>
      <c r="AB911" s="1"/>
      <c r="AC911" s="1"/>
    </row>
    <row r="912" spans="1:29" x14ac:dyDescent="0.3">
      <c r="A912" s="1">
        <f>ROW(CantoralDB[[#This Row],[Título]])-1</f>
        <v>911</v>
      </c>
      <c r="B912" s="1" t="s">
        <v>1984</v>
      </c>
      <c r="C912" s="1"/>
      <c r="H912" s="1" t="s">
        <v>1024</v>
      </c>
      <c r="I912" s="1" t="s">
        <v>2946</v>
      </c>
      <c r="J912" s="1" t="s">
        <v>605</v>
      </c>
      <c r="M912" s="15" t="s">
        <v>260</v>
      </c>
      <c r="N912" s="1" t="s">
        <v>1938</v>
      </c>
      <c r="O912" s="15">
        <v>6</v>
      </c>
      <c r="P912" s="15">
        <v>2023</v>
      </c>
      <c r="Q912" s="15" t="str" cm="1">
        <f t="array" ref="Q9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2" s="15" t="str" cm="1">
        <f t="array" ref="R9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canciones/hakuna/pluma_de_escribano.html</v>
      </c>
      <c r="T912" s="1"/>
      <c r="U912" s="1"/>
      <c r="V912" s="32" t="s">
        <v>4241</v>
      </c>
      <c r="W9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href="canciones/hakuna/pluma_de_escribano.html"&gt;Pluma de escribano&lt;/a&gt;&lt;/li&gt;</v>
      </c>
      <c r="X912" s="15" t="str">
        <f>_xlfn.TEXTBEFORE(_xlfn.TEXTAFTER(CantoralDB[[#This Row],[index.html]],"&gt;"),"&gt;")&amp;"&gt;"</f>
        <v>&lt;a href="canciones/hakuna/pluma_de_escribano.html"&gt;</v>
      </c>
      <c r="Y912"/>
      <c r="AB912" s="1"/>
      <c r="AC912" s="1"/>
    </row>
    <row r="913" spans="1:29" x14ac:dyDescent="0.3">
      <c r="A913" s="1">
        <f>ROW(CantoralDB[[#This Row],[Título]])-1</f>
        <v>912</v>
      </c>
      <c r="B913" s="1" t="s">
        <v>1983</v>
      </c>
      <c r="C913" s="1"/>
      <c r="H913" s="1" t="s">
        <v>1027</v>
      </c>
      <c r="I913" s="1" t="s">
        <v>2948</v>
      </c>
      <c r="J913" s="1" t="s">
        <v>605</v>
      </c>
      <c r="M913" s="15" t="s">
        <v>260</v>
      </c>
      <c r="N913" s="1" t="s">
        <v>1938</v>
      </c>
      <c r="O913" s="15">
        <v>7</v>
      </c>
      <c r="P913" s="15">
        <v>2023</v>
      </c>
      <c r="Q913" s="15" t="str" cm="1">
        <f t="array" ref="Q9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3" s="15" t="str" cm="1">
        <f t="array" ref="R9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canciones/hakuna/nacidos_de_lo_alto.html</v>
      </c>
      <c r="T913" s="1"/>
      <c r="U913" s="1"/>
      <c r="V913" s="32" t="s">
        <v>4242</v>
      </c>
      <c r="W9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href="canciones/hakuna/nacidos_de_lo_alto.html"&gt;Nacidos de lo alto&lt;/a&gt;&lt;/li&gt;</v>
      </c>
      <c r="X913" s="15" t="str">
        <f>_xlfn.TEXTBEFORE(_xlfn.TEXTAFTER(CantoralDB[[#This Row],[index.html]],"&gt;"),"&gt;")&amp;"&gt;"</f>
        <v>&lt;a href="canciones/hakuna/nacidos_de_lo_alto.html"&gt;</v>
      </c>
      <c r="Y913"/>
      <c r="AB913" s="1"/>
      <c r="AC913" s="1"/>
    </row>
    <row r="914" spans="1:29" x14ac:dyDescent="0.3">
      <c r="A914" s="1">
        <f>ROW(CantoralDB[[#This Row],[Título]])-1</f>
        <v>913</v>
      </c>
      <c r="B914" s="1" t="s">
        <v>1990</v>
      </c>
      <c r="C914" s="1"/>
      <c r="H914" s="1" t="s">
        <v>529</v>
      </c>
      <c r="I914" s="1" t="s">
        <v>2948</v>
      </c>
      <c r="J914" s="1" t="s">
        <v>605</v>
      </c>
      <c r="M914" s="15" t="s">
        <v>260</v>
      </c>
      <c r="N914" s="1" t="s">
        <v>1938</v>
      </c>
      <c r="O914" s="15">
        <v>8</v>
      </c>
      <c r="P914" s="15">
        <v>2023</v>
      </c>
      <c r="Q914" s="15" t="str" cm="1">
        <f t="array" ref="Q9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4" s="15" t="str" cm="1">
        <f t="array" ref="R9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canciones/hakuna/por_que_lloras.html</v>
      </c>
      <c r="T914" s="1"/>
      <c r="U914" s="1"/>
      <c r="V914" s="32" t="s">
        <v>4243</v>
      </c>
      <c r="W9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href="canciones/hakuna/por_que_lloras.html"&gt;Por qué lloras&lt;/a&gt;&lt;/li&gt;</v>
      </c>
      <c r="X914" s="15" t="str">
        <f>_xlfn.TEXTBEFORE(_xlfn.TEXTAFTER(CantoralDB[[#This Row],[index.html]],"&gt;"),"&gt;")&amp;"&gt;"</f>
        <v>&lt;a href="canciones/hakuna/por_que_lloras.html"&gt;</v>
      </c>
      <c r="Y914"/>
      <c r="AB914" s="1"/>
      <c r="AC914" s="1"/>
    </row>
    <row r="915" spans="1:29" x14ac:dyDescent="0.3">
      <c r="A915" s="1">
        <f>ROW(CantoralDB[[#This Row],[Título]])-1</f>
        <v>914</v>
      </c>
      <c r="B915" s="1" t="s">
        <v>1988</v>
      </c>
      <c r="C915" s="1"/>
      <c r="H915" s="1" t="s">
        <v>529</v>
      </c>
      <c r="I915" s="1" t="s">
        <v>2947</v>
      </c>
      <c r="J915" s="1" t="s">
        <v>605</v>
      </c>
      <c r="M915" s="15" t="s">
        <v>260</v>
      </c>
      <c r="N915" s="1" t="s">
        <v>1938</v>
      </c>
      <c r="O915" s="15">
        <v>9</v>
      </c>
      <c r="P915" s="15">
        <v>2023</v>
      </c>
      <c r="Q915" s="15" t="str" cm="1">
        <f t="array" ref="Q9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5" s="15" t="str" cm="1">
        <f t="array" ref="R9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canciones/hakuna/entre_anestesias.html</v>
      </c>
      <c r="T915" s="1"/>
      <c r="U915" s="1"/>
      <c r="V915" s="32" t="s">
        <v>4244</v>
      </c>
      <c r="W9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href="canciones/hakuna/entre_anestesias.html"&gt;Entre anestesias&lt;/a&gt;&lt;/li&gt;</v>
      </c>
      <c r="X915" s="15" t="str">
        <f>_xlfn.TEXTBEFORE(_xlfn.TEXTAFTER(CantoralDB[[#This Row],[index.html]],"&gt;"),"&gt;")&amp;"&gt;"</f>
        <v>&lt;a href="canciones/hakuna/entre_anestesias.html"&gt;</v>
      </c>
      <c r="Y915"/>
      <c r="AB915" s="1"/>
      <c r="AC915" s="1"/>
    </row>
    <row r="916" spans="1:29" x14ac:dyDescent="0.3">
      <c r="A916" s="1">
        <f>ROW(CantoralDB[[#This Row],[Título]])-1</f>
        <v>915</v>
      </c>
      <c r="B916" s="1" t="s">
        <v>1986</v>
      </c>
      <c r="C916" s="1"/>
      <c r="H916" s="1" t="s">
        <v>529</v>
      </c>
      <c r="I916" s="1" t="s">
        <v>2948</v>
      </c>
      <c r="J916" s="1" t="s">
        <v>605</v>
      </c>
      <c r="M916" s="15" t="s">
        <v>260</v>
      </c>
      <c r="N916" s="1" t="s">
        <v>1938</v>
      </c>
      <c r="O916" s="15">
        <v>10</v>
      </c>
      <c r="P916" s="15">
        <v>2023</v>
      </c>
      <c r="Q916" s="15" t="str" cm="1">
        <f t="array" ref="Q9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6" s="15" t="str" cm="1">
        <f t="array" ref="R9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canciones/hakuna/dime_padre.html</v>
      </c>
      <c r="T916" s="1"/>
      <c r="U916" s="1"/>
      <c r="V916" s="32" t="s">
        <v>4245</v>
      </c>
      <c r="W9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href="canciones/hakuna/dime_padre.html"&gt;Dime, Padre&lt;/a&gt;&lt;/li&gt;</v>
      </c>
      <c r="X916" s="15" t="str">
        <f>_xlfn.TEXTBEFORE(_xlfn.TEXTAFTER(CantoralDB[[#This Row],[index.html]],"&gt;"),"&gt;")&amp;"&gt;"</f>
        <v>&lt;a href="canciones/hakuna/dime_padre.html"&gt;</v>
      </c>
      <c r="Y916"/>
      <c r="AB916" s="1"/>
      <c r="AC916" s="1"/>
    </row>
    <row r="917" spans="1:29" x14ac:dyDescent="0.3">
      <c r="A917" s="1">
        <f>ROW(CantoralDB[[#This Row],[Título]])-1</f>
        <v>916</v>
      </c>
      <c r="B917" s="1" t="s">
        <v>1989</v>
      </c>
      <c r="C917" s="1"/>
      <c r="H917" s="1" t="s">
        <v>1026</v>
      </c>
      <c r="I917" s="1" t="s">
        <v>2948</v>
      </c>
      <c r="J917" s="1" t="s">
        <v>605</v>
      </c>
      <c r="M917" s="15" t="s">
        <v>260</v>
      </c>
      <c r="N917" s="1" t="s">
        <v>1938</v>
      </c>
      <c r="O917" s="15">
        <v>11</v>
      </c>
      <c r="P917" s="15">
        <v>2023</v>
      </c>
      <c r="Q917" s="15" t="str" cm="1">
        <f t="array" ref="Q9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7" s="15" t="str" cm="1">
        <f t="array" ref="R9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canciones/hakuna/exulte_mi_alma.html</v>
      </c>
      <c r="T917" s="1"/>
      <c r="U917" s="1"/>
      <c r="V917" s="32" t="s">
        <v>4246</v>
      </c>
      <c r="W9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href="canciones/hakuna/exulte_mi_alma.html"&gt;Exulte mi alma&lt;/a&gt;&lt;/li&gt;</v>
      </c>
      <c r="X917" s="15" t="str">
        <f>_xlfn.TEXTBEFORE(_xlfn.TEXTAFTER(CantoralDB[[#This Row],[index.html]],"&gt;"),"&gt;")&amp;"&gt;"</f>
        <v>&lt;a href="canciones/hakuna/exulte_mi_alma.html"&gt;</v>
      </c>
      <c r="Y917"/>
      <c r="AB917" s="1"/>
      <c r="AC917" s="1"/>
    </row>
    <row r="918" spans="1:29" x14ac:dyDescent="0.3">
      <c r="A918" s="1">
        <f>ROW(CantoralDB[[#This Row],[Título]])-1</f>
        <v>917</v>
      </c>
      <c r="B918" s="1" t="s">
        <v>1999</v>
      </c>
      <c r="C918" s="1"/>
      <c r="H918" s="1" t="s">
        <v>1027</v>
      </c>
      <c r="J918" s="1" t="s">
        <v>605</v>
      </c>
      <c r="M918" s="15" t="s">
        <v>260</v>
      </c>
      <c r="N918" s="1" t="s">
        <v>1992</v>
      </c>
      <c r="O918" s="15">
        <v>1</v>
      </c>
      <c r="P918" s="15">
        <v>2025</v>
      </c>
      <c r="Q918" s="15" t="str" cm="1">
        <f t="array" ref="Q9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8" s="15" t="str" cm="1">
        <f t="array" ref="R9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canciones/hakuna/un_sitio.html</v>
      </c>
      <c r="T918" s="1"/>
      <c r="U918" s="1"/>
      <c r="V918" s="32" t="s">
        <v>4247</v>
      </c>
      <c r="W9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href="canciones/hakuna/un_sitio.html"&gt;Un sitio&lt;/a&gt;&lt;/li&gt;</v>
      </c>
      <c r="X918" s="15" t="str">
        <f>_xlfn.TEXTBEFORE(_xlfn.TEXTAFTER(CantoralDB[[#This Row],[index.html]],"&gt;"),"&gt;")&amp;"&gt;"</f>
        <v>&lt;a href="canciones/hakuna/un_sitio.html"&gt;</v>
      </c>
      <c r="Y918"/>
      <c r="AB918" s="1"/>
      <c r="AC918" s="1"/>
    </row>
    <row r="919" spans="1:29" x14ac:dyDescent="0.3">
      <c r="A919" s="1">
        <f>ROW(CantoralDB[[#This Row],[Título]])-1</f>
        <v>918</v>
      </c>
      <c r="B919" s="1" t="s">
        <v>1992</v>
      </c>
      <c r="C919" s="1"/>
      <c r="H919" s="1" t="s">
        <v>1027</v>
      </c>
      <c r="J919" s="1" t="s">
        <v>605</v>
      </c>
      <c r="M919" s="15" t="s">
        <v>260</v>
      </c>
      <c r="N919" s="1" t="s">
        <v>1992</v>
      </c>
      <c r="O919" s="15">
        <v>2</v>
      </c>
      <c r="P919" s="15">
        <v>2025</v>
      </c>
      <c r="Q919" s="15" t="str" cm="1">
        <f t="array" ref="Q9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19" s="15" t="str" cm="1">
        <f t="array" ref="R9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canciones/hakuna/el_arte_de_vivir.html</v>
      </c>
      <c r="T919" s="1"/>
      <c r="U919" s="1"/>
      <c r="V919" s="32" t="s">
        <v>4248</v>
      </c>
      <c r="W9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href="canciones/hakuna/el_arte_de_vivir.html"&gt;El arte de vivir&lt;/a&gt;&lt;/li&gt;</v>
      </c>
      <c r="X919" s="15" t="str">
        <f>_xlfn.TEXTBEFORE(_xlfn.TEXTAFTER(CantoralDB[[#This Row],[index.html]],"&gt;"),"&gt;")&amp;"&gt;"</f>
        <v>&lt;a href="canciones/hakuna/el_arte_de_vivir.html"&gt;</v>
      </c>
      <c r="Y919"/>
      <c r="AB919" s="1"/>
      <c r="AC919" s="1"/>
    </row>
    <row r="920" spans="1:29" x14ac:dyDescent="0.3">
      <c r="A920" s="1">
        <f>ROW(CantoralDB[[#This Row],[Título]])-1</f>
        <v>919</v>
      </c>
      <c r="B920" s="1" t="s">
        <v>1993</v>
      </c>
      <c r="C920" s="1"/>
      <c r="H920" s="1" t="s">
        <v>529</v>
      </c>
      <c r="I920" s="1" t="s">
        <v>2947</v>
      </c>
      <c r="J920" s="1" t="s">
        <v>605</v>
      </c>
      <c r="M920" s="15" t="s">
        <v>260</v>
      </c>
      <c r="N920" s="1" t="s">
        <v>1992</v>
      </c>
      <c r="O920" s="15">
        <v>3</v>
      </c>
      <c r="P920" s="15">
        <v>2025</v>
      </c>
      <c r="Q920" s="15" t="str" cm="1">
        <f t="array" ref="Q9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0" s="15" t="str" cm="1">
        <f t="array" ref="R9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canciones/hakuna/mi_amado.html</v>
      </c>
      <c r="T920" s="1"/>
      <c r="U920" s="1"/>
      <c r="V920" s="32" t="s">
        <v>4249</v>
      </c>
      <c r="W9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href="canciones/hakuna/mi_amado.html"&gt;Mi amado&lt;/a&gt;&lt;/li&gt;</v>
      </c>
      <c r="X920" s="15" t="str">
        <f>_xlfn.TEXTBEFORE(_xlfn.TEXTAFTER(CantoralDB[[#This Row],[index.html]],"&gt;"),"&gt;")&amp;"&gt;"</f>
        <v>&lt;a href="canciones/hakuna/mi_amado.html"&gt;</v>
      </c>
      <c r="Y920"/>
      <c r="AB920" s="1"/>
      <c r="AC920" s="1"/>
    </row>
    <row r="921" spans="1:29" x14ac:dyDescent="0.3">
      <c r="A921" s="1">
        <f>ROW(CantoralDB[[#This Row],[Título]])-1</f>
        <v>920</v>
      </c>
      <c r="B921" s="1" t="s">
        <v>1995</v>
      </c>
      <c r="C921" s="1"/>
      <c r="H921" s="1" t="s">
        <v>529</v>
      </c>
      <c r="I921" s="1" t="s">
        <v>2949</v>
      </c>
      <c r="J921" s="1" t="s">
        <v>605</v>
      </c>
      <c r="M921" s="15" t="s">
        <v>260</v>
      </c>
      <c r="N921" s="1" t="s">
        <v>1992</v>
      </c>
      <c r="O921" s="15">
        <v>4</v>
      </c>
      <c r="P921" s="15">
        <v>2025</v>
      </c>
      <c r="Q921" s="15" t="str" cm="1">
        <f t="array" ref="Q9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1" s="15" t="str" cm="1">
        <f t="array" ref="R9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canciones/hakuna/la_fila.html</v>
      </c>
      <c r="T921" s="1"/>
      <c r="U921" s="1"/>
      <c r="V921" s="32" t="s">
        <v>4250</v>
      </c>
      <c r="W9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href="canciones/hakuna/la_fila.html"&gt;La fila&lt;/a&gt;&lt;/li&gt;</v>
      </c>
      <c r="X921" s="15" t="str">
        <f>_xlfn.TEXTBEFORE(_xlfn.TEXTAFTER(CantoralDB[[#This Row],[index.html]],"&gt;"),"&gt;")&amp;"&gt;"</f>
        <v>&lt;a href="canciones/hakuna/la_fila.html"&gt;</v>
      </c>
      <c r="Y921"/>
      <c r="AB921" s="1"/>
      <c r="AC921" s="1"/>
    </row>
    <row r="922" spans="1:29" x14ac:dyDescent="0.3">
      <c r="A922" s="1">
        <f>ROW(CantoralDB[[#This Row],[Título]])-1</f>
        <v>921</v>
      </c>
      <c r="B922" s="1" t="s">
        <v>2855</v>
      </c>
      <c r="C922" s="1"/>
      <c r="H922" s="1" t="s">
        <v>1027</v>
      </c>
      <c r="I922" s="1" t="s">
        <v>2950</v>
      </c>
      <c r="J922" s="1" t="s">
        <v>605</v>
      </c>
      <c r="M922" s="15" t="s">
        <v>260</v>
      </c>
      <c r="N922" s="1" t="s">
        <v>1992</v>
      </c>
      <c r="O922" s="15">
        <v>5</v>
      </c>
      <c r="P922" s="15">
        <v>2025</v>
      </c>
      <c r="Q922" s="15" t="str" cm="1">
        <f t="array" ref="Q9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2" s="15" t="str" cm="1">
        <f t="array" ref="R9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canciones/hakuna/loco.html</v>
      </c>
      <c r="T922" s="1"/>
      <c r="U922" s="1"/>
      <c r="V922" s="32" t="s">
        <v>4251</v>
      </c>
      <c r="W9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href="canciones/hakuna/loco.html"&gt;Loco&lt;/a&gt;&lt;/li&gt;</v>
      </c>
      <c r="X922" s="15" t="str">
        <f>_xlfn.TEXTBEFORE(_xlfn.TEXTAFTER(CantoralDB[[#This Row],[index.html]],"&gt;"),"&gt;")&amp;"&gt;"</f>
        <v>&lt;a href="canciones/hakuna/loco.html"&gt;</v>
      </c>
      <c r="Y922"/>
      <c r="AB922" s="1"/>
      <c r="AC922" s="1"/>
    </row>
    <row r="923" spans="1:29" x14ac:dyDescent="0.3">
      <c r="A923" s="1">
        <f>ROW(CantoralDB[[#This Row],[Título]])-1</f>
        <v>922</v>
      </c>
      <c r="B923" s="1" t="s">
        <v>1997</v>
      </c>
      <c r="C923" s="1"/>
      <c r="H923" s="1" t="s">
        <v>529</v>
      </c>
      <c r="I923" s="1" t="s">
        <v>2947</v>
      </c>
      <c r="J923" s="1" t="s">
        <v>605</v>
      </c>
      <c r="M923" s="15" t="s">
        <v>260</v>
      </c>
      <c r="N923" s="1" t="s">
        <v>1992</v>
      </c>
      <c r="O923" s="15">
        <v>6</v>
      </c>
      <c r="P923" s="15">
        <v>2025</v>
      </c>
      <c r="Q923" s="15" t="str" cm="1">
        <f t="array" ref="Q9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3" s="15" t="str" cm="1">
        <f t="array" ref="R9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canciones/hakuna/no_te_vas.html</v>
      </c>
      <c r="T923" s="1"/>
      <c r="U923" s="1"/>
      <c r="V923" s="32" t="s">
        <v>4252</v>
      </c>
      <c r="W9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href="canciones/hakuna/no_te_vas.html"&gt;No te vas&lt;/a&gt;&lt;/li&gt;</v>
      </c>
      <c r="X923" s="15" t="str">
        <f>_xlfn.TEXTBEFORE(_xlfn.TEXTAFTER(CantoralDB[[#This Row],[index.html]],"&gt;"),"&gt;")&amp;"&gt;"</f>
        <v>&lt;a href="canciones/hakuna/no_te_vas.html"&gt;</v>
      </c>
      <c r="Y923"/>
      <c r="AB923" s="1"/>
      <c r="AC923" s="1"/>
    </row>
    <row r="924" spans="1:29" x14ac:dyDescent="0.3">
      <c r="A924" s="1">
        <f>ROW(CantoralDB[[#This Row],[Título]])-1</f>
        <v>923</v>
      </c>
      <c r="B924" s="1" t="s">
        <v>2000</v>
      </c>
      <c r="C924" s="1"/>
      <c r="H924" s="1" t="s">
        <v>529</v>
      </c>
      <c r="J924" s="1" t="s">
        <v>605</v>
      </c>
      <c r="M924" s="15" t="s">
        <v>260</v>
      </c>
      <c r="N924" s="1" t="s">
        <v>1992</v>
      </c>
      <c r="O924" s="15">
        <v>7</v>
      </c>
      <c r="P924" s="15">
        <v>2025</v>
      </c>
      <c r="Q924" s="15" t="str" cm="1">
        <f t="array" ref="Q9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4" s="15" t="str" cm="1">
        <f t="array" ref="R9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canciones/hakuna/nada.html</v>
      </c>
      <c r="T924" s="1"/>
      <c r="U924" s="1"/>
      <c r="V924" s="32" t="s">
        <v>4253</v>
      </c>
      <c r="W9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href="canciones/hakuna/nada.html"&gt;Nada&lt;/a&gt;&lt;/li&gt;</v>
      </c>
      <c r="X924" s="15" t="str">
        <f>_xlfn.TEXTBEFORE(_xlfn.TEXTAFTER(CantoralDB[[#This Row],[index.html]],"&gt;"),"&gt;")&amp;"&gt;"</f>
        <v>&lt;a href="canciones/hakuna/nada.html"&gt;</v>
      </c>
      <c r="Y924"/>
      <c r="AB924" s="1"/>
      <c r="AC924" s="1"/>
    </row>
    <row r="925" spans="1:29" x14ac:dyDescent="0.3">
      <c r="A925" s="1">
        <f>ROW(CantoralDB[[#This Row],[Título]])-1</f>
        <v>924</v>
      </c>
      <c r="B925" s="1" t="s">
        <v>1996</v>
      </c>
      <c r="C925" s="1"/>
      <c r="H925" s="1" t="s">
        <v>529</v>
      </c>
      <c r="I925" s="1" t="s">
        <v>2947</v>
      </c>
      <c r="J925" s="1" t="s">
        <v>605</v>
      </c>
      <c r="M925" s="15" t="s">
        <v>260</v>
      </c>
      <c r="N925" s="1" t="s">
        <v>1992</v>
      </c>
      <c r="O925" s="15">
        <v>8</v>
      </c>
      <c r="P925" s="15">
        <v>2025</v>
      </c>
      <c r="Q925" s="15" t="str" cm="1">
        <f t="array" ref="Q9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5" s="15" t="str" cm="1">
        <f t="array" ref="R9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canciones/hakuna/trueno.html</v>
      </c>
      <c r="T925" s="1"/>
      <c r="U925" s="1"/>
      <c r="V925" s="32" t="s">
        <v>4254</v>
      </c>
      <c r="W9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href="canciones/hakuna/trueno.html"&gt;Trueno&lt;/a&gt;&lt;/li&gt;</v>
      </c>
      <c r="X925" s="15" t="str">
        <f>_xlfn.TEXTBEFORE(_xlfn.TEXTAFTER(CantoralDB[[#This Row],[index.html]],"&gt;"),"&gt;")&amp;"&gt;"</f>
        <v>&lt;a href="canciones/hakuna/trueno.html"&gt;</v>
      </c>
      <c r="Y925"/>
      <c r="AB925" s="1"/>
      <c r="AC925" s="1"/>
    </row>
    <row r="926" spans="1:29" x14ac:dyDescent="0.3">
      <c r="A926" s="1">
        <f>ROW(CantoralDB[[#This Row],[Título]])-1</f>
        <v>925</v>
      </c>
      <c r="B926" s="1" t="s">
        <v>1994</v>
      </c>
      <c r="C926" s="1"/>
      <c r="H926" s="1" t="s">
        <v>1026</v>
      </c>
      <c r="J926" s="1" t="s">
        <v>605</v>
      </c>
      <c r="M926" s="15" t="s">
        <v>260</v>
      </c>
      <c r="N926" s="1" t="s">
        <v>1992</v>
      </c>
      <c r="O926" s="15">
        <v>9</v>
      </c>
      <c r="P926" s="15">
        <v>2025</v>
      </c>
      <c r="Q926" s="15" t="str" cm="1">
        <f t="array" ref="Q9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6" s="15" t="str" cm="1">
        <f t="array" ref="R9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canciones/hakuna/el_rey_de_la_gloria.html</v>
      </c>
      <c r="T926" s="1"/>
      <c r="U926" s="1"/>
      <c r="V926" s="32" t="s">
        <v>4255</v>
      </c>
      <c r="W9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href="canciones/hakuna/el_rey_de_la_gloria.html"&gt;El Rey de la Gloria&lt;/a&gt;&lt;/li&gt;</v>
      </c>
      <c r="X926" s="15" t="str">
        <f>_xlfn.TEXTBEFORE(_xlfn.TEXTAFTER(CantoralDB[[#This Row],[index.html]],"&gt;"),"&gt;")&amp;"&gt;"</f>
        <v>&lt;a href="canciones/hakuna/el_rey_de_la_gloria.html"&gt;</v>
      </c>
      <c r="Y926"/>
      <c r="AB926" s="1"/>
      <c r="AC926" s="1"/>
    </row>
    <row r="927" spans="1:29" x14ac:dyDescent="0.3">
      <c r="A927" s="1">
        <f>ROW(CantoralDB[[#This Row],[Título]])-1</f>
        <v>926</v>
      </c>
      <c r="B927" s="1" t="s">
        <v>1955</v>
      </c>
      <c r="C927" s="1"/>
      <c r="H927" s="1" t="s">
        <v>472</v>
      </c>
      <c r="J927" s="1" t="s">
        <v>605</v>
      </c>
      <c r="M927" s="15" t="s">
        <v>260</v>
      </c>
      <c r="N927" s="1" t="s">
        <v>260</v>
      </c>
      <c r="O927" s="15">
        <v>1</v>
      </c>
      <c r="P927" s="15">
        <v>2015</v>
      </c>
      <c r="Q927" s="15" t="str" cm="1">
        <f t="array" ref="Q9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7" s="15" t="str" cm="1">
        <f t="array" ref="R9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canciones/hakuna/al_estar_en_la_presencia.html</v>
      </c>
      <c r="T927" s="1"/>
      <c r="U927" s="1"/>
      <c r="V927" s="32" t="s">
        <v>4259</v>
      </c>
      <c r="W9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href="canciones/hakuna/al_estar_en_la_presencia.html"&gt;Al estar en la presencia&lt;/a&gt;&lt;/li&gt;</v>
      </c>
      <c r="X927" s="15" t="str">
        <f>_xlfn.TEXTBEFORE(_xlfn.TEXTAFTER(CantoralDB[[#This Row],[index.html]],"&gt;"),"&gt;")&amp;"&gt;"</f>
        <v>&lt;a href="canciones/hakuna/al_estar_en_la_presencia.html"&gt;</v>
      </c>
      <c r="Y927"/>
      <c r="AB927" s="1"/>
      <c r="AC927" s="1"/>
    </row>
    <row r="928" spans="1:29" x14ac:dyDescent="0.3">
      <c r="A928" s="1">
        <f>ROW(CantoralDB[[#This Row],[Título]])-1</f>
        <v>927</v>
      </c>
      <c r="B928" s="1" t="s">
        <v>263</v>
      </c>
      <c r="C928" s="1" t="s">
        <v>190</v>
      </c>
      <c r="D928" s="1" t="s">
        <v>735</v>
      </c>
      <c r="G928" s="1" t="s">
        <v>260</v>
      </c>
      <c r="H928" s="1" t="s">
        <v>1026</v>
      </c>
      <c r="J928" s="1" t="s">
        <v>605</v>
      </c>
      <c r="M928" s="15" t="s">
        <v>260</v>
      </c>
      <c r="N928" s="1" t="s">
        <v>260</v>
      </c>
      <c r="O928" s="15">
        <v>2</v>
      </c>
      <c r="P928" s="15">
        <v>2015</v>
      </c>
      <c r="Q928" s="15" t="str" cm="1">
        <f t="array" ref="Q9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8" s="15" t="str" cm="1">
        <f t="array" ref="R9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canciones/hakuna/enciendeme.html</v>
      </c>
      <c r="T928" s="1"/>
      <c r="U928" s="1"/>
      <c r="V928" s="32" t="s">
        <v>4262</v>
      </c>
      <c r="W9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 data-momento="Entrada" data-nnew="A18"&gt;&lt;a href="canciones/hakuna/enciendeme.html"&gt;Enciéndeme&lt;/a&gt;&lt;/li&gt;</v>
      </c>
      <c r="X928" s="15" t="str">
        <f>_xlfn.TEXTBEFORE(_xlfn.TEXTAFTER(CantoralDB[[#This Row],[index.html]],"&gt;"),"&gt;")&amp;"&gt;"</f>
        <v>&lt;a href="canciones/hakuna/enciendeme.html"&gt;</v>
      </c>
      <c r="Y928"/>
      <c r="AB928" s="1"/>
      <c r="AC928" s="1"/>
    </row>
    <row r="929" spans="1:29" x14ac:dyDescent="0.3">
      <c r="A929" s="1">
        <f>ROW(CantoralDB[[#This Row],[Título]])-1</f>
        <v>928</v>
      </c>
      <c r="B929" s="1" t="s">
        <v>259</v>
      </c>
      <c r="C929" s="1" t="s">
        <v>990</v>
      </c>
      <c r="D929" s="1" t="s">
        <v>1006</v>
      </c>
      <c r="G929" s="1" t="s">
        <v>260</v>
      </c>
      <c r="H929" s="1" t="s">
        <v>1024</v>
      </c>
      <c r="I929" s="1" t="s">
        <v>2945</v>
      </c>
      <c r="J929" s="1" t="s">
        <v>605</v>
      </c>
      <c r="M929" s="15" t="s">
        <v>260</v>
      </c>
      <c r="N929" s="1" t="s">
        <v>260</v>
      </c>
      <c r="O929" s="15">
        <v>3</v>
      </c>
      <c r="P929" s="15">
        <v>2015</v>
      </c>
      <c r="Q929" s="15" t="str" cm="1">
        <f t="array" ref="Q9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29" s="15" t="str" cm="1">
        <f t="array" ref="R9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canciones/hakuna/tomad_comed.html</v>
      </c>
      <c r="T929" s="1" t="s">
        <v>861</v>
      </c>
      <c r="U929" s="1"/>
      <c r="V929" s="32" t="s">
        <v>4257</v>
      </c>
      <c r="W9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 data-momento="Comunión" data-nnew="K72"&gt;&lt;a href="canciones/hakuna/tomad_comed.html"&gt;Tomad, comed&lt;/a&gt;&lt;/li&gt;</v>
      </c>
      <c r="X929" s="15" t="str">
        <f>_xlfn.TEXTBEFORE(_xlfn.TEXTAFTER(CantoralDB[[#This Row],[index.html]],"&gt;"),"&gt;")&amp;"&gt;"</f>
        <v>&lt;a href="canciones/hakuna/tomad_comed.html"&gt;</v>
      </c>
      <c r="Y929"/>
      <c r="AB929" s="1"/>
      <c r="AC929" s="1"/>
    </row>
    <row r="930" spans="1:29" x14ac:dyDescent="0.3">
      <c r="A930" s="1">
        <f>ROW(CantoralDB[[#This Row],[Título]])-1</f>
        <v>929</v>
      </c>
      <c r="B930" s="1" t="s">
        <v>1942</v>
      </c>
      <c r="C930" s="1"/>
      <c r="H930" s="1" t="s">
        <v>472</v>
      </c>
      <c r="I930" s="1" t="s">
        <v>2948</v>
      </c>
      <c r="J930" s="1" t="s">
        <v>605</v>
      </c>
      <c r="M930" s="15" t="s">
        <v>260</v>
      </c>
      <c r="N930" s="1" t="s">
        <v>260</v>
      </c>
      <c r="O930" s="15">
        <v>4</v>
      </c>
      <c r="P930" s="15">
        <v>2015</v>
      </c>
      <c r="Q930" s="15" t="str" cm="1">
        <f t="array" ref="Q9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0" s="15" t="str" cm="1">
        <f t="array" ref="R9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canciones/hakuna/deseo.html</v>
      </c>
      <c r="T930" s="1"/>
      <c r="U930" s="1"/>
      <c r="V930" s="32" t="s">
        <v>4266</v>
      </c>
      <c r="W9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href="canciones/hakuna/deseo.html"&gt;Deseo&lt;/a&gt;&lt;/li&gt;</v>
      </c>
      <c r="X930" s="15" t="str">
        <f>_xlfn.TEXTBEFORE(_xlfn.TEXTAFTER(CantoralDB[[#This Row],[index.html]],"&gt;"),"&gt;")&amp;"&gt;"</f>
        <v>&lt;a href="canciones/hakuna/deseo.html"&gt;</v>
      </c>
      <c r="Y930"/>
      <c r="AB930" s="1"/>
      <c r="AC930" s="1"/>
    </row>
    <row r="931" spans="1:29" x14ac:dyDescent="0.3">
      <c r="A931" s="1">
        <f>ROW(CantoralDB[[#This Row],[Título]])-1</f>
        <v>930</v>
      </c>
      <c r="B931" s="1" t="s">
        <v>1957</v>
      </c>
      <c r="C931" s="1"/>
      <c r="H931" s="1" t="s">
        <v>1026</v>
      </c>
      <c r="J931" s="1" t="s">
        <v>605</v>
      </c>
      <c r="M931" s="15" t="s">
        <v>260</v>
      </c>
      <c r="N931" s="1" t="s">
        <v>260</v>
      </c>
      <c r="O931" s="15">
        <v>5</v>
      </c>
      <c r="P931" s="15">
        <v>2015</v>
      </c>
      <c r="Q931" s="15" t="str" cm="1">
        <f t="array" ref="Q9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1" s="15" t="str" cm="1">
        <f t="array" ref="R9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canciones/hakuna/bien_amado_señor.html</v>
      </c>
      <c r="T931" s="1"/>
      <c r="U931" s="1"/>
      <c r="V931" s="32" t="s">
        <v>4265</v>
      </c>
      <c r="W9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href="canciones/hakuna/bien_amado_señor.html"&gt;Bien amado Señor&lt;/a&gt;&lt;/li&gt;</v>
      </c>
      <c r="X931" s="15" t="str">
        <f>_xlfn.TEXTBEFORE(_xlfn.TEXTAFTER(CantoralDB[[#This Row],[index.html]],"&gt;"),"&gt;")&amp;"&gt;"</f>
        <v>&lt;a href="canciones/hakuna/bien_amado_señor.html"&gt;</v>
      </c>
      <c r="Y931"/>
      <c r="AB931" s="1"/>
      <c r="AC931" s="1"/>
    </row>
    <row r="932" spans="1:29" x14ac:dyDescent="0.3">
      <c r="A932" s="1">
        <f>ROW(CantoralDB[[#This Row],[Título]])-1</f>
        <v>931</v>
      </c>
      <c r="B932" s="1" t="s">
        <v>1958</v>
      </c>
      <c r="C932" s="1"/>
      <c r="H932" s="1" t="s">
        <v>529</v>
      </c>
      <c r="I932" s="1" t="s">
        <v>2945</v>
      </c>
      <c r="J932" s="1" t="s">
        <v>605</v>
      </c>
      <c r="M932" s="15" t="s">
        <v>260</v>
      </c>
      <c r="N932" s="1" t="s">
        <v>260</v>
      </c>
      <c r="O932" s="15">
        <v>6</v>
      </c>
      <c r="P932" s="15">
        <v>2015</v>
      </c>
      <c r="Q932" s="15" t="str" cm="1">
        <f t="array" ref="Q9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2" s="15" t="str" cm="1">
        <f t="array" ref="R9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canciones/hakuna/que_bien_se_esta_cuando_se_esta_bien.html</v>
      </c>
      <c r="T932" s="1"/>
      <c r="U932" s="1"/>
      <c r="V932" s="32" t="s">
        <v>4260</v>
      </c>
      <c r="W9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href="canciones/hakuna/que_bien_se_esta_cuando_se_esta_bien.html"&gt;Qué bien se está cuando se está bien&lt;/a&gt;&lt;/li&gt;</v>
      </c>
      <c r="X932" s="15" t="str">
        <f>_xlfn.TEXTBEFORE(_xlfn.TEXTAFTER(CantoralDB[[#This Row],[index.html]],"&gt;"),"&gt;")&amp;"&gt;"</f>
        <v>&lt;a href="canciones/hakuna/que_bien_se_esta_cuando_se_esta_bien.html"&gt;</v>
      </c>
      <c r="Y932"/>
      <c r="AB932" s="1"/>
      <c r="AC932" s="1"/>
    </row>
    <row r="933" spans="1:29" x14ac:dyDescent="0.3">
      <c r="A933" s="1">
        <f>ROW(CantoralDB[[#This Row],[Título]])-1</f>
        <v>932</v>
      </c>
      <c r="B933" s="1" t="s">
        <v>1945</v>
      </c>
      <c r="C933" s="1"/>
      <c r="H933" s="1" t="s">
        <v>1026</v>
      </c>
      <c r="J933" s="1" t="s">
        <v>605</v>
      </c>
      <c r="M933" s="15" t="s">
        <v>260</v>
      </c>
      <c r="N933" s="1" t="s">
        <v>260</v>
      </c>
      <c r="O933" s="15">
        <v>7</v>
      </c>
      <c r="P933" s="15">
        <v>2015</v>
      </c>
      <c r="Q933" s="15" t="str" cm="1">
        <f t="array" ref="Q9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3" s="15" t="str" cm="1">
        <f t="array" ref="R9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canciones/hakuna/libertad.html</v>
      </c>
      <c r="T933" s="1"/>
      <c r="U933" s="1"/>
      <c r="V933" s="32" t="s">
        <v>4261</v>
      </c>
      <c r="W9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href="canciones/hakuna/libertad.html"&gt;Libertad&lt;/a&gt;&lt;/li&gt;</v>
      </c>
      <c r="X933" s="15" t="str">
        <f>_xlfn.TEXTBEFORE(_xlfn.TEXTAFTER(CantoralDB[[#This Row],[index.html]],"&gt;"),"&gt;")&amp;"&gt;"</f>
        <v>&lt;a href="canciones/hakuna/libertad.html"&gt;</v>
      </c>
      <c r="Y933"/>
      <c r="AB933" s="1"/>
      <c r="AC933" s="1"/>
    </row>
    <row r="934" spans="1:29" x14ac:dyDescent="0.3">
      <c r="A934" s="1">
        <f>ROW(CantoralDB[[#This Row],[Título]])-1</f>
        <v>933</v>
      </c>
      <c r="B934" s="1" t="s">
        <v>1959</v>
      </c>
      <c r="C934" s="1"/>
      <c r="H934" s="1" t="s">
        <v>1027</v>
      </c>
      <c r="I934" s="1" t="s">
        <v>2948</v>
      </c>
      <c r="J934" s="1" t="s">
        <v>605</v>
      </c>
      <c r="M934" s="15" t="s">
        <v>260</v>
      </c>
      <c r="N934" s="1" t="s">
        <v>260</v>
      </c>
      <c r="O934" s="15">
        <v>8</v>
      </c>
      <c r="P934" s="15">
        <v>2015</v>
      </c>
      <c r="Q934" s="15" t="str" cm="1">
        <f t="array" ref="Q9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4" s="15" t="str" cm="1">
        <f t="array" ref="R9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canciones/hakuna/tan_cerca.html</v>
      </c>
      <c r="T934" s="1"/>
      <c r="U934" s="1"/>
      <c r="V934" s="32" t="s">
        <v>4256</v>
      </c>
      <c r="W9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href="canciones/hakuna/tan_cerca.html"&gt;Tan cerca&lt;/a&gt;&lt;/li&gt;</v>
      </c>
      <c r="X934" s="15" t="str">
        <f>_xlfn.TEXTBEFORE(_xlfn.TEXTAFTER(CantoralDB[[#This Row],[index.html]],"&gt;"),"&gt;")&amp;"&gt;"</f>
        <v>&lt;a href="canciones/hakuna/tan_cerca.html"&gt;</v>
      </c>
      <c r="Y934"/>
      <c r="AB934" s="1"/>
      <c r="AC934" s="1"/>
    </row>
    <row r="935" spans="1:29" x14ac:dyDescent="0.3">
      <c r="A935" s="1">
        <f>ROW(CantoralDB[[#This Row],[Título]])-1</f>
        <v>934</v>
      </c>
      <c r="B935" s="1" t="s">
        <v>1960</v>
      </c>
      <c r="C935" s="1"/>
      <c r="H935" s="1" t="s">
        <v>472</v>
      </c>
      <c r="J935" s="1" t="s">
        <v>605</v>
      </c>
      <c r="M935" s="15" t="s">
        <v>260</v>
      </c>
      <c r="N935" s="1" t="s">
        <v>260</v>
      </c>
      <c r="O935" s="15">
        <v>9</v>
      </c>
      <c r="P935" s="15">
        <v>2015</v>
      </c>
      <c r="Q935" s="15" t="str" cm="1">
        <f t="array" ref="Q9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5" s="15" t="str" cm="1">
        <f t="array" ref="R9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canciones/hakuna/hoy_te_dejo.html</v>
      </c>
      <c r="T935" s="1"/>
      <c r="U935" s="1"/>
      <c r="V935" s="32" t="s">
        <v>4258</v>
      </c>
      <c r="W9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href="canciones/hakuna/hoy_te_dejo.html"&gt;Hoy te dejo&lt;/a&gt;&lt;/li&gt;</v>
      </c>
      <c r="X935" s="15" t="str">
        <f>_xlfn.TEXTBEFORE(_xlfn.TEXTAFTER(CantoralDB[[#This Row],[index.html]],"&gt;"),"&gt;")&amp;"&gt;"</f>
        <v>&lt;a href="canciones/hakuna/hoy_te_dejo.html"&gt;</v>
      </c>
      <c r="Y935"/>
      <c r="AB935" s="1"/>
      <c r="AC935" s="1"/>
    </row>
    <row r="936" spans="1:29" x14ac:dyDescent="0.3">
      <c r="A936" s="1">
        <f>ROW(CantoralDB[[#This Row],[Título]])-1</f>
        <v>935</v>
      </c>
      <c r="B936" s="1" t="s">
        <v>1961</v>
      </c>
      <c r="C936" s="1"/>
      <c r="H936" s="1" t="s">
        <v>1027</v>
      </c>
      <c r="J936" s="1" t="s">
        <v>605</v>
      </c>
      <c r="M936" s="15" t="s">
        <v>260</v>
      </c>
      <c r="N936" s="1" t="s">
        <v>260</v>
      </c>
      <c r="O936" s="15">
        <v>10</v>
      </c>
      <c r="P936" s="15">
        <v>2015</v>
      </c>
      <c r="Q936" s="15" t="str" cm="1">
        <f t="array" ref="Q9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6" s="15" t="str" cm="1">
        <f t="array" ref="R9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canciones/hakuna/pasion_de_dios.html</v>
      </c>
      <c r="T936" s="1"/>
      <c r="U936" s="1"/>
      <c r="V936" s="32" t="s">
        <v>4263</v>
      </c>
      <c r="W9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href="canciones/hakuna/pasion_de_dios.html"&gt;Pasión de Dios&lt;/a&gt;&lt;/li&gt;</v>
      </c>
      <c r="X936" s="15" t="str">
        <f>_xlfn.TEXTBEFORE(_xlfn.TEXTAFTER(CantoralDB[[#This Row],[index.html]],"&gt;"),"&gt;")&amp;"&gt;"</f>
        <v>&lt;a href="canciones/hakuna/pasion_de_dios.html"&gt;</v>
      </c>
      <c r="Y936"/>
      <c r="AB936" s="1"/>
      <c r="AC936" s="1"/>
    </row>
    <row r="937" spans="1:29" x14ac:dyDescent="0.3">
      <c r="A937" s="1">
        <f>ROW(CantoralDB[[#This Row],[Título]])-1</f>
        <v>936</v>
      </c>
      <c r="B937" s="1" t="s">
        <v>1218</v>
      </c>
      <c r="C937" s="1"/>
      <c r="H937" s="1" t="s">
        <v>529</v>
      </c>
      <c r="J937" s="1" t="s">
        <v>605</v>
      </c>
      <c r="M937" s="15" t="s">
        <v>260</v>
      </c>
      <c r="N937" s="1" t="s">
        <v>260</v>
      </c>
      <c r="O937" s="15">
        <v>12</v>
      </c>
      <c r="P937" s="15">
        <v>2015</v>
      </c>
      <c r="Q937" s="15" t="str" cm="1">
        <f t="array" ref="Q9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7" s="15" t="str" cm="1">
        <f t="array" ref="R9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canciones/hakuna/bendita_sea_tu_pureza.html</v>
      </c>
      <c r="T937" s="1"/>
      <c r="U937" s="1"/>
      <c r="V937" s="32" t="s">
        <v>4264</v>
      </c>
      <c r="W9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href="canciones/hakuna/bendita_sea_tu_pureza.html"&gt;Bendita sea tu pureza&lt;/a&gt;&lt;/li&gt;</v>
      </c>
      <c r="X937" s="15" t="str">
        <f>_xlfn.TEXTBEFORE(_xlfn.TEXTAFTER(CantoralDB[[#This Row],[index.html]],"&gt;"),"&gt;")&amp;"&gt;"</f>
        <v>&lt;a href="canciones/hakuna/bendita_sea_tu_pureza.html"&gt;</v>
      </c>
      <c r="Y937"/>
      <c r="AB937" s="1"/>
      <c r="AC937" s="1"/>
    </row>
    <row r="938" spans="1:29" x14ac:dyDescent="0.3">
      <c r="A938" s="1">
        <f>ROW(CantoralDB[[#This Row],[Título]])-1</f>
        <v>937</v>
      </c>
      <c r="B938" s="1" t="s">
        <v>1962</v>
      </c>
      <c r="C938" s="1"/>
      <c r="H938" s="1" t="s">
        <v>529</v>
      </c>
      <c r="J938" s="1" t="s">
        <v>605</v>
      </c>
      <c r="M938" s="15" t="s">
        <v>260</v>
      </c>
      <c r="N938" s="1" t="s">
        <v>1969</v>
      </c>
      <c r="O938" s="15">
        <v>1</v>
      </c>
      <c r="P938" s="15">
        <v>2017</v>
      </c>
      <c r="Q938" s="15" t="str" cm="1">
        <f t="array" ref="Q9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8" s="15" t="str" cm="1">
        <f t="array" ref="R9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canciones/hakuna/tu_misericordia.html</v>
      </c>
      <c r="T938" s="1"/>
      <c r="U938" s="1"/>
      <c r="V938" s="32" t="s">
        <v>4273</v>
      </c>
      <c r="W9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href="canciones/hakuna/tu_misericordia.html"&gt;Tu misericordia&lt;/a&gt;&lt;/li&gt;</v>
      </c>
      <c r="X938" s="15" t="str">
        <f>_xlfn.TEXTBEFORE(_xlfn.TEXTAFTER(CantoralDB[[#This Row],[index.html]],"&gt;"),"&gt;")&amp;"&gt;"</f>
        <v>&lt;a href="canciones/hakuna/tu_misericordia.html"&gt;</v>
      </c>
      <c r="Y938"/>
      <c r="AB938" s="1"/>
      <c r="AC938" s="1"/>
    </row>
    <row r="939" spans="1:29" x14ac:dyDescent="0.3">
      <c r="A939" s="1">
        <f>ROW(CantoralDB[[#This Row],[Título]])-1</f>
        <v>938</v>
      </c>
      <c r="B939" s="1" t="s">
        <v>1964</v>
      </c>
      <c r="C939" s="1"/>
      <c r="H939" s="1" t="s">
        <v>1026</v>
      </c>
      <c r="I939" s="1" t="s">
        <v>2948</v>
      </c>
      <c r="J939" s="1" t="s">
        <v>605</v>
      </c>
      <c r="M939" s="15" t="s">
        <v>260</v>
      </c>
      <c r="N939" s="1" t="s">
        <v>1969</v>
      </c>
      <c r="O939" s="15">
        <v>2</v>
      </c>
      <c r="P939" s="15">
        <v>2017</v>
      </c>
      <c r="Q939" s="15" t="str" cm="1">
        <f t="array" ref="Q9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39" s="15" t="str" cm="1">
        <f t="array" ref="R9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canciones/hakuna/quiero_cenar_contigo.html</v>
      </c>
      <c r="T939" s="1"/>
      <c r="U939" s="1"/>
      <c r="V939" s="32" t="s">
        <v>4270</v>
      </c>
      <c r="W9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href="canciones/hakuna/quiero_cenar_contigo.html"&gt;Quiero cenar contigo&lt;/a&gt;&lt;/li&gt;</v>
      </c>
      <c r="X939" s="15" t="str">
        <f>_xlfn.TEXTBEFORE(_xlfn.TEXTAFTER(CantoralDB[[#This Row],[index.html]],"&gt;"),"&gt;")&amp;"&gt;"</f>
        <v>&lt;a href="canciones/hakuna/quiero_cenar_contigo.html"&gt;</v>
      </c>
      <c r="Y939"/>
      <c r="AB939" s="1"/>
      <c r="AC939" s="1"/>
    </row>
    <row r="940" spans="1:29" x14ac:dyDescent="0.3">
      <c r="A940" s="1">
        <f>ROW(CantoralDB[[#This Row],[Título]])-1</f>
        <v>939</v>
      </c>
      <c r="B940" s="1" t="s">
        <v>1965</v>
      </c>
      <c r="C940" s="1"/>
      <c r="H940" s="1" t="s">
        <v>1027</v>
      </c>
      <c r="I940" s="1" t="s">
        <v>2947</v>
      </c>
      <c r="J940" s="1" t="s">
        <v>605</v>
      </c>
      <c r="M940" s="15" t="s">
        <v>260</v>
      </c>
      <c r="N940" s="1" t="s">
        <v>1969</v>
      </c>
      <c r="O940" s="15">
        <v>3</v>
      </c>
      <c r="P940" s="15">
        <v>2017</v>
      </c>
      <c r="Q940" s="15" t="str" cm="1">
        <f t="array" ref="Q9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0" s="15" t="str" cm="1">
        <f t="array" ref="R9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canciones/hakuna/un_paso_mas.html</v>
      </c>
      <c r="T940" s="1"/>
      <c r="U940" s="1"/>
      <c r="V940" s="32" t="s">
        <v>4272</v>
      </c>
      <c r="W9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href="canciones/hakuna/un_paso_mas.html"&gt;Un paso más&lt;/a&gt;&lt;/li&gt;</v>
      </c>
      <c r="X940" s="15" t="str">
        <f>_xlfn.TEXTBEFORE(_xlfn.TEXTAFTER(CantoralDB[[#This Row],[index.html]],"&gt;"),"&gt;")&amp;"&gt;"</f>
        <v>&lt;a href="canciones/hakuna/un_paso_mas.html"&gt;</v>
      </c>
      <c r="Y940"/>
      <c r="AB940" s="1"/>
      <c r="AC940" s="1"/>
    </row>
    <row r="941" spans="1:29" x14ac:dyDescent="0.3">
      <c r="A941" s="1">
        <f>ROW(CantoralDB[[#This Row],[Título]])-1</f>
        <v>940</v>
      </c>
      <c r="B941" s="1" t="s">
        <v>2003</v>
      </c>
      <c r="C941" s="1"/>
      <c r="H941" s="1" t="s">
        <v>1026</v>
      </c>
      <c r="I941" s="1" t="s">
        <v>2948</v>
      </c>
      <c r="J941" s="1" t="s">
        <v>605</v>
      </c>
      <c r="M941" s="15" t="s">
        <v>260</v>
      </c>
      <c r="N941" s="1" t="s">
        <v>1969</v>
      </c>
      <c r="O941" s="15">
        <v>4</v>
      </c>
      <c r="P941" s="15">
        <v>2017</v>
      </c>
      <c r="Q941" s="15" t="str" cm="1">
        <f t="array" ref="Q9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1" s="15" t="str" cm="1">
        <f t="array" ref="R9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canciones/hakuna/cuatro_vientos.html</v>
      </c>
      <c r="T941" s="1"/>
      <c r="U941" s="1"/>
      <c r="V941" s="32" t="s">
        <v>4277</v>
      </c>
      <c r="W9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href="canciones/hakuna/cuatro_vientos.html"&gt;Cuatro vientos&lt;/a&gt;&lt;/li&gt;</v>
      </c>
      <c r="X941" s="15" t="str">
        <f>_xlfn.TEXTBEFORE(_xlfn.TEXTAFTER(CantoralDB[[#This Row],[index.html]],"&gt;"),"&gt;")&amp;"&gt;"</f>
        <v>&lt;a href="canciones/hakuna/cuatro_vientos.html"&gt;</v>
      </c>
      <c r="Y941"/>
      <c r="AB941" s="1"/>
      <c r="AC941" s="1"/>
    </row>
    <row r="942" spans="1:29" x14ac:dyDescent="0.3">
      <c r="A942" s="1">
        <f>ROW(CantoralDB[[#This Row],[Título]])-1</f>
        <v>941</v>
      </c>
      <c r="B942" s="1" t="s">
        <v>1966</v>
      </c>
      <c r="C942" s="1"/>
      <c r="H942" s="1" t="s">
        <v>529</v>
      </c>
      <c r="I942" s="1" t="s">
        <v>2945</v>
      </c>
      <c r="J942" s="1" t="s">
        <v>605</v>
      </c>
      <c r="M942" s="15" t="s">
        <v>260</v>
      </c>
      <c r="N942" s="1" t="s">
        <v>1969</v>
      </c>
      <c r="O942" s="15">
        <v>5</v>
      </c>
      <c r="P942" s="15">
        <v>2017</v>
      </c>
      <c r="Q942" s="15" t="str" cm="1">
        <f t="array" ref="Q9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2" s="15" t="str" cm="1">
        <f t="array" ref="R9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canciones/hakuna/siempre_imagine.html</v>
      </c>
      <c r="T942" s="1"/>
      <c r="U942" s="1"/>
      <c r="V942" s="32" t="s">
        <v>4271</v>
      </c>
      <c r="W9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href="canciones/hakuna/siempre_imagine.html"&gt;Siempre imaginé&lt;/a&gt;&lt;/li&gt;</v>
      </c>
      <c r="X942" s="15" t="str">
        <f>_xlfn.TEXTBEFORE(_xlfn.TEXTAFTER(CantoralDB[[#This Row],[index.html]],"&gt;"),"&gt;")&amp;"&gt;"</f>
        <v>&lt;a href="canciones/hakuna/siempre_imagine.html"&gt;</v>
      </c>
      <c r="Y942"/>
      <c r="AB942" s="1"/>
      <c r="AC942" s="1"/>
    </row>
    <row r="943" spans="1:29" x14ac:dyDescent="0.3">
      <c r="A943" s="1">
        <f>ROW(CantoralDB[[#This Row],[Título]])-1</f>
        <v>942</v>
      </c>
      <c r="B943" s="1" t="s">
        <v>1963</v>
      </c>
      <c r="C943" s="1"/>
      <c r="H943" s="1" t="s">
        <v>529</v>
      </c>
      <c r="I943" s="1" t="s">
        <v>2949</v>
      </c>
      <c r="J943" s="1" t="s">
        <v>605</v>
      </c>
      <c r="M943" s="15" t="s">
        <v>260</v>
      </c>
      <c r="N943" s="1" t="s">
        <v>1969</v>
      </c>
      <c r="O943" s="15">
        <v>6</v>
      </c>
      <c r="P943" s="15">
        <v>2017</v>
      </c>
      <c r="Q943" s="15" t="str" cm="1">
        <f t="array" ref="Q9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3" s="15" t="str" cm="1">
        <f t="array" ref="R9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canciones/hakuna/que_no_se_pierda_ninguno.html</v>
      </c>
      <c r="T943" s="1"/>
      <c r="U943" s="1"/>
      <c r="V943" s="32" t="s">
        <v>4269</v>
      </c>
      <c r="W9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href="canciones/hakuna/que_no_se_pierda_ninguno.html"&gt;Que no se pierda ninguno&lt;/a&gt;&lt;/li&gt;</v>
      </c>
      <c r="X943" s="15" t="str">
        <f>_xlfn.TEXTBEFORE(_xlfn.TEXTAFTER(CantoralDB[[#This Row],[index.html]],"&gt;"),"&gt;")&amp;"&gt;"</f>
        <v>&lt;a href="canciones/hakuna/que_no_se_pierda_ninguno.html"&gt;</v>
      </c>
      <c r="Y943"/>
      <c r="AB943" s="1"/>
      <c r="AC943" s="1"/>
    </row>
    <row r="944" spans="1:29" x14ac:dyDescent="0.3">
      <c r="A944" s="1">
        <f>ROW(CantoralDB[[#This Row],[Título]])-1</f>
        <v>943</v>
      </c>
      <c r="B944" s="1" t="s">
        <v>1967</v>
      </c>
      <c r="C944" s="1"/>
      <c r="H944" s="1" t="s">
        <v>529</v>
      </c>
      <c r="I944" s="1" t="s">
        <v>2947</v>
      </c>
      <c r="J944" s="1" t="s">
        <v>605</v>
      </c>
      <c r="M944" s="15" t="s">
        <v>260</v>
      </c>
      <c r="N944" s="1" t="s">
        <v>1969</v>
      </c>
      <c r="O944" s="15">
        <v>7</v>
      </c>
      <c r="P944" s="15">
        <v>2017</v>
      </c>
      <c r="Q944" s="15" t="str" cm="1">
        <f t="array" ref="Q9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4" s="15" t="str" cm="1">
        <f t="array" ref="R9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canciones/hakuna/nombre_sobre_todo_nombre.html</v>
      </c>
      <c r="T944" s="1"/>
      <c r="U944" s="1"/>
      <c r="V944" s="32" t="s">
        <v>4267</v>
      </c>
      <c r="W9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href="canciones/hakuna/nombre_sobre_todo_nombre.html"&gt;Nombre sobre todo nombre&lt;/a&gt;&lt;/li&gt;</v>
      </c>
      <c r="X944" s="15" t="str">
        <f>_xlfn.TEXTBEFORE(_xlfn.TEXTAFTER(CantoralDB[[#This Row],[index.html]],"&gt;"),"&gt;")&amp;"&gt;"</f>
        <v>&lt;a href="canciones/hakuna/nombre_sobre_todo_nombre.html"&gt;</v>
      </c>
      <c r="Y944"/>
      <c r="AB944" s="1"/>
      <c r="AC944" s="1"/>
    </row>
    <row r="945" spans="1:29" x14ac:dyDescent="0.3">
      <c r="A945" s="1">
        <f>ROW(CantoralDB[[#This Row],[Título]])-1</f>
        <v>944</v>
      </c>
      <c r="B945" s="1" t="s">
        <v>1968</v>
      </c>
      <c r="C945" s="1"/>
      <c r="H945" s="1" t="s">
        <v>1027</v>
      </c>
      <c r="I945" s="1" t="s">
        <v>2948</v>
      </c>
      <c r="J945" s="1" t="s">
        <v>605</v>
      </c>
      <c r="M945" s="15" t="s">
        <v>260</v>
      </c>
      <c r="N945" s="1" t="s">
        <v>1969</v>
      </c>
      <c r="O945" s="15">
        <v>8</v>
      </c>
      <c r="P945" s="15">
        <v>2017</v>
      </c>
      <c r="Q945" s="15" t="str" cm="1">
        <f t="array" ref="Q9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5" s="15" t="str" cm="1">
        <f t="array" ref="R9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canciones/hakuna/tu_rostro.html</v>
      </c>
      <c r="T945" s="1"/>
      <c r="U945" s="1"/>
      <c r="V945" s="32" t="s">
        <v>4275</v>
      </c>
      <c r="W9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href="canciones/hakuna/tu_rostro.html"&gt;Tu rostro&lt;/a&gt;&lt;/li&gt;</v>
      </c>
      <c r="X945" s="15" t="str">
        <f>_xlfn.TEXTBEFORE(_xlfn.TEXTAFTER(CantoralDB[[#This Row],[index.html]],"&gt;"),"&gt;")&amp;"&gt;"</f>
        <v>&lt;a href="canciones/hakuna/tu_rostro.html"&gt;</v>
      </c>
      <c r="Y945"/>
      <c r="AB945" s="1"/>
      <c r="AC945" s="1"/>
    </row>
    <row r="946" spans="1:29" x14ac:dyDescent="0.3">
      <c r="A946" s="1">
        <f>ROW(CantoralDB[[#This Row],[Título]])-1</f>
        <v>945</v>
      </c>
      <c r="B946" s="1" t="s">
        <v>1953</v>
      </c>
      <c r="C946" s="1"/>
      <c r="H946" s="1" t="s">
        <v>1026</v>
      </c>
      <c r="J946" s="1" t="s">
        <v>605</v>
      </c>
      <c r="M946" s="15" t="s">
        <v>260</v>
      </c>
      <c r="N946" s="1" t="s">
        <v>1969</v>
      </c>
      <c r="O946" s="15">
        <v>9</v>
      </c>
      <c r="P946" s="15">
        <v>2017</v>
      </c>
      <c r="Q946" s="15" t="str" cm="1">
        <f t="array" ref="Q9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6" s="15" t="str" cm="1">
        <f t="array" ref="R9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canciones/hakuna/tonto.html</v>
      </c>
      <c r="T946" s="1"/>
      <c r="U946" s="1"/>
      <c r="V946" s="32" t="s">
        <v>4276</v>
      </c>
      <c r="W9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href="canciones/hakuna/tonto.html"&gt;Tonto&lt;/a&gt;&lt;/li&gt;</v>
      </c>
      <c r="X946" s="15" t="str">
        <f>_xlfn.TEXTBEFORE(_xlfn.TEXTAFTER(CantoralDB[[#This Row],[index.html]],"&gt;"),"&gt;")&amp;"&gt;"</f>
        <v>&lt;a href="canciones/hakuna/tonto.html"&gt;</v>
      </c>
      <c r="Y946"/>
      <c r="AB946" s="1"/>
      <c r="AC946" s="1"/>
    </row>
    <row r="947" spans="1:29" x14ac:dyDescent="0.3">
      <c r="A947" s="1">
        <f>ROW(CantoralDB[[#This Row],[Título]])-1</f>
        <v>946</v>
      </c>
      <c r="B947" s="1" t="s">
        <v>1969</v>
      </c>
      <c r="C947" s="1"/>
      <c r="H947" s="1" t="s">
        <v>529</v>
      </c>
      <c r="I947" s="1" t="s">
        <v>2946</v>
      </c>
      <c r="J947" s="1" t="s">
        <v>605</v>
      </c>
      <c r="M947" s="15" t="s">
        <v>260</v>
      </c>
      <c r="N947" s="1" t="s">
        <v>1969</v>
      </c>
      <c r="O947" s="15">
        <v>10</v>
      </c>
      <c r="P947" s="15">
        <v>2017</v>
      </c>
      <c r="Q947" s="15" t="str" cm="1">
        <f t="array" ref="Q9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7" s="15" t="str" cm="1">
        <f t="array" ref="R9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canciones/hakuna/mi_pobre_loco.html</v>
      </c>
      <c r="T947" s="1"/>
      <c r="U947" s="1"/>
      <c r="V947" s="32" t="s">
        <v>4268</v>
      </c>
      <c r="W9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href="canciones/hakuna/mi_pobre_loco.html"&gt;Mi pobre loco&lt;/a&gt;&lt;/li&gt;</v>
      </c>
      <c r="X947" s="15" t="str">
        <f>_xlfn.TEXTBEFORE(_xlfn.TEXTAFTER(CantoralDB[[#This Row],[index.html]],"&gt;"),"&gt;")&amp;"&gt;"</f>
        <v>&lt;a href="canciones/hakuna/mi_pobre_loco.html"&gt;</v>
      </c>
      <c r="Y947"/>
      <c r="AB947" s="1"/>
      <c r="AC947" s="1"/>
    </row>
    <row r="948" spans="1:29" x14ac:dyDescent="0.3">
      <c r="A948" s="1">
        <f>ROW(CantoralDB[[#This Row],[Título]])-1</f>
        <v>947</v>
      </c>
      <c r="B948" s="1" t="s">
        <v>1950</v>
      </c>
      <c r="C948" s="1"/>
      <c r="H948" s="1" t="s">
        <v>472</v>
      </c>
      <c r="J948" s="1" t="s">
        <v>605</v>
      </c>
      <c r="M948" s="15" t="s">
        <v>260</v>
      </c>
      <c r="N948" s="1" t="s">
        <v>1969</v>
      </c>
      <c r="O948" s="15">
        <v>11</v>
      </c>
      <c r="P948" s="15">
        <v>2017</v>
      </c>
      <c r="Q948" s="15" t="str" cm="1">
        <f t="array" ref="Q9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8" s="15" t="str" cm="1">
        <f t="array" ref="R9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canciones/hakuna/revolucion.html</v>
      </c>
      <c r="T948" s="1"/>
      <c r="U948" s="1"/>
      <c r="V948" s="32" t="s">
        <v>4274</v>
      </c>
      <c r="W9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href="canciones/hakuna/revolucion.html"&gt;Revolución&lt;/a&gt;&lt;/li&gt;</v>
      </c>
      <c r="X948" s="15" t="str">
        <f>_xlfn.TEXTBEFORE(_xlfn.TEXTAFTER(CantoralDB[[#This Row],[index.html]],"&gt;"),"&gt;")&amp;"&gt;"</f>
        <v>&lt;a href="canciones/hakuna/revolucion.html"&gt;</v>
      </c>
      <c r="Y948"/>
      <c r="AB948" s="1"/>
      <c r="AC948" s="1"/>
    </row>
    <row r="949" spans="1:29" x14ac:dyDescent="0.3">
      <c r="A949" s="1">
        <f>ROW(CantoralDB[[#This Row],[Título]])-1</f>
        <v>948</v>
      </c>
      <c r="B949" s="1" t="s">
        <v>1944</v>
      </c>
      <c r="C949" s="1"/>
      <c r="H949" s="1" t="s">
        <v>1026</v>
      </c>
      <c r="J949" s="1" t="s">
        <v>605</v>
      </c>
      <c r="M949" s="15" t="s">
        <v>260</v>
      </c>
      <c r="N949" s="1" t="s">
        <v>1969</v>
      </c>
      <c r="O949" s="15">
        <v>12</v>
      </c>
      <c r="P949" s="15">
        <v>2017</v>
      </c>
      <c r="Q949" s="15" t="str" cm="1">
        <f t="array" ref="Q9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49" s="15" t="str" cm="1">
        <f t="array" ref="R9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canciones/hakuna/imprescindible.html</v>
      </c>
      <c r="T949" s="1"/>
      <c r="U949" s="1"/>
      <c r="V949" s="32" t="s">
        <v>4278</v>
      </c>
      <c r="W9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href="canciones/hakuna/imprescindible.html"&gt;Imprescindible&lt;/a&gt;&lt;/li&gt;</v>
      </c>
      <c r="X949" s="15" t="str">
        <f>_xlfn.TEXTBEFORE(_xlfn.TEXTAFTER(CantoralDB[[#This Row],[index.html]],"&gt;"),"&gt;")&amp;"&gt;"</f>
        <v>&lt;a href="canciones/hakuna/imprescindible.html"&gt;</v>
      </c>
      <c r="Y949"/>
      <c r="AB949" s="1"/>
      <c r="AC949" s="1"/>
    </row>
    <row r="950" spans="1:29" x14ac:dyDescent="0.3">
      <c r="A950" s="1">
        <f>ROW(CantoralDB[[#This Row],[Título]])-1</f>
        <v>949</v>
      </c>
      <c r="B950" s="1" t="s">
        <v>2004</v>
      </c>
      <c r="C950" s="1"/>
      <c r="H950" s="1" t="s">
        <v>529</v>
      </c>
      <c r="I950" s="1" t="s">
        <v>2946</v>
      </c>
      <c r="J950" s="1" t="s">
        <v>605</v>
      </c>
      <c r="M950" s="15" t="s">
        <v>260</v>
      </c>
      <c r="N950" s="1" t="s">
        <v>2852</v>
      </c>
      <c r="O950" s="15">
        <v>1</v>
      </c>
      <c r="P950" s="15">
        <v>2018</v>
      </c>
      <c r="Q950" s="15" t="str" cm="1">
        <f t="array" ref="Q9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0" s="15" t="str" cm="1">
        <f t="array" ref="R9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canciones/hakuna/pasion_i_no_se_que_viste_en_mi.html</v>
      </c>
      <c r="T950" s="1"/>
      <c r="U950" s="1"/>
      <c r="V950" s="32" t="s">
        <v>4279</v>
      </c>
      <c r="W9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href="canciones/hakuna/pasion_i_no_se_que_viste_en_mi.html"&gt;Pasión I No sé qué viste en mí&lt;/a&gt;&lt;/li&gt;</v>
      </c>
      <c r="X950" s="15" t="str">
        <f>_xlfn.TEXTBEFORE(_xlfn.TEXTAFTER(CantoralDB[[#This Row],[index.html]],"&gt;"),"&gt;")&amp;"&gt;"</f>
        <v>&lt;a href="canciones/hakuna/pasion_i_no_se_que_viste_en_mi.html"&gt;</v>
      </c>
      <c r="Y950"/>
      <c r="AB950" s="1"/>
      <c r="AC950" s="1"/>
    </row>
    <row r="951" spans="1:29" x14ac:dyDescent="0.3">
      <c r="A951" s="1">
        <f>ROW(CantoralDB[[#This Row],[Título]])-1</f>
        <v>950</v>
      </c>
      <c r="B951" s="1" t="s">
        <v>2005</v>
      </c>
      <c r="C951" s="1"/>
      <c r="H951" s="1" t="s">
        <v>1027</v>
      </c>
      <c r="I951" s="1" t="s">
        <v>2945</v>
      </c>
      <c r="J951" s="1" t="s">
        <v>605</v>
      </c>
      <c r="M951" s="15" t="s">
        <v>260</v>
      </c>
      <c r="N951" s="1" t="s">
        <v>2852</v>
      </c>
      <c r="O951" s="15">
        <v>2</v>
      </c>
      <c r="P951" s="15">
        <v>2018</v>
      </c>
      <c r="Q951" s="15" t="str" cm="1">
        <f t="array" ref="Q9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1" s="15" t="str" cm="1">
        <f t="array" ref="R9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canciones/hakuna/pasion_ii_mi_peso_en_tus_hombros.html</v>
      </c>
      <c r="T951" s="1"/>
      <c r="U951" s="1"/>
      <c r="V951" s="32" t="s">
        <v>4280</v>
      </c>
      <c r="W9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href="canciones/hakuna/pasion_ii_mi_peso_en_tus_hombros.html"&gt;Pasión II Mi peso en tus hombros&lt;/a&gt;&lt;/li&gt;</v>
      </c>
      <c r="X951" s="15" t="str">
        <f>_xlfn.TEXTBEFORE(_xlfn.TEXTAFTER(CantoralDB[[#This Row],[index.html]],"&gt;"),"&gt;")&amp;"&gt;"</f>
        <v>&lt;a href="canciones/hakuna/pasion_ii_mi_peso_en_tus_hombros.html"&gt;</v>
      </c>
      <c r="Y951"/>
      <c r="AB951" s="1"/>
      <c r="AC951" s="1"/>
    </row>
    <row r="952" spans="1:29" x14ac:dyDescent="0.3">
      <c r="A952" s="1">
        <f>ROW(CantoralDB[[#This Row],[Título]])-1</f>
        <v>951</v>
      </c>
      <c r="B952" s="1" t="s">
        <v>2006</v>
      </c>
      <c r="C952" s="1"/>
      <c r="H952" s="1" t="s">
        <v>1024</v>
      </c>
      <c r="J952" s="1" t="s">
        <v>605</v>
      </c>
      <c r="M952" s="15" t="s">
        <v>260</v>
      </c>
      <c r="N952" s="1" t="s">
        <v>2852</v>
      </c>
      <c r="O952" s="15">
        <v>3</v>
      </c>
      <c r="P952" s="15">
        <v>2018</v>
      </c>
      <c r="Q952" s="15" t="str" cm="1">
        <f t="array" ref="Q9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2" s="15" t="str" cm="1">
        <f t="array" ref="R9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canciones/hakuna/pasion_iii_paraisos_sin_tu_rostro.html</v>
      </c>
      <c r="T952" s="1"/>
      <c r="U952" s="1"/>
      <c r="V952" s="32" t="s">
        <v>4281</v>
      </c>
      <c r="W9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href="canciones/hakuna/pasion_iii_paraisos_sin_tu_rostro.html"&gt;Pasión III Paraísos sin tu rostro&lt;/a&gt;&lt;/li&gt;</v>
      </c>
      <c r="X952" s="15" t="str">
        <f>_xlfn.TEXTBEFORE(_xlfn.TEXTAFTER(CantoralDB[[#This Row],[index.html]],"&gt;"),"&gt;")&amp;"&gt;"</f>
        <v>&lt;a href="canciones/hakuna/pasion_iii_paraisos_sin_tu_rostro.html"&gt;</v>
      </c>
      <c r="Y952"/>
      <c r="AB952" s="1"/>
      <c r="AC952" s="1"/>
    </row>
    <row r="953" spans="1:29" x14ac:dyDescent="0.3">
      <c r="A953" s="1">
        <f>ROW(CantoralDB[[#This Row],[Título]])-1</f>
        <v>952</v>
      </c>
      <c r="B953" s="1" t="s">
        <v>2007</v>
      </c>
      <c r="C953" s="1"/>
      <c r="H953" s="1" t="s">
        <v>529</v>
      </c>
      <c r="J953" s="1" t="s">
        <v>605</v>
      </c>
      <c r="M953" s="15" t="s">
        <v>260</v>
      </c>
      <c r="N953" s="1" t="s">
        <v>2852</v>
      </c>
      <c r="O953" s="15">
        <v>4</v>
      </c>
      <c r="P953" s="15">
        <v>2018</v>
      </c>
      <c r="Q953" s="15" t="str" cm="1">
        <f t="array" ref="Q9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3" s="15" t="str" cm="1">
        <f t="array" ref="R9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canciones/hakuna/pasion_iv_un_dios_debil.html</v>
      </c>
      <c r="T953" s="1"/>
      <c r="U953" s="1"/>
      <c r="V953" s="32" t="s">
        <v>4282</v>
      </c>
      <c r="W9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href="canciones/hakuna/pasion_iv_un_dios_debil.html"&gt;Pasión IV Un dios débil&lt;/a&gt;&lt;/li&gt;</v>
      </c>
      <c r="X953" s="15" t="str">
        <f>_xlfn.TEXTBEFORE(_xlfn.TEXTAFTER(CantoralDB[[#This Row],[index.html]],"&gt;"),"&gt;")&amp;"&gt;"</f>
        <v>&lt;a href="canciones/hakuna/pasion_iv_un_dios_debil.html"&gt;</v>
      </c>
      <c r="Y953"/>
      <c r="AB953" s="1"/>
      <c r="AC953" s="1"/>
    </row>
    <row r="954" spans="1:29" x14ac:dyDescent="0.3">
      <c r="A954" s="1">
        <f>ROW(CantoralDB[[#This Row],[Título]])-1</f>
        <v>953</v>
      </c>
      <c r="B954" s="1" t="s">
        <v>2019</v>
      </c>
      <c r="C954" s="1"/>
      <c r="H954" s="1" t="s">
        <v>1027</v>
      </c>
      <c r="I954" s="1" t="s">
        <v>2949</v>
      </c>
      <c r="J954" s="1" t="s">
        <v>605</v>
      </c>
      <c r="M954" s="15" t="s">
        <v>260</v>
      </c>
      <c r="N954" s="1" t="s">
        <v>2852</v>
      </c>
      <c r="O954" s="15">
        <v>5</v>
      </c>
      <c r="P954" s="15">
        <v>2018</v>
      </c>
      <c r="Q954" s="15" t="str" cm="1">
        <f t="array" ref="Q9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4" s="15" t="str" cm="1">
        <f t="array" ref="R9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canciones/hakuna/pasion_v_cirineo.html</v>
      </c>
      <c r="T954" s="1"/>
      <c r="U954" s="1"/>
      <c r="V954" s="32" t="s">
        <v>4283</v>
      </c>
      <c r="W9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href="canciones/hakuna/pasion_v_cirineo.html"&gt;Pasión V Cirineo&lt;/a&gt;&lt;/li&gt;</v>
      </c>
      <c r="X954" s="15" t="str">
        <f>_xlfn.TEXTBEFORE(_xlfn.TEXTAFTER(CantoralDB[[#This Row],[index.html]],"&gt;"),"&gt;")&amp;"&gt;"</f>
        <v>&lt;a href="canciones/hakuna/pasion_v_cirineo.html"&gt;</v>
      </c>
      <c r="Y954"/>
      <c r="AB954" s="1"/>
      <c r="AC954" s="1"/>
    </row>
    <row r="955" spans="1:29" x14ac:dyDescent="0.3">
      <c r="A955" s="1">
        <f>ROW(CantoralDB[[#This Row],[Título]])-1</f>
        <v>954</v>
      </c>
      <c r="B955" s="1" t="s">
        <v>2009</v>
      </c>
      <c r="C955" s="1"/>
      <c r="H955" s="1" t="s">
        <v>1026</v>
      </c>
      <c r="I955" s="1" t="s">
        <v>2945</v>
      </c>
      <c r="J955" s="1" t="s">
        <v>605</v>
      </c>
      <c r="M955" s="15" t="s">
        <v>260</v>
      </c>
      <c r="N955" s="1" t="s">
        <v>2852</v>
      </c>
      <c r="O955" s="15">
        <v>6</v>
      </c>
      <c r="P955" s="15">
        <v>2018</v>
      </c>
      <c r="Q955" s="15" t="str" cm="1">
        <f t="array" ref="Q9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5" s="15" t="str" cm="1">
        <f t="array" ref="R9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canciones/hakuna/pasion_vi_veronica.html</v>
      </c>
      <c r="T955" s="1"/>
      <c r="U955" s="1"/>
      <c r="V955" s="32" t="s">
        <v>4284</v>
      </c>
      <c r="W9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href="canciones/hakuna/pasion_vi_veronica.html"&gt;Pasión VI Verónica&lt;/a&gt;&lt;/li&gt;</v>
      </c>
      <c r="X955" s="15" t="str">
        <f>_xlfn.TEXTBEFORE(_xlfn.TEXTAFTER(CantoralDB[[#This Row],[index.html]],"&gt;"),"&gt;")&amp;"&gt;"</f>
        <v>&lt;a href="canciones/hakuna/pasion_vi_veronica.html"&gt;</v>
      </c>
      <c r="Y955"/>
      <c r="AB955" s="1"/>
      <c r="AC955" s="1"/>
    </row>
    <row r="956" spans="1:29" x14ac:dyDescent="0.3">
      <c r="A956" s="1">
        <f>ROW(CantoralDB[[#This Row],[Título]])-1</f>
        <v>955</v>
      </c>
      <c r="B956" s="1" t="s">
        <v>2010</v>
      </c>
      <c r="C956" s="1"/>
      <c r="H956" s="1" t="s">
        <v>1024</v>
      </c>
      <c r="I956" s="1" t="s">
        <v>2948</v>
      </c>
      <c r="J956" s="1" t="s">
        <v>605</v>
      </c>
      <c r="M956" s="15" t="s">
        <v>260</v>
      </c>
      <c r="N956" s="1" t="s">
        <v>2852</v>
      </c>
      <c r="O956" s="15">
        <v>7</v>
      </c>
      <c r="P956" s="15">
        <v>2018</v>
      </c>
      <c r="Q956" s="15" t="str" cm="1">
        <f t="array" ref="Q9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6" s="15" t="str" cm="1">
        <f t="array" ref="R9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canciones/hakuna/pasion_vii_y_te_caes.html</v>
      </c>
      <c r="T956" s="1"/>
      <c r="U956" s="1"/>
      <c r="V956" s="32" t="s">
        <v>4285</v>
      </c>
      <c r="W9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href="canciones/hakuna/pasion_vii_y_te_caes.html"&gt;Pasión VII Y te caes&lt;/a&gt;&lt;/li&gt;</v>
      </c>
      <c r="X956" s="15" t="str">
        <f>_xlfn.TEXTBEFORE(_xlfn.TEXTAFTER(CantoralDB[[#This Row],[index.html]],"&gt;"),"&gt;")&amp;"&gt;"</f>
        <v>&lt;a href="canciones/hakuna/pasion_vii_y_te_caes.html"&gt;</v>
      </c>
      <c r="Y956"/>
      <c r="AB956" s="1"/>
      <c r="AC956" s="1"/>
    </row>
    <row r="957" spans="1:29" x14ac:dyDescent="0.3">
      <c r="A957" s="1">
        <f>ROW(CantoralDB[[#This Row],[Título]])-1</f>
        <v>956</v>
      </c>
      <c r="B957" s="1" t="s">
        <v>2020</v>
      </c>
      <c r="C957" s="1"/>
      <c r="H957" s="1" t="s">
        <v>529</v>
      </c>
      <c r="I957" s="1" t="s">
        <v>2949</v>
      </c>
      <c r="J957" s="1" t="s">
        <v>605</v>
      </c>
      <c r="M957" s="15" t="s">
        <v>260</v>
      </c>
      <c r="N957" s="1" t="s">
        <v>2852</v>
      </c>
      <c r="O957" s="15">
        <v>8</v>
      </c>
      <c r="P957" s="15">
        <v>2018</v>
      </c>
      <c r="Q957" s="15" t="str" cm="1">
        <f t="array" ref="Q9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7" s="15" t="str" cm="1">
        <f t="array" ref="R9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canciones/hakuna/pasion_viii_jerusalen.html</v>
      </c>
      <c r="T957" s="1"/>
      <c r="U957" s="1"/>
      <c r="V957" s="32" t="s">
        <v>4286</v>
      </c>
      <c r="W9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href="canciones/hakuna/pasion_viii_jerusalen.html"&gt;Pasión VIII Jerusalén&lt;/a&gt;&lt;/li&gt;</v>
      </c>
      <c r="X957" s="15" t="str">
        <f>_xlfn.TEXTBEFORE(_xlfn.TEXTAFTER(CantoralDB[[#This Row],[index.html]],"&gt;"),"&gt;")&amp;"&gt;"</f>
        <v>&lt;a href="canciones/hakuna/pasion_viii_jerusalen.html"&gt;</v>
      </c>
      <c r="Y957"/>
      <c r="AB957" s="1"/>
      <c r="AC957" s="1"/>
    </row>
    <row r="958" spans="1:29" x14ac:dyDescent="0.3">
      <c r="A958" s="1">
        <f>ROW(CantoralDB[[#This Row],[Título]])-1</f>
        <v>957</v>
      </c>
      <c r="B958" s="1" t="s">
        <v>2008</v>
      </c>
      <c r="C958" s="1"/>
      <c r="H958" s="1" t="s">
        <v>529</v>
      </c>
      <c r="I958" s="1" t="s">
        <v>2952</v>
      </c>
      <c r="J958" s="1" t="s">
        <v>605</v>
      </c>
      <c r="M958" s="15" t="s">
        <v>260</v>
      </c>
      <c r="N958" s="1" t="s">
        <v>2852</v>
      </c>
      <c r="O958" s="15">
        <v>9</v>
      </c>
      <c r="P958" s="15">
        <v>2018</v>
      </c>
      <c r="Q958" s="15" t="str" cm="1">
        <f t="array" ref="Q9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8" s="15" t="str" cm="1">
        <f t="array" ref="R9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canciones/hakuna/pasion_ix_por_que.html</v>
      </c>
      <c r="T958" s="1"/>
      <c r="U958" s="1"/>
      <c r="V958" s="32" t="s">
        <v>4287</v>
      </c>
      <c r="W9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href="canciones/hakuna/pasion_ix_por_que.html"&gt;Pasión IX Por qué&lt;/a&gt;&lt;/li&gt;</v>
      </c>
      <c r="X958" s="15" t="str">
        <f>_xlfn.TEXTBEFORE(_xlfn.TEXTAFTER(CantoralDB[[#This Row],[index.html]],"&gt;"),"&gt;")&amp;"&gt;"</f>
        <v>&lt;a href="canciones/hakuna/pasion_ix_por_que.html"&gt;</v>
      </c>
      <c r="Y958"/>
      <c r="AB958" s="1"/>
      <c r="AC958" s="1"/>
    </row>
    <row r="959" spans="1:29" x14ac:dyDescent="0.3">
      <c r="A959" s="1">
        <f>ROW(CantoralDB[[#This Row],[Título]])-1</f>
        <v>958</v>
      </c>
      <c r="B959" s="1" t="s">
        <v>2011</v>
      </c>
      <c r="C959" s="1"/>
      <c r="H959" s="1" t="s">
        <v>1024</v>
      </c>
      <c r="J959" s="1" t="s">
        <v>605</v>
      </c>
      <c r="M959" s="15" t="s">
        <v>260</v>
      </c>
      <c r="N959" s="1" t="s">
        <v>2852</v>
      </c>
      <c r="O959" s="15">
        <v>10</v>
      </c>
      <c r="P959" s="15">
        <v>2018</v>
      </c>
      <c r="Q959" s="15" t="str" cm="1">
        <f t="array" ref="Q9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59" s="15" t="str" cm="1">
        <f t="array" ref="R9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canciones/hakuna/pasion_x_despojado.html</v>
      </c>
      <c r="T959" s="1"/>
      <c r="U959" s="1"/>
      <c r="V959" s="32" t="s">
        <v>4288</v>
      </c>
      <c r="W9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href="canciones/hakuna/pasion_x_despojado.html"&gt;Pasión X Despojado&lt;/a&gt;&lt;/li&gt;</v>
      </c>
      <c r="X959" s="15" t="str">
        <f>_xlfn.TEXTBEFORE(_xlfn.TEXTAFTER(CantoralDB[[#This Row],[index.html]],"&gt;"),"&gt;")&amp;"&gt;"</f>
        <v>&lt;a href="canciones/hakuna/pasion_x_despojado.html"&gt;</v>
      </c>
      <c r="Y959"/>
      <c r="AB959" s="1"/>
      <c r="AC959" s="1"/>
    </row>
    <row r="960" spans="1:29" x14ac:dyDescent="0.3">
      <c r="A960" s="1">
        <f>ROW(CantoralDB[[#This Row],[Título]])-1</f>
        <v>959</v>
      </c>
      <c r="B960" s="1" t="s">
        <v>2012</v>
      </c>
      <c r="C960" s="1"/>
      <c r="H960" s="1" t="s">
        <v>1025</v>
      </c>
      <c r="J960" s="1" t="s">
        <v>605</v>
      </c>
      <c r="M960" s="15" t="s">
        <v>260</v>
      </c>
      <c r="N960" s="1" t="s">
        <v>2852</v>
      </c>
      <c r="O960" s="15">
        <v>11</v>
      </c>
      <c r="P960" s="15">
        <v>2018</v>
      </c>
      <c r="Q960" s="15" t="str" cm="1">
        <f t="array" ref="Q9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0" s="15" t="str" cm="1">
        <f t="array" ref="R9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canciones/hakuna/pasion_xi_la_medida_del_amor.html</v>
      </c>
      <c r="T960" s="1"/>
      <c r="U960" s="1"/>
      <c r="V960" s="32" t="s">
        <v>4289</v>
      </c>
      <c r="W9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href="canciones/hakuna/pasion_xi_la_medida_del_amor.html"&gt;Pasión XI La medida del amor&lt;/a&gt;&lt;/li&gt;</v>
      </c>
      <c r="X960" s="15" t="str">
        <f>_xlfn.TEXTBEFORE(_xlfn.TEXTAFTER(CantoralDB[[#This Row],[index.html]],"&gt;"),"&gt;")&amp;"&gt;"</f>
        <v>&lt;a href="canciones/hakuna/pasion_xi_la_medida_del_amor.html"&gt;</v>
      </c>
      <c r="Y960"/>
      <c r="AB960" s="1"/>
      <c r="AC960" s="1"/>
    </row>
    <row r="961" spans="1:29" x14ac:dyDescent="0.3">
      <c r="A961" s="1">
        <f>ROW(CantoralDB[[#This Row],[Título]])-1</f>
        <v>960</v>
      </c>
      <c r="B961" s="1" t="s">
        <v>2013</v>
      </c>
      <c r="C961" s="1"/>
      <c r="H961" s="1" t="s">
        <v>529</v>
      </c>
      <c r="J961" s="1" t="s">
        <v>605</v>
      </c>
      <c r="M961" s="15" t="s">
        <v>260</v>
      </c>
      <c r="N961" s="1" t="s">
        <v>2852</v>
      </c>
      <c r="O961" s="15">
        <v>13</v>
      </c>
      <c r="P961" s="15">
        <v>2018</v>
      </c>
      <c r="Q961" s="15" t="str" cm="1">
        <f t="array" ref="Q9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1" s="15" t="str" cm="1">
        <f t="array" ref="R9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canciones/hakuna/pasion_xiii_madre.html</v>
      </c>
      <c r="T961" s="1"/>
      <c r="U961" s="1"/>
      <c r="V961" s="32" t="s">
        <v>4290</v>
      </c>
      <c r="W9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href="canciones/hakuna/pasion_xiii_madre.html"&gt;Pasión XIII Madre&lt;/a&gt;&lt;/li&gt;</v>
      </c>
      <c r="X961" s="15" t="str">
        <f>_xlfn.TEXTBEFORE(_xlfn.TEXTAFTER(CantoralDB[[#This Row],[index.html]],"&gt;"),"&gt;")&amp;"&gt;"</f>
        <v>&lt;a href="canciones/hakuna/pasion_xiii_madre.html"&gt;</v>
      </c>
      <c r="Y961"/>
      <c r="AB961" s="1"/>
      <c r="AC961" s="1"/>
    </row>
    <row r="962" spans="1:29" x14ac:dyDescent="0.3">
      <c r="A962" s="1">
        <f>ROW(CantoralDB[[#This Row],[Título]])-1</f>
        <v>961</v>
      </c>
      <c r="B962" s="1" t="s">
        <v>2014</v>
      </c>
      <c r="C962" s="1"/>
      <c r="H962" s="1" t="s">
        <v>529</v>
      </c>
      <c r="J962" s="1" t="s">
        <v>605</v>
      </c>
      <c r="M962" s="15" t="s">
        <v>260</v>
      </c>
      <c r="N962" s="1" t="s">
        <v>2852</v>
      </c>
      <c r="O962" s="15">
        <v>14</v>
      </c>
      <c r="P962" s="15">
        <v>2018</v>
      </c>
      <c r="Q962" s="15" t="str" cm="1">
        <f t="array" ref="Q9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2" s="15" t="str" cm="1">
        <f t="array" ref="R9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canciones/hakuna/pasion_xiv_donde_estas_tu.html</v>
      </c>
      <c r="T962" s="1"/>
      <c r="U962" s="1"/>
      <c r="V962" s="32" t="s">
        <v>4291</v>
      </c>
      <c r="W9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href="canciones/hakuna/pasion_xiv_donde_estas_tu.html"&gt;Pasión XIV Donde estás tú&lt;/a&gt;&lt;/li&gt;</v>
      </c>
      <c r="X962" s="15" t="str">
        <f>_xlfn.TEXTBEFORE(_xlfn.TEXTAFTER(CantoralDB[[#This Row],[index.html]],"&gt;"),"&gt;")&amp;"&gt;"</f>
        <v>&lt;a href="canciones/hakuna/pasion_xiv_donde_estas_tu.html"&gt;</v>
      </c>
      <c r="Y962"/>
      <c r="AB962" s="1"/>
      <c r="AC962" s="1"/>
    </row>
    <row r="963" spans="1:29" x14ac:dyDescent="0.3">
      <c r="A963" s="1">
        <f>ROW(CantoralDB[[#This Row],[Título]])-1</f>
        <v>962</v>
      </c>
      <c r="B963" s="1" t="s">
        <v>2015</v>
      </c>
      <c r="C963" s="1"/>
      <c r="H963" s="1" t="s">
        <v>472</v>
      </c>
      <c r="J963" s="1" t="s">
        <v>605</v>
      </c>
      <c r="M963" s="15" t="s">
        <v>260</v>
      </c>
      <c r="N963" s="1" t="s">
        <v>2852</v>
      </c>
      <c r="O963" s="15">
        <v>15</v>
      </c>
      <c r="P963" s="15">
        <v>2018</v>
      </c>
      <c r="Q963" s="15" t="str" cm="1">
        <f t="array" ref="Q9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3" s="15" t="str" cm="1">
        <f t="array" ref="R9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canciones/hakuna/pasion_xv_soy_libre.html</v>
      </c>
      <c r="T963" s="1"/>
      <c r="U963" s="1"/>
      <c r="V963" s="32" t="s">
        <v>4292</v>
      </c>
      <c r="W9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href="canciones/hakuna/pasion_xv_soy_libre.html"&gt;Pasión XV Soy libre&lt;/a&gt;&lt;/li&gt;</v>
      </c>
      <c r="X963" s="15" t="str">
        <f>_xlfn.TEXTBEFORE(_xlfn.TEXTAFTER(CantoralDB[[#This Row],[index.html]],"&gt;"),"&gt;")&amp;"&gt;"</f>
        <v>&lt;a href="canciones/hakuna/pasion_xv_soy_libre.html"&gt;</v>
      </c>
      <c r="Y963"/>
      <c r="AB963" s="1"/>
      <c r="AC963" s="1"/>
    </row>
    <row r="964" spans="1:29" x14ac:dyDescent="0.3">
      <c r="A964" s="1">
        <f>ROW(CantoralDB[[#This Row],[Título]])-1</f>
        <v>963</v>
      </c>
      <c r="B964" s="1" t="s">
        <v>2016</v>
      </c>
      <c r="C964" s="1"/>
      <c r="H964" s="1" t="s">
        <v>1027</v>
      </c>
      <c r="I964" s="1" t="s">
        <v>2948</v>
      </c>
      <c r="J964" s="1" t="s">
        <v>605</v>
      </c>
      <c r="M964" s="15" t="s">
        <v>260</v>
      </c>
      <c r="N964" s="1" t="s">
        <v>2852</v>
      </c>
      <c r="O964" s="15">
        <v>16</v>
      </c>
      <c r="P964" s="15">
        <v>2018</v>
      </c>
      <c r="Q964" s="15" t="str" cm="1">
        <f t="array" ref="Q9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4" s="15" t="str" cm="1">
        <f t="array" ref="R9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canciones/hakuna/pasion_xvi_por_mi_por_ti.html</v>
      </c>
      <c r="T964" s="1"/>
      <c r="U964" s="1"/>
      <c r="V964" s="32" t="s">
        <v>4293</v>
      </c>
      <c r="W9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href="canciones/hakuna/pasion_xvi_por_mi_por_ti.html"&gt;Pasión XVI Por mí, por ti&lt;/a&gt;&lt;/li&gt;</v>
      </c>
      <c r="X964" s="15" t="str">
        <f>_xlfn.TEXTBEFORE(_xlfn.TEXTAFTER(CantoralDB[[#This Row],[index.html]],"&gt;"),"&gt;")&amp;"&gt;"</f>
        <v>&lt;a href="canciones/hakuna/pasion_xvi_por_mi_por_ti.html"&gt;</v>
      </c>
      <c r="Y964"/>
      <c r="AB964" s="1"/>
      <c r="AC964" s="1"/>
    </row>
    <row r="965" spans="1:29" x14ac:dyDescent="0.3">
      <c r="A965" s="1">
        <f>ROW(CantoralDB[[#This Row],[Título]])-1</f>
        <v>964</v>
      </c>
      <c r="B965" s="1" t="s">
        <v>1979</v>
      </c>
      <c r="C965" s="1"/>
      <c r="H965" s="1" t="s">
        <v>1027</v>
      </c>
      <c r="I965" s="1" t="s">
        <v>2952</v>
      </c>
      <c r="J965" s="1" t="s">
        <v>605</v>
      </c>
      <c r="M965" s="15" t="s">
        <v>260</v>
      </c>
      <c r="N965" s="1" t="s">
        <v>2853</v>
      </c>
      <c r="O965" s="15">
        <v>1</v>
      </c>
      <c r="P965" s="15">
        <v>2022</v>
      </c>
      <c r="Q965" s="15" t="str" cm="1">
        <f t="array" ref="Q9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5" s="15" t="str" cm="1">
        <f t="array" ref="R9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canciones/hakuna/me_sobrepasa.html</v>
      </c>
      <c r="T965" s="1"/>
      <c r="U965" s="1"/>
      <c r="V965" s="32" t="s">
        <v>4294</v>
      </c>
      <c r="W9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href="canciones/hakuna/me_sobrepasa.html"&gt;Me sobrepasa&lt;/a&gt;&lt;/li&gt;</v>
      </c>
      <c r="X965" s="15" t="str">
        <f>_xlfn.TEXTBEFORE(_xlfn.TEXTAFTER(CantoralDB[[#This Row],[index.html]],"&gt;"),"&gt;")&amp;"&gt;"</f>
        <v>&lt;a href="canciones/hakuna/me_sobrepasa.html"&gt;</v>
      </c>
      <c r="Y965"/>
      <c r="AB965" s="1"/>
      <c r="AC965" s="1"/>
    </row>
    <row r="966" spans="1:29" x14ac:dyDescent="0.3">
      <c r="A966" s="1">
        <f>ROW(CantoralDB[[#This Row],[Título]])-1</f>
        <v>965</v>
      </c>
      <c r="B966" s="1" t="s">
        <v>1941</v>
      </c>
      <c r="C966" s="1"/>
      <c r="H966" s="1" t="s">
        <v>472</v>
      </c>
      <c r="I966" s="1" t="s">
        <v>2948</v>
      </c>
      <c r="J966" s="1" t="s">
        <v>605</v>
      </c>
      <c r="M966" s="15" t="s">
        <v>260</v>
      </c>
      <c r="N966" s="1" t="s">
        <v>2853</v>
      </c>
      <c r="O966" s="15">
        <v>2</v>
      </c>
      <c r="P966" s="15">
        <v>2022</v>
      </c>
      <c r="Q966" s="15" t="str" cm="1">
        <f t="array" ref="Q9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6" s="15" t="str" cm="1">
        <f t="array" ref="R9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canciones/hakuna/descalzos.html</v>
      </c>
      <c r="T966" s="1"/>
      <c r="U966" s="1"/>
      <c r="V966" s="32" t="s">
        <v>4295</v>
      </c>
      <c r="W9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href="canciones/hakuna/descalzos.html"&gt;Descalzos&lt;/a&gt;&lt;/li&gt;</v>
      </c>
      <c r="X966" s="15" t="str">
        <f>_xlfn.TEXTBEFORE(_xlfn.TEXTAFTER(CantoralDB[[#This Row],[index.html]],"&gt;"),"&gt;")&amp;"&gt;"</f>
        <v>&lt;a href="canciones/hakuna/descalzos.html"&gt;</v>
      </c>
      <c r="Y966"/>
      <c r="AB966" s="1"/>
      <c r="AC966" s="1"/>
    </row>
    <row r="967" spans="1:29" x14ac:dyDescent="0.3">
      <c r="A967" s="1">
        <f>ROW(CantoralDB[[#This Row],[Título]])-1</f>
        <v>966</v>
      </c>
      <c r="B967" s="1" t="s">
        <v>1978</v>
      </c>
      <c r="C967" s="1"/>
      <c r="H967" s="1" t="s">
        <v>1027</v>
      </c>
      <c r="I967" s="1" t="s">
        <v>2947</v>
      </c>
      <c r="J967" s="1" t="s">
        <v>605</v>
      </c>
      <c r="M967" s="15" t="s">
        <v>260</v>
      </c>
      <c r="N967" s="1" t="s">
        <v>2853</v>
      </c>
      <c r="O967" s="15">
        <v>3</v>
      </c>
      <c r="P967" s="15">
        <v>2022</v>
      </c>
      <c r="Q967" s="15" t="str" cm="1">
        <f t="array" ref="Q9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7" s="15" t="str" cm="1">
        <f t="array" ref="R9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canciones/hakuna/un_segundo.html</v>
      </c>
      <c r="T967" s="1"/>
      <c r="U967" s="1"/>
      <c r="V967" s="32" t="s">
        <v>4296</v>
      </c>
      <c r="W9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href="canciones/hakuna/un_segundo.html"&gt;Un segundo&lt;/a&gt;&lt;/li&gt;</v>
      </c>
      <c r="X967" s="15" t="str">
        <f>_xlfn.TEXTBEFORE(_xlfn.TEXTAFTER(CantoralDB[[#This Row],[index.html]],"&gt;"),"&gt;")&amp;"&gt;"</f>
        <v>&lt;a href="canciones/hakuna/un_segundo.html"&gt;</v>
      </c>
      <c r="Y967"/>
      <c r="AB967" s="1"/>
      <c r="AC967" s="1"/>
    </row>
    <row r="968" spans="1:29" x14ac:dyDescent="0.3">
      <c r="A968" s="1">
        <f>ROW(CantoralDB[[#This Row],[Título]])-1</f>
        <v>967</v>
      </c>
      <c r="B968" s="1" t="s">
        <v>1952</v>
      </c>
      <c r="C968" s="1"/>
      <c r="H968" s="1" t="s">
        <v>1027</v>
      </c>
      <c r="I968" s="1" t="s">
        <v>2948</v>
      </c>
      <c r="J968" s="1" t="s">
        <v>605</v>
      </c>
      <c r="M968" s="15" t="s">
        <v>260</v>
      </c>
      <c r="N968" s="1" t="s">
        <v>2853</v>
      </c>
      <c r="O968" s="15">
        <v>4</v>
      </c>
      <c r="P968" s="15">
        <v>2022</v>
      </c>
      <c r="Q968" s="15" t="str" cm="1">
        <f t="array" ref="Q9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8" s="15" t="str" cm="1">
        <f t="array" ref="R9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canciones/hakuna/todo.html</v>
      </c>
      <c r="T968" s="1"/>
      <c r="U968" s="1"/>
      <c r="V968" s="32" t="s">
        <v>4297</v>
      </c>
      <c r="W9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href="canciones/hakuna/todo.html"&gt;Todo&lt;/a&gt;&lt;/li&gt;</v>
      </c>
      <c r="X968" s="15" t="str">
        <f>_xlfn.TEXTBEFORE(_xlfn.TEXTAFTER(CantoralDB[[#This Row],[index.html]],"&gt;"),"&gt;")&amp;"&gt;"</f>
        <v>&lt;a href="canciones/hakuna/todo.html"&gt;</v>
      </c>
      <c r="Y968"/>
      <c r="AB968" s="1"/>
      <c r="AC968" s="1"/>
    </row>
    <row r="969" spans="1:29" x14ac:dyDescent="0.3">
      <c r="A969" s="1">
        <f>ROW(CantoralDB[[#This Row],[Título]])-1</f>
        <v>968</v>
      </c>
      <c r="B969" s="1" t="s">
        <v>1981</v>
      </c>
      <c r="C969" s="1"/>
      <c r="H969" s="1" t="s">
        <v>472</v>
      </c>
      <c r="I969" s="1" t="s">
        <v>2945</v>
      </c>
      <c r="J969" s="1" t="s">
        <v>605</v>
      </c>
      <c r="M969" s="15" t="s">
        <v>260</v>
      </c>
      <c r="N969" s="1" t="s">
        <v>2853</v>
      </c>
      <c r="O969" s="15">
        <v>5</v>
      </c>
      <c r="P969" s="15">
        <v>2022</v>
      </c>
      <c r="Q969" s="15" t="str" cm="1">
        <f t="array" ref="Q9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69" s="15" t="str" cm="1">
        <f t="array" ref="R9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canciones/hakuna/el_cielo_aguarda.html</v>
      </c>
      <c r="T969" s="1"/>
      <c r="U969" s="1"/>
      <c r="V969" s="32" t="s">
        <v>4298</v>
      </c>
      <c r="W9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href="canciones/hakuna/el_cielo_aguarda.html"&gt;El cielo aguarda&lt;/a&gt;&lt;/li&gt;</v>
      </c>
      <c r="X969" s="15" t="str">
        <f>_xlfn.TEXTBEFORE(_xlfn.TEXTAFTER(CantoralDB[[#This Row],[index.html]],"&gt;"),"&gt;")&amp;"&gt;"</f>
        <v>&lt;a href="canciones/hakuna/el_cielo_aguarda.html"&gt;</v>
      </c>
      <c r="Y969"/>
      <c r="AB969" s="1"/>
      <c r="AC969" s="1"/>
    </row>
    <row r="970" spans="1:29" x14ac:dyDescent="0.3">
      <c r="A970" s="1">
        <f>ROW(CantoralDB[[#This Row],[Título]])-1</f>
        <v>969</v>
      </c>
      <c r="B970" s="1" t="s">
        <v>642</v>
      </c>
      <c r="C970" s="1" t="s">
        <v>990</v>
      </c>
      <c r="D970" s="1" t="s">
        <v>709</v>
      </c>
      <c r="G970" s="1" t="s">
        <v>260</v>
      </c>
      <c r="H970" s="1" t="s">
        <v>529</v>
      </c>
      <c r="J970" s="1" t="s">
        <v>605</v>
      </c>
      <c r="M970" s="15" t="s">
        <v>260</v>
      </c>
      <c r="N970" s="1" t="s">
        <v>2853</v>
      </c>
      <c r="O970" s="15">
        <v>6</v>
      </c>
      <c r="P970" s="15">
        <v>2022</v>
      </c>
      <c r="Q970" s="15" t="str" cm="1">
        <f t="array" ref="Q9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0" s="15" t="str" cm="1">
        <f t="array" ref="R9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9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canciones/hakuna/huracan.html</v>
      </c>
      <c r="T970" s="1"/>
      <c r="U970" s="1"/>
      <c r="V970" s="32" t="s">
        <v>4299</v>
      </c>
      <c r="W9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 data-momento="Comunión" data-nnew="K39"&gt;&lt;a href="canciones/hakuna/huracan.html"&gt;Huracán&lt;/a&gt;&lt;/li&gt;</v>
      </c>
      <c r="X970" s="15" t="str">
        <f>_xlfn.TEXTBEFORE(_xlfn.TEXTAFTER(CantoralDB[[#This Row],[index.html]],"&gt;"),"&gt;")&amp;"&gt;"</f>
        <v>&lt;a href="canciones/hakuna/huracan.html"&gt;</v>
      </c>
      <c r="Y970"/>
      <c r="AB970" s="1"/>
      <c r="AC970" s="1"/>
    </row>
    <row r="971" spans="1:29" x14ac:dyDescent="0.3">
      <c r="A971" s="1">
        <f>ROW(CantoralDB[[#This Row],[Título]])-1</f>
        <v>970</v>
      </c>
      <c r="B971" s="1" t="s">
        <v>1946</v>
      </c>
      <c r="C971" s="1"/>
      <c r="H971" s="1" t="s">
        <v>1027</v>
      </c>
      <c r="I971" s="1" t="s">
        <v>2946</v>
      </c>
      <c r="J971" s="1" t="s">
        <v>605</v>
      </c>
      <c r="M971" s="15" t="s">
        <v>260</v>
      </c>
      <c r="N971" s="1" t="s">
        <v>2853</v>
      </c>
      <c r="O971" s="15">
        <v>7</v>
      </c>
      <c r="P971" s="15">
        <v>2022</v>
      </c>
      <c r="Q971" s="15" t="str" cm="1">
        <f t="array" ref="Q9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1" s="15" t="str" cm="1">
        <f t="array" ref="R9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canciones/hakuna/mirada.html</v>
      </c>
      <c r="T971" s="1"/>
      <c r="U971" s="1"/>
      <c r="V971" s="32" t="s">
        <v>4300</v>
      </c>
      <c r="W9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href="canciones/hakuna/mirada.html"&gt;Mirada&lt;/a&gt;&lt;/li&gt;</v>
      </c>
      <c r="X971" s="15" t="str">
        <f>_xlfn.TEXTBEFORE(_xlfn.TEXTAFTER(CantoralDB[[#This Row],[index.html]],"&gt;"),"&gt;")&amp;"&gt;"</f>
        <v>&lt;a href="canciones/hakuna/mirada.html"&gt;</v>
      </c>
      <c r="Y971"/>
      <c r="AB971" s="1"/>
      <c r="AC971" s="1"/>
    </row>
    <row r="972" spans="1:29" x14ac:dyDescent="0.3">
      <c r="A972" s="1">
        <f>ROW(CantoralDB[[#This Row],[Título]])-1</f>
        <v>971</v>
      </c>
      <c r="B972" s="1" t="s">
        <v>1949</v>
      </c>
      <c r="C972" s="1"/>
      <c r="H972" s="1" t="s">
        <v>529</v>
      </c>
      <c r="I972" s="1" t="s">
        <v>2950</v>
      </c>
      <c r="J972" s="1" t="s">
        <v>605</v>
      </c>
      <c r="M972" s="15" t="s">
        <v>260</v>
      </c>
      <c r="N972" s="1" t="s">
        <v>2853</v>
      </c>
      <c r="O972" s="15">
        <v>8</v>
      </c>
      <c r="P972" s="15">
        <v>2022</v>
      </c>
      <c r="Q972" s="15" t="str" cm="1">
        <f t="array" ref="Q9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2" s="15" t="str" cm="1">
        <f t="array" ref="R9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canciones/hakuna/pringados.html</v>
      </c>
      <c r="T972" s="1"/>
      <c r="U972" s="1"/>
      <c r="V972" s="32" t="s">
        <v>4301</v>
      </c>
      <c r="W9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href="canciones/hakuna/pringados.html"&gt;Pringados&lt;/a&gt;&lt;/li&gt;</v>
      </c>
      <c r="X972" s="15" t="str">
        <f>_xlfn.TEXTBEFORE(_xlfn.TEXTAFTER(CantoralDB[[#This Row],[index.html]],"&gt;"),"&gt;")&amp;"&gt;"</f>
        <v>&lt;a href="canciones/hakuna/pringados.html"&gt;</v>
      </c>
      <c r="Y972"/>
      <c r="AB972" s="1"/>
      <c r="AC972" s="1"/>
    </row>
    <row r="973" spans="1:29" x14ac:dyDescent="0.3">
      <c r="A973" s="1">
        <f>ROW(CantoralDB[[#This Row],[Título]])-1</f>
        <v>972</v>
      </c>
      <c r="B973" s="1" t="s">
        <v>1947</v>
      </c>
      <c r="C973" s="1"/>
      <c r="H973" s="1" t="s">
        <v>1026</v>
      </c>
      <c r="I973" s="1" t="s">
        <v>2945</v>
      </c>
      <c r="J973" s="1" t="s">
        <v>605</v>
      </c>
      <c r="M973" s="15" t="s">
        <v>260</v>
      </c>
      <c r="N973" s="1" t="s">
        <v>2853</v>
      </c>
      <c r="O973" s="15">
        <v>9</v>
      </c>
      <c r="P973" s="15">
        <v>2022</v>
      </c>
      <c r="Q973" s="15" t="str" cm="1">
        <f t="array" ref="Q9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3" s="15" t="str" cm="1">
        <f t="array" ref="R9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canciones/hakuna/noche.html</v>
      </c>
      <c r="T973" s="1"/>
      <c r="U973" s="1"/>
      <c r="V973" s="32" t="s">
        <v>4302</v>
      </c>
      <c r="W9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href="canciones/hakuna/noche.html"&gt;Noche&lt;/a&gt;&lt;/li&gt;</v>
      </c>
      <c r="X973" s="15" t="str">
        <f>_xlfn.TEXTBEFORE(_xlfn.TEXTAFTER(CantoralDB[[#This Row],[index.html]],"&gt;"),"&gt;")&amp;"&gt;"</f>
        <v>&lt;a href="canciones/hakuna/noche.html"&gt;</v>
      </c>
      <c r="Y973"/>
      <c r="AB973" s="1"/>
      <c r="AC973" s="1"/>
    </row>
    <row r="974" spans="1:29" x14ac:dyDescent="0.3">
      <c r="A974" s="1">
        <f>ROW(CantoralDB[[#This Row],[Título]])-1</f>
        <v>973</v>
      </c>
      <c r="B974" s="1" t="s">
        <v>1980</v>
      </c>
      <c r="C974" s="1"/>
      <c r="H974" s="1" t="s">
        <v>529</v>
      </c>
      <c r="I974" s="1" t="s">
        <v>2952</v>
      </c>
      <c r="J974" s="1" t="s">
        <v>605</v>
      </c>
      <c r="M974" s="15" t="s">
        <v>260</v>
      </c>
      <c r="N974" s="1" t="s">
        <v>2853</v>
      </c>
      <c r="O974" s="15">
        <v>10</v>
      </c>
      <c r="P974" s="15">
        <v>2022</v>
      </c>
      <c r="Q974" s="15" t="str" cm="1">
        <f t="array" ref="Q9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4" s="15" t="str" cm="1">
        <f t="array" ref="R9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canciones/hakuna/comunion_espiritual.html</v>
      </c>
      <c r="T974" s="1"/>
      <c r="U974" s="1"/>
      <c r="V974" s="32" t="s">
        <v>4303</v>
      </c>
      <c r="W9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href="canciones/hakuna/comunion_espiritual.html"&gt;Comunión espiritual&lt;/a&gt;&lt;/li&gt;</v>
      </c>
      <c r="X974" s="15" t="str">
        <f>_xlfn.TEXTBEFORE(_xlfn.TEXTAFTER(CantoralDB[[#This Row],[index.html]],"&gt;"),"&gt;")&amp;"&gt;"</f>
        <v>&lt;a href="canciones/hakuna/comunion_espiritual.html"&gt;</v>
      </c>
      <c r="Y974"/>
      <c r="AB974" s="1"/>
      <c r="AC974" s="1"/>
    </row>
    <row r="975" spans="1:29" x14ac:dyDescent="0.3">
      <c r="A975" s="1">
        <f>ROW(CantoralDB[[#This Row],[Título]])-1</f>
        <v>974</v>
      </c>
      <c r="B975" s="1" t="s">
        <v>1951</v>
      </c>
      <c r="C975" s="1"/>
      <c r="H975" s="1" t="s">
        <v>1027</v>
      </c>
      <c r="I975" s="1" t="s">
        <v>2945</v>
      </c>
      <c r="J975" s="1" t="s">
        <v>605</v>
      </c>
      <c r="M975" s="15" t="s">
        <v>260</v>
      </c>
      <c r="N975" s="1" t="s">
        <v>1951</v>
      </c>
      <c r="O975" s="15">
        <v>1</v>
      </c>
      <c r="P975" s="15">
        <v>2021</v>
      </c>
      <c r="Q975" s="15" t="str" cm="1">
        <f t="array" ref="Q9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5" s="15" t="str" cm="1">
        <f t="array" ref="R9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canciones/hakuna/sencillamente.html</v>
      </c>
      <c r="T975" s="1"/>
      <c r="U975" s="1"/>
      <c r="V975" s="32" t="s">
        <v>4304</v>
      </c>
      <c r="W9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href="canciones/hakuna/sencillamente.html"&gt;Sencillamente&lt;/a&gt;&lt;/li&gt;</v>
      </c>
      <c r="X975" s="15" t="str">
        <f>_xlfn.TEXTBEFORE(_xlfn.TEXTAFTER(CantoralDB[[#This Row],[index.html]],"&gt;"),"&gt;")&amp;"&gt;"</f>
        <v>&lt;a href="canciones/hakuna/sencillamente.html"&gt;</v>
      </c>
      <c r="Y975"/>
      <c r="AB975" s="1"/>
      <c r="AC975" s="1"/>
    </row>
    <row r="976" spans="1:29" x14ac:dyDescent="0.3">
      <c r="A976" s="1">
        <f>ROW(CantoralDB[[#This Row],[Título]])-1</f>
        <v>975</v>
      </c>
      <c r="B976" s="1" t="s">
        <v>1970</v>
      </c>
      <c r="C976" s="1"/>
      <c r="H976" s="1" t="s">
        <v>529</v>
      </c>
      <c r="I976" s="1" t="s">
        <v>2945</v>
      </c>
      <c r="J976" s="1" t="s">
        <v>605</v>
      </c>
      <c r="M976" s="15" t="s">
        <v>260</v>
      </c>
      <c r="N976" s="1" t="s">
        <v>1951</v>
      </c>
      <c r="O976" s="15">
        <v>2</v>
      </c>
      <c r="P976" s="15">
        <v>2021</v>
      </c>
      <c r="Q976" s="15" t="str" cm="1">
        <f t="array" ref="Q9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6" s="15" t="str" cm="1">
        <f t="array" ref="R9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canciones/hakuna/ocupate_tu_de_todo.html</v>
      </c>
      <c r="T976" s="1"/>
      <c r="U976" s="1"/>
      <c r="V976" s="32" t="s">
        <v>4305</v>
      </c>
      <c r="W9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href="canciones/hakuna/ocupate_tu_de_todo.html"&gt;Ocúpate Tú de todo&lt;/a&gt;&lt;/li&gt;</v>
      </c>
      <c r="X976" s="15" t="str">
        <f>_xlfn.TEXTBEFORE(_xlfn.TEXTAFTER(CantoralDB[[#This Row],[index.html]],"&gt;"),"&gt;")&amp;"&gt;"</f>
        <v>&lt;a href="canciones/hakuna/ocupate_tu_de_todo.html"&gt;</v>
      </c>
      <c r="Y976"/>
      <c r="AB976" s="1"/>
      <c r="AC976" s="1"/>
    </row>
    <row r="977" spans="1:29" x14ac:dyDescent="0.3">
      <c r="A977" s="1">
        <f>ROW(CantoralDB[[#This Row],[Título]])-1</f>
        <v>976</v>
      </c>
      <c r="B977" s="1" t="s">
        <v>1972</v>
      </c>
      <c r="C977" s="1"/>
      <c r="H977" s="1" t="s">
        <v>1024</v>
      </c>
      <c r="I977" s="1" t="s">
        <v>2946</v>
      </c>
      <c r="J977" s="1" t="s">
        <v>605</v>
      </c>
      <c r="M977" s="15" t="s">
        <v>260</v>
      </c>
      <c r="N977" s="1" t="s">
        <v>1951</v>
      </c>
      <c r="O977" s="15">
        <v>3</v>
      </c>
      <c r="P977" s="15">
        <v>2021</v>
      </c>
      <c r="Q977" s="15" t="str" cm="1">
        <f t="array" ref="Q9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7" s="15" t="str" cm="1">
        <f t="array" ref="R9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canciones/hakuna/la_piel_por_ti.html</v>
      </c>
      <c r="T977" s="1"/>
      <c r="U977" s="1"/>
      <c r="V977" s="32" t="s">
        <v>4306</v>
      </c>
      <c r="W9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href="canciones/hakuna/la_piel_por_ti.html"&gt;La piel por Ti&lt;/a&gt;&lt;/li&gt;</v>
      </c>
      <c r="X977" s="15" t="str">
        <f>_xlfn.TEXTBEFORE(_xlfn.TEXTAFTER(CantoralDB[[#This Row],[index.html]],"&gt;"),"&gt;")&amp;"&gt;"</f>
        <v>&lt;a href="canciones/hakuna/la_piel_por_ti.html"&gt;</v>
      </c>
      <c r="Y977"/>
      <c r="AB977" s="1"/>
      <c r="AC977" s="1"/>
    </row>
    <row r="978" spans="1:29" x14ac:dyDescent="0.3">
      <c r="A978" s="1">
        <f>ROW(CantoralDB[[#This Row],[Título]])-1</f>
        <v>977</v>
      </c>
      <c r="B978" s="1" t="s">
        <v>1971</v>
      </c>
      <c r="C978" s="1"/>
      <c r="H978" s="1" t="s">
        <v>1026</v>
      </c>
      <c r="I978" s="1" t="s">
        <v>2948</v>
      </c>
      <c r="J978" s="1" t="s">
        <v>605</v>
      </c>
      <c r="M978" s="15" t="s">
        <v>260</v>
      </c>
      <c r="N978" s="1" t="s">
        <v>1951</v>
      </c>
      <c r="O978" s="15">
        <v>4</v>
      </c>
      <c r="P978" s="15">
        <v>2021</v>
      </c>
      <c r="Q978" s="15" t="str" cm="1">
        <f t="array" ref="Q9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8" s="15" t="str" cm="1">
        <f t="array" ref="R9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canciones/hakuna/el_abrazo.html</v>
      </c>
      <c r="T978" s="1"/>
      <c r="U978" s="1"/>
      <c r="V978" s="32" t="s">
        <v>4307</v>
      </c>
      <c r="W9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href="canciones/hakuna/el_abrazo.html"&gt;El abrazo&lt;/a&gt;&lt;/li&gt;</v>
      </c>
      <c r="X978" s="15" t="str">
        <f>_xlfn.TEXTBEFORE(_xlfn.TEXTAFTER(CantoralDB[[#This Row],[index.html]],"&gt;"),"&gt;")&amp;"&gt;"</f>
        <v>&lt;a href="canciones/hakuna/el_abrazo.html"&gt;</v>
      </c>
      <c r="Y978"/>
      <c r="AB978" s="1"/>
      <c r="AC978" s="1"/>
    </row>
    <row r="979" spans="1:29" x14ac:dyDescent="0.3">
      <c r="A979" s="1">
        <f>ROW(CantoralDB[[#This Row],[Título]])-1</f>
        <v>978</v>
      </c>
      <c r="B979" s="1" t="s">
        <v>1974</v>
      </c>
      <c r="C979" s="1"/>
      <c r="H979" s="1" t="s">
        <v>1024</v>
      </c>
      <c r="I979" s="1" t="s">
        <v>2947</v>
      </c>
      <c r="J979" s="1" t="s">
        <v>605</v>
      </c>
      <c r="M979" s="15" t="s">
        <v>260</v>
      </c>
      <c r="N979" s="1" t="s">
        <v>1951</v>
      </c>
      <c r="O979" s="15">
        <v>5</v>
      </c>
      <c r="P979" s="15">
        <v>2021</v>
      </c>
      <c r="Q979" s="15" t="str" cm="1">
        <f t="array" ref="Q9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79" s="15" t="str" cm="1">
        <f t="array" ref="R9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canciones/hakuna/en_lo_hondo.html</v>
      </c>
      <c r="T979" s="1"/>
      <c r="U979" s="1"/>
      <c r="V979" s="32" t="s">
        <v>4308</v>
      </c>
      <c r="W9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href="canciones/hakuna/en_lo_hondo.html"&gt;En lo hondo&lt;/a&gt;&lt;/li&gt;</v>
      </c>
      <c r="X979" s="15" t="str">
        <f>_xlfn.TEXTBEFORE(_xlfn.TEXTAFTER(CantoralDB[[#This Row],[index.html]],"&gt;"),"&gt;")&amp;"&gt;"</f>
        <v>&lt;a href="canciones/hakuna/en_lo_hondo.html"&gt;</v>
      </c>
      <c r="Y979"/>
      <c r="AB979" s="1"/>
      <c r="AC979" s="1"/>
    </row>
    <row r="980" spans="1:29" x14ac:dyDescent="0.3">
      <c r="A980" s="1">
        <f>ROW(CantoralDB[[#This Row],[Título]])-1</f>
        <v>979</v>
      </c>
      <c r="B980" s="1" t="s">
        <v>1939</v>
      </c>
      <c r="C980" s="1"/>
      <c r="H980" s="1" t="s">
        <v>529</v>
      </c>
      <c r="I980" s="1" t="s">
        <v>2947</v>
      </c>
      <c r="J980" s="1" t="s">
        <v>605</v>
      </c>
      <c r="M980" s="15" t="s">
        <v>260</v>
      </c>
      <c r="N980" s="1" t="s">
        <v>1951</v>
      </c>
      <c r="O980" s="15">
        <v>6</v>
      </c>
      <c r="P980" s="15">
        <v>2021</v>
      </c>
      <c r="Q980" s="15" t="str" cm="1">
        <f t="array" ref="Q9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0" s="15" t="str" cm="1">
        <f t="array" ref="R9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canciones/hakuna/colombia.html</v>
      </c>
      <c r="T980" s="1"/>
      <c r="U980" s="1"/>
      <c r="V980" s="32" t="s">
        <v>4309</v>
      </c>
      <c r="W9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href="canciones/hakuna/colombia.html"&gt;Colombia&lt;/a&gt;&lt;/li&gt;</v>
      </c>
      <c r="X980" s="15" t="str">
        <f>_xlfn.TEXTBEFORE(_xlfn.TEXTAFTER(CantoralDB[[#This Row],[index.html]],"&gt;"),"&gt;")&amp;"&gt;"</f>
        <v>&lt;a href="canciones/hakuna/colombia.html"&gt;</v>
      </c>
      <c r="Y980"/>
      <c r="AB980" s="1"/>
      <c r="AC980" s="1"/>
    </row>
    <row r="981" spans="1:29" x14ac:dyDescent="0.3">
      <c r="A981" s="1">
        <f>ROW(CantoralDB[[#This Row],[Título]])-1</f>
        <v>980</v>
      </c>
      <c r="B981" s="1" t="s">
        <v>1954</v>
      </c>
      <c r="C981" s="1"/>
      <c r="H981" s="1" t="s">
        <v>529</v>
      </c>
      <c r="I981" s="1" t="s">
        <v>2948</v>
      </c>
      <c r="J981" s="1" t="s">
        <v>605</v>
      </c>
      <c r="M981" s="15" t="s">
        <v>260</v>
      </c>
      <c r="N981" s="1" t="s">
        <v>1951</v>
      </c>
      <c r="O981" s="15">
        <v>7</v>
      </c>
      <c r="P981" s="15">
        <v>2021</v>
      </c>
      <c r="Q981" s="15" t="str" cm="1">
        <f t="array" ref="Q9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1" s="15" t="str" cm="1">
        <f t="array" ref="R9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canciones/hakuna/vertigo.html</v>
      </c>
      <c r="T981" s="1"/>
      <c r="U981" s="1"/>
      <c r="V981" s="32" t="s">
        <v>4310</v>
      </c>
      <c r="W9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href="canciones/hakuna/vertigo.html"&gt;Vértigo&lt;/a&gt;&lt;/li&gt;</v>
      </c>
      <c r="X981" s="15" t="str">
        <f>_xlfn.TEXTBEFORE(_xlfn.TEXTAFTER(CantoralDB[[#This Row],[index.html]],"&gt;"),"&gt;")&amp;"&gt;"</f>
        <v>&lt;a href="canciones/hakuna/vertigo.html"&gt;</v>
      </c>
      <c r="Y981"/>
      <c r="AB981" s="1"/>
      <c r="AC981" s="1"/>
    </row>
    <row r="982" spans="1:29" x14ac:dyDescent="0.3">
      <c r="A982" s="1">
        <f>ROW(CantoralDB[[#This Row],[Título]])-1</f>
        <v>981</v>
      </c>
      <c r="B982" s="1" t="s">
        <v>1940</v>
      </c>
      <c r="C982" s="1"/>
      <c r="H982" s="1" t="s">
        <v>1027</v>
      </c>
      <c r="I982" s="1" t="s">
        <v>2952</v>
      </c>
      <c r="J982" s="1" t="s">
        <v>605</v>
      </c>
      <c r="M982" s="15" t="s">
        <v>260</v>
      </c>
      <c r="N982" s="1" t="s">
        <v>1951</v>
      </c>
      <c r="O982" s="15">
        <v>8</v>
      </c>
      <c r="P982" s="15">
        <v>2021</v>
      </c>
      <c r="Q982" s="15" t="str" cm="1">
        <f t="array" ref="Q9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2" s="15" t="str" cm="1">
        <f t="array" ref="R9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canciones/hakuna/concienciame.html</v>
      </c>
      <c r="T982" s="1"/>
      <c r="U982" s="1"/>
      <c r="V982" s="32" t="s">
        <v>4311</v>
      </c>
      <c r="W9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href="canciones/hakuna/concienciame.html"&gt;Conciénciame&lt;/a&gt;&lt;/li&gt;</v>
      </c>
      <c r="X982" s="15" t="str">
        <f>_xlfn.TEXTBEFORE(_xlfn.TEXTAFTER(CantoralDB[[#This Row],[index.html]],"&gt;"),"&gt;")&amp;"&gt;"</f>
        <v>&lt;a href="canciones/hakuna/concienciame.html"&gt;</v>
      </c>
      <c r="Y982"/>
      <c r="AB982" s="1"/>
      <c r="AC982" s="1"/>
    </row>
    <row r="983" spans="1:29" x14ac:dyDescent="0.3">
      <c r="A983" s="1">
        <f>ROW(CantoralDB[[#This Row],[Título]])-1</f>
        <v>982</v>
      </c>
      <c r="B983" s="1" t="s">
        <v>1937</v>
      </c>
      <c r="C983" s="1"/>
      <c r="H983" s="1" t="s">
        <v>1027</v>
      </c>
      <c r="I983" s="1" t="s">
        <v>2952</v>
      </c>
      <c r="J983" s="1" t="s">
        <v>605</v>
      </c>
      <c r="M983" s="15" t="s">
        <v>260</v>
      </c>
      <c r="N983" s="1" t="s">
        <v>1951</v>
      </c>
      <c r="O983" s="15">
        <v>9</v>
      </c>
      <c r="P983" s="15">
        <v>2021</v>
      </c>
      <c r="Q983" s="15" t="str" cm="1">
        <f t="array" ref="Q9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3" s="15" t="str" cm="1">
        <f t="array" ref="R9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canciones/hakuna/bendito.html</v>
      </c>
      <c r="T983" s="1"/>
      <c r="U983" s="1"/>
      <c r="V983" s="32" t="s">
        <v>4312</v>
      </c>
      <c r="W9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href="canciones/hakuna/bendito.html"&gt;Bendito&lt;/a&gt;&lt;/li&gt;</v>
      </c>
      <c r="X983" s="15" t="str">
        <f>_xlfn.TEXTBEFORE(_xlfn.TEXTAFTER(CantoralDB[[#This Row],[index.html]],"&gt;"),"&gt;")&amp;"&gt;"</f>
        <v>&lt;a href="canciones/hakuna/bendito.html"&gt;</v>
      </c>
      <c r="Y983"/>
      <c r="AB983" s="1"/>
      <c r="AC983" s="1"/>
    </row>
    <row r="984" spans="1:29" x14ac:dyDescent="0.3">
      <c r="A984" s="1">
        <f>ROW(CantoralDB[[#This Row],[Título]])-1</f>
        <v>983</v>
      </c>
      <c r="B984" s="1" t="s">
        <v>1975</v>
      </c>
      <c r="C984" s="1"/>
      <c r="H984" s="1" t="s">
        <v>1027</v>
      </c>
      <c r="I984" s="1" t="s">
        <v>2947</v>
      </c>
      <c r="J984" s="1" t="s">
        <v>605</v>
      </c>
      <c r="M984" s="15" t="s">
        <v>260</v>
      </c>
      <c r="N984" s="1" t="s">
        <v>1951</v>
      </c>
      <c r="O984" s="15">
        <v>10</v>
      </c>
      <c r="P984" s="15">
        <v>2021</v>
      </c>
      <c r="Q984" s="15" t="str" cm="1">
        <f t="array" ref="Q9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4" s="15" t="str" cm="1">
        <f t="array" ref="R9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canciones/hakuna/arde_(san_jose).html</v>
      </c>
      <c r="T984" s="1"/>
      <c r="U984" s="1"/>
      <c r="V984" s="32" t="s">
        <v>4313</v>
      </c>
      <c r="W9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href="canciones/hakuna/arde_(san_jose).html"&gt;Arde (San José)&lt;/a&gt;&lt;/li&gt;</v>
      </c>
      <c r="X984" s="15" t="str">
        <f>_xlfn.TEXTBEFORE(_xlfn.TEXTAFTER(CantoralDB[[#This Row],[index.html]],"&gt;"),"&gt;")&amp;"&gt;"</f>
        <v>&lt;a href="canciones/hakuna/arde_(san_jose).html"&gt;</v>
      </c>
      <c r="Y984"/>
      <c r="AB984" s="1"/>
      <c r="AC984" s="1"/>
    </row>
    <row r="985" spans="1:29" x14ac:dyDescent="0.3">
      <c r="A985" s="1">
        <f>ROW(CantoralDB[[#This Row],[Título]])-1</f>
        <v>984</v>
      </c>
      <c r="B985" s="1" t="s">
        <v>1976</v>
      </c>
      <c r="C985" s="1"/>
      <c r="H985" s="1" t="s">
        <v>529</v>
      </c>
      <c r="I985" s="1" t="s">
        <v>2947</v>
      </c>
      <c r="J985" s="1" t="s">
        <v>605</v>
      </c>
      <c r="M985" s="15" t="s">
        <v>260</v>
      </c>
      <c r="N985" s="1" t="s">
        <v>1951</v>
      </c>
      <c r="O985" s="15">
        <v>11</v>
      </c>
      <c r="P985" s="15">
        <v>2021</v>
      </c>
      <c r="Q985" s="15" t="str" cm="1">
        <f t="array" ref="Q9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5" s="15" t="str" cm="1">
        <f t="array" ref="R9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canciones/hakuna/todos_por_todos.html</v>
      </c>
      <c r="T985" s="1"/>
      <c r="U985" s="1"/>
      <c r="V985" s="32" t="s">
        <v>4314</v>
      </c>
      <c r="W9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href="canciones/hakuna/todos_por_todos.html"&gt;Todos por todos&lt;/a&gt;&lt;/li&gt;</v>
      </c>
      <c r="X985" s="15" t="str">
        <f>_xlfn.TEXTBEFORE(_xlfn.TEXTAFTER(CantoralDB[[#This Row],[index.html]],"&gt;"),"&gt;")&amp;"&gt;"</f>
        <v>&lt;a href="canciones/hakuna/todos_por_todos.html"&gt;</v>
      </c>
      <c r="Y985"/>
      <c r="AB985" s="1"/>
      <c r="AC985" s="1"/>
    </row>
    <row r="986" spans="1:29" x14ac:dyDescent="0.3">
      <c r="A986" s="1">
        <f>ROW(CantoralDB[[#This Row],[Título]])-1</f>
        <v>985</v>
      </c>
      <c r="B986" s="1" t="s">
        <v>1943</v>
      </c>
      <c r="C986" s="1"/>
      <c r="H986" s="1" t="s">
        <v>1027</v>
      </c>
      <c r="I986" s="1" t="s">
        <v>2952</v>
      </c>
      <c r="J986" s="1" t="s">
        <v>605</v>
      </c>
      <c r="M986" s="15" t="s">
        <v>260</v>
      </c>
      <c r="N986" s="1" t="s">
        <v>1951</v>
      </c>
      <c r="O986" s="15">
        <v>12</v>
      </c>
      <c r="P986" s="15">
        <v>2021</v>
      </c>
      <c r="Q986" s="15" t="str" cm="1">
        <f t="array" ref="Q9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6" s="15" t="str" cm="1">
        <f t="array" ref="R9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canciones/hakuna/forofos.html</v>
      </c>
      <c r="T986" s="1"/>
      <c r="U986" s="1"/>
      <c r="V986" s="32" t="s">
        <v>4315</v>
      </c>
      <c r="W9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href="canciones/hakuna/forofos.html"&gt;Forofos&lt;/a&gt;&lt;/li&gt;</v>
      </c>
      <c r="X986" s="15" t="str">
        <f>_xlfn.TEXTBEFORE(_xlfn.TEXTAFTER(CantoralDB[[#This Row],[index.html]],"&gt;"),"&gt;")&amp;"&gt;"</f>
        <v>&lt;a href="canciones/hakuna/forofos.html"&gt;</v>
      </c>
      <c r="Y986"/>
      <c r="AB986" s="1"/>
      <c r="AC986" s="1"/>
    </row>
    <row r="987" spans="1:29" x14ac:dyDescent="0.3">
      <c r="A987" s="1">
        <f>ROW(CantoralDB[[#This Row],[Título]])-1</f>
        <v>986</v>
      </c>
      <c r="B987" s="1" t="s">
        <v>1973</v>
      </c>
      <c r="C987" s="1"/>
      <c r="J987" s="1"/>
      <c r="M987" s="15" t="s">
        <v>260</v>
      </c>
      <c r="N987" s="1" t="s">
        <v>1951</v>
      </c>
      <c r="O987" s="15">
        <v>13</v>
      </c>
      <c r="P987" s="15">
        <v>2021</v>
      </c>
      <c r="Q987" s="15" t="str" cm="1">
        <f t="array" ref="Q9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7" s="15" t="str" cm="1">
        <f t="array" ref="R9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canciones/hakuna/madre_de_hakuna.html</v>
      </c>
      <c r="T987" s="1"/>
      <c r="U987" s="1"/>
      <c r="V987" s="32" t="s">
        <v>4316</v>
      </c>
      <c r="W9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href="canciones/hakuna/madre_de_hakuna.html"&gt;Madre de Hakuna&lt;/a&gt;&lt;/li&gt;</v>
      </c>
      <c r="X987" s="15" t="str">
        <f>_xlfn.TEXTBEFORE(_xlfn.TEXTAFTER(CantoralDB[[#This Row],[index.html]],"&gt;"),"&gt;")&amp;"&gt;"</f>
        <v>&lt;a href="canciones/hakuna/madre_de_hakuna.html"&gt;</v>
      </c>
      <c r="Y987"/>
      <c r="AB987" s="1"/>
      <c r="AC987" s="1"/>
    </row>
    <row r="988" spans="1:29" x14ac:dyDescent="0.3">
      <c r="A988" s="1">
        <f>ROW(CantoralDB[[#This Row],[Título]])-1</f>
        <v>987</v>
      </c>
      <c r="B988" s="1" t="s">
        <v>2001</v>
      </c>
      <c r="C988" s="1"/>
      <c r="H988" s="1" t="s">
        <v>529</v>
      </c>
      <c r="I988" s="1" t="s">
        <v>2947</v>
      </c>
      <c r="J988" s="1" t="s">
        <v>605</v>
      </c>
      <c r="M988" s="15" t="s">
        <v>260</v>
      </c>
      <c r="N988" s="1" t="s">
        <v>2854</v>
      </c>
      <c r="O988" s="15">
        <v>1</v>
      </c>
      <c r="P988" s="15">
        <v>2026</v>
      </c>
      <c r="Q988" s="15" t="str" cm="1">
        <f t="array" ref="Q9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8" s="15" t="str" cm="1">
        <f t="array" ref="R9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canciones/hakuna/a_ti_te_alabo.html</v>
      </c>
      <c r="T988" s="1"/>
      <c r="U988" s="1"/>
      <c r="V988" s="32" t="s">
        <v>4317</v>
      </c>
      <c r="W9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href="canciones/hakuna/a_ti_te_alabo.html"&gt;A ti te alabo&lt;/a&gt;&lt;/li&gt;</v>
      </c>
      <c r="X988" s="15" t="str">
        <f>_xlfn.TEXTBEFORE(_xlfn.TEXTAFTER(CantoralDB[[#This Row],[index.html]],"&gt;"),"&gt;")&amp;"&gt;"</f>
        <v>&lt;a href="canciones/hakuna/a_ti_te_alabo.html"&gt;</v>
      </c>
      <c r="Y988"/>
      <c r="AB988" s="1"/>
      <c r="AC988" s="1"/>
    </row>
    <row r="989" spans="1:29" x14ac:dyDescent="0.3">
      <c r="A989" s="1">
        <f>ROW(CantoralDB[[#This Row],[Título]])-1</f>
        <v>988</v>
      </c>
      <c r="B989" s="1" t="s">
        <v>2856</v>
      </c>
      <c r="C989" s="1"/>
      <c r="H989" s="1" t="s">
        <v>529</v>
      </c>
      <c r="J989" s="1" t="s">
        <v>605</v>
      </c>
      <c r="M989" s="15" t="s">
        <v>260</v>
      </c>
      <c r="N989" s="1" t="s">
        <v>2854</v>
      </c>
      <c r="O989" s="15">
        <v>2</v>
      </c>
      <c r="P989" s="15">
        <v>2026</v>
      </c>
      <c r="Q989" s="15" t="str" cm="1">
        <f t="array" ref="Q9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89" s="15" t="str" cm="1">
        <f t="array" ref="R9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canciones/hakuna/los_coros_del_universo.html</v>
      </c>
      <c r="T989" s="1"/>
      <c r="U989" s="1"/>
      <c r="V989" s="32" t="s">
        <v>4318</v>
      </c>
      <c r="W9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href="canciones/hakuna/los_coros_del_universo.html"&gt;Los coros del universo&lt;/a&gt;&lt;/li&gt;</v>
      </c>
      <c r="X989" s="15" t="str">
        <f>_xlfn.TEXTBEFORE(_xlfn.TEXTAFTER(CantoralDB[[#This Row],[index.html]],"&gt;"),"&gt;")&amp;"&gt;"</f>
        <v>&lt;a href="canciones/hakuna/los_coros_del_universo.html"&gt;</v>
      </c>
      <c r="Y989"/>
      <c r="AB989" s="1"/>
      <c r="AC989" s="1"/>
    </row>
    <row r="990" spans="1:29" x14ac:dyDescent="0.3">
      <c r="A990" s="1">
        <f>ROW(CantoralDB[[#This Row],[Título]])-1</f>
        <v>989</v>
      </c>
      <c r="B990" s="1" t="s">
        <v>2002</v>
      </c>
      <c r="C990" s="1"/>
      <c r="H990" s="1" t="s">
        <v>1027</v>
      </c>
      <c r="I990" s="1" t="s">
        <v>2949</v>
      </c>
      <c r="J990" s="1" t="s">
        <v>605</v>
      </c>
      <c r="M990" s="15" t="s">
        <v>260</v>
      </c>
      <c r="N990" s="1" t="s">
        <v>2854</v>
      </c>
      <c r="O990" s="15">
        <v>3</v>
      </c>
      <c r="P990" s="15">
        <v>2026</v>
      </c>
      <c r="Q990" s="15" t="str" cm="1">
        <f t="array" ref="Q9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0" s="15" t="str" cm="1">
        <f t="array" ref="R9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canciones/hakuna/en_medio_del_fuego.html</v>
      </c>
      <c r="T990" s="1"/>
      <c r="U990" s="1"/>
      <c r="V990" s="32" t="s">
        <v>4319</v>
      </c>
      <c r="W9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href="canciones/hakuna/en_medio_del_fuego.html"&gt;En medio del fuego&lt;/a&gt;&lt;/li&gt;</v>
      </c>
      <c r="X990" s="15" t="str">
        <f>_xlfn.TEXTBEFORE(_xlfn.TEXTAFTER(CantoralDB[[#This Row],[index.html]],"&gt;"),"&gt;")&amp;"&gt;"</f>
        <v>&lt;a href="canciones/hakuna/en_medio_del_fuego.html"&gt;</v>
      </c>
      <c r="Y990"/>
      <c r="AB990" s="1"/>
      <c r="AC990" s="1"/>
    </row>
    <row r="991" spans="1:29" x14ac:dyDescent="0.3">
      <c r="A991" s="1">
        <f>ROW(CantoralDB[[#This Row],[Título]])-1</f>
        <v>990</v>
      </c>
      <c r="B991" s="1" t="s">
        <v>193</v>
      </c>
      <c r="C991" s="1"/>
      <c r="H991" s="1" t="s">
        <v>1027</v>
      </c>
      <c r="J991" s="1" t="s">
        <v>605</v>
      </c>
      <c r="M991" s="15" t="s">
        <v>260</v>
      </c>
      <c r="N991" s="1" t="s">
        <v>2854</v>
      </c>
      <c r="O991" s="15">
        <v>4</v>
      </c>
      <c r="P991" s="15">
        <v>2026</v>
      </c>
      <c r="Q991" s="15" t="str" cm="1">
        <f t="array" ref="Q9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1" s="15" t="str" cm="1">
        <f t="array" ref="R9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canciones/hakuna/aleluya.html</v>
      </c>
      <c r="T991" s="1"/>
      <c r="U991" s="1"/>
      <c r="V991" s="32" t="s">
        <v>4320</v>
      </c>
      <c r="W9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href="canciones/hakuna/aleluya.html"&gt;Aleluya&lt;/a&gt;&lt;/li&gt;</v>
      </c>
      <c r="X991" s="15" t="str">
        <f>_xlfn.TEXTBEFORE(_xlfn.TEXTAFTER(CantoralDB[[#This Row],[index.html]],"&gt;"),"&gt;")&amp;"&gt;"</f>
        <v>&lt;a href="canciones/hakuna/aleluya.html"&gt;</v>
      </c>
      <c r="Y991"/>
      <c r="AB991" s="1"/>
      <c r="AC991" s="1"/>
    </row>
    <row r="992" spans="1:29" x14ac:dyDescent="0.3">
      <c r="A992" s="1">
        <f>ROW(CantoralDB[[#This Row],[Título]])-1</f>
        <v>991</v>
      </c>
      <c r="B992" s="1" t="s">
        <v>1754</v>
      </c>
      <c r="C992" s="1"/>
      <c r="H992" s="1" t="s">
        <v>1027</v>
      </c>
      <c r="J992" s="1" t="s">
        <v>605</v>
      </c>
      <c r="M992" s="15" t="s">
        <v>260</v>
      </c>
      <c r="N992" s="1" t="s">
        <v>2854</v>
      </c>
      <c r="O992" s="15">
        <v>5</v>
      </c>
      <c r="P992" s="15">
        <v>2026</v>
      </c>
      <c r="Q992" s="15" t="str" cm="1">
        <f t="array" ref="Q9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2" s="15" t="str" cm="1">
        <f t="array" ref="R9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canciones/hakuna/ruah.html</v>
      </c>
      <c r="T992" s="1"/>
      <c r="U992" s="1"/>
      <c r="V992" s="32" t="s">
        <v>4321</v>
      </c>
      <c r="W9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href="canciones/hakuna/ruah.html"&gt;Ruah&lt;/a&gt;&lt;/li&gt;</v>
      </c>
      <c r="X992" s="15" t="str">
        <f>_xlfn.TEXTBEFORE(_xlfn.TEXTAFTER(CantoralDB[[#This Row],[index.html]],"&gt;"),"&gt;")&amp;"&gt;"</f>
        <v>&lt;a href="canciones/hakuna/ruah.html"&gt;</v>
      </c>
      <c r="Y992"/>
      <c r="AB992" s="1"/>
      <c r="AC992" s="1"/>
    </row>
    <row r="993" spans="1:29" x14ac:dyDescent="0.3">
      <c r="A993" s="1">
        <f>ROW(CantoralDB[[#This Row],[Título]])-1</f>
        <v>992</v>
      </c>
      <c r="B993" s="1" t="s">
        <v>1714</v>
      </c>
      <c r="C993" s="1"/>
      <c r="H993" s="1" t="s">
        <v>1024</v>
      </c>
      <c r="J993" s="1" t="s">
        <v>605</v>
      </c>
      <c r="M993" s="15" t="s">
        <v>260</v>
      </c>
      <c r="N993" s="1" t="s">
        <v>2854</v>
      </c>
      <c r="O993" s="15">
        <v>6</v>
      </c>
      <c r="P993" s="15">
        <v>2026</v>
      </c>
      <c r="Q993" s="15" t="str" cm="1">
        <f t="array" ref="Q9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3" s="15" t="str" cm="1">
        <f t="array" ref="R9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canciones/hakuna/padre.html</v>
      </c>
      <c r="T993" s="1"/>
      <c r="U993" s="1"/>
      <c r="V993" s="32" t="s">
        <v>4322</v>
      </c>
      <c r="W9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href="canciones/hakuna/padre.html"&gt;Padre&lt;/a&gt;&lt;/li&gt;</v>
      </c>
      <c r="X993" s="15" t="str">
        <f>_xlfn.TEXTBEFORE(_xlfn.TEXTAFTER(CantoralDB[[#This Row],[index.html]],"&gt;"),"&gt;")&amp;"&gt;"</f>
        <v>&lt;a href="canciones/hakuna/padre.html"&gt;</v>
      </c>
      <c r="Y993"/>
      <c r="AB993" s="1"/>
      <c r="AC993" s="1"/>
    </row>
    <row r="994" spans="1:29" x14ac:dyDescent="0.3">
      <c r="A994" s="1">
        <f>ROW(CantoralDB[[#This Row],[Título]])-1</f>
        <v>993</v>
      </c>
      <c r="B994" s="1" t="s">
        <v>2857</v>
      </c>
      <c r="C994" s="1"/>
      <c r="H994" s="1" t="s">
        <v>1027</v>
      </c>
      <c r="I994" s="1" t="s">
        <v>2948</v>
      </c>
      <c r="J994" s="1" t="s">
        <v>605</v>
      </c>
      <c r="M994" s="15" t="s">
        <v>260</v>
      </c>
      <c r="N994" s="1" t="s">
        <v>2854</v>
      </c>
      <c r="O994" s="15">
        <v>7</v>
      </c>
      <c r="P994" s="15">
        <v>2026</v>
      </c>
      <c r="Q994" s="15" t="str" cm="1">
        <f t="array" ref="Q9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4" s="15" t="str" cm="1">
        <f t="array" ref="R9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canciones/hakuna/te_alabare.html</v>
      </c>
      <c r="T994" s="1"/>
      <c r="U994" s="1"/>
      <c r="V994" s="32" t="s">
        <v>4323</v>
      </c>
      <c r="W9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href="canciones/hakuna/te_alabare.html"&gt;Te alabaré&lt;/a&gt;&lt;/li&gt;</v>
      </c>
      <c r="X994" s="15" t="str">
        <f>_xlfn.TEXTBEFORE(_xlfn.TEXTAFTER(CantoralDB[[#This Row],[index.html]],"&gt;"),"&gt;")&amp;"&gt;"</f>
        <v>&lt;a href="canciones/hakuna/te_alabare.html"&gt;</v>
      </c>
      <c r="Y994"/>
      <c r="AB994" s="1"/>
      <c r="AC994" s="1"/>
    </row>
    <row r="995" spans="1:29" x14ac:dyDescent="0.3">
      <c r="A995" s="1">
        <f>ROW(CantoralDB[[#This Row],[Título]])-1</f>
        <v>994</v>
      </c>
      <c r="B995" s="1" t="s">
        <v>2858</v>
      </c>
      <c r="C995" s="1"/>
      <c r="H995" s="1" t="s">
        <v>1024</v>
      </c>
      <c r="J995" s="1" t="s">
        <v>605</v>
      </c>
      <c r="M995" s="15" t="s">
        <v>260</v>
      </c>
      <c r="N995" s="1" t="s">
        <v>2854</v>
      </c>
      <c r="O995" s="15">
        <v>8</v>
      </c>
      <c r="P995" s="15">
        <v>2026</v>
      </c>
      <c r="Q995" s="15" t="str" cm="1">
        <f t="array" ref="Q9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5" s="15" t="str" cm="1">
        <f t="array" ref="R9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canciones/hakuna/sanas.html</v>
      </c>
      <c r="T995" s="1"/>
      <c r="U995" s="1"/>
      <c r="V995" s="32" t="s">
        <v>4324</v>
      </c>
      <c r="W9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href="canciones/hakuna/sanas.html"&gt;Sanas&lt;/a&gt;&lt;/li&gt;</v>
      </c>
      <c r="X995" s="15" t="str">
        <f>_xlfn.TEXTBEFORE(_xlfn.TEXTAFTER(CantoralDB[[#This Row],[index.html]],"&gt;"),"&gt;")&amp;"&gt;"</f>
        <v>&lt;a href="canciones/hakuna/sanas.html"&gt;</v>
      </c>
      <c r="Y995"/>
      <c r="AB995" s="1"/>
      <c r="AC995" s="1"/>
    </row>
    <row r="996" spans="1:29" x14ac:dyDescent="0.3">
      <c r="A996" s="1">
        <f>ROW(CantoralDB[[#This Row],[Título]])-1</f>
        <v>995</v>
      </c>
      <c r="B996" s="1" t="s">
        <v>1798</v>
      </c>
      <c r="C996" s="1"/>
      <c r="H996" s="1" t="s">
        <v>1027</v>
      </c>
      <c r="J996" s="1" t="s">
        <v>605</v>
      </c>
      <c r="M996" s="15" t="s">
        <v>260</v>
      </c>
      <c r="N996" s="1" t="s">
        <v>2854</v>
      </c>
      <c r="O996" s="15">
        <v>9</v>
      </c>
      <c r="P996" s="15">
        <v>2026</v>
      </c>
      <c r="Q996" s="15" t="str" cm="1">
        <f t="array" ref="Q9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6" s="15" t="str" cm="1">
        <f t="array" ref="R9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canciones/hakuna/solo_tu.html</v>
      </c>
      <c r="T996" s="1"/>
      <c r="U996" s="1"/>
      <c r="V996" s="32" t="s">
        <v>4325</v>
      </c>
      <c r="W9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href="canciones/hakuna/solo_tu.html"&gt;Sólo Tú&lt;/a&gt;&lt;/li&gt;</v>
      </c>
      <c r="X996" s="15" t="str">
        <f>_xlfn.TEXTBEFORE(_xlfn.TEXTAFTER(CantoralDB[[#This Row],[index.html]],"&gt;"),"&gt;")&amp;"&gt;"</f>
        <v>&lt;a href="canciones/hakuna/solo_tu.html"&gt;</v>
      </c>
      <c r="Y996"/>
      <c r="AB996" s="1"/>
      <c r="AC996" s="1"/>
    </row>
    <row r="997" spans="1:29" x14ac:dyDescent="0.3">
      <c r="A997" s="1">
        <f>ROW(CantoralDB[[#This Row],[Título]])-1</f>
        <v>996</v>
      </c>
      <c r="B997" s="1" t="s">
        <v>2017</v>
      </c>
      <c r="C997" s="1"/>
      <c r="H997" s="1" t="s">
        <v>1027</v>
      </c>
      <c r="I997" s="1" t="s">
        <v>2947</v>
      </c>
      <c r="J997" s="1" t="s">
        <v>605</v>
      </c>
      <c r="M997" s="15" t="s">
        <v>260</v>
      </c>
      <c r="N997" s="1" t="s">
        <v>2854</v>
      </c>
      <c r="O997" s="15">
        <v>10</v>
      </c>
      <c r="P997" s="15">
        <v>2026</v>
      </c>
      <c r="Q997" s="15" t="str" cm="1">
        <f t="array" ref="Q9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7" s="15" t="str" cm="1">
        <f t="array" ref="R9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canciones/hakuna/el_unico_rey.html</v>
      </c>
      <c r="T997" s="1"/>
      <c r="U997" s="1"/>
      <c r="V997" s="32" t="s">
        <v>4326</v>
      </c>
      <c r="W9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href="canciones/hakuna/el_unico_rey.html"&gt;El único rey&lt;/a&gt;&lt;/li&gt;</v>
      </c>
      <c r="X997" s="15" t="str">
        <f>_xlfn.TEXTBEFORE(_xlfn.TEXTAFTER(CantoralDB[[#This Row],[index.html]],"&gt;"),"&gt;")&amp;"&gt;"</f>
        <v>&lt;a href="canciones/hakuna/el_unico_rey.html"&gt;</v>
      </c>
      <c r="Y997"/>
      <c r="AB997" s="1"/>
      <c r="AC997" s="1"/>
    </row>
    <row r="998" spans="1:29" x14ac:dyDescent="0.3">
      <c r="A998" s="1">
        <f>ROW(CantoralDB[[#This Row],[Título]])-1</f>
        <v>997</v>
      </c>
      <c r="B998" s="1" t="s">
        <v>1977</v>
      </c>
      <c r="C998" s="1"/>
      <c r="H998" s="1" t="s">
        <v>1024</v>
      </c>
      <c r="I998" s="1" t="s">
        <v>2945</v>
      </c>
      <c r="J998" s="1" t="s">
        <v>605</v>
      </c>
      <c r="M998" s="15" t="s">
        <v>260</v>
      </c>
      <c r="N998" s="1" t="s">
        <v>2129</v>
      </c>
      <c r="O998" s="15">
        <v>1</v>
      </c>
      <c r="P998" s="15">
        <v>2021</v>
      </c>
      <c r="Q998" s="15" t="str" cm="1">
        <f t="array" ref="Q9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8" s="15" t="str" cm="1">
        <f t="array" ref="R9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canciones/hakuna/hoy_en_belen.html</v>
      </c>
      <c r="T998" s="1"/>
      <c r="U998" s="1"/>
      <c r="V998" s="32" t="s">
        <v>4327</v>
      </c>
      <c r="W9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href="canciones/hakuna/hoy_en_belen.html"&gt;Hoy en Belén&lt;/a&gt;&lt;/li&gt;</v>
      </c>
      <c r="X998" s="15" t="str">
        <f>_xlfn.TEXTBEFORE(_xlfn.TEXTAFTER(CantoralDB[[#This Row],[index.html]],"&gt;"),"&gt;")&amp;"&gt;"</f>
        <v>&lt;a href="canciones/hakuna/hoy_en_belen.html"&gt;</v>
      </c>
      <c r="Y998"/>
      <c r="AB998" s="1"/>
      <c r="AC998" s="1"/>
    </row>
    <row r="999" spans="1:29" x14ac:dyDescent="0.3">
      <c r="A999" s="1">
        <f>ROW(CantoralDB[[#This Row],[Título]])-1</f>
        <v>998</v>
      </c>
      <c r="B999" s="1" t="s">
        <v>1982</v>
      </c>
      <c r="C999" s="1"/>
      <c r="H999" s="1" t="s">
        <v>1027</v>
      </c>
      <c r="I999" s="1" t="s">
        <v>2947</v>
      </c>
      <c r="J999" s="1" t="s">
        <v>605</v>
      </c>
      <c r="M999" s="15" t="s">
        <v>260</v>
      </c>
      <c r="N999" s="1" t="s">
        <v>2129</v>
      </c>
      <c r="O999" s="15">
        <v>2</v>
      </c>
      <c r="P999" s="15">
        <v>2022</v>
      </c>
      <c r="Q999" s="15" t="str" cm="1">
        <f t="array" ref="Q9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999" s="15" t="str" cm="1">
        <f t="array" ref="R9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9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canciones/hakuna/lo_imposible.html</v>
      </c>
      <c r="T999" s="1"/>
      <c r="U999" s="1"/>
      <c r="V999" s="32" t="s">
        <v>4328</v>
      </c>
      <c r="W9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href="canciones/hakuna/lo_imposible.html"&gt;Lo imposible&lt;/a&gt;&lt;/li&gt;</v>
      </c>
      <c r="X999" s="15" t="str">
        <f>_xlfn.TEXTBEFORE(_xlfn.TEXTAFTER(CantoralDB[[#This Row],[index.html]],"&gt;"),"&gt;")&amp;"&gt;"</f>
        <v>&lt;a href="canciones/hakuna/lo_imposible.html"&gt;</v>
      </c>
      <c r="Y999"/>
      <c r="AB999" s="1"/>
      <c r="AC999" s="1"/>
    </row>
    <row r="1000" spans="1:29" x14ac:dyDescent="0.3">
      <c r="A1000" s="1">
        <f>ROW(CantoralDB[[#This Row],[Título]])-1</f>
        <v>999</v>
      </c>
      <c r="B1000" s="1" t="s">
        <v>1987</v>
      </c>
      <c r="C1000" s="1"/>
      <c r="H1000" s="1" t="s">
        <v>529</v>
      </c>
      <c r="I1000" s="1" t="s">
        <v>2947</v>
      </c>
      <c r="J1000" s="1" t="s">
        <v>605</v>
      </c>
      <c r="M1000" s="15" t="s">
        <v>260</v>
      </c>
      <c r="N1000" s="1" t="s">
        <v>2129</v>
      </c>
      <c r="O1000" s="15">
        <v>3</v>
      </c>
      <c r="P1000" s="15">
        <v>2023</v>
      </c>
      <c r="Q1000" s="15" t="str" cm="1">
        <f t="array" ref="Q10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1000" s="15" t="str" cm="1">
        <f t="array" ref="R10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10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canciones/hakuna/del_cielo.html</v>
      </c>
      <c r="T1000" s="1"/>
      <c r="U1000" s="1"/>
      <c r="V1000" s="32" t="s">
        <v>4329</v>
      </c>
      <c r="W10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href="canciones/hakuna/del_cielo.html"&gt;Del cielo&lt;/a&gt;&lt;/li&gt;</v>
      </c>
      <c r="X1000" s="15" t="str">
        <f>_xlfn.TEXTBEFORE(_xlfn.TEXTAFTER(CantoralDB[[#This Row],[index.html]],"&gt;"),"&gt;")&amp;"&gt;"</f>
        <v>&lt;a href="canciones/hakuna/del_cielo.html"&gt;</v>
      </c>
      <c r="Y1000"/>
      <c r="AB1000" s="1"/>
      <c r="AC1000" s="1"/>
    </row>
    <row r="1001" spans="1:29" x14ac:dyDescent="0.3">
      <c r="A1001" s="1">
        <f>ROW(CantoralDB[[#This Row],[Título]])-1</f>
        <v>1000</v>
      </c>
      <c r="B1001" s="1" t="s">
        <v>1998</v>
      </c>
      <c r="C1001" s="1"/>
      <c r="H1001" s="1" t="s">
        <v>529</v>
      </c>
      <c r="I1001" s="1" t="s">
        <v>2947</v>
      </c>
      <c r="J1001" s="1" t="s">
        <v>605</v>
      </c>
      <c r="M1001" s="15" t="s">
        <v>260</v>
      </c>
      <c r="N1001" s="1" t="s">
        <v>2129</v>
      </c>
      <c r="O1001" s="15">
        <v>4</v>
      </c>
      <c r="P1001" s="15">
        <v>2024</v>
      </c>
      <c r="Q1001" s="15" t="str" cm="1">
        <f t="array" ref="Q10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hakuna</v>
      </c>
      <c r="R1001" s="15" t="str" cm="1">
        <f t="array" ref="R10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hakuna</v>
      </c>
      <c r="S10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canciones/hakuna/juntos.html</v>
      </c>
      <c r="T1001" s="1"/>
      <c r="U1001" s="1"/>
      <c r="V1001" s="32" t="s">
        <v>4330</v>
      </c>
      <c r="W10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data-author="Hakuna"&gt;&lt;a href="canciones/hakuna/juntos.html"&gt;Juntos&lt;/a&gt;&lt;/li&gt;</v>
      </c>
      <c r="X1001" s="15" t="str">
        <f>_xlfn.TEXTBEFORE(_xlfn.TEXTAFTER(CantoralDB[[#This Row],[index.html]],"&gt;"),"&gt;")&amp;"&gt;"</f>
        <v>&lt;a href="canciones/hakuna/juntos.html"&gt;</v>
      </c>
      <c r="Y1001"/>
      <c r="AB1001" s="1"/>
      <c r="AC1001" s="1"/>
    </row>
    <row r="1002" spans="1:29" x14ac:dyDescent="0.3">
      <c r="A1002" s="1">
        <f>ROW(CantoralDB[[#This Row],[Título]])-1</f>
        <v>1001</v>
      </c>
      <c r="B1002" s="1" t="s">
        <v>53</v>
      </c>
      <c r="C1002" s="1"/>
      <c r="H1002" s="1" t="s">
        <v>1024</v>
      </c>
      <c r="J1002" s="1" t="s">
        <v>605</v>
      </c>
      <c r="M1002" s="15" t="s">
        <v>2219</v>
      </c>
      <c r="N1002" s="1" t="s">
        <v>53</v>
      </c>
      <c r="O1002" s="15">
        <v>1</v>
      </c>
      <c r="P1002" s="15"/>
      <c r="Q1002" s="15" t="str" cm="1">
        <f t="array" ref="Q10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2" s="15" t="str" cm="1">
        <f t="array" ref="R10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hermana_glenda</v>
      </c>
      <c r="S10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canciones/hermana_glenda/el_señor_es_mi_pastor.html</v>
      </c>
      <c r="T1002" s="1" t="s">
        <v>2296</v>
      </c>
      <c r="U1002" s="1"/>
      <c r="V1002" s="15"/>
      <c r="W10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Glenda"&gt;&lt;a href="canciones/hermana_glenda/el_señor_es_mi_pastor.html"&gt;El Señor es mi pastor&lt;/a&gt;&lt;/li&gt;</v>
      </c>
      <c r="X1002" s="15" t="str">
        <f>_xlfn.TEXTBEFORE(_xlfn.TEXTAFTER(CantoralDB[[#This Row],[index.html]],"&gt;"),"&gt;")&amp;"&gt;"</f>
        <v>&lt;a href="canciones/hermana_glenda/el_señor_es_mi_pastor.html"&gt;</v>
      </c>
      <c r="Y1002"/>
      <c r="AB1002" s="1"/>
      <c r="AC1002" s="1"/>
    </row>
    <row r="1003" spans="1:29" x14ac:dyDescent="0.3">
      <c r="A1003" s="1">
        <f>ROW(CantoralDB[[#This Row],[Título]])-1</f>
        <v>1002</v>
      </c>
      <c r="B1003" s="1" t="s">
        <v>2265</v>
      </c>
      <c r="C1003" s="1"/>
      <c r="H1003" s="1" t="s">
        <v>529</v>
      </c>
      <c r="J1003" s="1" t="s">
        <v>605</v>
      </c>
      <c r="M1003" s="15" t="s">
        <v>2219</v>
      </c>
      <c r="N1003" s="1" t="s">
        <v>2249</v>
      </c>
      <c r="O1003" s="15">
        <v>1</v>
      </c>
      <c r="P1003" s="15"/>
      <c r="Q1003" s="15" t="str" cm="1">
        <f t="array" ref="Q10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3" s="15" t="str" cm="1">
        <f t="array" ref="R10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hermana_glenda</v>
      </c>
      <c r="S10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canciones/hermana_glenda/ahi_tienes_a_tu_madre.html</v>
      </c>
      <c r="T1003" s="1" t="s">
        <v>2351</v>
      </c>
      <c r="U1003" s="1"/>
      <c r="V1003" s="15"/>
      <c r="W10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Glenda"&gt;&lt;a href="canciones/hermana_glenda/ahi_tienes_a_tu_madre.html"&gt;Ahí tienes a tu madre&lt;/a&gt;&lt;/li&gt;</v>
      </c>
      <c r="X1003" s="15" t="str">
        <f>_xlfn.TEXTBEFORE(_xlfn.TEXTAFTER(CantoralDB[[#This Row],[index.html]],"&gt;"),"&gt;")&amp;"&gt;"</f>
        <v>&lt;a href="canciones/hermana_glenda/ahi_tienes_a_tu_madre.html"&gt;</v>
      </c>
      <c r="Y1003"/>
      <c r="AB1003" s="1"/>
      <c r="AC1003" s="1"/>
    </row>
    <row r="1004" spans="1:29" x14ac:dyDescent="0.3">
      <c r="A1004" s="1">
        <f>ROW(CantoralDB[[#This Row],[Título]])-1</f>
        <v>1003</v>
      </c>
      <c r="B1004" s="1" t="s">
        <v>1211</v>
      </c>
      <c r="C1004" s="1"/>
      <c r="F1004" s="1">
        <v>249</v>
      </c>
      <c r="J1004" s="1"/>
      <c r="M1004" s="15" t="s">
        <v>2219</v>
      </c>
      <c r="O1004" s="15"/>
      <c r="P1004" s="15"/>
      <c r="Q1004" s="15" t="str" cm="1">
        <f t="array" ref="Q10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4" s="15" t="str" cm="1">
        <f t="array" ref="R10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canciones/hermana_glenda/el_auxilio_me_viene_del_señor.html</v>
      </c>
      <c r="T1004" s="1" t="s">
        <v>2297</v>
      </c>
      <c r="U1004" s="1"/>
      <c r="V1004" s="15"/>
      <c r="W10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data-nrcc="249"&gt;&lt;a href="canciones/hermana_glenda/el_auxilio_me_viene_del_señor.html"&gt;El auxilio me viene del Señor&lt;/a&gt;&lt;/li&gt;</v>
      </c>
      <c r="X1004" s="15" t="str">
        <f>_xlfn.TEXTBEFORE(_xlfn.TEXTAFTER(CantoralDB[[#This Row],[index.html]],"&gt;"),"&gt;")&amp;"&gt;"</f>
        <v>&lt;a href="canciones/hermana_glenda/el_auxilio_me_viene_del_señor.html"&gt;</v>
      </c>
      <c r="Y1004"/>
      <c r="AB1004" s="1"/>
      <c r="AC1004" s="1"/>
    </row>
    <row r="1005" spans="1:29" x14ac:dyDescent="0.3">
      <c r="A1005" s="1">
        <f>ROW(CantoralDB[[#This Row],[Título]])-1</f>
        <v>1004</v>
      </c>
      <c r="B1005" s="1" t="s">
        <v>2276</v>
      </c>
      <c r="C1005" s="1"/>
      <c r="F1005" s="1">
        <v>226</v>
      </c>
      <c r="J1005" s="1"/>
      <c r="M1005" s="15" t="s">
        <v>2219</v>
      </c>
      <c r="O1005" s="15"/>
      <c r="P1005" s="15"/>
      <c r="Q1005" s="15" t="str" cm="1">
        <f t="array" ref="Q10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5" s="15" t="str" cm="1">
        <f t="array" ref="R10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canciones/hermana_glenda/las_aguas_no_podran_apagar_el_amor.html</v>
      </c>
      <c r="T1005" s="1"/>
      <c r="U1005" s="1"/>
      <c r="V1005" s="15"/>
      <c r="W10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data-nrcc="226"&gt;&lt;a href="canciones/hermana_glenda/las_aguas_no_podran_apagar_el_amor.html"&gt;Las aguas no podrán apagar el amor&lt;/a&gt;&lt;/li&gt;</v>
      </c>
      <c r="X1005" s="15" t="str">
        <f>_xlfn.TEXTBEFORE(_xlfn.TEXTAFTER(CantoralDB[[#This Row],[index.html]],"&gt;"),"&gt;")&amp;"&gt;"</f>
        <v>&lt;a href="canciones/hermana_glenda/las_aguas_no_podran_apagar_el_amor.html"&gt;</v>
      </c>
      <c r="Y1005"/>
      <c r="AB1005" s="1"/>
      <c r="AC1005" s="1"/>
    </row>
    <row r="1006" spans="1:29" x14ac:dyDescent="0.3">
      <c r="A1006" s="1">
        <f>ROW(CantoralDB[[#This Row],[Título]])-1</f>
        <v>1005</v>
      </c>
      <c r="B1006" s="1" t="s">
        <v>2233</v>
      </c>
      <c r="C1006" s="1"/>
      <c r="F1006" s="1">
        <v>220</v>
      </c>
      <c r="J1006" s="1"/>
      <c r="M1006" s="15" t="s">
        <v>2219</v>
      </c>
      <c r="O1006" s="15"/>
      <c r="P1006" s="15"/>
      <c r="Q1006" s="15" t="str" cm="1">
        <f t="array" ref="Q10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6" s="15" t="str" cm="1">
        <f t="array" ref="R10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canciones/hermana_glenda/nada_es_imposible.html</v>
      </c>
      <c r="T1006" s="1"/>
      <c r="U1006" s="1"/>
      <c r="V1006" s="15"/>
      <c r="W10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data-nrcc="220"&gt;&lt;a href="canciones/hermana_glenda/nada_es_imposible.html"&gt;Nada es imposible&lt;/a&gt;&lt;/li&gt;</v>
      </c>
      <c r="X1006" s="15" t="str">
        <f>_xlfn.TEXTBEFORE(_xlfn.TEXTAFTER(CantoralDB[[#This Row],[index.html]],"&gt;"),"&gt;")&amp;"&gt;"</f>
        <v>&lt;a href="canciones/hermana_glenda/nada_es_imposible.html"&gt;</v>
      </c>
      <c r="Y1006"/>
      <c r="AB1006" s="1"/>
      <c r="AC1006" s="1"/>
    </row>
    <row r="1007" spans="1:29" x14ac:dyDescent="0.3">
      <c r="A1007" s="1">
        <f>ROW(CantoralDB[[#This Row],[Título]])-1</f>
        <v>1006</v>
      </c>
      <c r="B1007" s="1" t="s">
        <v>2285</v>
      </c>
      <c r="C1007" s="1"/>
      <c r="F1007" s="1">
        <v>214</v>
      </c>
      <c r="J1007" s="1"/>
      <c r="M1007" s="15" t="s">
        <v>2219</v>
      </c>
      <c r="O1007" s="15"/>
      <c r="P1007" s="15"/>
      <c r="Q1007" s="15" t="str" cm="1">
        <f t="array" ref="Q10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7" s="15" t="str" cm="1">
        <f t="array" ref="R10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canciones/hermana_glenda/no_juzgues.html</v>
      </c>
      <c r="T1007" s="1"/>
      <c r="U1007" s="1"/>
      <c r="V1007" s="15"/>
      <c r="W10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data-nrcc="214"&gt;&lt;a href="canciones/hermana_glenda/no_juzgues.html"&gt;No juzgues&lt;/a&gt;&lt;/li&gt;</v>
      </c>
      <c r="X1007" s="15" t="str">
        <f>_xlfn.TEXTBEFORE(_xlfn.TEXTAFTER(CantoralDB[[#This Row],[index.html]],"&gt;"),"&gt;")&amp;"&gt;"</f>
        <v>&lt;a href="canciones/hermana_glenda/no_juzgues.html"&gt;</v>
      </c>
      <c r="Y1007"/>
      <c r="AB1007" s="1"/>
      <c r="AC1007" s="1"/>
    </row>
    <row r="1008" spans="1:29" x14ac:dyDescent="0.3">
      <c r="A1008" s="1">
        <f>ROW(CantoralDB[[#This Row],[Título]])-1</f>
        <v>1007</v>
      </c>
      <c r="B1008" s="1" t="s">
        <v>2228</v>
      </c>
      <c r="C1008" s="1"/>
      <c r="F1008" s="1">
        <v>280</v>
      </c>
      <c r="J1008" s="1"/>
      <c r="M1008" s="15" t="s">
        <v>2219</v>
      </c>
      <c r="O1008" s="15"/>
      <c r="P1008" s="15"/>
      <c r="Q1008" s="15" t="str" cm="1">
        <f t="array" ref="Q10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8" s="15" t="str" cm="1">
        <f t="array" ref="R10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canciones/hermana_glenda/no_soy_digno.html</v>
      </c>
      <c r="T1008" s="1"/>
      <c r="U1008" s="1"/>
      <c r="V1008" s="32" t="s">
        <v>4559</v>
      </c>
      <c r="W10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data-nrcc="280"&gt;&lt;a href="canciones/hermana_glenda/no_soy_digno.html"&gt;No soy digno&lt;/a&gt;&lt;/li&gt;</v>
      </c>
      <c r="X1008" s="15" t="str">
        <f>_xlfn.TEXTBEFORE(_xlfn.TEXTAFTER(CantoralDB[[#This Row],[index.html]],"&gt;"),"&gt;")&amp;"&gt;"</f>
        <v>&lt;a href="canciones/hermana_glenda/no_soy_digno.html"&gt;</v>
      </c>
      <c r="Y1008"/>
      <c r="AB1008" s="1"/>
      <c r="AC1008" s="1"/>
    </row>
    <row r="1009" spans="1:29" x14ac:dyDescent="0.3">
      <c r="A1009" s="1">
        <f>ROW(CantoralDB[[#This Row],[Título]])-1</f>
        <v>1008</v>
      </c>
      <c r="B1009" s="1" t="s">
        <v>2578</v>
      </c>
      <c r="C1009" s="1"/>
      <c r="F1009" s="1">
        <v>192</v>
      </c>
      <c r="J1009" s="1"/>
      <c r="M1009" s="15" t="s">
        <v>2219</v>
      </c>
      <c r="O1009" s="15"/>
      <c r="P1009" s="15"/>
      <c r="Q1009" s="15" t="str" cm="1">
        <f t="array" ref="Q10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09" s="15" t="str" cm="1">
        <f t="array" ref="R10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canciones/hermana_glenda/para_ti_toda_mi_musica_señor.html</v>
      </c>
      <c r="T1009" s="1"/>
      <c r="U1009" s="1"/>
      <c r="V1009" s="15"/>
      <c r="W10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data-nrcc="192"&gt;&lt;a href="canciones/hermana_glenda/para_ti_toda_mi_musica_señor.html"&gt;Para ti toda mi música, Señor&lt;/a&gt;&lt;/li&gt;</v>
      </c>
      <c r="X1009" s="15" t="str">
        <f>_xlfn.TEXTBEFORE(_xlfn.TEXTAFTER(CantoralDB[[#This Row],[index.html]],"&gt;"),"&gt;")&amp;"&gt;"</f>
        <v>&lt;a href="canciones/hermana_glenda/para_ti_toda_mi_musica_señor.html"&gt;</v>
      </c>
      <c r="Y1009"/>
      <c r="AB1009" s="1"/>
      <c r="AC1009" s="1"/>
    </row>
    <row r="1010" spans="1:29" x14ac:dyDescent="0.3">
      <c r="A1010" s="1">
        <f>ROW(CantoralDB[[#This Row],[Título]])-1</f>
        <v>1009</v>
      </c>
      <c r="B1010" s="1" t="s">
        <v>2286</v>
      </c>
      <c r="C1010" s="1"/>
      <c r="F1010" s="1">
        <v>202</v>
      </c>
      <c r="J1010" s="1"/>
      <c r="M1010" s="15" t="s">
        <v>2219</v>
      </c>
      <c r="O1010" s="15"/>
      <c r="P1010" s="15"/>
      <c r="Q1010" s="15" t="str" cm="1">
        <f t="array" ref="Q10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10" s="15" t="str" cm="1">
        <f t="array" ref="R10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canciones/hermana_glenda/quien_ha_encontrado_un_amigo.html</v>
      </c>
      <c r="T1010" s="1"/>
      <c r="U1010" s="1"/>
      <c r="V1010" s="15"/>
      <c r="W10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data-nrcc="202"&gt;&lt;a href="canciones/hermana_glenda/quien_ha_encontrado_un_amigo.html"&gt;Quien ha encontrado un amigo&lt;/a&gt;&lt;/li&gt;</v>
      </c>
      <c r="X1010" s="15" t="str">
        <f>_xlfn.TEXTBEFORE(_xlfn.TEXTAFTER(CantoralDB[[#This Row],[index.html]],"&gt;"),"&gt;")&amp;"&gt;"</f>
        <v>&lt;a href="canciones/hermana_glenda/quien_ha_encontrado_un_amigo.html"&gt;</v>
      </c>
      <c r="Y1010"/>
      <c r="AB1010" s="1"/>
      <c r="AC1010" s="1"/>
    </row>
    <row r="1011" spans="1:29" x14ac:dyDescent="0.3">
      <c r="A1011" s="1">
        <f>ROW(CantoralDB[[#This Row],[Título]])-1</f>
        <v>1010</v>
      </c>
      <c r="B1011" s="1" t="s">
        <v>2282</v>
      </c>
      <c r="C1011" s="1"/>
      <c r="F1011" s="1">
        <v>218</v>
      </c>
      <c r="J1011" s="1"/>
      <c r="M1011" s="15" t="s">
        <v>2219</v>
      </c>
      <c r="O1011" s="15"/>
      <c r="P1011" s="15"/>
      <c r="Q1011" s="15" t="str" cm="1">
        <f t="array" ref="Q10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11" s="15" t="str" cm="1">
        <f t="array" ref="R10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canciones/hermana_glenda/quien_pierde_su_vida_la_encuentra.html</v>
      </c>
      <c r="T1011" s="1"/>
      <c r="U1011" s="1"/>
      <c r="V1011" s="32" t="s">
        <v>4577</v>
      </c>
      <c r="W10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data-nrcc="218"&gt;&lt;a href="canciones/hermana_glenda/quien_pierde_su_vida_la_encuentra.html"&gt;Quien pierde su vida la encuentra&lt;/a&gt;&lt;/li&gt;</v>
      </c>
      <c r="X1011" s="15" t="str">
        <f>_xlfn.TEXTBEFORE(_xlfn.TEXTAFTER(CantoralDB[[#This Row],[index.html]],"&gt;"),"&gt;")&amp;"&gt;"</f>
        <v>&lt;a href="canciones/hermana_glenda/quien_pierde_su_vida_la_encuentra.html"&gt;</v>
      </c>
      <c r="Y1011"/>
      <c r="AB1011" s="1"/>
      <c r="AC1011" s="1"/>
    </row>
    <row r="1012" spans="1:29" x14ac:dyDescent="0.3">
      <c r="A1012" s="1">
        <f>ROW(CantoralDB[[#This Row],[Título]])-1</f>
        <v>1011</v>
      </c>
      <c r="B1012" s="1" t="s">
        <v>1535</v>
      </c>
      <c r="C1012" s="1"/>
      <c r="F1012" s="1">
        <v>237</v>
      </c>
      <c r="J1012" s="1"/>
      <c r="M1012" s="15" t="s">
        <v>2219</v>
      </c>
      <c r="O1012" s="15"/>
      <c r="P1012" s="15"/>
      <c r="Q1012" s="15" t="str" cm="1">
        <f t="array" ref="Q10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12" s="15" t="str" cm="1">
        <f t="array" ref="R10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canciones/hermana_glenda/ven_señor_jesus.html</v>
      </c>
      <c r="T1012" s="1"/>
      <c r="U1012" s="1"/>
      <c r="V1012" s="15"/>
      <c r="W10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data-nrcc="237"&gt;&lt;a href="canciones/hermana_glenda/ven_señor_jesus.html"&gt;Ven, Señor Jesús&lt;/a&gt;&lt;/li&gt;</v>
      </c>
      <c r="X1012" s="15" t="str">
        <f>_xlfn.TEXTBEFORE(_xlfn.TEXTAFTER(CantoralDB[[#This Row],[index.html]],"&gt;"),"&gt;")&amp;"&gt;"</f>
        <v>&lt;a href="canciones/hermana_glenda/ven_señor_jesus.html"&gt;</v>
      </c>
      <c r="Y1012"/>
      <c r="AB1012" s="1"/>
      <c r="AC1012" s="1"/>
    </row>
    <row r="1013" spans="1:29" x14ac:dyDescent="0.3">
      <c r="A1013" s="1">
        <f>ROW(CantoralDB[[#This Row],[Título]])-1</f>
        <v>1012</v>
      </c>
      <c r="B1013" s="1" t="s">
        <v>2289</v>
      </c>
      <c r="C1013" s="1"/>
      <c r="F1013" s="1">
        <v>198</v>
      </c>
      <c r="J1013" s="1"/>
      <c r="M1013" s="15" t="s">
        <v>2219</v>
      </c>
      <c r="O1013" s="15"/>
      <c r="P1013" s="15"/>
      <c r="Q1013" s="15" t="str" cm="1">
        <f t="array" ref="Q10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hermana_glenda</v>
      </c>
      <c r="R1013" s="15" t="str" cm="1">
        <f t="array" ref="R10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0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canciones/hermana_glenda/yo_creo_en_tu_resurreccion.html</v>
      </c>
      <c r="T1013" s="1"/>
      <c r="U1013" s="1"/>
      <c r="V1013" s="32" t="s">
        <v>4571</v>
      </c>
      <c r="W10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data-author="Hermana Glenda" data-nrcc="198"&gt;&lt;a href="canciones/hermana_glenda/yo_creo_en_tu_resurreccion.html"&gt;Yo creo en tu resurrección&lt;/a&gt;&lt;/li&gt;</v>
      </c>
      <c r="X1013" s="15" t="str">
        <f>_xlfn.TEXTBEFORE(_xlfn.TEXTAFTER(CantoralDB[[#This Row],[index.html]],"&gt;"),"&gt;")&amp;"&gt;"</f>
        <v>&lt;a href="canciones/hermana_glenda/yo_creo_en_tu_resurreccion.html"&gt;</v>
      </c>
      <c r="Y1013"/>
      <c r="AB1013" s="1"/>
      <c r="AC1013" s="1"/>
    </row>
    <row r="1014" spans="1:29" x14ac:dyDescent="0.3">
      <c r="A1014" s="1">
        <f>ROW(CantoralDB[[#This Row],[Título]])-1</f>
        <v>1013</v>
      </c>
      <c r="B1014" s="1" t="s">
        <v>3242</v>
      </c>
      <c r="C1014" s="1"/>
      <c r="H1014" s="1" t="s">
        <v>529</v>
      </c>
      <c r="J1014" s="1" t="s">
        <v>605</v>
      </c>
      <c r="M1014" s="15" t="s">
        <v>519</v>
      </c>
      <c r="N1014" s="1" t="s">
        <v>3241</v>
      </c>
      <c r="O1014" s="15">
        <v>3</v>
      </c>
      <c r="P1014" s="15">
        <v>2010</v>
      </c>
      <c r="Q1014" s="15" t="str" cm="1">
        <f t="array" ref="Q10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4" s="15" t="str" cm="1">
        <f t="array" ref="R10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canciones/ixcis/entra_en_mi_noche.html</v>
      </c>
      <c r="T1014" s="1"/>
      <c r="U1014" s="1"/>
      <c r="V1014" s="32" t="s">
        <v>3330</v>
      </c>
      <c r="W10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href="canciones/ixcis/entra_en_mi_noche.html"&gt;Entra en mi noche&lt;/a&gt;&lt;/li&gt;</v>
      </c>
      <c r="X1014" s="15" t="str">
        <f>_xlfn.TEXTBEFORE(_xlfn.TEXTAFTER(CantoralDB[[#This Row],[index.html]],"&gt;"),"&gt;")&amp;"&gt;"</f>
        <v>&lt;a href="canciones/ixcis/entra_en_mi_noche.html"&gt;</v>
      </c>
      <c r="Y1014"/>
      <c r="AB1014" s="1"/>
      <c r="AC1014" s="1"/>
    </row>
    <row r="1015" spans="1:29" x14ac:dyDescent="0.3">
      <c r="A1015" s="1">
        <f>ROW(CantoralDB[[#This Row],[Título]])-1</f>
        <v>1014</v>
      </c>
      <c r="B1015" s="1" t="s">
        <v>3243</v>
      </c>
      <c r="C1015" s="1"/>
      <c r="H1015" s="1" t="s">
        <v>472</v>
      </c>
      <c r="J1015" s="1" t="s">
        <v>605</v>
      </c>
      <c r="M1015" s="15" t="s">
        <v>519</v>
      </c>
      <c r="N1015" s="1" t="s">
        <v>3241</v>
      </c>
      <c r="O1015" s="15">
        <v>4</v>
      </c>
      <c r="P1015" s="15">
        <v>2010</v>
      </c>
      <c r="Q1015" s="15" t="str" cm="1">
        <f t="array" ref="Q10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5" s="15" t="str" cm="1">
        <f t="array" ref="R10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canciones/ixcis/como_la_lluvia.html</v>
      </c>
      <c r="T1015" s="1"/>
      <c r="U1015" s="1"/>
      <c r="V1015" s="32" t="s">
        <v>3331</v>
      </c>
      <c r="W10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href="canciones/ixcis/como_la_lluvia.html"&gt;Como la lluvia&lt;/a&gt;&lt;/li&gt;</v>
      </c>
      <c r="X1015" s="15" t="str">
        <f>_xlfn.TEXTBEFORE(_xlfn.TEXTAFTER(CantoralDB[[#This Row],[index.html]],"&gt;"),"&gt;")&amp;"&gt;"</f>
        <v>&lt;a href="canciones/ixcis/como_la_lluvia.html"&gt;</v>
      </c>
      <c r="Y1015"/>
      <c r="AB1015" s="1"/>
      <c r="AC1015" s="1"/>
    </row>
    <row r="1016" spans="1:29" x14ac:dyDescent="0.3">
      <c r="A1016" s="1">
        <f>ROW(CantoralDB[[#This Row],[Título]])-1</f>
        <v>1015</v>
      </c>
      <c r="B1016" s="1" t="s">
        <v>3244</v>
      </c>
      <c r="C1016" s="1"/>
      <c r="H1016" s="1" t="s">
        <v>1024</v>
      </c>
      <c r="J1016" s="1" t="s">
        <v>605</v>
      </c>
      <c r="M1016" s="15" t="s">
        <v>519</v>
      </c>
      <c r="N1016" s="1" t="s">
        <v>3241</v>
      </c>
      <c r="O1016" s="15">
        <v>5</v>
      </c>
      <c r="P1016" s="15">
        <v>2010</v>
      </c>
      <c r="Q1016" s="15" t="str" cm="1">
        <f t="array" ref="Q10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6" s="15" t="str" cm="1">
        <f t="array" ref="R10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canciones/ixcis/vuelvo.html</v>
      </c>
      <c r="T1016" s="1"/>
      <c r="U1016" s="1"/>
      <c r="V1016" s="32" t="s">
        <v>3332</v>
      </c>
      <c r="W10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href="canciones/ixcis/vuelvo.html"&gt;Vuelvo&lt;/a&gt;&lt;/li&gt;</v>
      </c>
      <c r="X1016" s="15" t="str">
        <f>_xlfn.TEXTBEFORE(_xlfn.TEXTAFTER(CantoralDB[[#This Row],[index.html]],"&gt;"),"&gt;")&amp;"&gt;"</f>
        <v>&lt;a href="canciones/ixcis/vuelvo.html"&gt;</v>
      </c>
      <c r="Y1016"/>
      <c r="AB1016" s="1"/>
      <c r="AC1016" s="1"/>
    </row>
    <row r="1017" spans="1:29" x14ac:dyDescent="0.3">
      <c r="A1017" s="1">
        <f>ROW(CantoralDB[[#This Row],[Título]])-1</f>
        <v>1016</v>
      </c>
      <c r="B1017" s="1" t="s">
        <v>3249</v>
      </c>
      <c r="C1017" s="1"/>
      <c r="H1017" s="1" t="s">
        <v>529</v>
      </c>
      <c r="J1017" s="1" t="s">
        <v>605</v>
      </c>
      <c r="M1017" s="15" t="s">
        <v>519</v>
      </c>
      <c r="N1017" s="1" t="s">
        <v>3241</v>
      </c>
      <c r="O1017" s="15">
        <v>6</v>
      </c>
      <c r="P1017" s="15">
        <v>2010</v>
      </c>
      <c r="Q1017" s="15" t="str" cm="1">
        <f t="array" ref="Q10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7" s="15" t="str" cm="1">
        <f t="array" ref="R10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canciones/ixcis/vengo_a_orar.html</v>
      </c>
      <c r="T1017" s="1"/>
      <c r="U1017" s="1"/>
      <c r="V1017" s="32" t="s">
        <v>3333</v>
      </c>
      <c r="W10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href="canciones/ixcis/vengo_a_orar.html"&gt;Vengo a orar&lt;/a&gt;&lt;/li&gt;</v>
      </c>
      <c r="X1017" s="15" t="str">
        <f>_xlfn.TEXTBEFORE(_xlfn.TEXTAFTER(CantoralDB[[#This Row],[index.html]],"&gt;"),"&gt;")&amp;"&gt;"</f>
        <v>&lt;a href="canciones/ixcis/vengo_a_orar.html"&gt;</v>
      </c>
      <c r="Y1017"/>
      <c r="AB1017" s="1"/>
      <c r="AC1017" s="1"/>
    </row>
    <row r="1018" spans="1:29" x14ac:dyDescent="0.3">
      <c r="A1018" s="1">
        <f>ROW(CantoralDB[[#This Row],[Título]])-1</f>
        <v>1017</v>
      </c>
      <c r="B1018" s="1" t="s">
        <v>3250</v>
      </c>
      <c r="C1018" s="1"/>
      <c r="H1018" s="1" t="s">
        <v>472</v>
      </c>
      <c r="J1018" s="1" t="s">
        <v>605</v>
      </c>
      <c r="M1018" s="15" t="s">
        <v>519</v>
      </c>
      <c r="N1018" s="1" t="s">
        <v>3241</v>
      </c>
      <c r="O1018" s="15">
        <v>7</v>
      </c>
      <c r="P1018" s="15">
        <v>2010</v>
      </c>
      <c r="Q1018" s="15" t="str" cm="1">
        <f t="array" ref="Q10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8" s="15" t="str" cm="1">
        <f t="array" ref="R10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canciones/ixcis/despiertame.html</v>
      </c>
      <c r="T1018" s="1"/>
      <c r="U1018" s="1"/>
      <c r="V1018" s="32" t="s">
        <v>3334</v>
      </c>
      <c r="W10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href="canciones/ixcis/despiertame.html"&gt;Despiértame&lt;/a&gt;&lt;/li&gt;</v>
      </c>
      <c r="X1018" s="15" t="str">
        <f>_xlfn.TEXTBEFORE(_xlfn.TEXTAFTER(CantoralDB[[#This Row],[index.html]],"&gt;"),"&gt;")&amp;"&gt;"</f>
        <v>&lt;a href="canciones/ixcis/despiertame.html"&gt;</v>
      </c>
      <c r="Y1018"/>
      <c r="AB1018" s="1"/>
      <c r="AC1018" s="1"/>
    </row>
    <row r="1019" spans="1:29" x14ac:dyDescent="0.3">
      <c r="A1019" s="1">
        <f>ROW(CantoralDB[[#This Row],[Título]])-1</f>
        <v>1018</v>
      </c>
      <c r="B1019" s="1" t="s">
        <v>3251</v>
      </c>
      <c r="C1019" s="1"/>
      <c r="H1019" s="1" t="s">
        <v>1026</v>
      </c>
      <c r="J1019" s="1" t="s">
        <v>605</v>
      </c>
      <c r="M1019" s="15" t="s">
        <v>519</v>
      </c>
      <c r="N1019" s="1" t="s">
        <v>3241</v>
      </c>
      <c r="O1019" s="15">
        <v>8</v>
      </c>
      <c r="P1019" s="15">
        <v>2010</v>
      </c>
      <c r="Q1019" s="15" t="str" cm="1">
        <f t="array" ref="Q10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19" s="15" t="str" cm="1">
        <f t="array" ref="R10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canciones/ixcis/deja_tus_redes.html</v>
      </c>
      <c r="T1019" s="1"/>
      <c r="U1019" s="1"/>
      <c r="V1019" s="32" t="s">
        <v>3336</v>
      </c>
      <c r="W10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href="canciones/ixcis/deja_tus_redes.html"&gt;Deja tus redes&lt;/a&gt;&lt;/li&gt;</v>
      </c>
      <c r="X1019" s="15" t="str">
        <f>_xlfn.TEXTBEFORE(_xlfn.TEXTAFTER(CantoralDB[[#This Row],[index.html]],"&gt;"),"&gt;")&amp;"&gt;"</f>
        <v>&lt;a href="canciones/ixcis/deja_tus_redes.html"&gt;</v>
      </c>
      <c r="Y1019"/>
      <c r="AB1019" s="1"/>
      <c r="AC1019" s="1"/>
    </row>
    <row r="1020" spans="1:29" x14ac:dyDescent="0.3">
      <c r="A1020" s="1">
        <f>ROW(CantoralDB[[#This Row],[Título]])-1</f>
        <v>1019</v>
      </c>
      <c r="B1020" s="1" t="s">
        <v>3252</v>
      </c>
      <c r="C1020" s="1"/>
      <c r="H1020" s="1" t="s">
        <v>1026</v>
      </c>
      <c r="J1020" s="1" t="s">
        <v>605</v>
      </c>
      <c r="M1020" s="15" t="s">
        <v>519</v>
      </c>
      <c r="N1020" s="1" t="s">
        <v>3241</v>
      </c>
      <c r="O1020" s="15">
        <v>9</v>
      </c>
      <c r="P1020" s="15">
        <v>2010</v>
      </c>
      <c r="Q1020" s="15" t="str" cm="1">
        <f t="array" ref="Q10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0" s="15" t="str" cm="1">
        <f t="array" ref="R10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canciones/ixcis/ven_serename.html</v>
      </c>
      <c r="T1020" s="1"/>
      <c r="U1020" s="1"/>
      <c r="V1020" s="32" t="s">
        <v>3335</v>
      </c>
      <c r="W10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href="canciones/ixcis/ven_serename.html"&gt;Ven, seréname&lt;/a&gt;&lt;/li&gt;</v>
      </c>
      <c r="X1020" s="15" t="str">
        <f>_xlfn.TEXTBEFORE(_xlfn.TEXTAFTER(CantoralDB[[#This Row],[index.html]],"&gt;"),"&gt;")&amp;"&gt;"</f>
        <v>&lt;a href="canciones/ixcis/ven_serename.html"&gt;</v>
      </c>
      <c r="Y1020"/>
      <c r="AB1020" s="1"/>
      <c r="AC1020" s="1"/>
    </row>
    <row r="1021" spans="1:29" x14ac:dyDescent="0.3">
      <c r="A1021" s="1">
        <f>ROW(CantoralDB[[#This Row],[Título]])-1</f>
        <v>1020</v>
      </c>
      <c r="B1021" s="1" t="s">
        <v>3256</v>
      </c>
      <c r="C1021" s="1"/>
      <c r="H1021" s="1" t="s">
        <v>1026</v>
      </c>
      <c r="J1021" s="1" t="s">
        <v>605</v>
      </c>
      <c r="M1021" s="15" t="s">
        <v>519</v>
      </c>
      <c r="N1021" s="1" t="s">
        <v>3241</v>
      </c>
      <c r="O1021" s="15">
        <v>10</v>
      </c>
      <c r="P1021" s="15">
        <v>2010</v>
      </c>
      <c r="Q1021" s="15" t="str" cm="1">
        <f t="array" ref="Q10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1" s="15" t="str" cm="1">
        <f t="array" ref="R10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canciones/ixcis/quiero_verte.html</v>
      </c>
      <c r="T1021" s="1"/>
      <c r="U1021" s="1"/>
      <c r="V1021" s="32" t="s">
        <v>3337</v>
      </c>
      <c r="W10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href="canciones/ixcis/quiero_verte.html"&gt;Quiero verte&lt;/a&gt;&lt;/li&gt;</v>
      </c>
      <c r="X1021" s="15" t="str">
        <f>_xlfn.TEXTBEFORE(_xlfn.TEXTAFTER(CantoralDB[[#This Row],[index.html]],"&gt;"),"&gt;")&amp;"&gt;"</f>
        <v>&lt;a href="canciones/ixcis/quiero_verte.html"&gt;</v>
      </c>
      <c r="Y1021"/>
      <c r="AB1021" s="1"/>
      <c r="AC1021" s="1"/>
    </row>
    <row r="1022" spans="1:29" x14ac:dyDescent="0.3">
      <c r="A1022" s="1">
        <f>ROW(CantoralDB[[#This Row],[Título]])-1</f>
        <v>1021</v>
      </c>
      <c r="B1022" s="1" t="s">
        <v>3257</v>
      </c>
      <c r="C1022" s="1"/>
      <c r="H1022" s="1" t="s">
        <v>529</v>
      </c>
      <c r="J1022" s="1" t="s">
        <v>605</v>
      </c>
      <c r="M1022" s="15" t="s">
        <v>519</v>
      </c>
      <c r="N1022" s="1" t="s">
        <v>3241</v>
      </c>
      <c r="O1022" s="15">
        <v>11</v>
      </c>
      <c r="P1022" s="15">
        <v>2010</v>
      </c>
      <c r="Q1022" s="15" t="str" cm="1">
        <f t="array" ref="Q10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2" s="15" t="str" cm="1">
        <f t="array" ref="R10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canciones/ixcis/ellos_son_tu_rostro.html</v>
      </c>
      <c r="T1022" s="1"/>
      <c r="U1022" s="1"/>
      <c r="V1022" s="32" t="s">
        <v>3338</v>
      </c>
      <c r="W10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href="canciones/ixcis/ellos_son_tu_rostro.html"&gt;Ellos son tu rostro&lt;/a&gt;&lt;/li&gt;</v>
      </c>
      <c r="X1022" s="15" t="str">
        <f>_xlfn.TEXTBEFORE(_xlfn.TEXTAFTER(CantoralDB[[#This Row],[index.html]],"&gt;"),"&gt;")&amp;"&gt;"</f>
        <v>&lt;a href="canciones/ixcis/ellos_son_tu_rostro.html"&gt;</v>
      </c>
      <c r="Y1022"/>
      <c r="AB1022" s="1"/>
      <c r="AC1022" s="1"/>
    </row>
    <row r="1023" spans="1:29" x14ac:dyDescent="0.3">
      <c r="A1023" s="1">
        <f>ROW(CantoralDB[[#This Row],[Título]])-1</f>
        <v>1022</v>
      </c>
      <c r="B1023" s="1" t="s">
        <v>3258</v>
      </c>
      <c r="C1023" s="1"/>
      <c r="H1023" s="1" t="s">
        <v>1024</v>
      </c>
      <c r="J1023" s="1" t="s">
        <v>605</v>
      </c>
      <c r="M1023" s="15" t="s">
        <v>519</v>
      </c>
      <c r="N1023" s="1" t="s">
        <v>3241</v>
      </c>
      <c r="O1023" s="15">
        <v>13</v>
      </c>
      <c r="P1023" s="15">
        <v>2010</v>
      </c>
      <c r="Q1023" s="15" t="str" cm="1">
        <f t="array" ref="Q10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3" s="15" t="str" cm="1">
        <f t="array" ref="R10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canciones/ixcis/mas_que_el_oro.html</v>
      </c>
      <c r="T1023" s="1"/>
      <c r="U1023" s="1"/>
      <c r="V1023" s="32" t="s">
        <v>3339</v>
      </c>
      <c r="W10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href="canciones/ixcis/mas_que_el_oro.html"&gt;Más que el oro&lt;/a&gt;&lt;/li&gt;</v>
      </c>
      <c r="X1023" s="15" t="str">
        <f>_xlfn.TEXTBEFORE(_xlfn.TEXTAFTER(CantoralDB[[#This Row],[index.html]],"&gt;"),"&gt;")&amp;"&gt;"</f>
        <v>&lt;a href="canciones/ixcis/mas_que_el_oro.html"&gt;</v>
      </c>
      <c r="Y1023"/>
      <c r="AB1023" s="1"/>
      <c r="AC1023" s="1"/>
    </row>
    <row r="1024" spans="1:29" x14ac:dyDescent="0.3">
      <c r="A1024" s="1">
        <f>ROW(CantoralDB[[#This Row],[Título]])-1</f>
        <v>1023</v>
      </c>
      <c r="B1024" s="1" t="s">
        <v>3259</v>
      </c>
      <c r="C1024" s="1"/>
      <c r="H1024" s="1" t="s">
        <v>529</v>
      </c>
      <c r="J1024" s="1" t="s">
        <v>605</v>
      </c>
      <c r="M1024" s="15" t="s">
        <v>519</v>
      </c>
      <c r="N1024" s="1" t="s">
        <v>3241</v>
      </c>
      <c r="O1024" s="15">
        <v>14</v>
      </c>
      <c r="P1024" s="15">
        <v>2010</v>
      </c>
      <c r="Q1024" s="15" t="str" cm="1">
        <f t="array" ref="Q10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4" s="15" t="str" cm="1">
        <f t="array" ref="R10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canciones/ixcis/mi_roca.html</v>
      </c>
      <c r="T1024" s="1"/>
      <c r="U1024" s="1"/>
      <c r="V1024" s="32" t="s">
        <v>3340</v>
      </c>
      <c r="W10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href="canciones/ixcis/mi_roca.html"&gt;Mi roca&lt;/a&gt;&lt;/li&gt;</v>
      </c>
      <c r="X1024" s="15" t="str">
        <f>_xlfn.TEXTBEFORE(_xlfn.TEXTAFTER(CantoralDB[[#This Row],[index.html]],"&gt;"),"&gt;")&amp;"&gt;"</f>
        <v>&lt;a href="canciones/ixcis/mi_roca.html"&gt;</v>
      </c>
      <c r="Y1024"/>
      <c r="AB1024" s="1"/>
      <c r="AC1024" s="1"/>
    </row>
    <row r="1025" spans="1:29" x14ac:dyDescent="0.3">
      <c r="A1025" s="1">
        <f>ROW(CantoralDB[[#This Row],[Título]])-1</f>
        <v>1024</v>
      </c>
      <c r="B1025" s="1" t="s">
        <v>3260</v>
      </c>
      <c r="C1025" s="1"/>
      <c r="H1025" s="1" t="s">
        <v>1026</v>
      </c>
      <c r="J1025" s="1" t="s">
        <v>605</v>
      </c>
      <c r="M1025" s="15" t="s">
        <v>519</v>
      </c>
      <c r="N1025" s="1" t="s">
        <v>3241</v>
      </c>
      <c r="O1025" s="15">
        <v>15</v>
      </c>
      <c r="P1025" s="15">
        <v>2010</v>
      </c>
      <c r="Q1025" s="15" t="str" cm="1">
        <f t="array" ref="Q10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5" s="15" t="str" cm="1">
        <f t="array" ref="R10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canciones/ixcis/danos_pastores.html</v>
      </c>
      <c r="T1025" s="1"/>
      <c r="U1025" s="1"/>
      <c r="V1025" s="32" t="s">
        <v>3341</v>
      </c>
      <c r="W10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href="canciones/ixcis/danos_pastores.html"&gt;Danos pastores&lt;/a&gt;&lt;/li&gt;</v>
      </c>
      <c r="X1025" s="15" t="str">
        <f>_xlfn.TEXTBEFORE(_xlfn.TEXTAFTER(CantoralDB[[#This Row],[index.html]],"&gt;"),"&gt;")&amp;"&gt;"</f>
        <v>&lt;a href="canciones/ixcis/danos_pastores.html"&gt;</v>
      </c>
      <c r="Y1025"/>
      <c r="AB1025" s="1"/>
      <c r="AC1025" s="1"/>
    </row>
    <row r="1026" spans="1:29" x14ac:dyDescent="0.3">
      <c r="A1026" s="1">
        <f>ROW(CantoralDB[[#This Row],[Título]])-1</f>
        <v>1025</v>
      </c>
      <c r="B1026" s="1" t="s">
        <v>3261</v>
      </c>
      <c r="C1026" s="1"/>
      <c r="H1026" s="1" t="s">
        <v>1027</v>
      </c>
      <c r="J1026" s="1" t="s">
        <v>605</v>
      </c>
      <c r="M1026" s="15" t="s">
        <v>519</v>
      </c>
      <c r="N1026" s="1" t="s">
        <v>3241</v>
      </c>
      <c r="O1026" s="15">
        <v>16</v>
      </c>
      <c r="P1026" s="15">
        <v>2010</v>
      </c>
      <c r="Q1026" s="15" t="str" cm="1">
        <f t="array" ref="Q10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6" s="15" t="str" cm="1">
        <f t="array" ref="R10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canciones/ixcis/cinco_panes_y_dos_peces.html</v>
      </c>
      <c r="T1026" s="1"/>
      <c r="U1026" s="1"/>
      <c r="V1026" s="32" t="s">
        <v>3342</v>
      </c>
      <c r="W10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href="canciones/ixcis/cinco_panes_y_dos_peces.html"&gt;Cinco panes y dos peces&lt;/a&gt;&lt;/li&gt;</v>
      </c>
      <c r="X1026" s="15" t="str">
        <f>_xlfn.TEXTBEFORE(_xlfn.TEXTAFTER(CantoralDB[[#This Row],[index.html]],"&gt;"),"&gt;")&amp;"&gt;"</f>
        <v>&lt;a href="canciones/ixcis/cinco_panes_y_dos_peces.html"&gt;</v>
      </c>
      <c r="Y1026"/>
      <c r="AB1026" s="1"/>
      <c r="AC1026" s="1"/>
    </row>
    <row r="1027" spans="1:29" x14ac:dyDescent="0.3">
      <c r="A1027" s="1">
        <f>ROW(CantoralDB[[#This Row],[Título]])-1</f>
        <v>1026</v>
      </c>
      <c r="B1027" s="1" t="s">
        <v>3262</v>
      </c>
      <c r="C1027" s="1"/>
      <c r="H1027" s="1" t="s">
        <v>1025</v>
      </c>
      <c r="J1027" s="1" t="s">
        <v>605</v>
      </c>
      <c r="M1027" s="15" t="s">
        <v>519</v>
      </c>
      <c r="N1027" s="1" t="s">
        <v>3241</v>
      </c>
      <c r="O1027" s="15">
        <v>17</v>
      </c>
      <c r="P1027" s="15">
        <v>2010</v>
      </c>
      <c r="Q1027" s="15" t="str" cm="1">
        <f t="array" ref="Q10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7" s="15" t="str" cm="1">
        <f t="array" ref="R10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canciones/ixcis/ven_a_mi.html</v>
      </c>
      <c r="T1027" s="1"/>
      <c r="U1027" s="1"/>
      <c r="V1027" s="32" t="s">
        <v>3343</v>
      </c>
      <c r="W10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href="canciones/ixcis/ven_a_mi.html"&gt;Ven a mí&lt;/a&gt;&lt;/li&gt;</v>
      </c>
      <c r="X1027" s="15" t="str">
        <f>_xlfn.TEXTBEFORE(_xlfn.TEXTAFTER(CantoralDB[[#This Row],[index.html]],"&gt;"),"&gt;")&amp;"&gt;"</f>
        <v>&lt;a href="canciones/ixcis/ven_a_mi.html"&gt;</v>
      </c>
      <c r="Y1027"/>
      <c r="AB1027" s="1"/>
      <c r="AC1027" s="1"/>
    </row>
    <row r="1028" spans="1:29" x14ac:dyDescent="0.3">
      <c r="A1028" s="1">
        <f>ROW(CantoralDB[[#This Row],[Título]])-1</f>
        <v>1027</v>
      </c>
      <c r="B1028" s="1" t="s">
        <v>3255</v>
      </c>
      <c r="C1028" s="1"/>
      <c r="H1028" s="1" t="s">
        <v>1027</v>
      </c>
      <c r="J1028" s="1" t="s">
        <v>605</v>
      </c>
      <c r="M1028" s="15" t="s">
        <v>519</v>
      </c>
      <c r="N1028" s="1" t="s">
        <v>3241</v>
      </c>
      <c r="O1028" s="15">
        <v>19</v>
      </c>
      <c r="P1028" s="15">
        <v>2010</v>
      </c>
      <c r="Q1028" s="15" t="str" cm="1">
        <f t="array" ref="Q10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8" s="15" t="str" cm="1">
        <f t="array" ref="R10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canciones/ixcis/morir.html</v>
      </c>
      <c r="T1028" s="1"/>
      <c r="U1028" s="1"/>
      <c r="V1028" s="32" t="s">
        <v>3344</v>
      </c>
      <c r="W10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href="canciones/ixcis/morir.html"&gt;Morir&lt;/a&gt;&lt;/li&gt;</v>
      </c>
      <c r="X1028" s="15" t="str">
        <f>_xlfn.TEXTBEFORE(_xlfn.TEXTAFTER(CantoralDB[[#This Row],[index.html]],"&gt;"),"&gt;")&amp;"&gt;"</f>
        <v>&lt;a href="canciones/ixcis/morir.html"&gt;</v>
      </c>
      <c r="Y1028"/>
      <c r="AB1028" s="1"/>
      <c r="AC1028" s="1"/>
    </row>
    <row r="1029" spans="1:29" x14ac:dyDescent="0.3">
      <c r="A1029" s="1">
        <f>ROW(CantoralDB[[#This Row],[Título]])-1</f>
        <v>1028</v>
      </c>
      <c r="B1029" s="1" t="s">
        <v>3253</v>
      </c>
      <c r="C1029" s="1"/>
      <c r="H1029" s="1" t="s">
        <v>529</v>
      </c>
      <c r="J1029" s="1" t="s">
        <v>605</v>
      </c>
      <c r="M1029" s="15" t="s">
        <v>519</v>
      </c>
      <c r="N1029" s="1" t="s">
        <v>3241</v>
      </c>
      <c r="O1029" s="15">
        <v>20</v>
      </c>
      <c r="P1029" s="15">
        <v>2010</v>
      </c>
      <c r="Q1029" s="15" t="str" cm="1">
        <f t="array" ref="Q10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29" s="15" t="str" cm="1">
        <f t="array" ref="R10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canciones/ixcis/mi_vida_es_cristo.html</v>
      </c>
      <c r="T1029" s="1"/>
      <c r="U1029" s="1"/>
      <c r="V1029" s="32" t="s">
        <v>3345</v>
      </c>
      <c r="W10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href="canciones/ixcis/mi_vida_es_cristo.html"&gt;Mi vida es Cristo&lt;/a&gt;&lt;/li&gt;</v>
      </c>
      <c r="X1029" s="15" t="str">
        <f>_xlfn.TEXTBEFORE(_xlfn.TEXTAFTER(CantoralDB[[#This Row],[index.html]],"&gt;"),"&gt;")&amp;"&gt;"</f>
        <v>&lt;a href="canciones/ixcis/mi_vida_es_cristo.html"&gt;</v>
      </c>
      <c r="Y1029"/>
      <c r="AB1029" s="1"/>
      <c r="AC1029" s="1"/>
    </row>
    <row r="1030" spans="1:29" x14ac:dyDescent="0.3">
      <c r="A1030" s="1">
        <f>ROW(CantoralDB[[#This Row],[Título]])-1</f>
        <v>1029</v>
      </c>
      <c r="B1030" s="1" t="s">
        <v>3254</v>
      </c>
      <c r="C1030" s="1"/>
      <c r="H1030" s="1" t="s">
        <v>472</v>
      </c>
      <c r="J1030" s="1" t="s">
        <v>605</v>
      </c>
      <c r="M1030" s="15" t="s">
        <v>519</v>
      </c>
      <c r="N1030" s="1" t="s">
        <v>3241</v>
      </c>
      <c r="O1030" s="15">
        <v>21</v>
      </c>
      <c r="P1030" s="15">
        <v>2010</v>
      </c>
      <c r="Q1030" s="15" t="str" cm="1">
        <f t="array" ref="Q10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0" s="15" t="str" cm="1">
        <f t="array" ref="R10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canciones/ixcis/solo_el_amor.html</v>
      </c>
      <c r="T1030" s="1"/>
      <c r="U1030" s="1"/>
      <c r="V1030" s="32" t="s">
        <v>3346</v>
      </c>
      <c r="W10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href="canciones/ixcis/solo_el_amor.html"&gt;Sólo el amor&lt;/a&gt;&lt;/li&gt;</v>
      </c>
      <c r="X1030" s="15" t="str">
        <f>_xlfn.TEXTBEFORE(_xlfn.TEXTAFTER(CantoralDB[[#This Row],[index.html]],"&gt;"),"&gt;")&amp;"&gt;"</f>
        <v>&lt;a href="canciones/ixcis/solo_el_amor.html"&gt;</v>
      </c>
      <c r="Y1030"/>
      <c r="AB1030" s="1"/>
      <c r="AC1030" s="1"/>
    </row>
    <row r="1031" spans="1:29" x14ac:dyDescent="0.3">
      <c r="A1031" s="1">
        <f>ROW(CantoralDB[[#This Row],[Título]])-1</f>
        <v>1030</v>
      </c>
      <c r="B1031" s="1" t="s">
        <v>1679</v>
      </c>
      <c r="C1031" s="1"/>
      <c r="H1031" s="1" t="s">
        <v>529</v>
      </c>
      <c r="J1031" s="1" t="s">
        <v>605</v>
      </c>
      <c r="M1031" s="15" t="s">
        <v>519</v>
      </c>
      <c r="N1031" s="1" t="s">
        <v>3241</v>
      </c>
      <c r="O1031" s="15">
        <v>22</v>
      </c>
      <c r="P1031" s="15">
        <v>2010</v>
      </c>
      <c r="Q1031" s="15" t="str" cm="1">
        <f t="array" ref="Q10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1" s="15" t="str" cm="1">
        <f t="array" ref="R10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canciones/ixcis/como_maria.html</v>
      </c>
      <c r="T1031" s="1"/>
      <c r="U1031" s="1"/>
      <c r="V1031" s="32" t="s">
        <v>3347</v>
      </c>
      <c r="W10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href="canciones/ixcis/como_maria.html"&gt;Como María&lt;/a&gt;&lt;/li&gt;</v>
      </c>
      <c r="X1031" s="15" t="str">
        <f>_xlfn.TEXTBEFORE(_xlfn.TEXTAFTER(CantoralDB[[#This Row],[index.html]],"&gt;"),"&gt;")&amp;"&gt;"</f>
        <v>&lt;a href="canciones/ixcis/como_maria.html"&gt;</v>
      </c>
      <c r="Y1031"/>
      <c r="AB1031" s="1"/>
      <c r="AC1031" s="1"/>
    </row>
    <row r="1032" spans="1:29" x14ac:dyDescent="0.3">
      <c r="A1032" s="1">
        <f>ROW(CantoralDB[[#This Row],[Título]])-1</f>
        <v>1031</v>
      </c>
      <c r="B1032" s="1" t="s">
        <v>3247</v>
      </c>
      <c r="C1032" s="1"/>
      <c r="H1032" s="1" t="s">
        <v>1024</v>
      </c>
      <c r="J1032" s="1" t="s">
        <v>605</v>
      </c>
      <c r="M1032" s="15" t="s">
        <v>519</v>
      </c>
      <c r="N1032" s="1" t="s">
        <v>3241</v>
      </c>
      <c r="O1032" s="15">
        <v>23</v>
      </c>
      <c r="P1032" s="15">
        <v>2010</v>
      </c>
      <c r="Q1032" s="15" t="str" cm="1">
        <f t="array" ref="Q10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2" s="15" t="str" cm="1">
        <f t="array" ref="R10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canciones/ixcis/todos_uno.html</v>
      </c>
      <c r="T1032" s="1"/>
      <c r="U1032" s="1"/>
      <c r="V1032" s="32" t="s">
        <v>3348</v>
      </c>
      <c r="W10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href="canciones/ixcis/todos_uno.html"&gt;Todos uno&lt;/a&gt;&lt;/li&gt;</v>
      </c>
      <c r="X1032" s="15" t="str">
        <f>_xlfn.TEXTBEFORE(_xlfn.TEXTAFTER(CantoralDB[[#This Row],[index.html]],"&gt;"),"&gt;")&amp;"&gt;"</f>
        <v>&lt;a href="canciones/ixcis/todos_uno.html"&gt;</v>
      </c>
      <c r="Y1032"/>
      <c r="AB1032" s="1"/>
      <c r="AC1032" s="1"/>
    </row>
    <row r="1033" spans="1:29" x14ac:dyDescent="0.3">
      <c r="A1033" s="1">
        <f>ROW(CantoralDB[[#This Row],[Título]])-1</f>
        <v>1032</v>
      </c>
      <c r="B1033" s="1" t="s">
        <v>2000</v>
      </c>
      <c r="C1033" s="1"/>
      <c r="H1033" s="1" t="s">
        <v>472</v>
      </c>
      <c r="I1033" s="1" t="s">
        <v>2948</v>
      </c>
      <c r="J1033" s="1" t="s">
        <v>605</v>
      </c>
      <c r="M1033" s="15" t="s">
        <v>519</v>
      </c>
      <c r="N1033" s="1" t="s">
        <v>3241</v>
      </c>
      <c r="O1033" s="15">
        <v>24</v>
      </c>
      <c r="P1033" s="15">
        <v>2010</v>
      </c>
      <c r="Q1033" s="15" t="str" cm="1">
        <f t="array" ref="Q10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3" s="15" t="str" cm="1">
        <f t="array" ref="R10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canciones/ixcis/nada.html</v>
      </c>
      <c r="T1033" s="1"/>
      <c r="U1033" s="1"/>
      <c r="V1033" s="32" t="s">
        <v>3349</v>
      </c>
      <c r="W10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href="canciones/ixcis/nada.html"&gt;Nada&lt;/a&gt;&lt;/li&gt;</v>
      </c>
      <c r="X1033" s="15" t="str">
        <f>_xlfn.TEXTBEFORE(_xlfn.TEXTAFTER(CantoralDB[[#This Row],[index.html]],"&gt;"),"&gt;")&amp;"&gt;"</f>
        <v>&lt;a href="canciones/ixcis/nada.html"&gt;</v>
      </c>
      <c r="Y1033"/>
      <c r="AB1033" s="1"/>
      <c r="AC1033" s="1"/>
    </row>
    <row r="1034" spans="1:29" x14ac:dyDescent="0.3">
      <c r="A1034" s="1">
        <f>ROW(CantoralDB[[#This Row],[Título]])-1</f>
        <v>1033</v>
      </c>
      <c r="B1034" s="1" t="s">
        <v>3248</v>
      </c>
      <c r="C1034" s="1"/>
      <c r="H1034" s="1" t="s">
        <v>1025</v>
      </c>
      <c r="J1034" s="1" t="s">
        <v>605</v>
      </c>
      <c r="M1034" s="15" t="s">
        <v>519</v>
      </c>
      <c r="N1034" s="1" t="s">
        <v>3241</v>
      </c>
      <c r="O1034" s="15">
        <v>25</v>
      </c>
      <c r="P1034" s="15">
        <v>2010</v>
      </c>
      <c r="Q1034" s="15" t="str" cm="1">
        <f t="array" ref="Q10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4" s="15" t="str" cm="1">
        <f t="array" ref="R10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canciones/ixcis/donde_este_yo.html</v>
      </c>
      <c r="T1034" s="1"/>
      <c r="U1034" s="1"/>
      <c r="V1034" s="32" t="s">
        <v>3350</v>
      </c>
      <c r="W10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href="canciones/ixcis/donde_este_yo.html"&gt;Donde esté yo&lt;/a&gt;&lt;/li&gt;</v>
      </c>
      <c r="X1034" s="15" t="str">
        <f>_xlfn.TEXTBEFORE(_xlfn.TEXTAFTER(CantoralDB[[#This Row],[index.html]],"&gt;"),"&gt;")&amp;"&gt;"</f>
        <v>&lt;a href="canciones/ixcis/donde_este_yo.html"&gt;</v>
      </c>
      <c r="Y1034"/>
      <c r="AB1034" s="1"/>
      <c r="AC1034" s="1"/>
    </row>
    <row r="1035" spans="1:29" x14ac:dyDescent="0.3">
      <c r="A1035" s="1">
        <f>ROW(CantoralDB[[#This Row],[Título]])-1</f>
        <v>1034</v>
      </c>
      <c r="B1035" s="1" t="s">
        <v>3245</v>
      </c>
      <c r="C1035" s="1"/>
      <c r="H1035" s="1" t="s">
        <v>529</v>
      </c>
      <c r="J1035" s="1" t="s">
        <v>605</v>
      </c>
      <c r="M1035" s="15" t="s">
        <v>519</v>
      </c>
      <c r="N1035" s="1" t="s">
        <v>3241</v>
      </c>
      <c r="O1035" s="15">
        <v>26</v>
      </c>
      <c r="P1035" s="15">
        <v>2010</v>
      </c>
      <c r="Q1035" s="15" t="str" cm="1">
        <f t="array" ref="Q10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5" s="15" t="str" cm="1">
        <f t="array" ref="R10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canciones/ixcis/fiate.html</v>
      </c>
      <c r="T1035" s="1"/>
      <c r="U1035" s="1"/>
      <c r="V1035" s="32" t="s">
        <v>3351</v>
      </c>
      <c r="W10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href="canciones/ixcis/fiate.html"&gt;Fíate&lt;/a&gt;&lt;/li&gt;</v>
      </c>
      <c r="X1035" s="15" t="str">
        <f>_xlfn.TEXTBEFORE(_xlfn.TEXTAFTER(CantoralDB[[#This Row],[index.html]],"&gt;"),"&gt;")&amp;"&gt;"</f>
        <v>&lt;a href="canciones/ixcis/fiate.html"&gt;</v>
      </c>
      <c r="Y1035"/>
      <c r="AB1035" s="1"/>
      <c r="AC1035" s="1"/>
    </row>
    <row r="1036" spans="1:29" x14ac:dyDescent="0.3">
      <c r="A1036" s="1">
        <f>ROW(CantoralDB[[#This Row],[Título]])-1</f>
        <v>1035</v>
      </c>
      <c r="B1036" s="1" t="s">
        <v>3246</v>
      </c>
      <c r="C1036" s="1"/>
      <c r="H1036" s="1" t="s">
        <v>1024</v>
      </c>
      <c r="J1036" s="1" t="s">
        <v>605</v>
      </c>
      <c r="M1036" s="15" t="s">
        <v>519</v>
      </c>
      <c r="N1036" s="1" t="s">
        <v>3241</v>
      </c>
      <c r="O1036" s="15">
        <v>27</v>
      </c>
      <c r="P1036" s="15">
        <v>2010</v>
      </c>
      <c r="Q1036" s="15" t="str" cm="1">
        <f t="array" ref="Q10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6" s="15" t="str" cm="1">
        <f t="array" ref="R10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canciones/ixcis/tu_eres_mi_fuerza.html</v>
      </c>
      <c r="T1036" s="1"/>
      <c r="U1036" s="1"/>
      <c r="V1036" s="32" t="s">
        <v>3352</v>
      </c>
      <c r="W10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href="canciones/ixcis/tu_eres_mi_fuerza.html"&gt;Tú eres mi fuerza&lt;/a&gt;&lt;/li&gt;</v>
      </c>
      <c r="X1036" s="15" t="str">
        <f>_xlfn.TEXTBEFORE(_xlfn.TEXTAFTER(CantoralDB[[#This Row],[index.html]],"&gt;"),"&gt;")&amp;"&gt;"</f>
        <v>&lt;a href="canciones/ixcis/tu_eres_mi_fuerza.html"&gt;</v>
      </c>
      <c r="Y1036"/>
      <c r="AB1036" s="1"/>
      <c r="AC1036" s="1"/>
    </row>
    <row r="1037" spans="1:29" x14ac:dyDescent="0.3">
      <c r="A1037" s="1">
        <f>ROW(CantoralDB[[#This Row],[Título]])-1</f>
        <v>1036</v>
      </c>
      <c r="B1037" s="1" t="s">
        <v>3283</v>
      </c>
      <c r="C1037" s="1"/>
      <c r="H1037" s="1" t="s">
        <v>1024</v>
      </c>
      <c r="J1037" s="1" t="s">
        <v>605</v>
      </c>
      <c r="M1037" s="15" t="s">
        <v>519</v>
      </c>
      <c r="N1037" s="1" t="s">
        <v>3283</v>
      </c>
      <c r="O1037" s="15">
        <v>2</v>
      </c>
      <c r="P1037" s="15">
        <v>1999</v>
      </c>
      <c r="Q1037" s="15" t="str" cm="1">
        <f t="array" ref="Q10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7" s="15" t="str" cm="1">
        <f t="array" ref="R10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canciones/ixcis/al_otro_lado_del_mar.html</v>
      </c>
      <c r="T1037" s="1"/>
      <c r="U1037" s="1"/>
      <c r="V1037" s="32" t="s">
        <v>3370</v>
      </c>
      <c r="W10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href="canciones/ixcis/al_otro_lado_del_mar.html"&gt;Al otro lado del mar&lt;/a&gt;&lt;/li&gt;</v>
      </c>
      <c r="X1037" s="15" t="str">
        <f>_xlfn.TEXTBEFORE(_xlfn.TEXTAFTER(CantoralDB[[#This Row],[index.html]],"&gt;"),"&gt;")&amp;"&gt;"</f>
        <v>&lt;a href="canciones/ixcis/al_otro_lado_del_mar.html"&gt;</v>
      </c>
      <c r="Y1037"/>
      <c r="AB1037" s="1"/>
      <c r="AC1037" s="1"/>
    </row>
    <row r="1038" spans="1:29" x14ac:dyDescent="0.3">
      <c r="A1038" s="1">
        <f>ROW(CantoralDB[[#This Row],[Título]])-1</f>
        <v>1037</v>
      </c>
      <c r="B1038" s="1" t="s">
        <v>3284</v>
      </c>
      <c r="C1038" s="1"/>
      <c r="H1038" s="1" t="s">
        <v>1027</v>
      </c>
      <c r="J1038" s="1" t="s">
        <v>605</v>
      </c>
      <c r="M1038" s="15" t="s">
        <v>519</v>
      </c>
      <c r="N1038" s="1" t="s">
        <v>3283</v>
      </c>
      <c r="O1038" s="15">
        <v>3</v>
      </c>
      <c r="P1038" s="15">
        <v>1999</v>
      </c>
      <c r="Q1038" s="15" t="str" cm="1">
        <f t="array" ref="Q10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8" s="15" t="str" cm="1">
        <f t="array" ref="R10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canciones/ixcis/y_mientras.html</v>
      </c>
      <c r="T1038" s="1"/>
      <c r="U1038" s="1"/>
      <c r="V1038" s="32" t="s">
        <v>3371</v>
      </c>
      <c r="W10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href="canciones/ixcis/y_mientras.html"&gt;Y mientras&lt;/a&gt;&lt;/li&gt;</v>
      </c>
      <c r="X1038" s="15" t="str">
        <f>_xlfn.TEXTBEFORE(_xlfn.TEXTAFTER(CantoralDB[[#This Row],[index.html]],"&gt;"),"&gt;")&amp;"&gt;"</f>
        <v>&lt;a href="canciones/ixcis/y_mientras.html"&gt;</v>
      </c>
      <c r="Y1038"/>
      <c r="AB1038" s="1"/>
      <c r="AC1038" s="1"/>
    </row>
    <row r="1039" spans="1:29" x14ac:dyDescent="0.3">
      <c r="A1039" s="1">
        <f>ROW(CantoralDB[[#This Row],[Título]])-1</f>
        <v>1038</v>
      </c>
      <c r="B1039" s="1" t="s">
        <v>3287</v>
      </c>
      <c r="C1039" s="1"/>
      <c r="H1039" s="1" t="s">
        <v>472</v>
      </c>
      <c r="J1039" s="1" t="s">
        <v>605</v>
      </c>
      <c r="M1039" s="15" t="s">
        <v>519</v>
      </c>
      <c r="N1039" s="1" t="s">
        <v>3283</v>
      </c>
      <c r="O1039" s="15">
        <v>4</v>
      </c>
      <c r="P1039" s="15">
        <v>1999</v>
      </c>
      <c r="Q1039" s="15" t="str" cm="1">
        <f t="array" ref="Q10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39" s="15" t="str" cm="1">
        <f t="array" ref="R10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canciones/ixcis/renovaos.html</v>
      </c>
      <c r="T1039" s="1"/>
      <c r="U1039" s="1"/>
      <c r="V1039" s="32" t="s">
        <v>3372</v>
      </c>
      <c r="W10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href="canciones/ixcis/renovaos.html"&gt;Renovaos&lt;/a&gt;&lt;/li&gt;</v>
      </c>
      <c r="X1039" s="15" t="str">
        <f>_xlfn.TEXTBEFORE(_xlfn.TEXTAFTER(CantoralDB[[#This Row],[index.html]],"&gt;"),"&gt;")&amp;"&gt;"</f>
        <v>&lt;a href="canciones/ixcis/renovaos.html"&gt;</v>
      </c>
      <c r="Y1039"/>
      <c r="AB1039" s="1"/>
      <c r="AC1039" s="1"/>
    </row>
    <row r="1040" spans="1:29" x14ac:dyDescent="0.3">
      <c r="A1040" s="1">
        <f>ROW(CantoralDB[[#This Row],[Título]])-1</f>
        <v>1039</v>
      </c>
      <c r="B1040" s="1" t="s">
        <v>3288</v>
      </c>
      <c r="C1040" s="1"/>
      <c r="H1040" s="1" t="s">
        <v>1027</v>
      </c>
      <c r="J1040" s="1" t="s">
        <v>605</v>
      </c>
      <c r="M1040" s="15" t="s">
        <v>519</v>
      </c>
      <c r="N1040" s="1" t="s">
        <v>3283</v>
      </c>
      <c r="O1040" s="15">
        <v>5</v>
      </c>
      <c r="P1040" s="15">
        <v>1999</v>
      </c>
      <c r="Q1040" s="15" t="str" cm="1">
        <f t="array" ref="Q10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0" s="15" t="str" cm="1">
        <f t="array" ref="R10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canciones/ixcis/agujas_del_reloj.html</v>
      </c>
      <c r="T1040" s="1"/>
      <c r="U1040" s="1"/>
      <c r="V1040" s="32" t="s">
        <v>3373</v>
      </c>
      <c r="W10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href="canciones/ixcis/agujas_del_reloj.html"&gt;Agujas del reloj&lt;/a&gt;&lt;/li&gt;</v>
      </c>
      <c r="X1040" s="15" t="str">
        <f>_xlfn.TEXTBEFORE(_xlfn.TEXTAFTER(CantoralDB[[#This Row],[index.html]],"&gt;"),"&gt;")&amp;"&gt;"</f>
        <v>&lt;a href="canciones/ixcis/agujas_del_reloj.html"&gt;</v>
      </c>
      <c r="Y1040"/>
      <c r="AB1040" s="1"/>
      <c r="AC1040" s="1"/>
    </row>
    <row r="1041" spans="1:29" x14ac:dyDescent="0.3">
      <c r="A1041" s="1">
        <f>ROW(CantoralDB[[#This Row],[Título]])-1</f>
        <v>1040</v>
      </c>
      <c r="B1041" s="1" t="s">
        <v>3289</v>
      </c>
      <c r="C1041" s="1"/>
      <c r="H1041" s="1" t="s">
        <v>1024</v>
      </c>
      <c r="J1041" s="1" t="s">
        <v>605</v>
      </c>
      <c r="M1041" s="15" t="s">
        <v>519</v>
      </c>
      <c r="N1041" s="1" t="s">
        <v>3283</v>
      </c>
      <c r="O1041" s="15">
        <v>6</v>
      </c>
      <c r="P1041" s="15">
        <v>1999</v>
      </c>
      <c r="Q1041" s="15" t="str" cm="1">
        <f t="array" ref="Q10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1" s="15" t="str" cm="1">
        <f t="array" ref="R10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canciones/ixcis/dejarme_hacer.html</v>
      </c>
      <c r="T1041" s="1"/>
      <c r="U1041" s="1"/>
      <c r="V1041" s="32" t="s">
        <v>3374</v>
      </c>
      <c r="W10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href="canciones/ixcis/dejarme_hacer.html"&gt;Dejarme hacer&lt;/a&gt;&lt;/li&gt;</v>
      </c>
      <c r="X1041" s="15" t="str">
        <f>_xlfn.TEXTBEFORE(_xlfn.TEXTAFTER(CantoralDB[[#This Row],[index.html]],"&gt;"),"&gt;")&amp;"&gt;"</f>
        <v>&lt;a href="canciones/ixcis/dejarme_hacer.html"&gt;</v>
      </c>
      <c r="Y1041"/>
      <c r="AB1041" s="1"/>
      <c r="AC1041" s="1"/>
    </row>
    <row r="1042" spans="1:29" x14ac:dyDescent="0.3">
      <c r="A1042" s="1">
        <f>ROW(CantoralDB[[#This Row],[Título]])-1</f>
        <v>1041</v>
      </c>
      <c r="B1042" s="1" t="s">
        <v>3290</v>
      </c>
      <c r="C1042" s="1"/>
      <c r="H1042" s="1" t="s">
        <v>529</v>
      </c>
      <c r="J1042" s="1" t="s">
        <v>605</v>
      </c>
      <c r="M1042" s="15" t="s">
        <v>519</v>
      </c>
      <c r="N1042" s="1" t="s">
        <v>3283</v>
      </c>
      <c r="O1042" s="15">
        <v>7</v>
      </c>
      <c r="P1042" s="15">
        <v>1999</v>
      </c>
      <c r="Q1042" s="15" t="str" cm="1">
        <f t="array" ref="Q10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2" s="15" t="str" cm="1">
        <f t="array" ref="R10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canciones/ixcis/la_razon.html</v>
      </c>
      <c r="T1042" s="1"/>
      <c r="U1042" s="1"/>
      <c r="V1042" s="32" t="s">
        <v>3375</v>
      </c>
      <c r="W10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href="canciones/ixcis/la_razon.html"&gt;La razón&lt;/a&gt;&lt;/li&gt;</v>
      </c>
      <c r="X1042" s="15" t="str">
        <f>_xlfn.TEXTBEFORE(_xlfn.TEXTAFTER(CantoralDB[[#This Row],[index.html]],"&gt;"),"&gt;")&amp;"&gt;"</f>
        <v>&lt;a href="canciones/ixcis/la_razon.html"&gt;</v>
      </c>
      <c r="Y1042"/>
      <c r="AB1042" s="1"/>
      <c r="AC1042" s="1"/>
    </row>
    <row r="1043" spans="1:29" x14ac:dyDescent="0.3">
      <c r="A1043" s="1">
        <f>ROW(CantoralDB[[#This Row],[Título]])-1</f>
        <v>1042</v>
      </c>
      <c r="B1043" s="1" t="s">
        <v>3294</v>
      </c>
      <c r="C1043" s="1"/>
      <c r="H1043" s="1" t="s">
        <v>1024</v>
      </c>
      <c r="J1043" s="1" t="s">
        <v>605</v>
      </c>
      <c r="M1043" s="15" t="s">
        <v>519</v>
      </c>
      <c r="N1043" s="1" t="s">
        <v>3283</v>
      </c>
      <c r="O1043" s="15">
        <v>8</v>
      </c>
      <c r="P1043" s="15">
        <v>1999</v>
      </c>
      <c r="Q1043" s="15" t="str" cm="1">
        <f t="array" ref="Q10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3" s="15" t="str" cm="1">
        <f t="array" ref="R10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canciones/ixcis/acercate.html</v>
      </c>
      <c r="T1043" s="1"/>
      <c r="U1043" s="1"/>
      <c r="V1043" s="32" t="s">
        <v>3376</v>
      </c>
      <c r="W10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href="canciones/ixcis/acercate.html"&gt;Acércate&lt;/a&gt;&lt;/li&gt;</v>
      </c>
      <c r="X1043" s="15" t="str">
        <f>_xlfn.TEXTBEFORE(_xlfn.TEXTAFTER(CantoralDB[[#This Row],[index.html]],"&gt;"),"&gt;")&amp;"&gt;"</f>
        <v>&lt;a href="canciones/ixcis/acercate.html"&gt;</v>
      </c>
      <c r="Y1043"/>
      <c r="AB1043" s="1"/>
      <c r="AC1043" s="1"/>
    </row>
    <row r="1044" spans="1:29" x14ac:dyDescent="0.3">
      <c r="A1044" s="1">
        <f>ROW(CantoralDB[[#This Row],[Título]])-1</f>
        <v>1043</v>
      </c>
      <c r="B1044" s="1" t="s">
        <v>3295</v>
      </c>
      <c r="C1044" s="1"/>
      <c r="H1044" s="1" t="s">
        <v>1025</v>
      </c>
      <c r="J1044" s="1" t="s">
        <v>605</v>
      </c>
      <c r="M1044" s="15" t="s">
        <v>519</v>
      </c>
      <c r="N1044" s="1" t="s">
        <v>3283</v>
      </c>
      <c r="O1044" s="15">
        <v>9</v>
      </c>
      <c r="P1044" s="15">
        <v>1999</v>
      </c>
      <c r="Q1044" s="15" t="str" cm="1">
        <f t="array" ref="Q10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4" s="15" t="str" cm="1">
        <f t="array" ref="R10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canciones/ixcis/por_que.html</v>
      </c>
      <c r="T1044" s="1"/>
      <c r="U1044" s="1"/>
      <c r="V1044" s="32" t="s">
        <v>3377</v>
      </c>
      <c r="W10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href="canciones/ixcis/por_que.html"&gt;Por qué&lt;/a&gt;&lt;/li&gt;</v>
      </c>
      <c r="X1044" s="15" t="str">
        <f>_xlfn.TEXTBEFORE(_xlfn.TEXTAFTER(CantoralDB[[#This Row],[index.html]],"&gt;"),"&gt;")&amp;"&gt;"</f>
        <v>&lt;a href="canciones/ixcis/por_que.html"&gt;</v>
      </c>
      <c r="Y1044"/>
      <c r="AB1044" s="1"/>
      <c r="AC1044" s="1"/>
    </row>
    <row r="1045" spans="1:29" x14ac:dyDescent="0.3">
      <c r="A1045" s="1">
        <f>ROW(CantoralDB[[#This Row],[Título]])-1</f>
        <v>1044</v>
      </c>
      <c r="B1045" s="1" t="s">
        <v>3296</v>
      </c>
      <c r="C1045" s="1"/>
      <c r="H1045" s="1" t="s">
        <v>472</v>
      </c>
      <c r="J1045" s="1" t="s">
        <v>605</v>
      </c>
      <c r="M1045" s="15" t="s">
        <v>519</v>
      </c>
      <c r="N1045" s="1" t="s">
        <v>3283</v>
      </c>
      <c r="O1045" s="15">
        <v>10</v>
      </c>
      <c r="P1045" s="15">
        <v>1999</v>
      </c>
      <c r="Q1045" s="15" t="str" cm="1">
        <f t="array" ref="Q10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5" s="15" t="str" cm="1">
        <f t="array" ref="R10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canciones/ixcis/una_vez_mas.html</v>
      </c>
      <c r="T1045" s="1"/>
      <c r="U1045" s="1"/>
      <c r="V1045" s="32" t="s">
        <v>3378</v>
      </c>
      <c r="W10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href="canciones/ixcis/una_vez_mas.html"&gt;Una vez más&lt;/a&gt;&lt;/li&gt;</v>
      </c>
      <c r="X1045" s="15" t="str">
        <f>_xlfn.TEXTBEFORE(_xlfn.TEXTAFTER(CantoralDB[[#This Row],[index.html]],"&gt;"),"&gt;")&amp;"&gt;"</f>
        <v>&lt;a href="canciones/ixcis/una_vez_mas.html"&gt;</v>
      </c>
      <c r="Y1045"/>
      <c r="AB1045" s="1"/>
      <c r="AC1045" s="1"/>
    </row>
    <row r="1046" spans="1:29" x14ac:dyDescent="0.3">
      <c r="A1046" s="1">
        <f>ROW(CantoralDB[[#This Row],[Título]])-1</f>
        <v>1045</v>
      </c>
      <c r="B1046" s="1" t="s">
        <v>3305</v>
      </c>
      <c r="C1046" s="1"/>
      <c r="H1046" s="1" t="s">
        <v>1024</v>
      </c>
      <c r="J1046" s="1" t="s">
        <v>605</v>
      </c>
      <c r="M1046" s="15" t="s">
        <v>519</v>
      </c>
      <c r="N1046" s="1" t="s">
        <v>3283</v>
      </c>
      <c r="O1046" s="15">
        <v>12</v>
      </c>
      <c r="P1046" s="15">
        <v>1999</v>
      </c>
      <c r="Q1046" s="15" t="str" cm="1">
        <f t="array" ref="Q10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6" s="15" t="str" cm="1">
        <f t="array" ref="R10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canciones/ixcis/el_labrador.html</v>
      </c>
      <c r="T1046" s="1"/>
      <c r="U1046" s="1"/>
      <c r="V1046" s="32" t="s">
        <v>3379</v>
      </c>
      <c r="W10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href="canciones/ixcis/el_labrador.html"&gt;El labrador&lt;/a&gt;&lt;/li&gt;</v>
      </c>
      <c r="X1046" s="15" t="str">
        <f>_xlfn.TEXTBEFORE(_xlfn.TEXTAFTER(CantoralDB[[#This Row],[index.html]],"&gt;"),"&gt;")&amp;"&gt;"</f>
        <v>&lt;a href="canciones/ixcis/el_labrador.html"&gt;</v>
      </c>
      <c r="Y1046"/>
      <c r="AB1046" s="1"/>
      <c r="AC1046" s="1"/>
    </row>
    <row r="1047" spans="1:29" x14ac:dyDescent="0.3">
      <c r="A1047" s="1">
        <f>ROW(CantoralDB[[#This Row],[Título]])-1</f>
        <v>1046</v>
      </c>
      <c r="B1047" s="1" t="s">
        <v>3300</v>
      </c>
      <c r="C1047" s="1"/>
      <c r="H1047" s="1" t="s">
        <v>529</v>
      </c>
      <c r="J1047" s="1" t="s">
        <v>605</v>
      </c>
      <c r="M1047" s="15" t="s">
        <v>519</v>
      </c>
      <c r="N1047" s="1" t="s">
        <v>3283</v>
      </c>
      <c r="O1047" s="15">
        <v>13</v>
      </c>
      <c r="P1047" s="15">
        <v>1999</v>
      </c>
      <c r="Q1047" s="15" t="str" cm="1">
        <f t="array" ref="Q10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7" s="15" t="str" cm="1">
        <f t="array" ref="R10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canciones/ixcis/maria_enseñame.html</v>
      </c>
      <c r="T1047" s="1"/>
      <c r="U1047" s="1"/>
      <c r="V1047" s="32" t="s">
        <v>3380</v>
      </c>
      <c r="W10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href="canciones/ixcis/maria_enseñame.html"&gt;María, enséñame&lt;/a&gt;&lt;/li&gt;</v>
      </c>
      <c r="X1047" s="15" t="str">
        <f>_xlfn.TEXTBEFORE(_xlfn.TEXTAFTER(CantoralDB[[#This Row],[index.html]],"&gt;"),"&gt;")&amp;"&gt;"</f>
        <v>&lt;a href="canciones/ixcis/maria_enseñame.html"&gt;</v>
      </c>
      <c r="Y1047"/>
      <c r="AB1047" s="1"/>
      <c r="AC1047" s="1"/>
    </row>
    <row r="1048" spans="1:29" x14ac:dyDescent="0.3">
      <c r="A1048" s="1">
        <f>ROW(CantoralDB[[#This Row],[Título]])-1</f>
        <v>1047</v>
      </c>
      <c r="B1048" s="1" t="s">
        <v>3301</v>
      </c>
      <c r="C1048" s="1"/>
      <c r="H1048" s="1" t="s">
        <v>1025</v>
      </c>
      <c r="J1048" s="1" t="s">
        <v>605</v>
      </c>
      <c r="M1048" s="15" t="s">
        <v>519</v>
      </c>
      <c r="N1048" s="1" t="s">
        <v>3283</v>
      </c>
      <c r="O1048" s="15">
        <v>14</v>
      </c>
      <c r="P1048" s="15">
        <v>1999</v>
      </c>
      <c r="Q1048" s="15" t="str" cm="1">
        <f t="array" ref="Q10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8" s="15" t="str" cm="1">
        <f t="array" ref="R10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canciones/ixcis/mucho_mas.html</v>
      </c>
      <c r="T1048" s="1"/>
      <c r="U1048" s="1"/>
      <c r="V1048" s="32" t="s">
        <v>3381</v>
      </c>
      <c r="W10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href="canciones/ixcis/mucho_mas.html"&gt;Mucho más&lt;/a&gt;&lt;/li&gt;</v>
      </c>
      <c r="X1048" s="15" t="str">
        <f>_xlfn.TEXTBEFORE(_xlfn.TEXTAFTER(CantoralDB[[#This Row],[index.html]],"&gt;"),"&gt;")&amp;"&gt;"</f>
        <v>&lt;a href="canciones/ixcis/mucho_mas.html"&gt;</v>
      </c>
      <c r="Y1048"/>
      <c r="AB1048" s="1"/>
      <c r="AC1048" s="1"/>
    </row>
    <row r="1049" spans="1:29" x14ac:dyDescent="0.3">
      <c r="A1049" s="1">
        <f>ROW(CantoralDB[[#This Row],[Título]])-1</f>
        <v>1048</v>
      </c>
      <c r="B1049" s="1" t="s">
        <v>608</v>
      </c>
      <c r="C1049" s="1" t="s">
        <v>200</v>
      </c>
      <c r="D1049" s="1" t="s">
        <v>1390</v>
      </c>
      <c r="G1049" s="1" t="s">
        <v>551</v>
      </c>
      <c r="H1049" s="1" t="s">
        <v>1027</v>
      </c>
      <c r="J1049" s="1" t="s">
        <v>605</v>
      </c>
      <c r="M1049" s="15" t="s">
        <v>519</v>
      </c>
      <c r="N1049" s="1" t="s">
        <v>3283</v>
      </c>
      <c r="O1049" s="15">
        <v>15</v>
      </c>
      <c r="P1049" s="15">
        <v>1999</v>
      </c>
      <c r="Q1049" s="15" t="str" cm="1">
        <f t="array" ref="Q10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49" s="15" t="str" cm="1">
        <f t="array" ref="R10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0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canciones/ixcis/caminare_hoy_en_tu_presencia.html</v>
      </c>
      <c r="T1049" s="1" t="s">
        <v>808</v>
      </c>
      <c r="U1049" s="1"/>
      <c r="V1049" s="32" t="s">
        <v>3083</v>
      </c>
      <c r="W10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 data-momento="Antífonas" data-nnew="D06"&gt;&lt;a href="canciones/ixcis/caminare_hoy_en_tu_presencia.html"&gt;Caminaré hoy en tu presencia&lt;/a&gt;&lt;/li&gt;</v>
      </c>
      <c r="X1049" s="15" t="str">
        <f>_xlfn.TEXTBEFORE(_xlfn.TEXTAFTER(CantoralDB[[#This Row],[index.html]],"&gt;"),"&gt;")&amp;"&gt;"</f>
        <v>&lt;a href="canciones/ixcis/caminare_hoy_en_tu_presencia.html"&gt;</v>
      </c>
      <c r="Y1049"/>
      <c r="AB1049" s="1"/>
      <c r="AC1049" s="1"/>
    </row>
    <row r="1050" spans="1:29" x14ac:dyDescent="0.3">
      <c r="A1050" s="1">
        <f>ROW(CantoralDB[[#This Row],[Título]])-1</f>
        <v>1049</v>
      </c>
      <c r="B1050" s="1" t="s">
        <v>3302</v>
      </c>
      <c r="C1050" s="1"/>
      <c r="H1050" s="1" t="s">
        <v>529</v>
      </c>
      <c r="I1050" s="1" t="s">
        <v>2947</v>
      </c>
      <c r="J1050" s="1" t="s">
        <v>605</v>
      </c>
      <c r="M1050" s="15" t="s">
        <v>519</v>
      </c>
      <c r="N1050" s="1" t="s">
        <v>3283</v>
      </c>
      <c r="O1050" s="15">
        <v>16</v>
      </c>
      <c r="P1050" s="15">
        <v>1999</v>
      </c>
      <c r="Q1050" s="15" t="str" cm="1">
        <f t="array" ref="Q10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0" s="15" t="str" cm="1">
        <f t="array" ref="R10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canciones/ixcis/dame_señor.html</v>
      </c>
      <c r="T1050" s="1"/>
      <c r="U1050" s="1"/>
      <c r="V1050" s="32" t="s">
        <v>3383</v>
      </c>
      <c r="W10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href="canciones/ixcis/dame_señor.html"&gt;Dame, Señor&lt;/a&gt;&lt;/li&gt;</v>
      </c>
      <c r="X1050" s="15" t="str">
        <f>_xlfn.TEXTBEFORE(_xlfn.TEXTAFTER(CantoralDB[[#This Row],[index.html]],"&gt;"),"&gt;")&amp;"&gt;"</f>
        <v>&lt;a href="canciones/ixcis/dame_señor.html"&gt;</v>
      </c>
      <c r="Y1050"/>
      <c r="AB1050" s="1"/>
      <c r="AC1050" s="1"/>
    </row>
    <row r="1051" spans="1:29" x14ac:dyDescent="0.3">
      <c r="A1051" s="1">
        <f>ROW(CantoralDB[[#This Row],[Título]])-1</f>
        <v>1050</v>
      </c>
      <c r="B1051" s="1" t="s">
        <v>3303</v>
      </c>
      <c r="C1051" s="1"/>
      <c r="H1051" s="1" t="s">
        <v>1027</v>
      </c>
      <c r="I1051" s="1" t="s">
        <v>2947</v>
      </c>
      <c r="J1051" s="1" t="s">
        <v>605</v>
      </c>
      <c r="M1051" s="15" t="s">
        <v>519</v>
      </c>
      <c r="N1051" s="1" t="s">
        <v>3283</v>
      </c>
      <c r="O1051" s="15">
        <v>17</v>
      </c>
      <c r="P1051" s="15">
        <v>1999</v>
      </c>
      <c r="Q1051" s="15" t="str" cm="1">
        <f t="array" ref="Q10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1" s="15" t="str" cm="1">
        <f t="array" ref="R10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canciones/ixcis/sin_amarras.html</v>
      </c>
      <c r="T1051" s="1"/>
      <c r="U1051" s="1"/>
      <c r="V1051" s="32" t="s">
        <v>3382</v>
      </c>
      <c r="W10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href="canciones/ixcis/sin_amarras.html"&gt;Sin amarras&lt;/a&gt;&lt;/li&gt;</v>
      </c>
      <c r="X1051" s="15" t="str">
        <f>_xlfn.TEXTBEFORE(_xlfn.TEXTAFTER(CantoralDB[[#This Row],[index.html]],"&gt;"),"&gt;")&amp;"&gt;"</f>
        <v>&lt;a href="canciones/ixcis/sin_amarras.html"&gt;</v>
      </c>
      <c r="Y1051"/>
      <c r="AB1051" s="1"/>
      <c r="AC1051" s="1"/>
    </row>
    <row r="1052" spans="1:29" x14ac:dyDescent="0.3">
      <c r="A1052" s="1">
        <f>ROW(CantoralDB[[#This Row],[Título]])-1</f>
        <v>1051</v>
      </c>
      <c r="B1052" s="1" t="s">
        <v>214</v>
      </c>
      <c r="C1052" s="1"/>
      <c r="H1052" s="1" t="s">
        <v>472</v>
      </c>
      <c r="J1052" s="1" t="s">
        <v>605</v>
      </c>
      <c r="M1052" s="15" t="s">
        <v>519</v>
      </c>
      <c r="N1052" s="1" t="s">
        <v>3283</v>
      </c>
      <c r="O1052" s="15">
        <v>18</v>
      </c>
      <c r="P1052" s="15">
        <v>1999</v>
      </c>
      <c r="Q1052" s="15" t="str" cm="1">
        <f t="array" ref="Q10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2" s="15" t="str" cm="1">
        <f t="array" ref="R10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canciones/ixcis/no_temas.html</v>
      </c>
      <c r="T1052" s="1"/>
      <c r="U1052" s="1"/>
      <c r="V1052" s="32" t="s">
        <v>3384</v>
      </c>
      <c r="W10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href="canciones/ixcis/no_temas.html"&gt;No temas&lt;/a&gt;&lt;/li&gt;</v>
      </c>
      <c r="X1052" s="15" t="str">
        <f>_xlfn.TEXTBEFORE(_xlfn.TEXTAFTER(CantoralDB[[#This Row],[index.html]],"&gt;"),"&gt;")&amp;"&gt;"</f>
        <v>&lt;a href="canciones/ixcis/no_temas.html"&gt;</v>
      </c>
      <c r="Y1052"/>
      <c r="AB1052" s="1"/>
      <c r="AC1052" s="1"/>
    </row>
    <row r="1053" spans="1:29" x14ac:dyDescent="0.3">
      <c r="A1053" s="1">
        <f>ROW(CantoralDB[[#This Row],[Título]])-1</f>
        <v>1052</v>
      </c>
      <c r="B1053" s="1" t="s">
        <v>3304</v>
      </c>
      <c r="C1053" s="1"/>
      <c r="H1053" s="1" t="s">
        <v>529</v>
      </c>
      <c r="J1053" s="1" t="s">
        <v>605</v>
      </c>
      <c r="M1053" s="15" t="s">
        <v>519</v>
      </c>
      <c r="N1053" s="1" t="s">
        <v>3283</v>
      </c>
      <c r="O1053" s="15">
        <v>19</v>
      </c>
      <c r="P1053" s="15">
        <v>1999</v>
      </c>
      <c r="Q1053" s="15" t="str" cm="1">
        <f t="array" ref="Q10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3" s="15" t="str" cm="1">
        <f t="array" ref="R10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canciones/ixcis/desde_el_silencio.html</v>
      </c>
      <c r="T1053" s="1"/>
      <c r="U1053" s="1"/>
      <c r="V1053" s="32" t="s">
        <v>3385</v>
      </c>
      <c r="W10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href="canciones/ixcis/desde_el_silencio.html"&gt;Desde el silencio&lt;/a&gt;&lt;/li&gt;</v>
      </c>
      <c r="X1053" s="15" t="str">
        <f>_xlfn.TEXTBEFORE(_xlfn.TEXTAFTER(CantoralDB[[#This Row],[index.html]],"&gt;"),"&gt;")&amp;"&gt;"</f>
        <v>&lt;a href="canciones/ixcis/desde_el_silencio.html"&gt;</v>
      </c>
      <c r="Y1053"/>
      <c r="AB1053" s="1"/>
      <c r="AC1053" s="1"/>
    </row>
    <row r="1054" spans="1:29" x14ac:dyDescent="0.3">
      <c r="A1054" s="1">
        <f>ROW(CantoralDB[[#This Row],[Título]])-1</f>
        <v>1053</v>
      </c>
      <c r="B1054" s="1" t="s">
        <v>3298</v>
      </c>
      <c r="C1054" s="1"/>
      <c r="H1054" s="1" t="s">
        <v>1027</v>
      </c>
      <c r="J1054" s="1" t="s">
        <v>605</v>
      </c>
      <c r="M1054" s="15" t="s">
        <v>519</v>
      </c>
      <c r="N1054" s="1" t="s">
        <v>3283</v>
      </c>
      <c r="O1054" s="15">
        <v>20</v>
      </c>
      <c r="P1054" s="15">
        <v>1999</v>
      </c>
      <c r="Q1054" s="15" t="str" cm="1">
        <f t="array" ref="Q10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4" s="15" t="str" cm="1">
        <f t="array" ref="R10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canciones/ixcis/desierto.html</v>
      </c>
      <c r="T1054" s="1"/>
      <c r="U1054" s="1"/>
      <c r="V1054" s="32" t="s">
        <v>3386</v>
      </c>
      <c r="W10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href="canciones/ixcis/desierto.html"&gt;Desierto&lt;/a&gt;&lt;/li&gt;</v>
      </c>
      <c r="X1054" s="15" t="str">
        <f>_xlfn.TEXTBEFORE(_xlfn.TEXTAFTER(CantoralDB[[#This Row],[index.html]],"&gt;"),"&gt;")&amp;"&gt;"</f>
        <v>&lt;a href="canciones/ixcis/desierto.html"&gt;</v>
      </c>
      <c r="Y1054"/>
      <c r="AB1054" s="1"/>
      <c r="AC1054" s="1"/>
    </row>
    <row r="1055" spans="1:29" x14ac:dyDescent="0.3">
      <c r="A1055" s="1">
        <f>ROW(CantoralDB[[#This Row],[Título]])-1</f>
        <v>1054</v>
      </c>
      <c r="B1055" s="1" t="s">
        <v>3299</v>
      </c>
      <c r="C1055" s="1"/>
      <c r="H1055" s="1" t="s">
        <v>1026</v>
      </c>
      <c r="J1055" s="1" t="s">
        <v>605</v>
      </c>
      <c r="M1055" s="15" t="s">
        <v>519</v>
      </c>
      <c r="N1055" s="1" t="s">
        <v>3283</v>
      </c>
      <c r="O1055" s="15">
        <v>21</v>
      </c>
      <c r="P1055" s="15">
        <v>1999</v>
      </c>
      <c r="Q1055" s="15" t="str" cm="1">
        <f t="array" ref="Q10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5" s="15" t="str" cm="1">
        <f t="array" ref="R10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canciones/ixcis/en_comun.html</v>
      </c>
      <c r="T1055" s="1"/>
      <c r="U1055" s="1"/>
      <c r="V1055" s="32" t="s">
        <v>3387</v>
      </c>
      <c r="W10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href="canciones/ixcis/en_comun.html"&gt;En común&lt;/a&gt;&lt;/li&gt;</v>
      </c>
      <c r="X1055" s="15" t="str">
        <f>_xlfn.TEXTBEFORE(_xlfn.TEXTAFTER(CantoralDB[[#This Row],[index.html]],"&gt;"),"&gt;")&amp;"&gt;"</f>
        <v>&lt;a href="canciones/ixcis/en_comun.html"&gt;</v>
      </c>
      <c r="Y1055"/>
      <c r="AB1055" s="1"/>
      <c r="AC1055" s="1"/>
    </row>
    <row r="1056" spans="1:29" x14ac:dyDescent="0.3">
      <c r="A1056" s="1">
        <f>ROW(CantoralDB[[#This Row],[Título]])-1</f>
        <v>1055</v>
      </c>
      <c r="B1056" s="1" t="s">
        <v>3297</v>
      </c>
      <c r="C1056" s="1"/>
      <c r="H1056" s="1" t="s">
        <v>1024</v>
      </c>
      <c r="J1056" s="1" t="s">
        <v>605</v>
      </c>
      <c r="M1056" s="15" t="s">
        <v>519</v>
      </c>
      <c r="N1056" s="1" t="s">
        <v>3283</v>
      </c>
      <c r="O1056" s="15">
        <v>22</v>
      </c>
      <c r="P1056" s="15">
        <v>1999</v>
      </c>
      <c r="Q1056" s="15" t="str" cm="1">
        <f t="array" ref="Q10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6" s="15" t="str" cm="1">
        <f t="array" ref="R10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canciones/ixcis/el_tesoro.html</v>
      </c>
      <c r="T1056" s="1"/>
      <c r="U1056" s="1"/>
      <c r="V1056" s="32" t="s">
        <v>3388</v>
      </c>
      <c r="W10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href="canciones/ixcis/el_tesoro.html"&gt;El tesoro&lt;/a&gt;&lt;/li&gt;</v>
      </c>
      <c r="X1056" s="15" t="str">
        <f>_xlfn.TEXTBEFORE(_xlfn.TEXTAFTER(CantoralDB[[#This Row],[index.html]],"&gt;"),"&gt;")&amp;"&gt;"</f>
        <v>&lt;a href="canciones/ixcis/el_tesoro.html"&gt;</v>
      </c>
      <c r="Y1056"/>
      <c r="AB1056" s="1"/>
      <c r="AC1056" s="1"/>
    </row>
    <row r="1057" spans="1:29" x14ac:dyDescent="0.3">
      <c r="A1057" s="1">
        <f>ROW(CantoralDB[[#This Row],[Título]])-1</f>
        <v>1056</v>
      </c>
      <c r="B1057" s="1" t="s">
        <v>1503</v>
      </c>
      <c r="C1057" s="1"/>
      <c r="H1057" s="1" t="s">
        <v>1025</v>
      </c>
      <c r="J1057" s="1" t="s">
        <v>605</v>
      </c>
      <c r="M1057" s="15" t="s">
        <v>519</v>
      </c>
      <c r="N1057" s="1" t="s">
        <v>3283</v>
      </c>
      <c r="O1057" s="15">
        <v>23</v>
      </c>
      <c r="P1057" s="15">
        <v>1999</v>
      </c>
      <c r="Q1057" s="15" t="str" cm="1">
        <f t="array" ref="Q10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7" s="15" t="str" cm="1">
        <f t="array" ref="R10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canciones/ixcis/alegrate.html</v>
      </c>
      <c r="T1057" s="1"/>
      <c r="U1057" s="1"/>
      <c r="V1057" s="32" t="s">
        <v>3389</v>
      </c>
      <c r="W10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href="canciones/ixcis/alegrate.html"&gt;Alégrate&lt;/a&gt;&lt;/li&gt;</v>
      </c>
      <c r="X1057" s="15" t="str">
        <f>_xlfn.TEXTBEFORE(_xlfn.TEXTAFTER(CantoralDB[[#This Row],[index.html]],"&gt;"),"&gt;")&amp;"&gt;"</f>
        <v>&lt;a href="canciones/ixcis/alegrate.html"&gt;</v>
      </c>
      <c r="Y1057"/>
      <c r="AB1057" s="1"/>
      <c r="AC1057" s="1"/>
    </row>
    <row r="1058" spans="1:29" x14ac:dyDescent="0.3">
      <c r="A1058" s="1">
        <f>ROW(CantoralDB[[#This Row],[Título]])-1</f>
        <v>1057</v>
      </c>
      <c r="B1058" s="1" t="s">
        <v>3292</v>
      </c>
      <c r="C1058" s="1"/>
      <c r="H1058" s="1" t="s">
        <v>472</v>
      </c>
      <c r="J1058" s="1" t="s">
        <v>605</v>
      </c>
      <c r="M1058" s="15" t="s">
        <v>519</v>
      </c>
      <c r="N1058" s="1" t="s">
        <v>3283</v>
      </c>
      <c r="O1058" s="15">
        <v>24</v>
      </c>
      <c r="P1058" s="15">
        <v>1999</v>
      </c>
      <c r="Q1058" s="15" t="str" cm="1">
        <f t="array" ref="Q10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8" s="15" t="str" cm="1">
        <f t="array" ref="R10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canciones/ixcis/tu_ternura.html</v>
      </c>
      <c r="T1058" s="1"/>
      <c r="U1058" s="1"/>
      <c r="V1058" s="32" t="s">
        <v>3390</v>
      </c>
      <c r="W10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href="canciones/ixcis/tu_ternura.html"&gt;Tu ternura&lt;/a&gt;&lt;/li&gt;</v>
      </c>
      <c r="X1058" s="15" t="str">
        <f>_xlfn.TEXTBEFORE(_xlfn.TEXTAFTER(CantoralDB[[#This Row],[index.html]],"&gt;"),"&gt;")&amp;"&gt;"</f>
        <v>&lt;a href="canciones/ixcis/tu_ternura.html"&gt;</v>
      </c>
      <c r="Y1058"/>
      <c r="AB1058" s="1"/>
      <c r="AC1058" s="1"/>
    </row>
    <row r="1059" spans="1:29" x14ac:dyDescent="0.3">
      <c r="A1059" s="1">
        <f>ROW(CantoralDB[[#This Row],[Título]])-1</f>
        <v>1058</v>
      </c>
      <c r="B1059" s="1" t="s">
        <v>3293</v>
      </c>
      <c r="C1059" s="1"/>
      <c r="H1059" s="1" t="s">
        <v>1025</v>
      </c>
      <c r="J1059" s="1" t="s">
        <v>605</v>
      </c>
      <c r="M1059" s="15" t="s">
        <v>519</v>
      </c>
      <c r="N1059" s="1" t="s">
        <v>3283</v>
      </c>
      <c r="O1059" s="15">
        <v>25</v>
      </c>
      <c r="P1059" s="15">
        <v>1999</v>
      </c>
      <c r="Q1059" s="15" t="str" cm="1">
        <f t="array" ref="Q10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59" s="15" t="str" cm="1">
        <f t="array" ref="R10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canciones/ixcis/creadores.html</v>
      </c>
      <c r="T1059" s="1"/>
      <c r="U1059" s="1"/>
      <c r="V1059" s="32" t="s">
        <v>3653</v>
      </c>
      <c r="W10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href="canciones/ixcis/creadores.html"&gt;Creadores&lt;/a&gt;&lt;/li&gt;</v>
      </c>
      <c r="X1059" s="15" t="str">
        <f>_xlfn.TEXTBEFORE(_xlfn.TEXTAFTER(CantoralDB[[#This Row],[index.html]],"&gt;"),"&gt;")&amp;"&gt;"</f>
        <v>&lt;a href="canciones/ixcis/creadores.html"&gt;</v>
      </c>
      <c r="Y1059"/>
      <c r="AB1059" s="1"/>
      <c r="AC1059" s="1"/>
    </row>
    <row r="1060" spans="1:29" x14ac:dyDescent="0.3">
      <c r="A1060" s="1">
        <f>ROW(CantoralDB[[#This Row],[Título]])-1</f>
        <v>1059</v>
      </c>
      <c r="B1060" s="1" t="s">
        <v>3291</v>
      </c>
      <c r="C1060" s="1"/>
      <c r="H1060" s="1" t="s">
        <v>1027</v>
      </c>
      <c r="J1060" s="1" t="s">
        <v>605</v>
      </c>
      <c r="M1060" s="15" t="s">
        <v>519</v>
      </c>
      <c r="N1060" s="1" t="s">
        <v>3283</v>
      </c>
      <c r="O1060" s="15">
        <v>26</v>
      </c>
      <c r="P1060" s="15">
        <v>1999</v>
      </c>
      <c r="Q1060" s="15" t="str" cm="1">
        <f t="array" ref="Q10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0" s="15" t="str" cm="1">
        <f t="array" ref="R10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canciones/ixcis/desde_mi_balcon.html</v>
      </c>
      <c r="T1060" s="1"/>
      <c r="U1060" s="1"/>
      <c r="V1060" s="32" t="s">
        <v>3391</v>
      </c>
      <c r="W10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href="canciones/ixcis/desde_mi_balcon.html"&gt;Desde mi balcón&lt;/a&gt;&lt;/li&gt;</v>
      </c>
      <c r="X1060" s="15" t="str">
        <f>_xlfn.TEXTBEFORE(_xlfn.TEXTAFTER(CantoralDB[[#This Row],[index.html]],"&gt;"),"&gt;")&amp;"&gt;"</f>
        <v>&lt;a href="canciones/ixcis/desde_mi_balcon.html"&gt;</v>
      </c>
      <c r="Y1060"/>
      <c r="AB1060" s="1"/>
      <c r="AC1060" s="1"/>
    </row>
    <row r="1061" spans="1:29" x14ac:dyDescent="0.3">
      <c r="A1061" s="1">
        <f>ROW(CantoralDB[[#This Row],[Título]])-1</f>
        <v>1060</v>
      </c>
      <c r="B1061" s="1" t="s">
        <v>3286</v>
      </c>
      <c r="C1061" s="1"/>
      <c r="H1061" s="1" t="s">
        <v>529</v>
      </c>
      <c r="J1061" s="1" t="s">
        <v>605</v>
      </c>
      <c r="M1061" s="15" t="s">
        <v>519</v>
      </c>
      <c r="N1061" s="1" t="s">
        <v>3283</v>
      </c>
      <c r="O1061" s="15">
        <v>27</v>
      </c>
      <c r="P1061" s="15">
        <v>1999</v>
      </c>
      <c r="Q1061" s="15" t="str" cm="1">
        <f t="array" ref="Q10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1" s="15" t="str" cm="1">
        <f t="array" ref="R10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canciones/ixcis/nadie_me_podra_robar.html</v>
      </c>
      <c r="T1061" s="1"/>
      <c r="U1061" s="1"/>
      <c r="V1061" s="32" t="s">
        <v>3392</v>
      </c>
      <c r="W10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href="canciones/ixcis/nadie_me_podra_robar.html"&gt;Nadie me podrá robar&lt;/a&gt;&lt;/li&gt;</v>
      </c>
      <c r="X1061" s="15" t="str">
        <f>_xlfn.TEXTBEFORE(_xlfn.TEXTAFTER(CantoralDB[[#This Row],[index.html]],"&gt;"),"&gt;")&amp;"&gt;"</f>
        <v>&lt;a href="canciones/ixcis/nadie_me_podra_robar.html"&gt;</v>
      </c>
      <c r="Y1061"/>
      <c r="AB1061" s="1"/>
      <c r="AC1061" s="1"/>
    </row>
    <row r="1062" spans="1:29" x14ac:dyDescent="0.3">
      <c r="A1062" s="1">
        <f>ROW(CantoralDB[[#This Row],[Título]])-1</f>
        <v>1061</v>
      </c>
      <c r="B1062" s="1" t="s">
        <v>3285</v>
      </c>
      <c r="C1062" s="1"/>
      <c r="H1062" s="1" t="s">
        <v>529</v>
      </c>
      <c r="J1062" s="1" t="s">
        <v>605</v>
      </c>
      <c r="M1062" s="15" t="s">
        <v>519</v>
      </c>
      <c r="N1062" s="1" t="s">
        <v>3283</v>
      </c>
      <c r="O1062" s="15">
        <v>28</v>
      </c>
      <c r="P1062" s="15">
        <v>1999</v>
      </c>
      <c r="Q1062" s="15" t="str" cm="1">
        <f t="array" ref="Q10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2" s="15" t="str" cm="1">
        <f t="array" ref="R10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canciones/ixcis/llega_el_reino_de_dios.html</v>
      </c>
      <c r="T1062" s="1"/>
      <c r="U1062" s="1"/>
      <c r="V1062" s="32" t="s">
        <v>3393</v>
      </c>
      <c r="W10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href="canciones/ixcis/llega_el_reino_de_dios.html"&gt;Llega el Reino de Dios&lt;/a&gt;&lt;/li&gt;</v>
      </c>
      <c r="X1062" s="15" t="str">
        <f>_xlfn.TEXTBEFORE(_xlfn.TEXTAFTER(CantoralDB[[#This Row],[index.html]],"&gt;"),"&gt;")&amp;"&gt;"</f>
        <v>&lt;a href="canciones/ixcis/llega_el_reino_de_dios.html"&gt;</v>
      </c>
      <c r="Y1062"/>
      <c r="AB1062" s="1"/>
      <c r="AC1062" s="1"/>
    </row>
    <row r="1063" spans="1:29" x14ac:dyDescent="0.3">
      <c r="A1063" s="1">
        <f>ROW(CantoralDB[[#This Row],[Título]])-1</f>
        <v>1062</v>
      </c>
      <c r="B1063" s="1" t="s">
        <v>3306</v>
      </c>
      <c r="C1063" s="1"/>
      <c r="H1063" s="1" t="s">
        <v>529</v>
      </c>
      <c r="J1063" s="1" t="s">
        <v>605</v>
      </c>
      <c r="M1063" s="15" t="s">
        <v>519</v>
      </c>
      <c r="N1063" s="1" t="s">
        <v>3316</v>
      </c>
      <c r="O1063" s="15">
        <v>1</v>
      </c>
      <c r="P1063" s="15">
        <v>1998</v>
      </c>
      <c r="Q1063" s="15" t="str" cm="1">
        <f t="array" ref="Q10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3" s="15" t="str" cm="1">
        <f t="array" ref="R10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canciones/ixcis/dame_de_beber.html</v>
      </c>
      <c r="T1063" s="1"/>
      <c r="U1063" s="1"/>
      <c r="V1063" s="32" t="s">
        <v>3394</v>
      </c>
      <c r="W10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href="canciones/ixcis/dame_de_beber.html"&gt;Dame de beber&lt;/a&gt;&lt;/li&gt;</v>
      </c>
      <c r="X1063" s="15" t="str">
        <f>_xlfn.TEXTBEFORE(_xlfn.TEXTAFTER(CantoralDB[[#This Row],[index.html]],"&gt;"),"&gt;")&amp;"&gt;"</f>
        <v>&lt;a href="canciones/ixcis/dame_de_beber.html"&gt;</v>
      </c>
      <c r="Y1063"/>
      <c r="AB1063" s="1"/>
      <c r="AC1063" s="1"/>
    </row>
    <row r="1064" spans="1:29" x14ac:dyDescent="0.3">
      <c r="A1064" s="1">
        <f>ROW(CantoralDB[[#This Row],[Título]])-1</f>
        <v>1063</v>
      </c>
      <c r="B1064" s="1" t="s">
        <v>3307</v>
      </c>
      <c r="C1064" s="1"/>
      <c r="H1064" s="1" t="s">
        <v>529</v>
      </c>
      <c r="J1064" s="1" t="s">
        <v>605</v>
      </c>
      <c r="M1064" s="15" t="s">
        <v>519</v>
      </c>
      <c r="N1064" s="1" t="s">
        <v>3316</v>
      </c>
      <c r="O1064" s="15">
        <v>2</v>
      </c>
      <c r="P1064" s="15">
        <v>1998</v>
      </c>
      <c r="Q1064" s="15" t="str" cm="1">
        <f t="array" ref="Q10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4" s="15" t="str" cm="1">
        <f t="array" ref="R10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canciones/ixcis/monte_horeb.html</v>
      </c>
      <c r="T1064" s="1"/>
      <c r="U1064" s="1"/>
      <c r="V1064" s="32" t="s">
        <v>3395</v>
      </c>
      <c r="W10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href="canciones/ixcis/monte_horeb.html"&gt;Monte Horeb&lt;/a&gt;&lt;/li&gt;</v>
      </c>
      <c r="X1064" s="15" t="str">
        <f>_xlfn.TEXTBEFORE(_xlfn.TEXTAFTER(CantoralDB[[#This Row],[index.html]],"&gt;"),"&gt;")&amp;"&gt;"</f>
        <v>&lt;a href="canciones/ixcis/monte_horeb.html"&gt;</v>
      </c>
      <c r="Y1064"/>
      <c r="AB1064" s="1"/>
      <c r="AC1064" s="1"/>
    </row>
    <row r="1065" spans="1:29" x14ac:dyDescent="0.3">
      <c r="A1065" s="1">
        <f>ROW(CantoralDB[[#This Row],[Título]])-1</f>
        <v>1064</v>
      </c>
      <c r="B1065" s="1" t="s">
        <v>3308</v>
      </c>
      <c r="C1065" s="1"/>
      <c r="H1065" s="1" t="s">
        <v>1025</v>
      </c>
      <c r="J1065" s="1" t="s">
        <v>605</v>
      </c>
      <c r="M1065" s="15" t="s">
        <v>519</v>
      </c>
      <c r="N1065" s="1" t="s">
        <v>3316</v>
      </c>
      <c r="O1065" s="15">
        <v>3</v>
      </c>
      <c r="P1065" s="15">
        <v>1998</v>
      </c>
      <c r="Q1065" s="15" t="str" cm="1">
        <f t="array" ref="Q10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5" s="15" t="str" cm="1">
        <f t="array" ref="R10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canciones/ixcis/mi_dios_en_una_cruz.html</v>
      </c>
      <c r="T1065" s="1"/>
      <c r="U1065" s="1"/>
      <c r="V1065" s="32" t="s">
        <v>3652</v>
      </c>
      <c r="W10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href="canciones/ixcis/mi_dios_en_una_cruz.html"&gt;Mi Dios en una Cruz&lt;/a&gt;&lt;/li&gt;</v>
      </c>
      <c r="X1065" s="15" t="str">
        <f>_xlfn.TEXTBEFORE(_xlfn.TEXTAFTER(CantoralDB[[#This Row],[index.html]],"&gt;"),"&gt;")&amp;"&gt;"</f>
        <v>&lt;a href="canciones/ixcis/mi_dios_en_una_cruz.html"&gt;</v>
      </c>
      <c r="Y1065"/>
      <c r="AB1065" s="1"/>
      <c r="AC1065" s="1"/>
    </row>
    <row r="1066" spans="1:29" x14ac:dyDescent="0.3">
      <c r="A1066" s="1">
        <f>ROW(CantoralDB[[#This Row],[Título]])-1</f>
        <v>1065</v>
      </c>
      <c r="B1066" s="1" t="s">
        <v>3309</v>
      </c>
      <c r="C1066" s="1"/>
      <c r="H1066" s="1" t="s">
        <v>1027</v>
      </c>
      <c r="J1066" s="1" t="s">
        <v>605</v>
      </c>
      <c r="M1066" s="15" t="s">
        <v>519</v>
      </c>
      <c r="N1066" s="1" t="s">
        <v>3316</v>
      </c>
      <c r="O1066" s="15">
        <v>4</v>
      </c>
      <c r="P1066" s="15">
        <v>1998</v>
      </c>
      <c r="Q1066" s="15" t="str" cm="1">
        <f t="array" ref="Q10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6" s="15" t="str" cm="1">
        <f t="array" ref="R10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canciones/ixcis/sueños_de_dios.html</v>
      </c>
      <c r="T1066" s="1"/>
      <c r="U1066" s="1"/>
      <c r="V1066" s="32" t="s">
        <v>3396</v>
      </c>
      <c r="W10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href="canciones/ixcis/sueños_de_dios.html"&gt;Sueños de Dios&lt;/a&gt;&lt;/li&gt;</v>
      </c>
      <c r="X1066" s="15" t="str">
        <f>_xlfn.TEXTBEFORE(_xlfn.TEXTAFTER(CantoralDB[[#This Row],[index.html]],"&gt;"),"&gt;")&amp;"&gt;"</f>
        <v>&lt;a href="canciones/ixcis/sueños_de_dios.html"&gt;</v>
      </c>
      <c r="Y1066"/>
      <c r="AB1066" s="1"/>
      <c r="AC1066" s="1"/>
    </row>
    <row r="1067" spans="1:29" x14ac:dyDescent="0.3">
      <c r="A1067" s="1">
        <f>ROW(CantoralDB[[#This Row],[Título]])-1</f>
        <v>1066</v>
      </c>
      <c r="B1067" s="1" t="s">
        <v>3310</v>
      </c>
      <c r="C1067" s="1"/>
      <c r="H1067" s="1" t="s">
        <v>1024</v>
      </c>
      <c r="J1067" s="1" t="s">
        <v>605</v>
      </c>
      <c r="M1067" s="15" t="s">
        <v>519</v>
      </c>
      <c r="N1067" s="1" t="s">
        <v>3316</v>
      </c>
      <c r="O1067" s="15">
        <v>5</v>
      </c>
      <c r="P1067" s="15">
        <v>1998</v>
      </c>
      <c r="Q1067" s="15" t="str" cm="1">
        <f t="array" ref="Q10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7" s="15" t="str" cm="1">
        <f t="array" ref="R10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canciones/ixcis/adonde_acudire.html</v>
      </c>
      <c r="T1067" s="1"/>
      <c r="U1067" s="1"/>
      <c r="V1067" s="32" t="s">
        <v>3397</v>
      </c>
      <c r="W10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href="canciones/ixcis/adonde_acudire.html"&gt;Adónde acudiré&lt;/a&gt;&lt;/li&gt;</v>
      </c>
      <c r="X1067" s="15" t="str">
        <f>_xlfn.TEXTBEFORE(_xlfn.TEXTAFTER(CantoralDB[[#This Row],[index.html]],"&gt;"),"&gt;")&amp;"&gt;"</f>
        <v>&lt;a href="canciones/ixcis/adonde_acudire.html"&gt;</v>
      </c>
      <c r="Y1067"/>
      <c r="AB1067" s="1"/>
      <c r="AC1067" s="1"/>
    </row>
    <row r="1068" spans="1:29" x14ac:dyDescent="0.3">
      <c r="A1068" s="1">
        <f>ROW(CantoralDB[[#This Row],[Título]])-1</f>
        <v>1067</v>
      </c>
      <c r="B1068" s="1" t="s">
        <v>70</v>
      </c>
      <c r="C1068" s="1"/>
      <c r="H1068" s="1" t="s">
        <v>1024</v>
      </c>
      <c r="J1068" s="1" t="s">
        <v>605</v>
      </c>
      <c r="M1068" s="15" t="s">
        <v>519</v>
      </c>
      <c r="N1068" s="1" t="s">
        <v>3316</v>
      </c>
      <c r="O1068" s="15">
        <v>6</v>
      </c>
      <c r="P1068" s="15">
        <v>1998</v>
      </c>
      <c r="Q1068" s="15" t="str" cm="1">
        <f t="array" ref="Q10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8" s="15" t="str" cm="1">
        <f t="array" ref="R10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canciones/ixcis/gracias_señor.html</v>
      </c>
      <c r="T1068" s="1"/>
      <c r="U1068" s="1"/>
      <c r="V1068" s="32" t="s">
        <v>3398</v>
      </c>
      <c r="W10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href="canciones/ixcis/gracias_señor.html"&gt;Gracias, Señor&lt;/a&gt;&lt;/li&gt;</v>
      </c>
      <c r="X1068" s="15" t="str">
        <f>_xlfn.TEXTBEFORE(_xlfn.TEXTAFTER(CantoralDB[[#This Row],[index.html]],"&gt;"),"&gt;")&amp;"&gt;"</f>
        <v>&lt;a href="canciones/ixcis/gracias_señor.html"&gt;</v>
      </c>
      <c r="Y1068"/>
      <c r="AB1068" s="1"/>
      <c r="AC1068" s="1"/>
    </row>
    <row r="1069" spans="1:29" x14ac:dyDescent="0.3">
      <c r="A1069" s="1">
        <f>ROW(CantoralDB[[#This Row],[Título]])-1</f>
        <v>1068</v>
      </c>
      <c r="B1069" s="1" t="s">
        <v>3311</v>
      </c>
      <c r="C1069" s="1"/>
      <c r="H1069" s="1" t="s">
        <v>529</v>
      </c>
      <c r="J1069" s="1" t="s">
        <v>605</v>
      </c>
      <c r="M1069" s="15" t="s">
        <v>519</v>
      </c>
      <c r="N1069" s="1" t="s">
        <v>3316</v>
      </c>
      <c r="O1069" s="15">
        <v>7</v>
      </c>
      <c r="P1069" s="15">
        <v>1998</v>
      </c>
      <c r="Q1069" s="15" t="str" cm="1">
        <f t="array" ref="Q10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69" s="15" t="str" cm="1">
        <f t="array" ref="R10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canciones/ixcis/gentes_con_derecho.html</v>
      </c>
      <c r="T1069" s="1"/>
      <c r="U1069" s="1"/>
      <c r="V1069" s="32" t="s">
        <v>3399</v>
      </c>
      <c r="W10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href="canciones/ixcis/gentes_con_derecho.html"&gt;Gentes con derecho&lt;/a&gt;&lt;/li&gt;</v>
      </c>
      <c r="X1069" s="15" t="str">
        <f>_xlfn.TEXTBEFORE(_xlfn.TEXTAFTER(CantoralDB[[#This Row],[index.html]],"&gt;"),"&gt;")&amp;"&gt;"</f>
        <v>&lt;a href="canciones/ixcis/gentes_con_derecho.html"&gt;</v>
      </c>
      <c r="Y1069"/>
      <c r="AB1069" s="1"/>
      <c r="AC1069" s="1"/>
    </row>
    <row r="1070" spans="1:29" x14ac:dyDescent="0.3">
      <c r="A1070" s="1">
        <f>ROW(CantoralDB[[#This Row],[Título]])-1</f>
        <v>1069</v>
      </c>
      <c r="B1070" s="1" t="s">
        <v>3312</v>
      </c>
      <c r="C1070" s="1"/>
      <c r="H1070" s="1" t="s">
        <v>529</v>
      </c>
      <c r="J1070" s="1" t="s">
        <v>605</v>
      </c>
      <c r="M1070" s="15" t="s">
        <v>519</v>
      </c>
      <c r="N1070" s="1" t="s">
        <v>3316</v>
      </c>
      <c r="O1070" s="15">
        <v>8</v>
      </c>
      <c r="P1070" s="15">
        <v>1998</v>
      </c>
      <c r="Q1070" s="15" t="str" cm="1">
        <f t="array" ref="Q10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0" s="15" t="str" cm="1">
        <f t="array" ref="R10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canciones/ixcis/oh_señor.html</v>
      </c>
      <c r="T1070" s="1"/>
      <c r="U1070" s="1"/>
      <c r="V1070" s="32" t="s">
        <v>3400</v>
      </c>
      <c r="W10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href="canciones/ixcis/oh_señor.html"&gt;Oh, Señor&lt;/a&gt;&lt;/li&gt;</v>
      </c>
      <c r="X1070" s="15" t="str">
        <f>_xlfn.TEXTBEFORE(_xlfn.TEXTAFTER(CantoralDB[[#This Row],[index.html]],"&gt;"),"&gt;")&amp;"&gt;"</f>
        <v>&lt;a href="canciones/ixcis/oh_señor.html"&gt;</v>
      </c>
      <c r="Y1070"/>
      <c r="AB1070" s="1"/>
      <c r="AC1070" s="1"/>
    </row>
    <row r="1071" spans="1:29" x14ac:dyDescent="0.3">
      <c r="A1071" s="1">
        <f>ROW(CantoralDB[[#This Row],[Título]])-1</f>
        <v>1070</v>
      </c>
      <c r="B1071" s="1" t="s">
        <v>3313</v>
      </c>
      <c r="C1071" s="1"/>
      <c r="H1071" s="1" t="s">
        <v>3282</v>
      </c>
      <c r="J1071" s="1" t="s">
        <v>605</v>
      </c>
      <c r="M1071" s="15" t="s">
        <v>519</v>
      </c>
      <c r="N1071" s="1" t="s">
        <v>3316</v>
      </c>
      <c r="O1071" s="15">
        <v>9</v>
      </c>
      <c r="P1071" s="15">
        <v>1998</v>
      </c>
      <c r="Q1071" s="15" t="str" cm="1">
        <f t="array" ref="Q10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1" s="15" t="str" cm="1">
        <f t="array" ref="R10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canciones/ixcis/quererse.html</v>
      </c>
      <c r="T1071" s="1"/>
      <c r="U1071" s="1"/>
      <c r="V1071" s="32" t="s">
        <v>3401</v>
      </c>
      <c r="W10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href="canciones/ixcis/quererse.html"&gt;Quererse&lt;/a&gt;&lt;/li&gt;</v>
      </c>
      <c r="X1071" s="15" t="str">
        <f>_xlfn.TEXTBEFORE(_xlfn.TEXTAFTER(CantoralDB[[#This Row],[index.html]],"&gt;"),"&gt;")&amp;"&gt;"</f>
        <v>&lt;a href="canciones/ixcis/quererse.html"&gt;</v>
      </c>
      <c r="Y1071"/>
      <c r="AB1071" s="1"/>
      <c r="AC1071" s="1"/>
    </row>
    <row r="1072" spans="1:29" x14ac:dyDescent="0.3">
      <c r="A1072" s="1">
        <f>ROW(CantoralDB[[#This Row],[Título]])-1</f>
        <v>1071</v>
      </c>
      <c r="B1072" s="1" t="s">
        <v>3314</v>
      </c>
      <c r="C1072" s="1"/>
      <c r="H1072" s="1" t="s">
        <v>1027</v>
      </c>
      <c r="J1072" s="1" t="s">
        <v>605</v>
      </c>
      <c r="M1072" s="15" t="s">
        <v>519</v>
      </c>
      <c r="N1072" s="1" t="s">
        <v>3316</v>
      </c>
      <c r="O1072" s="15">
        <v>10</v>
      </c>
      <c r="P1072" s="15">
        <v>1998</v>
      </c>
      <c r="Q1072" s="15" t="str" cm="1">
        <f t="array" ref="Q10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2" s="15" t="str" cm="1">
        <f t="array" ref="R10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canciones/ixcis/encima_del_altar.html</v>
      </c>
      <c r="T1072" s="1"/>
      <c r="U1072" s="1"/>
      <c r="V1072" s="32" t="s">
        <v>3402</v>
      </c>
      <c r="W10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href="canciones/ixcis/encima_del_altar.html"&gt;Encima del altar&lt;/a&gt;&lt;/li&gt;</v>
      </c>
      <c r="X1072" s="15" t="str">
        <f>_xlfn.TEXTBEFORE(_xlfn.TEXTAFTER(CantoralDB[[#This Row],[index.html]],"&gt;"),"&gt;")&amp;"&gt;"</f>
        <v>&lt;a href="canciones/ixcis/encima_del_altar.html"&gt;</v>
      </c>
      <c r="Y1072"/>
      <c r="AB1072" s="1"/>
      <c r="AC1072" s="1"/>
    </row>
    <row r="1073" spans="1:29" x14ac:dyDescent="0.3">
      <c r="A1073" s="1">
        <f>ROW(CantoralDB[[#This Row],[Título]])-1</f>
        <v>1072</v>
      </c>
      <c r="B1073" s="1" t="s">
        <v>3315</v>
      </c>
      <c r="C1073" s="1"/>
      <c r="H1073" s="1" t="s">
        <v>1027</v>
      </c>
      <c r="J1073" s="1" t="s">
        <v>605</v>
      </c>
      <c r="M1073" s="15" t="s">
        <v>519</v>
      </c>
      <c r="N1073" s="1" t="s">
        <v>3316</v>
      </c>
      <c r="O1073" s="15">
        <v>11</v>
      </c>
      <c r="P1073" s="15">
        <v>1998</v>
      </c>
      <c r="Q1073" s="15" t="str" cm="1">
        <f t="array" ref="Q10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3" s="15" t="str" cm="1">
        <f t="array" ref="R10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canciones/ixcis/cosas_pequeñas.html</v>
      </c>
      <c r="T1073" s="1"/>
      <c r="U1073" s="1"/>
      <c r="V1073" s="32" t="s">
        <v>3403</v>
      </c>
      <c r="W10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href="canciones/ixcis/cosas_pequeñas.html"&gt;Cosas pequeñas&lt;/a&gt;&lt;/li&gt;</v>
      </c>
      <c r="X1073" s="15" t="str">
        <f>_xlfn.TEXTBEFORE(_xlfn.TEXTAFTER(CantoralDB[[#This Row],[index.html]],"&gt;"),"&gt;")&amp;"&gt;"</f>
        <v>&lt;a href="canciones/ixcis/cosas_pequeñas.html"&gt;</v>
      </c>
      <c r="Y1073"/>
      <c r="AB1073" s="1"/>
      <c r="AC1073" s="1"/>
    </row>
    <row r="1074" spans="1:29" x14ac:dyDescent="0.3">
      <c r="A1074" s="1">
        <f>ROW(CantoralDB[[#This Row],[Título]])-1</f>
        <v>1073</v>
      </c>
      <c r="B1074" s="1" t="s">
        <v>3316</v>
      </c>
      <c r="C1074" s="1"/>
      <c r="H1074" s="1" t="s">
        <v>529</v>
      </c>
      <c r="J1074" s="1" t="s">
        <v>605</v>
      </c>
      <c r="M1074" s="15" t="s">
        <v>519</v>
      </c>
      <c r="N1074" s="1" t="s">
        <v>3316</v>
      </c>
      <c r="O1074" s="15">
        <v>12</v>
      </c>
      <c r="P1074" s="15">
        <v>1998</v>
      </c>
      <c r="Q1074" s="15" t="str" cm="1">
        <f t="array" ref="Q10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4" s="15" t="str" cm="1">
        <f t="array" ref="R10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canciones/ixcis/beber_los_vientos.html</v>
      </c>
      <c r="T1074" s="1"/>
      <c r="U1074" s="1"/>
      <c r="V1074" s="32" t="s">
        <v>3404</v>
      </c>
      <c r="W10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href="canciones/ixcis/beber_los_vientos.html"&gt;Beber los vientos&lt;/a&gt;&lt;/li&gt;</v>
      </c>
      <c r="X1074" s="15" t="str">
        <f>_xlfn.TEXTBEFORE(_xlfn.TEXTAFTER(CantoralDB[[#This Row],[index.html]],"&gt;"),"&gt;")&amp;"&gt;"</f>
        <v>&lt;a href="canciones/ixcis/beber_los_vientos.html"&gt;</v>
      </c>
      <c r="Y1074"/>
      <c r="AB1074" s="1"/>
      <c r="AC1074" s="1"/>
    </row>
    <row r="1075" spans="1:29" x14ac:dyDescent="0.3">
      <c r="A1075" s="1">
        <f>ROW(CantoralDB[[#This Row],[Título]])-1</f>
        <v>1074</v>
      </c>
      <c r="B1075" s="1" t="s">
        <v>3437</v>
      </c>
      <c r="C1075" s="1"/>
      <c r="H1075" s="1" t="s">
        <v>1024</v>
      </c>
      <c r="J1075" s="1" t="s">
        <v>605</v>
      </c>
      <c r="M1075" s="15" t="s">
        <v>519</v>
      </c>
      <c r="N1075" s="1" t="s">
        <v>3436</v>
      </c>
      <c r="O1075" s="15">
        <v>1</v>
      </c>
      <c r="P1075" s="15">
        <v>1992</v>
      </c>
      <c r="Q1075" s="15" t="str" cm="1">
        <f t="array" ref="Q10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5" s="15" t="str" cm="1">
        <f t="array" ref="R10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canciones/ixcis/ven_y_sigueme.html</v>
      </c>
      <c r="T1075" s="1"/>
      <c r="U1075" s="1"/>
      <c r="V1075" s="32" t="s">
        <v>3635</v>
      </c>
      <c r="W10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href="canciones/ixcis/ven_y_sigueme.html"&gt;Ven y sígueme&lt;/a&gt;&lt;/li&gt;</v>
      </c>
      <c r="X1075" s="15" t="str">
        <f>_xlfn.TEXTBEFORE(_xlfn.TEXTAFTER(CantoralDB[[#This Row],[index.html]],"&gt;"),"&gt;")&amp;"&gt;"</f>
        <v>&lt;a href="canciones/ixcis/ven_y_sigueme.html"&gt;</v>
      </c>
      <c r="Y1075"/>
      <c r="AB1075" s="1"/>
      <c r="AC1075" s="1"/>
    </row>
    <row r="1076" spans="1:29" x14ac:dyDescent="0.3">
      <c r="A1076" s="1">
        <f>ROW(CantoralDB[[#This Row],[Título]])-1</f>
        <v>1075</v>
      </c>
      <c r="B1076" s="1" t="s">
        <v>3438</v>
      </c>
      <c r="C1076" s="1"/>
      <c r="H1076" s="1" t="s">
        <v>1026</v>
      </c>
      <c r="J1076" s="1" t="s">
        <v>605</v>
      </c>
      <c r="M1076" s="15" t="s">
        <v>519</v>
      </c>
      <c r="N1076" s="1" t="s">
        <v>3436</v>
      </c>
      <c r="O1076" s="15">
        <v>2</v>
      </c>
      <c r="P1076" s="15">
        <v>1992</v>
      </c>
      <c r="Q1076" s="15" t="str" cm="1">
        <f t="array" ref="Q10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6" s="15" t="str" cm="1">
        <f t="array" ref="R10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canciones/ixcis/dios_provee.html</v>
      </c>
      <c r="T1076" s="1"/>
      <c r="U1076" s="1"/>
      <c r="V1076" s="32" t="s">
        <v>3636</v>
      </c>
      <c r="W10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href="canciones/ixcis/dios_provee.html"&gt;Dios provee&lt;/a&gt;&lt;/li&gt;</v>
      </c>
      <c r="X1076" s="15" t="str">
        <f>_xlfn.TEXTBEFORE(_xlfn.TEXTAFTER(CantoralDB[[#This Row],[index.html]],"&gt;"),"&gt;")&amp;"&gt;"</f>
        <v>&lt;a href="canciones/ixcis/dios_provee.html"&gt;</v>
      </c>
      <c r="Y1076"/>
      <c r="AB1076" s="1"/>
      <c r="AC1076" s="1"/>
    </row>
    <row r="1077" spans="1:29" x14ac:dyDescent="0.3">
      <c r="A1077" s="1">
        <f>ROW(CantoralDB[[#This Row],[Título]])-1</f>
        <v>1076</v>
      </c>
      <c r="B1077" s="1" t="s">
        <v>3439</v>
      </c>
      <c r="C1077" s="1"/>
      <c r="H1077" s="1" t="s">
        <v>529</v>
      </c>
      <c r="J1077" s="1" t="s">
        <v>605</v>
      </c>
      <c r="M1077" s="15" t="s">
        <v>519</v>
      </c>
      <c r="N1077" s="1" t="s">
        <v>3436</v>
      </c>
      <c r="O1077" s="15">
        <v>3</v>
      </c>
      <c r="P1077" s="15">
        <v>1992</v>
      </c>
      <c r="Q1077" s="15" t="str" cm="1">
        <f t="array" ref="Q10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7" s="15" t="str" cm="1">
        <f t="array" ref="R10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canciones/ixcis/me_desbordas.html</v>
      </c>
      <c r="T1077" s="1"/>
      <c r="U1077" s="1"/>
      <c r="V1077" s="32" t="s">
        <v>3637</v>
      </c>
      <c r="W10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href="canciones/ixcis/me_desbordas.html"&gt;Me desbordas&lt;/a&gt;&lt;/li&gt;</v>
      </c>
      <c r="X1077" s="15" t="str">
        <f>_xlfn.TEXTBEFORE(_xlfn.TEXTAFTER(CantoralDB[[#This Row],[index.html]],"&gt;"),"&gt;")&amp;"&gt;"</f>
        <v>&lt;a href="canciones/ixcis/me_desbordas.html"&gt;</v>
      </c>
      <c r="Y1077"/>
      <c r="AB1077" s="1"/>
      <c r="AC1077" s="1"/>
    </row>
    <row r="1078" spans="1:29" x14ac:dyDescent="0.3">
      <c r="A1078" s="1">
        <f>ROW(CantoralDB[[#This Row],[Título]])-1</f>
        <v>1077</v>
      </c>
      <c r="B1078" s="1" t="s">
        <v>3440</v>
      </c>
      <c r="C1078" s="1"/>
      <c r="H1078" s="1" t="s">
        <v>529</v>
      </c>
      <c r="J1078" s="1" t="s">
        <v>605</v>
      </c>
      <c r="M1078" s="15" t="s">
        <v>519</v>
      </c>
      <c r="N1078" s="1" t="s">
        <v>3436</v>
      </c>
      <c r="O1078" s="15">
        <v>4</v>
      </c>
      <c r="P1078" s="15">
        <v>1992</v>
      </c>
      <c r="Q1078" s="15" t="str" cm="1">
        <f t="array" ref="Q10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8" s="15" t="str" cm="1">
        <f t="array" ref="R10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canciones/ixcis/el_que_se_ensalza.html</v>
      </c>
      <c r="T1078" s="1"/>
      <c r="U1078" s="1"/>
      <c r="V1078" s="32" t="s">
        <v>3638</v>
      </c>
      <c r="W10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href="canciones/ixcis/el_que_se_ensalza.html"&gt;El que se ensalza&lt;/a&gt;&lt;/li&gt;</v>
      </c>
      <c r="X1078" s="15" t="str">
        <f>_xlfn.TEXTBEFORE(_xlfn.TEXTAFTER(CantoralDB[[#This Row],[index.html]],"&gt;"),"&gt;")&amp;"&gt;"</f>
        <v>&lt;a href="canciones/ixcis/el_que_se_ensalza.html"&gt;</v>
      </c>
      <c r="Y1078"/>
      <c r="AB1078" s="1"/>
      <c r="AC1078" s="1"/>
    </row>
    <row r="1079" spans="1:29" x14ac:dyDescent="0.3">
      <c r="A1079" s="1">
        <f>ROW(CantoralDB[[#This Row],[Título]])-1</f>
        <v>1078</v>
      </c>
      <c r="B1079" s="1" t="s">
        <v>3441</v>
      </c>
      <c r="C1079" s="1"/>
      <c r="H1079" s="1" t="s">
        <v>1024</v>
      </c>
      <c r="J1079" s="1" t="s">
        <v>605</v>
      </c>
      <c r="M1079" s="15" t="s">
        <v>519</v>
      </c>
      <c r="N1079" s="1" t="s">
        <v>3436</v>
      </c>
      <c r="O1079" s="15">
        <v>5</v>
      </c>
      <c r="P1079" s="15">
        <v>1992</v>
      </c>
      <c r="Q1079" s="15" t="str" cm="1">
        <f t="array" ref="Q10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79" s="15" t="str" cm="1">
        <f t="array" ref="R10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canciones/ixcis/mis_señores_y_mis_amos.html</v>
      </c>
      <c r="T1079" s="1"/>
      <c r="U1079" s="1"/>
      <c r="V1079" s="32" t="s">
        <v>3639</v>
      </c>
      <c r="W10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href="canciones/ixcis/mis_señores_y_mis_amos.html"&gt;Mis señores y mis amos&lt;/a&gt;&lt;/li&gt;</v>
      </c>
      <c r="X1079" s="15" t="str">
        <f>_xlfn.TEXTBEFORE(_xlfn.TEXTAFTER(CantoralDB[[#This Row],[index.html]],"&gt;"),"&gt;")&amp;"&gt;"</f>
        <v>&lt;a href="canciones/ixcis/mis_señores_y_mis_amos.html"&gt;</v>
      </c>
      <c r="Y1079"/>
      <c r="AB1079" s="1"/>
      <c r="AC1079" s="1"/>
    </row>
    <row r="1080" spans="1:29" x14ac:dyDescent="0.3">
      <c r="A1080" s="1">
        <f>ROW(CantoralDB[[#This Row],[Título]])-1</f>
        <v>1079</v>
      </c>
      <c r="B1080" s="1" t="s">
        <v>3442</v>
      </c>
      <c r="C1080" s="1"/>
      <c r="H1080" s="1" t="s">
        <v>529</v>
      </c>
      <c r="J1080" s="1" t="s">
        <v>605</v>
      </c>
      <c r="M1080" s="15" t="s">
        <v>519</v>
      </c>
      <c r="N1080" s="1" t="s">
        <v>3436</v>
      </c>
      <c r="O1080" s="15">
        <v>6</v>
      </c>
      <c r="P1080" s="15">
        <v>1992</v>
      </c>
      <c r="Q1080" s="15" t="str" cm="1">
        <f t="array" ref="Q10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0" s="15" t="str" cm="1">
        <f t="array" ref="R10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canciones/ixcis/enseñame_el_camino.html</v>
      </c>
      <c r="T1080" s="1"/>
      <c r="U1080" s="1"/>
      <c r="V1080" s="32" t="s">
        <v>3640</v>
      </c>
      <c r="W10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href="canciones/ixcis/enseñame_el_camino.html"&gt;Enséñame el camino&lt;/a&gt;&lt;/li&gt;</v>
      </c>
      <c r="X1080" s="15" t="str">
        <f>_xlfn.TEXTBEFORE(_xlfn.TEXTAFTER(CantoralDB[[#This Row],[index.html]],"&gt;"),"&gt;")&amp;"&gt;"</f>
        <v>&lt;a href="canciones/ixcis/enseñame_el_camino.html"&gt;</v>
      </c>
      <c r="Y1080"/>
      <c r="AB1080" s="1"/>
      <c r="AC1080" s="1"/>
    </row>
    <row r="1081" spans="1:29" x14ac:dyDescent="0.3">
      <c r="A1081" s="1">
        <f>ROW(CantoralDB[[#This Row],[Título]])-1</f>
        <v>1080</v>
      </c>
      <c r="B1081" s="1" t="s">
        <v>3443</v>
      </c>
      <c r="C1081" s="1"/>
      <c r="H1081" s="1" t="s">
        <v>1025</v>
      </c>
      <c r="J1081" s="1" t="s">
        <v>605</v>
      </c>
      <c r="M1081" s="15" t="s">
        <v>519</v>
      </c>
      <c r="N1081" s="1" t="s">
        <v>3436</v>
      </c>
      <c r="O1081" s="15">
        <v>8</v>
      </c>
      <c r="P1081" s="15">
        <v>1992</v>
      </c>
      <c r="Q1081" s="15" t="str" cm="1">
        <f t="array" ref="Q10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1" s="15" t="str" cm="1">
        <f t="array" ref="R10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canciones/ixcis/padrenuestro_i.html</v>
      </c>
      <c r="T1081" s="1"/>
      <c r="U1081" s="1"/>
      <c r="V1081" s="32" t="s">
        <v>3641</v>
      </c>
      <c r="W10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href="canciones/ixcis/padrenuestro_i.html"&gt;Padrenuestro I&lt;/a&gt;&lt;/li&gt;</v>
      </c>
      <c r="X1081" s="15" t="str">
        <f>_xlfn.TEXTBEFORE(_xlfn.TEXTAFTER(CantoralDB[[#This Row],[index.html]],"&gt;"),"&gt;")&amp;"&gt;"</f>
        <v>&lt;a href="canciones/ixcis/padrenuestro_i.html"&gt;</v>
      </c>
      <c r="Y1081"/>
      <c r="AB1081" s="1"/>
      <c r="AC1081" s="1"/>
    </row>
    <row r="1082" spans="1:29" x14ac:dyDescent="0.3">
      <c r="A1082" s="1">
        <f>ROW(CantoralDB[[#This Row],[Título]])-1</f>
        <v>1081</v>
      </c>
      <c r="B1082" s="1" t="s">
        <v>3445</v>
      </c>
      <c r="C1082" s="1"/>
      <c r="H1082" s="1" t="s">
        <v>1027</v>
      </c>
      <c r="J1082" s="1" t="s">
        <v>605</v>
      </c>
      <c r="M1082" s="15" t="s">
        <v>519</v>
      </c>
      <c r="N1082" s="1" t="s">
        <v>3436</v>
      </c>
      <c r="O1082" s="15">
        <v>9</v>
      </c>
      <c r="P1082" s="15">
        <v>1992</v>
      </c>
      <c r="Q1082" s="15" t="str" cm="1">
        <f t="array" ref="Q10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2" s="15" t="str" cm="1">
        <f t="array" ref="R10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canciones/ixcis/adorare.html</v>
      </c>
      <c r="T1082" s="1"/>
      <c r="U1082" s="1"/>
      <c r="V1082" s="32" t="s">
        <v>3642</v>
      </c>
      <c r="W10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href="canciones/ixcis/adorare.html"&gt;Adoraré&lt;/a&gt;&lt;/li&gt;</v>
      </c>
      <c r="X1082" s="15" t="str">
        <f>_xlfn.TEXTBEFORE(_xlfn.TEXTAFTER(CantoralDB[[#This Row],[index.html]],"&gt;"),"&gt;")&amp;"&gt;"</f>
        <v>&lt;a href="canciones/ixcis/adorare.html"&gt;</v>
      </c>
      <c r="Y1082"/>
      <c r="AB1082" s="1"/>
      <c r="AC1082" s="1"/>
    </row>
    <row r="1083" spans="1:29" x14ac:dyDescent="0.3">
      <c r="A1083" s="1">
        <f>ROW(CantoralDB[[#This Row],[Título]])-1</f>
        <v>1082</v>
      </c>
      <c r="B1083" s="1" t="s">
        <v>3446</v>
      </c>
      <c r="C1083" s="1"/>
      <c r="H1083" s="1" t="s">
        <v>472</v>
      </c>
      <c r="J1083" s="1" t="s">
        <v>605</v>
      </c>
      <c r="M1083" s="15" t="s">
        <v>519</v>
      </c>
      <c r="N1083" s="1" t="s">
        <v>3436</v>
      </c>
      <c r="O1083" s="15">
        <v>10</v>
      </c>
      <c r="P1083" s="15">
        <v>1992</v>
      </c>
      <c r="Q1083" s="15" t="str" cm="1">
        <f t="array" ref="Q10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3" s="15" t="str" cm="1">
        <f t="array" ref="R10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canciones/ixcis/me_llamais.html</v>
      </c>
      <c r="T1083" s="1"/>
      <c r="U1083" s="1"/>
      <c r="V1083" s="32" t="s">
        <v>3643</v>
      </c>
      <c r="W10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href="canciones/ixcis/me_llamais.html"&gt;Me llamáis&lt;/a&gt;&lt;/li&gt;</v>
      </c>
      <c r="X1083" s="15" t="str">
        <f>_xlfn.TEXTBEFORE(_xlfn.TEXTAFTER(CantoralDB[[#This Row],[index.html]],"&gt;"),"&gt;")&amp;"&gt;"</f>
        <v>&lt;a href="canciones/ixcis/me_llamais.html"&gt;</v>
      </c>
      <c r="Y1083"/>
      <c r="AB1083" s="1"/>
      <c r="AC1083" s="1"/>
    </row>
    <row r="1084" spans="1:29" x14ac:dyDescent="0.3">
      <c r="A1084" s="1">
        <f>ROW(CantoralDB[[#This Row],[Título]])-1</f>
        <v>1083</v>
      </c>
      <c r="B1084" s="1" t="s">
        <v>3436</v>
      </c>
      <c r="C1084" s="1"/>
      <c r="H1084" s="1" t="s">
        <v>529</v>
      </c>
      <c r="J1084" s="1" t="s">
        <v>605</v>
      </c>
      <c r="M1084" s="15" t="s">
        <v>519</v>
      </c>
      <c r="N1084" s="1" t="s">
        <v>3436</v>
      </c>
      <c r="O1084" s="15">
        <v>11</v>
      </c>
      <c r="P1084" s="15">
        <v>1992</v>
      </c>
      <c r="Q1084" s="15" t="str" cm="1">
        <f t="array" ref="Q10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4" s="15" t="str" cm="1">
        <f t="array" ref="R10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canciones/ixcis/como_uno_de_tantos.html</v>
      </c>
      <c r="T1084" s="1"/>
      <c r="U1084" s="1"/>
      <c r="V1084" s="32" t="s">
        <v>3644</v>
      </c>
      <c r="W10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href="canciones/ixcis/como_uno_de_tantos.html"&gt;Como uno de tantos&lt;/a&gt;&lt;/li&gt;</v>
      </c>
      <c r="X1084" s="15" t="str">
        <f>_xlfn.TEXTBEFORE(_xlfn.TEXTAFTER(CantoralDB[[#This Row],[index.html]],"&gt;"),"&gt;")&amp;"&gt;"</f>
        <v>&lt;a href="canciones/ixcis/como_uno_de_tantos.html"&gt;</v>
      </c>
      <c r="Y1084"/>
      <c r="AB1084" s="1"/>
      <c r="AC1084" s="1"/>
    </row>
    <row r="1085" spans="1:29" x14ac:dyDescent="0.3">
      <c r="A1085" s="1">
        <f>ROW(CantoralDB[[#This Row],[Título]])-1</f>
        <v>1084</v>
      </c>
      <c r="B1085" s="1" t="s">
        <v>3447</v>
      </c>
      <c r="C1085" s="1"/>
      <c r="H1085" s="1" t="s">
        <v>1024</v>
      </c>
      <c r="J1085" s="1" t="s">
        <v>605</v>
      </c>
      <c r="M1085" s="15" t="s">
        <v>519</v>
      </c>
      <c r="N1085" s="1" t="s">
        <v>3436</v>
      </c>
      <c r="O1085" s="15">
        <v>12</v>
      </c>
      <c r="P1085" s="15">
        <v>1992</v>
      </c>
      <c r="Q1085" s="15" t="str" cm="1">
        <f t="array" ref="Q10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5" s="15" t="str" cm="1">
        <f t="array" ref="R10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canciones/ixcis/en_medio_de_vosotros.html</v>
      </c>
      <c r="T1085" s="1"/>
      <c r="U1085" s="1"/>
      <c r="V1085" s="32" t="s">
        <v>3645</v>
      </c>
      <c r="W10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href="canciones/ixcis/en_medio_de_vosotros.html"&gt;En medio de vosotros&lt;/a&gt;&lt;/li&gt;</v>
      </c>
      <c r="X1085" s="15" t="str">
        <f>_xlfn.TEXTBEFORE(_xlfn.TEXTAFTER(CantoralDB[[#This Row],[index.html]],"&gt;"),"&gt;")&amp;"&gt;"</f>
        <v>&lt;a href="canciones/ixcis/en_medio_de_vosotros.html"&gt;</v>
      </c>
      <c r="Y1085"/>
      <c r="AB1085" s="1"/>
      <c r="AC1085" s="1"/>
    </row>
    <row r="1086" spans="1:29" x14ac:dyDescent="0.3">
      <c r="A1086" s="1">
        <f>ROW(CantoralDB[[#This Row],[Título]])-1</f>
        <v>1085</v>
      </c>
      <c r="B1086" s="1" t="s">
        <v>3448</v>
      </c>
      <c r="C1086" s="1"/>
      <c r="H1086" s="1" t="s">
        <v>1024</v>
      </c>
      <c r="J1086" s="1" t="s">
        <v>605</v>
      </c>
      <c r="M1086" s="15" t="s">
        <v>519</v>
      </c>
      <c r="N1086" s="1" t="s">
        <v>3436</v>
      </c>
      <c r="O1086" s="15">
        <v>13</v>
      </c>
      <c r="P1086" s="15">
        <v>1992</v>
      </c>
      <c r="Q1086" s="15" t="str" cm="1">
        <f t="array" ref="Q10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6" s="15" t="str" cm="1">
        <f t="array" ref="R10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canciones/ixcis/mi_dios_y_mi_todo.html</v>
      </c>
      <c r="T1086" s="1"/>
      <c r="U1086" s="1"/>
      <c r="V1086" s="32" t="s">
        <v>3646</v>
      </c>
      <c r="W10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href="canciones/ixcis/mi_dios_y_mi_todo.html"&gt;Mi Dios y mi todo&lt;/a&gt;&lt;/li&gt;</v>
      </c>
      <c r="X1086" s="15" t="str">
        <f>_xlfn.TEXTBEFORE(_xlfn.TEXTAFTER(CantoralDB[[#This Row],[index.html]],"&gt;"),"&gt;")&amp;"&gt;"</f>
        <v>&lt;a href="canciones/ixcis/mi_dios_y_mi_todo.html"&gt;</v>
      </c>
      <c r="Y1086"/>
      <c r="AB1086" s="1"/>
      <c r="AC1086" s="1"/>
    </row>
    <row r="1087" spans="1:29" x14ac:dyDescent="0.3">
      <c r="A1087" s="1">
        <f>ROW(CantoralDB[[#This Row],[Título]])-1</f>
        <v>1086</v>
      </c>
      <c r="B1087" s="1" t="s">
        <v>3449</v>
      </c>
      <c r="C1087" s="1"/>
      <c r="H1087" s="1" t="s">
        <v>1025</v>
      </c>
      <c r="J1087" s="1" t="s">
        <v>605</v>
      </c>
      <c r="M1087" s="15" t="s">
        <v>519</v>
      </c>
      <c r="N1087" s="1" t="s">
        <v>3436</v>
      </c>
      <c r="O1087" s="15">
        <v>14</v>
      </c>
      <c r="P1087" s="15">
        <v>1992</v>
      </c>
      <c r="Q1087" s="15" t="str" cm="1">
        <f t="array" ref="Q10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7" s="15" t="str" cm="1">
        <f t="array" ref="R10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canciones/ixcis/maria_enseñame_a_vivir_el_evangelio.html</v>
      </c>
      <c r="T1087" s="1"/>
      <c r="U1087" s="1"/>
      <c r="V1087" s="32" t="s">
        <v>3647</v>
      </c>
      <c r="W10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href="canciones/ixcis/maria_enseñame_a_vivir_el_evangelio.html"&gt;María, enséñame a vivir el Evangelio&lt;/a&gt;&lt;/li&gt;</v>
      </c>
      <c r="X1087" s="15" t="str">
        <f>_xlfn.TEXTBEFORE(_xlfn.TEXTAFTER(CantoralDB[[#This Row],[index.html]],"&gt;"),"&gt;")&amp;"&gt;"</f>
        <v>&lt;a href="canciones/ixcis/maria_enseñame_a_vivir_el_evangelio.html"&gt;</v>
      </c>
      <c r="Y1087"/>
      <c r="AB1087" s="1"/>
      <c r="AC1087" s="1"/>
    </row>
    <row r="1088" spans="1:29" x14ac:dyDescent="0.3">
      <c r="A1088" s="1">
        <f>ROW(CantoralDB[[#This Row],[Título]])-1</f>
        <v>1087</v>
      </c>
      <c r="B1088" s="1" t="s">
        <v>3450</v>
      </c>
      <c r="C1088" s="1"/>
      <c r="H1088" s="1" t="s">
        <v>1025</v>
      </c>
      <c r="J1088" s="1" t="s">
        <v>605</v>
      </c>
      <c r="M1088" s="15" t="s">
        <v>519</v>
      </c>
      <c r="N1088" s="1" t="s">
        <v>3436</v>
      </c>
      <c r="O1088" s="15">
        <v>15</v>
      </c>
      <c r="P1088" s="15">
        <v>1992</v>
      </c>
      <c r="Q1088" s="15" t="str" cm="1">
        <f t="array" ref="Q10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8" s="15" t="str" cm="1">
        <f t="array" ref="R10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canciones/ixcis/pastor_bone.html</v>
      </c>
      <c r="T1088" s="1"/>
      <c r="U1088" s="1"/>
      <c r="V1088" s="32" t="s">
        <v>3648</v>
      </c>
      <c r="W10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href="canciones/ixcis/pastor_bone.html"&gt;Pastor bone&lt;/a&gt;&lt;/li&gt;</v>
      </c>
      <c r="X1088" s="15" t="str">
        <f>_xlfn.TEXTBEFORE(_xlfn.TEXTAFTER(CantoralDB[[#This Row],[index.html]],"&gt;"),"&gt;")&amp;"&gt;"</f>
        <v>&lt;a href="canciones/ixcis/pastor_bone.html"&gt;</v>
      </c>
      <c r="Y1088"/>
      <c r="AB1088" s="1"/>
      <c r="AC1088" s="1"/>
    </row>
    <row r="1089" spans="1:29" x14ac:dyDescent="0.3">
      <c r="A1089" s="1">
        <f>ROW(CantoralDB[[#This Row],[Título]])-1</f>
        <v>1088</v>
      </c>
      <c r="B1089" s="1" t="s">
        <v>3451</v>
      </c>
      <c r="C1089" s="1"/>
      <c r="H1089" s="1" t="s">
        <v>1026</v>
      </c>
      <c r="J1089" s="1" t="s">
        <v>605</v>
      </c>
      <c r="M1089" s="15" t="s">
        <v>519</v>
      </c>
      <c r="N1089" s="1" t="s">
        <v>3436</v>
      </c>
      <c r="O1089" s="15">
        <v>16</v>
      </c>
      <c r="P1089" s="15">
        <v>1992</v>
      </c>
      <c r="Q1089" s="15" t="str" cm="1">
        <f t="array" ref="Q10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89" s="15" t="str" cm="1">
        <f t="array" ref="R10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canciones/ixcis/señor_expropiame.html</v>
      </c>
      <c r="T1089" s="1"/>
      <c r="U1089" s="1"/>
      <c r="V1089" s="32" t="s">
        <v>3649</v>
      </c>
      <c r="W10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href="canciones/ixcis/señor_expropiame.html"&gt;Señor, exprópiame&lt;/a&gt;&lt;/li&gt;</v>
      </c>
      <c r="X1089" s="15" t="str">
        <f>_xlfn.TEXTBEFORE(_xlfn.TEXTAFTER(CantoralDB[[#This Row],[index.html]],"&gt;"),"&gt;")&amp;"&gt;"</f>
        <v>&lt;a href="canciones/ixcis/señor_expropiame.html"&gt;</v>
      </c>
      <c r="Y1089"/>
      <c r="AB1089" s="1"/>
      <c r="AC1089" s="1"/>
    </row>
    <row r="1090" spans="1:29" x14ac:dyDescent="0.3">
      <c r="A1090" s="1">
        <f>ROW(CantoralDB[[#This Row],[Título]])-1</f>
        <v>1089</v>
      </c>
      <c r="B1090" s="1" t="s">
        <v>3317</v>
      </c>
      <c r="C1090" s="1"/>
      <c r="H1090" s="1" t="s">
        <v>1027</v>
      </c>
      <c r="J1090" s="1" t="s">
        <v>605</v>
      </c>
      <c r="M1090" s="15" t="s">
        <v>519</v>
      </c>
      <c r="N1090" s="1" t="s">
        <v>3317</v>
      </c>
      <c r="O1090" s="15">
        <v>1</v>
      </c>
      <c r="P1090" s="15">
        <v>1997</v>
      </c>
      <c r="Q1090" s="15" t="str" cm="1">
        <f t="array" ref="Q10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0" s="15" t="str" cm="1">
        <f t="array" ref="R10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canciones/ixcis/confio.html</v>
      </c>
      <c r="T1090" s="1"/>
      <c r="U1090" s="1"/>
      <c r="V1090" s="32" t="s">
        <v>3418</v>
      </c>
      <c r="W10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href="canciones/ixcis/confio.html"&gt;Confío&lt;/a&gt;&lt;/li&gt;</v>
      </c>
      <c r="X1090" s="15" t="str">
        <f>_xlfn.TEXTBEFORE(_xlfn.TEXTAFTER(CantoralDB[[#This Row],[index.html]],"&gt;"),"&gt;")&amp;"&gt;"</f>
        <v>&lt;a href="canciones/ixcis/confio.html"&gt;</v>
      </c>
      <c r="Y1090"/>
      <c r="AB1090" s="1"/>
      <c r="AC1090" s="1"/>
    </row>
    <row r="1091" spans="1:29" x14ac:dyDescent="0.3">
      <c r="A1091" s="1">
        <f>ROW(CantoralDB[[#This Row],[Título]])-1</f>
        <v>1090</v>
      </c>
      <c r="B1091" s="1" t="s">
        <v>2233</v>
      </c>
      <c r="C1091" s="1"/>
      <c r="H1091" s="1" t="s">
        <v>1027</v>
      </c>
      <c r="J1091" s="1" t="s">
        <v>605</v>
      </c>
      <c r="M1091" s="15" t="s">
        <v>519</v>
      </c>
      <c r="N1091" s="1" t="s">
        <v>3317</v>
      </c>
      <c r="O1091" s="15">
        <v>2</v>
      </c>
      <c r="P1091" s="15">
        <v>1997</v>
      </c>
      <c r="Q1091" s="15" t="str" cm="1">
        <f t="array" ref="Q10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1" s="15" t="str" cm="1">
        <f t="array" ref="R10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canciones/ixcis/nada_es_imposible.html</v>
      </c>
      <c r="T1091" s="1"/>
      <c r="U1091" s="1"/>
      <c r="V1091" s="32" t="s">
        <v>3419</v>
      </c>
      <c r="W10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href="canciones/ixcis/nada_es_imposible.html"&gt;Nada es imposible&lt;/a&gt;&lt;/li&gt;</v>
      </c>
      <c r="X1091" s="15" t="str">
        <f>_xlfn.TEXTBEFORE(_xlfn.TEXTAFTER(CantoralDB[[#This Row],[index.html]],"&gt;"),"&gt;")&amp;"&gt;"</f>
        <v>&lt;a href="canciones/ixcis/nada_es_imposible.html"&gt;</v>
      </c>
      <c r="Y1091"/>
      <c r="AB1091" s="1"/>
      <c r="AC1091" s="1"/>
    </row>
    <row r="1092" spans="1:29" x14ac:dyDescent="0.3">
      <c r="A1092" s="1">
        <f>ROW(CantoralDB[[#This Row],[Título]])-1</f>
        <v>1091</v>
      </c>
      <c r="B1092" s="1" t="s">
        <v>3405</v>
      </c>
      <c r="C1092" s="1"/>
      <c r="H1092" s="1" t="s">
        <v>1024</v>
      </c>
      <c r="J1092" s="1" t="s">
        <v>605</v>
      </c>
      <c r="M1092" s="15" t="s">
        <v>519</v>
      </c>
      <c r="N1092" s="1" t="s">
        <v>3317</v>
      </c>
      <c r="O1092" s="15">
        <v>3</v>
      </c>
      <c r="P1092" s="15">
        <v>1997</v>
      </c>
      <c r="Q1092" s="15" t="str" cm="1">
        <f t="array" ref="Q10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2" s="15" t="str" cm="1">
        <f t="array" ref="R10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canciones/ixcis/tu_saber_me_sobrepasa.html</v>
      </c>
      <c r="T1092" s="1"/>
      <c r="U1092" s="1"/>
      <c r="V1092" s="32" t="s">
        <v>3420</v>
      </c>
      <c r="W10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href="canciones/ixcis/tu_saber_me_sobrepasa.html"&gt;Tu saber me sobrepasa&lt;/a&gt;&lt;/li&gt;</v>
      </c>
      <c r="X1092" s="15" t="str">
        <f>_xlfn.TEXTBEFORE(_xlfn.TEXTAFTER(CantoralDB[[#This Row],[index.html]],"&gt;"),"&gt;")&amp;"&gt;"</f>
        <v>&lt;a href="canciones/ixcis/tu_saber_me_sobrepasa.html"&gt;</v>
      </c>
      <c r="Y1092"/>
      <c r="AB1092" s="1"/>
      <c r="AC1092" s="1"/>
    </row>
    <row r="1093" spans="1:29" x14ac:dyDescent="0.3">
      <c r="A1093" s="1">
        <f>ROW(CantoralDB[[#This Row],[Título]])-1</f>
        <v>1092</v>
      </c>
      <c r="B1093" s="1" t="s">
        <v>562</v>
      </c>
      <c r="C1093" s="1" t="s">
        <v>194</v>
      </c>
      <c r="D1093" s="1" t="s">
        <v>766</v>
      </c>
      <c r="G1093" s="1" t="s">
        <v>551</v>
      </c>
      <c r="H1093" s="1" t="s">
        <v>529</v>
      </c>
      <c r="J1093" s="1" t="s">
        <v>605</v>
      </c>
      <c r="M1093" s="15" t="s">
        <v>519</v>
      </c>
      <c r="N1093" s="1" t="s">
        <v>3317</v>
      </c>
      <c r="O1093" s="15">
        <v>4</v>
      </c>
      <c r="P1093" s="15">
        <v>1997</v>
      </c>
      <c r="Q1093" s="15" t="str" cm="1">
        <f t="array" ref="Q10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3" s="15" t="str" cm="1">
        <f t="array" ref="R10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0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canciones/ixcis/sigue_habiendo.html</v>
      </c>
      <c r="T1093" s="1" t="s">
        <v>856</v>
      </c>
      <c r="U1093" s="1"/>
      <c r="V1093" s="32" t="s">
        <v>3085</v>
      </c>
      <c r="W10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 data-momento="Ofertorio" data-nnew="F14"&gt;&lt;a href="canciones/ixcis/sigue_habiendo.html"&gt;Sigue habiendo&lt;/a&gt;&lt;/li&gt;</v>
      </c>
      <c r="X1093" s="15" t="str">
        <f>_xlfn.TEXTBEFORE(_xlfn.TEXTAFTER(CantoralDB[[#This Row],[index.html]],"&gt;"),"&gt;")&amp;"&gt;"</f>
        <v>&lt;a href="canciones/ixcis/sigue_habiendo.html"&gt;</v>
      </c>
      <c r="Y1093"/>
      <c r="AB1093" s="1"/>
      <c r="AC1093" s="1"/>
    </row>
    <row r="1094" spans="1:29" x14ac:dyDescent="0.3">
      <c r="A1094" s="1">
        <f>ROW(CantoralDB[[#This Row],[Título]])-1</f>
        <v>1093</v>
      </c>
      <c r="B1094" s="1" t="s">
        <v>3406</v>
      </c>
      <c r="C1094" s="1"/>
      <c r="H1094" s="1" t="s">
        <v>1024</v>
      </c>
      <c r="J1094" s="1" t="s">
        <v>605</v>
      </c>
      <c r="M1094" s="15" t="s">
        <v>519</v>
      </c>
      <c r="N1094" s="1" t="s">
        <v>3317</v>
      </c>
      <c r="O1094" s="15">
        <v>5</v>
      </c>
      <c r="P1094" s="15">
        <v>1997</v>
      </c>
      <c r="Q1094" s="15" t="str" cm="1">
        <f t="array" ref="Q10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4" s="15" t="str" cm="1">
        <f t="array" ref="R10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canciones/ixcis/nada_vale_la_pena.html</v>
      </c>
      <c r="T1094" s="1"/>
      <c r="U1094" s="1"/>
      <c r="V1094" s="32" t="s">
        <v>3421</v>
      </c>
      <c r="W10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href="canciones/ixcis/nada_vale_la_pena.html"&gt;Nada vale la pena&lt;/a&gt;&lt;/li&gt;</v>
      </c>
      <c r="X1094" s="15" t="str">
        <f>_xlfn.TEXTBEFORE(_xlfn.TEXTAFTER(CantoralDB[[#This Row],[index.html]],"&gt;"),"&gt;")&amp;"&gt;"</f>
        <v>&lt;a href="canciones/ixcis/nada_vale_la_pena.html"&gt;</v>
      </c>
      <c r="Y1094"/>
      <c r="AB1094" s="1"/>
      <c r="AC1094" s="1"/>
    </row>
    <row r="1095" spans="1:29" x14ac:dyDescent="0.3">
      <c r="A1095" s="1">
        <f>ROW(CantoralDB[[#This Row],[Título]])-1</f>
        <v>1094</v>
      </c>
      <c r="B1095" s="1" t="s">
        <v>1704</v>
      </c>
      <c r="C1095" s="1"/>
      <c r="H1095" s="1" t="s">
        <v>1024</v>
      </c>
      <c r="J1095" s="1" t="s">
        <v>605</v>
      </c>
      <c r="M1095" s="15" t="s">
        <v>519</v>
      </c>
      <c r="N1095" s="1" t="s">
        <v>3317</v>
      </c>
      <c r="O1095" s="15">
        <v>6</v>
      </c>
      <c r="P1095" s="15">
        <v>1997</v>
      </c>
      <c r="Q1095" s="15" t="str" cm="1">
        <f t="array" ref="Q10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5" s="15" t="str" cm="1">
        <f t="array" ref="R10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canciones/ixcis/un_solo_corazon.html</v>
      </c>
      <c r="T1095" s="1"/>
      <c r="U1095" s="1"/>
      <c r="V1095" s="32" t="s">
        <v>3422</v>
      </c>
      <c r="W10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href="canciones/ixcis/un_solo_corazon.html"&gt;Un solo corazón&lt;/a&gt;&lt;/li&gt;</v>
      </c>
      <c r="X1095" s="15" t="str">
        <f>_xlfn.TEXTBEFORE(_xlfn.TEXTAFTER(CantoralDB[[#This Row],[index.html]],"&gt;"),"&gt;")&amp;"&gt;"</f>
        <v>&lt;a href="canciones/ixcis/un_solo_corazon.html"&gt;</v>
      </c>
      <c r="Y1095"/>
      <c r="AB1095" s="1"/>
      <c r="AC1095" s="1"/>
    </row>
    <row r="1096" spans="1:29" x14ac:dyDescent="0.3">
      <c r="A1096" s="1">
        <f>ROW(CantoralDB[[#This Row],[Título]])-1</f>
        <v>1095</v>
      </c>
      <c r="B1096" s="1" t="s">
        <v>3407</v>
      </c>
      <c r="C1096" s="1"/>
      <c r="H1096" s="1" t="s">
        <v>529</v>
      </c>
      <c r="J1096" s="1" t="s">
        <v>605</v>
      </c>
      <c r="M1096" s="15" t="s">
        <v>519</v>
      </c>
      <c r="N1096" s="1" t="s">
        <v>3317</v>
      </c>
      <c r="O1096" s="15">
        <v>7</v>
      </c>
      <c r="P1096" s="15">
        <v>1997</v>
      </c>
      <c r="Q1096" s="15" t="str" cm="1">
        <f t="array" ref="Q10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6" s="15" t="str" cm="1">
        <f t="array" ref="R10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canciones/ixcis/aqui_estoy.html</v>
      </c>
      <c r="T1096" s="1"/>
      <c r="U1096" s="1"/>
      <c r="V1096" s="32" t="s">
        <v>3423</v>
      </c>
      <c r="W10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href="canciones/ixcis/aqui_estoy.html"&gt;Aquí estoy&lt;/a&gt;&lt;/li&gt;</v>
      </c>
      <c r="X1096" s="15" t="str">
        <f>_xlfn.TEXTBEFORE(_xlfn.TEXTAFTER(CantoralDB[[#This Row],[index.html]],"&gt;"),"&gt;")&amp;"&gt;"</f>
        <v>&lt;a href="canciones/ixcis/aqui_estoy.html"&gt;</v>
      </c>
      <c r="Y1096"/>
      <c r="AB1096" s="1"/>
      <c r="AC1096" s="1"/>
    </row>
    <row r="1097" spans="1:29" x14ac:dyDescent="0.3">
      <c r="A1097" s="1">
        <f>ROW(CantoralDB[[#This Row],[Título]])-1</f>
        <v>1096</v>
      </c>
      <c r="B1097" s="1" t="s">
        <v>3408</v>
      </c>
      <c r="C1097" s="1"/>
      <c r="H1097" s="1" t="s">
        <v>472</v>
      </c>
      <c r="J1097" s="1" t="s">
        <v>605</v>
      </c>
      <c r="M1097" s="15" t="s">
        <v>519</v>
      </c>
      <c r="N1097" s="1" t="s">
        <v>3317</v>
      </c>
      <c r="O1097" s="15">
        <v>9</v>
      </c>
      <c r="P1097" s="15">
        <v>1997</v>
      </c>
      <c r="Q1097" s="15" t="str" cm="1">
        <f t="array" ref="Q10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7" s="15" t="str" cm="1">
        <f t="array" ref="R10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canciones/ixcis/en_los_pobres_yo_te_vi.html</v>
      </c>
      <c r="T1097" s="1"/>
      <c r="U1097" s="1"/>
      <c r="V1097" s="32" t="s">
        <v>3424</v>
      </c>
      <c r="W10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href="canciones/ixcis/en_los_pobres_yo_te_vi.html"&gt;En los pobres yo te vi&lt;/a&gt;&lt;/li&gt;</v>
      </c>
      <c r="X1097" s="15" t="str">
        <f>_xlfn.TEXTBEFORE(_xlfn.TEXTAFTER(CantoralDB[[#This Row],[index.html]],"&gt;"),"&gt;")&amp;"&gt;"</f>
        <v>&lt;a href="canciones/ixcis/en_los_pobres_yo_te_vi.html"&gt;</v>
      </c>
      <c r="Y1097"/>
      <c r="AB1097" s="1"/>
      <c r="AC1097" s="1"/>
    </row>
    <row r="1098" spans="1:29" x14ac:dyDescent="0.3">
      <c r="A1098" s="1">
        <f>ROW(CantoralDB[[#This Row],[Título]])-1</f>
        <v>1097</v>
      </c>
      <c r="B1098" s="1" t="s">
        <v>3409</v>
      </c>
      <c r="C1098" s="1"/>
      <c r="H1098" s="1" t="s">
        <v>1025</v>
      </c>
      <c r="J1098" s="1" t="s">
        <v>605</v>
      </c>
      <c r="M1098" s="15" t="s">
        <v>519</v>
      </c>
      <c r="N1098" s="1" t="s">
        <v>3317</v>
      </c>
      <c r="O1098" s="15">
        <v>10</v>
      </c>
      <c r="P1098" s="15">
        <v>1997</v>
      </c>
      <c r="Q1098" s="15" t="str" cm="1">
        <f t="array" ref="Q10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8" s="15" t="str" cm="1">
        <f t="array" ref="R10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canciones/ixcis/me_sedujiste.html</v>
      </c>
      <c r="T1098" s="1"/>
      <c r="U1098" s="1"/>
      <c r="V1098" s="32" t="s">
        <v>3425</v>
      </c>
      <c r="W10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href="canciones/ixcis/me_sedujiste.html"&gt;Me sedujiste&lt;/a&gt;&lt;/li&gt;</v>
      </c>
      <c r="X1098" s="15" t="str">
        <f>_xlfn.TEXTBEFORE(_xlfn.TEXTAFTER(CantoralDB[[#This Row],[index.html]],"&gt;"),"&gt;")&amp;"&gt;"</f>
        <v>&lt;a href="canciones/ixcis/me_sedujiste.html"&gt;</v>
      </c>
      <c r="Y1098"/>
      <c r="AB1098" s="1"/>
      <c r="AC1098" s="1"/>
    </row>
    <row r="1099" spans="1:29" x14ac:dyDescent="0.3">
      <c r="A1099" s="1">
        <f>ROW(CantoralDB[[#This Row],[Título]])-1</f>
        <v>1098</v>
      </c>
      <c r="B1099" s="1" t="s">
        <v>3410</v>
      </c>
      <c r="C1099" s="1"/>
      <c r="H1099" s="1" t="s">
        <v>1027</v>
      </c>
      <c r="J1099" s="1" t="s">
        <v>605</v>
      </c>
      <c r="M1099" s="15" t="s">
        <v>519</v>
      </c>
      <c r="N1099" s="1" t="s">
        <v>3317</v>
      </c>
      <c r="O1099" s="15">
        <v>11</v>
      </c>
      <c r="P1099" s="15">
        <v>1997</v>
      </c>
      <c r="Q1099" s="15" t="str" cm="1">
        <f t="array" ref="Q10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099" s="15" t="str" cm="1">
        <f t="array" ref="R10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0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canciones/ixcis/podare.html</v>
      </c>
      <c r="T1099" s="1"/>
      <c r="U1099" s="1"/>
      <c r="V1099" s="32" t="s">
        <v>3426</v>
      </c>
      <c r="W10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href="canciones/ixcis/podare.html"&gt;Podaré&lt;/a&gt;&lt;/li&gt;</v>
      </c>
      <c r="X1099" s="15" t="str">
        <f>_xlfn.TEXTBEFORE(_xlfn.TEXTAFTER(CantoralDB[[#This Row],[index.html]],"&gt;"),"&gt;")&amp;"&gt;"</f>
        <v>&lt;a href="canciones/ixcis/podare.html"&gt;</v>
      </c>
      <c r="Y1099"/>
      <c r="AB1099" s="1"/>
      <c r="AC1099" s="1"/>
    </row>
    <row r="1100" spans="1:29" x14ac:dyDescent="0.3">
      <c r="A1100" s="1">
        <f>ROW(CantoralDB[[#This Row],[Título]])-1</f>
        <v>1099</v>
      </c>
      <c r="B1100" s="1" t="s">
        <v>938</v>
      </c>
      <c r="C1100" s="1"/>
      <c r="H1100" s="1" t="s">
        <v>1027</v>
      </c>
      <c r="J1100" s="1" t="s">
        <v>605</v>
      </c>
      <c r="M1100" s="15" t="s">
        <v>519</v>
      </c>
      <c r="N1100" s="1" t="s">
        <v>3317</v>
      </c>
      <c r="O1100" s="15">
        <v>12</v>
      </c>
      <c r="P1100" s="15">
        <v>1997</v>
      </c>
      <c r="Q1100" s="15" t="str" cm="1">
        <f t="array" ref="Q11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0" s="15" t="str" cm="1">
        <f t="array" ref="R11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canciones/ixcis/ven_espiritu_de_dios.html</v>
      </c>
      <c r="T1100" s="1"/>
      <c r="U1100" s="1"/>
      <c r="V1100" s="32" t="s">
        <v>3427</v>
      </c>
      <c r="W11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href="canciones/ixcis/ven_espiritu_de_dios.html"&gt;Ven, Espíritu de Dios&lt;/a&gt;&lt;/li&gt;</v>
      </c>
      <c r="X1100" s="15" t="str">
        <f>_xlfn.TEXTBEFORE(_xlfn.TEXTAFTER(CantoralDB[[#This Row],[index.html]],"&gt;"),"&gt;")&amp;"&gt;"</f>
        <v>&lt;a href="canciones/ixcis/ven_espiritu_de_dios.html"&gt;</v>
      </c>
      <c r="Y1100"/>
      <c r="AB1100" s="1"/>
      <c r="AC1100" s="1"/>
    </row>
    <row r="1101" spans="1:29" x14ac:dyDescent="0.3">
      <c r="A1101" s="1">
        <f>ROW(CantoralDB[[#This Row],[Título]])-1</f>
        <v>1100</v>
      </c>
      <c r="B1101" s="1" t="s">
        <v>3411</v>
      </c>
      <c r="C1101" s="1" t="s">
        <v>200</v>
      </c>
      <c r="D1101" s="1" t="s">
        <v>659</v>
      </c>
      <c r="G1101" s="1" t="s">
        <v>208</v>
      </c>
      <c r="H1101" s="1" t="s">
        <v>1027</v>
      </c>
      <c r="J1101" s="1" t="s">
        <v>605</v>
      </c>
      <c r="M1101" s="15" t="s">
        <v>519</v>
      </c>
      <c r="N1101" s="1" t="s">
        <v>3317</v>
      </c>
      <c r="O1101" s="15">
        <v>13</v>
      </c>
      <c r="P1101" s="15">
        <v>1997</v>
      </c>
      <c r="Q1101" s="15" t="str" cm="1">
        <f t="array" ref="Q11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1" s="15" t="str" cm="1">
        <f t="array" ref="R11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1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canciones/ixcis/mueveme_mi_dios.html</v>
      </c>
      <c r="T1101" s="1"/>
      <c r="U1101" s="1"/>
      <c r="V1101" s="32" t="s">
        <v>3086</v>
      </c>
      <c r="W11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 data-momento="Antífonas" data-nnew="D24"&gt;&lt;a href="canciones/ixcis/mueveme_mi_dios.html"&gt;Muéveme, mi Dios&lt;/a&gt;&lt;/li&gt;</v>
      </c>
      <c r="X1101" s="15" t="str">
        <f>_xlfn.TEXTBEFORE(_xlfn.TEXTAFTER(CantoralDB[[#This Row],[index.html]],"&gt;"),"&gt;")&amp;"&gt;"</f>
        <v>&lt;a href="canciones/ixcis/mueveme_mi_dios.html"&gt;</v>
      </c>
      <c r="Y1101"/>
      <c r="AB1101" s="1"/>
      <c r="AC1101" s="1"/>
    </row>
    <row r="1102" spans="1:29" x14ac:dyDescent="0.3">
      <c r="A1102" s="1">
        <f>ROW(CantoralDB[[#This Row],[Título]])-1</f>
        <v>1101</v>
      </c>
      <c r="B1102" s="1" t="s">
        <v>3412</v>
      </c>
      <c r="C1102" s="1"/>
      <c r="H1102" s="1" t="s">
        <v>472</v>
      </c>
      <c r="J1102" s="1" t="s">
        <v>605</v>
      </c>
      <c r="M1102" s="15" t="s">
        <v>519</v>
      </c>
      <c r="N1102" s="1" t="s">
        <v>3317</v>
      </c>
      <c r="O1102" s="15">
        <v>15</v>
      </c>
      <c r="P1102" s="15">
        <v>1997</v>
      </c>
      <c r="Q1102" s="15" t="str" cm="1">
        <f t="array" ref="Q11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2" s="15" t="str" cm="1">
        <f t="array" ref="R11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canciones/ixcis/a_pesar_de_todo.html</v>
      </c>
      <c r="T1102" s="1"/>
      <c r="U1102" s="1"/>
      <c r="V1102" s="32" t="s">
        <v>3428</v>
      </c>
      <c r="W11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href="canciones/ixcis/a_pesar_de_todo.html"&gt;A pesar de todo&lt;/a&gt;&lt;/li&gt;</v>
      </c>
      <c r="X1102" s="15" t="str">
        <f>_xlfn.TEXTBEFORE(_xlfn.TEXTAFTER(CantoralDB[[#This Row],[index.html]],"&gt;"),"&gt;")&amp;"&gt;"</f>
        <v>&lt;a href="canciones/ixcis/a_pesar_de_todo.html"&gt;</v>
      </c>
      <c r="Y1102"/>
      <c r="AB1102" s="1"/>
      <c r="AC1102" s="1"/>
    </row>
    <row r="1103" spans="1:29" x14ac:dyDescent="0.3">
      <c r="A1103" s="1">
        <f>ROW(CantoralDB[[#This Row],[Título]])-1</f>
        <v>1102</v>
      </c>
      <c r="B1103" s="1" t="s">
        <v>3413</v>
      </c>
      <c r="C1103" s="1"/>
      <c r="H1103" s="1" t="s">
        <v>529</v>
      </c>
      <c r="J1103" s="1" t="s">
        <v>605</v>
      </c>
      <c r="M1103" s="15" t="s">
        <v>519</v>
      </c>
      <c r="N1103" s="1" t="s">
        <v>3317</v>
      </c>
      <c r="O1103" s="15">
        <v>16</v>
      </c>
      <c r="P1103" s="15">
        <v>1997</v>
      </c>
      <c r="Q1103" s="15" t="str" cm="1">
        <f t="array" ref="Q11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3" s="15" t="str" cm="1">
        <f t="array" ref="R11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canciones/ixcis/me_fui.html</v>
      </c>
      <c r="T1103" s="1"/>
      <c r="U1103" s="1"/>
      <c r="V1103" s="32" t="s">
        <v>3429</v>
      </c>
      <c r="W11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href="canciones/ixcis/me_fui.html"&gt;Me fui&lt;/a&gt;&lt;/li&gt;</v>
      </c>
      <c r="X1103" s="15" t="str">
        <f>_xlfn.TEXTBEFORE(_xlfn.TEXTAFTER(CantoralDB[[#This Row],[index.html]],"&gt;"),"&gt;")&amp;"&gt;"</f>
        <v>&lt;a href="canciones/ixcis/me_fui.html"&gt;</v>
      </c>
      <c r="Y1103"/>
      <c r="AB1103" s="1"/>
      <c r="AC1103" s="1"/>
    </row>
    <row r="1104" spans="1:29" x14ac:dyDescent="0.3">
      <c r="A1104" s="1">
        <f>ROW(CantoralDB[[#This Row],[Título]])-1</f>
        <v>1103</v>
      </c>
      <c r="B1104" s="1" t="s">
        <v>3414</v>
      </c>
      <c r="C1104" s="1"/>
      <c r="H1104" s="1" t="s">
        <v>529</v>
      </c>
      <c r="J1104" s="1" t="s">
        <v>605</v>
      </c>
      <c r="M1104" s="15" t="s">
        <v>519</v>
      </c>
      <c r="N1104" s="1" t="s">
        <v>3317</v>
      </c>
      <c r="O1104" s="15">
        <v>17</v>
      </c>
      <c r="P1104" s="15">
        <v>1997</v>
      </c>
      <c r="Q1104" s="15" t="str" cm="1">
        <f t="array" ref="Q11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4" s="15" t="str" cm="1">
        <f t="array" ref="R11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canciones/ixcis/cambios.html</v>
      </c>
      <c r="T1104" s="1"/>
      <c r="U1104" s="1"/>
      <c r="V1104" s="32" t="s">
        <v>3430</v>
      </c>
      <c r="W11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href="canciones/ixcis/cambios.html"&gt;Cambios&lt;/a&gt;&lt;/li&gt;</v>
      </c>
      <c r="X1104" s="15" t="str">
        <f>_xlfn.TEXTBEFORE(_xlfn.TEXTAFTER(CantoralDB[[#This Row],[index.html]],"&gt;"),"&gt;")&amp;"&gt;"</f>
        <v>&lt;a href="canciones/ixcis/cambios.html"&gt;</v>
      </c>
      <c r="Y1104"/>
      <c r="AB1104" s="1"/>
      <c r="AC1104" s="1"/>
    </row>
    <row r="1105" spans="1:29" x14ac:dyDescent="0.3">
      <c r="A1105" s="1">
        <f>ROW(CantoralDB[[#This Row],[Título]])-1</f>
        <v>1104</v>
      </c>
      <c r="B1105" s="1" t="s">
        <v>3415</v>
      </c>
      <c r="C1105" s="1"/>
      <c r="H1105" s="1" t="s">
        <v>472</v>
      </c>
      <c r="J1105" s="1" t="s">
        <v>605</v>
      </c>
      <c r="M1105" s="15" t="s">
        <v>519</v>
      </c>
      <c r="N1105" s="1" t="s">
        <v>3317</v>
      </c>
      <c r="O1105" s="15">
        <v>19</v>
      </c>
      <c r="P1105" s="15">
        <v>1997</v>
      </c>
      <c r="Q1105" s="15" t="str" cm="1">
        <f t="array" ref="Q11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5" s="15" t="str" cm="1">
        <f t="array" ref="R11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canciones/ixcis/toma_mi_libertad.html</v>
      </c>
      <c r="T1105" s="1"/>
      <c r="U1105" s="1"/>
      <c r="V1105" s="32" t="s">
        <v>3431</v>
      </c>
      <c r="W11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href="canciones/ixcis/toma_mi_libertad.html"&gt;Toma mi libertad&lt;/a&gt;&lt;/li&gt;</v>
      </c>
      <c r="X1105" s="15" t="str">
        <f>_xlfn.TEXTBEFORE(_xlfn.TEXTAFTER(CantoralDB[[#This Row],[index.html]],"&gt;"),"&gt;")&amp;"&gt;"</f>
        <v>&lt;a href="canciones/ixcis/toma_mi_libertad.html"&gt;</v>
      </c>
      <c r="Y1105"/>
      <c r="AB1105" s="1"/>
      <c r="AC1105" s="1"/>
    </row>
    <row r="1106" spans="1:29" x14ac:dyDescent="0.3">
      <c r="A1106" s="1">
        <f>ROW(CantoralDB[[#This Row],[Título]])-1</f>
        <v>1105</v>
      </c>
      <c r="B1106" s="1" t="s">
        <v>1871</v>
      </c>
      <c r="C1106" s="1"/>
      <c r="H1106" s="1" t="s">
        <v>472</v>
      </c>
      <c r="J1106" s="1" t="s">
        <v>605</v>
      </c>
      <c r="M1106" s="15" t="s">
        <v>519</v>
      </c>
      <c r="N1106" s="1" t="s">
        <v>3317</v>
      </c>
      <c r="O1106" s="15">
        <v>20</v>
      </c>
      <c r="P1106" s="15">
        <v>1997</v>
      </c>
      <c r="Q1106" s="15" t="str" cm="1">
        <f t="array" ref="Q11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6" s="15" t="str" cm="1">
        <f t="array" ref="R11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canciones/ixcis/gracias.html</v>
      </c>
      <c r="T1106" s="1"/>
      <c r="U1106" s="1"/>
      <c r="V1106" s="32" t="s">
        <v>3432</v>
      </c>
      <c r="W11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href="canciones/ixcis/gracias.html"&gt;Gracias&lt;/a&gt;&lt;/li&gt;</v>
      </c>
      <c r="X1106" s="15" t="str">
        <f>_xlfn.TEXTBEFORE(_xlfn.TEXTAFTER(CantoralDB[[#This Row],[index.html]],"&gt;"),"&gt;")&amp;"&gt;"</f>
        <v>&lt;a href="canciones/ixcis/gracias.html"&gt;</v>
      </c>
      <c r="Y1106"/>
      <c r="AB1106" s="1"/>
      <c r="AC1106" s="1"/>
    </row>
    <row r="1107" spans="1:29" x14ac:dyDescent="0.3">
      <c r="A1107" s="1">
        <f>ROW(CantoralDB[[#This Row],[Título]])-1</f>
        <v>1106</v>
      </c>
      <c r="B1107" s="1" t="s">
        <v>3416</v>
      </c>
      <c r="C1107" s="1"/>
      <c r="H1107" s="1" t="s">
        <v>1025</v>
      </c>
      <c r="J1107" s="1" t="s">
        <v>605</v>
      </c>
      <c r="M1107" s="15" t="s">
        <v>519</v>
      </c>
      <c r="N1107" s="1" t="s">
        <v>3317</v>
      </c>
      <c r="O1107" s="15">
        <v>21</v>
      </c>
      <c r="P1107" s="15">
        <v>1997</v>
      </c>
      <c r="Q1107" s="15" t="str" cm="1">
        <f t="array" ref="Q11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7" s="15" t="str" cm="1">
        <f t="array" ref="R11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canciones/ixcis/que_buscais.html</v>
      </c>
      <c r="T1107" s="1"/>
      <c r="U1107" s="1"/>
      <c r="V1107" s="32" t="s">
        <v>3433</v>
      </c>
      <c r="W11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href="canciones/ixcis/que_buscais.html"&gt;Qué buscáis&lt;/a&gt;&lt;/li&gt;</v>
      </c>
      <c r="X1107" s="15" t="str">
        <f>_xlfn.TEXTBEFORE(_xlfn.TEXTAFTER(CantoralDB[[#This Row],[index.html]],"&gt;"),"&gt;")&amp;"&gt;"</f>
        <v>&lt;a href="canciones/ixcis/que_buscais.html"&gt;</v>
      </c>
      <c r="Y1107"/>
      <c r="AB1107" s="1"/>
      <c r="AC1107" s="1"/>
    </row>
    <row r="1108" spans="1:29" x14ac:dyDescent="0.3">
      <c r="A1108" s="1">
        <f>ROW(CantoralDB[[#This Row],[Título]])-1</f>
        <v>1107</v>
      </c>
      <c r="B1108" s="1" t="s">
        <v>3417</v>
      </c>
      <c r="C1108" s="1"/>
      <c r="H1108" s="1" t="s">
        <v>529</v>
      </c>
      <c r="J1108" s="1" t="s">
        <v>605</v>
      </c>
      <c r="M1108" s="15" t="s">
        <v>519</v>
      </c>
      <c r="N1108" s="1" t="s">
        <v>3317</v>
      </c>
      <c r="O1108" s="15">
        <v>22</v>
      </c>
      <c r="P1108" s="15">
        <v>1997</v>
      </c>
      <c r="Q1108" s="15" t="str" cm="1">
        <f t="array" ref="Q11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8" s="15" t="str" cm="1">
        <f t="array" ref="R11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canciones/ixcis/el_mayor.html</v>
      </c>
      <c r="T1108" s="1"/>
      <c r="U1108" s="1"/>
      <c r="V1108" s="32" t="s">
        <v>3434</v>
      </c>
      <c r="W11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href="canciones/ixcis/el_mayor.html"&gt;El mayor&lt;/a&gt;&lt;/li&gt;</v>
      </c>
      <c r="X1108" s="15" t="str">
        <f>_xlfn.TEXTBEFORE(_xlfn.TEXTAFTER(CantoralDB[[#This Row],[index.html]],"&gt;"),"&gt;")&amp;"&gt;"</f>
        <v>&lt;a href="canciones/ixcis/el_mayor.html"&gt;</v>
      </c>
      <c r="Y1108"/>
      <c r="AB1108" s="1"/>
      <c r="AC1108" s="1"/>
    </row>
    <row r="1109" spans="1:29" x14ac:dyDescent="0.3">
      <c r="A1109" s="1">
        <f>ROW(CantoralDB[[#This Row],[Título]])-1</f>
        <v>1108</v>
      </c>
      <c r="B1109" s="1" t="s">
        <v>72</v>
      </c>
      <c r="C1109" s="1"/>
      <c r="H1109" s="1" t="s">
        <v>1027</v>
      </c>
      <c r="J1109" s="1" t="s">
        <v>605</v>
      </c>
      <c r="M1109" s="15" t="s">
        <v>519</v>
      </c>
      <c r="N1109" s="1" t="s">
        <v>3317</v>
      </c>
      <c r="O1109" s="15">
        <v>23</v>
      </c>
      <c r="P1109" s="15">
        <v>1997</v>
      </c>
      <c r="Q1109" s="15" t="str" cm="1">
        <f t="array" ref="Q11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09" s="15" t="str" cm="1">
        <f t="array" ref="R11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canciones/ixcis/hagase.html</v>
      </c>
      <c r="T1109" s="1"/>
      <c r="U1109" s="1"/>
      <c r="V1109" s="32" t="s">
        <v>3435</v>
      </c>
      <c r="W11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href="canciones/ixcis/hagase.html"&gt;Hágase&lt;/a&gt;&lt;/li&gt;</v>
      </c>
      <c r="X1109" s="15" t="str">
        <f>_xlfn.TEXTBEFORE(_xlfn.TEXTAFTER(CantoralDB[[#This Row],[index.html]],"&gt;"),"&gt;")&amp;"&gt;"</f>
        <v>&lt;a href="canciones/ixcis/hagase.html"&gt;</v>
      </c>
      <c r="Y1109"/>
      <c r="AB1109" s="1"/>
      <c r="AC1109" s="1"/>
    </row>
    <row r="1110" spans="1:29" x14ac:dyDescent="0.3">
      <c r="A1110" s="1">
        <f>ROW(CantoralDB[[#This Row],[Título]])-1</f>
        <v>1109</v>
      </c>
      <c r="B1110" s="1" t="s">
        <v>3267</v>
      </c>
      <c r="C1110" s="1"/>
      <c r="H1110" s="1" t="s">
        <v>1027</v>
      </c>
      <c r="I1110" s="1" t="s">
        <v>2948</v>
      </c>
      <c r="J1110" s="1" t="s">
        <v>605</v>
      </c>
      <c r="M1110" s="15" t="s">
        <v>519</v>
      </c>
      <c r="N1110" s="1" t="s">
        <v>3266</v>
      </c>
      <c r="O1110" s="15">
        <v>2</v>
      </c>
      <c r="P1110" s="15">
        <v>2004</v>
      </c>
      <c r="Q1110" s="15" t="str" cm="1">
        <f t="array" ref="Q11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0" s="15" t="str" cm="1">
        <f t="array" ref="R11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canciones/ixcis/abre_una_grieta.html</v>
      </c>
      <c r="T1110" s="1"/>
      <c r="U1110" s="1"/>
      <c r="V1110" s="32" t="s">
        <v>3360</v>
      </c>
      <c r="W11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href="canciones/ixcis/abre_una_grieta.html"&gt;Abre una grieta&lt;/a&gt;&lt;/li&gt;</v>
      </c>
      <c r="X1110" s="15" t="str">
        <f>_xlfn.TEXTBEFORE(_xlfn.TEXTAFTER(CantoralDB[[#This Row],[index.html]],"&gt;"),"&gt;")&amp;"&gt;"</f>
        <v>&lt;a href="canciones/ixcis/abre_una_grieta.html"&gt;</v>
      </c>
      <c r="Y1110"/>
      <c r="AB1110" s="1"/>
      <c r="AC1110" s="1"/>
    </row>
    <row r="1111" spans="1:29" x14ac:dyDescent="0.3">
      <c r="A1111" s="1">
        <f>ROW(CantoralDB[[#This Row],[Título]])-1</f>
        <v>1110</v>
      </c>
      <c r="B1111" s="1" t="s">
        <v>3266</v>
      </c>
      <c r="C1111" s="1"/>
      <c r="H1111" s="1" t="s">
        <v>1027</v>
      </c>
      <c r="I1111" s="1" t="s">
        <v>2949</v>
      </c>
      <c r="J1111" s="1" t="s">
        <v>605</v>
      </c>
      <c r="M1111" s="15" t="s">
        <v>519</v>
      </c>
      <c r="N1111" s="1" t="s">
        <v>3266</v>
      </c>
      <c r="O1111" s="15">
        <v>3</v>
      </c>
      <c r="P1111" s="15">
        <v>2004</v>
      </c>
      <c r="Q1111" s="15" t="str" cm="1">
        <f t="array" ref="Q11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1" s="15" t="str" cm="1">
        <f t="array" ref="R11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canciones/ixcis/en_espiritu_y_en_verdad.html</v>
      </c>
      <c r="T1111" s="1"/>
      <c r="U1111" s="1"/>
      <c r="V1111" s="32" t="s">
        <v>3353</v>
      </c>
      <c r="W11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href="canciones/ixcis/en_espiritu_y_en_verdad.html"&gt;En espíritu y en verdad&lt;/a&gt;&lt;/li&gt;</v>
      </c>
      <c r="X1111" s="15" t="str">
        <f>_xlfn.TEXTBEFORE(_xlfn.TEXTAFTER(CantoralDB[[#This Row],[index.html]],"&gt;"),"&gt;")&amp;"&gt;"</f>
        <v>&lt;a href="canciones/ixcis/en_espiritu_y_en_verdad.html"&gt;</v>
      </c>
      <c r="Y1111"/>
      <c r="AB1111" s="1"/>
      <c r="AC1111" s="1"/>
    </row>
    <row r="1112" spans="1:29" x14ac:dyDescent="0.3">
      <c r="A1112" s="1">
        <f>ROW(CantoralDB[[#This Row],[Título]])-1</f>
        <v>1111</v>
      </c>
      <c r="B1112" s="1" t="s">
        <v>3276</v>
      </c>
      <c r="C1112" s="1"/>
      <c r="H1112" s="1" t="s">
        <v>1027</v>
      </c>
      <c r="I1112" s="1" t="s">
        <v>2945</v>
      </c>
      <c r="J1112" s="1" t="s">
        <v>605</v>
      </c>
      <c r="M1112" s="15" t="s">
        <v>519</v>
      </c>
      <c r="N1112" s="1" t="s">
        <v>3266</v>
      </c>
      <c r="O1112" s="15">
        <v>4</v>
      </c>
      <c r="P1112" s="15">
        <v>2004</v>
      </c>
      <c r="Q1112" s="15" t="str" cm="1">
        <f t="array" ref="Q11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2" s="15" t="str" cm="1">
        <f t="array" ref="R11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canciones/ixcis/solo_tu_espiritu.html</v>
      </c>
      <c r="T1112" s="1"/>
      <c r="U1112" s="1"/>
      <c r="V1112" s="32" t="s">
        <v>3354</v>
      </c>
      <c r="W11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href="canciones/ixcis/solo_tu_espiritu.html"&gt;Sólo tu espíritu&lt;/a&gt;&lt;/li&gt;</v>
      </c>
      <c r="X1112" s="15" t="str">
        <f>_xlfn.TEXTBEFORE(_xlfn.TEXTAFTER(CantoralDB[[#This Row],[index.html]],"&gt;"),"&gt;")&amp;"&gt;"</f>
        <v>&lt;a href="canciones/ixcis/solo_tu_espiritu.html"&gt;</v>
      </c>
      <c r="Y1112"/>
      <c r="AB1112" s="1"/>
      <c r="AC1112" s="1"/>
    </row>
    <row r="1113" spans="1:29" x14ac:dyDescent="0.3">
      <c r="A1113" s="1">
        <f>ROW(CantoralDB[[#This Row],[Título]])-1</f>
        <v>1112</v>
      </c>
      <c r="B1113" s="1" t="s">
        <v>3277</v>
      </c>
      <c r="C1113" s="1"/>
      <c r="H1113" s="1" t="s">
        <v>529</v>
      </c>
      <c r="I1113" s="1" t="s">
        <v>2948</v>
      </c>
      <c r="J1113" s="1" t="s">
        <v>605</v>
      </c>
      <c r="M1113" s="15" t="s">
        <v>519</v>
      </c>
      <c r="N1113" s="1" t="s">
        <v>3266</v>
      </c>
      <c r="O1113" s="15">
        <v>5</v>
      </c>
      <c r="P1113" s="15">
        <v>2004</v>
      </c>
      <c r="Q1113" s="15" t="str" cm="1">
        <f t="array" ref="Q11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3" s="15" t="str" cm="1">
        <f t="array" ref="R11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canciones/ixcis/sueño_una_iglesia.html</v>
      </c>
      <c r="T1113" s="1"/>
      <c r="U1113" s="1"/>
      <c r="V1113" s="32" t="s">
        <v>3355</v>
      </c>
      <c r="W11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href="canciones/ixcis/sueño_una_iglesia.html"&gt;Sueño una iglesia&lt;/a&gt;&lt;/li&gt;</v>
      </c>
      <c r="X1113" s="15" t="str">
        <f>_xlfn.TEXTBEFORE(_xlfn.TEXTAFTER(CantoralDB[[#This Row],[index.html]],"&gt;"),"&gt;")&amp;"&gt;"</f>
        <v>&lt;a href="canciones/ixcis/sueño_una_iglesia.html"&gt;</v>
      </c>
      <c r="Y1113"/>
      <c r="AB1113" s="1"/>
      <c r="AC1113" s="1"/>
    </row>
    <row r="1114" spans="1:29" x14ac:dyDescent="0.3">
      <c r="A1114" s="1">
        <f>ROW(CantoralDB[[#This Row],[Título]])-1</f>
        <v>1113</v>
      </c>
      <c r="B1114" s="1" t="s">
        <v>3279</v>
      </c>
      <c r="C1114" s="1"/>
      <c r="H1114" s="1" t="s">
        <v>529</v>
      </c>
      <c r="I1114" s="1" t="s">
        <v>2946</v>
      </c>
      <c r="J1114" s="1" t="s">
        <v>605</v>
      </c>
      <c r="M1114" s="15" t="s">
        <v>519</v>
      </c>
      <c r="N1114" s="1" t="s">
        <v>3266</v>
      </c>
      <c r="O1114" s="15">
        <v>6</v>
      </c>
      <c r="P1114" s="15">
        <v>2004</v>
      </c>
      <c r="Q1114" s="15" t="str" cm="1">
        <f t="array" ref="Q11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4" s="15" t="str" cm="1">
        <f t="array" ref="R11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canciones/ixcis/somos_pueblo_de_dios.html</v>
      </c>
      <c r="T1114" s="1"/>
      <c r="U1114" s="1"/>
      <c r="V1114" s="32" t="s">
        <v>3650</v>
      </c>
      <c r="W11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href="canciones/ixcis/somos_pueblo_de_dios.html"&gt;Somos Pueblo de Dios&lt;/a&gt;&lt;/li&gt;</v>
      </c>
      <c r="X1114" s="15" t="str">
        <f>_xlfn.TEXTBEFORE(_xlfn.TEXTAFTER(CantoralDB[[#This Row],[index.html]],"&gt;"),"&gt;")&amp;"&gt;"</f>
        <v>&lt;a href="canciones/ixcis/somos_pueblo_de_dios.html"&gt;</v>
      </c>
      <c r="Y1114"/>
      <c r="AB1114" s="1"/>
      <c r="AC1114" s="1"/>
    </row>
    <row r="1115" spans="1:29" x14ac:dyDescent="0.3">
      <c r="A1115" s="1">
        <f>ROW(CantoralDB[[#This Row],[Título]])-1</f>
        <v>1114</v>
      </c>
      <c r="B1115" s="1" t="s">
        <v>3280</v>
      </c>
      <c r="C1115" s="1"/>
      <c r="H1115" s="1" t="s">
        <v>1024</v>
      </c>
      <c r="J1115" s="1" t="s">
        <v>605</v>
      </c>
      <c r="M1115" s="15" t="s">
        <v>519</v>
      </c>
      <c r="N1115" s="1" t="s">
        <v>3266</v>
      </c>
      <c r="O1115" s="15">
        <v>7</v>
      </c>
      <c r="P1115" s="15">
        <v>2004</v>
      </c>
      <c r="Q1115" s="15" t="str" cm="1">
        <f t="array" ref="Q11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5" s="15" t="str" cm="1">
        <f t="array" ref="R11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canciones/ixcis/la_historia_se_repite.html</v>
      </c>
      <c r="T1115" s="1"/>
      <c r="U1115" s="1"/>
      <c r="V1115" s="32" t="s">
        <v>3356</v>
      </c>
      <c r="W11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href="canciones/ixcis/la_historia_se_repite.html"&gt;La historia se repite&lt;/a&gt;&lt;/li&gt;</v>
      </c>
      <c r="X1115" s="15" t="str">
        <f>_xlfn.TEXTBEFORE(_xlfn.TEXTAFTER(CantoralDB[[#This Row],[index.html]],"&gt;"),"&gt;")&amp;"&gt;"</f>
        <v>&lt;a href="canciones/ixcis/la_historia_se_repite.html"&gt;</v>
      </c>
      <c r="Y1115"/>
      <c r="AB1115" s="1"/>
      <c r="AC1115" s="1"/>
    </row>
    <row r="1116" spans="1:29" x14ac:dyDescent="0.3">
      <c r="A1116" s="1">
        <f>ROW(CantoralDB[[#This Row],[Título]])-1</f>
        <v>1115</v>
      </c>
      <c r="B1116" s="1" t="s">
        <v>3281</v>
      </c>
      <c r="C1116" s="1"/>
      <c r="H1116" s="1" t="s">
        <v>529</v>
      </c>
      <c r="I1116" s="1" t="s">
        <v>2947</v>
      </c>
      <c r="J1116" s="1" t="s">
        <v>605</v>
      </c>
      <c r="M1116" s="15" t="s">
        <v>519</v>
      </c>
      <c r="N1116" s="1" t="s">
        <v>3266</v>
      </c>
      <c r="O1116" s="15">
        <v>8</v>
      </c>
      <c r="P1116" s="15">
        <v>2004</v>
      </c>
      <c r="Q1116" s="15" t="str" cm="1">
        <f t="array" ref="Q11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6" s="15" t="str" cm="1">
        <f t="array" ref="R11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canciones/ixcis/llega_el_dia.html</v>
      </c>
      <c r="T1116" s="1"/>
      <c r="U1116" s="1"/>
      <c r="V1116" s="32" t="s">
        <v>3357</v>
      </c>
      <c r="W11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href="canciones/ixcis/llega_el_dia.html"&gt;Llega el día&lt;/a&gt;&lt;/li&gt;</v>
      </c>
      <c r="X1116" s="15" t="str">
        <f>_xlfn.TEXTBEFORE(_xlfn.TEXTAFTER(CantoralDB[[#This Row],[index.html]],"&gt;"),"&gt;")&amp;"&gt;"</f>
        <v>&lt;a href="canciones/ixcis/llega_el_dia.html"&gt;</v>
      </c>
      <c r="Y1116"/>
      <c r="AB1116" s="1"/>
      <c r="AC1116" s="1"/>
    </row>
    <row r="1117" spans="1:29" x14ac:dyDescent="0.3">
      <c r="A1117" s="1">
        <f>ROW(CantoralDB[[#This Row],[Título]])-1</f>
        <v>1116</v>
      </c>
      <c r="B1117" s="1" t="s">
        <v>3278</v>
      </c>
      <c r="C1117" s="1"/>
      <c r="H1117" s="1" t="s">
        <v>529</v>
      </c>
      <c r="I1117" s="1" t="s">
        <v>2949</v>
      </c>
      <c r="J1117" s="1" t="s">
        <v>605</v>
      </c>
      <c r="M1117" s="15" t="s">
        <v>519</v>
      </c>
      <c r="N1117" s="1" t="s">
        <v>3266</v>
      </c>
      <c r="O1117" s="15">
        <v>9</v>
      </c>
      <c r="P1117" s="15">
        <v>2004</v>
      </c>
      <c r="Q1117" s="15" t="str" cm="1">
        <f t="array" ref="Q11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7" s="15" t="str" cm="1">
        <f t="array" ref="R11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canciones/ixcis/coge_tu_cruz.html</v>
      </c>
      <c r="T1117" s="1"/>
      <c r="U1117" s="1"/>
      <c r="V1117" s="32" t="s">
        <v>3651</v>
      </c>
      <c r="W11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href="canciones/ixcis/coge_tu_cruz.html"&gt;Coge tu cruz&lt;/a&gt;&lt;/li&gt;</v>
      </c>
      <c r="X1117" s="15" t="str">
        <f>_xlfn.TEXTBEFORE(_xlfn.TEXTAFTER(CantoralDB[[#This Row],[index.html]],"&gt;"),"&gt;")&amp;"&gt;"</f>
        <v>&lt;a href="canciones/ixcis/coge_tu_cruz.html"&gt;</v>
      </c>
      <c r="Y1117"/>
      <c r="AB1117" s="1"/>
      <c r="AC1117" s="1"/>
    </row>
    <row r="1118" spans="1:29" x14ac:dyDescent="0.3">
      <c r="A1118" s="1">
        <f>ROW(CantoralDB[[#This Row],[Título]])-1</f>
        <v>1117</v>
      </c>
      <c r="B1118" s="1" t="s">
        <v>3272</v>
      </c>
      <c r="C1118" s="1"/>
      <c r="H1118" s="1" t="s">
        <v>1026</v>
      </c>
      <c r="J1118" s="1" t="s">
        <v>605</v>
      </c>
      <c r="M1118" s="15" t="s">
        <v>519</v>
      </c>
      <c r="N1118" s="1" t="s">
        <v>3266</v>
      </c>
      <c r="O1118" s="15">
        <v>10</v>
      </c>
      <c r="P1118" s="15">
        <v>2004</v>
      </c>
      <c r="Q1118" s="15" t="str" cm="1">
        <f t="array" ref="Q11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8" s="15" t="str" cm="1">
        <f t="array" ref="R11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canciones/ixcis/bienaventurados.html</v>
      </c>
      <c r="T1118" s="1"/>
      <c r="U1118" s="1"/>
      <c r="V1118" s="32" t="s">
        <v>3358</v>
      </c>
      <c r="W11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href="canciones/ixcis/bienaventurados.html"&gt;Bienaventurados&lt;/a&gt;&lt;/li&gt;</v>
      </c>
      <c r="X1118" s="15" t="str">
        <f>_xlfn.TEXTBEFORE(_xlfn.TEXTAFTER(CantoralDB[[#This Row],[index.html]],"&gt;"),"&gt;")&amp;"&gt;"</f>
        <v>&lt;a href="canciones/ixcis/bienaventurados.html"&gt;</v>
      </c>
      <c r="Y1118"/>
      <c r="AB1118" s="1"/>
      <c r="AC1118" s="1"/>
    </row>
    <row r="1119" spans="1:29" x14ac:dyDescent="0.3">
      <c r="A1119" s="1">
        <f>ROW(CantoralDB[[#This Row],[Título]])-1</f>
        <v>1118</v>
      </c>
      <c r="B1119" s="1" t="s">
        <v>3273</v>
      </c>
      <c r="C1119" s="1"/>
      <c r="H1119" s="1" t="s">
        <v>472</v>
      </c>
      <c r="J1119" s="1" t="s">
        <v>605</v>
      </c>
      <c r="M1119" s="15" t="s">
        <v>519</v>
      </c>
      <c r="N1119" s="1" t="s">
        <v>3266</v>
      </c>
      <c r="O1119" s="15">
        <v>11</v>
      </c>
      <c r="P1119" s="15">
        <v>2004</v>
      </c>
      <c r="Q1119" s="15" t="str" cm="1">
        <f t="array" ref="Q11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19" s="15" t="str" cm="1">
        <f t="array" ref="R11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canciones/ixcis/los_pobres.html</v>
      </c>
      <c r="T1119" s="1"/>
      <c r="U1119" s="1"/>
      <c r="V1119" s="32" t="s">
        <v>3359</v>
      </c>
      <c r="W11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href="canciones/ixcis/los_pobres.html"&gt;Los pobres&lt;/a&gt;&lt;/li&gt;</v>
      </c>
      <c r="X1119" s="15" t="str">
        <f>_xlfn.TEXTBEFORE(_xlfn.TEXTAFTER(CantoralDB[[#This Row],[index.html]],"&gt;"),"&gt;")&amp;"&gt;"</f>
        <v>&lt;a href="canciones/ixcis/los_pobres.html"&gt;</v>
      </c>
      <c r="Y1119"/>
      <c r="AB1119" s="1"/>
      <c r="AC1119" s="1"/>
    </row>
    <row r="1120" spans="1:29" x14ac:dyDescent="0.3">
      <c r="A1120" s="1">
        <f>ROW(CantoralDB[[#This Row],[Título]])-1</f>
        <v>1119</v>
      </c>
      <c r="B1120" s="1" t="s">
        <v>3274</v>
      </c>
      <c r="C1120" s="1"/>
      <c r="H1120" s="1" t="s">
        <v>1024</v>
      </c>
      <c r="J1120" s="1" t="s">
        <v>605</v>
      </c>
      <c r="M1120" s="15" t="s">
        <v>519</v>
      </c>
      <c r="N1120" s="1" t="s">
        <v>3266</v>
      </c>
      <c r="O1120" s="15">
        <v>12</v>
      </c>
      <c r="P1120" s="15">
        <v>2004</v>
      </c>
      <c r="Q1120" s="15" t="str" cm="1">
        <f t="array" ref="Q11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0" s="15" t="str" cm="1">
        <f t="array" ref="R11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canciones/ixcis/los_mansos_y_humildes.html</v>
      </c>
      <c r="T1120" s="1"/>
      <c r="U1120" s="1"/>
      <c r="V1120" s="32" t="s">
        <v>3361</v>
      </c>
      <c r="W11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href="canciones/ixcis/los_mansos_y_humildes.html"&gt;Los mansos y humildes&lt;/a&gt;&lt;/li&gt;</v>
      </c>
      <c r="X1120" s="15" t="str">
        <f>_xlfn.TEXTBEFORE(_xlfn.TEXTAFTER(CantoralDB[[#This Row],[index.html]],"&gt;"),"&gt;")&amp;"&gt;"</f>
        <v>&lt;a href="canciones/ixcis/los_mansos_y_humildes.html"&gt;</v>
      </c>
      <c r="Y1120"/>
      <c r="AB1120" s="1"/>
      <c r="AC1120" s="1"/>
    </row>
    <row r="1121" spans="1:29" x14ac:dyDescent="0.3">
      <c r="A1121" s="1">
        <f>ROW(CantoralDB[[#This Row],[Título]])-1</f>
        <v>1120</v>
      </c>
      <c r="B1121" s="1" t="s">
        <v>3275</v>
      </c>
      <c r="C1121" s="1"/>
      <c r="H1121" s="1" t="s">
        <v>529</v>
      </c>
      <c r="J1121" s="1" t="s">
        <v>605</v>
      </c>
      <c r="M1121" s="15" t="s">
        <v>519</v>
      </c>
      <c r="N1121" s="1" t="s">
        <v>3266</v>
      </c>
      <c r="O1121" s="15">
        <v>13</v>
      </c>
      <c r="P1121" s="15">
        <v>2004</v>
      </c>
      <c r="Q1121" s="15" t="str" cm="1">
        <f t="array" ref="Q11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1" s="15" t="str" cm="1">
        <f t="array" ref="R11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canciones/ixcis/los_que_lloran.html</v>
      </c>
      <c r="T1121" s="1"/>
      <c r="U1121" s="1"/>
      <c r="V1121" s="32" t="s">
        <v>3362</v>
      </c>
      <c r="W11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href="canciones/ixcis/los_que_lloran.html"&gt;Los que lloran&lt;/a&gt;&lt;/li&gt;</v>
      </c>
      <c r="X1121" s="15" t="str">
        <f>_xlfn.TEXTBEFORE(_xlfn.TEXTAFTER(CantoralDB[[#This Row],[index.html]],"&gt;"),"&gt;")&amp;"&gt;"</f>
        <v>&lt;a href="canciones/ixcis/los_que_lloran.html"&gt;</v>
      </c>
      <c r="Y1121"/>
      <c r="AB1121" s="1"/>
      <c r="AC1121" s="1"/>
    </row>
    <row r="1122" spans="1:29" x14ac:dyDescent="0.3">
      <c r="A1122" s="1">
        <f>ROW(CantoralDB[[#This Row],[Título]])-1</f>
        <v>1121</v>
      </c>
      <c r="B1122" s="1" t="s">
        <v>3268</v>
      </c>
      <c r="C1122" s="1"/>
      <c r="H1122" s="1" t="s">
        <v>1026</v>
      </c>
      <c r="J1122" s="1" t="s">
        <v>605</v>
      </c>
      <c r="M1122" s="15" t="s">
        <v>519</v>
      </c>
      <c r="N1122" s="1" t="s">
        <v>3266</v>
      </c>
      <c r="O1122" s="15">
        <v>14</v>
      </c>
      <c r="P1122" s="15">
        <v>2004</v>
      </c>
      <c r="Q1122" s="15" t="str" cm="1">
        <f t="array" ref="Q11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2" s="15" t="str" cm="1">
        <f t="array" ref="R11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canciones/ixcis/los_que_tienen_hambre_y_sed_de_justicia.html</v>
      </c>
      <c r="T1122" s="1"/>
      <c r="U1122" s="1"/>
      <c r="V1122" s="32" t="s">
        <v>3363</v>
      </c>
      <c r="W11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href="canciones/ixcis/los_que_tienen_hambre_y_sed_de_justicia.html"&gt;Los que tienen hambre y sed de justicia&lt;/a&gt;&lt;/li&gt;</v>
      </c>
      <c r="X1122" s="15" t="str">
        <f>_xlfn.TEXTBEFORE(_xlfn.TEXTAFTER(CantoralDB[[#This Row],[index.html]],"&gt;"),"&gt;")&amp;"&gt;"</f>
        <v>&lt;a href="canciones/ixcis/los_que_tienen_hambre_y_sed_de_justicia.html"&gt;</v>
      </c>
      <c r="Y1122"/>
      <c r="AB1122" s="1"/>
      <c r="AC1122" s="1"/>
    </row>
    <row r="1123" spans="1:29" x14ac:dyDescent="0.3">
      <c r="A1123" s="1">
        <f>ROW(CantoralDB[[#This Row],[Título]])-1</f>
        <v>1122</v>
      </c>
      <c r="B1123" s="1" t="s">
        <v>3269</v>
      </c>
      <c r="C1123" s="1"/>
      <c r="H1123" s="1" t="s">
        <v>1026</v>
      </c>
      <c r="J1123" s="1" t="s">
        <v>605</v>
      </c>
      <c r="M1123" s="15" t="s">
        <v>519</v>
      </c>
      <c r="N1123" s="1" t="s">
        <v>3266</v>
      </c>
      <c r="O1123" s="15">
        <v>15</v>
      </c>
      <c r="P1123" s="15">
        <v>2004</v>
      </c>
      <c r="Q1123" s="15" t="str" cm="1">
        <f t="array" ref="Q11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3" s="15" t="str" cm="1">
        <f t="array" ref="R11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canciones/ixcis/los_limpios_de_corazon.html</v>
      </c>
      <c r="T1123" s="1"/>
      <c r="U1123" s="1"/>
      <c r="V1123" s="32" t="s">
        <v>3364</v>
      </c>
      <c r="W11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href="canciones/ixcis/los_limpios_de_corazon.html"&gt;Los limpios de corazón&lt;/a&gt;&lt;/li&gt;</v>
      </c>
      <c r="X1123" s="15" t="str">
        <f>_xlfn.TEXTBEFORE(_xlfn.TEXTAFTER(CantoralDB[[#This Row],[index.html]],"&gt;"),"&gt;")&amp;"&gt;"</f>
        <v>&lt;a href="canciones/ixcis/los_limpios_de_corazon.html"&gt;</v>
      </c>
      <c r="Y1123"/>
      <c r="AB1123" s="1"/>
      <c r="AC1123" s="1"/>
    </row>
    <row r="1124" spans="1:29" x14ac:dyDescent="0.3">
      <c r="A1124" s="1">
        <f>ROW(CantoralDB[[#This Row],[Título]])-1</f>
        <v>1123</v>
      </c>
      <c r="B1124" s="1" t="s">
        <v>3270</v>
      </c>
      <c r="C1124" s="1"/>
      <c r="H1124" s="1" t="s">
        <v>1027</v>
      </c>
      <c r="J1124" s="1" t="s">
        <v>605</v>
      </c>
      <c r="M1124" s="15" t="s">
        <v>519</v>
      </c>
      <c r="N1124" s="1" t="s">
        <v>3266</v>
      </c>
      <c r="O1124" s="15">
        <v>16</v>
      </c>
      <c r="P1124" s="15">
        <v>2004</v>
      </c>
      <c r="Q1124" s="15" t="str" cm="1">
        <f t="array" ref="Q11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4" s="15" t="str" cm="1">
        <f t="array" ref="R11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canciones/ixcis/los_misericordiosos.html</v>
      </c>
      <c r="T1124" s="1"/>
      <c r="U1124" s="1"/>
      <c r="V1124" s="32" t="s">
        <v>3365</v>
      </c>
      <c r="W11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href="canciones/ixcis/los_misericordiosos.html"&gt;Los misericordiosos&lt;/a&gt;&lt;/li&gt;</v>
      </c>
      <c r="X1124" s="15" t="str">
        <f>_xlfn.TEXTBEFORE(_xlfn.TEXTAFTER(CantoralDB[[#This Row],[index.html]],"&gt;"),"&gt;")&amp;"&gt;"</f>
        <v>&lt;a href="canciones/ixcis/los_misericordiosos.html"&gt;</v>
      </c>
      <c r="Y1124"/>
      <c r="AB1124" s="1"/>
      <c r="AC1124" s="1"/>
    </row>
    <row r="1125" spans="1:29" x14ac:dyDescent="0.3">
      <c r="A1125" s="1">
        <f>ROW(CantoralDB[[#This Row],[Título]])-1</f>
        <v>1124</v>
      </c>
      <c r="B1125" s="1" t="s">
        <v>3271</v>
      </c>
      <c r="C1125" s="1"/>
      <c r="H1125" s="1" t="s">
        <v>1026</v>
      </c>
      <c r="J1125" s="1" t="s">
        <v>605</v>
      </c>
      <c r="M1125" s="15" t="s">
        <v>519</v>
      </c>
      <c r="N1125" s="1" t="s">
        <v>3266</v>
      </c>
      <c r="O1125" s="15">
        <v>17</v>
      </c>
      <c r="P1125" s="15">
        <v>2004</v>
      </c>
      <c r="Q1125" s="15" t="str" cm="1">
        <f t="array" ref="Q11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5" s="15" t="str" cm="1">
        <f t="array" ref="R11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canciones/ixcis/los_constructores_de_paz.html</v>
      </c>
      <c r="T1125" s="1"/>
      <c r="U1125" s="1"/>
      <c r="V1125" s="32" t="s">
        <v>3366</v>
      </c>
      <c r="W11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href="canciones/ixcis/los_constructores_de_paz.html"&gt;Los constructores de paz&lt;/a&gt;&lt;/li&gt;</v>
      </c>
      <c r="X1125" s="15" t="str">
        <f>_xlfn.TEXTBEFORE(_xlfn.TEXTAFTER(CantoralDB[[#This Row],[index.html]],"&gt;"),"&gt;")&amp;"&gt;"</f>
        <v>&lt;a href="canciones/ixcis/los_constructores_de_paz.html"&gt;</v>
      </c>
      <c r="Y1125"/>
      <c r="AB1125" s="1"/>
      <c r="AC1125" s="1"/>
    </row>
    <row r="1126" spans="1:29" x14ac:dyDescent="0.3">
      <c r="A1126" s="1">
        <f>ROW(CantoralDB[[#This Row],[Título]])-1</f>
        <v>1125</v>
      </c>
      <c r="B1126" s="1" t="s">
        <v>3265</v>
      </c>
      <c r="C1126" s="1"/>
      <c r="H1126" s="1" t="s">
        <v>1027</v>
      </c>
      <c r="J1126" s="1" t="s">
        <v>605</v>
      </c>
      <c r="M1126" s="15" t="s">
        <v>519</v>
      </c>
      <c r="N1126" s="1" t="s">
        <v>3266</v>
      </c>
      <c r="O1126" s="15">
        <v>18</v>
      </c>
      <c r="P1126" s="15">
        <v>2004</v>
      </c>
      <c r="Q1126" s="15" t="str" cm="1">
        <f t="array" ref="Q11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6" s="15" t="str" cm="1">
        <f t="array" ref="R11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canciones/ixcis/los_perseguidos.html</v>
      </c>
      <c r="T1126" s="1"/>
      <c r="U1126" s="1"/>
      <c r="V1126" s="32" t="s">
        <v>3367</v>
      </c>
      <c r="W11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href="canciones/ixcis/los_perseguidos.html"&gt;Los perseguidos&lt;/a&gt;&lt;/li&gt;</v>
      </c>
      <c r="X1126" s="15" t="str">
        <f>_xlfn.TEXTBEFORE(_xlfn.TEXTAFTER(CantoralDB[[#This Row],[index.html]],"&gt;"),"&gt;")&amp;"&gt;"</f>
        <v>&lt;a href="canciones/ixcis/los_perseguidos.html"&gt;</v>
      </c>
      <c r="Y1126"/>
      <c r="AB1126" s="1"/>
      <c r="AC1126" s="1"/>
    </row>
    <row r="1127" spans="1:29" x14ac:dyDescent="0.3">
      <c r="A1127" s="1">
        <f>ROW(CantoralDB[[#This Row],[Título]])-1</f>
        <v>1126</v>
      </c>
      <c r="B1127" s="1" t="s">
        <v>633</v>
      </c>
      <c r="C1127" s="1" t="s">
        <v>200</v>
      </c>
      <c r="D1127" s="1" t="s">
        <v>1396</v>
      </c>
      <c r="G1127" s="1" t="s">
        <v>634</v>
      </c>
      <c r="H1127" s="1" t="s">
        <v>1027</v>
      </c>
      <c r="J1127" s="1" t="s">
        <v>605</v>
      </c>
      <c r="M1127" s="15" t="s">
        <v>519</v>
      </c>
      <c r="N1127" s="1" t="s">
        <v>3266</v>
      </c>
      <c r="O1127" s="15">
        <v>19</v>
      </c>
      <c r="P1127" s="15">
        <v>2004</v>
      </c>
      <c r="Q1127" s="15" t="str" cm="1">
        <f t="array" ref="Q11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7" s="15" t="str" cm="1">
        <f t="array" ref="R11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1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canciones/ixcis/como_sal_como_luz.html</v>
      </c>
      <c r="T1127" s="1" t="s">
        <v>812</v>
      </c>
      <c r="U1127" s="1"/>
      <c r="V1127" s="32" t="s">
        <v>3084</v>
      </c>
      <c r="W11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 data-momento="Antífonas" data-nnew="D09"&gt;&lt;a href="canciones/ixcis/como_sal_como_luz.html"&gt;Como sal, como luz&lt;/a&gt;&lt;/li&gt;</v>
      </c>
      <c r="X1127" s="15" t="str">
        <f>_xlfn.TEXTBEFORE(_xlfn.TEXTAFTER(CantoralDB[[#This Row],[index.html]],"&gt;"),"&gt;")&amp;"&gt;"</f>
        <v>&lt;a href="canciones/ixcis/como_sal_como_luz.html"&gt;</v>
      </c>
      <c r="Y1127"/>
      <c r="AB1127" s="1"/>
      <c r="AC1127" s="1"/>
    </row>
    <row r="1128" spans="1:29" x14ac:dyDescent="0.3">
      <c r="A1128" s="1">
        <f>ROW(CantoralDB[[#This Row],[Título]])-1</f>
        <v>1127</v>
      </c>
      <c r="B1128" s="1" t="s">
        <v>3263</v>
      </c>
      <c r="C1128" s="1"/>
      <c r="H1128" s="1" t="s">
        <v>529</v>
      </c>
      <c r="I1128" s="1" t="s">
        <v>2945</v>
      </c>
      <c r="J1128" s="1" t="s">
        <v>605</v>
      </c>
      <c r="M1128" s="15" t="s">
        <v>519</v>
      </c>
      <c r="N1128" s="1" t="s">
        <v>3266</v>
      </c>
      <c r="O1128" s="15">
        <v>20</v>
      </c>
      <c r="P1128" s="15">
        <v>2004</v>
      </c>
      <c r="Q1128" s="15" t="str" cm="1">
        <f t="array" ref="Q11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8" s="15" t="str" cm="1">
        <f t="array" ref="R11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canciones/ixcis/infinito_abismo.html</v>
      </c>
      <c r="T1128" s="1"/>
      <c r="U1128" s="1"/>
      <c r="V1128" s="32" t="s">
        <v>3368</v>
      </c>
      <c r="W11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href="canciones/ixcis/infinito_abismo.html"&gt;Infinito abismo&lt;/a&gt;&lt;/li&gt;</v>
      </c>
      <c r="X1128" s="15" t="str">
        <f>_xlfn.TEXTBEFORE(_xlfn.TEXTAFTER(CantoralDB[[#This Row],[index.html]],"&gt;"),"&gt;")&amp;"&gt;"</f>
        <v>&lt;a href="canciones/ixcis/infinito_abismo.html"&gt;</v>
      </c>
      <c r="Y1128"/>
      <c r="AB1128" s="1"/>
      <c r="AC1128" s="1"/>
    </row>
    <row r="1129" spans="1:29" x14ac:dyDescent="0.3">
      <c r="A1129" s="1">
        <f>ROW(CantoralDB[[#This Row],[Título]])-1</f>
        <v>1128</v>
      </c>
      <c r="B1129" s="1" t="s">
        <v>3264</v>
      </c>
      <c r="C1129" s="1"/>
      <c r="H1129" s="1" t="s">
        <v>1027</v>
      </c>
      <c r="I1129" s="1" t="s">
        <v>2947</v>
      </c>
      <c r="J1129" s="1" t="s">
        <v>605</v>
      </c>
      <c r="M1129" s="15" t="s">
        <v>519</v>
      </c>
      <c r="N1129" s="1" t="s">
        <v>3266</v>
      </c>
      <c r="O1129" s="15">
        <v>22</v>
      </c>
      <c r="P1129" s="15">
        <v>2004</v>
      </c>
      <c r="Q1129" s="15" t="str" cm="1">
        <f t="array" ref="Q11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29" s="15" t="str" cm="1">
        <f t="array" ref="R11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canciones/ixcis/hacia_ti.html</v>
      </c>
      <c r="T1129" s="1"/>
      <c r="U1129" s="1"/>
      <c r="V1129" s="32" t="s">
        <v>3369</v>
      </c>
      <c r="W11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href="canciones/ixcis/hacia_ti.html"&gt;Hacia Ti&lt;/a&gt;&lt;/li&gt;</v>
      </c>
      <c r="X1129" s="15" t="str">
        <f>_xlfn.TEXTBEFORE(_xlfn.TEXTAFTER(CantoralDB[[#This Row],[index.html]],"&gt;"),"&gt;")&amp;"&gt;"</f>
        <v>&lt;a href="canciones/ixcis/hacia_ti.html"&gt;</v>
      </c>
      <c r="Y1129"/>
      <c r="AB1129" s="1"/>
      <c r="AC1129" s="1"/>
    </row>
    <row r="1130" spans="1:29" x14ac:dyDescent="0.3">
      <c r="A1130" s="1">
        <f>ROW(CantoralDB[[#This Row],[Título]])-1</f>
        <v>1129</v>
      </c>
      <c r="B1130" s="1" t="s">
        <v>3104</v>
      </c>
      <c r="C1130" s="1"/>
      <c r="H1130" s="1" t="s">
        <v>529</v>
      </c>
      <c r="J1130" s="1" t="s">
        <v>605</v>
      </c>
      <c r="M1130" s="15" t="s">
        <v>519</v>
      </c>
      <c r="N1130" s="1" t="s">
        <v>3103</v>
      </c>
      <c r="O1130" s="15">
        <v>2</v>
      </c>
      <c r="P1130" s="15">
        <v>2023</v>
      </c>
      <c r="Q1130" s="15" t="str" cm="1">
        <f t="array" ref="Q11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0" s="15" t="str" cm="1">
        <f t="array" ref="R11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canciones/ixcis/ora_en_mi.html</v>
      </c>
      <c r="T1130" s="1"/>
      <c r="U1130" s="1"/>
      <c r="V1130" s="32" t="s">
        <v>3105</v>
      </c>
      <c r="W11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href="canciones/ixcis/ora_en_mi.html"&gt;Ora en mí&lt;/a&gt;&lt;/li&gt;</v>
      </c>
      <c r="X1130" s="15" t="str">
        <f>_xlfn.TEXTBEFORE(_xlfn.TEXTAFTER(CantoralDB[[#This Row],[index.html]],"&gt;"),"&gt;")&amp;"&gt;"</f>
        <v>&lt;a href="canciones/ixcis/ora_en_mi.html"&gt;</v>
      </c>
      <c r="Y1130"/>
      <c r="AB1130" s="1"/>
      <c r="AC1130" s="1"/>
    </row>
    <row r="1131" spans="1:29" x14ac:dyDescent="0.3">
      <c r="A1131" s="1">
        <f>ROW(CantoralDB[[#This Row],[Título]])-1</f>
        <v>1130</v>
      </c>
      <c r="B1131" s="1" t="s">
        <v>3102</v>
      </c>
      <c r="C1131" s="1"/>
      <c r="H1131" s="1" t="s">
        <v>1027</v>
      </c>
      <c r="J1131" s="1" t="s">
        <v>605</v>
      </c>
      <c r="M1131" s="15" t="s">
        <v>519</v>
      </c>
      <c r="N1131" s="1" t="s">
        <v>3103</v>
      </c>
      <c r="O1131" s="15">
        <v>3</v>
      </c>
      <c r="P1131" s="15">
        <v>2023</v>
      </c>
      <c r="Q1131" s="15" t="str" cm="1">
        <f t="array" ref="Q11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1" s="15" t="str" cm="1">
        <f t="array" ref="R11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canciones/ixcis/vuelve.html</v>
      </c>
      <c r="T1131" s="1"/>
      <c r="U1131" s="1"/>
      <c r="V1131" s="32" t="s">
        <v>3101</v>
      </c>
      <c r="W11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href="canciones/ixcis/vuelve.html"&gt;Vuelve&lt;/a&gt;&lt;/li&gt;</v>
      </c>
      <c r="X1131" s="15" t="str">
        <f>_xlfn.TEXTBEFORE(_xlfn.TEXTAFTER(CantoralDB[[#This Row],[index.html]],"&gt;"),"&gt;")&amp;"&gt;"</f>
        <v>&lt;a href="canciones/ixcis/vuelve.html"&gt;</v>
      </c>
      <c r="Y1131"/>
      <c r="AB1131" s="1"/>
      <c r="AC1131" s="1"/>
    </row>
    <row r="1132" spans="1:29" x14ac:dyDescent="0.3">
      <c r="A1132" s="1">
        <f>ROW(CantoralDB[[#This Row],[Título]])-1</f>
        <v>1131</v>
      </c>
      <c r="B1132" s="1" t="s">
        <v>3107</v>
      </c>
      <c r="C1132" s="1"/>
      <c r="H1132" s="1" t="s">
        <v>529</v>
      </c>
      <c r="I1132" s="1" t="s">
        <v>2945</v>
      </c>
      <c r="J1132" s="1" t="s">
        <v>605</v>
      </c>
      <c r="M1132" s="15" t="s">
        <v>519</v>
      </c>
      <c r="N1132" s="1" t="s">
        <v>3103</v>
      </c>
      <c r="O1132" s="15">
        <v>4</v>
      </c>
      <c r="P1132" s="15">
        <v>2023</v>
      </c>
      <c r="Q1132" s="15" t="str" cm="1">
        <f t="array" ref="Q11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2" s="15" t="str" cm="1">
        <f t="array" ref="R11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canciones/ixcis/espero_en_ti.html</v>
      </c>
      <c r="T1132" s="1"/>
      <c r="U1132" s="1"/>
      <c r="V1132" s="32" t="s">
        <v>3106</v>
      </c>
      <c r="W11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href="canciones/ixcis/espero_en_ti.html"&gt;Espero en ti&lt;/a&gt;&lt;/li&gt;</v>
      </c>
      <c r="X1132" s="15" t="str">
        <f>_xlfn.TEXTBEFORE(_xlfn.TEXTAFTER(CantoralDB[[#This Row],[index.html]],"&gt;"),"&gt;")&amp;"&gt;"</f>
        <v>&lt;a href="canciones/ixcis/espero_en_ti.html"&gt;</v>
      </c>
      <c r="Y1132"/>
      <c r="AB1132" s="1"/>
      <c r="AC1132" s="1"/>
    </row>
    <row r="1133" spans="1:29" x14ac:dyDescent="0.3">
      <c r="A1133" s="1">
        <f>ROW(CantoralDB[[#This Row],[Título]])-1</f>
        <v>1132</v>
      </c>
      <c r="B1133" s="1" t="s">
        <v>3108</v>
      </c>
      <c r="C1133" s="1"/>
      <c r="H1133" s="1" t="s">
        <v>1024</v>
      </c>
      <c r="I1133" s="1" t="s">
        <v>2945</v>
      </c>
      <c r="J1133" s="1" t="s">
        <v>605</v>
      </c>
      <c r="M1133" s="15" t="s">
        <v>519</v>
      </c>
      <c r="N1133" s="1" t="s">
        <v>3103</v>
      </c>
      <c r="O1133" s="15">
        <v>5</v>
      </c>
      <c r="P1133" s="15">
        <v>2023</v>
      </c>
      <c r="Q1133" s="15" t="str" cm="1">
        <f t="array" ref="Q11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3" s="15" t="str" cm="1">
        <f t="array" ref="R11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canciones/ixcis/extiende_tu_mano.html</v>
      </c>
      <c r="T1133" s="1"/>
      <c r="U1133" s="1"/>
      <c r="V1133" s="32" t="s">
        <v>3109</v>
      </c>
      <c r="W11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href="canciones/ixcis/extiende_tu_mano.html"&gt;Extiende tu mano&lt;/a&gt;&lt;/li&gt;</v>
      </c>
      <c r="X1133" s="15" t="str">
        <f>_xlfn.TEXTBEFORE(_xlfn.TEXTAFTER(CantoralDB[[#This Row],[index.html]],"&gt;"),"&gt;")&amp;"&gt;"</f>
        <v>&lt;a href="canciones/ixcis/extiende_tu_mano.html"&gt;</v>
      </c>
      <c r="Y1133"/>
      <c r="AB1133" s="1"/>
      <c r="AC1133" s="1"/>
    </row>
    <row r="1134" spans="1:29" x14ac:dyDescent="0.3">
      <c r="A1134" s="1">
        <f>ROW(CantoralDB[[#This Row],[Título]])-1</f>
        <v>1133</v>
      </c>
      <c r="B1134" s="1" t="s">
        <v>1754</v>
      </c>
      <c r="C1134" s="1"/>
      <c r="H1134" s="1" t="s">
        <v>1027</v>
      </c>
      <c r="I1134" s="1" t="s">
        <v>2948</v>
      </c>
      <c r="J1134" s="1" t="s">
        <v>605</v>
      </c>
      <c r="M1134" s="15" t="s">
        <v>519</v>
      </c>
      <c r="N1134" s="1" t="s">
        <v>3103</v>
      </c>
      <c r="O1134" s="15">
        <v>6</v>
      </c>
      <c r="P1134" s="15">
        <v>2023</v>
      </c>
      <c r="Q1134" s="15" t="str" cm="1">
        <f t="array" ref="Q11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4" s="15" t="str" cm="1">
        <f t="array" ref="R11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canciones/ixcis/ruah.html</v>
      </c>
      <c r="T1134" s="1"/>
      <c r="U1134" s="1"/>
      <c r="V1134" s="32" t="s">
        <v>3110</v>
      </c>
      <c r="W11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href="canciones/ixcis/ruah.html"&gt;Ruah&lt;/a&gt;&lt;/li&gt;</v>
      </c>
      <c r="X1134" s="15" t="str">
        <f>_xlfn.TEXTBEFORE(_xlfn.TEXTAFTER(CantoralDB[[#This Row],[index.html]],"&gt;"),"&gt;")&amp;"&gt;"</f>
        <v>&lt;a href="canciones/ixcis/ruah.html"&gt;</v>
      </c>
      <c r="Y1134"/>
      <c r="AB1134" s="1"/>
      <c r="AC1134" s="1"/>
    </row>
    <row r="1135" spans="1:29" x14ac:dyDescent="0.3">
      <c r="A1135" s="1">
        <f>ROW(CantoralDB[[#This Row],[Título]])-1</f>
        <v>1134</v>
      </c>
      <c r="B1135" s="1" t="s">
        <v>3111</v>
      </c>
      <c r="C1135" s="1"/>
      <c r="H1135" s="1" t="s">
        <v>472</v>
      </c>
      <c r="I1135" s="1" t="s">
        <v>2948</v>
      </c>
      <c r="J1135" s="1" t="s">
        <v>605</v>
      </c>
      <c r="M1135" s="15" t="s">
        <v>519</v>
      </c>
      <c r="N1135" s="1" t="s">
        <v>3103</v>
      </c>
      <c r="O1135" s="15">
        <v>7</v>
      </c>
      <c r="P1135" s="15">
        <v>2023</v>
      </c>
      <c r="Q1135" s="15" t="str" cm="1">
        <f t="array" ref="Q11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5" s="15" t="str" cm="1">
        <f t="array" ref="R11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canciones/ixcis/descansa.html</v>
      </c>
      <c r="T1135" s="1"/>
      <c r="U1135" s="1"/>
      <c r="V1135" s="32" t="s">
        <v>3112</v>
      </c>
      <c r="W11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href="canciones/ixcis/descansa.html"&gt;Descansa&lt;/a&gt;&lt;/li&gt;</v>
      </c>
      <c r="X1135" s="15" t="str">
        <f>_xlfn.TEXTBEFORE(_xlfn.TEXTAFTER(CantoralDB[[#This Row],[index.html]],"&gt;"),"&gt;")&amp;"&gt;"</f>
        <v>&lt;a href="canciones/ixcis/descansa.html"&gt;</v>
      </c>
      <c r="Y1135"/>
      <c r="AB1135" s="1"/>
      <c r="AC1135" s="1"/>
    </row>
    <row r="1136" spans="1:29" x14ac:dyDescent="0.3">
      <c r="A1136" s="1">
        <f>ROW(CantoralDB[[#This Row],[Título]])-1</f>
        <v>1135</v>
      </c>
      <c r="B1136" s="1" t="s">
        <v>3114</v>
      </c>
      <c r="C1136" s="1"/>
      <c r="H1136" s="1" t="s">
        <v>529</v>
      </c>
      <c r="J1136" s="1" t="s">
        <v>605</v>
      </c>
      <c r="M1136" s="15" t="s">
        <v>519</v>
      </c>
      <c r="N1136" s="1" t="s">
        <v>3103</v>
      </c>
      <c r="O1136" s="15">
        <v>8</v>
      </c>
      <c r="P1136" s="15">
        <v>2023</v>
      </c>
      <c r="Q1136" s="15" t="str" cm="1">
        <f t="array" ref="Q11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6" s="15" t="str" cm="1">
        <f t="array" ref="R11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canciones/ixcis/cuando_vuelva_tu_luz.html</v>
      </c>
      <c r="T1136" s="1"/>
      <c r="U1136" s="1"/>
      <c r="V1136" s="32" t="s">
        <v>3113</v>
      </c>
      <c r="W11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href="canciones/ixcis/cuando_vuelva_tu_luz.html"&gt;Cuando vuelva tu luz&lt;/a&gt;&lt;/li&gt;</v>
      </c>
      <c r="X1136" s="15" t="str">
        <f>_xlfn.TEXTBEFORE(_xlfn.TEXTAFTER(CantoralDB[[#This Row],[index.html]],"&gt;"),"&gt;")&amp;"&gt;"</f>
        <v>&lt;a href="canciones/ixcis/cuando_vuelva_tu_luz.html"&gt;</v>
      </c>
      <c r="Y1136"/>
      <c r="AB1136" s="1"/>
      <c r="AC1136" s="1"/>
    </row>
    <row r="1137" spans="1:29" x14ac:dyDescent="0.3">
      <c r="A1137" s="1">
        <f>ROW(CantoralDB[[#This Row],[Título]])-1</f>
        <v>1136</v>
      </c>
      <c r="B1137" s="1" t="s">
        <v>3116</v>
      </c>
      <c r="C1137" s="1"/>
      <c r="H1137" s="1" t="s">
        <v>1027</v>
      </c>
      <c r="J1137" s="1" t="s">
        <v>605</v>
      </c>
      <c r="M1137" s="15" t="s">
        <v>519</v>
      </c>
      <c r="N1137" s="1" t="s">
        <v>3103</v>
      </c>
      <c r="O1137" s="15">
        <v>9</v>
      </c>
      <c r="P1137" s="15">
        <v>2023</v>
      </c>
      <c r="Q1137" s="15" t="str" cm="1">
        <f t="array" ref="Q11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7" s="15" t="str" cm="1">
        <f t="array" ref="R11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canciones/ixcis/entra_en_tu_cuarto.html</v>
      </c>
      <c r="T1137" s="1"/>
      <c r="U1137" s="1"/>
      <c r="V1137" s="32" t="s">
        <v>3115</v>
      </c>
      <c r="W11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href="canciones/ixcis/entra_en_tu_cuarto.html"&gt;Entra en tu cuarto&lt;/a&gt;&lt;/li&gt;</v>
      </c>
      <c r="X1137" s="15" t="str">
        <f>_xlfn.TEXTBEFORE(_xlfn.TEXTAFTER(CantoralDB[[#This Row],[index.html]],"&gt;"),"&gt;")&amp;"&gt;"</f>
        <v>&lt;a href="canciones/ixcis/entra_en_tu_cuarto.html"&gt;</v>
      </c>
      <c r="Y1137"/>
      <c r="AB1137" s="1"/>
      <c r="AC1137" s="1"/>
    </row>
    <row r="1138" spans="1:29" x14ac:dyDescent="0.3">
      <c r="A1138" s="1">
        <f>ROW(CantoralDB[[#This Row],[Título]])-1</f>
        <v>1137</v>
      </c>
      <c r="B1138" s="1" t="s">
        <v>3118</v>
      </c>
      <c r="C1138" s="1"/>
      <c r="H1138" s="1" t="s">
        <v>529</v>
      </c>
      <c r="J1138" s="1" t="s">
        <v>605</v>
      </c>
      <c r="M1138" s="15" t="s">
        <v>519</v>
      </c>
      <c r="N1138" s="1" t="s">
        <v>3103</v>
      </c>
      <c r="O1138" s="15">
        <v>10</v>
      </c>
      <c r="P1138" s="15">
        <v>2023</v>
      </c>
      <c r="Q1138" s="15" t="str" cm="1">
        <f t="array" ref="Q11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8" s="15" t="str" cm="1">
        <f t="array" ref="R11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canciones/ixcis/transfigurame.html</v>
      </c>
      <c r="T1138" s="1"/>
      <c r="U1138" s="1"/>
      <c r="V1138" s="32" t="s">
        <v>3117</v>
      </c>
      <c r="W11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href="canciones/ixcis/transfigurame.html"&gt;Transfigúrame&lt;/a&gt;&lt;/li&gt;</v>
      </c>
      <c r="X1138" s="15" t="str">
        <f>_xlfn.TEXTBEFORE(_xlfn.TEXTAFTER(CantoralDB[[#This Row],[index.html]],"&gt;"),"&gt;")&amp;"&gt;"</f>
        <v>&lt;a href="canciones/ixcis/transfigurame.html"&gt;</v>
      </c>
      <c r="Y1138"/>
      <c r="AB1138" s="1"/>
      <c r="AC1138" s="1"/>
    </row>
    <row r="1139" spans="1:29" x14ac:dyDescent="0.3">
      <c r="A1139" s="1">
        <f>ROW(CantoralDB[[#This Row],[Título]])-1</f>
        <v>1138</v>
      </c>
      <c r="B1139" s="1" t="s">
        <v>3119</v>
      </c>
      <c r="C1139" s="1"/>
      <c r="H1139" s="1" t="s">
        <v>472</v>
      </c>
      <c r="J1139" s="1" t="s">
        <v>605</v>
      </c>
      <c r="M1139" s="15" t="s">
        <v>519</v>
      </c>
      <c r="N1139" s="1" t="s">
        <v>3103</v>
      </c>
      <c r="O1139" s="15">
        <v>11</v>
      </c>
      <c r="P1139" s="15">
        <v>2023</v>
      </c>
      <c r="Q1139" s="15" t="str" cm="1">
        <f t="array" ref="Q11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39" s="15" t="str" cm="1">
        <f t="array" ref="R11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canciones/ixcis/tengo_fe.html</v>
      </c>
      <c r="T1139" s="1"/>
      <c r="U1139" s="1"/>
      <c r="V1139" s="32" t="s">
        <v>3120</v>
      </c>
      <c r="W11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href="canciones/ixcis/tengo_fe.html"&gt;Tengo fe&lt;/a&gt;&lt;/li&gt;</v>
      </c>
      <c r="X1139" s="15" t="str">
        <f>_xlfn.TEXTBEFORE(_xlfn.TEXTAFTER(CantoralDB[[#This Row],[index.html]],"&gt;"),"&gt;")&amp;"&gt;"</f>
        <v>&lt;a href="canciones/ixcis/tengo_fe.html"&gt;</v>
      </c>
      <c r="Y1139"/>
      <c r="AB1139" s="1"/>
      <c r="AC1139" s="1"/>
    </row>
    <row r="1140" spans="1:29" x14ac:dyDescent="0.3">
      <c r="A1140" s="1">
        <f>ROW(CantoralDB[[#This Row],[Título]])-1</f>
        <v>1139</v>
      </c>
      <c r="B1140" s="1" t="s">
        <v>3121</v>
      </c>
      <c r="C1140" s="1"/>
      <c r="H1140" s="1" t="s">
        <v>529</v>
      </c>
      <c r="J1140" s="1" t="s">
        <v>605</v>
      </c>
      <c r="M1140" s="15" t="s">
        <v>519</v>
      </c>
      <c r="N1140" s="1" t="s">
        <v>3103</v>
      </c>
      <c r="O1140" s="15">
        <v>12</v>
      </c>
      <c r="P1140" s="15">
        <v>2023</v>
      </c>
      <c r="Q1140" s="15" t="str" cm="1">
        <f t="array" ref="Q11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0" s="15" t="str" cm="1">
        <f t="array" ref="R11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canciones/ixcis/que_sean_uno.html</v>
      </c>
      <c r="T1140" s="1"/>
      <c r="U1140" s="1"/>
      <c r="V1140" s="32" t="s">
        <v>3122</v>
      </c>
      <c r="W11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href="canciones/ixcis/que_sean_uno.html"&gt;Que sean uno&lt;/a&gt;&lt;/li&gt;</v>
      </c>
      <c r="X1140" s="15" t="str">
        <f>_xlfn.TEXTBEFORE(_xlfn.TEXTAFTER(CantoralDB[[#This Row],[index.html]],"&gt;"),"&gt;")&amp;"&gt;"</f>
        <v>&lt;a href="canciones/ixcis/que_sean_uno.html"&gt;</v>
      </c>
      <c r="Y1140"/>
      <c r="AB1140" s="1"/>
      <c r="AC1140" s="1"/>
    </row>
    <row r="1141" spans="1:29" x14ac:dyDescent="0.3">
      <c r="A1141" s="1">
        <f>ROW(CantoralDB[[#This Row],[Título]])-1</f>
        <v>1140</v>
      </c>
      <c r="B1141" s="1" t="s">
        <v>3123</v>
      </c>
      <c r="C1141" s="1"/>
      <c r="H1141" s="1" t="s">
        <v>1026</v>
      </c>
      <c r="J1141" s="1" t="s">
        <v>605</v>
      </c>
      <c r="M1141" s="15" t="s">
        <v>519</v>
      </c>
      <c r="N1141" s="1" t="s">
        <v>3103</v>
      </c>
      <c r="O1141" s="15">
        <v>13</v>
      </c>
      <c r="P1141" s="15">
        <v>2023</v>
      </c>
      <c r="Q1141" s="15" t="str" cm="1">
        <f t="array" ref="Q11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1" s="15" t="str" cm="1">
        <f t="array" ref="R11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canciones/ixcis/ama_y_haz_lo_que_quieras.html</v>
      </c>
      <c r="T1141" s="1"/>
      <c r="U1141" s="1"/>
      <c r="V1141" s="32" t="s">
        <v>3124</v>
      </c>
      <c r="W11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href="canciones/ixcis/ama_y_haz_lo_que_quieras.html"&gt;Ama y haz lo que quieras&lt;/a&gt;&lt;/li&gt;</v>
      </c>
      <c r="X1141" s="15" t="str">
        <f>_xlfn.TEXTBEFORE(_xlfn.TEXTAFTER(CantoralDB[[#This Row],[index.html]],"&gt;"),"&gt;")&amp;"&gt;"</f>
        <v>&lt;a href="canciones/ixcis/ama_y_haz_lo_que_quieras.html"&gt;</v>
      </c>
      <c r="Y1141"/>
      <c r="AB1141" s="1"/>
      <c r="AC1141" s="1"/>
    </row>
    <row r="1142" spans="1:29" x14ac:dyDescent="0.3">
      <c r="A1142" s="1">
        <f>ROW(CantoralDB[[#This Row],[Título]])-1</f>
        <v>1141</v>
      </c>
      <c r="B1142" s="1" t="s">
        <v>3126</v>
      </c>
      <c r="C1142" s="1"/>
      <c r="H1142" s="1" t="s">
        <v>1024</v>
      </c>
      <c r="J1142" s="1" t="s">
        <v>605</v>
      </c>
      <c r="M1142" s="15" t="s">
        <v>519</v>
      </c>
      <c r="N1142" s="1" t="s">
        <v>3103</v>
      </c>
      <c r="O1142" s="15">
        <v>14</v>
      </c>
      <c r="P1142" s="15">
        <v>2023</v>
      </c>
      <c r="Q1142" s="15" t="str" cm="1">
        <f t="array" ref="Q11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2" s="15" t="str" cm="1">
        <f t="array" ref="R11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canciones/ixcis/si_no_te_dejo_marchar.html</v>
      </c>
      <c r="T1142" s="1"/>
      <c r="U1142" s="1"/>
      <c r="V1142" s="32" t="s">
        <v>3125</v>
      </c>
      <c r="W11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href="canciones/ixcis/si_no_te_dejo_marchar.html"&gt;Si no te dejo marchar&lt;/a&gt;&lt;/li&gt;</v>
      </c>
      <c r="X1142" s="15" t="str">
        <f>_xlfn.TEXTBEFORE(_xlfn.TEXTAFTER(CantoralDB[[#This Row],[index.html]],"&gt;"),"&gt;")&amp;"&gt;"</f>
        <v>&lt;a href="canciones/ixcis/si_no_te_dejo_marchar.html"&gt;</v>
      </c>
      <c r="Y1142"/>
      <c r="AB1142" s="1"/>
      <c r="AC1142" s="1"/>
    </row>
    <row r="1143" spans="1:29" x14ac:dyDescent="0.3">
      <c r="A1143" s="1">
        <f>ROW(CantoralDB[[#This Row],[Título]])-1</f>
        <v>1142</v>
      </c>
      <c r="B1143" s="1" t="s">
        <v>3127</v>
      </c>
      <c r="C1143" s="1"/>
      <c r="H1143" s="1" t="s">
        <v>1024</v>
      </c>
      <c r="J1143" s="1" t="s">
        <v>605</v>
      </c>
      <c r="M1143" s="15" t="s">
        <v>519</v>
      </c>
      <c r="N1143" s="1" t="s">
        <v>3103</v>
      </c>
      <c r="O1143" s="15">
        <v>15</v>
      </c>
      <c r="P1143" s="15">
        <v>2023</v>
      </c>
      <c r="Q1143" s="15" t="str" cm="1">
        <f t="array" ref="Q11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3" s="15" t="str" cm="1">
        <f t="array" ref="R11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canciones/ixcis/sopla_en_mi.html</v>
      </c>
      <c r="T1143" s="1"/>
      <c r="U1143" s="1"/>
      <c r="V1143" s="32" t="s">
        <v>3128</v>
      </c>
      <c r="W11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href="canciones/ixcis/sopla_en_mi.html"&gt;Sopla en mí&lt;/a&gt;&lt;/li&gt;</v>
      </c>
      <c r="X1143" s="15" t="str">
        <f>_xlfn.TEXTBEFORE(_xlfn.TEXTAFTER(CantoralDB[[#This Row],[index.html]],"&gt;"),"&gt;")&amp;"&gt;"</f>
        <v>&lt;a href="canciones/ixcis/sopla_en_mi.html"&gt;</v>
      </c>
      <c r="Y1143"/>
      <c r="AB1143" s="1"/>
      <c r="AC1143" s="1"/>
    </row>
    <row r="1144" spans="1:29" x14ac:dyDescent="0.3">
      <c r="A1144" s="1">
        <f>ROW(CantoralDB[[#This Row],[Título]])-1</f>
        <v>1143</v>
      </c>
      <c r="B1144" s="1" t="s">
        <v>3129</v>
      </c>
      <c r="C1144" s="1"/>
      <c r="H1144" s="1" t="s">
        <v>529</v>
      </c>
      <c r="I1144" s="1" t="s">
        <v>2945</v>
      </c>
      <c r="J1144" s="1" t="s">
        <v>605</v>
      </c>
      <c r="M1144" s="15" t="s">
        <v>519</v>
      </c>
      <c r="N1144" s="1" t="s">
        <v>3103</v>
      </c>
      <c r="O1144" s="15">
        <v>16</v>
      </c>
      <c r="P1144" s="15">
        <v>2023</v>
      </c>
      <c r="Q1144" s="15" t="str" cm="1">
        <f t="array" ref="Q11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4" s="15" t="str" cm="1">
        <f t="array" ref="R11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canciones/ixcis/peña_mia.html</v>
      </c>
      <c r="T1144" s="1"/>
      <c r="U1144" s="1"/>
      <c r="V1144" s="32" t="s">
        <v>3130</v>
      </c>
      <c r="W11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href="canciones/ixcis/peña_mia.html"&gt;Peña mía&lt;/a&gt;&lt;/li&gt;</v>
      </c>
      <c r="X1144" s="15" t="str">
        <f>_xlfn.TEXTBEFORE(_xlfn.TEXTAFTER(CantoralDB[[#This Row],[index.html]],"&gt;"),"&gt;")&amp;"&gt;"</f>
        <v>&lt;a href="canciones/ixcis/peña_mia.html"&gt;</v>
      </c>
      <c r="Y1144"/>
      <c r="AB1144" s="1"/>
      <c r="AC1144" s="1"/>
    </row>
    <row r="1145" spans="1:29" x14ac:dyDescent="0.3">
      <c r="A1145" s="1">
        <f>ROW(CantoralDB[[#This Row],[Título]])-1</f>
        <v>1144</v>
      </c>
      <c r="B1145" s="1" t="s">
        <v>3131</v>
      </c>
      <c r="C1145" s="1"/>
      <c r="H1145" s="1" t="s">
        <v>1024</v>
      </c>
      <c r="I1145" s="1" t="s">
        <v>2945</v>
      </c>
      <c r="J1145" s="1" t="s">
        <v>605</v>
      </c>
      <c r="M1145" s="15" t="s">
        <v>519</v>
      </c>
      <c r="N1145" s="1" t="s">
        <v>3103</v>
      </c>
      <c r="O1145" s="15">
        <v>17</v>
      </c>
      <c r="P1145" s="15">
        <v>2023</v>
      </c>
      <c r="Q1145" s="15" t="str" cm="1">
        <f t="array" ref="Q11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5" s="15" t="str" cm="1">
        <f t="array" ref="R11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canciones/ixcis/vuestra_soy.html</v>
      </c>
      <c r="T1145" s="1"/>
      <c r="U1145" s="1"/>
      <c r="V1145" s="32" t="s">
        <v>3132</v>
      </c>
      <c r="W11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href="canciones/ixcis/vuestra_soy.html"&gt;Vuestra soy&lt;/a&gt;&lt;/li&gt;</v>
      </c>
      <c r="X1145" s="15" t="str">
        <f>_xlfn.TEXTBEFORE(_xlfn.TEXTAFTER(CantoralDB[[#This Row],[index.html]],"&gt;"),"&gt;")&amp;"&gt;"</f>
        <v>&lt;a href="canciones/ixcis/vuestra_soy.html"&gt;</v>
      </c>
      <c r="Y1145"/>
      <c r="AB1145" s="1"/>
      <c r="AC1145" s="1"/>
    </row>
    <row r="1146" spans="1:29" x14ac:dyDescent="0.3">
      <c r="A1146" s="1">
        <f>ROW(CantoralDB[[#This Row],[Título]])-1</f>
        <v>1145</v>
      </c>
      <c r="B1146" s="1" t="s">
        <v>3134</v>
      </c>
      <c r="C1146" s="1"/>
      <c r="H1146" s="1" t="s">
        <v>1026</v>
      </c>
      <c r="I1146" s="1" t="s">
        <v>2947</v>
      </c>
      <c r="J1146" s="1" t="s">
        <v>605</v>
      </c>
      <c r="M1146" s="15" t="s">
        <v>519</v>
      </c>
      <c r="N1146" s="1" t="s">
        <v>3103</v>
      </c>
      <c r="O1146" s="15">
        <v>18</v>
      </c>
      <c r="P1146" s="15">
        <v>2023</v>
      </c>
      <c r="Q1146" s="15" t="str" cm="1">
        <f t="array" ref="Q11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6" s="15" t="str" cm="1">
        <f t="array" ref="R11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canciones/ixcis/la_partida.html</v>
      </c>
      <c r="T1146" s="1"/>
      <c r="U1146" s="1"/>
      <c r="V1146" s="32" t="s">
        <v>3133</v>
      </c>
      <c r="W11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href="canciones/ixcis/la_partida.html"&gt;La partida&lt;/a&gt;&lt;/li&gt;</v>
      </c>
      <c r="X1146" s="15" t="str">
        <f>_xlfn.TEXTBEFORE(_xlfn.TEXTAFTER(CantoralDB[[#This Row],[index.html]],"&gt;"),"&gt;")&amp;"&gt;"</f>
        <v>&lt;a href="canciones/ixcis/la_partida.html"&gt;</v>
      </c>
      <c r="Y1146"/>
      <c r="AB1146" s="1"/>
      <c r="AC1146" s="1"/>
    </row>
    <row r="1147" spans="1:29" x14ac:dyDescent="0.3">
      <c r="A1147" s="1">
        <f>ROW(CantoralDB[[#This Row],[Título]])-1</f>
        <v>1146</v>
      </c>
      <c r="B1147" s="1" t="s">
        <v>3135</v>
      </c>
      <c r="C1147" s="1"/>
      <c r="H1147" s="1" t="s">
        <v>472</v>
      </c>
      <c r="I1147" s="1" t="s">
        <v>2945</v>
      </c>
      <c r="J1147" s="1" t="s">
        <v>605</v>
      </c>
      <c r="M1147" s="15" t="s">
        <v>519</v>
      </c>
      <c r="N1147" s="1" t="s">
        <v>3103</v>
      </c>
      <c r="O1147" s="15">
        <v>19</v>
      </c>
      <c r="P1147" s="15">
        <v>2023</v>
      </c>
      <c r="Q1147" s="15" t="str" cm="1">
        <f t="array" ref="Q11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7" s="15" t="str" cm="1">
        <f t="array" ref="R11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canciones/ixcis/por_ti_madrugo.html</v>
      </c>
      <c r="T1147" s="1"/>
      <c r="U1147" s="1"/>
      <c r="V1147" s="32" t="s">
        <v>3136</v>
      </c>
      <c r="W11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href="canciones/ixcis/por_ti_madrugo.html"&gt;Por ti madrugo&lt;/a&gt;&lt;/li&gt;</v>
      </c>
      <c r="X1147" s="15" t="str">
        <f>_xlfn.TEXTBEFORE(_xlfn.TEXTAFTER(CantoralDB[[#This Row],[index.html]],"&gt;"),"&gt;")&amp;"&gt;"</f>
        <v>&lt;a href="canciones/ixcis/por_ti_madrugo.html"&gt;</v>
      </c>
      <c r="Y1147"/>
      <c r="AB1147" s="1"/>
      <c r="AC1147" s="1"/>
    </row>
    <row r="1148" spans="1:29" x14ac:dyDescent="0.3">
      <c r="A1148" s="1">
        <f>ROW(CantoralDB[[#This Row],[Título]])-1</f>
        <v>1147</v>
      </c>
      <c r="B1148" s="1" t="s">
        <v>3138</v>
      </c>
      <c r="C1148" s="1"/>
      <c r="H1148" s="1" t="s">
        <v>1027</v>
      </c>
      <c r="I1148" s="1" t="s">
        <v>2945</v>
      </c>
      <c r="J1148" s="1" t="s">
        <v>605</v>
      </c>
      <c r="M1148" s="15" t="s">
        <v>519</v>
      </c>
      <c r="N1148" s="1" t="s">
        <v>3103</v>
      </c>
      <c r="O1148" s="15">
        <v>20</v>
      </c>
      <c r="P1148" s="15">
        <v>2023</v>
      </c>
      <c r="Q1148" s="15" t="str" cm="1">
        <f t="array" ref="Q11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8" s="15" t="str" cm="1">
        <f t="array" ref="R11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canciones/ixcis/si_te_tengo_a_ti.html</v>
      </c>
      <c r="T1148" s="1"/>
      <c r="U1148" s="1"/>
      <c r="V1148" s="32" t="s">
        <v>3137</v>
      </c>
      <c r="W11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href="canciones/ixcis/si_te_tengo_a_ti.html"&gt;Si te tengo a ti&lt;/a&gt;&lt;/li&gt;</v>
      </c>
      <c r="X1148" s="15" t="str">
        <f>_xlfn.TEXTBEFORE(_xlfn.TEXTAFTER(CantoralDB[[#This Row],[index.html]],"&gt;"),"&gt;")&amp;"&gt;"</f>
        <v>&lt;a href="canciones/ixcis/si_te_tengo_a_ti.html"&gt;</v>
      </c>
      <c r="Y1148"/>
      <c r="AB1148" s="1"/>
      <c r="AC1148" s="1"/>
    </row>
    <row r="1149" spans="1:29" x14ac:dyDescent="0.3">
      <c r="A1149" s="1">
        <f>ROW(CantoralDB[[#This Row],[Título]])-1</f>
        <v>1148</v>
      </c>
      <c r="B1149" s="1" t="s">
        <v>3139</v>
      </c>
      <c r="C1149" s="1"/>
      <c r="H1149" s="1" t="s">
        <v>472</v>
      </c>
      <c r="I1149" s="1" t="s">
        <v>2948</v>
      </c>
      <c r="J1149" s="1" t="s">
        <v>605</v>
      </c>
      <c r="M1149" s="15" t="s">
        <v>519</v>
      </c>
      <c r="N1149" s="1" t="s">
        <v>3103</v>
      </c>
      <c r="O1149" s="15">
        <v>21</v>
      </c>
      <c r="P1149" s="15">
        <v>2023</v>
      </c>
      <c r="Q1149" s="15" t="str" cm="1">
        <f t="array" ref="Q11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49" s="15" t="str" cm="1">
        <f t="array" ref="R11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canciones/ixcis/la_verdad.html</v>
      </c>
      <c r="T1149" s="1"/>
      <c r="U1149" s="1"/>
      <c r="V1149" s="32" t="s">
        <v>3140</v>
      </c>
      <c r="W11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href="canciones/ixcis/la_verdad.html"&gt;La verdad&lt;/a&gt;&lt;/li&gt;</v>
      </c>
      <c r="X1149" s="15" t="str">
        <f>_xlfn.TEXTBEFORE(_xlfn.TEXTAFTER(CantoralDB[[#This Row],[index.html]],"&gt;"),"&gt;")&amp;"&gt;"</f>
        <v>&lt;a href="canciones/ixcis/la_verdad.html"&gt;</v>
      </c>
      <c r="Y1149"/>
      <c r="AB1149" s="1"/>
      <c r="AC1149" s="1"/>
    </row>
    <row r="1150" spans="1:29" x14ac:dyDescent="0.3">
      <c r="A1150" s="1">
        <f>ROW(CantoralDB[[#This Row],[Título]])-1</f>
        <v>1149</v>
      </c>
      <c r="B1150" s="1" t="s">
        <v>3141</v>
      </c>
      <c r="C1150" s="1"/>
      <c r="H1150" s="1" t="s">
        <v>529</v>
      </c>
      <c r="I1150" s="1" t="s">
        <v>2947</v>
      </c>
      <c r="J1150" s="1" t="s">
        <v>605</v>
      </c>
      <c r="M1150" s="15" t="s">
        <v>519</v>
      </c>
      <c r="N1150" s="1" t="s">
        <v>3103</v>
      </c>
      <c r="O1150" s="15">
        <v>22</v>
      </c>
      <c r="P1150" s="15">
        <v>2023</v>
      </c>
      <c r="Q1150" s="15" t="str" cm="1">
        <f t="array" ref="Q11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0" s="15" t="str" cm="1">
        <f t="array" ref="R11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canciones/ixcis/te_quiero.html</v>
      </c>
      <c r="T1150" s="1"/>
      <c r="U1150" s="1"/>
      <c r="V1150" s="32" t="s">
        <v>3142</v>
      </c>
      <c r="W11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href="canciones/ixcis/te_quiero.html"&gt;Te quiero&lt;/a&gt;&lt;/li&gt;</v>
      </c>
      <c r="X1150" s="15" t="str">
        <f>_xlfn.TEXTBEFORE(_xlfn.TEXTAFTER(CantoralDB[[#This Row],[index.html]],"&gt;"),"&gt;")&amp;"&gt;"</f>
        <v>&lt;a href="canciones/ixcis/te_quiero.html"&gt;</v>
      </c>
      <c r="Y1150"/>
      <c r="AB1150" s="1"/>
      <c r="AC1150" s="1"/>
    </row>
    <row r="1151" spans="1:29" x14ac:dyDescent="0.3">
      <c r="A1151" s="1">
        <f>ROW(CantoralDB[[#This Row],[Título]])-1</f>
        <v>1150</v>
      </c>
      <c r="B1151" s="1" t="s">
        <v>532</v>
      </c>
      <c r="C1151" s="1"/>
      <c r="H1151" s="1" t="s">
        <v>529</v>
      </c>
      <c r="J1151" s="1" t="s">
        <v>605</v>
      </c>
      <c r="M1151" s="15" t="s">
        <v>519</v>
      </c>
      <c r="N1151" s="1" t="s">
        <v>3103</v>
      </c>
      <c r="O1151" s="15">
        <v>23</v>
      </c>
      <c r="P1151" s="15">
        <v>2023</v>
      </c>
      <c r="Q1151" s="15" t="str" cm="1">
        <f t="array" ref="Q11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1" s="15" t="str" cm="1">
        <f t="array" ref="R11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canciones/ixcis/maria_de_nazaret.html</v>
      </c>
      <c r="T1151" s="1"/>
      <c r="U1151" s="1"/>
      <c r="V1151" s="32" t="s">
        <v>3143</v>
      </c>
      <c r="W11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href="canciones/ixcis/maria_de_nazaret.html"&gt;María de Nazaret&lt;/a&gt;&lt;/li&gt;</v>
      </c>
      <c r="X1151" s="15" t="str">
        <f>_xlfn.TEXTBEFORE(_xlfn.TEXTAFTER(CantoralDB[[#This Row],[index.html]],"&gt;"),"&gt;")&amp;"&gt;"</f>
        <v>&lt;a href="canciones/ixcis/maria_de_nazaret.html"&gt;</v>
      </c>
      <c r="Y1151"/>
      <c r="AB1151" s="1"/>
      <c r="AC1151" s="1"/>
    </row>
    <row r="1152" spans="1:29" x14ac:dyDescent="0.3">
      <c r="A1152" s="1">
        <f>ROW(CantoralDB[[#This Row],[Título]])-1</f>
        <v>1151</v>
      </c>
      <c r="B1152" s="1" t="s">
        <v>3176</v>
      </c>
      <c r="C1152" s="1"/>
      <c r="H1152" s="1" t="s">
        <v>472</v>
      </c>
      <c r="J1152" s="1" t="s">
        <v>605</v>
      </c>
      <c r="M1152" s="15" t="s">
        <v>519</v>
      </c>
      <c r="N1152" s="1" t="s">
        <v>3178</v>
      </c>
      <c r="O1152" s="15">
        <v>1</v>
      </c>
      <c r="P1152" s="15">
        <v>2017</v>
      </c>
      <c r="Q1152" s="15" t="str" cm="1">
        <f t="array" ref="Q11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2" s="15" t="str" cm="1">
        <f t="array" ref="R11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canciones/ixcis/regalada.html</v>
      </c>
      <c r="T1152" s="1"/>
      <c r="U1152" s="1"/>
      <c r="V1152" s="32" t="s">
        <v>3179</v>
      </c>
      <c r="W11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href="canciones/ixcis/regalada.html"&gt;Regalada&lt;/a&gt;&lt;/li&gt;</v>
      </c>
      <c r="X1152" s="15" t="str">
        <f>_xlfn.TEXTBEFORE(_xlfn.TEXTAFTER(CantoralDB[[#This Row],[index.html]],"&gt;"),"&gt;")&amp;"&gt;"</f>
        <v>&lt;a href="canciones/ixcis/regalada.html"&gt;</v>
      </c>
      <c r="Y1152"/>
      <c r="AB1152" s="1"/>
      <c r="AC1152" s="1"/>
    </row>
    <row r="1153" spans="1:29" x14ac:dyDescent="0.3">
      <c r="A1153" s="1">
        <f>ROW(CantoralDB[[#This Row],[Título]])-1</f>
        <v>1152</v>
      </c>
      <c r="B1153" s="1" t="s">
        <v>3177</v>
      </c>
      <c r="C1153" s="1"/>
      <c r="H1153" s="1" t="s">
        <v>472</v>
      </c>
      <c r="J1153" s="1" t="s">
        <v>605</v>
      </c>
      <c r="M1153" s="15" t="s">
        <v>519</v>
      </c>
      <c r="N1153" s="1" t="s">
        <v>3178</v>
      </c>
      <c r="O1153" s="15">
        <v>2</v>
      </c>
      <c r="P1153" s="15">
        <v>2017</v>
      </c>
      <c r="Q1153" s="15" t="str" cm="1">
        <f t="array" ref="Q11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3" s="15" t="str" cm="1">
        <f t="array" ref="R11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canciones/ixcis/darnos_del_todo.html</v>
      </c>
      <c r="T1153" s="1"/>
      <c r="U1153" s="1"/>
      <c r="V1153" s="32" t="s">
        <v>3180</v>
      </c>
      <c r="W11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href="canciones/ixcis/darnos_del_todo.html"&gt;Darnos del todo&lt;/a&gt;&lt;/li&gt;</v>
      </c>
      <c r="X1153" s="15" t="str">
        <f>_xlfn.TEXTBEFORE(_xlfn.TEXTAFTER(CantoralDB[[#This Row],[index.html]],"&gt;"),"&gt;")&amp;"&gt;"</f>
        <v>&lt;a href="canciones/ixcis/darnos_del_todo.html"&gt;</v>
      </c>
      <c r="Y1153"/>
      <c r="AB1153" s="1"/>
      <c r="AC1153" s="1"/>
    </row>
    <row r="1154" spans="1:29" x14ac:dyDescent="0.3">
      <c r="A1154" s="1">
        <f>ROW(CantoralDB[[#This Row],[Título]])-1</f>
        <v>1153</v>
      </c>
      <c r="B1154" s="1" t="s">
        <v>2290</v>
      </c>
      <c r="C1154" s="1"/>
      <c r="H1154" s="1" t="s">
        <v>1025</v>
      </c>
      <c r="J1154" s="1" t="s">
        <v>605</v>
      </c>
      <c r="M1154" s="15" t="s">
        <v>519</v>
      </c>
      <c r="N1154" s="1" t="s">
        <v>3181</v>
      </c>
      <c r="O1154" s="15">
        <v>1</v>
      </c>
      <c r="P1154" s="15">
        <v>2016</v>
      </c>
      <c r="Q1154" s="15" t="str" cm="1">
        <f t="array" ref="Q11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4" s="15" t="str" cm="1">
        <f t="array" ref="R11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canciones/ixcis/misericordia.html</v>
      </c>
      <c r="T1154" s="1"/>
      <c r="U1154" s="1"/>
      <c r="V1154" s="32" t="s">
        <v>3199</v>
      </c>
      <c r="W11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href="canciones/ixcis/misericordia.html"&gt;Misericordia&lt;/a&gt;&lt;/li&gt;</v>
      </c>
      <c r="X1154" s="15" t="str">
        <f>_xlfn.TEXTBEFORE(_xlfn.TEXTAFTER(CantoralDB[[#This Row],[index.html]],"&gt;"),"&gt;")&amp;"&gt;"</f>
        <v>&lt;a href="canciones/ixcis/misericordia.html"&gt;</v>
      </c>
      <c r="Y1154"/>
      <c r="AB1154" s="1"/>
      <c r="AC1154" s="1"/>
    </row>
    <row r="1155" spans="1:29" x14ac:dyDescent="0.3">
      <c r="A1155" s="1">
        <f>ROW(CantoralDB[[#This Row],[Título]])-1</f>
        <v>1154</v>
      </c>
      <c r="B1155" s="1" t="s">
        <v>4961</v>
      </c>
      <c r="C1155" s="1"/>
      <c r="H1155" s="1" t="s">
        <v>1027</v>
      </c>
      <c r="J1155" s="1" t="s">
        <v>605</v>
      </c>
      <c r="M1155" s="15" t="s">
        <v>519</v>
      </c>
      <c r="N1155" s="1" t="s">
        <v>3181</v>
      </c>
      <c r="O1155" s="15">
        <v>2</v>
      </c>
      <c r="P1155" s="15">
        <v>2016</v>
      </c>
      <c r="Q1155" s="15" t="str" cm="1">
        <f t="array" ref="Q11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5" s="15" t="str" cm="1">
        <f t="array" ref="R11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canciones/ixcis/enseñame_a_quererme.html</v>
      </c>
      <c r="T1155" s="1"/>
      <c r="U1155" s="1"/>
      <c r="V1155" s="32" t="s">
        <v>3200</v>
      </c>
      <c r="W11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href="canciones/ixcis/enseñame_a_quererme.html"&gt;Enséñame a quererme&lt;/a&gt;&lt;/li&gt;</v>
      </c>
      <c r="X1155" s="15" t="str">
        <f>_xlfn.TEXTBEFORE(_xlfn.TEXTAFTER(CantoralDB[[#This Row],[index.html]],"&gt;"),"&gt;")&amp;"&gt;"</f>
        <v>&lt;a href="canciones/ixcis/enseñame_a_quererme.html"&gt;</v>
      </c>
      <c r="Y1155"/>
      <c r="AB1155" s="1"/>
      <c r="AC1155" s="1"/>
    </row>
    <row r="1156" spans="1:29" x14ac:dyDescent="0.3">
      <c r="A1156" s="1">
        <f>ROW(CantoralDB[[#This Row],[Título]])-1</f>
        <v>1155</v>
      </c>
      <c r="B1156" s="1" t="s">
        <v>3182</v>
      </c>
      <c r="C1156" s="1"/>
      <c r="H1156" s="1" t="s">
        <v>529</v>
      </c>
      <c r="I1156" s="1" t="s">
        <v>2945</v>
      </c>
      <c r="J1156" s="1" t="s">
        <v>605</v>
      </c>
      <c r="M1156" s="15" t="s">
        <v>519</v>
      </c>
      <c r="N1156" s="1" t="s">
        <v>3181</v>
      </c>
      <c r="O1156" s="15">
        <v>3</v>
      </c>
      <c r="P1156" s="15">
        <v>2016</v>
      </c>
      <c r="Q1156" s="15" t="str" cm="1">
        <f t="array" ref="Q11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6" s="15" t="str" cm="1">
        <f t="array" ref="R11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canciones/ixcis/tu_sabes_quien_soy.html</v>
      </c>
      <c r="T1156" s="1"/>
      <c r="U1156" s="1"/>
      <c r="V1156" s="32" t="s">
        <v>3201</v>
      </c>
      <c r="W11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href="canciones/ixcis/tu_sabes_quien_soy.html"&gt;Tú sabes quién soy&lt;/a&gt;&lt;/li&gt;</v>
      </c>
      <c r="X1156" s="15" t="str">
        <f>_xlfn.TEXTBEFORE(_xlfn.TEXTAFTER(CantoralDB[[#This Row],[index.html]],"&gt;"),"&gt;")&amp;"&gt;"</f>
        <v>&lt;a href="canciones/ixcis/tu_sabes_quien_soy.html"&gt;</v>
      </c>
      <c r="Y1156"/>
      <c r="AB1156" s="1"/>
      <c r="AC1156" s="1"/>
    </row>
    <row r="1157" spans="1:29" x14ac:dyDescent="0.3">
      <c r="A1157" s="1">
        <f>ROW(CantoralDB[[#This Row],[Título]])-1</f>
        <v>1156</v>
      </c>
      <c r="B1157" s="1" t="s">
        <v>3183</v>
      </c>
      <c r="C1157" s="1"/>
      <c r="H1157" s="1" t="s">
        <v>529</v>
      </c>
      <c r="I1157" s="1" t="s">
        <v>2947</v>
      </c>
      <c r="J1157" s="1" t="s">
        <v>605</v>
      </c>
      <c r="M1157" s="15" t="s">
        <v>519</v>
      </c>
      <c r="N1157" s="1" t="s">
        <v>3181</v>
      </c>
      <c r="O1157" s="15">
        <v>4</v>
      </c>
      <c r="P1157" s="15">
        <v>2016</v>
      </c>
      <c r="Q1157" s="15" t="str" cm="1">
        <f t="array" ref="Q11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7" s="15" t="str" cm="1">
        <f t="array" ref="R11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canciones/ixcis/tu_bondad.html</v>
      </c>
      <c r="T1157" s="1"/>
      <c r="U1157" s="1"/>
      <c r="V1157" s="32" t="s">
        <v>3202</v>
      </c>
      <c r="W11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href="canciones/ixcis/tu_bondad.html"&gt;Tu bondad&lt;/a&gt;&lt;/li&gt;</v>
      </c>
      <c r="X1157" s="15" t="str">
        <f>_xlfn.TEXTBEFORE(_xlfn.TEXTAFTER(CantoralDB[[#This Row],[index.html]],"&gt;"),"&gt;")&amp;"&gt;"</f>
        <v>&lt;a href="canciones/ixcis/tu_bondad.html"&gt;</v>
      </c>
      <c r="Y1157"/>
      <c r="AB1157" s="1"/>
      <c r="AC1157" s="1"/>
    </row>
    <row r="1158" spans="1:29" x14ac:dyDescent="0.3">
      <c r="A1158" s="1">
        <f>ROW(CantoralDB[[#This Row],[Título]])-1</f>
        <v>1157</v>
      </c>
      <c r="B1158" s="1" t="s">
        <v>3184</v>
      </c>
      <c r="C1158" s="1"/>
      <c r="H1158" s="1" t="s">
        <v>1027</v>
      </c>
      <c r="J1158" s="1" t="s">
        <v>605</v>
      </c>
      <c r="M1158" s="15" t="s">
        <v>519</v>
      </c>
      <c r="N1158" s="1" t="s">
        <v>3181</v>
      </c>
      <c r="O1158" s="15">
        <v>5</v>
      </c>
      <c r="P1158" s="15">
        <v>2016</v>
      </c>
      <c r="Q1158" s="15" t="str" cm="1">
        <f t="array" ref="Q11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8" s="15" t="str" cm="1">
        <f t="array" ref="R11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canciones/ixcis/levantaos_esta_cerca.html</v>
      </c>
      <c r="T1158" s="1"/>
      <c r="U1158" s="1"/>
      <c r="V1158" s="32" t="s">
        <v>3203</v>
      </c>
      <c r="W11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href="canciones/ixcis/levantaos_esta_cerca.html"&gt;Levantaos, está cerca&lt;/a&gt;&lt;/li&gt;</v>
      </c>
      <c r="X1158" s="15" t="str">
        <f>_xlfn.TEXTBEFORE(_xlfn.TEXTAFTER(CantoralDB[[#This Row],[index.html]],"&gt;"),"&gt;")&amp;"&gt;"</f>
        <v>&lt;a href="canciones/ixcis/levantaos_esta_cerca.html"&gt;</v>
      </c>
      <c r="Y1158"/>
      <c r="AB1158" s="1"/>
      <c r="AC1158" s="1"/>
    </row>
    <row r="1159" spans="1:29" x14ac:dyDescent="0.3">
      <c r="A1159" s="1">
        <f>ROW(CantoralDB[[#This Row],[Título]])-1</f>
        <v>1158</v>
      </c>
      <c r="B1159" s="1" t="s">
        <v>3185</v>
      </c>
      <c r="C1159" s="1"/>
      <c r="H1159" s="1" t="s">
        <v>529</v>
      </c>
      <c r="J1159" s="1" t="s">
        <v>605</v>
      </c>
      <c r="M1159" s="15" t="s">
        <v>519</v>
      </c>
      <c r="N1159" s="1" t="s">
        <v>3181</v>
      </c>
      <c r="O1159" s="15">
        <v>6</v>
      </c>
      <c r="P1159" s="15">
        <v>2016</v>
      </c>
      <c r="Q1159" s="15" t="str" cm="1">
        <f t="array" ref="Q11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59" s="15" t="str" cm="1">
        <f t="array" ref="R11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canciones/ixcis/ven_a_sanarme.html</v>
      </c>
      <c r="T1159" s="1"/>
      <c r="U1159" s="1"/>
      <c r="V1159" s="32" t="s">
        <v>3204</v>
      </c>
      <c r="W11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href="canciones/ixcis/ven_a_sanarme.html"&gt;Ven a sanarme&lt;/a&gt;&lt;/li&gt;</v>
      </c>
      <c r="X1159" s="15" t="str">
        <f>_xlfn.TEXTBEFORE(_xlfn.TEXTAFTER(CantoralDB[[#This Row],[index.html]],"&gt;"),"&gt;")&amp;"&gt;"</f>
        <v>&lt;a href="canciones/ixcis/ven_a_sanarme.html"&gt;</v>
      </c>
      <c r="Y1159"/>
      <c r="AB1159" s="1"/>
      <c r="AC1159" s="1"/>
    </row>
    <row r="1160" spans="1:29" x14ac:dyDescent="0.3">
      <c r="A1160" s="1">
        <f>ROW(CantoralDB[[#This Row],[Título]])-1</f>
        <v>1159</v>
      </c>
      <c r="B1160" s="1" t="s">
        <v>3186</v>
      </c>
      <c r="C1160" s="1"/>
      <c r="H1160" s="1" t="s">
        <v>529</v>
      </c>
      <c r="I1160" s="1" t="s">
        <v>2948</v>
      </c>
      <c r="J1160" s="1" t="s">
        <v>605</v>
      </c>
      <c r="M1160" s="15" t="s">
        <v>519</v>
      </c>
      <c r="N1160" s="1" t="s">
        <v>3181</v>
      </c>
      <c r="O1160" s="15">
        <v>8</v>
      </c>
      <c r="P1160" s="15">
        <v>2016</v>
      </c>
      <c r="Q1160" s="15" t="str" cm="1">
        <f t="array" ref="Q11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0" s="15" t="str" cm="1">
        <f t="array" ref="R11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canciones/ixcis/el_circulo_del_juicio.html</v>
      </c>
      <c r="T1160" s="1"/>
      <c r="U1160" s="1"/>
      <c r="V1160" s="32" t="s">
        <v>3205</v>
      </c>
      <c r="W11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href="canciones/ixcis/el_circulo_del_juicio.html"&gt;El círculo del juicio&lt;/a&gt;&lt;/li&gt;</v>
      </c>
      <c r="X1160" s="15" t="str">
        <f>_xlfn.TEXTBEFORE(_xlfn.TEXTAFTER(CantoralDB[[#This Row],[index.html]],"&gt;"),"&gt;")&amp;"&gt;"</f>
        <v>&lt;a href="canciones/ixcis/el_circulo_del_juicio.html"&gt;</v>
      </c>
      <c r="Y1160"/>
      <c r="AB1160" s="1"/>
      <c r="AC1160" s="1"/>
    </row>
    <row r="1161" spans="1:29" x14ac:dyDescent="0.3">
      <c r="A1161" s="1">
        <f>ROW(CantoralDB[[#This Row],[Título]])-1</f>
        <v>1160</v>
      </c>
      <c r="B1161" s="1" t="s">
        <v>2795</v>
      </c>
      <c r="C1161" s="1"/>
      <c r="H1161" s="1" t="s">
        <v>1024</v>
      </c>
      <c r="J1161" s="1" t="s">
        <v>605</v>
      </c>
      <c r="M1161" s="15" t="s">
        <v>519</v>
      </c>
      <c r="N1161" s="1" t="s">
        <v>3181</v>
      </c>
      <c r="O1161" s="15">
        <v>9</v>
      </c>
      <c r="P1161" s="15">
        <v>2016</v>
      </c>
      <c r="Q1161" s="15" t="str" cm="1">
        <f t="array" ref="Q11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1" s="15" t="str" cm="1">
        <f t="array" ref="R11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canciones/ixcis/hijo_de_david.html</v>
      </c>
      <c r="T1161" s="1"/>
      <c r="U1161" s="1"/>
      <c r="V1161" s="32" t="s">
        <v>3206</v>
      </c>
      <c r="W11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href="canciones/ixcis/hijo_de_david.html"&gt;Hijo de David&lt;/a&gt;&lt;/li&gt;</v>
      </c>
      <c r="X1161" s="15" t="str">
        <f>_xlfn.TEXTBEFORE(_xlfn.TEXTAFTER(CantoralDB[[#This Row],[index.html]],"&gt;"),"&gt;")&amp;"&gt;"</f>
        <v>&lt;a href="canciones/ixcis/hijo_de_david.html"&gt;</v>
      </c>
      <c r="Y1161"/>
      <c r="AB1161" s="1"/>
      <c r="AC1161" s="1"/>
    </row>
    <row r="1162" spans="1:29" x14ac:dyDescent="0.3">
      <c r="A1162" s="1">
        <f>ROW(CantoralDB[[#This Row],[Título]])-1</f>
        <v>1161</v>
      </c>
      <c r="B1162" s="1" t="s">
        <v>3187</v>
      </c>
      <c r="C1162" s="1"/>
      <c r="H1162" s="1" t="s">
        <v>1027</v>
      </c>
      <c r="J1162" s="1" t="s">
        <v>605</v>
      </c>
      <c r="M1162" s="15" t="s">
        <v>519</v>
      </c>
      <c r="N1162" s="1" t="s">
        <v>3181</v>
      </c>
      <c r="O1162" s="15">
        <v>10</v>
      </c>
      <c r="P1162" s="15">
        <v>2016</v>
      </c>
      <c r="Q1162" s="15" t="str" cm="1">
        <f t="array" ref="Q11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2" s="15" t="str" cm="1">
        <f t="array" ref="R11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canciones/ixcis/hambre_y_sed_de_ti.html</v>
      </c>
      <c r="T1162" s="1"/>
      <c r="U1162" s="1"/>
      <c r="V1162" s="32" t="s">
        <v>3207</v>
      </c>
      <c r="W11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href="canciones/ixcis/hambre_y_sed_de_ti.html"&gt;Hambre y sed de ti&lt;/a&gt;&lt;/li&gt;</v>
      </c>
      <c r="X1162" s="15" t="str">
        <f>_xlfn.TEXTBEFORE(_xlfn.TEXTAFTER(CantoralDB[[#This Row],[index.html]],"&gt;"),"&gt;")&amp;"&gt;"</f>
        <v>&lt;a href="canciones/ixcis/hambre_y_sed_de_ti.html"&gt;</v>
      </c>
      <c r="Y1162"/>
      <c r="AB1162" s="1"/>
      <c r="AC1162" s="1"/>
    </row>
    <row r="1163" spans="1:29" x14ac:dyDescent="0.3">
      <c r="A1163" s="1">
        <f>ROW(CantoralDB[[#This Row],[Título]])-1</f>
        <v>1162</v>
      </c>
      <c r="B1163" s="1" t="s">
        <v>3188</v>
      </c>
      <c r="C1163" s="1"/>
      <c r="H1163" s="1" t="s">
        <v>1027</v>
      </c>
      <c r="J1163" s="1" t="s">
        <v>605</v>
      </c>
      <c r="M1163" s="15" t="s">
        <v>519</v>
      </c>
      <c r="N1163" s="1" t="s">
        <v>3181</v>
      </c>
      <c r="O1163" s="15">
        <v>11</v>
      </c>
      <c r="P1163" s="15">
        <v>2016</v>
      </c>
      <c r="Q1163" s="15" t="str" cm="1">
        <f t="array" ref="Q11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3" s="15" t="str" cm="1">
        <f t="array" ref="R11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canciones/ixcis/madre_de_la_humanidad.html</v>
      </c>
      <c r="T1163" s="1"/>
      <c r="U1163" s="1"/>
      <c r="V1163" s="32" t="s">
        <v>3208</v>
      </c>
      <c r="W11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href="canciones/ixcis/madre_de_la_humanidad.html"&gt;Madre de la humanidad&lt;/a&gt;&lt;/li&gt;</v>
      </c>
      <c r="X1163" s="15" t="str">
        <f>_xlfn.TEXTBEFORE(_xlfn.TEXTAFTER(CantoralDB[[#This Row],[index.html]],"&gt;"),"&gt;")&amp;"&gt;"</f>
        <v>&lt;a href="canciones/ixcis/madre_de_la_humanidad.html"&gt;</v>
      </c>
      <c r="Y1163"/>
      <c r="AB1163" s="1"/>
      <c r="AC1163" s="1"/>
    </row>
    <row r="1164" spans="1:29" x14ac:dyDescent="0.3">
      <c r="A1164" s="1">
        <f>ROW(CantoralDB[[#This Row],[Título]])-1</f>
        <v>1163</v>
      </c>
      <c r="B1164" s="1" t="s">
        <v>3189</v>
      </c>
      <c r="C1164" s="1"/>
      <c r="H1164" s="1" t="s">
        <v>529</v>
      </c>
      <c r="I1164" s="1" t="s">
        <v>2945</v>
      </c>
      <c r="J1164" s="1" t="s">
        <v>605</v>
      </c>
      <c r="M1164" s="15" t="s">
        <v>519</v>
      </c>
      <c r="N1164" s="1" t="s">
        <v>3181</v>
      </c>
      <c r="O1164" s="15">
        <v>12</v>
      </c>
      <c r="P1164" s="15">
        <v>2016</v>
      </c>
      <c r="Q1164" s="15" t="str" cm="1">
        <f t="array" ref="Q11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4" s="15" t="str" cm="1">
        <f t="array" ref="R11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canciones/ixcis/transformame.html</v>
      </c>
      <c r="T1164" s="1"/>
      <c r="U1164" s="1"/>
      <c r="V1164" s="32" t="s">
        <v>3209</v>
      </c>
      <c r="W11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href="canciones/ixcis/transformame.html"&gt;Transfórmame&lt;/a&gt;&lt;/li&gt;</v>
      </c>
      <c r="X1164" s="15" t="str">
        <f>_xlfn.TEXTBEFORE(_xlfn.TEXTAFTER(CantoralDB[[#This Row],[index.html]],"&gt;"),"&gt;")&amp;"&gt;"</f>
        <v>&lt;a href="canciones/ixcis/transformame.html"&gt;</v>
      </c>
      <c r="Y1164"/>
      <c r="AB1164" s="1"/>
      <c r="AC1164" s="1"/>
    </row>
    <row r="1165" spans="1:29" x14ac:dyDescent="0.3">
      <c r="A1165" s="1">
        <f>ROW(CantoralDB[[#This Row],[Título]])-1</f>
        <v>1164</v>
      </c>
      <c r="B1165" s="1" t="s">
        <v>3190</v>
      </c>
      <c r="C1165" s="1"/>
      <c r="H1165" s="1" t="s">
        <v>1024</v>
      </c>
      <c r="J1165" s="1" t="s">
        <v>605</v>
      </c>
      <c r="M1165" s="15" t="s">
        <v>519</v>
      </c>
      <c r="N1165" s="1" t="s">
        <v>3181</v>
      </c>
      <c r="O1165" s="15">
        <v>13</v>
      </c>
      <c r="P1165" s="15">
        <v>2016</v>
      </c>
      <c r="Q1165" s="15" t="str" cm="1">
        <f t="array" ref="Q11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5" s="15" t="str" cm="1">
        <f t="array" ref="R11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canciones/ixcis/quien_curara.html</v>
      </c>
      <c r="T1165" s="1"/>
      <c r="U1165" s="1"/>
      <c r="V1165" s="32" t="s">
        <v>3210</v>
      </c>
      <c r="W11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href="canciones/ixcis/quien_curara.html"&gt;Quién curará&lt;/a&gt;&lt;/li&gt;</v>
      </c>
      <c r="X1165" s="15" t="str">
        <f>_xlfn.TEXTBEFORE(_xlfn.TEXTAFTER(CantoralDB[[#This Row],[index.html]],"&gt;"),"&gt;")&amp;"&gt;"</f>
        <v>&lt;a href="canciones/ixcis/quien_curara.html"&gt;</v>
      </c>
      <c r="Y1165"/>
      <c r="AB1165" s="1"/>
      <c r="AC1165" s="1"/>
    </row>
    <row r="1166" spans="1:29" x14ac:dyDescent="0.3">
      <c r="A1166" s="1">
        <f>ROW(CantoralDB[[#This Row],[Título]])-1</f>
        <v>1165</v>
      </c>
      <c r="B1166" s="1" t="s">
        <v>3191</v>
      </c>
      <c r="C1166" s="1"/>
      <c r="H1166" s="1" t="s">
        <v>529</v>
      </c>
      <c r="J1166" s="1" t="s">
        <v>605</v>
      </c>
      <c r="M1166" s="15" t="s">
        <v>519</v>
      </c>
      <c r="N1166" s="1" t="s">
        <v>3181</v>
      </c>
      <c r="O1166" s="15">
        <v>14</v>
      </c>
      <c r="P1166" s="15">
        <v>2016</v>
      </c>
      <c r="Q1166" s="15" t="str" cm="1">
        <f t="array" ref="Q11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6" s="15" t="str" cm="1">
        <f t="array" ref="R11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canciones/ixcis/lazaro_grita.html</v>
      </c>
      <c r="T1166" s="1"/>
      <c r="U1166" s="1"/>
      <c r="V1166" s="32" t="s">
        <v>3211</v>
      </c>
      <c r="W11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href="canciones/ixcis/lazaro_grita.html"&gt;Lázaro grita&lt;/a&gt;&lt;/li&gt;</v>
      </c>
      <c r="X1166" s="15" t="str">
        <f>_xlfn.TEXTBEFORE(_xlfn.TEXTAFTER(CantoralDB[[#This Row],[index.html]],"&gt;"),"&gt;")&amp;"&gt;"</f>
        <v>&lt;a href="canciones/ixcis/lazaro_grita.html"&gt;</v>
      </c>
      <c r="Y1166"/>
      <c r="AB1166" s="1"/>
      <c r="AC1166" s="1"/>
    </row>
    <row r="1167" spans="1:29" x14ac:dyDescent="0.3">
      <c r="A1167" s="1">
        <f>ROW(CantoralDB[[#This Row],[Título]])-1</f>
        <v>1166</v>
      </c>
      <c r="B1167" s="1" t="s">
        <v>3213</v>
      </c>
      <c r="C1167" s="1"/>
      <c r="H1167" s="1" t="s">
        <v>529</v>
      </c>
      <c r="I1167" s="1" t="s">
        <v>2948</v>
      </c>
      <c r="J1167" s="1" t="s">
        <v>605</v>
      </c>
      <c r="M1167" s="15" t="s">
        <v>519</v>
      </c>
      <c r="N1167" s="1" t="s">
        <v>3181</v>
      </c>
      <c r="O1167" s="15">
        <v>15</v>
      </c>
      <c r="P1167" s="15">
        <v>2016</v>
      </c>
      <c r="Q1167" s="15" t="str" cm="1">
        <f t="array" ref="Q11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7" s="15" t="str" cm="1">
        <f t="array" ref="R11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canciones/ixcis/mi_buen_pastor.html</v>
      </c>
      <c r="T1167" s="1"/>
      <c r="U1167" s="1"/>
      <c r="V1167" s="32" t="s">
        <v>3212</v>
      </c>
      <c r="W11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href="canciones/ixcis/mi_buen_pastor.html"&gt;Mi buen Pastor&lt;/a&gt;&lt;/li&gt;</v>
      </c>
      <c r="X1167" s="15" t="str">
        <f>_xlfn.TEXTBEFORE(_xlfn.TEXTAFTER(CantoralDB[[#This Row],[index.html]],"&gt;"),"&gt;")&amp;"&gt;"</f>
        <v>&lt;a href="canciones/ixcis/mi_buen_pastor.html"&gt;</v>
      </c>
      <c r="Y1167"/>
      <c r="AB1167" s="1"/>
      <c r="AC1167" s="1"/>
    </row>
    <row r="1168" spans="1:29" x14ac:dyDescent="0.3">
      <c r="A1168" s="1">
        <f>ROW(CantoralDB[[#This Row],[Título]])-1</f>
        <v>1167</v>
      </c>
      <c r="B1168" s="1" t="s">
        <v>3192</v>
      </c>
      <c r="C1168" s="1"/>
      <c r="H1168" s="1" t="s">
        <v>529</v>
      </c>
      <c r="I1168" s="1" t="s">
        <v>2945</v>
      </c>
      <c r="J1168" s="1" t="s">
        <v>605</v>
      </c>
      <c r="M1168" s="15" t="s">
        <v>519</v>
      </c>
      <c r="N1168" s="1" t="s">
        <v>3181</v>
      </c>
      <c r="O1168" s="15">
        <v>16</v>
      </c>
      <c r="P1168" s="15">
        <v>2016</v>
      </c>
      <c r="Q1168" s="15" t="str" cm="1">
        <f t="array" ref="Q11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8" s="15" t="str" cm="1">
        <f t="array" ref="R11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canciones/ixcis/la_ley_y_el_sabado.html</v>
      </c>
      <c r="T1168" s="1"/>
      <c r="U1168" s="1"/>
      <c r="V1168" s="32" t="s">
        <v>3214</v>
      </c>
      <c r="W11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href="canciones/ixcis/la_ley_y_el_sabado.html"&gt;La ley y el sábado&lt;/a&gt;&lt;/li&gt;</v>
      </c>
      <c r="X1168" s="15" t="str">
        <f>_xlfn.TEXTBEFORE(_xlfn.TEXTAFTER(CantoralDB[[#This Row],[index.html]],"&gt;"),"&gt;")&amp;"&gt;"</f>
        <v>&lt;a href="canciones/ixcis/la_ley_y_el_sabado.html"&gt;</v>
      </c>
      <c r="Y1168"/>
      <c r="AB1168" s="1"/>
      <c r="AC1168" s="1"/>
    </row>
    <row r="1169" spans="1:29" x14ac:dyDescent="0.3">
      <c r="A1169" s="1">
        <f>ROW(CantoralDB[[#This Row],[Título]])-1</f>
        <v>1168</v>
      </c>
      <c r="B1169" s="1" t="s">
        <v>3193</v>
      </c>
      <c r="C1169" s="1"/>
      <c r="H1169" s="1" t="s">
        <v>1027</v>
      </c>
      <c r="J1169" s="1" t="s">
        <v>605</v>
      </c>
      <c r="M1169" s="15" t="s">
        <v>519</v>
      </c>
      <c r="N1169" s="1" t="s">
        <v>3181</v>
      </c>
      <c r="O1169" s="15">
        <v>17</v>
      </c>
      <c r="P1169" s="15">
        <v>2016</v>
      </c>
      <c r="Q1169" s="15" t="str" cm="1">
        <f t="array" ref="Q11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69" s="15" t="str" cm="1">
        <f t="array" ref="R11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canciones/ixcis/el_ayuno_que_yo_quiero.html</v>
      </c>
      <c r="T1169" s="1"/>
      <c r="U1169" s="1"/>
      <c r="V1169" s="32" t="s">
        <v>3215</v>
      </c>
      <c r="W11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href="canciones/ixcis/el_ayuno_que_yo_quiero.html"&gt;El ayuno que yo quiero&lt;/a&gt;&lt;/li&gt;</v>
      </c>
      <c r="X1169" s="15" t="str">
        <f>_xlfn.TEXTBEFORE(_xlfn.TEXTAFTER(CantoralDB[[#This Row],[index.html]],"&gt;"),"&gt;")&amp;"&gt;"</f>
        <v>&lt;a href="canciones/ixcis/el_ayuno_que_yo_quiero.html"&gt;</v>
      </c>
      <c r="Y1169"/>
      <c r="AB1169" s="1"/>
      <c r="AC1169" s="1"/>
    </row>
    <row r="1170" spans="1:29" x14ac:dyDescent="0.3">
      <c r="A1170" s="1">
        <f>ROW(CantoralDB[[#This Row],[Título]])-1</f>
        <v>1169</v>
      </c>
      <c r="B1170" s="1" t="s">
        <v>3194</v>
      </c>
      <c r="C1170" s="1"/>
      <c r="H1170" s="1" t="s">
        <v>1027</v>
      </c>
      <c r="J1170" s="1" t="s">
        <v>605</v>
      </c>
      <c r="M1170" s="15" t="s">
        <v>519</v>
      </c>
      <c r="N1170" s="1" t="s">
        <v>3181</v>
      </c>
      <c r="O1170" s="15">
        <v>18</v>
      </c>
      <c r="P1170" s="15">
        <v>2016</v>
      </c>
      <c r="Q1170" s="15" t="str" cm="1">
        <f t="array" ref="Q11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0" s="15" t="str" cm="1">
        <f t="array" ref="R11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canciones/ixcis/amad_a_vuestros_enemigos.html</v>
      </c>
      <c r="T1170" s="1"/>
      <c r="U1170" s="1"/>
      <c r="V1170" s="32" t="s">
        <v>3216</v>
      </c>
      <c r="W11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href="canciones/ixcis/amad_a_vuestros_enemigos.html"&gt;Amad a vuestros enemigos&lt;/a&gt;&lt;/li&gt;</v>
      </c>
      <c r="X1170" s="15" t="str">
        <f>_xlfn.TEXTBEFORE(_xlfn.TEXTAFTER(CantoralDB[[#This Row],[index.html]],"&gt;"),"&gt;")&amp;"&gt;"</f>
        <v>&lt;a href="canciones/ixcis/amad_a_vuestros_enemigos.html"&gt;</v>
      </c>
      <c r="Y1170"/>
      <c r="AB1170" s="1"/>
      <c r="AC1170" s="1"/>
    </row>
    <row r="1171" spans="1:29" x14ac:dyDescent="0.3">
      <c r="A1171" s="1">
        <f>ROW(CantoralDB[[#This Row],[Título]])-1</f>
        <v>1170</v>
      </c>
      <c r="B1171" s="1" t="s">
        <v>3195</v>
      </c>
      <c r="C1171" s="1"/>
      <c r="H1171" s="1" t="s">
        <v>529</v>
      </c>
      <c r="J1171" s="1" t="s">
        <v>605</v>
      </c>
      <c r="M1171" s="15" t="s">
        <v>519</v>
      </c>
      <c r="N1171" s="1" t="s">
        <v>3181</v>
      </c>
      <c r="O1171" s="15">
        <v>19</v>
      </c>
      <c r="P1171" s="15">
        <v>2016</v>
      </c>
      <c r="Q1171" s="15" t="str" cm="1">
        <f t="array" ref="Q11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1" s="15" t="str" cm="1">
        <f t="array" ref="R11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canciones/ixcis/tu_lluvia_desciende.html</v>
      </c>
      <c r="T1171" s="1"/>
      <c r="U1171" s="1"/>
      <c r="V1171" s="32" t="s">
        <v>3217</v>
      </c>
      <c r="W11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href="canciones/ixcis/tu_lluvia_desciende.html"&gt;Tu lluvia desciende&lt;/a&gt;&lt;/li&gt;</v>
      </c>
      <c r="X1171" s="15" t="str">
        <f>_xlfn.TEXTBEFORE(_xlfn.TEXTAFTER(CantoralDB[[#This Row],[index.html]],"&gt;"),"&gt;")&amp;"&gt;"</f>
        <v>&lt;a href="canciones/ixcis/tu_lluvia_desciende.html"&gt;</v>
      </c>
      <c r="Y1171"/>
      <c r="AB1171" s="1"/>
      <c r="AC1171" s="1"/>
    </row>
    <row r="1172" spans="1:29" x14ac:dyDescent="0.3">
      <c r="A1172" s="1">
        <f>ROW(CantoralDB[[#This Row],[Título]])-1</f>
        <v>1171</v>
      </c>
      <c r="B1172" s="1" t="s">
        <v>3196</v>
      </c>
      <c r="C1172" s="1"/>
      <c r="H1172" s="1" t="s">
        <v>1027</v>
      </c>
      <c r="I1172" s="1" t="s">
        <v>2946</v>
      </c>
      <c r="J1172" s="1" t="s">
        <v>605</v>
      </c>
      <c r="M1172" s="15" t="s">
        <v>519</v>
      </c>
      <c r="N1172" s="1" t="s">
        <v>3181</v>
      </c>
      <c r="O1172" s="15">
        <v>21</v>
      </c>
      <c r="P1172" s="15">
        <v>2016</v>
      </c>
      <c r="Q1172" s="15" t="str" cm="1">
        <f t="array" ref="Q11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2" s="15" t="str" cm="1">
        <f t="array" ref="R11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canciones/ixcis/mirad_los_lirios.html</v>
      </c>
      <c r="T1172" s="1"/>
      <c r="U1172" s="1"/>
      <c r="V1172" s="32" t="s">
        <v>3218</v>
      </c>
      <c r="W11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href="canciones/ixcis/mirad_los_lirios.html"&gt;Mirad los lirios&lt;/a&gt;&lt;/li&gt;</v>
      </c>
      <c r="X1172" s="15" t="str">
        <f>_xlfn.TEXTBEFORE(_xlfn.TEXTAFTER(CantoralDB[[#This Row],[index.html]],"&gt;"),"&gt;")&amp;"&gt;"</f>
        <v>&lt;a href="canciones/ixcis/mirad_los_lirios.html"&gt;</v>
      </c>
      <c r="Y1172"/>
      <c r="AB1172" s="1"/>
      <c r="AC1172" s="1"/>
    </row>
    <row r="1173" spans="1:29" x14ac:dyDescent="0.3">
      <c r="A1173" s="1">
        <f>ROW(CantoralDB[[#This Row],[Título]])-1</f>
        <v>1172</v>
      </c>
      <c r="B1173" s="1" t="s">
        <v>3197</v>
      </c>
      <c r="C1173" s="1"/>
      <c r="H1173" s="1" t="s">
        <v>1024</v>
      </c>
      <c r="I1173" s="1" t="s">
        <v>2948</v>
      </c>
      <c r="J1173" s="1" t="s">
        <v>605</v>
      </c>
      <c r="M1173" s="15" t="s">
        <v>519</v>
      </c>
      <c r="N1173" s="1" t="s">
        <v>3181</v>
      </c>
      <c r="O1173" s="15">
        <v>22</v>
      </c>
      <c r="P1173" s="15">
        <v>2016</v>
      </c>
      <c r="Q1173" s="15" t="str" cm="1">
        <f t="array" ref="Q11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3" s="15" t="str" cm="1">
        <f t="array" ref="R11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canciones/ixcis/por_todos.html</v>
      </c>
      <c r="T1173" s="1"/>
      <c r="U1173" s="1"/>
      <c r="V1173" s="32" t="s">
        <v>3219</v>
      </c>
      <c r="W11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href="canciones/ixcis/por_todos.html"&gt;Por todos&lt;/a&gt;&lt;/li&gt;</v>
      </c>
      <c r="X1173" s="15" t="str">
        <f>_xlfn.TEXTBEFORE(_xlfn.TEXTAFTER(CantoralDB[[#This Row],[index.html]],"&gt;"),"&gt;")&amp;"&gt;"</f>
        <v>&lt;a href="canciones/ixcis/por_todos.html"&gt;</v>
      </c>
      <c r="Y1173"/>
      <c r="AB1173" s="1"/>
      <c r="AC1173" s="1"/>
    </row>
    <row r="1174" spans="1:29" x14ac:dyDescent="0.3">
      <c r="A1174" s="1">
        <f>ROW(CantoralDB[[#This Row],[Título]])-1</f>
        <v>1173</v>
      </c>
      <c r="B1174" s="1" t="s">
        <v>1703</v>
      </c>
      <c r="C1174" s="1"/>
      <c r="H1174" s="1" t="s">
        <v>1027</v>
      </c>
      <c r="I1174" s="1" t="s">
        <v>2948</v>
      </c>
      <c r="J1174" s="1" t="s">
        <v>605</v>
      </c>
      <c r="M1174" s="15" t="s">
        <v>519</v>
      </c>
      <c r="N1174" s="1" t="s">
        <v>3181</v>
      </c>
      <c r="O1174" s="15">
        <v>23</v>
      </c>
      <c r="P1174" s="15">
        <v>2016</v>
      </c>
      <c r="Q1174" s="15" t="str" cm="1">
        <f t="array" ref="Q11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4" s="15" t="str" cm="1">
        <f t="array" ref="R11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canciones/ixcis/te_seguire.html</v>
      </c>
      <c r="T1174" s="1"/>
      <c r="U1174" s="1"/>
      <c r="V1174" s="32" t="s">
        <v>3220</v>
      </c>
      <c r="W11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href="canciones/ixcis/te_seguire.html"&gt;Te seguiré&lt;/a&gt;&lt;/li&gt;</v>
      </c>
      <c r="X1174" s="15" t="str">
        <f>_xlfn.TEXTBEFORE(_xlfn.TEXTAFTER(CantoralDB[[#This Row],[index.html]],"&gt;"),"&gt;")&amp;"&gt;"</f>
        <v>&lt;a href="canciones/ixcis/te_seguire.html"&gt;</v>
      </c>
      <c r="Y1174"/>
      <c r="AB1174" s="1"/>
      <c r="AC1174" s="1"/>
    </row>
    <row r="1175" spans="1:29" x14ac:dyDescent="0.3">
      <c r="A1175" s="1">
        <f>ROW(CantoralDB[[#This Row],[Título]])-1</f>
        <v>1174</v>
      </c>
      <c r="B1175" s="1" t="s">
        <v>3198</v>
      </c>
      <c r="C1175" s="1"/>
      <c r="H1175" s="1" t="s">
        <v>529</v>
      </c>
      <c r="I1175" s="1" t="s">
        <v>2945</v>
      </c>
      <c r="J1175" s="1" t="s">
        <v>605</v>
      </c>
      <c r="M1175" s="15" t="s">
        <v>519</v>
      </c>
      <c r="N1175" s="1" t="s">
        <v>3181</v>
      </c>
      <c r="O1175" s="15">
        <v>24</v>
      </c>
      <c r="P1175" s="15">
        <v>2016</v>
      </c>
      <c r="Q1175" s="15" t="str" cm="1">
        <f t="array" ref="Q11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5" s="15" t="str" cm="1">
        <f t="array" ref="R11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canciones/ixcis/proclama_mi_alma.html</v>
      </c>
      <c r="T1175" s="1"/>
      <c r="U1175" s="1"/>
      <c r="V1175" s="32" t="s">
        <v>3221</v>
      </c>
      <c r="W11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href="canciones/ixcis/proclama_mi_alma.html"&gt;Proclama mi alma&lt;/a&gt;&lt;/li&gt;</v>
      </c>
      <c r="X1175" s="15" t="str">
        <f>_xlfn.TEXTBEFORE(_xlfn.TEXTAFTER(CantoralDB[[#This Row],[index.html]],"&gt;"),"&gt;")&amp;"&gt;"</f>
        <v>&lt;a href="canciones/ixcis/proclama_mi_alma.html"&gt;</v>
      </c>
      <c r="Y1175"/>
      <c r="AB1175" s="1"/>
      <c r="AC1175" s="1"/>
    </row>
    <row r="1176" spans="1:29" x14ac:dyDescent="0.3">
      <c r="A1176" s="1">
        <f>ROW(CantoralDB[[#This Row],[Título]])-1</f>
        <v>1175</v>
      </c>
      <c r="B1176" s="1" t="s">
        <v>3145</v>
      </c>
      <c r="C1176" s="1"/>
      <c r="H1176" s="1" t="s">
        <v>529</v>
      </c>
      <c r="J1176" s="1" t="s">
        <v>605</v>
      </c>
      <c r="M1176" s="15" t="s">
        <v>519</v>
      </c>
      <c r="N1176" s="1" t="s">
        <v>3144</v>
      </c>
      <c r="O1176" s="15">
        <v>1</v>
      </c>
      <c r="P1176" s="15">
        <v>2019</v>
      </c>
      <c r="Q1176" s="15" t="str" cm="1">
        <f t="array" ref="Q11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6" s="15" t="str" cm="1">
        <f t="array" ref="R11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canciones/ixcis/tanto_tiempo.html</v>
      </c>
      <c r="T1176" s="1"/>
      <c r="U1176" s="1"/>
      <c r="V1176" s="32" t="s">
        <v>3146</v>
      </c>
      <c r="W11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href="canciones/ixcis/tanto_tiempo.html"&gt;Tanto tiempo&lt;/a&gt;&lt;/li&gt;</v>
      </c>
      <c r="X1176" s="15" t="str">
        <f>_xlfn.TEXTBEFORE(_xlfn.TEXTAFTER(CantoralDB[[#This Row],[index.html]],"&gt;"),"&gt;")&amp;"&gt;"</f>
        <v>&lt;a href="canciones/ixcis/tanto_tiempo.html"&gt;</v>
      </c>
      <c r="Y1176"/>
      <c r="AB1176" s="1"/>
      <c r="AC1176" s="1"/>
    </row>
    <row r="1177" spans="1:29" x14ac:dyDescent="0.3">
      <c r="A1177" s="1">
        <f>ROW(CantoralDB[[#This Row],[Título]])-1</f>
        <v>1176</v>
      </c>
      <c r="B1177" s="1" t="s">
        <v>3147</v>
      </c>
      <c r="C1177" s="1"/>
      <c r="H1177" s="1" t="s">
        <v>529</v>
      </c>
      <c r="J1177" s="1" t="s">
        <v>605</v>
      </c>
      <c r="M1177" s="15" t="s">
        <v>519</v>
      </c>
      <c r="N1177" s="1" t="s">
        <v>3144</v>
      </c>
      <c r="O1177" s="15">
        <v>2</v>
      </c>
      <c r="P1177" s="15">
        <v>2019</v>
      </c>
      <c r="Q1177" s="15" t="str" cm="1">
        <f t="array" ref="Q11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7" s="15" t="str" cm="1">
        <f t="array" ref="R11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canciones/ixcis/tu_en_mi_yo_en_todos.html</v>
      </c>
      <c r="T1177" s="1"/>
      <c r="U1177" s="1"/>
      <c r="V1177" s="32" t="s">
        <v>3161</v>
      </c>
      <c r="W11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href="canciones/ixcis/tu_en_mi_yo_en_todos.html"&gt;Tú en mí, yo en todos&lt;/a&gt;&lt;/li&gt;</v>
      </c>
      <c r="X1177" s="15" t="str">
        <f>_xlfn.TEXTBEFORE(_xlfn.TEXTAFTER(CantoralDB[[#This Row],[index.html]],"&gt;"),"&gt;")&amp;"&gt;"</f>
        <v>&lt;a href="canciones/ixcis/tu_en_mi_yo_en_todos.html"&gt;</v>
      </c>
      <c r="Y1177"/>
      <c r="AB1177" s="1"/>
      <c r="AC1177" s="1"/>
    </row>
    <row r="1178" spans="1:29" x14ac:dyDescent="0.3">
      <c r="A1178" s="1">
        <f>ROW(CantoralDB[[#This Row],[Título]])-1</f>
        <v>1177</v>
      </c>
      <c r="B1178" s="1" t="s">
        <v>3148</v>
      </c>
      <c r="C1178" s="1"/>
      <c r="H1178" s="1" t="s">
        <v>1027</v>
      </c>
      <c r="J1178" s="1" t="s">
        <v>605</v>
      </c>
      <c r="M1178" s="15" t="s">
        <v>519</v>
      </c>
      <c r="N1178" s="1" t="s">
        <v>3144</v>
      </c>
      <c r="O1178" s="15">
        <v>3</v>
      </c>
      <c r="P1178" s="15">
        <v>2019</v>
      </c>
      <c r="Q1178" s="15" t="str" cm="1">
        <f t="array" ref="Q11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8" s="15" t="str" cm="1">
        <f t="array" ref="R11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canciones/ixcis/padre_me_ofrezco.html</v>
      </c>
      <c r="T1178" s="1"/>
      <c r="U1178" s="1"/>
      <c r="V1178" s="32" t="s">
        <v>3162</v>
      </c>
      <c r="W11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href="canciones/ixcis/padre_me_ofrezco.html"&gt;Padre, me ofrezco&lt;/a&gt;&lt;/li&gt;</v>
      </c>
      <c r="X1178" s="15" t="str">
        <f>_xlfn.TEXTBEFORE(_xlfn.TEXTAFTER(CantoralDB[[#This Row],[index.html]],"&gt;"),"&gt;")&amp;"&gt;"</f>
        <v>&lt;a href="canciones/ixcis/padre_me_ofrezco.html"&gt;</v>
      </c>
      <c r="Y1178"/>
      <c r="AB1178" s="1"/>
      <c r="AC1178" s="1"/>
    </row>
    <row r="1179" spans="1:29" x14ac:dyDescent="0.3">
      <c r="A1179" s="1">
        <f>ROW(CantoralDB[[#This Row],[Título]])-1</f>
        <v>1178</v>
      </c>
      <c r="B1179" s="1" t="s">
        <v>3149</v>
      </c>
      <c r="C1179" s="1"/>
      <c r="H1179" s="1" t="s">
        <v>1025</v>
      </c>
      <c r="J1179" s="1" t="s">
        <v>605</v>
      </c>
      <c r="M1179" s="15" t="s">
        <v>519</v>
      </c>
      <c r="N1179" s="1" t="s">
        <v>3144</v>
      </c>
      <c r="O1179" s="15">
        <v>4</v>
      </c>
      <c r="P1179" s="15">
        <v>2019</v>
      </c>
      <c r="Q1179" s="15" t="str" cm="1">
        <f t="array" ref="Q11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79" s="15" t="str" cm="1">
        <f t="array" ref="R11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canciones/ixcis/dios_padre_y_madre.html</v>
      </c>
      <c r="T1179" s="1"/>
      <c r="U1179" s="1"/>
      <c r="V1179" s="32" t="s">
        <v>3163</v>
      </c>
      <c r="W11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href="canciones/ixcis/dios_padre_y_madre.html"&gt;Dios Padre y Madre&lt;/a&gt;&lt;/li&gt;</v>
      </c>
      <c r="X1179" s="15" t="str">
        <f>_xlfn.TEXTBEFORE(_xlfn.TEXTAFTER(CantoralDB[[#This Row],[index.html]],"&gt;"),"&gt;")&amp;"&gt;"</f>
        <v>&lt;a href="canciones/ixcis/dios_padre_y_madre.html"&gt;</v>
      </c>
      <c r="Y1179"/>
      <c r="AB1179" s="1"/>
      <c r="AC1179" s="1"/>
    </row>
    <row r="1180" spans="1:29" x14ac:dyDescent="0.3">
      <c r="A1180" s="1">
        <f>ROW(CantoralDB[[#This Row],[Título]])-1</f>
        <v>1179</v>
      </c>
      <c r="B1180" s="1" t="s">
        <v>3150</v>
      </c>
      <c r="C1180" s="1"/>
      <c r="H1180" s="1" t="s">
        <v>529</v>
      </c>
      <c r="J1180" s="1" t="s">
        <v>605</v>
      </c>
      <c r="M1180" s="15" t="s">
        <v>519</v>
      </c>
      <c r="N1180" s="1" t="s">
        <v>3144</v>
      </c>
      <c r="O1180" s="15">
        <v>5</v>
      </c>
      <c r="P1180" s="15">
        <v>2019</v>
      </c>
      <c r="Q1180" s="15" t="str" cm="1">
        <f t="array" ref="Q11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0" s="15" t="str" cm="1">
        <f t="array" ref="R11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canciones/ixcis/dios_del_cielo.html</v>
      </c>
      <c r="T1180" s="1"/>
      <c r="U1180" s="1"/>
      <c r="V1180" s="32" t="s">
        <v>3164</v>
      </c>
      <c r="W11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href="canciones/ixcis/dios_del_cielo.html"&gt;Dios del cielo&lt;/a&gt;&lt;/li&gt;</v>
      </c>
      <c r="X1180" s="15" t="str">
        <f>_xlfn.TEXTBEFORE(_xlfn.TEXTAFTER(CantoralDB[[#This Row],[index.html]],"&gt;"),"&gt;")&amp;"&gt;"</f>
        <v>&lt;a href="canciones/ixcis/dios_del_cielo.html"&gt;</v>
      </c>
      <c r="Y1180"/>
      <c r="AB1180" s="1"/>
      <c r="AC1180" s="1"/>
    </row>
    <row r="1181" spans="1:29" x14ac:dyDescent="0.3">
      <c r="A1181" s="1">
        <f>ROW(CantoralDB[[#This Row],[Título]])-1</f>
        <v>1180</v>
      </c>
      <c r="B1181" s="1" t="s">
        <v>3151</v>
      </c>
      <c r="C1181" s="1"/>
      <c r="H1181" s="1" t="s">
        <v>1027</v>
      </c>
      <c r="J1181" s="1" t="s">
        <v>605</v>
      </c>
      <c r="M1181" s="15" t="s">
        <v>519</v>
      </c>
      <c r="N1181" s="1" t="s">
        <v>3144</v>
      </c>
      <c r="O1181" s="15">
        <v>6</v>
      </c>
      <c r="P1181" s="15">
        <v>2019</v>
      </c>
      <c r="Q1181" s="15" t="str" cm="1">
        <f t="array" ref="Q11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1" s="15" t="str" cm="1">
        <f t="array" ref="R11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canciones/ixcis/santificare_tu_nombre.html</v>
      </c>
      <c r="T1181" s="1"/>
      <c r="U1181" s="1"/>
      <c r="V1181" s="32" t="s">
        <v>3165</v>
      </c>
      <c r="W11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href="canciones/ixcis/santificare_tu_nombre.html"&gt;Santificaré tu nombre&lt;/a&gt;&lt;/li&gt;</v>
      </c>
      <c r="X1181" s="15" t="str">
        <f>_xlfn.TEXTBEFORE(_xlfn.TEXTAFTER(CantoralDB[[#This Row],[index.html]],"&gt;"),"&gt;")&amp;"&gt;"</f>
        <v>&lt;a href="canciones/ixcis/santificare_tu_nombre.html"&gt;</v>
      </c>
      <c r="Y1181"/>
      <c r="AB1181" s="1"/>
      <c r="AC1181" s="1"/>
    </row>
    <row r="1182" spans="1:29" x14ac:dyDescent="0.3">
      <c r="A1182" s="1">
        <f>ROW(CantoralDB[[#This Row],[Título]])-1</f>
        <v>1181</v>
      </c>
      <c r="B1182" s="1" t="s">
        <v>3152</v>
      </c>
      <c r="C1182" s="1"/>
      <c r="H1182" s="1" t="s">
        <v>529</v>
      </c>
      <c r="J1182" s="1" t="s">
        <v>605</v>
      </c>
      <c r="M1182" s="15" t="s">
        <v>519</v>
      </c>
      <c r="N1182" s="1" t="s">
        <v>3144</v>
      </c>
      <c r="O1182" s="15">
        <v>7</v>
      </c>
      <c r="P1182" s="15">
        <v>2019</v>
      </c>
      <c r="Q1182" s="15" t="str" cm="1">
        <f t="array" ref="Q11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2" s="15" t="str" cm="1">
        <f t="array" ref="R11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canciones/ixcis/parabola_del_reino.html</v>
      </c>
      <c r="T1182" s="1"/>
      <c r="U1182" s="1"/>
      <c r="V1182" s="32" t="s">
        <v>3166</v>
      </c>
      <c r="W11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href="canciones/ixcis/parabola_del_reino.html"&gt;Parábola del Reino&lt;/a&gt;&lt;/li&gt;</v>
      </c>
      <c r="X1182" s="15" t="str">
        <f>_xlfn.TEXTBEFORE(_xlfn.TEXTAFTER(CantoralDB[[#This Row],[index.html]],"&gt;"),"&gt;")&amp;"&gt;"</f>
        <v>&lt;a href="canciones/ixcis/parabola_del_reino.html"&gt;</v>
      </c>
      <c r="Y1182"/>
      <c r="AB1182" s="1"/>
      <c r="AC1182" s="1"/>
    </row>
    <row r="1183" spans="1:29" x14ac:dyDescent="0.3">
      <c r="A1183" s="1">
        <f>ROW(CantoralDB[[#This Row],[Título]])-1</f>
        <v>1182</v>
      </c>
      <c r="B1183" s="1" t="s">
        <v>3153</v>
      </c>
      <c r="C1183" s="1"/>
      <c r="H1183" s="1" t="s">
        <v>472</v>
      </c>
      <c r="J1183" s="1" t="s">
        <v>605</v>
      </c>
      <c r="M1183" s="15" t="s">
        <v>519</v>
      </c>
      <c r="N1183" s="1" t="s">
        <v>3144</v>
      </c>
      <c r="O1183" s="15">
        <v>8</v>
      </c>
      <c r="P1183" s="15">
        <v>2019</v>
      </c>
      <c r="Q1183" s="15" t="str" cm="1">
        <f t="array" ref="Q11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3" s="15" t="str" cm="1">
        <f t="array" ref="R11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canciones/ixcis/hacer_tu_voluntad.html</v>
      </c>
      <c r="T1183" s="1"/>
      <c r="U1183" s="1"/>
      <c r="V1183" s="32" t="s">
        <v>3167</v>
      </c>
      <c r="W11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href="canciones/ixcis/hacer_tu_voluntad.html"&gt;Hacer tu voluntad&lt;/a&gt;&lt;/li&gt;</v>
      </c>
      <c r="X1183" s="15" t="str">
        <f>_xlfn.TEXTBEFORE(_xlfn.TEXTAFTER(CantoralDB[[#This Row],[index.html]],"&gt;"),"&gt;")&amp;"&gt;"</f>
        <v>&lt;a href="canciones/ixcis/hacer_tu_voluntad.html"&gt;</v>
      </c>
      <c r="Y1183"/>
      <c r="AB1183" s="1"/>
      <c r="AC1183" s="1"/>
    </row>
    <row r="1184" spans="1:29" x14ac:dyDescent="0.3">
      <c r="A1184" s="1">
        <f>ROW(CantoralDB[[#This Row],[Título]])-1</f>
        <v>1183</v>
      </c>
      <c r="B1184" s="1" t="s">
        <v>3154</v>
      </c>
      <c r="C1184" s="1"/>
      <c r="H1184" s="1" t="s">
        <v>1024</v>
      </c>
      <c r="J1184" s="1" t="s">
        <v>605</v>
      </c>
      <c r="M1184" s="15" t="s">
        <v>519</v>
      </c>
      <c r="N1184" s="1" t="s">
        <v>3144</v>
      </c>
      <c r="O1184" s="15">
        <v>9</v>
      </c>
      <c r="P1184" s="15">
        <v>2019</v>
      </c>
      <c r="Q1184" s="15" t="str" cm="1">
        <f t="array" ref="Q11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4" s="15" t="str" cm="1">
        <f t="array" ref="R11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canciones/ixcis/nueva_tierra.html</v>
      </c>
      <c r="T1184" s="1"/>
      <c r="U1184" s="1"/>
      <c r="V1184" s="32" t="s">
        <v>3168</v>
      </c>
      <c r="W11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href="canciones/ixcis/nueva_tierra.html"&gt;Nueva tierra&lt;/a&gt;&lt;/li&gt;</v>
      </c>
      <c r="X1184" s="15" t="str">
        <f>_xlfn.TEXTBEFORE(_xlfn.TEXTAFTER(CantoralDB[[#This Row],[index.html]],"&gt;"),"&gt;")&amp;"&gt;"</f>
        <v>&lt;a href="canciones/ixcis/nueva_tierra.html"&gt;</v>
      </c>
      <c r="Y1184"/>
      <c r="AB1184" s="1"/>
      <c r="AC1184" s="1"/>
    </row>
    <row r="1185" spans="1:29" x14ac:dyDescent="0.3">
      <c r="A1185" s="1">
        <f>ROW(CantoralDB[[#This Row],[Título]])-1</f>
        <v>1184</v>
      </c>
      <c r="B1185" s="1" t="s">
        <v>3155</v>
      </c>
      <c r="C1185" s="1"/>
      <c r="H1185" s="1" t="s">
        <v>472</v>
      </c>
      <c r="J1185" s="1" t="s">
        <v>605</v>
      </c>
      <c r="M1185" s="15" t="s">
        <v>519</v>
      </c>
      <c r="N1185" s="1" t="s">
        <v>3144</v>
      </c>
      <c r="O1185" s="15">
        <v>10</v>
      </c>
      <c r="P1185" s="15">
        <v>2019</v>
      </c>
      <c r="Q1185" s="15" t="str" cm="1">
        <f t="array" ref="Q11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5" s="15" t="str" cm="1">
        <f t="array" ref="R11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canciones/ixcis/danos_hoy.html</v>
      </c>
      <c r="T1185" s="1"/>
      <c r="U1185" s="1"/>
      <c r="V1185" s="32" t="s">
        <v>3169</v>
      </c>
      <c r="W11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href="canciones/ixcis/danos_hoy.html"&gt;Danos hoy&lt;/a&gt;&lt;/li&gt;</v>
      </c>
      <c r="X1185" s="15" t="str">
        <f>_xlfn.TEXTBEFORE(_xlfn.TEXTAFTER(CantoralDB[[#This Row],[index.html]],"&gt;"),"&gt;")&amp;"&gt;"</f>
        <v>&lt;a href="canciones/ixcis/danos_hoy.html"&gt;</v>
      </c>
      <c r="Y1185"/>
      <c r="AB1185" s="1"/>
      <c r="AC1185" s="1"/>
    </row>
    <row r="1186" spans="1:29" x14ac:dyDescent="0.3">
      <c r="A1186" s="1">
        <f>ROW(CantoralDB[[#This Row],[Título]])-1</f>
        <v>1185</v>
      </c>
      <c r="B1186" s="1" t="s">
        <v>3156</v>
      </c>
      <c r="C1186" s="1"/>
      <c r="H1186" s="1" t="s">
        <v>1024</v>
      </c>
      <c r="I1186" s="1" t="s">
        <v>2945</v>
      </c>
      <c r="J1186" s="1" t="s">
        <v>605</v>
      </c>
      <c r="M1186" s="15" t="s">
        <v>519</v>
      </c>
      <c r="N1186" s="1" t="s">
        <v>3144</v>
      </c>
      <c r="O1186" s="15">
        <v>11</v>
      </c>
      <c r="P1186" s="15">
        <v>2019</v>
      </c>
      <c r="Q1186" s="15" t="str" cm="1">
        <f t="array" ref="Q11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6" s="15" t="str" cm="1">
        <f t="array" ref="R11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canciones/ixcis/perdonanos.html</v>
      </c>
      <c r="T1186" s="1"/>
      <c r="U1186" s="1"/>
      <c r="V1186" s="32" t="s">
        <v>3170</v>
      </c>
      <c r="W11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href="canciones/ixcis/perdonanos.html"&gt;Perdónanos&lt;/a&gt;&lt;/li&gt;</v>
      </c>
      <c r="X1186" s="15" t="str">
        <f>_xlfn.TEXTBEFORE(_xlfn.TEXTAFTER(CantoralDB[[#This Row],[index.html]],"&gt;"),"&gt;")&amp;"&gt;"</f>
        <v>&lt;a href="canciones/ixcis/perdonanos.html"&gt;</v>
      </c>
      <c r="Y1186"/>
      <c r="AB1186" s="1"/>
      <c r="AC1186" s="1"/>
    </row>
    <row r="1187" spans="1:29" x14ac:dyDescent="0.3">
      <c r="A1187" s="1">
        <f>ROW(CantoralDB[[#This Row],[Título]])-1</f>
        <v>1186</v>
      </c>
      <c r="B1187" s="1" t="s">
        <v>3157</v>
      </c>
      <c r="C1187" s="1"/>
      <c r="H1187" s="1" t="s">
        <v>1027</v>
      </c>
      <c r="J1187" s="1" t="s">
        <v>605</v>
      </c>
      <c r="M1187" s="15" t="s">
        <v>519</v>
      </c>
      <c r="N1187" s="1" t="s">
        <v>3144</v>
      </c>
      <c r="O1187" s="15">
        <v>12</v>
      </c>
      <c r="P1187" s="15">
        <v>2019</v>
      </c>
      <c r="Q1187" s="15" t="str" cm="1">
        <f t="array" ref="Q11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7" s="15" t="str" cm="1">
        <f t="array" ref="R11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canciones/ixcis/no_nos_dejes_caer.html</v>
      </c>
      <c r="T1187" s="1"/>
      <c r="U1187" s="1"/>
      <c r="V1187" s="32" t="s">
        <v>3171</v>
      </c>
      <c r="W11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href="canciones/ixcis/no_nos_dejes_caer.html"&gt;No nos dejes caer&lt;/a&gt;&lt;/li&gt;</v>
      </c>
      <c r="X1187" s="15" t="str">
        <f>_xlfn.TEXTBEFORE(_xlfn.TEXTAFTER(CantoralDB[[#This Row],[index.html]],"&gt;"),"&gt;")&amp;"&gt;"</f>
        <v>&lt;a href="canciones/ixcis/no_nos_dejes_caer.html"&gt;</v>
      </c>
      <c r="Y1187"/>
      <c r="AB1187" s="1"/>
      <c r="AC1187" s="1"/>
    </row>
    <row r="1188" spans="1:29" x14ac:dyDescent="0.3">
      <c r="A1188" s="1">
        <f>ROW(CantoralDB[[#This Row],[Título]])-1</f>
        <v>1187</v>
      </c>
      <c r="B1188" s="1" t="s">
        <v>3158</v>
      </c>
      <c r="C1188" s="1"/>
      <c r="H1188" s="1" t="s">
        <v>1024</v>
      </c>
      <c r="I1188" s="1" t="s">
        <v>2945</v>
      </c>
      <c r="J1188" s="1" t="s">
        <v>605</v>
      </c>
      <c r="M1188" s="15" t="s">
        <v>519</v>
      </c>
      <c r="N1188" s="1" t="s">
        <v>3144</v>
      </c>
      <c r="O1188" s="15">
        <v>13</v>
      </c>
      <c r="P1188" s="15">
        <v>2019</v>
      </c>
      <c r="Q1188" s="15" t="str" cm="1">
        <f t="array" ref="Q11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8" s="15" t="str" cm="1">
        <f t="array" ref="R11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canciones/ixcis/librame.html</v>
      </c>
      <c r="T1188" s="1"/>
      <c r="U1188" s="1"/>
      <c r="V1188" s="32" t="s">
        <v>3172</v>
      </c>
      <c r="W11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href="canciones/ixcis/librame.html"&gt;Líbrame&lt;/a&gt;&lt;/li&gt;</v>
      </c>
      <c r="X1188" s="15" t="str">
        <f>_xlfn.TEXTBEFORE(_xlfn.TEXTAFTER(CantoralDB[[#This Row],[index.html]],"&gt;"),"&gt;")&amp;"&gt;"</f>
        <v>&lt;a href="canciones/ixcis/librame.html"&gt;</v>
      </c>
      <c r="Y1188"/>
      <c r="AB1188" s="1"/>
      <c r="AC1188" s="1"/>
    </row>
    <row r="1189" spans="1:29" x14ac:dyDescent="0.3">
      <c r="A1189" s="1">
        <f>ROW(CantoralDB[[#This Row],[Título]])-1</f>
        <v>1188</v>
      </c>
      <c r="B1189" s="1" t="s">
        <v>3159</v>
      </c>
      <c r="C1189" s="1"/>
      <c r="H1189" s="1" t="s">
        <v>1024</v>
      </c>
      <c r="J1189" s="1" t="s">
        <v>605</v>
      </c>
      <c r="M1189" s="15" t="s">
        <v>519</v>
      </c>
      <c r="N1189" s="1" t="s">
        <v>3144</v>
      </c>
      <c r="O1189" s="15">
        <v>14</v>
      </c>
      <c r="P1189" s="15">
        <v>2019</v>
      </c>
      <c r="Q1189" s="15" t="str" cm="1">
        <f t="array" ref="Q11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89" s="15" t="str" cm="1">
        <f t="array" ref="R11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canciones/ixcis/tu_amen.html</v>
      </c>
      <c r="T1189" s="1"/>
      <c r="U1189" s="1"/>
      <c r="V1189" s="32" t="s">
        <v>3173</v>
      </c>
      <c r="W11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href="canciones/ixcis/tu_amen.html"&gt;Tu Amén&lt;/a&gt;&lt;/li&gt;</v>
      </c>
      <c r="X1189" s="15" t="str">
        <f>_xlfn.TEXTBEFORE(_xlfn.TEXTAFTER(CantoralDB[[#This Row],[index.html]],"&gt;"),"&gt;")&amp;"&gt;"</f>
        <v>&lt;a href="canciones/ixcis/tu_amen.html"&gt;</v>
      </c>
      <c r="Y1189"/>
      <c r="AB1189" s="1"/>
      <c r="AC1189" s="1"/>
    </row>
    <row r="1190" spans="1:29" x14ac:dyDescent="0.3">
      <c r="A1190" s="1">
        <f>ROW(CantoralDB[[#This Row],[Título]])-1</f>
        <v>1189</v>
      </c>
      <c r="B1190" s="1" t="s">
        <v>3160</v>
      </c>
      <c r="C1190" s="1"/>
      <c r="H1190" s="1" t="s">
        <v>1027</v>
      </c>
      <c r="J1190" s="1" t="s">
        <v>605</v>
      </c>
      <c r="M1190" s="15" t="s">
        <v>519</v>
      </c>
      <c r="N1190" s="1" t="s">
        <v>3144</v>
      </c>
      <c r="O1190" s="15">
        <v>15</v>
      </c>
      <c r="P1190" s="15">
        <v>2019</v>
      </c>
      <c r="Q1190" s="15" t="str" cm="1">
        <f t="array" ref="Q11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0" s="15" t="str" cm="1">
        <f t="array" ref="R11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canciones/ixcis/somos_tu_pueblo.html</v>
      </c>
      <c r="T1190" s="1"/>
      <c r="U1190" s="1"/>
      <c r="V1190" s="32" t="s">
        <v>3174</v>
      </c>
      <c r="W11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href="canciones/ixcis/somos_tu_pueblo.html"&gt;Somos tu pueblo&lt;/a&gt;&lt;/li&gt;</v>
      </c>
      <c r="X1190" s="15" t="str">
        <f>_xlfn.TEXTBEFORE(_xlfn.TEXTAFTER(CantoralDB[[#This Row],[index.html]],"&gt;"),"&gt;")&amp;"&gt;"</f>
        <v>&lt;a href="canciones/ixcis/somos_tu_pueblo.html"&gt;</v>
      </c>
      <c r="Y1190"/>
      <c r="AB1190" s="1"/>
      <c r="AC1190" s="1"/>
    </row>
    <row r="1191" spans="1:29" x14ac:dyDescent="0.3">
      <c r="A1191" s="1">
        <f>ROW(CantoralDB[[#This Row],[Título]])-1</f>
        <v>1190</v>
      </c>
      <c r="B1191" s="1" t="s">
        <v>3444</v>
      </c>
      <c r="C1191" s="1"/>
      <c r="H1191" s="1" t="s">
        <v>1024</v>
      </c>
      <c r="J1191" s="1" t="s">
        <v>605</v>
      </c>
      <c r="M1191" s="15" t="s">
        <v>519</v>
      </c>
      <c r="N1191" s="1" t="s">
        <v>3144</v>
      </c>
      <c r="O1191" s="15">
        <v>16</v>
      </c>
      <c r="P1191" s="15">
        <v>2019</v>
      </c>
      <c r="Q1191" s="15" t="str" cm="1">
        <f t="array" ref="Q11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1" s="15" t="str" cm="1">
        <f t="array" ref="R11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canciones/ixcis/padrenuestro_ii.html</v>
      </c>
      <c r="T1191" s="1"/>
      <c r="U1191" s="1"/>
      <c r="V1191" s="32" t="s">
        <v>3175</v>
      </c>
      <c r="W11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href="canciones/ixcis/padrenuestro_ii.html"&gt;Padrenuestro II&lt;/a&gt;&lt;/li&gt;</v>
      </c>
      <c r="X1191" s="15" t="str">
        <f>_xlfn.TEXTBEFORE(_xlfn.TEXTAFTER(CantoralDB[[#This Row],[index.html]],"&gt;"),"&gt;")&amp;"&gt;"</f>
        <v>&lt;a href="canciones/ixcis/padrenuestro_ii.html"&gt;</v>
      </c>
      <c r="Y1191"/>
      <c r="AB1191" s="1"/>
      <c r="AC1191" s="1"/>
    </row>
    <row r="1192" spans="1:29" x14ac:dyDescent="0.3">
      <c r="A1192" s="1">
        <f>ROW(CantoralDB[[#This Row],[Título]])-1</f>
        <v>1191</v>
      </c>
      <c r="B1192" s="1" t="s">
        <v>3223</v>
      </c>
      <c r="C1192" s="1"/>
      <c r="H1192" s="1" t="s">
        <v>1027</v>
      </c>
      <c r="J1192" s="1" t="s">
        <v>605</v>
      </c>
      <c r="M1192" s="15" t="s">
        <v>519</v>
      </c>
      <c r="N1192" s="1" t="s">
        <v>3222</v>
      </c>
      <c r="O1192" s="15">
        <v>2</v>
      </c>
      <c r="P1192" s="15">
        <v>2013</v>
      </c>
      <c r="Q1192" s="15" t="str" cm="1">
        <f t="array" ref="Q11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2" s="15" t="str" cm="1">
        <f t="array" ref="R11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canciones/ixcis/te_necesito.html</v>
      </c>
      <c r="T1192" s="1"/>
      <c r="U1192" s="1"/>
      <c r="V1192" s="32" t="s">
        <v>3237</v>
      </c>
      <c r="W11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href="canciones/ixcis/te_necesito.html"&gt;Te necesito&lt;/a&gt;&lt;/li&gt;</v>
      </c>
      <c r="X1192" s="15" t="str">
        <f>_xlfn.TEXTBEFORE(_xlfn.TEXTAFTER(CantoralDB[[#This Row],[index.html]],"&gt;"),"&gt;")&amp;"&gt;"</f>
        <v>&lt;a href="canciones/ixcis/te_necesito.html"&gt;</v>
      </c>
      <c r="Y1192"/>
      <c r="AB1192" s="1"/>
      <c r="AC1192" s="1"/>
    </row>
    <row r="1193" spans="1:29" x14ac:dyDescent="0.3">
      <c r="A1193" s="1">
        <f>ROW(CantoralDB[[#This Row],[Título]])-1</f>
        <v>1192</v>
      </c>
      <c r="B1193" s="1" t="s">
        <v>3224</v>
      </c>
      <c r="C1193" s="1"/>
      <c r="H1193" s="1" t="s">
        <v>1027</v>
      </c>
      <c r="I1193" s="1" t="s">
        <v>2949</v>
      </c>
      <c r="J1193" s="1" t="s">
        <v>605</v>
      </c>
      <c r="M1193" s="15" t="s">
        <v>519</v>
      </c>
      <c r="N1193" s="1" t="s">
        <v>3222</v>
      </c>
      <c r="O1193" s="15">
        <v>3</v>
      </c>
      <c r="P1193" s="15">
        <v>2013</v>
      </c>
      <c r="Q1193" s="15" t="str" cm="1">
        <f t="array" ref="Q11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3" s="15" t="str" cm="1">
        <f t="array" ref="R11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canciones/ixcis/solo_quedas_tu.html</v>
      </c>
      <c r="T1193" s="1"/>
      <c r="U1193" s="1"/>
      <c r="V1193" s="32" t="s">
        <v>3238</v>
      </c>
      <c r="W11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href="canciones/ixcis/solo_quedas_tu.html"&gt;Sólo quedas Tú&lt;/a&gt;&lt;/li&gt;</v>
      </c>
      <c r="X1193" s="15" t="str">
        <f>_xlfn.TEXTBEFORE(_xlfn.TEXTAFTER(CantoralDB[[#This Row],[index.html]],"&gt;"),"&gt;")&amp;"&gt;"</f>
        <v>&lt;a href="canciones/ixcis/solo_quedas_tu.html"&gt;</v>
      </c>
      <c r="Y1193"/>
      <c r="AB1193" s="1"/>
      <c r="AC1193" s="1"/>
    </row>
    <row r="1194" spans="1:29" x14ac:dyDescent="0.3">
      <c r="A1194" s="1">
        <f>ROW(CantoralDB[[#This Row],[Título]])-1</f>
        <v>1193</v>
      </c>
      <c r="B1194" s="1" t="s">
        <v>4962</v>
      </c>
      <c r="C1194" s="1"/>
      <c r="H1194" s="1" t="s">
        <v>1027</v>
      </c>
      <c r="J1194" s="1" t="s">
        <v>605</v>
      </c>
      <c r="M1194" s="15" t="s">
        <v>519</v>
      </c>
      <c r="N1194" s="1" t="s">
        <v>3222</v>
      </c>
      <c r="O1194" s="15">
        <v>4</v>
      </c>
      <c r="P1194" s="15">
        <v>2013</v>
      </c>
      <c r="Q1194" s="15" t="str" cm="1">
        <f t="array" ref="Q11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4" s="15" t="str" cm="1">
        <f t="array" ref="R11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canciones/ixcis/talithakum.html</v>
      </c>
      <c r="T1194" s="1"/>
      <c r="U1194" s="1"/>
      <c r="V1194" s="32" t="s">
        <v>3239</v>
      </c>
      <c r="W11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href="canciones/ixcis/talithakum.html"&gt;Talithakum&lt;/a&gt;&lt;/li&gt;</v>
      </c>
      <c r="X1194" s="15" t="str">
        <f>_xlfn.TEXTBEFORE(_xlfn.TEXTAFTER(CantoralDB[[#This Row],[index.html]],"&gt;"),"&gt;")&amp;"&gt;"</f>
        <v>&lt;a href="canciones/ixcis/talithakum.html"&gt;</v>
      </c>
      <c r="Y1194"/>
      <c r="AB1194" s="1"/>
      <c r="AC1194" s="1"/>
    </row>
    <row r="1195" spans="1:29" x14ac:dyDescent="0.3">
      <c r="A1195" s="1">
        <f>ROW(CantoralDB[[#This Row],[Título]])-1</f>
        <v>1194</v>
      </c>
      <c r="B1195" s="1" t="s">
        <v>3225</v>
      </c>
      <c r="C1195" s="1"/>
      <c r="H1195" s="1" t="s">
        <v>1027</v>
      </c>
      <c r="I1195" s="1" t="s">
        <v>2949</v>
      </c>
      <c r="J1195" s="1" t="s">
        <v>605</v>
      </c>
      <c r="M1195" s="15" t="s">
        <v>519</v>
      </c>
      <c r="N1195" s="1" t="s">
        <v>3222</v>
      </c>
      <c r="O1195" s="15">
        <v>5</v>
      </c>
      <c r="P1195" s="15">
        <v>2013</v>
      </c>
      <c r="Q1195" s="15" t="str" cm="1">
        <f t="array" ref="Q11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5" s="15" t="str" cm="1">
        <f t="array" ref="R11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canciones/ixcis/cristianos_de_orilla.html</v>
      </c>
      <c r="T1195" s="1"/>
      <c r="U1195" s="1"/>
      <c r="V1195" s="32" t="s">
        <v>3240</v>
      </c>
      <c r="W11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href="canciones/ixcis/cristianos_de_orilla.html"&gt;Cristianos de orilla&lt;/a&gt;&lt;/li&gt;</v>
      </c>
      <c r="X1195" s="15" t="str">
        <f>_xlfn.TEXTBEFORE(_xlfn.TEXTAFTER(CantoralDB[[#This Row],[index.html]],"&gt;"),"&gt;")&amp;"&gt;"</f>
        <v>&lt;a href="canciones/ixcis/cristianos_de_orilla.html"&gt;</v>
      </c>
      <c r="Y1195"/>
      <c r="AB1195" s="1"/>
      <c r="AC1195" s="1"/>
    </row>
    <row r="1196" spans="1:29" x14ac:dyDescent="0.3">
      <c r="A1196" s="1">
        <f>ROW(CantoralDB[[#This Row],[Título]])-1</f>
        <v>1195</v>
      </c>
      <c r="B1196" s="1" t="s">
        <v>3226</v>
      </c>
      <c r="C1196" s="1"/>
      <c r="H1196" s="1" t="s">
        <v>1024</v>
      </c>
      <c r="J1196" s="1" t="s">
        <v>605</v>
      </c>
      <c r="M1196" s="15" t="s">
        <v>519</v>
      </c>
      <c r="N1196" s="1" t="s">
        <v>3222</v>
      </c>
      <c r="O1196" s="15">
        <v>6</v>
      </c>
      <c r="P1196" s="15">
        <v>2013</v>
      </c>
      <c r="Q1196" s="15" t="str" cm="1">
        <f t="array" ref="Q11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6" s="15" t="str" cm="1">
        <f t="array" ref="R11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canciones/ixcis/vive_lo_que_cantas.html</v>
      </c>
      <c r="T1196" s="1"/>
      <c r="U1196" s="1"/>
      <c r="V1196" s="32" t="s">
        <v>3318</v>
      </c>
      <c r="W11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href="canciones/ixcis/vive_lo_que_cantas.html"&gt;Vive lo que cantas&lt;/a&gt;&lt;/li&gt;</v>
      </c>
      <c r="X1196" s="15" t="str">
        <f>_xlfn.TEXTBEFORE(_xlfn.TEXTAFTER(CantoralDB[[#This Row],[index.html]],"&gt;"),"&gt;")&amp;"&gt;"</f>
        <v>&lt;a href="canciones/ixcis/vive_lo_que_cantas.html"&gt;</v>
      </c>
      <c r="Y1196"/>
      <c r="AB1196" s="1"/>
      <c r="AC1196" s="1"/>
    </row>
    <row r="1197" spans="1:29" x14ac:dyDescent="0.3">
      <c r="A1197" s="1">
        <f>ROW(CantoralDB[[#This Row],[Título]])-1</f>
        <v>1196</v>
      </c>
      <c r="B1197" s="1" t="s">
        <v>3227</v>
      </c>
      <c r="C1197" s="1"/>
      <c r="H1197" s="1" t="s">
        <v>1027</v>
      </c>
      <c r="I1197" s="1" t="s">
        <v>2948</v>
      </c>
      <c r="J1197" s="1" t="s">
        <v>605</v>
      </c>
      <c r="M1197" s="15" t="s">
        <v>519</v>
      </c>
      <c r="N1197" s="1" t="s">
        <v>3222</v>
      </c>
      <c r="O1197" s="15">
        <v>7</v>
      </c>
      <c r="P1197" s="15">
        <v>2013</v>
      </c>
      <c r="Q1197" s="15" t="str" cm="1">
        <f t="array" ref="Q11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7" s="15" t="str" cm="1">
        <f t="array" ref="R11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canciones/ixcis/culpable.html</v>
      </c>
      <c r="T1197" s="1"/>
      <c r="U1197" s="1"/>
      <c r="V1197" s="32" t="s">
        <v>3319</v>
      </c>
      <c r="W11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href="canciones/ixcis/culpable.html"&gt;Culpable&lt;/a&gt;&lt;/li&gt;</v>
      </c>
      <c r="X1197" s="15" t="str">
        <f>_xlfn.TEXTBEFORE(_xlfn.TEXTAFTER(CantoralDB[[#This Row],[index.html]],"&gt;"),"&gt;")&amp;"&gt;"</f>
        <v>&lt;a href="canciones/ixcis/culpable.html"&gt;</v>
      </c>
      <c r="Y1197"/>
      <c r="AB1197" s="1"/>
      <c r="AC1197" s="1"/>
    </row>
    <row r="1198" spans="1:29" x14ac:dyDescent="0.3">
      <c r="A1198" s="1">
        <f>ROW(CantoralDB[[#This Row],[Título]])-1</f>
        <v>1197</v>
      </c>
      <c r="B1198" s="1" t="s">
        <v>3228</v>
      </c>
      <c r="C1198" s="1"/>
      <c r="H1198" s="1" t="s">
        <v>1026</v>
      </c>
      <c r="J1198" s="1" t="s">
        <v>605</v>
      </c>
      <c r="M1198" s="15" t="s">
        <v>519</v>
      </c>
      <c r="N1198" s="1" t="s">
        <v>3222</v>
      </c>
      <c r="O1198" s="15">
        <v>8</v>
      </c>
      <c r="P1198" s="15">
        <v>2013</v>
      </c>
      <c r="Q1198" s="15" t="str" cm="1">
        <f t="array" ref="Q11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8" s="15" t="str" cm="1">
        <f t="array" ref="R11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canciones/ixcis/me_siento_perdonado.html</v>
      </c>
      <c r="T1198" s="1"/>
      <c r="U1198" s="1"/>
      <c r="V1198" s="32" t="s">
        <v>3320</v>
      </c>
      <c r="W11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href="canciones/ixcis/me_siento_perdonado.html"&gt;Me siento perdonado&lt;/a&gt;&lt;/li&gt;</v>
      </c>
      <c r="X1198" s="15" t="str">
        <f>_xlfn.TEXTBEFORE(_xlfn.TEXTAFTER(CantoralDB[[#This Row],[index.html]],"&gt;"),"&gt;")&amp;"&gt;"</f>
        <v>&lt;a href="canciones/ixcis/me_siento_perdonado.html"&gt;</v>
      </c>
      <c r="Y1198"/>
      <c r="AB1198" s="1"/>
      <c r="AC1198" s="1"/>
    </row>
    <row r="1199" spans="1:29" x14ac:dyDescent="0.3">
      <c r="A1199" s="1">
        <f>ROW(CantoralDB[[#This Row],[Título]])-1</f>
        <v>1198</v>
      </c>
      <c r="B1199" s="1" t="s">
        <v>3229</v>
      </c>
      <c r="C1199" s="1"/>
      <c r="H1199" s="1" t="s">
        <v>1024</v>
      </c>
      <c r="J1199" s="1" t="s">
        <v>605</v>
      </c>
      <c r="M1199" s="15" t="s">
        <v>519</v>
      </c>
      <c r="N1199" s="1" t="s">
        <v>3222</v>
      </c>
      <c r="O1199" s="15">
        <v>9</v>
      </c>
      <c r="P1199" s="15">
        <v>2013</v>
      </c>
      <c r="Q1199" s="15" t="str" cm="1">
        <f t="array" ref="Q11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199" s="15" t="str" cm="1">
        <f t="array" ref="R11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1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canciones/ixcis/yo_te_alabo.html</v>
      </c>
      <c r="T1199" s="1"/>
      <c r="U1199" s="1"/>
      <c r="V1199" s="32" t="s">
        <v>3321</v>
      </c>
      <c r="W11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href="canciones/ixcis/yo_te_alabo.html"&gt;Yo te alabo&lt;/a&gt;&lt;/li&gt;</v>
      </c>
      <c r="X1199" s="15" t="str">
        <f>_xlfn.TEXTBEFORE(_xlfn.TEXTAFTER(CantoralDB[[#This Row],[index.html]],"&gt;"),"&gt;")&amp;"&gt;"</f>
        <v>&lt;a href="canciones/ixcis/yo_te_alabo.html"&gt;</v>
      </c>
      <c r="Y1199"/>
      <c r="AB1199" s="1"/>
      <c r="AC1199" s="1"/>
    </row>
    <row r="1200" spans="1:29" x14ac:dyDescent="0.3">
      <c r="A1200" s="1">
        <f>ROW(CantoralDB[[#This Row],[Título]])-1</f>
        <v>1199</v>
      </c>
      <c r="B1200" s="1" t="s">
        <v>3230</v>
      </c>
      <c r="C1200" s="1"/>
      <c r="H1200" s="1" t="s">
        <v>472</v>
      </c>
      <c r="J1200" s="1" t="s">
        <v>605</v>
      </c>
      <c r="M1200" s="15" t="s">
        <v>519</v>
      </c>
      <c r="N1200" s="1" t="s">
        <v>3222</v>
      </c>
      <c r="O1200" s="15">
        <v>11</v>
      </c>
      <c r="P1200" s="15">
        <v>2013</v>
      </c>
      <c r="Q1200" s="15" t="str" cm="1">
        <f t="array" ref="Q12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0" s="15" t="str" cm="1">
        <f t="array" ref="R12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canciones/ixcis/gracias_amigo_del_alma.html</v>
      </c>
      <c r="T1200" s="1"/>
      <c r="U1200" s="1"/>
      <c r="V1200" s="32" t="s">
        <v>3322</v>
      </c>
      <c r="W12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href="canciones/ixcis/gracias_amigo_del_alma.html"&gt;Gracias, amigo del alma&lt;/a&gt;&lt;/li&gt;</v>
      </c>
      <c r="X1200" s="15" t="str">
        <f>_xlfn.TEXTBEFORE(_xlfn.TEXTAFTER(CantoralDB[[#This Row],[index.html]],"&gt;"),"&gt;")&amp;"&gt;"</f>
        <v>&lt;a href="canciones/ixcis/gracias_amigo_del_alma.html"&gt;</v>
      </c>
      <c r="Y1200"/>
      <c r="AB1200" s="1"/>
      <c r="AC1200" s="1"/>
    </row>
    <row r="1201" spans="1:29" x14ac:dyDescent="0.3">
      <c r="A1201" s="1">
        <f>ROW(CantoralDB[[#This Row],[Título]])-1</f>
        <v>1200</v>
      </c>
      <c r="B1201" s="1" t="s">
        <v>3231</v>
      </c>
      <c r="C1201" s="1"/>
      <c r="H1201" s="1" t="s">
        <v>1024</v>
      </c>
      <c r="J1201" s="1" t="s">
        <v>605</v>
      </c>
      <c r="M1201" s="15" t="s">
        <v>519</v>
      </c>
      <c r="N1201" s="1" t="s">
        <v>3222</v>
      </c>
      <c r="O1201" s="15">
        <v>12</v>
      </c>
      <c r="P1201" s="15">
        <v>2013</v>
      </c>
      <c r="Q1201" s="15" t="str" cm="1">
        <f t="array" ref="Q12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1" s="15" t="str" cm="1">
        <f t="array" ref="R12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canciones/ixcis/adonde_vayas.html</v>
      </c>
      <c r="T1201" s="1"/>
      <c r="U1201" s="1"/>
      <c r="V1201" s="32" t="s">
        <v>3323</v>
      </c>
      <c r="W12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href="canciones/ixcis/adonde_vayas.html"&gt;Adonde vayas&lt;/a&gt;&lt;/li&gt;</v>
      </c>
      <c r="X1201" s="15" t="str">
        <f>_xlfn.TEXTBEFORE(_xlfn.TEXTAFTER(CantoralDB[[#This Row],[index.html]],"&gt;"),"&gt;")&amp;"&gt;"</f>
        <v>&lt;a href="canciones/ixcis/adonde_vayas.html"&gt;</v>
      </c>
      <c r="Y1201"/>
      <c r="AB1201" s="1"/>
      <c r="AC1201" s="1"/>
    </row>
    <row r="1202" spans="1:29" x14ac:dyDescent="0.3">
      <c r="A1202" s="1">
        <f>ROW(CantoralDB[[#This Row],[Título]])-1</f>
        <v>1201</v>
      </c>
      <c r="B1202" s="1" t="s">
        <v>3232</v>
      </c>
      <c r="C1202" s="1"/>
      <c r="H1202" s="1" t="s">
        <v>529</v>
      </c>
      <c r="J1202" s="1" t="s">
        <v>605</v>
      </c>
      <c r="M1202" s="15" t="s">
        <v>519</v>
      </c>
      <c r="N1202" s="1" t="s">
        <v>3222</v>
      </c>
      <c r="O1202" s="15">
        <v>13</v>
      </c>
      <c r="P1202" s="15">
        <v>2013</v>
      </c>
      <c r="Q1202" s="15" t="str" cm="1">
        <f t="array" ref="Q12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2" s="15" t="str" cm="1">
        <f t="array" ref="R12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canciones/ixcis/contigo.html</v>
      </c>
      <c r="T1202" s="1"/>
      <c r="U1202" s="1"/>
      <c r="V1202" s="32" t="s">
        <v>3324</v>
      </c>
      <c r="W12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href="canciones/ixcis/contigo.html"&gt;Contigo&lt;/a&gt;&lt;/li&gt;</v>
      </c>
      <c r="X1202" s="15" t="str">
        <f>_xlfn.TEXTBEFORE(_xlfn.TEXTAFTER(CantoralDB[[#This Row],[index.html]],"&gt;"),"&gt;")&amp;"&gt;"</f>
        <v>&lt;a href="canciones/ixcis/contigo.html"&gt;</v>
      </c>
      <c r="Y1202"/>
      <c r="AB1202" s="1"/>
      <c r="AC1202" s="1"/>
    </row>
    <row r="1203" spans="1:29" x14ac:dyDescent="0.3">
      <c r="A1203" s="1">
        <f>ROW(CantoralDB[[#This Row],[Título]])-1</f>
        <v>1202</v>
      </c>
      <c r="B1203" s="1" t="s">
        <v>3233</v>
      </c>
      <c r="C1203" s="1"/>
      <c r="H1203" s="1" t="s">
        <v>1026</v>
      </c>
      <c r="J1203" s="1" t="s">
        <v>605</v>
      </c>
      <c r="M1203" s="15" t="s">
        <v>519</v>
      </c>
      <c r="N1203" s="1" t="s">
        <v>3222</v>
      </c>
      <c r="O1203" s="15">
        <v>14</v>
      </c>
      <c r="P1203" s="15">
        <v>2013</v>
      </c>
      <c r="Q1203" s="15" t="str" cm="1">
        <f t="array" ref="Q12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3" s="15" t="str" cm="1">
        <f t="array" ref="R12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canciones/ixcis/tu_mi_raiz.html</v>
      </c>
      <c r="T1203" s="1"/>
      <c r="U1203" s="1"/>
      <c r="V1203" s="32" t="s">
        <v>3325</v>
      </c>
      <c r="W12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href="canciones/ixcis/tu_mi_raiz.html"&gt;Tú, mi raíz&lt;/a&gt;&lt;/li&gt;</v>
      </c>
      <c r="X1203" s="15" t="str">
        <f>_xlfn.TEXTBEFORE(_xlfn.TEXTAFTER(CantoralDB[[#This Row],[index.html]],"&gt;"),"&gt;")&amp;"&gt;"</f>
        <v>&lt;a href="canciones/ixcis/tu_mi_raiz.html"&gt;</v>
      </c>
      <c r="Y1203"/>
      <c r="AB1203" s="1"/>
      <c r="AC1203" s="1"/>
    </row>
    <row r="1204" spans="1:29" x14ac:dyDescent="0.3">
      <c r="A1204" s="1">
        <f>ROW(CantoralDB[[#This Row],[Título]])-1</f>
        <v>1203</v>
      </c>
      <c r="B1204" s="1" t="s">
        <v>3234</v>
      </c>
      <c r="C1204" s="1"/>
      <c r="H1204" s="1" t="s">
        <v>1025</v>
      </c>
      <c r="J1204" s="1" t="s">
        <v>605</v>
      </c>
      <c r="M1204" s="15" t="s">
        <v>519</v>
      </c>
      <c r="N1204" s="1" t="s">
        <v>3222</v>
      </c>
      <c r="O1204" s="15">
        <v>15</v>
      </c>
      <c r="P1204" s="15">
        <v>2013</v>
      </c>
      <c r="Q1204" s="15" t="str" cm="1">
        <f t="array" ref="Q12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4" s="15" t="str" cm="1">
        <f t="array" ref="R12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canciones/ixcis/cuando_dos_se_aman.html</v>
      </c>
      <c r="T1204" s="1"/>
      <c r="U1204" s="1"/>
      <c r="V1204" s="32" t="s">
        <v>3326</v>
      </c>
      <c r="W12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href="canciones/ixcis/cuando_dos_se_aman.html"&gt;Cuando dos se aman&lt;/a&gt;&lt;/li&gt;</v>
      </c>
      <c r="X1204" s="15" t="str">
        <f>_xlfn.TEXTBEFORE(_xlfn.TEXTAFTER(CantoralDB[[#This Row],[index.html]],"&gt;"),"&gt;")&amp;"&gt;"</f>
        <v>&lt;a href="canciones/ixcis/cuando_dos_se_aman.html"&gt;</v>
      </c>
      <c r="Y1204"/>
      <c r="AB1204" s="1"/>
      <c r="AC1204" s="1"/>
    </row>
    <row r="1205" spans="1:29" x14ac:dyDescent="0.3">
      <c r="A1205" s="1">
        <f>ROW(CantoralDB[[#This Row],[Título]])-1</f>
        <v>1204</v>
      </c>
      <c r="B1205" s="1" t="s">
        <v>3235</v>
      </c>
      <c r="C1205" s="1"/>
      <c r="H1205" s="1" t="s">
        <v>472</v>
      </c>
      <c r="I1205" s="1" t="s">
        <v>2947</v>
      </c>
      <c r="J1205" s="1" t="s">
        <v>605</v>
      </c>
      <c r="M1205" s="15" t="s">
        <v>519</v>
      </c>
      <c r="N1205" s="1" t="s">
        <v>3222</v>
      </c>
      <c r="O1205" s="15">
        <v>16</v>
      </c>
      <c r="P1205" s="15">
        <v>2013</v>
      </c>
      <c r="Q1205" s="15" t="str" cm="1">
        <f t="array" ref="Q12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5" s="15" t="str" cm="1">
        <f t="array" ref="R12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canciones/ixcis/un_poco_de_fe.html</v>
      </c>
      <c r="T1205" s="1"/>
      <c r="U1205" s="1"/>
      <c r="V1205" s="32" t="s">
        <v>3327</v>
      </c>
      <c r="W12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href="canciones/ixcis/un_poco_de_fe.html"&gt;Un poco de fe&lt;/a&gt;&lt;/li&gt;</v>
      </c>
      <c r="X1205" s="15" t="str">
        <f>_xlfn.TEXTBEFORE(_xlfn.TEXTAFTER(CantoralDB[[#This Row],[index.html]],"&gt;"),"&gt;")&amp;"&gt;"</f>
        <v>&lt;a href="canciones/ixcis/un_poco_de_fe.html"&gt;</v>
      </c>
      <c r="Y1205"/>
      <c r="AB1205" s="1"/>
      <c r="AC1205" s="1"/>
    </row>
    <row r="1206" spans="1:29" x14ac:dyDescent="0.3">
      <c r="A1206" s="1">
        <f>ROW(CantoralDB[[#This Row],[Título]])-1</f>
        <v>1205</v>
      </c>
      <c r="B1206" s="1" t="s">
        <v>3236</v>
      </c>
      <c r="C1206" s="1"/>
      <c r="H1206" s="1" t="s">
        <v>529</v>
      </c>
      <c r="J1206" s="1" t="s">
        <v>605</v>
      </c>
      <c r="M1206" s="15" t="s">
        <v>519</v>
      </c>
      <c r="N1206" s="1" t="s">
        <v>3222</v>
      </c>
      <c r="O1206" s="15">
        <v>17</v>
      </c>
      <c r="P1206" s="15">
        <v>2013</v>
      </c>
      <c r="Q1206" s="15" t="str" cm="1">
        <f t="array" ref="Q12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6" s="15" t="str" cm="1">
        <f t="array" ref="R12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canciones/ixcis/no_me_rendire.html</v>
      </c>
      <c r="T1206" s="1"/>
      <c r="U1206" s="1"/>
      <c r="V1206" s="32" t="s">
        <v>3328</v>
      </c>
      <c r="W12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href="canciones/ixcis/no_me_rendire.html"&gt;No me rendiré&lt;/a&gt;&lt;/li&gt;</v>
      </c>
      <c r="X1206" s="15" t="str">
        <f>_xlfn.TEXTBEFORE(_xlfn.TEXTAFTER(CantoralDB[[#This Row],[index.html]],"&gt;"),"&gt;")&amp;"&gt;"</f>
        <v>&lt;a href="canciones/ixcis/no_me_rendire.html"&gt;</v>
      </c>
      <c r="Y1206"/>
      <c r="AB1206" s="1"/>
      <c r="AC1206" s="1"/>
    </row>
    <row r="1207" spans="1:29" x14ac:dyDescent="0.3">
      <c r="A1207" s="1">
        <f>ROW(CantoralDB[[#This Row],[Título]])-1</f>
        <v>1206</v>
      </c>
      <c r="B1207" s="1" t="s">
        <v>213</v>
      </c>
      <c r="C1207" s="1"/>
      <c r="H1207" s="1" t="s">
        <v>472</v>
      </c>
      <c r="J1207" s="1" t="s">
        <v>605</v>
      </c>
      <c r="M1207" s="15" t="s">
        <v>519</v>
      </c>
      <c r="N1207" s="1" t="s">
        <v>3222</v>
      </c>
      <c r="O1207" s="15">
        <v>19</v>
      </c>
      <c r="P1207" s="15">
        <v>2013</v>
      </c>
      <c r="Q1207" s="15" t="str" cm="1">
        <f t="array" ref="Q12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ixcis</v>
      </c>
      <c r="R1207" s="15" t="str" cm="1">
        <f t="array" ref="R12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ixcis</v>
      </c>
      <c r="S12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canciones/ixcis/enviame.html</v>
      </c>
      <c r="T1207" s="1"/>
      <c r="U1207" s="1"/>
      <c r="V1207" s="32" t="s">
        <v>3329</v>
      </c>
      <c r="W12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data-author="Ixcís"&gt;&lt;a href="canciones/ixcis/enviame.html"&gt;Envíame&lt;/a&gt;&lt;/li&gt;</v>
      </c>
      <c r="X1207" s="15" t="str">
        <f>_xlfn.TEXTBEFORE(_xlfn.TEXTAFTER(CantoralDB[[#This Row],[index.html]],"&gt;"),"&gt;")&amp;"&gt;"</f>
        <v>&lt;a href="canciones/ixcis/enviame.html"&gt;</v>
      </c>
      <c r="Y1207"/>
      <c r="AB1207" s="1"/>
      <c r="AC1207" s="1"/>
    </row>
    <row r="1208" spans="1:29" x14ac:dyDescent="0.3">
      <c r="A1208" s="1">
        <f>ROW(CantoralDB[[#This Row],[Título]])-1</f>
        <v>1207</v>
      </c>
      <c r="B1208" s="1" t="s">
        <v>145</v>
      </c>
      <c r="C1208" s="1" t="s">
        <v>194</v>
      </c>
      <c r="D1208" s="1" t="s">
        <v>768</v>
      </c>
      <c r="E1208" s="1">
        <v>265</v>
      </c>
      <c r="G1208" s="1" t="s">
        <v>208</v>
      </c>
      <c r="H1208" s="1" t="s">
        <v>1024</v>
      </c>
      <c r="J1208" s="1" t="s">
        <v>605</v>
      </c>
      <c r="M1208" s="15" t="s">
        <v>484</v>
      </c>
      <c r="N1208" s="1" t="s">
        <v>5332</v>
      </c>
      <c r="O1208" s="15">
        <v>1984</v>
      </c>
      <c r="P1208" s="15"/>
      <c r="Q1208" s="15" t="str" cm="1">
        <f t="array" ref="Q12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08" s="15" t="str" cm="1">
        <f t="array" ref="R12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canciones/joaquin_madurga/traemos_a_tu_altar.html</v>
      </c>
      <c r="T1208" s="1"/>
      <c r="U1208" s="1"/>
      <c r="V1208" s="32" t="s">
        <v>5331</v>
      </c>
      <c r="W12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data-momento="Ofertorio" data-nnew="F16" data-nold="265"&gt;&lt;a href="canciones/joaquin_madurga/traemos_a_tu_altar.html"&gt;Traemos a tu altar&lt;/a&gt;&lt;/li&gt;</v>
      </c>
      <c r="X1208" s="15" t="str">
        <f>_xlfn.TEXTBEFORE(_xlfn.TEXTAFTER(CantoralDB[[#This Row],[index.html]],"&gt;"),"&gt;")&amp;"&gt;"</f>
        <v>&lt;a href="canciones/joaquin_madurga/traemos_a_tu_altar.html"&gt;</v>
      </c>
      <c r="Y1208"/>
      <c r="AB1208" s="1"/>
      <c r="AC1208" s="1"/>
    </row>
    <row r="1209" spans="1:29" x14ac:dyDescent="0.3">
      <c r="A1209" s="1">
        <f>ROW(CantoralDB[[#This Row],[Título]])-1</f>
        <v>1208</v>
      </c>
      <c r="B1209" s="1" t="s">
        <v>10</v>
      </c>
      <c r="C1209" s="1" t="s">
        <v>990</v>
      </c>
      <c r="D1209" s="1" t="s">
        <v>1033</v>
      </c>
      <c r="E1209" s="1">
        <v>12</v>
      </c>
      <c r="G1209" s="1" t="s">
        <v>208</v>
      </c>
      <c r="H1209" s="1" t="s">
        <v>529</v>
      </c>
      <c r="J1209" s="1" t="s">
        <v>605</v>
      </c>
      <c r="M1209" s="15" t="s">
        <v>484</v>
      </c>
      <c r="O1209" s="15"/>
      <c r="P1209" s="15"/>
      <c r="Q1209" s="15" t="str" cm="1">
        <f t="array" ref="Q12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09" s="15" t="str" cm="1">
        <f t="array" ref="R12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canciones/joaquin_madurga/al_ver_jesus.html</v>
      </c>
      <c r="T1209" s="1" t="s">
        <v>797</v>
      </c>
      <c r="U1209" s="1"/>
      <c r="V1209" s="32" t="s">
        <v>3061</v>
      </c>
      <c r="W12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data-momento="Comunión" data-nnew="K05" data-nold="12"&gt;&lt;a href="canciones/joaquin_madurga/al_ver_jesus.html"&gt;Al ver Jesús&lt;/a&gt;&lt;/li&gt;</v>
      </c>
      <c r="X1209" s="15" t="str">
        <f>_xlfn.TEXTBEFORE(_xlfn.TEXTAFTER(CantoralDB[[#This Row],[index.html]],"&gt;"),"&gt;")&amp;"&gt;"</f>
        <v>&lt;a href="canciones/joaquin_madurga/al_ver_jesus.html"&gt;</v>
      </c>
      <c r="Y1209"/>
      <c r="AB1209" s="1"/>
      <c r="AC1209" s="1"/>
    </row>
    <row r="1210" spans="1:29" x14ac:dyDescent="0.3">
      <c r="A1210" s="1">
        <f>ROW(CantoralDB[[#This Row],[Título]])-1</f>
        <v>1209</v>
      </c>
      <c r="B1210" s="1" t="s">
        <v>230</v>
      </c>
      <c r="C1210" s="1" t="s">
        <v>193</v>
      </c>
      <c r="D1210" s="1" t="s">
        <v>644</v>
      </c>
      <c r="G1210" s="1" t="s">
        <v>208</v>
      </c>
      <c r="H1210" s="1" t="s">
        <v>1026</v>
      </c>
      <c r="J1210" s="1" t="s">
        <v>605</v>
      </c>
      <c r="M1210" s="15" t="s">
        <v>484</v>
      </c>
      <c r="O1210" s="15"/>
      <c r="P1210" s="15"/>
      <c r="Q1210" s="15" t="str" cm="1">
        <f t="array" ref="Q12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0" s="15" t="str" cm="1">
        <f t="array" ref="R12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canciones/joaquin_madurga/aleluya_ha_nacido_el_salvador.html</v>
      </c>
      <c r="T1210" s="1"/>
      <c r="U1210" s="1"/>
      <c r="V1210" s="32" t="s">
        <v>3654</v>
      </c>
      <c r="W12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data-momento="Aleluya" data-nnew="E10"&gt;&lt;a href="canciones/joaquin_madurga/aleluya_ha_nacido_el_salvador.html"&gt;Aleluya, ha nacido el salvador&lt;/a&gt;&lt;/li&gt;</v>
      </c>
      <c r="X1210" s="15" t="str">
        <f>_xlfn.TEXTBEFORE(_xlfn.TEXTAFTER(CantoralDB[[#This Row],[index.html]],"&gt;"),"&gt;")&amp;"&gt;"</f>
        <v>&lt;a href="canciones/joaquin_madurga/aleluya_ha_nacido_el_salvador.html"&gt;</v>
      </c>
      <c r="Y1210"/>
      <c r="AB1210" s="1"/>
      <c r="AC1210" s="1"/>
    </row>
    <row r="1211" spans="1:29" x14ac:dyDescent="0.3">
      <c r="A1211" s="1">
        <f>ROW(CantoralDB[[#This Row],[Título]])-1</f>
        <v>1210</v>
      </c>
      <c r="B1211" s="1" t="s">
        <v>25</v>
      </c>
      <c r="C1211" s="1" t="s">
        <v>194</v>
      </c>
      <c r="D1211" s="1" t="s">
        <v>1380</v>
      </c>
      <c r="E1211" s="1">
        <v>26</v>
      </c>
      <c r="G1211" s="1" t="s">
        <v>208</v>
      </c>
      <c r="H1211" s="1" t="s">
        <v>529</v>
      </c>
      <c r="I1211" s="1" t="s">
        <v>2948</v>
      </c>
      <c r="J1211" s="1" t="s">
        <v>605</v>
      </c>
      <c r="M1211" s="15" t="s">
        <v>484</v>
      </c>
      <c r="O1211" s="15"/>
      <c r="P1211" s="15"/>
      <c r="Q1211" s="15" t="str" cm="1">
        <f t="array" ref="Q12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1" s="15" t="str" cm="1">
        <f t="array" ref="R12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canciones/joaquin_madurga/andando_por_el_camino.html</v>
      </c>
      <c r="T1211" s="1" t="s">
        <v>802</v>
      </c>
      <c r="U1211" s="1"/>
      <c r="V1211" s="32" t="s">
        <v>3062</v>
      </c>
      <c r="W12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data-momento="Ofertorio" data-nnew="F02" data-nold="26"&gt;&lt;a href="canciones/joaquin_madurga/andando_por_el_camino.html"&gt;Andando por el camino&lt;/a&gt;&lt;/li&gt;</v>
      </c>
      <c r="X1211" s="15" t="str">
        <f>_xlfn.TEXTBEFORE(_xlfn.TEXTAFTER(CantoralDB[[#This Row],[index.html]],"&gt;"),"&gt;")&amp;"&gt;"</f>
        <v>&lt;a href="canciones/joaquin_madurga/andando_por_el_camino.html"&gt;</v>
      </c>
      <c r="Y1211"/>
      <c r="AB1211" s="1"/>
      <c r="AC1211" s="1"/>
    </row>
    <row r="1212" spans="1:29" x14ac:dyDescent="0.3">
      <c r="A1212" s="1">
        <f>ROW(CantoralDB[[#This Row],[Título]])-1</f>
        <v>1211</v>
      </c>
      <c r="B1212" s="1" t="s">
        <v>1176</v>
      </c>
      <c r="C1212" s="1"/>
      <c r="E1212" s="1">
        <v>48</v>
      </c>
      <c r="H1212" s="1" t="s">
        <v>1027</v>
      </c>
      <c r="J1212" s="1" t="s">
        <v>605</v>
      </c>
      <c r="M1212" s="15" t="s">
        <v>484</v>
      </c>
      <c r="O1212" s="15"/>
      <c r="P1212" s="15"/>
      <c r="Q1212" s="15" t="str" cm="1">
        <f t="array" ref="Q12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2" s="15" t="str" cm="1">
        <f t="array" ref="R12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canciones/joaquin_madurga/comiendo_del_mismo_pan.html</v>
      </c>
      <c r="T1212" s="1"/>
      <c r="U1212" s="1"/>
      <c r="V1212" s="32" t="s">
        <v>3064</v>
      </c>
      <c r="W12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data-nold="48"&gt;&lt;a href="canciones/joaquin_madurga/comiendo_del_mismo_pan.html"&gt;Comiendo del mismo pan&lt;/a&gt;&lt;/li&gt;</v>
      </c>
      <c r="X1212" s="15" t="str">
        <f>_xlfn.TEXTBEFORE(_xlfn.TEXTAFTER(CantoralDB[[#This Row],[index.html]],"&gt;"),"&gt;")&amp;"&gt;"</f>
        <v>&lt;a href="canciones/joaquin_madurga/comiendo_del_mismo_pan.html"&gt;</v>
      </c>
      <c r="Y1212"/>
      <c r="AB1212" s="1"/>
      <c r="AC1212" s="1"/>
    </row>
    <row r="1213" spans="1:29" x14ac:dyDescent="0.3">
      <c r="A1213" s="1">
        <f>ROW(CantoralDB[[#This Row],[Título]])-1</f>
        <v>1212</v>
      </c>
      <c r="B1213" s="1" t="s">
        <v>47</v>
      </c>
      <c r="C1213" s="1" t="s">
        <v>194</v>
      </c>
      <c r="D1213" s="1" t="s">
        <v>1407</v>
      </c>
      <c r="E1213" s="1">
        <v>84</v>
      </c>
      <c r="G1213" s="1" t="s">
        <v>208</v>
      </c>
      <c r="H1213" s="1" t="s">
        <v>529</v>
      </c>
      <c r="I1213" s="1" t="s">
        <v>2947</v>
      </c>
      <c r="J1213" s="1" t="s">
        <v>605</v>
      </c>
      <c r="M1213" s="15" t="s">
        <v>484</v>
      </c>
      <c r="O1213" s="15"/>
      <c r="P1213" s="15"/>
      <c r="Q1213" s="15" t="str" cm="1">
        <f t="array" ref="Q12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3" s="15" t="str" cm="1">
        <f t="array" ref="R12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canciones/joaquin_madurga/donde_hay_caridad_y_amor.html</v>
      </c>
      <c r="T1213" s="1"/>
      <c r="U1213" s="1"/>
      <c r="V1213" s="32" t="s">
        <v>3065</v>
      </c>
      <c r="W12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data-momento="Ofertorio" data-nnew="F06" data-nold="84"&gt;&lt;a href="canciones/joaquin_madurga/donde_hay_caridad_y_amor.html"&gt;Donde hay caridad y amor&lt;/a&gt;&lt;/li&gt;</v>
      </c>
      <c r="X1213" s="15" t="str">
        <f>_xlfn.TEXTBEFORE(_xlfn.TEXTAFTER(CantoralDB[[#This Row],[index.html]],"&gt;"),"&gt;")&amp;"&gt;"</f>
        <v>&lt;a href="canciones/joaquin_madurga/donde_hay_caridad_y_amor.html"&gt;</v>
      </c>
      <c r="Y1213"/>
      <c r="AB1213" s="1"/>
      <c r="AC1213" s="1"/>
    </row>
    <row r="1214" spans="1:29" x14ac:dyDescent="0.3">
      <c r="A1214" s="1">
        <f>ROW(CantoralDB[[#This Row],[Título]])-1</f>
        <v>1213</v>
      </c>
      <c r="B1214" s="1" t="s">
        <v>223</v>
      </c>
      <c r="C1214" s="1" t="s">
        <v>190</v>
      </c>
      <c r="D1214" s="1" t="s">
        <v>733</v>
      </c>
      <c r="G1214" s="1" t="s">
        <v>215</v>
      </c>
      <c r="H1214" s="1" t="s">
        <v>1025</v>
      </c>
      <c r="J1214" s="1" t="s">
        <v>605</v>
      </c>
      <c r="M1214" s="15" t="s">
        <v>484</v>
      </c>
      <c r="O1214" s="15"/>
      <c r="P1214" s="15"/>
      <c r="Q1214" s="15" t="str" cm="1">
        <f t="array" ref="Q12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4" s="15" t="str" cm="1">
        <f t="array" ref="R12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canciones/joaquin_madurga/el_señor_resucito.html</v>
      </c>
      <c r="T1214" s="1"/>
      <c r="U1214" s="1"/>
      <c r="V1214" s="32" t="s">
        <v>3063</v>
      </c>
      <c r="W12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data-momento="Entrada" data-nnew="A16"&gt;&lt;a href="canciones/joaquin_madurga/el_señor_resucito.html"&gt;El Señor resucitó&lt;/a&gt;&lt;/li&gt;</v>
      </c>
      <c r="X1214" s="15" t="str">
        <f>_xlfn.TEXTBEFORE(_xlfn.TEXTAFTER(CantoralDB[[#This Row],[index.html]],"&gt;"),"&gt;")&amp;"&gt;"</f>
        <v>&lt;a href="canciones/joaquin_madurga/el_señor_resucito.html"&gt;</v>
      </c>
      <c r="Y1214"/>
      <c r="AB1214" s="1"/>
      <c r="AC1214" s="1"/>
    </row>
    <row r="1215" spans="1:29" x14ac:dyDescent="0.3">
      <c r="A1215" s="1">
        <f>ROW(CantoralDB[[#This Row],[Título]])-1</f>
        <v>1214</v>
      </c>
      <c r="B1215" s="1" t="s">
        <v>65</v>
      </c>
      <c r="C1215" s="1" t="s">
        <v>190</v>
      </c>
      <c r="D1215" s="1" t="s">
        <v>737</v>
      </c>
      <c r="E1215" s="1">
        <v>122</v>
      </c>
      <c r="G1215" s="1" t="s">
        <v>208</v>
      </c>
      <c r="H1215" s="1" t="s">
        <v>529</v>
      </c>
      <c r="J1215" s="1" t="s">
        <v>605</v>
      </c>
      <c r="M1215" s="15" t="s">
        <v>484</v>
      </c>
      <c r="O1215" s="15"/>
      <c r="P1215" s="15"/>
      <c r="Q1215" s="15" t="str" cm="1">
        <f t="array" ref="Q12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5" s="15" t="str" cm="1">
        <f t="array" ref="R12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canciones/joaquin_madurga/esta_es_tu_fiesta.html</v>
      </c>
      <c r="T1215" s="1"/>
      <c r="U1215" s="1"/>
      <c r="V1215" s="32" t="s">
        <v>3066</v>
      </c>
      <c r="W12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data-momento="Entrada" data-nnew="A20" data-nold="122"&gt;&lt;a href="canciones/joaquin_madurga/esta_es_tu_fiesta.html"&gt;Esta es tu fiesta&lt;/a&gt;&lt;/li&gt;</v>
      </c>
      <c r="X1215" s="15" t="str">
        <f>_xlfn.TEXTBEFORE(_xlfn.TEXTAFTER(CantoralDB[[#This Row],[index.html]],"&gt;"),"&gt;")&amp;"&gt;"</f>
        <v>&lt;a href="canciones/joaquin_madurga/esta_es_tu_fiesta.html"&gt;</v>
      </c>
      <c r="Y1215"/>
      <c r="AB1215" s="1"/>
      <c r="AC1215" s="1"/>
    </row>
    <row r="1216" spans="1:29" x14ac:dyDescent="0.3">
      <c r="A1216" s="1">
        <f>ROW(CantoralDB[[#This Row],[Título]])-1</f>
        <v>1215</v>
      </c>
      <c r="B1216" s="1" t="s">
        <v>1350</v>
      </c>
      <c r="C1216" s="1"/>
      <c r="E1216" s="1">
        <v>305</v>
      </c>
      <c r="J1216" s="1"/>
      <c r="M1216" s="15" t="s">
        <v>484</v>
      </c>
      <c r="O1216" s="15"/>
      <c r="P1216" s="15"/>
      <c r="Q1216" s="15" t="str" cm="1">
        <f t="array" ref="Q12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6" s="15" t="str" cm="1">
        <f t="array" ref="R12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canciones/joaquin_madurga/juntos_cantaremos_con_la_voz_de_la_cancion.html</v>
      </c>
      <c r="T1216" s="1"/>
      <c r="U1216" s="1"/>
      <c r="V1216" s="32" t="s">
        <v>5310</v>
      </c>
      <c r="W12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data-nold="305"&gt;&lt;a href="canciones/joaquin_madurga/juntos_cantaremos_con_la_voz_de_la_cancion.html"&gt;Juntos cantaremos con la voz de la canción&lt;/a&gt;&lt;/li&gt;</v>
      </c>
      <c r="X1216" s="15" t="str">
        <f>_xlfn.TEXTBEFORE(_xlfn.TEXTAFTER(CantoralDB[[#This Row],[index.html]],"&gt;"),"&gt;")&amp;"&gt;"</f>
        <v>&lt;a href="canciones/joaquin_madurga/juntos_cantaremos_con_la_voz_de_la_cancion.html"&gt;</v>
      </c>
      <c r="Y1216"/>
      <c r="AB1216" s="1"/>
      <c r="AC1216" s="1"/>
    </row>
    <row r="1217" spans="1:29" x14ac:dyDescent="0.3">
      <c r="A1217" s="1">
        <f>ROW(CantoralDB[[#This Row],[Título]])-1</f>
        <v>1216</v>
      </c>
      <c r="B1217" s="1" t="s">
        <v>155</v>
      </c>
      <c r="C1217" s="1" t="s">
        <v>190</v>
      </c>
      <c r="D1217" s="1" t="s">
        <v>752</v>
      </c>
      <c r="E1217" s="1">
        <v>275</v>
      </c>
      <c r="G1217" s="1" t="s">
        <v>208</v>
      </c>
      <c r="H1217" s="1" t="s">
        <v>1027</v>
      </c>
      <c r="I1217" s="1" t="s">
        <v>2948</v>
      </c>
      <c r="J1217" s="1" t="s">
        <v>605</v>
      </c>
      <c r="M1217" s="15" t="s">
        <v>484</v>
      </c>
      <c r="O1217" s="15"/>
      <c r="P1217" s="15"/>
      <c r="Q1217" s="15" t="str" cm="1">
        <f t="array" ref="Q12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7" s="15" t="str" cm="1">
        <f t="array" ref="R12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canciones/joaquin_madurga/unidos_en_la_fiesta.html</v>
      </c>
      <c r="T1217" s="1"/>
      <c r="U1217" s="1"/>
      <c r="V1217" s="32" t="s">
        <v>3067</v>
      </c>
      <c r="W12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data-momento="Entrada" data-nnew="A35" data-nold="275"&gt;&lt;a href="canciones/joaquin_madurga/unidos_en_la_fiesta.html"&gt;Unidos en la fiesta&lt;/a&gt;&lt;/li&gt;</v>
      </c>
      <c r="X1217" s="15" t="str">
        <f>_xlfn.TEXTBEFORE(_xlfn.TEXTAFTER(CantoralDB[[#This Row],[index.html]],"&gt;"),"&gt;")&amp;"&gt;"</f>
        <v>&lt;a href="canciones/joaquin_madurga/unidos_en_la_fiesta.html"&gt;</v>
      </c>
      <c r="Y1217"/>
      <c r="AB1217" s="1"/>
      <c r="AC1217" s="1"/>
    </row>
    <row r="1218" spans="1:29" x14ac:dyDescent="0.3">
      <c r="A1218" s="1">
        <f>ROW(CantoralDB[[#This Row],[Título]])-1</f>
        <v>1217</v>
      </c>
      <c r="B1218" s="1" t="s">
        <v>1341</v>
      </c>
      <c r="C1218" s="1"/>
      <c r="E1218" s="1">
        <v>287</v>
      </c>
      <c r="H1218" s="1" t="s">
        <v>1025</v>
      </c>
      <c r="J1218" s="1" t="s">
        <v>605</v>
      </c>
      <c r="M1218" s="15" t="s">
        <v>484</v>
      </c>
      <c r="O1218" s="15"/>
      <c r="P1218" s="15"/>
      <c r="Q1218" s="15" t="str" cm="1">
        <f t="array" ref="Q12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joaquin_madurga</v>
      </c>
      <c r="R1218" s="15" t="str" cm="1">
        <f t="array" ref="R12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canciones/joaquin_madurga/vamos_buscando_la_verdad.html</v>
      </c>
      <c r="T1218" s="1"/>
      <c r="U1218" s="1"/>
      <c r="V1218" s="32" t="s">
        <v>3068</v>
      </c>
      <c r="W12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Madurga" data-nold="287"&gt;&lt;a href="canciones/joaquin_madurga/vamos_buscando_la_verdad.html"&gt;Vamos buscando la verdad&lt;/a&gt;&lt;/li&gt;</v>
      </c>
      <c r="X1218" s="15" t="str">
        <f>_xlfn.TEXTBEFORE(_xlfn.TEXTAFTER(CantoralDB[[#This Row],[index.html]],"&gt;"),"&gt;")&amp;"&gt;"</f>
        <v>&lt;a href="canciones/joaquin_madurga/vamos_buscando_la_verdad.html"&gt;</v>
      </c>
      <c r="Y1218"/>
      <c r="AB1218" s="1"/>
      <c r="AC1218" s="1"/>
    </row>
    <row r="1219" spans="1:29" x14ac:dyDescent="0.3">
      <c r="A1219" s="1">
        <f>ROW(CantoralDB[[#This Row],[Título]])-1</f>
        <v>1218</v>
      </c>
      <c r="B1219" s="1" t="s">
        <v>171</v>
      </c>
      <c r="C1219" s="1" t="s">
        <v>990</v>
      </c>
      <c r="D1219" s="1" t="s">
        <v>1030</v>
      </c>
      <c r="F1219" s="1">
        <v>400</v>
      </c>
      <c r="G1219" s="1" t="s">
        <v>208</v>
      </c>
      <c r="H1219" s="1" t="s">
        <v>1027</v>
      </c>
      <c r="J1219" s="1" t="s">
        <v>605</v>
      </c>
      <c r="M1219" s="15" t="s">
        <v>537</v>
      </c>
      <c r="O1219" s="15"/>
      <c r="P1219" s="15"/>
      <c r="Q1219" s="15" t="str" cm="1">
        <f t="array" ref="Q12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19" s="15" t="str" cm="1">
        <f t="array" ref="R12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canciones/josep_asuncion/adorare_tu_cuerpo_herido.html</v>
      </c>
      <c r="T1219" s="1"/>
      <c r="U1219" s="1"/>
      <c r="V1219" s="15"/>
      <c r="W12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data-momento="Comunión" data-nnew="K02" data-nrcc="400"&gt;&lt;a href="canciones/josep_asuncion/adorare_tu_cuerpo_herido.html"&gt;Adoraré tu cuerpo herido&lt;/a&gt;&lt;/li&gt;</v>
      </c>
      <c r="X1219" s="15" t="str">
        <f>_xlfn.TEXTBEFORE(_xlfn.TEXTAFTER(CantoralDB[[#This Row],[index.html]],"&gt;"),"&gt;")&amp;"&gt;"</f>
        <v>&lt;a href="canciones/josep_asuncion/adorare_tu_cuerpo_herido.html"&gt;</v>
      </c>
      <c r="Y1219"/>
      <c r="AB1219" s="1"/>
      <c r="AC1219" s="1"/>
    </row>
    <row r="1220" spans="1:29" x14ac:dyDescent="0.3">
      <c r="A1220" s="1">
        <f>ROW(CantoralDB[[#This Row],[Título]])-1</f>
        <v>1219</v>
      </c>
      <c r="B1220" s="1" t="s">
        <v>2661</v>
      </c>
      <c r="C1220" s="1"/>
      <c r="F1220" s="1">
        <v>291</v>
      </c>
      <c r="H1220" s="1" t="s">
        <v>1025</v>
      </c>
      <c r="J1220" s="1" t="s">
        <v>605</v>
      </c>
      <c r="M1220" s="15" t="s">
        <v>537</v>
      </c>
      <c r="N1220" s="1" t="s">
        <v>5861</v>
      </c>
      <c r="O1220" s="15"/>
      <c r="P1220" s="15"/>
      <c r="Q1220" s="15" t="str" cm="1">
        <f t="array" ref="Q12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0" s="15" t="str" cm="1">
        <f t="array" ref="R12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canciones/josep_asuncion/alabandote.html</v>
      </c>
      <c r="T1220" s="1"/>
      <c r="U1220" s="1"/>
      <c r="V1220" s="32" t="s">
        <v>5862</v>
      </c>
      <c r="W12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data-nrcc="291"&gt;&lt;a href="canciones/josep_asuncion/alabandote.html"&gt;Alabándote&lt;/a&gt;&lt;/li&gt;</v>
      </c>
      <c r="X1220" s="15" t="str">
        <f>_xlfn.TEXTBEFORE(_xlfn.TEXTAFTER(CantoralDB[[#This Row],[index.html]],"&gt;"),"&gt;")&amp;"&gt;"</f>
        <v>&lt;a href="canciones/josep_asuncion/alabandote.html"&gt;</v>
      </c>
      <c r="Y1220"/>
      <c r="AB1220" s="1"/>
      <c r="AC1220" s="1"/>
    </row>
    <row r="1221" spans="1:29" x14ac:dyDescent="0.3">
      <c r="A1221" s="1">
        <f>ROW(CantoralDB[[#This Row],[Título]])-1</f>
        <v>1220</v>
      </c>
      <c r="B1221" s="1" t="s">
        <v>2473</v>
      </c>
      <c r="C1221" s="1"/>
      <c r="F1221" s="1">
        <v>94</v>
      </c>
      <c r="H1221" s="1" t="s">
        <v>1027</v>
      </c>
      <c r="J1221" s="1" t="s">
        <v>605</v>
      </c>
      <c r="M1221" s="15" t="s">
        <v>537</v>
      </c>
      <c r="O1221" s="15"/>
      <c r="P1221" s="15"/>
      <c r="Q1221" s="15" t="str" cm="1">
        <f t="array" ref="Q12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1" s="15" t="str" cm="1">
        <f t="array" ref="R12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canciones/josep_asuncion/amor_loco.html</v>
      </c>
      <c r="T1221" s="1"/>
      <c r="U1221" s="1"/>
      <c r="V1221" s="32" t="s">
        <v>5860</v>
      </c>
      <c r="W12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data-nrcc="94"&gt;&lt;a href="canciones/josep_asuncion/amor_loco.html"&gt;Amor loco&lt;/a&gt;&lt;/li&gt;</v>
      </c>
      <c r="X1221" s="15" t="str">
        <f>_xlfn.TEXTBEFORE(_xlfn.TEXTAFTER(CantoralDB[[#This Row],[index.html]],"&gt;"),"&gt;")&amp;"&gt;"</f>
        <v>&lt;a href="canciones/josep_asuncion/amor_loco.html"&gt;</v>
      </c>
      <c r="Y1221"/>
      <c r="AB1221" s="1"/>
      <c r="AC1221" s="1"/>
    </row>
    <row r="1222" spans="1:29" x14ac:dyDescent="0.3">
      <c r="A1222" s="1">
        <f>ROW(CantoralDB[[#This Row],[Título]])-1</f>
        <v>1221</v>
      </c>
      <c r="B1222" s="1" t="s">
        <v>2524</v>
      </c>
      <c r="C1222" s="1"/>
      <c r="F1222" s="1">
        <v>141</v>
      </c>
      <c r="H1222" s="1" t="s">
        <v>1027</v>
      </c>
      <c r="J1222" s="1" t="s">
        <v>605</v>
      </c>
      <c r="M1222" s="15" t="s">
        <v>537</v>
      </c>
      <c r="O1222" s="15"/>
      <c r="P1222" s="15"/>
      <c r="Q1222" s="15" t="str" cm="1">
        <f t="array" ref="Q12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2" s="15" t="str" cm="1">
        <f t="array" ref="R12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canciones/josep_asuncion/como_las_tiendas_de_quedar.html</v>
      </c>
      <c r="T1222" s="1"/>
      <c r="U1222" s="1"/>
      <c r="V1222" s="32" t="s">
        <v>5863</v>
      </c>
      <c r="W12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data-nrcc="141"&gt;&lt;a href="canciones/josep_asuncion/como_las_tiendas_de_quedar.html"&gt;Como las tiendas de Quedar&lt;/a&gt;&lt;/li&gt;</v>
      </c>
      <c r="X1222" s="15" t="str">
        <f>_xlfn.TEXTBEFORE(_xlfn.TEXTAFTER(CantoralDB[[#This Row],[index.html]],"&gt;"),"&gt;")&amp;"&gt;"</f>
        <v>&lt;a href="canciones/josep_asuncion/como_las_tiendas_de_quedar.html"&gt;</v>
      </c>
      <c r="Y1222"/>
      <c r="AB1222" s="1"/>
      <c r="AC1222" s="1"/>
    </row>
    <row r="1223" spans="1:29" x14ac:dyDescent="0.3">
      <c r="A1223" s="1">
        <f>ROW(CantoralDB[[#This Row],[Título]])-1</f>
        <v>1222</v>
      </c>
      <c r="B1223" s="1" t="s">
        <v>2550</v>
      </c>
      <c r="C1223" s="1"/>
      <c r="F1223" s="1">
        <v>165</v>
      </c>
      <c r="H1223" s="1" t="s">
        <v>1027</v>
      </c>
      <c r="J1223" s="1" t="s">
        <v>605</v>
      </c>
      <c r="M1223" s="15" t="s">
        <v>537</v>
      </c>
      <c r="O1223" s="15"/>
      <c r="P1223" s="15"/>
      <c r="Q1223" s="15" t="str" cm="1">
        <f t="array" ref="Q12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3" s="15" t="str" cm="1">
        <f t="array" ref="R12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canciones/josep_asuncion/dos_mil_años_de_luz.html</v>
      </c>
      <c r="T1223" s="1"/>
      <c r="U1223" s="1"/>
      <c r="V1223" s="32" t="s">
        <v>4579</v>
      </c>
      <c r="W12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data-nrcc="165"&gt;&lt;a href="canciones/josep_asuncion/dos_mil_años_de_luz.html"&gt;Dos mil años de luz&lt;/a&gt;&lt;/li&gt;</v>
      </c>
      <c r="X1223" s="15" t="str">
        <f>_xlfn.TEXTBEFORE(_xlfn.TEXTAFTER(CantoralDB[[#This Row],[index.html]],"&gt;"),"&gt;")&amp;"&gt;"</f>
        <v>&lt;a href="canciones/josep_asuncion/dos_mil_años_de_luz.html"&gt;</v>
      </c>
      <c r="Y1223"/>
      <c r="AB1223" s="1"/>
      <c r="AC1223" s="1"/>
    </row>
    <row r="1224" spans="1:29" x14ac:dyDescent="0.3">
      <c r="A1224" s="1">
        <f>ROW(CantoralDB[[#This Row],[Título]])-1</f>
        <v>1223</v>
      </c>
      <c r="B1224" s="1" t="s">
        <v>2408</v>
      </c>
      <c r="C1224" s="1"/>
      <c r="F1224" s="1">
        <v>34</v>
      </c>
      <c r="H1224" s="1" t="s">
        <v>1025</v>
      </c>
      <c r="J1224" s="1" t="s">
        <v>605</v>
      </c>
      <c r="M1224" s="15" t="s">
        <v>537</v>
      </c>
      <c r="O1224" s="15"/>
      <c r="P1224" s="15"/>
      <c r="Q1224" s="15" t="str" cm="1">
        <f t="array" ref="Q12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4" s="15" t="str" cm="1">
        <f t="array" ref="R12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canciones/josep_asuncion/en_quien_me_fijare.html</v>
      </c>
      <c r="T1224" s="1"/>
      <c r="U1224" s="1"/>
      <c r="V1224" s="32" t="s">
        <v>5864</v>
      </c>
      <c r="W12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data-nrcc="34"&gt;&lt;a href="canciones/josep_asuncion/en_quien_me_fijare.html"&gt;En quién me fijaré&lt;/a&gt;&lt;/li&gt;</v>
      </c>
      <c r="X1224" s="15" t="str">
        <f>_xlfn.TEXTBEFORE(_xlfn.TEXTAFTER(CantoralDB[[#This Row],[index.html]],"&gt;"),"&gt;")&amp;"&gt;"</f>
        <v>&lt;a href="canciones/josep_asuncion/en_quien_me_fijare.html"&gt;</v>
      </c>
      <c r="Y1224"/>
      <c r="AB1224" s="1"/>
      <c r="AC1224" s="1"/>
    </row>
    <row r="1225" spans="1:29" x14ac:dyDescent="0.3">
      <c r="A1225" s="1">
        <f>ROW(CantoralDB[[#This Row],[Título]])-1</f>
        <v>1224</v>
      </c>
      <c r="B1225" s="1" t="s">
        <v>2654</v>
      </c>
      <c r="C1225" s="1"/>
      <c r="F1225" s="1">
        <v>282</v>
      </c>
      <c r="H1225" s="1" t="s">
        <v>529</v>
      </c>
      <c r="J1225" s="1" t="s">
        <v>605</v>
      </c>
      <c r="M1225" s="15" t="s">
        <v>537</v>
      </c>
      <c r="O1225" s="15"/>
      <c r="P1225" s="15"/>
      <c r="Q1225" s="15" t="str" cm="1">
        <f t="array" ref="Q12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5" s="15" t="str" cm="1">
        <f t="array" ref="R12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canciones/josep_asuncion/gloriosa_luz_de_dios.html</v>
      </c>
      <c r="T1225" s="1"/>
      <c r="U1225" s="1"/>
      <c r="V1225" s="32" t="s">
        <v>5865</v>
      </c>
      <c r="W12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data-nrcc="282"&gt;&lt;a href="canciones/josep_asuncion/gloriosa_luz_de_dios.html"&gt;Gloriosa luz de Dios&lt;/a&gt;&lt;/li&gt;</v>
      </c>
      <c r="X1225" s="15" t="str">
        <f>_xlfn.TEXTBEFORE(_xlfn.TEXTAFTER(CantoralDB[[#This Row],[index.html]],"&gt;"),"&gt;")&amp;"&gt;"</f>
        <v>&lt;a href="canciones/josep_asuncion/gloriosa_luz_de_dios.html"&gt;</v>
      </c>
      <c r="Y1225"/>
      <c r="AB1225" s="1"/>
      <c r="AC1225" s="1"/>
    </row>
    <row r="1226" spans="1:29" x14ac:dyDescent="0.3">
      <c r="A1226" s="1">
        <f>ROW(CantoralDB[[#This Row],[Título]])-1</f>
        <v>1225</v>
      </c>
      <c r="B1226" s="1" t="s">
        <v>2665</v>
      </c>
      <c r="C1226" s="1"/>
      <c r="F1226" s="1">
        <v>295</v>
      </c>
      <c r="H1226" s="1" t="s">
        <v>1027</v>
      </c>
      <c r="J1226" s="1" t="s">
        <v>605</v>
      </c>
      <c r="M1226" s="15" t="s">
        <v>537</v>
      </c>
      <c r="O1226" s="15"/>
      <c r="P1226" s="15"/>
      <c r="Q1226" s="15" t="str" cm="1">
        <f t="array" ref="Q12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6" s="15" t="str" cm="1">
        <f t="array" ref="R12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canciones/josep_asuncion/me_basta_tu_presencia_y_tu_figura.html</v>
      </c>
      <c r="T1226" s="1"/>
      <c r="U1226" s="1"/>
      <c r="V1226" s="32" t="s">
        <v>5866</v>
      </c>
      <c r="W12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data-nrcc="295"&gt;&lt;a href="canciones/josep_asuncion/me_basta_tu_presencia_y_tu_figura.html"&gt;Me basta tu presencia y tu figura&lt;/a&gt;&lt;/li&gt;</v>
      </c>
      <c r="X1226" s="15" t="str">
        <f>_xlfn.TEXTBEFORE(_xlfn.TEXTAFTER(CantoralDB[[#This Row],[index.html]],"&gt;"),"&gt;")&amp;"&gt;"</f>
        <v>&lt;a href="canciones/josep_asuncion/me_basta_tu_presencia_y_tu_figura.html"&gt;</v>
      </c>
      <c r="Y1226"/>
      <c r="AB1226" s="1"/>
      <c r="AC1226" s="1"/>
    </row>
    <row r="1227" spans="1:29" x14ac:dyDescent="0.3">
      <c r="A1227" s="1">
        <f>ROW(CantoralDB[[#This Row],[Título]])-1</f>
        <v>1226</v>
      </c>
      <c r="B1227" s="1" t="s">
        <v>2495</v>
      </c>
      <c r="C1227" s="1"/>
      <c r="F1227" s="1">
        <v>118</v>
      </c>
      <c r="H1227" s="1" t="s">
        <v>1025</v>
      </c>
      <c r="J1227" s="1" t="s">
        <v>605</v>
      </c>
      <c r="M1227" s="15" t="s">
        <v>537</v>
      </c>
      <c r="O1227" s="15"/>
      <c r="P1227" s="15"/>
      <c r="Q1227" s="15" t="str" cm="1">
        <f t="array" ref="Q12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7" s="15" t="str" cm="1">
        <f t="array" ref="R12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canciones/josep_asuncion/te_cubrire.html</v>
      </c>
      <c r="T1227" s="1"/>
      <c r="U1227" s="1"/>
      <c r="V1227" s="32" t="s">
        <v>4574</v>
      </c>
      <c r="W12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data-nrcc="118"&gt;&lt;a href="canciones/josep_asuncion/te_cubrire.html"&gt;Te cubriré&lt;/a&gt;&lt;/li&gt;</v>
      </c>
      <c r="X1227" s="15" t="str">
        <f>_xlfn.TEXTBEFORE(_xlfn.TEXTAFTER(CantoralDB[[#This Row],[index.html]],"&gt;"),"&gt;")&amp;"&gt;"</f>
        <v>&lt;a href="canciones/josep_asuncion/te_cubrire.html"&gt;</v>
      </c>
      <c r="Y1227"/>
      <c r="AB1227" s="1"/>
      <c r="AC1227" s="1"/>
    </row>
    <row r="1228" spans="1:29" x14ac:dyDescent="0.3">
      <c r="A1228" s="1">
        <f>ROW(CantoralDB[[#This Row],[Título]])-1</f>
        <v>1227</v>
      </c>
      <c r="B1228" s="1" t="s">
        <v>2455</v>
      </c>
      <c r="C1228" s="1"/>
      <c r="F1228" s="1">
        <v>77</v>
      </c>
      <c r="H1228" s="1" t="s">
        <v>1024</v>
      </c>
      <c r="J1228" s="1" t="s">
        <v>605</v>
      </c>
      <c r="M1228" s="15" t="s">
        <v>537</v>
      </c>
      <c r="O1228" s="15"/>
      <c r="P1228" s="15"/>
      <c r="Q1228" s="15" t="str" cm="1">
        <f t="array" ref="Q12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8" s="15" t="str" cm="1">
        <f t="array" ref="R12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canciones/josep_asuncion/ven_y_dejate_llevar.html</v>
      </c>
      <c r="T1228" s="1"/>
      <c r="U1228" s="1"/>
      <c r="V1228" s="15"/>
      <c r="W12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data-nrcc="77"&gt;&lt;a href="canciones/josep_asuncion/ven_y_dejate_llevar.html"&gt;Ven y déjate llevar&lt;/a&gt;&lt;/li&gt;</v>
      </c>
      <c r="X1228" s="15" t="str">
        <f>_xlfn.TEXTBEFORE(_xlfn.TEXTAFTER(CantoralDB[[#This Row],[index.html]],"&gt;"),"&gt;")&amp;"&gt;"</f>
        <v>&lt;a href="canciones/josep_asuncion/ven_y_dejate_llevar.html"&gt;</v>
      </c>
      <c r="Y1228"/>
      <c r="AB1228" s="1"/>
      <c r="AC1228" s="1"/>
    </row>
    <row r="1229" spans="1:29" x14ac:dyDescent="0.3">
      <c r="A1229" s="1">
        <f>ROW(CantoralDB[[#This Row],[Título]])-1</f>
        <v>1228</v>
      </c>
      <c r="B1229" s="1" t="s">
        <v>590</v>
      </c>
      <c r="C1229" s="1" t="s">
        <v>200</v>
      </c>
      <c r="D1229" s="1" t="s">
        <v>674</v>
      </c>
      <c r="F1229" s="1">
        <v>368</v>
      </c>
      <c r="G1229" s="1" t="s">
        <v>212</v>
      </c>
      <c r="H1229" s="1" t="s">
        <v>529</v>
      </c>
      <c r="J1229" s="1" t="s">
        <v>605</v>
      </c>
      <c r="M1229" s="15" t="s">
        <v>537</v>
      </c>
      <c r="O1229" s="15"/>
      <c r="P1229" s="15"/>
      <c r="Q1229" s="15" t="str" cm="1">
        <f t="array" ref="Q12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josep_asuncion</v>
      </c>
      <c r="R1229" s="15" t="str" cm="1">
        <f t="array" ref="R12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canciones/josep_asuncion/ven_y_descansate.html</v>
      </c>
      <c r="T1229" s="1"/>
      <c r="U1229" s="1"/>
      <c r="V1229" s="15"/>
      <c r="W12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data-author="Josep Asunción" data-momento="Antífonas" data-nnew="D39" data-nrcc="368"&gt;&lt;a href="canciones/josep_asuncion/ven_y_descansate.html"&gt;Ven y descánsate&lt;/a&gt;&lt;/li&gt;</v>
      </c>
      <c r="X1229" s="15" t="str">
        <f>_xlfn.TEXTBEFORE(_xlfn.TEXTAFTER(CantoralDB[[#This Row],[index.html]],"&gt;"),"&gt;")&amp;"&gt;"</f>
        <v>&lt;a href="canciones/josep_asuncion/ven_y_descansate.html"&gt;</v>
      </c>
      <c r="Y1229"/>
      <c r="AB1229" s="1"/>
      <c r="AC1229" s="1"/>
    </row>
    <row r="1230" spans="1:29" x14ac:dyDescent="0.3">
      <c r="A1230" s="1">
        <f>ROW(CantoralDB[[#This Row],[Título]])-1</f>
        <v>1229</v>
      </c>
      <c r="B1230" s="1" t="s">
        <v>228</v>
      </c>
      <c r="C1230" s="1" t="s">
        <v>200</v>
      </c>
      <c r="D1230" s="1" t="s">
        <v>1356</v>
      </c>
      <c r="E1230" s="1">
        <v>4</v>
      </c>
      <c r="G1230" s="1" t="s">
        <v>215</v>
      </c>
      <c r="H1230" s="1" t="s">
        <v>1027</v>
      </c>
      <c r="J1230" s="1" t="s">
        <v>605</v>
      </c>
      <c r="M1230" s="15" t="s">
        <v>490</v>
      </c>
      <c r="O1230" s="15"/>
      <c r="P1230" s="15"/>
      <c r="Q1230" s="15" t="str" cm="1">
        <f t="array" ref="Q12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0" s="15" t="str" cm="1">
        <f t="array" ref="R12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canciones/juan_antonio_espinosa/a_dios_den_gracias_los_pueblos.html</v>
      </c>
      <c r="T1230" s="1"/>
      <c r="U1230" s="1"/>
      <c r="V1230" s="32" t="s">
        <v>3028</v>
      </c>
      <c r="W12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data-momento="Antífonas" data-nnew="D01" data-nold="4"&gt;&lt;a href="canciones/juan_antonio_espinosa/a_dios_den_gracias_los_pueblos.html"&gt;A Dios den gracias los pueblos&lt;/a&gt;&lt;/li&gt;</v>
      </c>
      <c r="X1230" s="15" t="str">
        <f>_xlfn.TEXTBEFORE(_xlfn.TEXTAFTER(CantoralDB[[#This Row],[index.html]],"&gt;"),"&gt;")&amp;"&gt;"</f>
        <v>&lt;a href="canciones/juan_antonio_espinosa/a_dios_den_gracias_los_pueblos.html"&gt;</v>
      </c>
      <c r="Y1230"/>
      <c r="AB1230" s="1"/>
      <c r="AC1230" s="1"/>
    </row>
    <row r="1231" spans="1:29" x14ac:dyDescent="0.3">
      <c r="A1231" s="1">
        <f>ROW(CantoralDB[[#This Row],[Título]])-1</f>
        <v>1230</v>
      </c>
      <c r="B1231" s="1" t="s">
        <v>11</v>
      </c>
      <c r="C1231" s="1" t="s">
        <v>190</v>
      </c>
      <c r="D1231" s="1" t="s">
        <v>1365</v>
      </c>
      <c r="E1231" s="1">
        <v>16</v>
      </c>
      <c r="F1231" s="1">
        <v>301</v>
      </c>
      <c r="G1231" s="1" t="s">
        <v>208</v>
      </c>
      <c r="H1231" s="1" t="s">
        <v>1024</v>
      </c>
      <c r="I1231" s="1" t="s">
        <v>2948</v>
      </c>
      <c r="J1231" s="1" t="s">
        <v>605</v>
      </c>
      <c r="M1231" s="15" t="s">
        <v>490</v>
      </c>
      <c r="O1231" s="15"/>
      <c r="P1231" s="15"/>
      <c r="Q1231" s="15" t="str" cm="1">
        <f t="array" ref="Q12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1" s="15" t="str" cm="1">
        <f t="array" ref="R12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canciones/juan_antonio_espinosa/alegre_la_mañana.html</v>
      </c>
      <c r="T1231" s="1"/>
      <c r="U1231" s="1"/>
      <c r="V1231" s="32" t="s">
        <v>3069</v>
      </c>
      <c r="W12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data-momento="Entrada" data-nnew="A05" data-nold="16" data-nrcc="301"&gt;&lt;a href="canciones/juan_antonio_espinosa/alegre_la_mañana.html"&gt;Alegre la mañana&lt;/a&gt;&lt;/li&gt;</v>
      </c>
      <c r="X1231" s="15" t="str">
        <f>_xlfn.TEXTBEFORE(_xlfn.TEXTAFTER(CantoralDB[[#This Row],[index.html]],"&gt;"),"&gt;")&amp;"&gt;"</f>
        <v>&lt;a href="canciones/juan_antonio_espinosa/alegre_la_mañana.html"&gt;</v>
      </c>
      <c r="Y1231"/>
      <c r="AB1231" s="1"/>
      <c r="AC1231" s="1"/>
    </row>
    <row r="1232" spans="1:29" x14ac:dyDescent="0.3">
      <c r="A1232" s="1">
        <f>ROW(CantoralDB[[#This Row],[Título]])-1</f>
        <v>1231</v>
      </c>
      <c r="B1232" s="1" t="s">
        <v>1168</v>
      </c>
      <c r="C1232" s="1" t="s">
        <v>190</v>
      </c>
      <c r="D1232" s="1" t="s">
        <v>1389</v>
      </c>
      <c r="E1232" s="1">
        <v>35</v>
      </c>
      <c r="G1232" s="1" t="s">
        <v>208</v>
      </c>
      <c r="H1232" s="1" t="s">
        <v>1027</v>
      </c>
      <c r="I1232" s="1" t="s">
        <v>2948</v>
      </c>
      <c r="J1232" s="1" t="s">
        <v>605</v>
      </c>
      <c r="M1232" s="15" t="s">
        <v>490</v>
      </c>
      <c r="O1232" s="15"/>
      <c r="P1232" s="15"/>
      <c r="Q1232" s="15" t="str" cm="1">
        <f t="array" ref="Q12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2" s="15" t="str" cm="1">
        <f t="array" ref="R12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canciones/juan_antonio_espinosa/caminamos_hacia_el_sol.html</v>
      </c>
      <c r="T1232" s="1"/>
      <c r="U1232" s="1"/>
      <c r="V1232" s="32" t="s">
        <v>3070</v>
      </c>
      <c r="W12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data-momento="Entrada" data-nnew="A09" data-nold="35"&gt;&lt;a href="canciones/juan_antonio_espinosa/caminamos_hacia_el_sol.html"&gt;Caminamos hacia el sol&lt;/a&gt;&lt;/li&gt;</v>
      </c>
      <c r="X1232" s="15" t="str">
        <f>_xlfn.TEXTBEFORE(_xlfn.TEXTAFTER(CantoralDB[[#This Row],[index.html]],"&gt;"),"&gt;")&amp;"&gt;"</f>
        <v>&lt;a href="canciones/juan_antonio_espinosa/caminamos_hacia_el_sol.html"&gt;</v>
      </c>
      <c r="Y1232"/>
      <c r="AB1232" s="1"/>
      <c r="AC1232" s="1"/>
    </row>
    <row r="1233" spans="1:29" x14ac:dyDescent="0.3">
      <c r="A1233" s="1">
        <f>ROW(CantoralDB[[#This Row],[Título]])-1</f>
        <v>1232</v>
      </c>
      <c r="B1233" s="1" t="s">
        <v>5060</v>
      </c>
      <c r="C1233" s="1"/>
      <c r="E1233" s="1">
        <v>39</v>
      </c>
      <c r="H1233" s="1" t="s">
        <v>1027</v>
      </c>
      <c r="J1233" s="1" t="s">
        <v>605</v>
      </c>
      <c r="M1233" s="15" t="s">
        <v>490</v>
      </c>
      <c r="O1233" s="15"/>
      <c r="P1233" s="15"/>
      <c r="Q1233" s="15" t="str" cm="1">
        <f t="array" ref="Q12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3" s="15" t="str" cm="1">
        <f t="array" ref="R12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canciones/juan_antonio_espinosa/caminare_en_presencia_del_señor_(espinosa).html</v>
      </c>
      <c r="T1233" s="1"/>
      <c r="U1233" s="1"/>
      <c r="V1233" s="32" t="s">
        <v>3071</v>
      </c>
      <c r="W12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data-nold="39"&gt;&lt;a href="canciones/juan_antonio_espinosa/caminare_en_presencia_del_señor_(espinosa).html"&gt;Caminaré en presencia del Señor (Espinosa)&lt;/a&gt;&lt;/li&gt;</v>
      </c>
      <c r="X1233" s="15" t="str">
        <f>_xlfn.TEXTBEFORE(_xlfn.TEXTAFTER(CantoralDB[[#This Row],[index.html]],"&gt;"),"&gt;")&amp;"&gt;"</f>
        <v>&lt;a href="canciones/juan_antonio_espinosa/caminare_en_presencia_del_señor_(espinosa).html"&gt;</v>
      </c>
      <c r="Y1233"/>
      <c r="AB1233" s="1"/>
      <c r="AC1233" s="1"/>
    </row>
    <row r="1234" spans="1:29" x14ac:dyDescent="0.3">
      <c r="A1234" s="1">
        <f>ROW(CantoralDB[[#This Row],[Título]])-1</f>
        <v>1233</v>
      </c>
      <c r="B1234" s="1" t="s">
        <v>1194</v>
      </c>
      <c r="C1234" s="1"/>
      <c r="E1234" s="1">
        <v>73</v>
      </c>
      <c r="H1234" s="1" t="s">
        <v>1027</v>
      </c>
      <c r="J1234" s="1" t="s">
        <v>605</v>
      </c>
      <c r="M1234" s="15" t="s">
        <v>490</v>
      </c>
      <c r="O1234" s="15"/>
      <c r="P1234" s="15"/>
      <c r="Q1234" s="15" t="str" cm="1">
        <f t="array" ref="Q12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4" s="15" t="str" cm="1">
        <f t="array" ref="R12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canciones/juan_antonio_espinosa/dad_gracias_al_señor_porque_es_bueno.html</v>
      </c>
      <c r="T1234" s="1"/>
      <c r="U1234" s="1"/>
      <c r="V1234" s="32" t="s">
        <v>3072</v>
      </c>
      <c r="W12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data-nold="73"&gt;&lt;a href="canciones/juan_antonio_espinosa/dad_gracias_al_señor_porque_es_bueno.html"&gt;Dad gracias al Señor porque es bueno&lt;/a&gt;&lt;/li&gt;</v>
      </c>
      <c r="X1234" s="15" t="str">
        <f>_xlfn.TEXTBEFORE(_xlfn.TEXTAFTER(CantoralDB[[#This Row],[index.html]],"&gt;"),"&gt;")&amp;"&gt;"</f>
        <v>&lt;a href="canciones/juan_antonio_espinosa/dad_gracias_al_señor_porque_es_bueno.html"&gt;</v>
      </c>
      <c r="Y1234"/>
      <c r="AB1234" s="1"/>
      <c r="AC1234" s="1"/>
    </row>
    <row r="1235" spans="1:29" x14ac:dyDescent="0.3">
      <c r="A1235" s="1">
        <f>ROW(CantoralDB[[#This Row],[Título]])-1</f>
        <v>1234</v>
      </c>
      <c r="B1235" s="1" t="s">
        <v>43</v>
      </c>
      <c r="C1235" s="1" t="s">
        <v>990</v>
      </c>
      <c r="D1235" s="1" t="s">
        <v>691</v>
      </c>
      <c r="E1235" s="1">
        <v>75</v>
      </c>
      <c r="G1235" s="1" t="s">
        <v>208</v>
      </c>
      <c r="H1235" s="1" t="s">
        <v>529</v>
      </c>
      <c r="I1235" s="1" t="s">
        <v>2947</v>
      </c>
      <c r="J1235" s="1" t="s">
        <v>605</v>
      </c>
      <c r="M1235" s="15" t="s">
        <v>490</v>
      </c>
      <c r="O1235" s="15"/>
      <c r="P1235" s="15"/>
      <c r="Q1235" s="15" t="str" cm="1">
        <f t="array" ref="Q12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5" s="15" t="str" cm="1">
        <f t="array" ref="R12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canciones/juan_antonio_espinosa/danos_un_corazon.html</v>
      </c>
      <c r="T1235" s="1" t="s">
        <v>816</v>
      </c>
      <c r="U1235" s="1"/>
      <c r="V1235" s="32" t="s">
        <v>3073</v>
      </c>
      <c r="W12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data-momento="Comunión" data-nnew="K21" data-nold="75"&gt;&lt;a href="canciones/juan_antonio_espinosa/danos_un_corazon.html"&gt;Danos un corazón&lt;/a&gt;&lt;/li&gt;</v>
      </c>
      <c r="X1235" s="15" t="str">
        <f>_xlfn.TEXTBEFORE(_xlfn.TEXTAFTER(CantoralDB[[#This Row],[index.html]],"&gt;"),"&gt;")&amp;"&gt;"</f>
        <v>&lt;a href="canciones/juan_antonio_espinosa/danos_un_corazon.html"&gt;</v>
      </c>
      <c r="Y1235"/>
      <c r="AB1235" s="1"/>
      <c r="AC1235" s="1"/>
    </row>
    <row r="1236" spans="1:29" x14ac:dyDescent="0.3">
      <c r="A1236" s="1">
        <f>ROW(CantoralDB[[#This Row],[Título]])-1</f>
        <v>1235</v>
      </c>
      <c r="B1236" s="1" t="s">
        <v>46</v>
      </c>
      <c r="C1236" s="1" t="s">
        <v>990</v>
      </c>
      <c r="D1236" s="1" t="s">
        <v>693</v>
      </c>
      <c r="E1236" s="1">
        <v>77</v>
      </c>
      <c r="G1236" s="1" t="s">
        <v>208</v>
      </c>
      <c r="H1236" s="1" t="s">
        <v>529</v>
      </c>
      <c r="I1236" s="1" t="s">
        <v>2949</v>
      </c>
      <c r="J1236" s="1" t="s">
        <v>605</v>
      </c>
      <c r="M1236" s="15" t="s">
        <v>490</v>
      </c>
      <c r="O1236" s="15"/>
      <c r="P1236" s="15"/>
      <c r="Q1236" s="15" t="str" cm="1">
        <f t="array" ref="Q12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6" s="15" t="str" cm="1">
        <f t="array" ref="R12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canciones/juan_antonio_espinosa/dolorosa.html</v>
      </c>
      <c r="T1236" s="1" t="s">
        <v>818</v>
      </c>
      <c r="U1236" s="1"/>
      <c r="V1236" s="32" t="s">
        <v>3074</v>
      </c>
      <c r="W12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data-momento="Comunión" data-nnew="K23" data-nold="77"&gt;&lt;a href="canciones/juan_antonio_espinosa/dolorosa.html"&gt;Dolorosa&lt;/a&gt;&lt;/li&gt;</v>
      </c>
      <c r="X1236" s="15" t="str">
        <f>_xlfn.TEXTBEFORE(_xlfn.TEXTAFTER(CantoralDB[[#This Row],[index.html]],"&gt;"),"&gt;")&amp;"&gt;"</f>
        <v>&lt;a href="canciones/juan_antonio_espinosa/dolorosa.html"&gt;</v>
      </c>
      <c r="Y1236"/>
      <c r="AB1236" s="1"/>
      <c r="AC1236" s="1"/>
    </row>
    <row r="1237" spans="1:29" x14ac:dyDescent="0.3">
      <c r="A1237" s="1">
        <f>ROW(CantoralDB[[#This Row],[Título]])-1</f>
        <v>1236</v>
      </c>
      <c r="B1237" s="1" t="s">
        <v>1215</v>
      </c>
      <c r="C1237" s="1"/>
      <c r="E1237" s="1">
        <v>102</v>
      </c>
      <c r="H1237" s="1" t="s">
        <v>529</v>
      </c>
      <c r="J1237" s="1" t="s">
        <v>605</v>
      </c>
      <c r="M1237" s="15" t="s">
        <v>490</v>
      </c>
      <c r="O1237" s="15"/>
      <c r="P1237" s="15"/>
      <c r="Q1237" s="15" t="str" cm="1">
        <f t="array" ref="Q12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7" s="15" t="str" cm="1">
        <f t="array" ref="R12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canciones/juan_antonio_espinosa/el_señor_es_mi_fuerza.html</v>
      </c>
      <c r="T1237" s="1"/>
      <c r="U1237" s="1"/>
      <c r="V1237" s="32" t="s">
        <v>2967</v>
      </c>
      <c r="W12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data-nold="102"&gt;&lt;a href="canciones/juan_antonio_espinosa/el_señor_es_mi_fuerza.html"&gt;El Señor es mi fuerza&lt;/a&gt;&lt;/li&gt;</v>
      </c>
      <c r="X1237" s="15" t="str">
        <f>_xlfn.TEXTBEFORE(_xlfn.TEXTAFTER(CantoralDB[[#This Row],[index.html]],"&gt;"),"&gt;")&amp;"&gt;"</f>
        <v>&lt;a href="canciones/juan_antonio_espinosa/el_señor_es_mi_fuerza.html"&gt;</v>
      </c>
      <c r="Y1237"/>
      <c r="AB1237" s="1"/>
      <c r="AC1237" s="1"/>
    </row>
    <row r="1238" spans="1:29" x14ac:dyDescent="0.3">
      <c r="A1238" s="1">
        <f>ROW(CantoralDB[[#This Row],[Título]])-1</f>
        <v>1237</v>
      </c>
      <c r="B1238" s="1" t="s">
        <v>58</v>
      </c>
      <c r="C1238" s="1" t="s">
        <v>194</v>
      </c>
      <c r="D1238" s="1" t="s">
        <v>1415</v>
      </c>
      <c r="E1238" s="1">
        <v>94</v>
      </c>
      <c r="G1238" s="1" t="s">
        <v>208</v>
      </c>
      <c r="H1238" s="1" t="s">
        <v>529</v>
      </c>
      <c r="I1238" s="1" t="s">
        <v>2948</v>
      </c>
      <c r="J1238" s="1" t="s">
        <v>605</v>
      </c>
      <c r="M1238" s="15" t="s">
        <v>490</v>
      </c>
      <c r="O1238" s="15"/>
      <c r="P1238" s="15"/>
      <c r="Q1238" s="15" t="str" cm="1">
        <f t="array" ref="Q12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8" s="15" t="str" cm="1">
        <f t="array" ref="R12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canciones/juan_antonio_espinosa/en_la_comida_que_cristo_nos_da.html</v>
      </c>
      <c r="T1238" s="1"/>
      <c r="U1238" s="1"/>
      <c r="V1238" s="32" t="s">
        <v>3075</v>
      </c>
      <c r="W12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data-momento="Ofertorio" data-nnew="F07" data-nold="94"&gt;&lt;a href="canciones/juan_antonio_espinosa/en_la_comida_que_cristo_nos_da.html"&gt;En la comida que Cristo nos da&lt;/a&gt;&lt;/li&gt;</v>
      </c>
      <c r="X1238" s="15" t="str">
        <f>_xlfn.TEXTBEFORE(_xlfn.TEXTAFTER(CantoralDB[[#This Row],[index.html]],"&gt;"),"&gt;")&amp;"&gt;"</f>
        <v>&lt;a href="canciones/juan_antonio_espinosa/en_la_comida_que_cristo_nos_da.html"&gt;</v>
      </c>
      <c r="Y1238"/>
      <c r="AB1238" s="1"/>
      <c r="AC1238" s="1"/>
    </row>
    <row r="1239" spans="1:29" x14ac:dyDescent="0.3">
      <c r="A1239" s="1">
        <f>ROW(CantoralDB[[#This Row],[Título]])-1</f>
        <v>1238</v>
      </c>
      <c r="B1239" s="1" t="s">
        <v>2111</v>
      </c>
      <c r="C1239" s="1"/>
      <c r="E1239" s="1">
        <v>108</v>
      </c>
      <c r="H1239" s="1" t="s">
        <v>529</v>
      </c>
      <c r="J1239" s="1" t="s">
        <v>605</v>
      </c>
      <c r="M1239" s="15" t="s">
        <v>490</v>
      </c>
      <c r="O1239" s="15"/>
      <c r="P1239" s="15"/>
      <c r="Q1239" s="15" t="str" cm="1">
        <f t="array" ref="Q12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39" s="15" t="str" cm="1">
        <f t="array" ref="R12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canciones/juan_antonio_espinosa/errante_voy.html</v>
      </c>
      <c r="T1239" s="1"/>
      <c r="U1239" s="1"/>
      <c r="V1239" s="32" t="s">
        <v>3076</v>
      </c>
      <c r="W12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data-nold="108"&gt;&lt;a href="canciones/juan_antonio_espinosa/errante_voy.html"&gt;Errante voy&lt;/a&gt;&lt;/li&gt;</v>
      </c>
      <c r="X1239" s="15" t="str">
        <f>_xlfn.TEXTBEFORE(_xlfn.TEXTAFTER(CantoralDB[[#This Row],[index.html]],"&gt;"),"&gt;")&amp;"&gt;"</f>
        <v>&lt;a href="canciones/juan_antonio_espinosa/errante_voy.html"&gt;</v>
      </c>
      <c r="Y1239"/>
      <c r="AB1239" s="1"/>
      <c r="AC1239" s="1"/>
    </row>
    <row r="1240" spans="1:29" x14ac:dyDescent="0.3">
      <c r="A1240" s="1">
        <f>ROW(CantoralDB[[#This Row],[Título]])-1</f>
        <v>1239</v>
      </c>
      <c r="B1240" s="1" t="s">
        <v>2895</v>
      </c>
      <c r="C1240" s="1"/>
      <c r="E1240" s="1">
        <v>117</v>
      </c>
      <c r="H1240" s="1" t="s">
        <v>1040</v>
      </c>
      <c r="J1240" s="1" t="s">
        <v>605</v>
      </c>
      <c r="M1240" s="15" t="s">
        <v>490</v>
      </c>
      <c r="O1240" s="15"/>
      <c r="P1240" s="15"/>
      <c r="Q1240" s="15" t="str" cm="1">
        <f t="array" ref="Q12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0" s="15" t="str" cm="1">
        <f t="array" ref="R12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canciones/juan_antonio_espinosa/escucha_nuestros_gritos_en_la_noche.html</v>
      </c>
      <c r="T1240" s="1"/>
      <c r="U1240" s="1"/>
      <c r="V1240" s="15"/>
      <c r="W12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data-nold="117"&gt;&lt;a href="canciones/juan_antonio_espinosa/escucha_nuestros_gritos_en_la_noche.html"&gt;Escucha nuestros gritos en la noche&lt;/a&gt;&lt;/li&gt;</v>
      </c>
      <c r="X1240" s="15" t="str">
        <f>_xlfn.TEXTBEFORE(_xlfn.TEXTAFTER(CantoralDB[[#This Row],[index.html]],"&gt;"),"&gt;")&amp;"&gt;"</f>
        <v>&lt;a href="canciones/juan_antonio_espinosa/escucha_nuestros_gritos_en_la_noche.html"&gt;</v>
      </c>
      <c r="Y1240"/>
      <c r="AB1240" s="1"/>
      <c r="AC1240" s="1"/>
    </row>
    <row r="1241" spans="1:29" x14ac:dyDescent="0.3">
      <c r="A1241" s="1">
        <f>ROW(CantoralDB[[#This Row],[Título]])-1</f>
        <v>1240</v>
      </c>
      <c r="B1241" s="1" t="s">
        <v>930</v>
      </c>
      <c r="C1241" s="1"/>
      <c r="E1241" s="1">
        <v>121</v>
      </c>
      <c r="H1241" s="1" t="s">
        <v>1024</v>
      </c>
      <c r="J1241" s="1" t="s">
        <v>605</v>
      </c>
      <c r="M1241" s="15" t="s">
        <v>490</v>
      </c>
      <c r="O1241" s="15"/>
      <c r="P1241" s="15"/>
      <c r="Q1241" s="15" t="str" cm="1">
        <f t="array" ref="Q12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1" s="15" t="str" cm="1">
        <f t="array" ref="R12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canciones/juan_antonio_espinosa/este_es_el_dia_del_señor.html</v>
      </c>
      <c r="T1241" s="1"/>
      <c r="U1241" s="1"/>
      <c r="V1241" s="15"/>
      <c r="W12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data-nold="121"&gt;&lt;a href="canciones/juan_antonio_espinosa/este_es_el_dia_del_señor.html"&gt;Este es el día del Señor&lt;/a&gt;&lt;/li&gt;</v>
      </c>
      <c r="X1241" s="15" t="str">
        <f>_xlfn.TEXTBEFORE(_xlfn.TEXTAFTER(CantoralDB[[#This Row],[index.html]],"&gt;"),"&gt;")&amp;"&gt;"</f>
        <v>&lt;a href="canciones/juan_antonio_espinosa/este_es_el_dia_del_señor.html"&gt;</v>
      </c>
      <c r="Y1241"/>
      <c r="AB1241" s="1"/>
      <c r="AC1241" s="1"/>
    </row>
    <row r="1242" spans="1:29" x14ac:dyDescent="0.3">
      <c r="A1242" s="1">
        <f>ROW(CantoralDB[[#This Row],[Título]])-1</f>
        <v>1241</v>
      </c>
      <c r="B1242" s="1" t="s">
        <v>1253</v>
      </c>
      <c r="C1242" s="1"/>
      <c r="E1242" s="1">
        <v>125</v>
      </c>
      <c r="H1242" s="1" t="s">
        <v>1025</v>
      </c>
      <c r="J1242" s="1" t="s">
        <v>605</v>
      </c>
      <c r="M1242" s="15" t="s">
        <v>490</v>
      </c>
      <c r="O1242" s="15"/>
      <c r="P1242" s="15"/>
      <c r="Q1242" s="15" t="str" cm="1">
        <f t="array" ref="Q12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2" s="15" t="str" cm="1">
        <f t="array" ref="R12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canciones/juan_antonio_espinosa/feliz_el_hombre.html</v>
      </c>
      <c r="T1242" s="1"/>
      <c r="U1242" s="1"/>
      <c r="V1242" s="15"/>
      <c r="W12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data-nold="125"&gt;&lt;a href="canciones/juan_antonio_espinosa/feliz_el_hombre.html"&gt;Feliz el hombre&lt;/a&gt;&lt;/li&gt;</v>
      </c>
      <c r="X1242" s="15" t="str">
        <f>_xlfn.TEXTBEFORE(_xlfn.TEXTAFTER(CantoralDB[[#This Row],[index.html]],"&gt;"),"&gt;")&amp;"&gt;"</f>
        <v>&lt;a href="canciones/juan_antonio_espinosa/feliz_el_hombre.html"&gt;</v>
      </c>
      <c r="Y1242"/>
      <c r="AB1242" s="1"/>
      <c r="AC1242" s="1"/>
    </row>
    <row r="1243" spans="1:29" x14ac:dyDescent="0.3">
      <c r="A1243" s="1">
        <f>ROW(CantoralDB[[#This Row],[Título]])-1</f>
        <v>1242</v>
      </c>
      <c r="B1243" s="1" t="s">
        <v>88</v>
      </c>
      <c r="C1243" s="1" t="s">
        <v>199</v>
      </c>
      <c r="D1243" s="1" t="s">
        <v>1437</v>
      </c>
      <c r="E1243" s="1">
        <v>163</v>
      </c>
      <c r="G1243" s="1" t="s">
        <v>208</v>
      </c>
      <c r="H1243" s="1" t="s">
        <v>529</v>
      </c>
      <c r="I1243" s="1" t="s">
        <v>2947</v>
      </c>
      <c r="J1243" s="1" t="s">
        <v>605</v>
      </c>
      <c r="M1243" s="15" t="s">
        <v>490</v>
      </c>
      <c r="O1243" s="15"/>
      <c r="P1243" s="15"/>
      <c r="Q1243" s="15" t="str" cm="1">
        <f t="array" ref="Q12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3" s="15" t="str" cm="1">
        <f t="array" ref="R12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canciones/juan_antonio_espinosa/madre_de_todos_los_hombres.html</v>
      </c>
      <c r="T1243" s="1"/>
      <c r="U1243" s="1"/>
      <c r="V1243" s="15"/>
      <c r="W12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data-momento="María" data-nnew="M09" data-nold="163"&gt;&lt;a href="canciones/juan_antonio_espinosa/madre_de_todos_los_hombres.html"&gt;Madre de todos los hombres&lt;/a&gt;&lt;/li&gt;</v>
      </c>
      <c r="X1243" s="15" t="str">
        <f>_xlfn.TEXTBEFORE(_xlfn.TEXTAFTER(CantoralDB[[#This Row],[index.html]],"&gt;"),"&gt;")&amp;"&gt;"</f>
        <v>&lt;a href="canciones/juan_antonio_espinosa/madre_de_todos_los_hombres.html"&gt;</v>
      </c>
      <c r="Y1243"/>
      <c r="AB1243" s="1"/>
      <c r="AC1243" s="1"/>
    </row>
    <row r="1244" spans="1:29" x14ac:dyDescent="0.3">
      <c r="A1244" s="1">
        <f>ROW(CantoralDB[[#This Row],[Título]])-1</f>
        <v>1243</v>
      </c>
      <c r="B1244" s="1" t="s">
        <v>1281</v>
      </c>
      <c r="C1244" s="1"/>
      <c r="E1244" s="1">
        <v>174</v>
      </c>
      <c r="H1244" s="1" t="s">
        <v>1024</v>
      </c>
      <c r="J1244" s="1" t="s">
        <v>605</v>
      </c>
      <c r="M1244" s="15" t="s">
        <v>490</v>
      </c>
      <c r="O1244" s="15"/>
      <c r="P1244" s="15"/>
      <c r="Q1244" s="15" t="str" cm="1">
        <f t="array" ref="Q12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4" s="15" t="str" cm="1">
        <f t="array" ref="R12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canciones/juan_antonio_espinosa/nacidos_de_la_luz.html</v>
      </c>
      <c r="T1244" s="1"/>
      <c r="U1244" s="1"/>
      <c r="V1244" s="15"/>
      <c r="W12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data-nold="174"&gt;&lt;a href="canciones/juan_antonio_espinosa/nacidos_de_la_luz.html"&gt;Nacidos de la luz&lt;/a&gt;&lt;/li&gt;</v>
      </c>
      <c r="X1244" s="15" t="str">
        <f>_xlfn.TEXTBEFORE(_xlfn.TEXTAFTER(CantoralDB[[#This Row],[index.html]],"&gt;"),"&gt;")&amp;"&gt;"</f>
        <v>&lt;a href="canciones/juan_antonio_espinosa/nacidos_de_la_luz.html"&gt;</v>
      </c>
      <c r="Y1244"/>
      <c r="AB1244" s="1"/>
      <c r="AC1244" s="1"/>
    </row>
    <row r="1245" spans="1:29" x14ac:dyDescent="0.3">
      <c r="A1245" s="1">
        <f>ROW(CantoralDB[[#This Row],[Título]])-1</f>
        <v>1244</v>
      </c>
      <c r="B1245" s="1" t="s">
        <v>635</v>
      </c>
      <c r="C1245" s="1" t="s">
        <v>990</v>
      </c>
      <c r="D1245" s="1" t="s">
        <v>720</v>
      </c>
      <c r="G1245" s="1" t="s">
        <v>247</v>
      </c>
      <c r="H1245" s="1" t="s">
        <v>1026</v>
      </c>
      <c r="J1245" s="1" t="s">
        <v>605</v>
      </c>
      <c r="M1245" s="15" t="s">
        <v>490</v>
      </c>
      <c r="O1245" s="15"/>
      <c r="P1245" s="15"/>
      <c r="Q1245" s="15" t="str" cm="1">
        <f t="array" ref="Q12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5" s="15" t="str" cm="1">
        <f t="array" ref="R12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canciones/juan_antonio_espinosa/no_podemos_caminar_(hambre_de_dios).html</v>
      </c>
      <c r="T1245" s="1"/>
      <c r="U1245" s="1"/>
      <c r="V1245" s="15"/>
      <c r="W12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data-momento="Comunión" data-nnew="K50"&gt;&lt;a href="canciones/juan_antonio_espinosa/no_podemos_caminar_(hambre_de_dios).html"&gt;No podemos caminar (Hambre de Dios)&lt;/a&gt;&lt;/li&gt;</v>
      </c>
      <c r="X1245" s="15" t="str">
        <f>_xlfn.TEXTBEFORE(_xlfn.TEXTAFTER(CantoralDB[[#This Row],[index.html]],"&gt;"),"&gt;")&amp;"&gt;"</f>
        <v>&lt;a href="canciones/juan_antonio_espinosa/no_podemos_caminar_(hambre_de_dios).html"&gt;</v>
      </c>
      <c r="Y1245"/>
      <c r="AB1245" s="1"/>
      <c r="AC1245" s="1"/>
    </row>
    <row r="1246" spans="1:29" x14ac:dyDescent="0.3">
      <c r="A1246" s="1">
        <f>ROW(CantoralDB[[#This Row],[Título]])-1</f>
        <v>1245</v>
      </c>
      <c r="B1246" s="1" t="s">
        <v>1285</v>
      </c>
      <c r="C1246" s="1"/>
      <c r="E1246" s="1">
        <v>178</v>
      </c>
      <c r="H1246" s="1" t="s">
        <v>1025</v>
      </c>
      <c r="J1246" s="1" t="s">
        <v>605</v>
      </c>
      <c r="M1246" s="15" t="s">
        <v>490</v>
      </c>
      <c r="O1246" s="15"/>
      <c r="P1246" s="15"/>
      <c r="Q1246" s="15" t="str" cm="1">
        <f t="array" ref="Q12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6" s="15" t="str" cm="1">
        <f t="array" ref="R12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canciones/juan_antonio_espinosa/no_yo_no_dejo_la_tierra.html</v>
      </c>
      <c r="T1246" s="1"/>
      <c r="U1246" s="1"/>
      <c r="V1246" s="15"/>
      <c r="W12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data-nold="178"&gt;&lt;a href="canciones/juan_antonio_espinosa/no_yo_no_dejo_la_tierra.html"&gt;No, yo no dejo la tierra&lt;/a&gt;&lt;/li&gt;</v>
      </c>
      <c r="X1246" s="15" t="str">
        <f>_xlfn.TEXTBEFORE(_xlfn.TEXTAFTER(CantoralDB[[#This Row],[index.html]],"&gt;"),"&gt;")&amp;"&gt;"</f>
        <v>&lt;a href="canciones/juan_antonio_espinosa/no_yo_no_dejo_la_tierra.html"&gt;</v>
      </c>
      <c r="Y1246"/>
      <c r="AB1246" s="1"/>
      <c r="AC1246" s="1"/>
    </row>
    <row r="1247" spans="1:29" x14ac:dyDescent="0.3">
      <c r="A1247" s="1">
        <f>ROW(CantoralDB[[#This Row],[Título]])-1</f>
        <v>1246</v>
      </c>
      <c r="B1247" s="1" t="s">
        <v>1301</v>
      </c>
      <c r="C1247" s="1"/>
      <c r="E1247" s="1">
        <v>212</v>
      </c>
      <c r="H1247" s="1" t="s">
        <v>1027</v>
      </c>
      <c r="J1247" s="1" t="s">
        <v>605</v>
      </c>
      <c r="M1247" s="15" t="s">
        <v>490</v>
      </c>
      <c r="O1247" s="15"/>
      <c r="P1247" s="15"/>
      <c r="Q1247" s="15" t="str" cm="1">
        <f t="array" ref="Q12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7" s="15" t="str" cm="1">
        <f t="array" ref="R12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canciones/juan_antonio_espinosa/perdon_señor_perdon.html</v>
      </c>
      <c r="T1247" s="1"/>
      <c r="U1247" s="1"/>
      <c r="V1247" s="32" t="s">
        <v>2968</v>
      </c>
      <c r="W12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data-nold="212"&gt;&lt;a href="canciones/juan_antonio_espinosa/perdon_señor_perdon.html"&gt;Perdón, Señor, perdón&lt;/a&gt;&lt;/li&gt;</v>
      </c>
      <c r="X1247" s="15" t="str">
        <f>_xlfn.TEXTBEFORE(_xlfn.TEXTAFTER(CantoralDB[[#This Row],[index.html]],"&gt;"),"&gt;")&amp;"&gt;"</f>
        <v>&lt;a href="canciones/juan_antonio_espinosa/perdon_señor_perdon.html"&gt;</v>
      </c>
      <c r="Y1247"/>
      <c r="AB1247" s="1"/>
      <c r="AC1247" s="1"/>
    </row>
    <row r="1248" spans="1:29" x14ac:dyDescent="0.3">
      <c r="A1248" s="1">
        <f>ROW(CantoralDB[[#This Row],[Título]])-1</f>
        <v>1247</v>
      </c>
      <c r="B1248" s="1" t="s">
        <v>114</v>
      </c>
      <c r="C1248" s="1" t="s">
        <v>198</v>
      </c>
      <c r="D1248" s="1" t="s">
        <v>1452</v>
      </c>
      <c r="E1248" s="1">
        <v>203</v>
      </c>
      <c r="G1248" s="1" t="s">
        <v>208</v>
      </c>
      <c r="H1248" s="1" t="s">
        <v>472</v>
      </c>
      <c r="J1248" s="1" t="s">
        <v>605</v>
      </c>
      <c r="M1248" s="15" t="s">
        <v>490</v>
      </c>
      <c r="O1248" s="15"/>
      <c r="P1248" s="15"/>
      <c r="Q1248" s="15" t="str" cm="1">
        <f t="array" ref="Q12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8" s="15" t="str" cm="1">
        <f t="array" ref="R12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canciones/juan_antonio_espinosa/por_ti_mi_dios.html</v>
      </c>
      <c r="T1248" s="1" t="s">
        <v>851</v>
      </c>
      <c r="U1248" s="1"/>
      <c r="V1248" s="15"/>
      <c r="W12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data-momento="Despedida" data-nnew="L06" data-nold="203"&gt;&lt;a href="canciones/juan_antonio_espinosa/por_ti_mi_dios.html"&gt;Por ti, mi Dios&lt;/a&gt;&lt;/li&gt;</v>
      </c>
      <c r="X1248" s="15" t="str">
        <f>_xlfn.TEXTBEFORE(_xlfn.TEXTAFTER(CantoralDB[[#This Row],[index.html]],"&gt;"),"&gt;")&amp;"&gt;"</f>
        <v>&lt;a href="canciones/juan_antonio_espinosa/por_ti_mi_dios.html"&gt;</v>
      </c>
      <c r="Y1248"/>
      <c r="AB1248" s="1"/>
      <c r="AC1248" s="1"/>
    </row>
    <row r="1249" spans="1:29" x14ac:dyDescent="0.3">
      <c r="A1249" s="1">
        <f>ROW(CantoralDB[[#This Row],[Título]])-1</f>
        <v>1248</v>
      </c>
      <c r="B1249" s="1" t="s">
        <v>122</v>
      </c>
      <c r="C1249" s="1" t="s">
        <v>190</v>
      </c>
      <c r="D1249" s="1" t="s">
        <v>746</v>
      </c>
      <c r="E1249" s="1">
        <v>220</v>
      </c>
      <c r="G1249" s="1" t="s">
        <v>208</v>
      </c>
      <c r="H1249" s="1" t="s">
        <v>1027</v>
      </c>
      <c r="J1249" s="1" t="s">
        <v>605</v>
      </c>
      <c r="M1249" s="15" t="s">
        <v>490</v>
      </c>
      <c r="O1249" s="15"/>
      <c r="P1249" s="15"/>
      <c r="Q1249" s="15" t="str" cm="1">
        <f t="array" ref="Q12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49" s="15" t="str" cm="1">
        <f t="array" ref="R12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canciones/juan_antonio_espinosa/que_ves_en_la_noche.html</v>
      </c>
      <c r="T1249" s="1" t="s">
        <v>855</v>
      </c>
      <c r="U1249" s="1"/>
      <c r="V1249" s="15"/>
      <c r="W12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data-momento="Entrada" data-nnew="A29" data-nold="220"&gt;&lt;a href="canciones/juan_antonio_espinosa/que_ves_en_la_noche.html"&gt;Qué ves en la noche&lt;/a&gt;&lt;/li&gt;</v>
      </c>
      <c r="X1249" s="15" t="str">
        <f>_xlfn.TEXTBEFORE(_xlfn.TEXTAFTER(CantoralDB[[#This Row],[index.html]],"&gt;"),"&gt;")&amp;"&gt;"</f>
        <v>&lt;a href="canciones/juan_antonio_espinosa/que_ves_en_la_noche.html"&gt;</v>
      </c>
      <c r="Y1249"/>
      <c r="AB1249" s="1"/>
      <c r="AC1249" s="1"/>
    </row>
    <row r="1250" spans="1:29" x14ac:dyDescent="0.3">
      <c r="A1250" s="1">
        <f>ROW(CantoralDB[[#This Row],[Título]])-1</f>
        <v>1249</v>
      </c>
      <c r="B1250" s="1" t="s">
        <v>123</v>
      </c>
      <c r="C1250" s="1" t="s">
        <v>990</v>
      </c>
      <c r="D1250" s="1" t="s">
        <v>995</v>
      </c>
      <c r="E1250" s="1">
        <v>222</v>
      </c>
      <c r="G1250" s="1" t="s">
        <v>208</v>
      </c>
      <c r="H1250" s="1" t="s">
        <v>1027</v>
      </c>
      <c r="J1250" s="1" t="s">
        <v>605</v>
      </c>
      <c r="M1250" s="15" t="s">
        <v>490</v>
      </c>
      <c r="O1250" s="15"/>
      <c r="P1250" s="15"/>
      <c r="Q1250" s="15" t="str" cm="1">
        <f t="array" ref="Q12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0" s="15" t="str" cm="1">
        <f t="array" ref="R12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canciones/juan_antonio_espinosa/quedate_con_nosotros.html</v>
      </c>
      <c r="T1250" s="1" t="s">
        <v>802</v>
      </c>
      <c r="U1250" s="1"/>
      <c r="V1250" s="15"/>
      <c r="W12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data-momento="Comunión" data-nnew="K61" data-nold="222"&gt;&lt;a href="canciones/juan_antonio_espinosa/quedate_con_nosotros.html"&gt;Quédate con nosotros&lt;/a&gt;&lt;/li&gt;</v>
      </c>
      <c r="X1250" s="15" t="str">
        <f>_xlfn.TEXTBEFORE(_xlfn.TEXTAFTER(CantoralDB[[#This Row],[index.html]],"&gt;"),"&gt;")&amp;"&gt;"</f>
        <v>&lt;a href="canciones/juan_antonio_espinosa/quedate_con_nosotros.html"&gt;</v>
      </c>
      <c r="Y1250"/>
      <c r="AB1250" s="1"/>
      <c r="AC1250" s="1"/>
    </row>
    <row r="1251" spans="1:29" x14ac:dyDescent="0.3">
      <c r="A1251" s="1">
        <f>ROW(CantoralDB[[#This Row],[Título]])-1</f>
        <v>1250</v>
      </c>
      <c r="B1251" s="1" t="s">
        <v>128</v>
      </c>
      <c r="C1251" s="1" t="s">
        <v>199</v>
      </c>
      <c r="D1251" s="1" t="s">
        <v>1052</v>
      </c>
      <c r="E1251" s="1">
        <v>164</v>
      </c>
      <c r="G1251" s="1" t="s">
        <v>208</v>
      </c>
      <c r="H1251" s="1" t="s">
        <v>529</v>
      </c>
      <c r="J1251" s="1" t="s">
        <v>605</v>
      </c>
      <c r="M1251" s="15" t="s">
        <v>490</v>
      </c>
      <c r="O1251" s="15"/>
      <c r="P1251" s="15"/>
      <c r="Q1251" s="15" t="str" cm="1">
        <f t="array" ref="Q12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1" s="15" t="str" cm="1">
        <f t="array" ref="R12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canciones/juan_antonio_espinosa/santa_maria_del_camino.html</v>
      </c>
      <c r="T1251" s="1"/>
      <c r="U1251" s="1"/>
      <c r="V1251" s="15"/>
      <c r="W12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data-momento="María" data-nnew="M21" data-nold="164"&gt;&lt;a href="canciones/juan_antonio_espinosa/santa_maria_del_camino.html"&gt;Santa María del Camino&lt;/a&gt;&lt;/li&gt;</v>
      </c>
      <c r="X1251" s="15" t="str">
        <f>_xlfn.TEXTBEFORE(_xlfn.TEXTAFTER(CantoralDB[[#This Row],[index.html]],"&gt;"),"&gt;")&amp;"&gt;"</f>
        <v>&lt;a href="canciones/juan_antonio_espinosa/santa_maria_del_camino.html"&gt;</v>
      </c>
      <c r="Y1251"/>
      <c r="AB1251" s="1"/>
      <c r="AC1251" s="1"/>
    </row>
    <row r="1252" spans="1:29" x14ac:dyDescent="0.3">
      <c r="A1252" s="1">
        <f>ROW(CantoralDB[[#This Row],[Título]])-1</f>
        <v>1251</v>
      </c>
      <c r="B1252" s="1" t="s">
        <v>1319</v>
      </c>
      <c r="C1252" s="1"/>
      <c r="E1252" s="1">
        <v>243</v>
      </c>
      <c r="H1252" s="1" t="s">
        <v>1027</v>
      </c>
      <c r="J1252" s="1" t="s">
        <v>605</v>
      </c>
      <c r="M1252" s="15" t="s">
        <v>490</v>
      </c>
      <c r="O1252" s="15"/>
      <c r="P1252" s="15"/>
      <c r="Q1252" s="15" t="str" cm="1">
        <f t="array" ref="Q12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2" s="15" t="str" cm="1">
        <f t="array" ref="R12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canciones/juan_antonio_espinosa/señor_tu_que_brillas.html</v>
      </c>
      <c r="T1252" s="1"/>
      <c r="U1252" s="1"/>
      <c r="V1252" s="32" t="s">
        <v>2969</v>
      </c>
      <c r="W12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data-nold="243"&gt;&lt;a href="canciones/juan_antonio_espinosa/señor_tu_que_brillas.html"&gt;Señor, tú que brillas&lt;/a&gt;&lt;/li&gt;</v>
      </c>
      <c r="X1252" s="15" t="str">
        <f>_xlfn.TEXTBEFORE(_xlfn.TEXTAFTER(CantoralDB[[#This Row],[index.html]],"&gt;"),"&gt;")&amp;"&gt;"</f>
        <v>&lt;a href="canciones/juan_antonio_espinosa/señor_tu_que_brillas.html"&gt;</v>
      </c>
      <c r="Y1252"/>
      <c r="AB1252" s="1"/>
      <c r="AC1252" s="1"/>
    </row>
    <row r="1253" spans="1:29" x14ac:dyDescent="0.3">
      <c r="A1253" s="1">
        <f>ROW(CantoralDB[[#This Row],[Título]])-1</f>
        <v>1252</v>
      </c>
      <c r="B1253" s="1" t="s">
        <v>140</v>
      </c>
      <c r="C1253" s="1"/>
      <c r="E1253" s="1">
        <v>258</v>
      </c>
      <c r="G1253" s="1" t="s">
        <v>208</v>
      </c>
      <c r="H1253" s="1" t="s">
        <v>529</v>
      </c>
      <c r="J1253" s="1" t="s">
        <v>605</v>
      </c>
      <c r="M1253" s="15" t="s">
        <v>490</v>
      </c>
      <c r="O1253" s="15"/>
      <c r="P1253" s="15"/>
      <c r="Q1253" s="15" t="str" cm="1">
        <f t="array" ref="Q12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3" s="15" t="str" cm="1">
        <f t="array" ref="R12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canciones/juan_antonio_espinosa/te_damos_gracias_señor.html</v>
      </c>
      <c r="T1253" s="1"/>
      <c r="U1253" s="1"/>
      <c r="V1253" s="32" t="s">
        <v>2970</v>
      </c>
      <c r="W12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data-nold="258"&gt;&lt;a href="canciones/juan_antonio_espinosa/te_damos_gracias_señor.html"&gt;Te damos gracias, Señor&lt;/a&gt;&lt;/li&gt;</v>
      </c>
      <c r="X1253" s="15" t="str">
        <f>_xlfn.TEXTBEFORE(_xlfn.TEXTAFTER(CantoralDB[[#This Row],[index.html]],"&gt;"),"&gt;")&amp;"&gt;"</f>
        <v>&lt;a href="canciones/juan_antonio_espinosa/te_damos_gracias_señor.html"&gt;</v>
      </c>
      <c r="Y1253"/>
      <c r="AB1253" s="1"/>
      <c r="AC1253" s="1"/>
    </row>
    <row r="1254" spans="1:29" x14ac:dyDescent="0.3">
      <c r="A1254" s="1">
        <f>ROW(CantoralDB[[#This Row],[Título]])-1</f>
        <v>1253</v>
      </c>
      <c r="B1254" s="1" t="s">
        <v>147</v>
      </c>
      <c r="C1254" s="1" t="s">
        <v>990</v>
      </c>
      <c r="D1254" s="1" t="s">
        <v>1011</v>
      </c>
      <c r="E1254" s="1">
        <v>262</v>
      </c>
      <c r="G1254" s="1" t="s">
        <v>208</v>
      </c>
      <c r="H1254" s="1" t="s">
        <v>1024</v>
      </c>
      <c r="J1254" s="1" t="s">
        <v>605</v>
      </c>
      <c r="M1254" s="15" t="s">
        <v>490</v>
      </c>
      <c r="O1254" s="15"/>
      <c r="P1254" s="15"/>
      <c r="Q1254" s="15" t="str" cm="1">
        <f t="array" ref="Q12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4" s="15" t="str" cm="1">
        <f t="array" ref="R12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canciones/juan_antonio_espinosa/tu_eres_el_dios_que_nos_salva.html</v>
      </c>
      <c r="T1254" s="1"/>
      <c r="U1254" s="1"/>
      <c r="V1254" s="32" t="s">
        <v>3452</v>
      </c>
      <c r="W12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data-momento="Comunión" data-nnew="K77" data-nold="262"&gt;&lt;a href="canciones/juan_antonio_espinosa/tu_eres_el_dios_que_nos_salva.html"&gt;Tú eres el Dios que nos salva&lt;/a&gt;&lt;/li&gt;</v>
      </c>
      <c r="X1254" s="15" t="str">
        <f>_xlfn.TEXTBEFORE(_xlfn.TEXTAFTER(CantoralDB[[#This Row],[index.html]],"&gt;"),"&gt;")&amp;"&gt;"</f>
        <v>&lt;a href="canciones/juan_antonio_espinosa/tu_eres_el_dios_que_nos_salva.html"&gt;</v>
      </c>
      <c r="Y1254"/>
      <c r="AB1254" s="1"/>
      <c r="AC1254" s="1"/>
    </row>
    <row r="1255" spans="1:29" x14ac:dyDescent="0.3">
      <c r="A1255" s="1">
        <f>ROW(CantoralDB[[#This Row],[Título]])-1</f>
        <v>1254</v>
      </c>
      <c r="B1255" s="1" t="s">
        <v>148</v>
      </c>
      <c r="C1255" s="1" t="s">
        <v>200</v>
      </c>
      <c r="D1255" s="1" t="s">
        <v>672</v>
      </c>
      <c r="E1255" s="1">
        <v>254</v>
      </c>
      <c r="G1255" s="1" t="s">
        <v>208</v>
      </c>
      <c r="H1255" s="1" t="s">
        <v>529</v>
      </c>
      <c r="I1255" s="1" t="s">
        <v>2948</v>
      </c>
      <c r="J1255" s="1" t="s">
        <v>605</v>
      </c>
      <c r="M1255" s="15" t="s">
        <v>490</v>
      </c>
      <c r="O1255" s="15"/>
      <c r="P1255" s="15"/>
      <c r="Q1255" s="15" t="str" cm="1">
        <f t="array" ref="Q12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5" s="15" t="str" cm="1">
        <f t="array" ref="R12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canciones/juan_antonio_espinosa/tu_palabra_me_da_vida.html</v>
      </c>
      <c r="T1255" s="1"/>
      <c r="U1255" s="1"/>
      <c r="V1255" s="15"/>
      <c r="W12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data-momento="Antífonas" data-nnew="D37" data-nold="254"&gt;&lt;a href="canciones/juan_antonio_espinosa/tu_palabra_me_da_vida.html"&gt;Tu Palabra me da vida&lt;/a&gt;&lt;/li&gt;</v>
      </c>
      <c r="X1255" s="15" t="str">
        <f>_xlfn.TEXTBEFORE(_xlfn.TEXTAFTER(CantoralDB[[#This Row],[index.html]],"&gt;"),"&gt;")&amp;"&gt;"</f>
        <v>&lt;a href="canciones/juan_antonio_espinosa/tu_palabra_me_da_vida.html"&gt;</v>
      </c>
      <c r="Y1255"/>
      <c r="AB1255" s="1"/>
      <c r="AC1255" s="1"/>
    </row>
    <row r="1256" spans="1:29" x14ac:dyDescent="0.3">
      <c r="A1256" s="1">
        <f>ROW(CantoralDB[[#This Row],[Título]])-1</f>
        <v>1255</v>
      </c>
      <c r="B1256" s="1" t="s">
        <v>476</v>
      </c>
      <c r="C1256" s="1" t="s">
        <v>190</v>
      </c>
      <c r="D1256" s="1" t="s">
        <v>750</v>
      </c>
      <c r="E1256" s="1">
        <v>272</v>
      </c>
      <c r="G1256" s="1" t="s">
        <v>215</v>
      </c>
      <c r="H1256" s="1" t="s">
        <v>1027</v>
      </c>
      <c r="J1256" s="1" t="s">
        <v>605</v>
      </c>
      <c r="M1256" s="15" t="s">
        <v>490</v>
      </c>
      <c r="O1256" s="15"/>
      <c r="P1256" s="15"/>
      <c r="Q1256" s="15" t="str" cm="1">
        <f t="array" ref="Q12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6" s="15" t="str" cm="1">
        <f t="array" ref="R12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canciones/juan_antonio_espinosa/un_pueblo_que_camina_por_el_mundo.html</v>
      </c>
      <c r="T1256" s="1"/>
      <c r="U1256" s="1"/>
      <c r="V1256" s="15"/>
      <c r="W12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data-momento="Entrada" data-nnew="A33" data-nold="272"&gt;&lt;a href="canciones/juan_antonio_espinosa/un_pueblo_que_camina_por_el_mundo.html"&gt;Un pueblo que camina por el mundo&lt;/a&gt;&lt;/li&gt;</v>
      </c>
      <c r="X1256" s="15" t="str">
        <f>_xlfn.TEXTBEFORE(_xlfn.TEXTAFTER(CantoralDB[[#This Row],[index.html]],"&gt;"),"&gt;")&amp;"&gt;"</f>
        <v>&lt;a href="canciones/juan_antonio_espinosa/un_pueblo_que_camina_por_el_mundo.html"&gt;</v>
      </c>
      <c r="Y1256"/>
      <c r="AB1256" s="1"/>
      <c r="AC1256" s="1"/>
    </row>
    <row r="1257" spans="1:29" x14ac:dyDescent="0.3">
      <c r="A1257" s="1">
        <f>ROW(CantoralDB[[#This Row],[Título]])-1</f>
        <v>1256</v>
      </c>
      <c r="B1257" s="1" t="s">
        <v>1335</v>
      </c>
      <c r="C1257" s="1"/>
      <c r="E1257" s="1">
        <v>269</v>
      </c>
      <c r="H1257" s="1" t="s">
        <v>472</v>
      </c>
      <c r="J1257" s="1" t="s">
        <v>605</v>
      </c>
      <c r="M1257" s="15" t="s">
        <v>490</v>
      </c>
      <c r="O1257" s="15"/>
      <c r="P1257" s="15"/>
      <c r="Q1257" s="15" t="str" cm="1">
        <f t="array" ref="Q12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7" s="15" t="str" cm="1">
        <f t="array" ref="R12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canciones/juan_antonio_espinosa/una_ciudad_para_todos.html</v>
      </c>
      <c r="T1257" s="1"/>
      <c r="U1257" s="1"/>
      <c r="V1257" s="32" t="s">
        <v>2971</v>
      </c>
      <c r="W12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data-nold="269"&gt;&lt;a href="canciones/juan_antonio_espinosa/una_ciudad_para_todos.html"&gt;Una ciudad para todos&lt;/a&gt;&lt;/li&gt;</v>
      </c>
      <c r="X1257" s="15" t="str">
        <f>_xlfn.TEXTBEFORE(_xlfn.TEXTAFTER(CantoralDB[[#This Row],[index.html]],"&gt;"),"&gt;")&amp;"&gt;"</f>
        <v>&lt;a href="canciones/juan_antonio_espinosa/una_ciudad_para_todos.html"&gt;</v>
      </c>
      <c r="Y1257"/>
      <c r="AB1257" s="1"/>
      <c r="AC1257" s="1"/>
    </row>
    <row r="1258" spans="1:29" x14ac:dyDescent="0.3">
      <c r="A1258" s="1">
        <f>ROW(CantoralDB[[#This Row],[Título]])-1</f>
        <v>1257</v>
      </c>
      <c r="B1258" s="1" t="s">
        <v>211</v>
      </c>
      <c r="C1258" s="1" t="s">
        <v>199</v>
      </c>
      <c r="D1258" s="1" t="s">
        <v>1054</v>
      </c>
      <c r="E1258" s="1">
        <v>297</v>
      </c>
      <c r="G1258" s="1" t="s">
        <v>208</v>
      </c>
      <c r="H1258" s="1" t="s">
        <v>1024</v>
      </c>
      <c r="J1258" s="1" t="s">
        <v>605</v>
      </c>
      <c r="M1258" s="15" t="s">
        <v>490</v>
      </c>
      <c r="O1258" s="15"/>
      <c r="P1258" s="15"/>
      <c r="Q1258" s="15" t="str" cm="1">
        <f t="array" ref="Q12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8" s="15" t="str" cm="1">
        <f t="array" ref="R12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canciones/juan_antonio_espinosa/unidos_a_todos_los_pueblos.html</v>
      </c>
      <c r="T1258" s="1"/>
      <c r="U1258" s="1"/>
      <c r="V1258" s="15"/>
      <c r="W12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data-momento="María" data-nnew="M23" data-nold="297"&gt;&lt;a href="canciones/juan_antonio_espinosa/unidos_a_todos_los_pueblos.html"&gt;Unidos a todos los pueblos&lt;/a&gt;&lt;/li&gt;</v>
      </c>
      <c r="X1258" s="15" t="str">
        <f>_xlfn.TEXTBEFORE(_xlfn.TEXTAFTER(CantoralDB[[#This Row],[index.html]],"&gt;"),"&gt;")&amp;"&gt;"</f>
        <v>&lt;a href="canciones/juan_antonio_espinosa/unidos_a_todos_los_pueblos.html"&gt;</v>
      </c>
      <c r="Y1258"/>
      <c r="AB1258" s="1"/>
      <c r="AC1258" s="1"/>
    </row>
    <row r="1259" spans="1:29" x14ac:dyDescent="0.3">
      <c r="A1259" s="1">
        <f>ROW(CantoralDB[[#This Row],[Título]])-1</f>
        <v>1258</v>
      </c>
      <c r="B1259" s="1" t="s">
        <v>157</v>
      </c>
      <c r="C1259" s="1" t="s">
        <v>190</v>
      </c>
      <c r="D1259" s="1" t="s">
        <v>754</v>
      </c>
      <c r="E1259" s="1">
        <v>277</v>
      </c>
      <c r="G1259" s="1" t="s">
        <v>208</v>
      </c>
      <c r="H1259" s="1" t="s">
        <v>1024</v>
      </c>
      <c r="J1259" s="1" t="s">
        <v>605</v>
      </c>
      <c r="M1259" s="15" t="s">
        <v>490</v>
      </c>
      <c r="O1259" s="15"/>
      <c r="P1259" s="15"/>
      <c r="Q1259" s="15" t="str" cm="1">
        <f t="array" ref="Q12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juan_antonio_espinosa</v>
      </c>
      <c r="R1259" s="15" t="str" cm="1">
        <f t="array" ref="R12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canciones/juan_antonio_espinosa/vamos_cantando_al_señor.html</v>
      </c>
      <c r="T1259" s="1"/>
      <c r="U1259" s="1"/>
      <c r="V1259" s="15"/>
      <c r="W12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Antonio Espinosa" data-momento="Entrada" data-nnew="A37" data-nold="277"&gt;&lt;a href="canciones/juan_antonio_espinosa/vamos_cantando_al_señor.html"&gt;Vamos cantando al Señor&lt;/a&gt;&lt;/li&gt;</v>
      </c>
      <c r="X1259" s="15" t="str">
        <f>_xlfn.TEXTBEFORE(_xlfn.TEXTAFTER(CantoralDB[[#This Row],[index.html]],"&gt;"),"&gt;")&amp;"&gt;"</f>
        <v>&lt;a href="canciones/juan_antonio_espinosa/vamos_cantando_al_señor.html"&gt;</v>
      </c>
      <c r="Y1259"/>
      <c r="AB1259" s="1"/>
      <c r="AC1259" s="1"/>
    </row>
    <row r="1260" spans="1:29" x14ac:dyDescent="0.3">
      <c r="A1260" s="1">
        <f>ROW(CantoralDB[[#This Row],[Título]])-1</f>
        <v>1259</v>
      </c>
      <c r="B1260" s="1" t="s">
        <v>1264</v>
      </c>
      <c r="C1260" s="1"/>
      <c r="E1260" s="1">
        <v>147</v>
      </c>
      <c r="J1260" s="1" t="s">
        <v>605</v>
      </c>
      <c r="M1260" s="15" t="s">
        <v>479</v>
      </c>
      <c r="N1260" s="1" t="s">
        <v>5063</v>
      </c>
      <c r="O1260" s="15"/>
      <c r="P1260" s="15">
        <v>1992</v>
      </c>
      <c r="Q1260" s="15" t="str" cm="1">
        <f t="array" ref="Q12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0" s="15" t="str" cm="1">
        <f t="array" ref="R12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canciones/juanjo_elezkano/juventud_de_todos_los_paises.html</v>
      </c>
      <c r="T1260" s="1"/>
      <c r="U1260" s="1"/>
      <c r="V1260" s="32" t="s">
        <v>5062</v>
      </c>
      <c r="W12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data-nold="147"&gt;&lt;a href="canciones/juanjo_elezkano/juventud_de_todos_los_paises.html"&gt;Juventud de todos los países&lt;/a&gt;&lt;/li&gt;</v>
      </c>
      <c r="X1260" s="15" t="str">
        <f>_xlfn.TEXTBEFORE(_xlfn.TEXTAFTER(CantoralDB[[#This Row],[index.html]],"&gt;"),"&gt;")&amp;"&gt;"</f>
        <v>&lt;a href="canciones/juanjo_elezkano/juventud_de_todos_los_paises.html"&gt;</v>
      </c>
      <c r="Y1260"/>
      <c r="AB1260" s="1"/>
      <c r="AC1260" s="1"/>
    </row>
    <row r="1261" spans="1:29" x14ac:dyDescent="0.3">
      <c r="A1261" s="1">
        <f>ROW(CantoralDB[[#This Row],[Título]])-1</f>
        <v>1260</v>
      </c>
      <c r="B1261" s="1" t="s">
        <v>2</v>
      </c>
      <c r="C1261" s="1" t="s">
        <v>190</v>
      </c>
      <c r="D1261" s="1" t="s">
        <v>1358</v>
      </c>
      <c r="E1261" s="1">
        <v>32</v>
      </c>
      <c r="G1261" s="1" t="s">
        <v>208</v>
      </c>
      <c r="H1261" s="1" t="s">
        <v>529</v>
      </c>
      <c r="J1261" s="1" t="s">
        <v>605</v>
      </c>
      <c r="M1261" s="15" t="s">
        <v>479</v>
      </c>
      <c r="O1261" s="15"/>
      <c r="P1261" s="15"/>
      <c r="Q1261" s="15" t="str" cm="1">
        <f t="array" ref="Q12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1" s="15" t="str" cm="1">
        <f t="array" ref="R12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canciones/juanjo_elezkano/a_la_fiesta_del_señor.html</v>
      </c>
      <c r="T1261" s="1"/>
      <c r="U1261" s="1"/>
      <c r="V1261" s="15"/>
      <c r="W12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data-momento="Entrada" data-nnew="A01" data-nold="32"&gt;&lt;a href="canciones/juanjo_elezkano/a_la_fiesta_del_señor.html"&gt;A la fiesta del Señor&lt;/a&gt;&lt;/li&gt;</v>
      </c>
      <c r="X1261" s="15" t="str">
        <f>_xlfn.TEXTBEFORE(_xlfn.TEXTAFTER(CantoralDB[[#This Row],[index.html]],"&gt;"),"&gt;")&amp;"&gt;"</f>
        <v>&lt;a href="canciones/juanjo_elezkano/a_la_fiesta_del_señor.html"&gt;</v>
      </c>
      <c r="Y1261"/>
      <c r="AB1261" s="1"/>
      <c r="AC1261" s="1"/>
    </row>
    <row r="1262" spans="1:29" x14ac:dyDescent="0.3">
      <c r="A1262" s="1">
        <f>ROW(CantoralDB[[#This Row],[Título]])-1</f>
        <v>1261</v>
      </c>
      <c r="B1262" s="1" t="s">
        <v>34</v>
      </c>
      <c r="C1262" s="1" t="s">
        <v>190</v>
      </c>
      <c r="D1262" s="1" t="s">
        <v>728</v>
      </c>
      <c r="E1262" s="1" t="s">
        <v>1189</v>
      </c>
      <c r="G1262" s="1" t="s">
        <v>208</v>
      </c>
      <c r="H1262" s="1" t="s">
        <v>472</v>
      </c>
      <c r="J1262" s="1" t="s">
        <v>605</v>
      </c>
      <c r="M1262" s="15" t="s">
        <v>479</v>
      </c>
      <c r="O1262" s="15"/>
      <c r="P1262" s="15"/>
      <c r="Q1262" s="15" t="str" cm="1">
        <f t="array" ref="Q12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2" s="15" t="str" cm="1">
        <f t="array" ref="R12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canciones/juanjo_elezkano/comeremos_de_la_mesa.html</v>
      </c>
      <c r="T1262" s="1"/>
      <c r="U1262" s="1"/>
      <c r="V1262" s="15"/>
      <c r="W12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data-momento="Entrada" data-nnew="A11" data-nold="65b"&gt;&lt;a href="canciones/juanjo_elezkano/comeremos_de_la_mesa.html"&gt;Comeremos de la mesa&lt;/a&gt;&lt;/li&gt;</v>
      </c>
      <c r="X1262" s="15" t="str">
        <f>_xlfn.TEXTBEFORE(_xlfn.TEXTAFTER(CantoralDB[[#This Row],[index.html]],"&gt;"),"&gt;")&amp;"&gt;"</f>
        <v>&lt;a href="canciones/juanjo_elezkano/comeremos_de_la_mesa.html"&gt;</v>
      </c>
      <c r="Y1262"/>
      <c r="AB1262" s="1"/>
      <c r="AC1262" s="1"/>
    </row>
    <row r="1263" spans="1:29" x14ac:dyDescent="0.3">
      <c r="A1263" s="1">
        <f>ROW(CantoralDB[[#This Row],[Título]])-1</f>
        <v>1262</v>
      </c>
      <c r="B1263" s="1" t="s">
        <v>1256</v>
      </c>
      <c r="C1263" s="1"/>
      <c r="E1263" s="1">
        <v>130</v>
      </c>
      <c r="H1263" s="1" t="s">
        <v>1027</v>
      </c>
      <c r="J1263" s="1" t="s">
        <v>605</v>
      </c>
      <c r="M1263" s="15" t="s">
        <v>479</v>
      </c>
      <c r="O1263" s="15"/>
      <c r="P1263" s="15"/>
      <c r="Q1263" s="15" t="str" cm="1">
        <f t="array" ref="Q12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3" s="15" t="str" cm="1">
        <f t="array" ref="R12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canciones/juanjo_elezkano/hoy_cantamos_a_dios.html</v>
      </c>
      <c r="T1263" s="1"/>
      <c r="U1263" s="1"/>
      <c r="V1263" s="15"/>
      <c r="W12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data-nold="130"&gt;&lt;a href="canciones/juanjo_elezkano/hoy_cantamos_a_dios.html"&gt;Hoy cantamos a Dios&lt;/a&gt;&lt;/li&gt;</v>
      </c>
      <c r="X1263" s="15" t="str">
        <f>_xlfn.TEXTBEFORE(_xlfn.TEXTAFTER(CantoralDB[[#This Row],[index.html]],"&gt;"),"&gt;")&amp;"&gt;"</f>
        <v>&lt;a href="canciones/juanjo_elezkano/hoy_cantamos_a_dios.html"&gt;</v>
      </c>
      <c r="Y1263"/>
      <c r="AB1263" s="1"/>
      <c r="AC1263" s="1"/>
    </row>
    <row r="1264" spans="1:29" x14ac:dyDescent="0.3">
      <c r="A1264" s="1">
        <f>ROW(CantoralDB[[#This Row],[Título]])-1</f>
        <v>1263</v>
      </c>
      <c r="B1264" s="1" t="s">
        <v>1266</v>
      </c>
      <c r="C1264" s="1"/>
      <c r="E1264" s="1">
        <v>149</v>
      </c>
      <c r="I1264" s="1" t="s">
        <v>5061</v>
      </c>
      <c r="J1264" s="1" t="s">
        <v>605</v>
      </c>
      <c r="M1264" s="15" t="s">
        <v>479</v>
      </c>
      <c r="O1264" s="15"/>
      <c r="P1264" s="15"/>
      <c r="Q1264" s="15" t="str" cm="1">
        <f t="array" ref="Q12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4" s="15" t="str" cm="1">
        <f t="array" ref="R12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canciones/juanjo_elezkano/los_pobres_de_la_tierra.html</v>
      </c>
      <c r="T1264" s="1"/>
      <c r="U1264" s="1"/>
      <c r="V1264" s="15"/>
      <c r="W12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data-nold="149"&gt;&lt;a href="canciones/juanjo_elezkano/los_pobres_de_la_tierra.html"&gt;Los pobres de la tierra&lt;/a&gt;&lt;/li&gt;</v>
      </c>
      <c r="X1264" s="15" t="str">
        <f>_xlfn.TEXTBEFORE(_xlfn.TEXTAFTER(CantoralDB[[#This Row],[index.html]],"&gt;"),"&gt;")&amp;"&gt;"</f>
        <v>&lt;a href="canciones/juanjo_elezkano/los_pobres_de_la_tierra.html"&gt;</v>
      </c>
      <c r="Y1264"/>
      <c r="AB1264" s="1"/>
      <c r="AC1264" s="1"/>
    </row>
    <row r="1265" spans="1:29" x14ac:dyDescent="0.3">
      <c r="A1265" s="1">
        <f>ROW(CantoralDB[[#This Row],[Título]])-1</f>
        <v>1264</v>
      </c>
      <c r="B1265" s="1" t="s">
        <v>1282</v>
      </c>
      <c r="C1265" s="1" t="s">
        <v>990</v>
      </c>
      <c r="D1265" s="1" t="s">
        <v>717</v>
      </c>
      <c r="E1265" s="1">
        <v>175</v>
      </c>
      <c r="G1265" s="1" t="s">
        <v>247</v>
      </c>
      <c r="H1265" s="1" t="s">
        <v>1026</v>
      </c>
      <c r="J1265" s="1" t="s">
        <v>605</v>
      </c>
      <c r="M1265" s="15" t="s">
        <v>479</v>
      </c>
      <c r="O1265" s="15"/>
      <c r="P1265" s="15"/>
      <c r="Q1265" s="15" t="str" cm="1">
        <f t="array" ref="Q12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5" s="15" t="str" cm="1">
        <f t="array" ref="R12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canciones/juanjo_elezkano/necesitamos_comer_tu_pan.html</v>
      </c>
      <c r="T1265" s="1"/>
      <c r="U1265" s="1"/>
      <c r="V1265" s="32" t="s">
        <v>2972</v>
      </c>
      <c r="W12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data-momento="Comunión" data-nnew="K47" data-nold="175"&gt;&lt;a href="canciones/juanjo_elezkano/necesitamos_comer_tu_pan.html"&gt;Necesitamos comer tu Pan&lt;/a&gt;&lt;/li&gt;</v>
      </c>
      <c r="X1265" s="15" t="str">
        <f>_xlfn.TEXTBEFORE(_xlfn.TEXTAFTER(CantoralDB[[#This Row],[index.html]],"&gt;"),"&gt;")&amp;"&gt;"</f>
        <v>&lt;a href="canciones/juanjo_elezkano/necesitamos_comer_tu_pan.html"&gt;</v>
      </c>
      <c r="Y1265"/>
      <c r="AB1265" s="1"/>
      <c r="AC1265" s="1"/>
    </row>
    <row r="1266" spans="1:29" x14ac:dyDescent="0.3">
      <c r="A1266" s="1">
        <f>ROW(CantoralDB[[#This Row],[Título]])-1</f>
        <v>1265</v>
      </c>
      <c r="B1266" s="1" t="s">
        <v>1303</v>
      </c>
      <c r="C1266" s="1"/>
      <c r="E1266" s="1">
        <v>215</v>
      </c>
      <c r="I1266" s="1" t="s">
        <v>5061</v>
      </c>
      <c r="J1266" s="1" t="s">
        <v>605</v>
      </c>
      <c r="M1266" s="15" t="s">
        <v>479</v>
      </c>
      <c r="O1266" s="15"/>
      <c r="P1266" s="15"/>
      <c r="Q1266" s="15" t="str" cm="1">
        <f t="array" ref="Q12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6" s="15" t="str" cm="1">
        <f t="array" ref="R12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canciones/juanjo_elezkano/perdoname_señor.html</v>
      </c>
      <c r="T1266" s="1"/>
      <c r="U1266" s="1"/>
      <c r="V1266" s="15"/>
      <c r="W12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data-nold="215"&gt;&lt;a href="canciones/juanjo_elezkano/perdoname_señor.html"&gt;Perdóname, Señor&lt;/a&gt;&lt;/li&gt;</v>
      </c>
      <c r="X1266" s="15" t="str">
        <f>_xlfn.TEXTBEFORE(_xlfn.TEXTAFTER(CantoralDB[[#This Row],[index.html]],"&gt;"),"&gt;")&amp;"&gt;"</f>
        <v>&lt;a href="canciones/juanjo_elezkano/perdoname_señor.html"&gt;</v>
      </c>
      <c r="Y1266"/>
      <c r="AB1266" s="1"/>
      <c r="AC1266" s="1"/>
    </row>
    <row r="1267" spans="1:29" x14ac:dyDescent="0.3">
      <c r="A1267" s="1">
        <f>ROW(CantoralDB[[#This Row],[Título]])-1</f>
        <v>1266</v>
      </c>
      <c r="B1267" s="1" t="s">
        <v>2393</v>
      </c>
      <c r="C1267" s="1"/>
      <c r="F1267" s="1">
        <v>18</v>
      </c>
      <c r="H1267" s="1" t="s">
        <v>529</v>
      </c>
      <c r="J1267" s="1" t="s">
        <v>605</v>
      </c>
      <c r="M1267" s="15" t="s">
        <v>479</v>
      </c>
      <c r="O1267" s="15"/>
      <c r="P1267" s="15"/>
      <c r="Q1267" s="15" t="str" cm="1">
        <f t="array" ref="Q12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7" s="15" t="str" cm="1">
        <f t="array" ref="R12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2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canciones/juanjo_elezkano/santo_tu_eres_señor.html</v>
      </c>
      <c r="T1267" s="1"/>
      <c r="U1267" s="1"/>
      <c r="V1267" s="32" t="s">
        <v>3031</v>
      </c>
      <c r="W12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data-nrcc="18"&gt;&lt;a href="canciones/juanjo_elezkano/santo_tu_eres_señor.html"&gt;Santo tú eres, Señor&lt;/a&gt;&lt;/li&gt;</v>
      </c>
      <c r="X1267" s="15" t="str">
        <f>_xlfn.TEXTBEFORE(_xlfn.TEXTAFTER(CantoralDB[[#This Row],[index.html]],"&gt;"),"&gt;")&amp;"&gt;"</f>
        <v>&lt;a href="canciones/juanjo_elezkano/santo_tu_eres_señor.html"&gt;</v>
      </c>
      <c r="Y1267"/>
      <c r="AB1267" s="1"/>
      <c r="AC1267" s="1"/>
    </row>
    <row r="1268" spans="1:29" x14ac:dyDescent="0.3">
      <c r="A1268" s="1">
        <f>ROW(CantoralDB[[#This Row],[Título]])-1</f>
        <v>1267</v>
      </c>
      <c r="B1268" s="1" t="s">
        <v>1323</v>
      </c>
      <c r="C1268" s="1"/>
      <c r="E1268" s="1">
        <v>247</v>
      </c>
      <c r="J1268" s="1"/>
      <c r="M1268" s="15" t="s">
        <v>479</v>
      </c>
      <c r="O1268" s="15"/>
      <c r="P1268" s="15"/>
      <c r="Q1268" s="15" t="str" cm="1">
        <f t="array" ref="Q12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8" s="15" t="str" cm="1">
        <f t="array" ref="R12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canciones/juanjo_elezkano/siempre_que_es_navidad.html</v>
      </c>
      <c r="T1268" s="1"/>
      <c r="U1268" s="1"/>
      <c r="V1268" s="15"/>
      <c r="W12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data-nold="247"&gt;&lt;a href="canciones/juanjo_elezkano/siempre_que_es_navidad.html"&gt;Siempre que es Navidad&lt;/a&gt;&lt;/li&gt;</v>
      </c>
      <c r="X1268" s="15" t="str">
        <f>_xlfn.TEXTBEFORE(_xlfn.TEXTAFTER(CantoralDB[[#This Row],[index.html]],"&gt;"),"&gt;")&amp;"&gt;"</f>
        <v>&lt;a href="canciones/juanjo_elezkano/siempre_que_es_navidad.html"&gt;</v>
      </c>
      <c r="Y1268"/>
      <c r="AB1268" s="1"/>
      <c r="AC1268" s="1"/>
    </row>
    <row r="1269" spans="1:29" x14ac:dyDescent="0.3">
      <c r="A1269" s="1">
        <f>ROW(CantoralDB[[#This Row],[Título]])-1</f>
        <v>1268</v>
      </c>
      <c r="B1269" s="1" t="s">
        <v>2098</v>
      </c>
      <c r="C1269" s="1"/>
      <c r="E1269" s="1">
        <v>276</v>
      </c>
      <c r="J1269" s="1"/>
      <c r="M1269" s="15" t="s">
        <v>479</v>
      </c>
      <c r="O1269" s="15"/>
      <c r="P1269" s="15"/>
      <c r="Q1269" s="15" t="str" cm="1">
        <f t="array" ref="Q12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69" s="15" t="str" cm="1">
        <f t="array" ref="R12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canciones/juanjo_elezkano/un_corazon_arrepentido.html</v>
      </c>
      <c r="T1269" s="1"/>
      <c r="U1269" s="1"/>
      <c r="V1269" s="15"/>
      <c r="W12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data-nold="276"&gt;&lt;a href="canciones/juanjo_elezkano/un_corazon_arrepentido.html"&gt;Un corazón arrepentido&lt;/a&gt;&lt;/li&gt;</v>
      </c>
      <c r="X1269" s="15" t="str">
        <f>_xlfn.TEXTBEFORE(_xlfn.TEXTAFTER(CantoralDB[[#This Row],[index.html]],"&gt;"),"&gt;")&amp;"&gt;"</f>
        <v>&lt;a href="canciones/juanjo_elezkano/un_corazon_arrepentido.html"&gt;</v>
      </c>
      <c r="Y1269"/>
      <c r="AB1269" s="1"/>
      <c r="AC1269" s="1"/>
    </row>
    <row r="1270" spans="1:29" x14ac:dyDescent="0.3">
      <c r="A1270" s="1">
        <f>ROW(CantoralDB[[#This Row],[Título]])-1</f>
        <v>1269</v>
      </c>
      <c r="B1270" s="1" t="s">
        <v>161</v>
      </c>
      <c r="C1270" s="1" t="s">
        <v>200</v>
      </c>
      <c r="D1270" s="1" t="s">
        <v>677</v>
      </c>
      <c r="E1270" s="1">
        <v>471</v>
      </c>
      <c r="G1270" s="1" t="s">
        <v>208</v>
      </c>
      <c r="H1270" s="1" t="s">
        <v>1027</v>
      </c>
      <c r="J1270" s="1" t="s">
        <v>605</v>
      </c>
      <c r="M1270" s="15" t="s">
        <v>479</v>
      </c>
      <c r="O1270" s="15"/>
      <c r="P1270" s="15"/>
      <c r="Q1270" s="15" t="str" cm="1">
        <f t="array" ref="Q12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juanjo_elezkano</v>
      </c>
      <c r="R1270" s="15" t="str" cm="1">
        <f t="array" ref="R12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canciones/juanjo_elezkano/venimos_a_escuchar_tu_voz.html</v>
      </c>
      <c r="T1270" s="1"/>
      <c r="U1270" s="1"/>
      <c r="V1270" s="15"/>
      <c r="W12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data-author="Juanjo Elezkano" data-momento="Antífonas" data-nnew="D42" data-nold="471"&gt;&lt;a href="canciones/juanjo_elezkano/venimos_a_escuchar_tu_voz.html"&gt;Venimos a escuchar tu voz&lt;/a&gt;&lt;/li&gt;</v>
      </c>
      <c r="X1270" s="15" t="str">
        <f>_xlfn.TEXTBEFORE(_xlfn.TEXTAFTER(CantoralDB[[#This Row],[index.html]],"&gt;"),"&gt;")&amp;"&gt;"</f>
        <v>&lt;a href="canciones/juanjo_elezkano/venimos_a_escuchar_tu_voz.html"&gt;</v>
      </c>
      <c r="Y1270"/>
      <c r="AB1270" s="1"/>
      <c r="AC1270" s="1"/>
    </row>
    <row r="1271" spans="1:29" x14ac:dyDescent="0.3">
      <c r="A1271" s="1">
        <f>ROW(CantoralDB[[#This Row],[Título]])-1</f>
        <v>1270</v>
      </c>
      <c r="B1271" s="1" t="s">
        <v>1705</v>
      </c>
      <c r="C1271" s="1"/>
      <c r="J1271" s="1"/>
      <c r="M1271" s="15" t="s">
        <v>483</v>
      </c>
      <c r="N1271" s="1" t="s">
        <v>1498</v>
      </c>
      <c r="O1271" s="15">
        <v>1</v>
      </c>
      <c r="P1271" s="15">
        <v>2004</v>
      </c>
      <c r="Q1271" s="15" t="str" cm="1">
        <f t="array" ref="Q12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1" s="15" t="str" cm="1">
        <f t="array" ref="R12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canciones/kairoi/desde_tu_gesto.html</v>
      </c>
      <c r="T1271" s="1"/>
      <c r="U1271" s="1"/>
      <c r="V1271" s="32" t="s">
        <v>3698</v>
      </c>
      <c r="W12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href="canciones/kairoi/desde_tu_gesto.html"&gt;Desde tu gesto&lt;/a&gt;&lt;/li&gt;</v>
      </c>
      <c r="X1271" s="15" t="str">
        <f>_xlfn.TEXTBEFORE(_xlfn.TEXTAFTER(CantoralDB[[#This Row],[index.html]],"&gt;"),"&gt;")&amp;"&gt;"</f>
        <v>&lt;a href="canciones/kairoi/desde_tu_gesto.html"&gt;</v>
      </c>
      <c r="Y1271"/>
      <c r="AB1271" s="1"/>
      <c r="AC1271" s="1"/>
    </row>
    <row r="1272" spans="1:29" x14ac:dyDescent="0.3">
      <c r="A1272" s="1">
        <f>ROW(CantoralDB[[#This Row],[Título]])-1</f>
        <v>1271</v>
      </c>
      <c r="B1272" s="1" t="s">
        <v>1706</v>
      </c>
      <c r="C1272" s="1"/>
      <c r="J1272" s="1"/>
      <c r="M1272" s="15" t="s">
        <v>483</v>
      </c>
      <c r="N1272" s="1" t="s">
        <v>1498</v>
      </c>
      <c r="O1272" s="15">
        <v>2</v>
      </c>
      <c r="P1272" s="15">
        <v>2004</v>
      </c>
      <c r="Q1272" s="15" t="str" cm="1">
        <f t="array" ref="Q12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2" s="15" t="str" cm="1">
        <f t="array" ref="R12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canciones/kairoi/el_silencio_de_mi_corazon.html</v>
      </c>
      <c r="T1272" s="1"/>
      <c r="U1272" s="1"/>
      <c r="V1272" s="32" t="s">
        <v>3699</v>
      </c>
      <c r="W12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href="canciones/kairoi/el_silencio_de_mi_corazon.html"&gt;El silencio de mi corazón&lt;/a&gt;&lt;/li&gt;</v>
      </c>
      <c r="X1272" s="15" t="str">
        <f>_xlfn.TEXTBEFORE(_xlfn.TEXTAFTER(CantoralDB[[#This Row],[index.html]],"&gt;"),"&gt;")&amp;"&gt;"</f>
        <v>&lt;a href="canciones/kairoi/el_silencio_de_mi_corazon.html"&gt;</v>
      </c>
      <c r="Y1272"/>
      <c r="AB1272" s="1"/>
      <c r="AC1272" s="1"/>
    </row>
    <row r="1273" spans="1:29" x14ac:dyDescent="0.3">
      <c r="A1273" s="1">
        <f>ROW(CantoralDB[[#This Row],[Título]])-1</f>
        <v>1272</v>
      </c>
      <c r="B1273" s="1" t="s">
        <v>2353</v>
      </c>
      <c r="C1273" s="1"/>
      <c r="J1273" s="1"/>
      <c r="M1273" s="15" t="s">
        <v>483</v>
      </c>
      <c r="N1273" s="1" t="s">
        <v>1498</v>
      </c>
      <c r="O1273" s="15">
        <v>3</v>
      </c>
      <c r="P1273" s="15">
        <v>2004</v>
      </c>
      <c r="Q1273" s="15" t="str" cm="1">
        <f t="array" ref="Q12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3" s="15" t="str" cm="1">
        <f t="array" ref="R12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canciones/kairoi/venid_a_mi.html</v>
      </c>
      <c r="T1273" s="1"/>
      <c r="U1273" s="1"/>
      <c r="V1273" s="32" t="s">
        <v>3700</v>
      </c>
      <c r="W12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href="canciones/kairoi/venid_a_mi.html"&gt;Venid a mí&lt;/a&gt;&lt;/li&gt;</v>
      </c>
      <c r="X1273" s="15" t="str">
        <f>_xlfn.TEXTBEFORE(_xlfn.TEXTAFTER(CantoralDB[[#This Row],[index.html]],"&gt;"),"&gt;")&amp;"&gt;"</f>
        <v>&lt;a href="canciones/kairoi/venid_a_mi.html"&gt;</v>
      </c>
      <c r="Y1273"/>
      <c r="AB1273" s="1"/>
      <c r="AC1273" s="1"/>
    </row>
    <row r="1274" spans="1:29" x14ac:dyDescent="0.3">
      <c r="A1274" s="1">
        <f>ROW(CantoralDB[[#This Row],[Título]])-1</f>
        <v>1273</v>
      </c>
      <c r="B1274" s="1" t="s">
        <v>2870</v>
      </c>
      <c r="C1274" s="1"/>
      <c r="J1274" s="1"/>
      <c r="M1274" s="15" t="s">
        <v>483</v>
      </c>
      <c r="N1274" s="1" t="s">
        <v>1498</v>
      </c>
      <c r="O1274" s="15">
        <v>4</v>
      </c>
      <c r="P1274" s="15">
        <v>2004</v>
      </c>
      <c r="Q1274" s="15" t="str" cm="1">
        <f t="array" ref="Q12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4" s="15" t="str" cm="1">
        <f t="array" ref="R12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canciones/kairoi/ave_maria_ii.html</v>
      </c>
      <c r="T1274" s="1"/>
      <c r="U1274" s="1"/>
      <c r="V1274" s="32" t="s">
        <v>3701</v>
      </c>
      <c r="W12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href="canciones/kairoi/ave_maria_ii.html"&gt;Ave María II&lt;/a&gt;&lt;/li&gt;</v>
      </c>
      <c r="X1274" s="15" t="str">
        <f>_xlfn.TEXTBEFORE(_xlfn.TEXTAFTER(CantoralDB[[#This Row],[index.html]],"&gt;"),"&gt;")&amp;"&gt;"</f>
        <v>&lt;a href="canciones/kairoi/ave_maria_ii.html"&gt;</v>
      </c>
      <c r="Y1274"/>
      <c r="AB1274" s="1"/>
      <c r="AC1274" s="1"/>
    </row>
    <row r="1275" spans="1:29" x14ac:dyDescent="0.3">
      <c r="A1275" s="1">
        <f>ROW(CantoralDB[[#This Row],[Título]])-1</f>
        <v>1274</v>
      </c>
      <c r="B1275" s="1" t="s">
        <v>1707</v>
      </c>
      <c r="C1275" s="1"/>
      <c r="J1275" s="1"/>
      <c r="M1275" s="15" t="s">
        <v>483</v>
      </c>
      <c r="N1275" s="1" t="s">
        <v>1498</v>
      </c>
      <c r="O1275" s="15">
        <v>5</v>
      </c>
      <c r="P1275" s="15">
        <v>2004</v>
      </c>
      <c r="Q1275" s="15" t="str" cm="1">
        <f t="array" ref="Q12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5" s="15" t="str" cm="1">
        <f t="array" ref="R12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canciones/kairoi/si_tu_sabes.html</v>
      </c>
      <c r="T1275" s="1"/>
      <c r="U1275" s="1"/>
      <c r="V1275" s="32" t="s">
        <v>3702</v>
      </c>
      <c r="W12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href="canciones/kairoi/si_tu_sabes.html"&gt;Si tú sabes&lt;/a&gt;&lt;/li&gt;</v>
      </c>
      <c r="X1275" s="15" t="str">
        <f>_xlfn.TEXTBEFORE(_xlfn.TEXTAFTER(CantoralDB[[#This Row],[index.html]],"&gt;"),"&gt;")&amp;"&gt;"</f>
        <v>&lt;a href="canciones/kairoi/si_tu_sabes.html"&gt;</v>
      </c>
      <c r="Y1275"/>
      <c r="AB1275" s="1"/>
      <c r="AC1275" s="1"/>
    </row>
    <row r="1276" spans="1:29" x14ac:dyDescent="0.3">
      <c r="A1276" s="1">
        <f>ROW(CantoralDB[[#This Row],[Título]])-1</f>
        <v>1275</v>
      </c>
      <c r="B1276" s="1" t="s">
        <v>1708</v>
      </c>
      <c r="C1276" s="1"/>
      <c r="J1276" s="1"/>
      <c r="M1276" s="15" t="s">
        <v>483</v>
      </c>
      <c r="N1276" s="1" t="s">
        <v>1498</v>
      </c>
      <c r="O1276" s="15">
        <v>6</v>
      </c>
      <c r="P1276" s="15">
        <v>2004</v>
      </c>
      <c r="Q1276" s="15" t="str" cm="1">
        <f t="array" ref="Q12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6" s="15" t="str" cm="1">
        <f t="array" ref="R12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canciones/kairoi/la_utopia_es_posible.html</v>
      </c>
      <c r="T1276" s="1"/>
      <c r="U1276" s="1"/>
      <c r="V1276" s="32" t="s">
        <v>3703</v>
      </c>
      <c r="W12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href="canciones/kairoi/la_utopia_es_posible.html"&gt;La utopia es posible&lt;/a&gt;&lt;/li&gt;</v>
      </c>
      <c r="X1276" s="15" t="str">
        <f>_xlfn.TEXTBEFORE(_xlfn.TEXTAFTER(CantoralDB[[#This Row],[index.html]],"&gt;"),"&gt;")&amp;"&gt;"</f>
        <v>&lt;a href="canciones/kairoi/la_utopia_es_posible.html"&gt;</v>
      </c>
      <c r="Y1276"/>
      <c r="AB1276" s="1"/>
      <c r="AC1276" s="1"/>
    </row>
    <row r="1277" spans="1:29" x14ac:dyDescent="0.3">
      <c r="A1277" s="1">
        <f>ROW(CantoralDB[[#This Row],[Título]])-1</f>
        <v>1276</v>
      </c>
      <c r="B1277" s="1" t="s">
        <v>2939</v>
      </c>
      <c r="C1277" s="1"/>
      <c r="J1277" s="1"/>
      <c r="M1277" s="15" t="s">
        <v>483</v>
      </c>
      <c r="N1277" s="1" t="s">
        <v>1498</v>
      </c>
      <c r="O1277" s="15">
        <v>7</v>
      </c>
      <c r="P1277" s="15">
        <v>2004</v>
      </c>
      <c r="Q1277" s="15" t="str" cm="1">
        <f t="array" ref="Q12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7" s="15" t="str" cm="1">
        <f t="array" ref="R12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canciones/kairoi/padre_nuestro_iii.html</v>
      </c>
      <c r="T1277" s="1"/>
      <c r="U1277" s="1"/>
      <c r="V1277" s="32" t="s">
        <v>3704</v>
      </c>
      <c r="W12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href="canciones/kairoi/padre_nuestro_iii.html"&gt;Padre nuestro III&lt;/a&gt;&lt;/li&gt;</v>
      </c>
      <c r="X1277" s="15" t="str">
        <f>_xlfn.TEXTBEFORE(_xlfn.TEXTAFTER(CantoralDB[[#This Row],[index.html]],"&gt;"),"&gt;")&amp;"&gt;"</f>
        <v>&lt;a href="canciones/kairoi/padre_nuestro_iii.html"&gt;</v>
      </c>
      <c r="Y1277"/>
      <c r="AB1277" s="1"/>
      <c r="AC1277" s="1"/>
    </row>
    <row r="1278" spans="1:29" x14ac:dyDescent="0.3">
      <c r="A1278" s="1">
        <f>ROW(CantoralDB[[#This Row],[Título]])-1</f>
        <v>1277</v>
      </c>
      <c r="B1278" s="1" t="s">
        <v>1709</v>
      </c>
      <c r="C1278" s="1"/>
      <c r="J1278" s="1"/>
      <c r="M1278" s="15" t="s">
        <v>483</v>
      </c>
      <c r="N1278" s="1" t="s">
        <v>1498</v>
      </c>
      <c r="O1278" s="15">
        <v>8</v>
      </c>
      <c r="P1278" s="15">
        <v>2004</v>
      </c>
      <c r="Q1278" s="15" t="str" cm="1">
        <f t="array" ref="Q12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8" s="15" t="str" cm="1">
        <f t="array" ref="R12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canciones/kairoi/que_vuestro_corazon_no_se_turbe.html</v>
      </c>
      <c r="T1278" s="1"/>
      <c r="U1278" s="1"/>
      <c r="V1278" s="32" t="s">
        <v>3705</v>
      </c>
      <c r="W12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href="canciones/kairoi/que_vuestro_corazon_no_se_turbe.html"&gt;Que vuestro corazón no se turbe&lt;/a&gt;&lt;/li&gt;</v>
      </c>
      <c r="X1278" s="15" t="str">
        <f>_xlfn.TEXTBEFORE(_xlfn.TEXTAFTER(CantoralDB[[#This Row],[index.html]],"&gt;"),"&gt;")&amp;"&gt;"</f>
        <v>&lt;a href="canciones/kairoi/que_vuestro_corazon_no_se_turbe.html"&gt;</v>
      </c>
      <c r="Y1278"/>
      <c r="AB1278" s="1"/>
      <c r="AC1278" s="1"/>
    </row>
    <row r="1279" spans="1:29" x14ac:dyDescent="0.3">
      <c r="A1279" s="1">
        <f>ROW(CantoralDB[[#This Row],[Título]])-1</f>
        <v>1278</v>
      </c>
      <c r="B1279" s="1" t="s">
        <v>1710</v>
      </c>
      <c r="C1279" s="1"/>
      <c r="J1279" s="1"/>
      <c r="M1279" s="15" t="s">
        <v>483</v>
      </c>
      <c r="N1279" s="1" t="s">
        <v>1498</v>
      </c>
      <c r="O1279" s="15">
        <v>9</v>
      </c>
      <c r="P1279" s="15">
        <v>2004</v>
      </c>
      <c r="Q1279" s="15" t="str" cm="1">
        <f t="array" ref="Q12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79" s="15" t="str" cm="1">
        <f t="array" ref="R12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canciones/kairoi/decid_si.html</v>
      </c>
      <c r="T1279" s="1"/>
      <c r="U1279" s="1"/>
      <c r="V1279" s="32" t="s">
        <v>3706</v>
      </c>
      <c r="W12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href="canciones/kairoi/decid_si.html"&gt;Decid sí&lt;/a&gt;&lt;/li&gt;</v>
      </c>
      <c r="X1279" s="15" t="str">
        <f>_xlfn.TEXTBEFORE(_xlfn.TEXTAFTER(CantoralDB[[#This Row],[index.html]],"&gt;"),"&gt;")&amp;"&gt;"</f>
        <v>&lt;a href="canciones/kairoi/decid_si.html"&gt;</v>
      </c>
      <c r="Y1279"/>
      <c r="AB1279" s="1"/>
      <c r="AC1279" s="1"/>
    </row>
    <row r="1280" spans="1:29" x14ac:dyDescent="0.3">
      <c r="A1280" s="1">
        <f>ROW(CantoralDB[[#This Row],[Título]])-1</f>
        <v>1279</v>
      </c>
      <c r="B1280" s="1" t="s">
        <v>1711</v>
      </c>
      <c r="C1280" s="1"/>
      <c r="J1280" s="1"/>
      <c r="M1280" s="15" t="s">
        <v>483</v>
      </c>
      <c r="N1280" s="1" t="s">
        <v>1498</v>
      </c>
      <c r="O1280" s="15">
        <v>10</v>
      </c>
      <c r="P1280" s="15">
        <v>2004</v>
      </c>
      <c r="Q1280" s="15" t="str" cm="1">
        <f t="array" ref="Q12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0" s="15" t="str" cm="1">
        <f t="array" ref="R12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canciones/kairoi/estrellas_en_el_mar.html</v>
      </c>
      <c r="T1280" s="1"/>
      <c r="U1280" s="1"/>
      <c r="V1280" s="32" t="s">
        <v>3707</v>
      </c>
      <c r="W12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href="canciones/kairoi/estrellas_en_el_mar.html"&gt;Estrellas en el mar&lt;/a&gt;&lt;/li&gt;</v>
      </c>
      <c r="X1280" s="15" t="str">
        <f>_xlfn.TEXTBEFORE(_xlfn.TEXTAFTER(CantoralDB[[#This Row],[index.html]],"&gt;"),"&gt;")&amp;"&gt;"</f>
        <v>&lt;a href="canciones/kairoi/estrellas_en_el_mar.html"&gt;</v>
      </c>
      <c r="Y1280"/>
      <c r="AB1280" s="1"/>
      <c r="AC1280" s="1"/>
    </row>
    <row r="1281" spans="1:29" x14ac:dyDescent="0.3">
      <c r="A1281" s="1">
        <f>ROW(CantoralDB[[#This Row],[Título]])-1</f>
        <v>1280</v>
      </c>
      <c r="B1281" s="1" t="s">
        <v>2354</v>
      </c>
      <c r="C1281" s="1"/>
      <c r="J1281" s="1"/>
      <c r="M1281" s="15" t="s">
        <v>483</v>
      </c>
      <c r="N1281" s="1" t="s">
        <v>1498</v>
      </c>
      <c r="O1281" s="15">
        <v>11</v>
      </c>
      <c r="P1281" s="15">
        <v>2004</v>
      </c>
      <c r="Q1281" s="15" t="str" cm="1">
        <f t="array" ref="Q12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1" s="15" t="str" cm="1">
        <f t="array" ref="R12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canciones/kairoi/quien_eres_jesus_para_mi.html</v>
      </c>
      <c r="T1281" s="1"/>
      <c r="U1281" s="1"/>
      <c r="V1281" s="32" t="s">
        <v>3708</v>
      </c>
      <c r="W12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href="canciones/kairoi/quien_eres_jesus_para_mi.html"&gt;Quién eres, Jesús, para mí&lt;/a&gt;&lt;/li&gt;</v>
      </c>
      <c r="X1281" s="15" t="str">
        <f>_xlfn.TEXTBEFORE(_xlfn.TEXTAFTER(CantoralDB[[#This Row],[index.html]],"&gt;"),"&gt;")&amp;"&gt;"</f>
        <v>&lt;a href="canciones/kairoi/quien_eres_jesus_para_mi.html"&gt;</v>
      </c>
      <c r="Y1281"/>
      <c r="AB1281" s="1"/>
      <c r="AC1281" s="1"/>
    </row>
    <row r="1282" spans="1:29" x14ac:dyDescent="0.3">
      <c r="A1282" s="1">
        <f>ROW(CantoralDB[[#This Row],[Título]])-1</f>
        <v>1281</v>
      </c>
      <c r="B1282" s="1" t="s">
        <v>1712</v>
      </c>
      <c r="C1282" s="1"/>
      <c r="J1282" s="1"/>
      <c r="M1282" s="15" t="s">
        <v>483</v>
      </c>
      <c r="N1282" s="1" t="s">
        <v>1498</v>
      </c>
      <c r="O1282" s="15">
        <v>12</v>
      </c>
      <c r="P1282" s="15">
        <v>2004</v>
      </c>
      <c r="Q1282" s="15" t="str" cm="1">
        <f t="array" ref="Q12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2" s="15" t="str" cm="1">
        <f t="array" ref="R12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canciones/kairoi/venimos_ante_ti.html</v>
      </c>
      <c r="T1282" s="1"/>
      <c r="U1282" s="1"/>
      <c r="V1282" s="32" t="s">
        <v>3709</v>
      </c>
      <c r="W12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href="canciones/kairoi/venimos_ante_ti.html"&gt;Venimos ante ti&lt;/a&gt;&lt;/li&gt;</v>
      </c>
      <c r="X1282" s="15" t="str">
        <f>_xlfn.TEXTBEFORE(_xlfn.TEXTAFTER(CantoralDB[[#This Row],[index.html]],"&gt;"),"&gt;")&amp;"&gt;"</f>
        <v>&lt;a href="canciones/kairoi/venimos_ante_ti.html"&gt;</v>
      </c>
      <c r="Y1282"/>
      <c r="AB1282" s="1"/>
      <c r="AC1282" s="1"/>
    </row>
    <row r="1283" spans="1:29" x14ac:dyDescent="0.3">
      <c r="A1283" s="1">
        <f>ROW(CantoralDB[[#This Row],[Título]])-1</f>
        <v>1282</v>
      </c>
      <c r="B1283" s="1" t="s">
        <v>1713</v>
      </c>
      <c r="C1283" s="1"/>
      <c r="J1283" s="1"/>
      <c r="M1283" s="15" t="s">
        <v>483</v>
      </c>
      <c r="N1283" s="1" t="s">
        <v>1498</v>
      </c>
      <c r="O1283" s="15">
        <v>13</v>
      </c>
      <c r="P1283" s="15">
        <v>2004</v>
      </c>
      <c r="Q1283" s="15" t="str" cm="1">
        <f t="array" ref="Q12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3" s="15" t="str" cm="1">
        <f t="array" ref="R12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canciones/kairoi/en_la_oscuridad_de_la_noche.html</v>
      </c>
      <c r="T1283" s="1"/>
      <c r="U1283" s="1"/>
      <c r="V1283" s="32" t="s">
        <v>3710</v>
      </c>
      <c r="W12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href="canciones/kairoi/en_la_oscuridad_de_la_noche.html"&gt;En la oscuridad de la noche&lt;/a&gt;&lt;/li&gt;</v>
      </c>
      <c r="X1283" s="15" t="str">
        <f>_xlfn.TEXTBEFORE(_xlfn.TEXTAFTER(CantoralDB[[#This Row],[index.html]],"&gt;"),"&gt;")&amp;"&gt;"</f>
        <v>&lt;a href="canciones/kairoi/en_la_oscuridad_de_la_noche.html"&gt;</v>
      </c>
      <c r="Y1283"/>
      <c r="AB1283" s="1"/>
      <c r="AC1283" s="1"/>
    </row>
    <row r="1284" spans="1:29" x14ac:dyDescent="0.3">
      <c r="A1284" s="1">
        <f>ROW(CantoralDB[[#This Row],[Título]])-1</f>
        <v>1283</v>
      </c>
      <c r="B1284" s="1" t="s">
        <v>1714</v>
      </c>
      <c r="C1284" s="1"/>
      <c r="J1284" s="1"/>
      <c r="M1284" s="15" t="s">
        <v>483</v>
      </c>
      <c r="N1284" s="1" t="s">
        <v>1498</v>
      </c>
      <c r="O1284" s="15">
        <v>14</v>
      </c>
      <c r="P1284" s="15">
        <v>2004</v>
      </c>
      <c r="Q1284" s="15" t="str" cm="1">
        <f t="array" ref="Q12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4" s="15" t="str" cm="1">
        <f t="array" ref="R12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canciones/kairoi/padre.html</v>
      </c>
      <c r="T1284" s="1"/>
      <c r="U1284" s="1"/>
      <c r="V1284" s="32" t="s">
        <v>3711</v>
      </c>
      <c r="W12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href="canciones/kairoi/padre.html"&gt;Padre&lt;/a&gt;&lt;/li&gt;</v>
      </c>
      <c r="X1284" s="15" t="str">
        <f>_xlfn.TEXTBEFORE(_xlfn.TEXTAFTER(CantoralDB[[#This Row],[index.html]],"&gt;"),"&gt;")&amp;"&gt;"</f>
        <v>&lt;a href="canciones/kairoi/padre.html"&gt;</v>
      </c>
      <c r="Y1284"/>
      <c r="AB1284" s="1"/>
      <c r="AC1284" s="1"/>
    </row>
    <row r="1285" spans="1:29" x14ac:dyDescent="0.3">
      <c r="A1285" s="1">
        <f>ROW(CantoralDB[[#This Row],[Título]])-1</f>
        <v>1284</v>
      </c>
      <c r="B1285" s="1" t="s">
        <v>600</v>
      </c>
      <c r="C1285" s="1" t="s">
        <v>200</v>
      </c>
      <c r="D1285" s="1" t="s">
        <v>656</v>
      </c>
      <c r="G1285" s="1" t="s">
        <v>551</v>
      </c>
      <c r="H1285" s="1" t="s">
        <v>1024</v>
      </c>
      <c r="J1285" s="1" t="s">
        <v>605</v>
      </c>
      <c r="M1285" s="15" t="s">
        <v>483</v>
      </c>
      <c r="N1285" s="1" t="s">
        <v>1487</v>
      </c>
      <c r="O1285" s="15">
        <v>1</v>
      </c>
      <c r="P1285" s="15">
        <v>1987</v>
      </c>
      <c r="Q1285" s="15" t="str" cm="1">
        <f t="array" ref="Q12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5" s="15" t="str" cm="1">
        <f t="array" ref="R12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canciones/kairoi/la_bondad_y_el_amor_del_señor.html</v>
      </c>
      <c r="T1285" s="1" t="s">
        <v>838</v>
      </c>
      <c r="U1285" s="1"/>
      <c r="V1285" s="32" t="s">
        <v>3712</v>
      </c>
      <c r="W12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data-momento="Antífonas" data-nnew="D21"&gt;&lt;a href="canciones/kairoi/la_bondad_y_el_amor_del_señor.html"&gt;La bondad y el amor del Señor&lt;/a&gt;&lt;/li&gt;</v>
      </c>
      <c r="X1285" s="15" t="str">
        <f>_xlfn.TEXTBEFORE(_xlfn.TEXTAFTER(CantoralDB[[#This Row],[index.html]],"&gt;"),"&gt;")&amp;"&gt;"</f>
        <v>&lt;a href="canciones/kairoi/la_bondad_y_el_amor_del_señor.html"&gt;</v>
      </c>
      <c r="Y1285"/>
      <c r="AB1285" s="1"/>
      <c r="AC1285" s="1"/>
    </row>
    <row r="1286" spans="1:29" x14ac:dyDescent="0.3">
      <c r="A1286" s="1">
        <f>ROW(CantoralDB[[#This Row],[Título]])-1</f>
        <v>1285</v>
      </c>
      <c r="B1286" s="1" t="s">
        <v>2023</v>
      </c>
      <c r="C1286" s="1"/>
      <c r="H1286" s="1" t="s">
        <v>1024</v>
      </c>
      <c r="J1286" s="1" t="s">
        <v>605</v>
      </c>
      <c r="M1286" s="15" t="s">
        <v>483</v>
      </c>
      <c r="N1286" s="1" t="s">
        <v>1487</v>
      </c>
      <c r="O1286" s="15">
        <v>2</v>
      </c>
      <c r="P1286" s="15">
        <v>1987</v>
      </c>
      <c r="Q1286" s="15" t="str" cm="1">
        <f t="array" ref="Q12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6" s="15" t="str" cm="1">
        <f t="array" ref="R12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canciones/kairoi/vamos_hacia_ti_(gloria_a_dios).html</v>
      </c>
      <c r="T1286" s="1"/>
      <c r="U1286" s="1"/>
      <c r="V1286" s="32" t="s">
        <v>3713</v>
      </c>
      <c r="W12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href="canciones/kairoi/vamos_hacia_ti_(gloria_a_dios).html"&gt;Vamos hacia ti (gloria a Dios)&lt;/a&gt;&lt;/li&gt;</v>
      </c>
      <c r="X1286" s="15" t="str">
        <f>_xlfn.TEXTBEFORE(_xlfn.TEXTAFTER(CantoralDB[[#This Row],[index.html]],"&gt;"),"&gt;")&amp;"&gt;"</f>
        <v>&lt;a href="canciones/kairoi/vamos_hacia_ti_(gloria_a_dios).html"&gt;</v>
      </c>
      <c r="Y1286"/>
      <c r="AB1286" s="1"/>
      <c r="AC1286" s="1"/>
    </row>
    <row r="1287" spans="1:29" x14ac:dyDescent="0.3">
      <c r="A1287" s="1">
        <f>ROW(CantoralDB[[#This Row],[Título]])-1</f>
        <v>1286</v>
      </c>
      <c r="B1287" s="1" t="s">
        <v>1568</v>
      </c>
      <c r="C1287" s="1"/>
      <c r="H1287" s="1" t="s">
        <v>1026</v>
      </c>
      <c r="J1287" s="1" t="s">
        <v>605</v>
      </c>
      <c r="M1287" s="15" t="s">
        <v>483</v>
      </c>
      <c r="N1287" s="1" t="s">
        <v>1487</v>
      </c>
      <c r="O1287" s="15">
        <v>3</v>
      </c>
      <c r="P1287" s="15">
        <v>1987</v>
      </c>
      <c r="Q1287" s="15" t="str" cm="1">
        <f t="array" ref="Q12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7" s="15" t="str" cm="1">
        <f t="array" ref="R12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canciones/kairoi/quedate_aqui_señor.html</v>
      </c>
      <c r="T1287" s="1"/>
      <c r="U1287" s="1"/>
      <c r="V1287" s="32" t="s">
        <v>3714</v>
      </c>
      <c r="W12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href="canciones/kairoi/quedate_aqui_señor.html"&gt;Quédate aquí, Señor&lt;/a&gt;&lt;/li&gt;</v>
      </c>
      <c r="X1287" s="15" t="str">
        <f>_xlfn.TEXTBEFORE(_xlfn.TEXTAFTER(CantoralDB[[#This Row],[index.html]],"&gt;"),"&gt;")&amp;"&gt;"</f>
        <v>&lt;a href="canciones/kairoi/quedate_aqui_señor.html"&gt;</v>
      </c>
      <c r="Y1287"/>
      <c r="AB1287" s="1"/>
      <c r="AC1287" s="1"/>
    </row>
    <row r="1288" spans="1:29" x14ac:dyDescent="0.3">
      <c r="A1288" s="1">
        <f>ROW(CantoralDB[[#This Row],[Título]])-1</f>
        <v>1287</v>
      </c>
      <c r="B1288" s="1" t="s">
        <v>556</v>
      </c>
      <c r="C1288" s="1" t="s">
        <v>191</v>
      </c>
      <c r="D1288" s="1" t="s">
        <v>1447</v>
      </c>
      <c r="G1288" s="1" t="s">
        <v>551</v>
      </c>
      <c r="H1288" s="1" t="s">
        <v>1027</v>
      </c>
      <c r="I1288" s="1" t="s">
        <v>2949</v>
      </c>
      <c r="J1288" s="1" t="s">
        <v>605</v>
      </c>
      <c r="M1288" s="15" t="s">
        <v>483</v>
      </c>
      <c r="N1288" s="1" t="s">
        <v>1487</v>
      </c>
      <c r="O1288" s="15">
        <v>4</v>
      </c>
      <c r="P1288" s="15">
        <v>1987</v>
      </c>
      <c r="Q1288" s="15" t="str" cm="1">
        <f t="array" ref="Q12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8" s="15" t="str" cm="1">
        <f t="array" ref="R12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canciones/kairoi/padre_vuelvo_a_ti.html</v>
      </c>
      <c r="T1288" s="1" t="s">
        <v>849</v>
      </c>
      <c r="U1288" s="1"/>
      <c r="V1288" s="32" t="s">
        <v>3715</v>
      </c>
      <c r="W12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data-momento="Perdón - Agua" data-nnew="B05"&gt;&lt;a href="canciones/kairoi/padre_vuelvo_a_ti.html"&gt;Padre, vuelvo a ti&lt;/a&gt;&lt;/li&gt;</v>
      </c>
      <c r="X1288" s="15" t="str">
        <f>_xlfn.TEXTBEFORE(_xlfn.TEXTAFTER(CantoralDB[[#This Row],[index.html]],"&gt;"),"&gt;")&amp;"&gt;"</f>
        <v>&lt;a href="canciones/kairoi/padre_vuelvo_a_ti.html"&gt;</v>
      </c>
      <c r="Y1288"/>
      <c r="AB1288" s="1"/>
      <c r="AC1288" s="1"/>
    </row>
    <row r="1289" spans="1:29" x14ac:dyDescent="0.3">
      <c r="A1289" s="1">
        <f>ROW(CantoralDB[[#This Row],[Título]])-1</f>
        <v>1288</v>
      </c>
      <c r="B1289" s="1" t="s">
        <v>89</v>
      </c>
      <c r="C1289" s="1" t="s">
        <v>199</v>
      </c>
      <c r="D1289" s="1" t="s">
        <v>1042</v>
      </c>
      <c r="E1289" s="1">
        <v>433</v>
      </c>
      <c r="G1289" s="1" t="s">
        <v>208</v>
      </c>
      <c r="H1289" s="1" t="s">
        <v>529</v>
      </c>
      <c r="I1289" s="1" t="s">
        <v>2948</v>
      </c>
      <c r="J1289" s="1" t="s">
        <v>605</v>
      </c>
      <c r="M1289" s="15" t="s">
        <v>483</v>
      </c>
      <c r="N1289" s="1" t="s">
        <v>1487</v>
      </c>
      <c r="O1289" s="15">
        <v>5</v>
      </c>
      <c r="P1289" s="15">
        <v>1987</v>
      </c>
      <c r="Q1289" s="15" t="str" cm="1">
        <f t="array" ref="Q12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89" s="15" t="str" cm="1">
        <f t="array" ref="R12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canciones/kairoi/maria_la_madre_buena.html</v>
      </c>
      <c r="T1289" s="1"/>
      <c r="U1289" s="1"/>
      <c r="V1289" s="32" t="s">
        <v>3716</v>
      </c>
      <c r="W12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data-momento="María" data-nnew="M11" data-nold="433"&gt;&lt;a href="canciones/kairoi/maria_la_madre_buena.html"&gt;María, la madre buena&lt;/a&gt;&lt;/li&gt;</v>
      </c>
      <c r="X1289" s="15" t="str">
        <f>_xlfn.TEXTBEFORE(_xlfn.TEXTAFTER(CantoralDB[[#This Row],[index.html]],"&gt;"),"&gt;")&amp;"&gt;"</f>
        <v>&lt;a href="canciones/kairoi/maria_la_madre_buena.html"&gt;</v>
      </c>
      <c r="Y1289"/>
      <c r="AB1289" s="1"/>
      <c r="AC1289" s="1"/>
    </row>
    <row r="1290" spans="1:29" x14ac:dyDescent="0.3">
      <c r="A1290" s="1">
        <f>ROW(CantoralDB[[#This Row],[Título]])-1</f>
        <v>1289</v>
      </c>
      <c r="B1290" s="1" t="s">
        <v>234</v>
      </c>
      <c r="C1290" s="1" t="s">
        <v>218</v>
      </c>
      <c r="D1290" s="1" t="s">
        <v>1412</v>
      </c>
      <c r="F1290" s="1">
        <v>210</v>
      </c>
      <c r="G1290" s="1" t="s">
        <v>208</v>
      </c>
      <c r="H1290" s="1" t="s">
        <v>1024</v>
      </c>
      <c r="J1290" s="1" t="s">
        <v>605</v>
      </c>
      <c r="M1290" s="15" t="s">
        <v>483</v>
      </c>
      <c r="N1290" s="1" t="s">
        <v>1487</v>
      </c>
      <c r="O1290" s="15">
        <v>7</v>
      </c>
      <c r="P1290" s="15">
        <v>1987</v>
      </c>
      <c r="Q1290" s="15" t="str" cm="1">
        <f t="array" ref="Q12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0" s="15" t="str" cm="1">
        <f t="array" ref="R12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canciones/kairoi/el_señor_os_dara_su_espiritu_santo.html</v>
      </c>
      <c r="T1290" s="1" t="s">
        <v>825</v>
      </c>
      <c r="U1290" s="1"/>
      <c r="V1290" s="32" t="s">
        <v>3717</v>
      </c>
      <c r="W12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data-momento="Espíritu" data-nnew="N03" data-nrcc="210"&gt;&lt;a href="canciones/kairoi/el_señor_os_dara_su_espiritu_santo.html"&gt;El Señor os dará su Espíritu Santo&lt;/a&gt;&lt;/li&gt;</v>
      </c>
      <c r="X1290" s="15" t="str">
        <f>_xlfn.TEXTBEFORE(_xlfn.TEXTAFTER(CantoralDB[[#This Row],[index.html]],"&gt;"),"&gt;")&amp;"&gt;"</f>
        <v>&lt;a href="canciones/kairoi/el_señor_os_dara_su_espiritu_santo.html"&gt;</v>
      </c>
      <c r="Y1290"/>
      <c r="AB1290" s="1"/>
      <c r="AC1290" s="1"/>
    </row>
    <row r="1291" spans="1:29" x14ac:dyDescent="0.3">
      <c r="A1291" s="1">
        <f>ROW(CantoralDB[[#This Row],[Título]])-1</f>
        <v>1290</v>
      </c>
      <c r="B1291" s="1" t="s">
        <v>552</v>
      </c>
      <c r="C1291" s="1" t="s">
        <v>193</v>
      </c>
      <c r="D1291" s="1" t="s">
        <v>1369</v>
      </c>
      <c r="G1291" s="1" t="s">
        <v>208</v>
      </c>
      <c r="H1291" s="1" t="s">
        <v>529</v>
      </c>
      <c r="I1291" s="1" t="s">
        <v>2948</v>
      </c>
      <c r="J1291" s="1" t="s">
        <v>605</v>
      </c>
      <c r="M1291" s="15" t="s">
        <v>483</v>
      </c>
      <c r="N1291" s="1" t="s">
        <v>1487</v>
      </c>
      <c r="O1291" s="15">
        <v>8</v>
      </c>
      <c r="P1291" s="15">
        <v>1987</v>
      </c>
      <c r="Q1291" s="15" t="str" cm="1">
        <f t="array" ref="Q12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1" s="15" t="str" cm="1">
        <f t="array" ref="R12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2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canciones/kairoi/aleluya_(junto_a_ti_jesus).html</v>
      </c>
      <c r="T1291" s="1"/>
      <c r="U1291" s="1"/>
      <c r="V1291" s="32" t="s">
        <v>3718</v>
      </c>
      <c r="W12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data-momento="Aleluya" data-nnew="E02"&gt;&lt;a href="canciones/kairoi/aleluya_(junto_a_ti_jesus).html"&gt;Aleluya (Junto a ti, Jesús)&lt;/a&gt;&lt;/li&gt;</v>
      </c>
      <c r="X1291" s="15" t="str">
        <f>_xlfn.TEXTBEFORE(_xlfn.TEXTAFTER(CantoralDB[[#This Row],[index.html]],"&gt;"),"&gt;")&amp;"&gt;"</f>
        <v>&lt;a href="canciones/kairoi/aleluya_(junto_a_ti_jesus).html"&gt;</v>
      </c>
      <c r="Y1291"/>
      <c r="AB1291" s="1"/>
      <c r="AC1291" s="1"/>
    </row>
    <row r="1292" spans="1:29" x14ac:dyDescent="0.3">
      <c r="A1292" s="1">
        <f>ROW(CantoralDB[[#This Row],[Título]])-1</f>
        <v>1291</v>
      </c>
      <c r="B1292" s="1" t="s">
        <v>1487</v>
      </c>
      <c r="C1292" s="1"/>
      <c r="H1292" s="1" t="s">
        <v>529</v>
      </c>
      <c r="J1292" s="1" t="s">
        <v>605</v>
      </c>
      <c r="M1292" s="15" t="s">
        <v>483</v>
      </c>
      <c r="N1292" s="1" t="s">
        <v>1487</v>
      </c>
      <c r="O1292" s="15">
        <v>9</v>
      </c>
      <c r="P1292" s="15">
        <v>1987</v>
      </c>
      <c r="Q1292" s="15" t="str" cm="1">
        <f t="array" ref="Q12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2" s="15" t="str" cm="1">
        <f t="array" ref="R12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canciones/kairoi/a_tu_lado_señor.html</v>
      </c>
      <c r="T1292" s="1"/>
      <c r="U1292" s="1"/>
      <c r="V1292" s="32" t="s">
        <v>3719</v>
      </c>
      <c r="W12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href="canciones/kairoi/a_tu_lado_señor.html"&gt;A tu lado, Señor&lt;/a&gt;&lt;/li&gt;</v>
      </c>
      <c r="X1292" s="15" t="str">
        <f>_xlfn.TEXTBEFORE(_xlfn.TEXTAFTER(CantoralDB[[#This Row],[index.html]],"&gt;"),"&gt;")&amp;"&gt;"</f>
        <v>&lt;a href="canciones/kairoi/a_tu_lado_señor.html"&gt;</v>
      </c>
      <c r="Y1292"/>
      <c r="AB1292" s="1"/>
      <c r="AC1292" s="1"/>
    </row>
    <row r="1293" spans="1:29" x14ac:dyDescent="0.3">
      <c r="A1293" s="1">
        <f>ROW(CantoralDB[[#This Row],[Título]])-1</f>
        <v>1292</v>
      </c>
      <c r="B1293" s="1" t="s">
        <v>1569</v>
      </c>
      <c r="C1293" s="1"/>
      <c r="H1293" s="1" t="s">
        <v>529</v>
      </c>
      <c r="J1293" s="1" t="s">
        <v>605</v>
      </c>
      <c r="M1293" s="15" t="s">
        <v>483</v>
      </c>
      <c r="N1293" s="1" t="s">
        <v>1487</v>
      </c>
      <c r="O1293" s="15">
        <v>10</v>
      </c>
      <c r="P1293" s="15">
        <v>1987</v>
      </c>
      <c r="Q1293" s="15" t="str" cm="1">
        <f t="array" ref="Q12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3" s="15" t="str" cm="1">
        <f t="array" ref="R12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canciones/kairoi/canto_de_maria.html</v>
      </c>
      <c r="T1293" s="1"/>
      <c r="U1293" s="1"/>
      <c r="V1293" s="32" t="s">
        <v>3720</v>
      </c>
      <c r="W12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href="canciones/kairoi/canto_de_maria.html"&gt;Canto de María&lt;/a&gt;&lt;/li&gt;</v>
      </c>
      <c r="X1293" s="15" t="str">
        <f>_xlfn.TEXTBEFORE(_xlfn.TEXTAFTER(CantoralDB[[#This Row],[index.html]],"&gt;"),"&gt;")&amp;"&gt;"</f>
        <v>&lt;a href="canciones/kairoi/canto_de_maria.html"&gt;</v>
      </c>
      <c r="Y1293"/>
      <c r="AB1293" s="1"/>
      <c r="AC1293" s="1"/>
    </row>
    <row r="1294" spans="1:29" x14ac:dyDescent="0.3">
      <c r="A1294" s="1">
        <f>ROW(CantoralDB[[#This Row],[Título]])-1</f>
        <v>1293</v>
      </c>
      <c r="B1294" s="1" t="s">
        <v>1570</v>
      </c>
      <c r="C1294" s="1"/>
      <c r="H1294" s="1" t="s">
        <v>1027</v>
      </c>
      <c r="J1294" s="1" t="s">
        <v>605</v>
      </c>
      <c r="M1294" s="15" t="s">
        <v>483</v>
      </c>
      <c r="N1294" s="1" t="s">
        <v>1487</v>
      </c>
      <c r="O1294" s="15">
        <v>11</v>
      </c>
      <c r="P1294" s="15">
        <v>1987</v>
      </c>
      <c r="Q1294" s="15" t="str" cm="1">
        <f t="array" ref="Q12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4" s="15" t="str" cm="1">
        <f t="array" ref="R12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canciones/kairoi/tu_jesus.html</v>
      </c>
      <c r="T1294" s="1"/>
      <c r="U1294" s="1"/>
      <c r="V1294" s="32" t="s">
        <v>3721</v>
      </c>
      <c r="W12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href="canciones/kairoi/tu_jesus.html"&gt;Tú, Jesús&lt;/a&gt;&lt;/li&gt;</v>
      </c>
      <c r="X1294" s="15" t="str">
        <f>_xlfn.TEXTBEFORE(_xlfn.TEXTAFTER(CantoralDB[[#This Row],[index.html]],"&gt;"),"&gt;")&amp;"&gt;"</f>
        <v>&lt;a href="canciones/kairoi/tu_jesus.html"&gt;</v>
      </c>
      <c r="Y1294"/>
      <c r="AB1294" s="1"/>
      <c r="AC1294" s="1"/>
    </row>
    <row r="1295" spans="1:29" x14ac:dyDescent="0.3">
      <c r="A1295" s="1">
        <f>ROW(CantoralDB[[#This Row],[Título]])-1</f>
        <v>1294</v>
      </c>
      <c r="B1295" s="1" t="s">
        <v>1623</v>
      </c>
      <c r="C1295" s="1"/>
      <c r="J1295" s="1"/>
      <c r="M1295" s="15" t="s">
        <v>483</v>
      </c>
      <c r="N1295" s="1" t="s">
        <v>1487</v>
      </c>
      <c r="O1295" s="15">
        <v>12</v>
      </c>
      <c r="P1295" s="15">
        <v>1987</v>
      </c>
      <c r="Q1295" s="15" t="str" cm="1">
        <f t="array" ref="Q12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5" s="15" t="str" cm="1">
        <f t="array" ref="R12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canciones/kairoi/ven_conmigo_amigo.html</v>
      </c>
      <c r="T1295" s="1"/>
      <c r="U1295" s="1"/>
      <c r="V1295" s="32" t="s">
        <v>3722</v>
      </c>
      <c r="W12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href="canciones/kairoi/ven_conmigo_amigo.html"&gt;Ven conmigo, amigo&lt;/a&gt;&lt;/li&gt;</v>
      </c>
      <c r="X1295" s="15" t="str">
        <f>_xlfn.TEXTBEFORE(_xlfn.TEXTAFTER(CantoralDB[[#This Row],[index.html]],"&gt;"),"&gt;")&amp;"&gt;"</f>
        <v>&lt;a href="canciones/kairoi/ven_conmigo_amigo.html"&gt;</v>
      </c>
      <c r="Y1295"/>
      <c r="AB1295" s="1"/>
      <c r="AC1295" s="1"/>
    </row>
    <row r="1296" spans="1:29" x14ac:dyDescent="0.3">
      <c r="A1296" s="1">
        <f>ROW(CantoralDB[[#This Row],[Título]])-1</f>
        <v>1295</v>
      </c>
      <c r="B1296" s="1" t="s">
        <v>1611</v>
      </c>
      <c r="C1296" s="1"/>
      <c r="J1296" s="1"/>
      <c r="M1296" s="15" t="s">
        <v>483</v>
      </c>
      <c r="N1296" s="1" t="s">
        <v>1486</v>
      </c>
      <c r="O1296" s="15">
        <v>1</v>
      </c>
      <c r="P1296" s="15">
        <v>1986</v>
      </c>
      <c r="Q1296" s="15" t="str" cm="1">
        <f t="array" ref="Q12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6" s="15" t="str" cm="1">
        <f t="array" ref="R12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canciones/kairoi/es_tu_amigo_es.html</v>
      </c>
      <c r="T1296" s="1"/>
      <c r="U1296" s="1"/>
      <c r="V1296" s="32" t="s">
        <v>3723</v>
      </c>
      <c r="W12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href="canciones/kairoi/es_tu_amigo_es.html"&gt;Es, tu amigo es&lt;/a&gt;&lt;/li&gt;</v>
      </c>
      <c r="X1296" s="15" t="str">
        <f>_xlfn.TEXTBEFORE(_xlfn.TEXTAFTER(CantoralDB[[#This Row],[index.html]],"&gt;"),"&gt;")&amp;"&gt;"</f>
        <v>&lt;a href="canciones/kairoi/es_tu_amigo_es.html"&gt;</v>
      </c>
      <c r="Y1296"/>
      <c r="AB1296" s="1"/>
      <c r="AC1296" s="1"/>
    </row>
    <row r="1297" spans="1:29" x14ac:dyDescent="0.3">
      <c r="A1297" s="1">
        <f>ROW(CantoralDB[[#This Row],[Título]])-1</f>
        <v>1296</v>
      </c>
      <c r="B1297" s="1" t="s">
        <v>1612</v>
      </c>
      <c r="C1297" s="1"/>
      <c r="J1297" s="1"/>
      <c r="M1297" s="15" t="s">
        <v>483</v>
      </c>
      <c r="N1297" s="1" t="s">
        <v>1486</v>
      </c>
      <c r="O1297" s="15">
        <v>2</v>
      </c>
      <c r="P1297" s="15">
        <v>1986</v>
      </c>
      <c r="Q1297" s="15" t="str" cm="1">
        <f t="array" ref="Q12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7" s="15" t="str" cm="1">
        <f t="array" ref="R12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canciones/kairoi/rock_de_paz.html</v>
      </c>
      <c r="T1297" s="1"/>
      <c r="U1297" s="1"/>
      <c r="V1297" s="32" t="s">
        <v>3724</v>
      </c>
      <c r="W12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href="canciones/kairoi/rock_de_paz.html"&gt;Rock de paz&lt;/a&gt;&lt;/li&gt;</v>
      </c>
      <c r="X1297" s="15" t="str">
        <f>_xlfn.TEXTBEFORE(_xlfn.TEXTAFTER(CantoralDB[[#This Row],[index.html]],"&gt;"),"&gt;")&amp;"&gt;"</f>
        <v>&lt;a href="canciones/kairoi/rock_de_paz.html"&gt;</v>
      </c>
      <c r="Y1297"/>
      <c r="AB1297" s="1"/>
      <c r="AC1297" s="1"/>
    </row>
    <row r="1298" spans="1:29" x14ac:dyDescent="0.3">
      <c r="A1298" s="1">
        <f>ROW(CantoralDB[[#This Row],[Título]])-1</f>
        <v>1297</v>
      </c>
      <c r="B1298" s="1" t="s">
        <v>1486</v>
      </c>
      <c r="C1298" s="1"/>
      <c r="J1298" s="1"/>
      <c r="M1298" s="15" t="s">
        <v>483</v>
      </c>
      <c r="N1298" s="1" t="s">
        <v>1486</v>
      </c>
      <c r="O1298" s="15">
        <v>3</v>
      </c>
      <c r="P1298" s="15">
        <v>1986</v>
      </c>
      <c r="Q1298" s="15" t="str" cm="1">
        <f t="array" ref="Q12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8" s="15" t="str" cm="1">
        <f t="array" ref="R12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canciones/kairoi/amigos.html</v>
      </c>
      <c r="T1298" s="1"/>
      <c r="U1298" s="1"/>
      <c r="V1298" s="32" t="s">
        <v>3725</v>
      </c>
      <c r="W12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href="canciones/kairoi/amigos.html"&gt;Amigos&lt;/a&gt;&lt;/li&gt;</v>
      </c>
      <c r="X1298" s="15" t="str">
        <f>_xlfn.TEXTBEFORE(_xlfn.TEXTAFTER(CantoralDB[[#This Row],[index.html]],"&gt;"),"&gt;")&amp;"&gt;"</f>
        <v>&lt;a href="canciones/kairoi/amigos.html"&gt;</v>
      </c>
      <c r="Y1298"/>
      <c r="AB1298" s="1"/>
      <c r="AC1298" s="1"/>
    </row>
    <row r="1299" spans="1:29" x14ac:dyDescent="0.3">
      <c r="A1299" s="1">
        <f>ROW(CantoralDB[[#This Row],[Título]])-1</f>
        <v>1298</v>
      </c>
      <c r="B1299" s="1" t="s">
        <v>1613</v>
      </c>
      <c r="C1299" s="1"/>
      <c r="J1299" s="1"/>
      <c r="M1299" s="15" t="s">
        <v>483</v>
      </c>
      <c r="N1299" s="1" t="s">
        <v>1486</v>
      </c>
      <c r="O1299" s="15">
        <v>4</v>
      </c>
      <c r="P1299" s="15">
        <v>1986</v>
      </c>
      <c r="Q1299" s="15" t="str" cm="1">
        <f t="array" ref="Q12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299" s="15" t="str" cm="1">
        <f t="array" ref="R12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2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canciones/kairoi/kua_kua_kua.html</v>
      </c>
      <c r="T1299" s="1"/>
      <c r="U1299" s="1"/>
      <c r="V1299" s="32" t="s">
        <v>3726</v>
      </c>
      <c r="W12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href="canciones/kairoi/kua_kua_kua.html"&gt;Kua, kua, kua&lt;/a&gt;&lt;/li&gt;</v>
      </c>
      <c r="X1299" s="15" t="str">
        <f>_xlfn.TEXTBEFORE(_xlfn.TEXTAFTER(CantoralDB[[#This Row],[index.html]],"&gt;"),"&gt;")&amp;"&gt;"</f>
        <v>&lt;a href="canciones/kairoi/kua_kua_kua.html"&gt;</v>
      </c>
      <c r="Y1299"/>
      <c r="AB1299" s="1"/>
      <c r="AC1299" s="1"/>
    </row>
    <row r="1300" spans="1:29" x14ac:dyDescent="0.3">
      <c r="A1300" s="1">
        <f>ROW(CantoralDB[[#This Row],[Título]])-1</f>
        <v>1299</v>
      </c>
      <c r="B1300" s="1" t="s">
        <v>1614</v>
      </c>
      <c r="C1300" s="1"/>
      <c r="J1300" s="1"/>
      <c r="M1300" s="15" t="s">
        <v>483</v>
      </c>
      <c r="N1300" s="1" t="s">
        <v>1486</v>
      </c>
      <c r="O1300" s="15">
        <v>5</v>
      </c>
      <c r="P1300" s="15">
        <v>1986</v>
      </c>
      <c r="Q1300" s="15" t="str" cm="1">
        <f t="array" ref="Q13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0" s="15" t="str" cm="1">
        <f t="array" ref="R13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canciones/kairoi/el_dinosaurio.html</v>
      </c>
      <c r="T1300" s="1"/>
      <c r="U1300" s="1"/>
      <c r="V1300" s="32" t="s">
        <v>3727</v>
      </c>
      <c r="W13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href="canciones/kairoi/el_dinosaurio.html"&gt;El dinosaurio&lt;/a&gt;&lt;/li&gt;</v>
      </c>
      <c r="X1300" s="15" t="str">
        <f>_xlfn.TEXTBEFORE(_xlfn.TEXTAFTER(CantoralDB[[#This Row],[index.html]],"&gt;"),"&gt;")&amp;"&gt;"</f>
        <v>&lt;a href="canciones/kairoi/el_dinosaurio.html"&gt;</v>
      </c>
      <c r="Y1300"/>
      <c r="AB1300" s="1"/>
      <c r="AC1300" s="1"/>
    </row>
    <row r="1301" spans="1:29" x14ac:dyDescent="0.3">
      <c r="A1301" s="1">
        <f>ROW(CantoralDB[[#This Row],[Título]])-1</f>
        <v>1300</v>
      </c>
      <c r="B1301" s="1" t="s">
        <v>1615</v>
      </c>
      <c r="C1301" s="1"/>
      <c r="J1301" s="1"/>
      <c r="M1301" s="15" t="s">
        <v>483</v>
      </c>
      <c r="N1301" s="1" t="s">
        <v>1486</v>
      </c>
      <c r="O1301" s="15">
        <v>6</v>
      </c>
      <c r="P1301" s="15">
        <v>1986</v>
      </c>
      <c r="Q1301" s="15" t="str" cm="1">
        <f t="array" ref="Q13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1" s="15" t="str" cm="1">
        <f t="array" ref="R13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canciones/kairoi/noche_silenciosa.html</v>
      </c>
      <c r="T1301" s="1"/>
      <c r="U1301" s="1"/>
      <c r="V1301" s="32" t="s">
        <v>3728</v>
      </c>
      <c r="W13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href="canciones/kairoi/noche_silenciosa.html"&gt;Noche silenciosa&lt;/a&gt;&lt;/li&gt;</v>
      </c>
      <c r="X1301" s="15" t="str">
        <f>_xlfn.TEXTBEFORE(_xlfn.TEXTAFTER(CantoralDB[[#This Row],[index.html]],"&gt;"),"&gt;")&amp;"&gt;"</f>
        <v>&lt;a href="canciones/kairoi/noche_silenciosa.html"&gt;</v>
      </c>
      <c r="Y1301"/>
      <c r="AB1301" s="1"/>
      <c r="AC1301" s="1"/>
    </row>
    <row r="1302" spans="1:29" x14ac:dyDescent="0.3">
      <c r="A1302" s="1">
        <f>ROW(CantoralDB[[#This Row],[Título]])-1</f>
        <v>1301</v>
      </c>
      <c r="B1302" s="1" t="s">
        <v>1616</v>
      </c>
      <c r="C1302" s="1"/>
      <c r="J1302" s="1"/>
      <c r="M1302" s="15" t="s">
        <v>483</v>
      </c>
      <c r="N1302" s="1" t="s">
        <v>1486</v>
      </c>
      <c r="O1302" s="15">
        <v>7</v>
      </c>
      <c r="P1302" s="15">
        <v>1986</v>
      </c>
      <c r="Q1302" s="15" t="str" cm="1">
        <f t="array" ref="Q13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2" s="15" t="str" cm="1">
        <f t="array" ref="R13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canciones/kairoi/con_los_niños.html</v>
      </c>
      <c r="T1302" s="1"/>
      <c r="U1302" s="1"/>
      <c r="V1302" s="32" t="s">
        <v>3729</v>
      </c>
      <c r="W13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href="canciones/kairoi/con_los_niños.html"&gt;Con los niños&lt;/a&gt;&lt;/li&gt;</v>
      </c>
      <c r="X1302" s="15" t="str">
        <f>_xlfn.TEXTBEFORE(_xlfn.TEXTAFTER(CantoralDB[[#This Row],[index.html]],"&gt;"),"&gt;")&amp;"&gt;"</f>
        <v>&lt;a href="canciones/kairoi/con_los_niños.html"&gt;</v>
      </c>
      <c r="Y1302"/>
      <c r="AB1302" s="1"/>
      <c r="AC1302" s="1"/>
    </row>
    <row r="1303" spans="1:29" x14ac:dyDescent="0.3">
      <c r="A1303" s="1">
        <f>ROW(CantoralDB[[#This Row],[Título]])-1</f>
        <v>1302</v>
      </c>
      <c r="B1303" s="1" t="s">
        <v>1617</v>
      </c>
      <c r="C1303" s="1"/>
      <c r="J1303" s="1"/>
      <c r="M1303" s="15" t="s">
        <v>483</v>
      </c>
      <c r="N1303" s="1" t="s">
        <v>1486</v>
      </c>
      <c r="O1303" s="15">
        <v>8</v>
      </c>
      <c r="P1303" s="15">
        <v>1986</v>
      </c>
      <c r="Q1303" s="15" t="str" cm="1">
        <f t="array" ref="Q13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3" s="15" t="str" cm="1">
        <f t="array" ref="R13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canciones/kairoi/kenee_chineke_nna.html</v>
      </c>
      <c r="T1303" s="1"/>
      <c r="U1303" s="1"/>
      <c r="V1303" s="32" t="s">
        <v>3730</v>
      </c>
      <c r="W13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href="canciones/kairoi/kenee_chineke_nna.html"&gt;Kenee Chineke nna&lt;/a&gt;&lt;/li&gt;</v>
      </c>
      <c r="X1303" s="15" t="str">
        <f>_xlfn.TEXTBEFORE(_xlfn.TEXTAFTER(CantoralDB[[#This Row],[index.html]],"&gt;"),"&gt;")&amp;"&gt;"</f>
        <v>&lt;a href="canciones/kairoi/kenee_chineke_nna.html"&gt;</v>
      </c>
      <c r="Y1303"/>
      <c r="AB1303" s="1"/>
      <c r="AC1303" s="1"/>
    </row>
    <row r="1304" spans="1:29" x14ac:dyDescent="0.3">
      <c r="A1304" s="1">
        <f>ROW(CantoralDB[[#This Row],[Título]])-1</f>
        <v>1303</v>
      </c>
      <c r="B1304" s="1" t="s">
        <v>1618</v>
      </c>
      <c r="C1304" s="1"/>
      <c r="J1304" s="1"/>
      <c r="M1304" s="15" t="s">
        <v>483</v>
      </c>
      <c r="N1304" s="1" t="s">
        <v>1486</v>
      </c>
      <c r="O1304" s="15">
        <v>9</v>
      </c>
      <c r="P1304" s="15">
        <v>1986</v>
      </c>
      <c r="Q1304" s="15" t="str" cm="1">
        <f t="array" ref="Q13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4" s="15" t="str" cm="1">
        <f t="array" ref="R13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canciones/kairoi/al_nacer_el_nuevo_dia.html</v>
      </c>
      <c r="T1304" s="1"/>
      <c r="U1304" s="1"/>
      <c r="V1304" s="32" t="s">
        <v>3731</v>
      </c>
      <c r="W13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href="canciones/kairoi/al_nacer_el_nuevo_dia.html"&gt;Al nacer el nuevo día&lt;/a&gt;&lt;/li&gt;</v>
      </c>
      <c r="X1304" s="15" t="str">
        <f>_xlfn.TEXTBEFORE(_xlfn.TEXTAFTER(CantoralDB[[#This Row],[index.html]],"&gt;"),"&gt;")&amp;"&gt;"</f>
        <v>&lt;a href="canciones/kairoi/al_nacer_el_nuevo_dia.html"&gt;</v>
      </c>
      <c r="Y1304"/>
      <c r="AB1304" s="1"/>
      <c r="AC1304" s="1"/>
    </row>
    <row r="1305" spans="1:29" x14ac:dyDescent="0.3">
      <c r="A1305" s="1">
        <f>ROW(CantoralDB[[#This Row],[Título]])-1</f>
        <v>1304</v>
      </c>
      <c r="B1305" s="1" t="s">
        <v>1619</v>
      </c>
      <c r="C1305" s="1"/>
      <c r="J1305" s="1"/>
      <c r="M1305" s="15" t="s">
        <v>483</v>
      </c>
      <c r="N1305" s="1" t="s">
        <v>1486</v>
      </c>
      <c r="O1305" s="15">
        <v>10</v>
      </c>
      <c r="P1305" s="15">
        <v>1986</v>
      </c>
      <c r="Q1305" s="15" t="str" cm="1">
        <f t="array" ref="Q13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5" s="15" t="str" cm="1">
        <f t="array" ref="R13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canciones/kairoi/ki_ki_ki.html</v>
      </c>
      <c r="T1305" s="1"/>
      <c r="U1305" s="1"/>
      <c r="V1305" s="32" t="s">
        <v>3732</v>
      </c>
      <c r="W13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href="canciones/kairoi/ki_ki_ki.html"&gt;Ki ki ki&lt;/a&gt;&lt;/li&gt;</v>
      </c>
      <c r="X1305" s="15" t="str">
        <f>_xlfn.TEXTBEFORE(_xlfn.TEXTAFTER(CantoralDB[[#This Row],[index.html]],"&gt;"),"&gt;")&amp;"&gt;"</f>
        <v>&lt;a href="canciones/kairoi/ki_ki_ki.html"&gt;</v>
      </c>
      <c r="Y1305"/>
      <c r="AB1305" s="1"/>
      <c r="AC1305" s="1"/>
    </row>
    <row r="1306" spans="1:29" x14ac:dyDescent="0.3">
      <c r="A1306" s="1">
        <f>ROW(CantoralDB[[#This Row],[Título]])-1</f>
        <v>1305</v>
      </c>
      <c r="B1306" s="1" t="s">
        <v>1620</v>
      </c>
      <c r="C1306" s="1"/>
      <c r="J1306" s="1"/>
      <c r="M1306" s="15" t="s">
        <v>483</v>
      </c>
      <c r="N1306" s="1" t="s">
        <v>1486</v>
      </c>
      <c r="O1306" s="15">
        <v>11</v>
      </c>
      <c r="P1306" s="15">
        <v>1986</v>
      </c>
      <c r="Q1306" s="15" t="str" cm="1">
        <f t="array" ref="Q13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6" s="15" t="str" cm="1">
        <f t="array" ref="R13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canciones/kairoi/al_señor_cantad.html</v>
      </c>
      <c r="T1306" s="1"/>
      <c r="U1306" s="1"/>
      <c r="V1306" s="32" t="s">
        <v>3733</v>
      </c>
      <c r="W13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href="canciones/kairoi/al_señor_cantad.html"&gt;Al Señor cantad&lt;/a&gt;&lt;/li&gt;</v>
      </c>
      <c r="X1306" s="15" t="str">
        <f>_xlfn.TEXTBEFORE(_xlfn.TEXTAFTER(CantoralDB[[#This Row],[index.html]],"&gt;"),"&gt;")&amp;"&gt;"</f>
        <v>&lt;a href="canciones/kairoi/al_señor_cantad.html"&gt;</v>
      </c>
      <c r="Y1306"/>
      <c r="AB1306" s="1"/>
      <c r="AC1306" s="1"/>
    </row>
    <row r="1307" spans="1:29" x14ac:dyDescent="0.3">
      <c r="A1307" s="1">
        <f>ROW(CantoralDB[[#This Row],[Título]])-1</f>
        <v>1306</v>
      </c>
      <c r="B1307" s="1" t="s">
        <v>1621</v>
      </c>
      <c r="C1307" s="1"/>
      <c r="J1307" s="1"/>
      <c r="M1307" s="15" t="s">
        <v>483</v>
      </c>
      <c r="N1307" s="1" t="s">
        <v>1486</v>
      </c>
      <c r="O1307" s="15">
        <v>12</v>
      </c>
      <c r="P1307" s="15">
        <v>1986</v>
      </c>
      <c r="Q1307" s="15" t="str" cm="1">
        <f t="array" ref="Q13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7" s="15" t="str" cm="1">
        <f t="array" ref="R13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canciones/kairoi/xerinola.html</v>
      </c>
      <c r="T1307" s="1"/>
      <c r="U1307" s="1"/>
      <c r="V1307" s="32" t="s">
        <v>3734</v>
      </c>
      <c r="W13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href="canciones/kairoi/xerinola.html"&gt;Xerinola&lt;/a&gt;&lt;/li&gt;</v>
      </c>
      <c r="X1307" s="15" t="str">
        <f>_xlfn.TEXTBEFORE(_xlfn.TEXTAFTER(CantoralDB[[#This Row],[index.html]],"&gt;"),"&gt;")&amp;"&gt;"</f>
        <v>&lt;a href="canciones/kairoi/xerinola.html"&gt;</v>
      </c>
      <c r="Y1307"/>
      <c r="AC1307" s="1"/>
    </row>
    <row r="1308" spans="1:29" x14ac:dyDescent="0.3">
      <c r="A1308" s="1">
        <f>ROW(CantoralDB[[#This Row],[Título]])-1</f>
        <v>1307</v>
      </c>
      <c r="B1308" s="1" t="s">
        <v>1664</v>
      </c>
      <c r="C1308" s="1"/>
      <c r="J1308" s="1"/>
      <c r="M1308" s="15" t="s">
        <v>483</v>
      </c>
      <c r="N1308" s="1" t="s">
        <v>1493</v>
      </c>
      <c r="O1308" s="15">
        <v>1</v>
      </c>
      <c r="P1308" s="15">
        <v>1998</v>
      </c>
      <c r="Q1308" s="15" t="str" cm="1">
        <f t="array" ref="Q13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8" s="15" t="str" cm="1">
        <f t="array" ref="R13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canciones/kairoi/testigos_del_señor.html</v>
      </c>
      <c r="T1308" s="1"/>
      <c r="U1308" s="1"/>
      <c r="V1308" s="32" t="s">
        <v>3735</v>
      </c>
      <c r="W13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href="canciones/kairoi/testigos_del_señor.html"&gt;Testigos del Señor&lt;/a&gt;&lt;/li&gt;</v>
      </c>
      <c r="X1308" s="15" t="str">
        <f>_xlfn.TEXTBEFORE(_xlfn.TEXTAFTER(CantoralDB[[#This Row],[index.html]],"&gt;"),"&gt;")&amp;"&gt;"</f>
        <v>&lt;a href="canciones/kairoi/testigos_del_señor.html"&gt;</v>
      </c>
      <c r="Y1308"/>
      <c r="AC1308" s="1"/>
    </row>
    <row r="1309" spans="1:29" x14ac:dyDescent="0.3">
      <c r="A1309" s="1">
        <f>ROW(CantoralDB[[#This Row],[Título]])-1</f>
        <v>1308</v>
      </c>
      <c r="B1309" s="1" t="s">
        <v>1665</v>
      </c>
      <c r="C1309" s="1"/>
      <c r="H1309" s="1" t="s">
        <v>2953</v>
      </c>
      <c r="J1309" s="1" t="s">
        <v>605</v>
      </c>
      <c r="M1309" s="15" t="s">
        <v>483</v>
      </c>
      <c r="N1309" s="1" t="s">
        <v>1493</v>
      </c>
      <c r="O1309" s="15">
        <v>2</v>
      </c>
      <c r="P1309" s="15">
        <v>1998</v>
      </c>
      <c r="Q1309" s="15" t="str" cm="1">
        <f t="array" ref="Q13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09" s="15" t="str" cm="1">
        <f t="array" ref="R13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canciones/kairoi/confianza_en_dios.html</v>
      </c>
      <c r="T1309" s="1"/>
      <c r="U1309" s="1"/>
      <c r="V1309" s="32" t="s">
        <v>3736</v>
      </c>
      <c r="W13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href="canciones/kairoi/confianza_en_dios.html"&gt;Confianza en Dios&lt;/a&gt;&lt;/li&gt;</v>
      </c>
      <c r="X1309" s="15" t="str">
        <f>_xlfn.TEXTBEFORE(_xlfn.TEXTAFTER(CantoralDB[[#This Row],[index.html]],"&gt;"),"&gt;")&amp;"&gt;"</f>
        <v>&lt;a href="canciones/kairoi/confianza_en_dios.html"&gt;</v>
      </c>
      <c r="Y1309"/>
      <c r="AC1309" s="1"/>
    </row>
    <row r="1310" spans="1:29" x14ac:dyDescent="0.3">
      <c r="A1310" s="1">
        <f>ROW(CantoralDB[[#This Row],[Título]])-1</f>
        <v>1309</v>
      </c>
      <c r="B1310" s="1" t="s">
        <v>1666</v>
      </c>
      <c r="C1310" s="1"/>
      <c r="H1310" s="1" t="s">
        <v>1026</v>
      </c>
      <c r="J1310" s="1" t="s">
        <v>605</v>
      </c>
      <c r="M1310" s="15" t="s">
        <v>483</v>
      </c>
      <c r="N1310" s="1" t="s">
        <v>1493</v>
      </c>
      <c r="O1310" s="15">
        <v>3</v>
      </c>
      <c r="P1310" s="15">
        <v>1998</v>
      </c>
      <c r="Q1310" s="15" t="str" cm="1">
        <f t="array" ref="Q13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0" s="15" t="str" cm="1">
        <f t="array" ref="R13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canciones/kairoi/en_la_esperanza_madre.html</v>
      </c>
      <c r="T1310" s="1"/>
      <c r="U1310" s="1"/>
      <c r="V1310" s="32" t="s">
        <v>3737</v>
      </c>
      <c r="W13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href="canciones/kairoi/en_la_esperanza_madre.html"&gt;En la esperanza, Madre&lt;/a&gt;&lt;/li&gt;</v>
      </c>
      <c r="X1310" s="15" t="str">
        <f>_xlfn.TEXTBEFORE(_xlfn.TEXTAFTER(CantoralDB[[#This Row],[index.html]],"&gt;"),"&gt;")&amp;"&gt;"</f>
        <v>&lt;a href="canciones/kairoi/en_la_esperanza_madre.html"&gt;</v>
      </c>
      <c r="Y1310"/>
      <c r="AC1310" s="1"/>
    </row>
    <row r="1311" spans="1:29" x14ac:dyDescent="0.3">
      <c r="A1311" s="1">
        <f>ROW(CantoralDB[[#This Row],[Título]])-1</f>
        <v>1310</v>
      </c>
      <c r="B1311" s="1" t="s">
        <v>1667</v>
      </c>
      <c r="C1311" s="1"/>
      <c r="H1311" s="1" t="s">
        <v>529</v>
      </c>
      <c r="J1311" s="1" t="s">
        <v>605</v>
      </c>
      <c r="M1311" s="15" t="s">
        <v>483</v>
      </c>
      <c r="N1311" s="1" t="s">
        <v>1493</v>
      </c>
      <c r="O1311" s="15">
        <v>4</v>
      </c>
      <c r="P1311" s="15">
        <v>1998</v>
      </c>
      <c r="Q1311" s="15" t="str" cm="1">
        <f t="array" ref="Q13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1" s="15" t="str" cm="1">
        <f t="array" ref="R13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canciones/kairoi/con_sencillo_corazon.html</v>
      </c>
      <c r="T1311" s="1"/>
      <c r="U1311" s="1"/>
      <c r="V1311" s="32" t="s">
        <v>3738</v>
      </c>
      <c r="W13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href="canciones/kairoi/con_sencillo_corazon.html"&gt;Con sencillo corazón&lt;/a&gt;&lt;/li&gt;</v>
      </c>
      <c r="X1311" s="15" t="str">
        <f>_xlfn.TEXTBEFORE(_xlfn.TEXTAFTER(CantoralDB[[#This Row],[index.html]],"&gt;"),"&gt;")&amp;"&gt;"</f>
        <v>&lt;a href="canciones/kairoi/con_sencillo_corazon.html"&gt;</v>
      </c>
      <c r="Y1311"/>
      <c r="AC1311" s="1"/>
    </row>
    <row r="1312" spans="1:29" x14ac:dyDescent="0.3">
      <c r="A1312" s="1">
        <f>ROW(CantoralDB[[#This Row],[Título]])-1</f>
        <v>1311</v>
      </c>
      <c r="B1312" s="1" t="s">
        <v>1668</v>
      </c>
      <c r="C1312" s="1"/>
      <c r="H1312" s="1" t="s">
        <v>1026</v>
      </c>
      <c r="J1312" s="1" t="s">
        <v>605</v>
      </c>
      <c r="M1312" s="15" t="s">
        <v>483</v>
      </c>
      <c r="N1312" s="1" t="s">
        <v>1493</v>
      </c>
      <c r="O1312" s="15">
        <v>5</v>
      </c>
      <c r="P1312" s="15">
        <v>1998</v>
      </c>
      <c r="Q1312" s="15" t="str" cm="1">
        <f t="array" ref="Q13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2" s="15" t="str" cm="1">
        <f t="array" ref="R13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canciones/kairoi/fraternidad.html</v>
      </c>
      <c r="T1312" s="1"/>
      <c r="U1312" s="1"/>
      <c r="V1312" s="32" t="s">
        <v>3739</v>
      </c>
      <c r="W13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href="canciones/kairoi/fraternidad.html"&gt;Fraternidad&lt;/a&gt;&lt;/li&gt;</v>
      </c>
      <c r="X1312" s="15" t="str">
        <f>_xlfn.TEXTBEFORE(_xlfn.TEXTAFTER(CantoralDB[[#This Row],[index.html]],"&gt;"),"&gt;")&amp;"&gt;"</f>
        <v>&lt;a href="canciones/kairoi/fraternidad.html"&gt;</v>
      </c>
      <c r="Y1312"/>
      <c r="AC1312" s="1"/>
    </row>
    <row r="1313" spans="1:29" x14ac:dyDescent="0.3">
      <c r="A1313" s="1">
        <f>ROW(CantoralDB[[#This Row],[Título]])-1</f>
        <v>1312</v>
      </c>
      <c r="B1313" s="1" t="s">
        <v>1669</v>
      </c>
      <c r="C1313" s="1"/>
      <c r="J1313" s="1"/>
      <c r="M1313" s="15" t="s">
        <v>483</v>
      </c>
      <c r="N1313" s="1" t="s">
        <v>1493</v>
      </c>
      <c r="O1313" s="15">
        <v>6</v>
      </c>
      <c r="P1313" s="15">
        <v>1998</v>
      </c>
      <c r="Q1313" s="15" t="str" cm="1">
        <f t="array" ref="Q13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3" s="15" t="str" cm="1">
        <f t="array" ref="R13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canciones/kairoi/teresa_toda.html</v>
      </c>
      <c r="T1313" s="1"/>
      <c r="U1313" s="1"/>
      <c r="V1313" s="32" t="s">
        <v>3740</v>
      </c>
      <c r="W13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href="canciones/kairoi/teresa_toda.html"&gt;Teresa Toda&lt;/a&gt;&lt;/li&gt;</v>
      </c>
      <c r="X1313" s="15" t="str">
        <f>_xlfn.TEXTBEFORE(_xlfn.TEXTAFTER(CantoralDB[[#This Row],[index.html]],"&gt;"),"&gt;")&amp;"&gt;"</f>
        <v>&lt;a href="canciones/kairoi/teresa_toda.html"&gt;</v>
      </c>
      <c r="Y1313"/>
      <c r="AC1313" s="1"/>
    </row>
    <row r="1314" spans="1:29" x14ac:dyDescent="0.3">
      <c r="A1314" s="1">
        <f>ROW(CantoralDB[[#This Row],[Título]])-1</f>
        <v>1313</v>
      </c>
      <c r="B1314" s="1" t="s">
        <v>1670</v>
      </c>
      <c r="C1314" s="1"/>
      <c r="J1314" s="1"/>
      <c r="M1314" s="15" t="s">
        <v>483</v>
      </c>
      <c r="N1314" s="1" t="s">
        <v>1493</v>
      </c>
      <c r="O1314" s="15">
        <v>7</v>
      </c>
      <c r="P1314" s="15">
        <v>1998</v>
      </c>
      <c r="Q1314" s="15" t="str" cm="1">
        <f t="array" ref="Q13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4" s="15" t="str" cm="1">
        <f t="array" ref="R13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canciones/kairoi/pinta_de_luz.html</v>
      </c>
      <c r="T1314" s="1"/>
      <c r="U1314" s="1"/>
      <c r="V1314" s="32" t="s">
        <v>3741</v>
      </c>
      <c r="W13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href="canciones/kairoi/pinta_de_luz.html"&gt;Pinta de luz&lt;/a&gt;&lt;/li&gt;</v>
      </c>
      <c r="X1314" s="15" t="str">
        <f>_xlfn.TEXTBEFORE(_xlfn.TEXTAFTER(CantoralDB[[#This Row],[index.html]],"&gt;"),"&gt;")&amp;"&gt;"</f>
        <v>&lt;a href="canciones/kairoi/pinta_de_luz.html"&gt;</v>
      </c>
      <c r="Y1314"/>
      <c r="AC1314" s="1"/>
    </row>
    <row r="1315" spans="1:29" x14ac:dyDescent="0.3">
      <c r="A1315" s="1">
        <f>ROW(CantoralDB[[#This Row],[Título]])-1</f>
        <v>1314</v>
      </c>
      <c r="B1315" s="1" t="s">
        <v>1671</v>
      </c>
      <c r="C1315" s="1"/>
      <c r="H1315" s="1" t="s">
        <v>1027</v>
      </c>
      <c r="J1315" s="1" t="s">
        <v>605</v>
      </c>
      <c r="M1315" s="15" t="s">
        <v>483</v>
      </c>
      <c r="N1315" s="1" t="s">
        <v>1493</v>
      </c>
      <c r="O1315" s="15">
        <v>8</v>
      </c>
      <c r="P1315" s="15">
        <v>1998</v>
      </c>
      <c r="Q1315" s="15" t="str" cm="1">
        <f t="array" ref="Q13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5" s="15" t="str" cm="1">
        <f t="array" ref="R13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canciones/kairoi/mantas_de_carton.html</v>
      </c>
      <c r="T1315" s="1"/>
      <c r="U1315" s="1"/>
      <c r="V1315" s="32" t="s">
        <v>3742</v>
      </c>
      <c r="W13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href="canciones/kairoi/mantas_de_carton.html"&gt;Mantas de cartón&lt;/a&gt;&lt;/li&gt;</v>
      </c>
      <c r="X1315" s="15" t="str">
        <f>_xlfn.TEXTBEFORE(_xlfn.TEXTAFTER(CantoralDB[[#This Row],[index.html]],"&gt;"),"&gt;")&amp;"&gt;"</f>
        <v>&lt;a href="canciones/kairoi/mantas_de_carton.html"&gt;</v>
      </c>
      <c r="Y1315"/>
      <c r="AC1315" s="1"/>
    </row>
    <row r="1316" spans="1:29" x14ac:dyDescent="0.3">
      <c r="A1316" s="1">
        <f>ROW(CantoralDB[[#This Row],[Título]])-1</f>
        <v>1315</v>
      </c>
      <c r="B1316" s="1" t="s">
        <v>1672</v>
      </c>
      <c r="C1316" s="1"/>
      <c r="H1316" s="1" t="s">
        <v>1026</v>
      </c>
      <c r="J1316" s="1" t="s">
        <v>605</v>
      </c>
      <c r="M1316" s="15" t="s">
        <v>483</v>
      </c>
      <c r="N1316" s="1" t="s">
        <v>1493</v>
      </c>
      <c r="O1316" s="15">
        <v>9</v>
      </c>
      <c r="P1316" s="15">
        <v>1998</v>
      </c>
      <c r="Q1316" s="15" t="str" cm="1">
        <f t="array" ref="Q13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6" s="15" t="str" cm="1">
        <f t="array" ref="R13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canciones/kairoi/soñar_un_mundo_mas_feliz.html</v>
      </c>
      <c r="T1316" s="1"/>
      <c r="U1316" s="1"/>
      <c r="V1316" s="32" t="s">
        <v>3743</v>
      </c>
      <c r="W13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href="canciones/kairoi/soñar_un_mundo_mas_feliz.html"&gt;Soñar un mundo más feliz&lt;/a&gt;&lt;/li&gt;</v>
      </c>
      <c r="X1316" s="15" t="str">
        <f>_xlfn.TEXTBEFORE(_xlfn.TEXTAFTER(CantoralDB[[#This Row],[index.html]],"&gt;"),"&gt;")&amp;"&gt;"</f>
        <v>&lt;a href="canciones/kairoi/soñar_un_mundo_mas_feliz.html"&gt;</v>
      </c>
      <c r="Y1316"/>
      <c r="AC1316" s="1"/>
    </row>
    <row r="1317" spans="1:29" x14ac:dyDescent="0.3">
      <c r="A1317" s="1">
        <f>ROW(CantoralDB[[#This Row],[Título]])-1</f>
        <v>1316</v>
      </c>
      <c r="B1317" s="1" t="s">
        <v>1673</v>
      </c>
      <c r="C1317" s="1"/>
      <c r="J1317" s="1"/>
      <c r="M1317" s="15" t="s">
        <v>483</v>
      </c>
      <c r="N1317" s="1" t="s">
        <v>1493</v>
      </c>
      <c r="O1317" s="15">
        <v>10</v>
      </c>
      <c r="P1317" s="15">
        <v>1998</v>
      </c>
      <c r="Q1317" s="15" t="str" cm="1">
        <f t="array" ref="Q13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7" s="15" t="str" cm="1">
        <f t="array" ref="R13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canciones/kairoi/hacia_la_luz.html</v>
      </c>
      <c r="T1317" s="1"/>
      <c r="U1317" s="1"/>
      <c r="V1317" s="32" t="s">
        <v>3744</v>
      </c>
      <c r="W13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href="canciones/kairoi/hacia_la_luz.html"&gt;Hacia la luz&lt;/a&gt;&lt;/li&gt;</v>
      </c>
      <c r="X1317" s="15" t="str">
        <f>_xlfn.TEXTBEFORE(_xlfn.TEXTAFTER(CantoralDB[[#This Row],[index.html]],"&gt;"),"&gt;")&amp;"&gt;"</f>
        <v>&lt;a href="canciones/kairoi/hacia_la_luz.html"&gt;</v>
      </c>
      <c r="Y1317"/>
      <c r="AC1317" s="1"/>
    </row>
    <row r="1318" spans="1:29" x14ac:dyDescent="0.3">
      <c r="A1318" s="1">
        <f>ROW(CantoralDB[[#This Row],[Título]])-1</f>
        <v>1317</v>
      </c>
      <c r="B1318" s="1" t="s">
        <v>1728</v>
      </c>
      <c r="C1318" s="1"/>
      <c r="J1318" s="1"/>
      <c r="M1318" s="15" t="s">
        <v>483</v>
      </c>
      <c r="N1318" s="1" t="s">
        <v>1500</v>
      </c>
      <c r="O1318" s="15">
        <v>1</v>
      </c>
      <c r="P1318" s="15">
        <v>2010</v>
      </c>
      <c r="Q1318" s="15" t="str" cm="1">
        <f t="array" ref="Q13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8" s="15" t="str" cm="1">
        <f t="array" ref="R13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canciones/kairoi/corazones_nomadas.html</v>
      </c>
      <c r="T1318" s="1"/>
      <c r="U1318" s="1"/>
      <c r="V1318" s="32" t="s">
        <v>3745</v>
      </c>
      <c r="W13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href="canciones/kairoi/corazones_nomadas.html"&gt;Corazones nómadas&lt;/a&gt;&lt;/li&gt;</v>
      </c>
      <c r="X1318" s="15" t="str">
        <f>_xlfn.TEXTBEFORE(_xlfn.TEXTAFTER(CantoralDB[[#This Row],[index.html]],"&gt;"),"&gt;")&amp;"&gt;"</f>
        <v>&lt;a href="canciones/kairoi/corazones_nomadas.html"&gt;</v>
      </c>
      <c r="Y1318"/>
      <c r="AC1318" s="1"/>
    </row>
    <row r="1319" spans="1:29" x14ac:dyDescent="0.3">
      <c r="A1319" s="1">
        <f>ROW(CantoralDB[[#This Row],[Título]])-1</f>
        <v>1318</v>
      </c>
      <c r="B1319" s="1" t="s">
        <v>1729</v>
      </c>
      <c r="C1319" s="1"/>
      <c r="J1319" s="1"/>
      <c r="M1319" s="15" t="s">
        <v>483</v>
      </c>
      <c r="N1319" s="1" t="s">
        <v>1500</v>
      </c>
      <c r="O1319" s="15">
        <v>2</v>
      </c>
      <c r="P1319" s="15">
        <v>2010</v>
      </c>
      <c r="Q1319" s="15" t="str" cm="1">
        <f t="array" ref="Q13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19" s="15" t="str" cm="1">
        <f t="array" ref="R13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canciones/kairoi/de_la_mano.html</v>
      </c>
      <c r="T1319" s="1"/>
      <c r="U1319" s="1"/>
      <c r="V1319" s="32" t="s">
        <v>3746</v>
      </c>
      <c r="W13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href="canciones/kairoi/de_la_mano.html"&gt;De la mano&lt;/a&gt;&lt;/li&gt;</v>
      </c>
      <c r="X1319" s="15" t="str">
        <f>_xlfn.TEXTBEFORE(_xlfn.TEXTAFTER(CantoralDB[[#This Row],[index.html]],"&gt;"),"&gt;")&amp;"&gt;"</f>
        <v>&lt;a href="canciones/kairoi/de_la_mano.html"&gt;</v>
      </c>
      <c r="Y1319"/>
      <c r="AC1319" s="1"/>
    </row>
    <row r="1320" spans="1:29" x14ac:dyDescent="0.3">
      <c r="A1320" s="1">
        <f>ROW(CantoralDB[[#This Row],[Título]])-1</f>
        <v>1319</v>
      </c>
      <c r="B1320" s="1" t="s">
        <v>1730</v>
      </c>
      <c r="C1320" s="1"/>
      <c r="J1320" s="1"/>
      <c r="M1320" s="15" t="s">
        <v>483</v>
      </c>
      <c r="N1320" s="1" t="s">
        <v>1500</v>
      </c>
      <c r="O1320" s="15">
        <v>3</v>
      </c>
      <c r="P1320" s="15">
        <v>2010</v>
      </c>
      <c r="Q1320" s="15" t="str" cm="1">
        <f t="array" ref="Q13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0" s="15" t="str" cm="1">
        <f t="array" ref="R13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canciones/kairoi/plegaria.html</v>
      </c>
      <c r="T1320" s="1"/>
      <c r="U1320" s="1"/>
      <c r="V1320" s="32" t="s">
        <v>3748</v>
      </c>
      <c r="W13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href="canciones/kairoi/plegaria.html"&gt;Plegaria&lt;/a&gt;&lt;/li&gt;</v>
      </c>
      <c r="X1320" s="15" t="str">
        <f>_xlfn.TEXTBEFORE(_xlfn.TEXTAFTER(CantoralDB[[#This Row],[index.html]],"&gt;"),"&gt;")&amp;"&gt;"</f>
        <v>&lt;a href="canciones/kairoi/plegaria.html"&gt;</v>
      </c>
      <c r="Y1320"/>
      <c r="AC1320" s="1"/>
    </row>
    <row r="1321" spans="1:29" x14ac:dyDescent="0.3">
      <c r="A1321" s="1">
        <f>ROW(CantoralDB[[#This Row],[Título]])-1</f>
        <v>1320</v>
      </c>
      <c r="B1321" s="1" t="s">
        <v>1731</v>
      </c>
      <c r="C1321" s="1"/>
      <c r="J1321" s="1"/>
      <c r="M1321" s="15" t="s">
        <v>483</v>
      </c>
      <c r="N1321" s="1" t="s">
        <v>1500</v>
      </c>
      <c r="O1321" s="15">
        <v>4</v>
      </c>
      <c r="P1321" s="15">
        <v>2010</v>
      </c>
      <c r="Q1321" s="15" t="str" cm="1">
        <f t="array" ref="Q13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1" s="15" t="str" cm="1">
        <f t="array" ref="R13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canciones/kairoi/somos_iglesia.html</v>
      </c>
      <c r="T1321" s="1"/>
      <c r="U1321" s="1"/>
      <c r="V1321" s="32" t="s">
        <v>3749</v>
      </c>
      <c r="W13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href="canciones/kairoi/somos_iglesia.html"&gt;Somos Iglesia&lt;/a&gt;&lt;/li&gt;</v>
      </c>
      <c r="X1321" s="15" t="str">
        <f>_xlfn.TEXTBEFORE(_xlfn.TEXTAFTER(CantoralDB[[#This Row],[index.html]],"&gt;"),"&gt;")&amp;"&gt;"</f>
        <v>&lt;a href="canciones/kairoi/somos_iglesia.html"&gt;</v>
      </c>
      <c r="Y1321"/>
      <c r="AC1321" s="1"/>
    </row>
    <row r="1322" spans="1:29" x14ac:dyDescent="0.3">
      <c r="A1322" s="1">
        <f>ROW(CantoralDB[[#This Row],[Título]])-1</f>
        <v>1321</v>
      </c>
      <c r="B1322" s="1" t="s">
        <v>1732</v>
      </c>
      <c r="C1322" s="1"/>
      <c r="J1322" s="1"/>
      <c r="M1322" s="15" t="s">
        <v>483</v>
      </c>
      <c r="N1322" s="1" t="s">
        <v>1500</v>
      </c>
      <c r="O1322" s="15">
        <v>5</v>
      </c>
      <c r="P1322" s="15">
        <v>2010</v>
      </c>
      <c r="Q1322" s="15" t="str" cm="1">
        <f t="array" ref="Q13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2" s="15" t="str" cm="1">
        <f t="array" ref="R13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canciones/kairoi/decir_tu_nombre_maria.html</v>
      </c>
      <c r="T1322" s="1"/>
      <c r="U1322" s="1"/>
      <c r="V1322" s="32" t="s">
        <v>3750</v>
      </c>
      <c r="W13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href="canciones/kairoi/decir_tu_nombre_maria.html"&gt;Decir tu nombre, María&lt;/a&gt;&lt;/li&gt;</v>
      </c>
      <c r="X1322" s="15" t="str">
        <f>_xlfn.TEXTBEFORE(_xlfn.TEXTAFTER(CantoralDB[[#This Row],[index.html]],"&gt;"),"&gt;")&amp;"&gt;"</f>
        <v>&lt;a href="canciones/kairoi/decir_tu_nombre_maria.html"&gt;</v>
      </c>
      <c r="Y1322"/>
      <c r="AC1322" s="1"/>
    </row>
    <row r="1323" spans="1:29" x14ac:dyDescent="0.3">
      <c r="A1323" s="1">
        <f>ROW(CantoralDB[[#This Row],[Título]])-1</f>
        <v>1322</v>
      </c>
      <c r="B1323" s="1" t="s">
        <v>1733</v>
      </c>
      <c r="C1323" s="1"/>
      <c r="J1323" s="1"/>
      <c r="M1323" s="15" t="s">
        <v>483</v>
      </c>
      <c r="N1323" s="1" t="s">
        <v>1500</v>
      </c>
      <c r="O1323" s="15">
        <v>6</v>
      </c>
      <c r="P1323" s="15">
        <v>2010</v>
      </c>
      <c r="Q1323" s="15" t="str" cm="1">
        <f t="array" ref="Q13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3" s="15" t="str" cm="1">
        <f t="array" ref="R13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canciones/kairoi/rebosando_nombres.html</v>
      </c>
      <c r="T1323" s="1"/>
      <c r="U1323" s="1"/>
      <c r="V1323" s="32" t="s">
        <v>3751</v>
      </c>
      <c r="W13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href="canciones/kairoi/rebosando_nombres.html"&gt;Rebosando nombres&lt;/a&gt;&lt;/li&gt;</v>
      </c>
      <c r="X1323" s="15" t="str">
        <f>_xlfn.TEXTBEFORE(_xlfn.TEXTAFTER(CantoralDB[[#This Row],[index.html]],"&gt;"),"&gt;")&amp;"&gt;"</f>
        <v>&lt;a href="canciones/kairoi/rebosando_nombres.html"&gt;</v>
      </c>
      <c r="Y1323"/>
      <c r="AC1323" s="1"/>
    </row>
    <row r="1324" spans="1:29" x14ac:dyDescent="0.3">
      <c r="A1324" s="1">
        <f>ROW(CantoralDB[[#This Row],[Título]])-1</f>
        <v>1323</v>
      </c>
      <c r="B1324" s="1" t="s">
        <v>1734</v>
      </c>
      <c r="C1324" s="1"/>
      <c r="J1324" s="1"/>
      <c r="M1324" s="15" t="s">
        <v>483</v>
      </c>
      <c r="N1324" s="1" t="s">
        <v>1500</v>
      </c>
      <c r="O1324" s="15">
        <v>7</v>
      </c>
      <c r="P1324" s="15">
        <v>2010</v>
      </c>
      <c r="Q1324" s="15" t="str" cm="1">
        <f t="array" ref="Q13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4" s="15" t="str" cm="1">
        <f t="array" ref="R13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canciones/kairoi/perdona_que_te_lo_diga.html</v>
      </c>
      <c r="T1324" s="1"/>
      <c r="U1324" s="1"/>
      <c r="V1324" s="32" t="s">
        <v>3752</v>
      </c>
      <c r="W13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href="canciones/kairoi/perdona_que_te_lo_diga.html"&gt;Perdona que te lo diga&lt;/a&gt;&lt;/li&gt;</v>
      </c>
      <c r="X1324" s="15" t="str">
        <f>_xlfn.TEXTBEFORE(_xlfn.TEXTAFTER(CantoralDB[[#This Row],[index.html]],"&gt;"),"&gt;")&amp;"&gt;"</f>
        <v>&lt;a href="canciones/kairoi/perdona_que_te_lo_diga.html"&gt;</v>
      </c>
      <c r="Y1324"/>
      <c r="AC1324" s="1"/>
    </row>
    <row r="1325" spans="1:29" x14ac:dyDescent="0.3">
      <c r="A1325" s="1">
        <f>ROW(CantoralDB[[#This Row],[Título]])-1</f>
        <v>1324</v>
      </c>
      <c r="B1325" s="1" t="s">
        <v>1735</v>
      </c>
      <c r="C1325" s="1"/>
      <c r="J1325" s="1"/>
      <c r="M1325" s="15" t="s">
        <v>483</v>
      </c>
      <c r="N1325" s="1" t="s">
        <v>1500</v>
      </c>
      <c r="O1325" s="15">
        <v>8</v>
      </c>
      <c r="P1325" s="15">
        <v>2010</v>
      </c>
      <c r="Q1325" s="15" t="str" cm="1">
        <f t="array" ref="Q13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5" s="15" t="str" cm="1">
        <f t="array" ref="R13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canciones/kairoi/padre_del_hombre.html</v>
      </c>
      <c r="T1325" s="1"/>
      <c r="U1325" s="1"/>
      <c r="V1325" s="32" t="s">
        <v>3753</v>
      </c>
      <c r="W13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href="canciones/kairoi/padre_del_hombre.html"&gt;Padre del hombre&lt;/a&gt;&lt;/li&gt;</v>
      </c>
      <c r="X1325" s="15" t="str">
        <f>_xlfn.TEXTBEFORE(_xlfn.TEXTAFTER(CantoralDB[[#This Row],[index.html]],"&gt;"),"&gt;")&amp;"&gt;"</f>
        <v>&lt;a href="canciones/kairoi/padre_del_hombre.html"&gt;</v>
      </c>
      <c r="Y1325"/>
      <c r="AC1325" s="1"/>
    </row>
    <row r="1326" spans="1:29" x14ac:dyDescent="0.3">
      <c r="A1326" s="1">
        <f>ROW(CantoralDB[[#This Row],[Título]])-1</f>
        <v>1325</v>
      </c>
      <c r="B1326" s="1" t="s">
        <v>1736</v>
      </c>
      <c r="C1326" s="1"/>
      <c r="J1326" s="1"/>
      <c r="M1326" s="15" t="s">
        <v>483</v>
      </c>
      <c r="N1326" s="1" t="s">
        <v>1500</v>
      </c>
      <c r="O1326" s="15">
        <v>9</v>
      </c>
      <c r="P1326" s="15">
        <v>2010</v>
      </c>
      <c r="Q1326" s="15" t="str" cm="1">
        <f t="array" ref="Q13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6" s="15" t="str" cm="1">
        <f t="array" ref="R13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canciones/kairoi/marcelino.html</v>
      </c>
      <c r="T1326" s="1"/>
      <c r="U1326" s="1"/>
      <c r="V1326" s="32" t="s">
        <v>3754</v>
      </c>
      <c r="W13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href="canciones/kairoi/marcelino.html"&gt;Marcelino&lt;/a&gt;&lt;/li&gt;</v>
      </c>
      <c r="X1326" s="15" t="str">
        <f>_xlfn.TEXTBEFORE(_xlfn.TEXTAFTER(CantoralDB[[#This Row],[index.html]],"&gt;"),"&gt;")&amp;"&gt;"</f>
        <v>&lt;a href="canciones/kairoi/marcelino.html"&gt;</v>
      </c>
      <c r="Y1326"/>
      <c r="AC1326" s="1"/>
    </row>
    <row r="1327" spans="1:29" x14ac:dyDescent="0.3">
      <c r="A1327" s="1">
        <f>ROW(CantoralDB[[#This Row],[Título]])-1</f>
        <v>1326</v>
      </c>
      <c r="B1327" s="1" t="s">
        <v>1737</v>
      </c>
      <c r="C1327" s="1"/>
      <c r="J1327" s="1"/>
      <c r="M1327" s="15" t="s">
        <v>483</v>
      </c>
      <c r="N1327" s="1" t="s">
        <v>1500</v>
      </c>
      <c r="O1327" s="15">
        <v>10</v>
      </c>
      <c r="P1327" s="15">
        <v>2010</v>
      </c>
      <c r="Q1327" s="15" t="str" cm="1">
        <f t="array" ref="Q13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7" s="15" t="str" cm="1">
        <f t="array" ref="R13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canciones/kairoi/siento_tu_dolor.html</v>
      </c>
      <c r="T1327" s="1"/>
      <c r="U1327" s="1"/>
      <c r="V1327" s="32" t="s">
        <v>3755</v>
      </c>
      <c r="W13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href="canciones/kairoi/siento_tu_dolor.html"&gt;Siento tu dolor&lt;/a&gt;&lt;/li&gt;</v>
      </c>
      <c r="X1327" s="15" t="str">
        <f>_xlfn.TEXTBEFORE(_xlfn.TEXTAFTER(CantoralDB[[#This Row],[index.html]],"&gt;"),"&gt;")&amp;"&gt;"</f>
        <v>&lt;a href="canciones/kairoi/siento_tu_dolor.html"&gt;</v>
      </c>
      <c r="Y1327"/>
      <c r="AC1327" s="1"/>
    </row>
    <row r="1328" spans="1:29" x14ac:dyDescent="0.3">
      <c r="A1328" s="1">
        <f>ROW(CantoralDB[[#This Row],[Título]])-1</f>
        <v>1327</v>
      </c>
      <c r="B1328" s="1" t="s">
        <v>1738</v>
      </c>
      <c r="C1328" s="1"/>
      <c r="J1328" s="1"/>
      <c r="M1328" s="15" t="s">
        <v>483</v>
      </c>
      <c r="N1328" s="1" t="s">
        <v>1500</v>
      </c>
      <c r="O1328" s="15">
        <v>11</v>
      </c>
      <c r="P1328" s="15">
        <v>2010</v>
      </c>
      <c r="Q1328" s="15" t="str" cm="1">
        <f t="array" ref="Q13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8" s="15" t="str" cm="1">
        <f t="array" ref="R13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canciones/kairoi/si_yo_cambiara.html</v>
      </c>
      <c r="T1328" s="1"/>
      <c r="U1328" s="1"/>
      <c r="V1328" s="32" t="s">
        <v>3756</v>
      </c>
      <c r="W13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href="canciones/kairoi/si_yo_cambiara.html"&gt;Si yo cambiara&lt;/a&gt;&lt;/li&gt;</v>
      </c>
      <c r="X1328" s="15" t="str">
        <f>_xlfn.TEXTBEFORE(_xlfn.TEXTAFTER(CantoralDB[[#This Row],[index.html]],"&gt;"),"&gt;")&amp;"&gt;"</f>
        <v>&lt;a href="canciones/kairoi/si_yo_cambiara.html"&gt;</v>
      </c>
      <c r="Y1328"/>
      <c r="AC1328" s="1"/>
    </row>
    <row r="1329" spans="1:29" x14ac:dyDescent="0.3">
      <c r="A1329" s="1">
        <f>ROW(CantoralDB[[#This Row],[Título]])-1</f>
        <v>1328</v>
      </c>
      <c r="B1329" s="1" t="s">
        <v>3747</v>
      </c>
      <c r="C1329" s="1"/>
      <c r="J1329" s="1"/>
      <c r="M1329" s="15" t="s">
        <v>483</v>
      </c>
      <c r="N1329" s="1" t="s">
        <v>1500</v>
      </c>
      <c r="O1329" s="15">
        <v>12</v>
      </c>
      <c r="P1329" s="15">
        <v>2010</v>
      </c>
      <c r="Q1329" s="15" t="str" cm="1">
        <f t="array" ref="Q13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29" s="15" t="str" cm="1">
        <f t="array" ref="R13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canciones/kairoi/no_pasa_nada.html</v>
      </c>
      <c r="T1329" s="1"/>
      <c r="U1329" s="1"/>
      <c r="V1329" s="32" t="s">
        <v>3757</v>
      </c>
      <c r="W13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href="canciones/kairoi/no_pasa_nada.html"&gt;No pasa nada&lt;/a&gt;&lt;/li&gt;</v>
      </c>
      <c r="X1329" s="15" t="str">
        <f>_xlfn.TEXTBEFORE(_xlfn.TEXTAFTER(CantoralDB[[#This Row],[index.html]],"&gt;"),"&gt;")&amp;"&gt;"</f>
        <v>&lt;a href="canciones/kairoi/no_pasa_nada.html"&gt;</v>
      </c>
      <c r="Y1329"/>
      <c r="AC1329" s="1"/>
    </row>
    <row r="1330" spans="1:29" x14ac:dyDescent="0.3">
      <c r="A1330" s="1">
        <f>ROW(CantoralDB[[#This Row],[Título]])-1</f>
        <v>1329</v>
      </c>
      <c r="B1330" s="1" t="s">
        <v>1715</v>
      </c>
      <c r="C1330" s="1"/>
      <c r="J1330" s="1"/>
      <c r="M1330" s="15" t="s">
        <v>483</v>
      </c>
      <c r="N1330" s="1" t="s">
        <v>1499</v>
      </c>
      <c r="O1330" s="15">
        <v>1</v>
      </c>
      <c r="P1330" s="15">
        <v>2004</v>
      </c>
      <c r="Q1330" s="15" t="str" cm="1">
        <f t="array" ref="Q13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0" s="15" t="str" cm="1">
        <f t="array" ref="R13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canciones/kairoi/mundo_de_ensueño.html</v>
      </c>
      <c r="T1330" s="1"/>
      <c r="U1330" s="1"/>
      <c r="V1330" s="32" t="s">
        <v>3758</v>
      </c>
      <c r="W13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href="canciones/kairoi/mundo_de_ensueño.html"&gt;Mundo de ensueño&lt;/a&gt;&lt;/li&gt;</v>
      </c>
      <c r="X1330" s="15" t="str">
        <f>_xlfn.TEXTBEFORE(_xlfn.TEXTAFTER(CantoralDB[[#This Row],[index.html]],"&gt;"),"&gt;")&amp;"&gt;"</f>
        <v>&lt;a href="canciones/kairoi/mundo_de_ensueño.html"&gt;</v>
      </c>
      <c r="Y1330"/>
      <c r="AC1330" s="1"/>
    </row>
    <row r="1331" spans="1:29" x14ac:dyDescent="0.3">
      <c r="A1331" s="1">
        <f>ROW(CantoralDB[[#This Row],[Título]])-1</f>
        <v>1330</v>
      </c>
      <c r="B1331" s="1" t="s">
        <v>1716</v>
      </c>
      <c r="C1331" s="1"/>
      <c r="J1331" s="1"/>
      <c r="M1331" s="15" t="s">
        <v>483</v>
      </c>
      <c r="N1331" s="1" t="s">
        <v>1499</v>
      </c>
      <c r="O1331" s="15">
        <v>2</v>
      </c>
      <c r="P1331" s="15">
        <v>2004</v>
      </c>
      <c r="Q1331" s="15" t="str" cm="1">
        <f t="array" ref="Q13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1" s="15" t="str" cm="1">
        <f t="array" ref="R13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canciones/kairoi/tras_el_cristal.html</v>
      </c>
      <c r="T1331" s="1"/>
      <c r="U1331" s="1"/>
      <c r="V1331" s="32" t="s">
        <v>3759</v>
      </c>
      <c r="W13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href="canciones/kairoi/tras_el_cristal.html"&gt;Tras el cristal&lt;/a&gt;&lt;/li&gt;</v>
      </c>
      <c r="X1331" s="15" t="str">
        <f>_xlfn.TEXTBEFORE(_xlfn.TEXTAFTER(CantoralDB[[#This Row],[index.html]],"&gt;"),"&gt;")&amp;"&gt;"</f>
        <v>&lt;a href="canciones/kairoi/tras_el_cristal.html"&gt;</v>
      </c>
      <c r="Y1331"/>
      <c r="AC1331" s="1"/>
    </row>
    <row r="1332" spans="1:29" x14ac:dyDescent="0.3">
      <c r="A1332" s="1">
        <f>ROW(CantoralDB[[#This Row],[Título]])-1</f>
        <v>1331</v>
      </c>
      <c r="B1332" s="1" t="s">
        <v>1717</v>
      </c>
      <c r="C1332" s="1"/>
      <c r="J1332" s="1"/>
      <c r="M1332" s="15" t="s">
        <v>483</v>
      </c>
      <c r="N1332" s="1" t="s">
        <v>1499</v>
      </c>
      <c r="O1332" s="15">
        <v>3</v>
      </c>
      <c r="P1332" s="15">
        <v>2004</v>
      </c>
      <c r="Q1332" s="15" t="str" cm="1">
        <f t="array" ref="Q13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2" s="15" t="str" cm="1">
        <f t="array" ref="R13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canciones/kairoi/carta_a_un_general.html</v>
      </c>
      <c r="T1332" s="1"/>
      <c r="U1332" s="1"/>
      <c r="V1332" s="32" t="s">
        <v>3760</v>
      </c>
      <c r="W13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href="canciones/kairoi/carta_a_un_general.html"&gt;Carta a un general&lt;/a&gt;&lt;/li&gt;</v>
      </c>
      <c r="X1332" s="15" t="str">
        <f>_xlfn.TEXTBEFORE(_xlfn.TEXTAFTER(CantoralDB[[#This Row],[index.html]],"&gt;"),"&gt;")&amp;"&gt;"</f>
        <v>&lt;a href="canciones/kairoi/carta_a_un_general.html"&gt;</v>
      </c>
      <c r="Y1332"/>
      <c r="AC1332" s="1"/>
    </row>
    <row r="1333" spans="1:29" x14ac:dyDescent="0.3">
      <c r="A1333" s="1">
        <f>ROW(CantoralDB[[#This Row],[Título]])-1</f>
        <v>1332</v>
      </c>
      <c r="B1333" s="1" t="s">
        <v>1718</v>
      </c>
      <c r="C1333" s="1"/>
      <c r="J1333" s="1"/>
      <c r="M1333" s="15" t="s">
        <v>483</v>
      </c>
      <c r="N1333" s="1" t="s">
        <v>1499</v>
      </c>
      <c r="O1333" s="15">
        <v>4</v>
      </c>
      <c r="P1333" s="15">
        <v>2004</v>
      </c>
      <c r="Q1333" s="15" t="str" cm="1">
        <f t="array" ref="Q13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3" s="15" t="str" cm="1">
        <f t="array" ref="R13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canciones/kairoi/un_gesto.html</v>
      </c>
      <c r="T1333" s="1"/>
      <c r="U1333" s="1"/>
      <c r="V1333" s="32" t="s">
        <v>3761</v>
      </c>
      <c r="W13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href="canciones/kairoi/un_gesto.html"&gt;Un gesto&lt;/a&gt;&lt;/li&gt;</v>
      </c>
      <c r="X1333" s="15" t="str">
        <f>_xlfn.TEXTBEFORE(_xlfn.TEXTAFTER(CantoralDB[[#This Row],[index.html]],"&gt;"),"&gt;")&amp;"&gt;"</f>
        <v>&lt;a href="canciones/kairoi/un_gesto.html"&gt;</v>
      </c>
      <c r="Y1333"/>
      <c r="AC1333" s="1"/>
    </row>
    <row r="1334" spans="1:29" x14ac:dyDescent="0.3">
      <c r="A1334" s="1">
        <f>ROW(CantoralDB[[#This Row],[Título]])-1</f>
        <v>1333</v>
      </c>
      <c r="B1334" s="1" t="s">
        <v>1719</v>
      </c>
      <c r="C1334" s="1"/>
      <c r="J1334" s="1"/>
      <c r="M1334" s="15" t="s">
        <v>483</v>
      </c>
      <c r="N1334" s="1" t="s">
        <v>1499</v>
      </c>
      <c r="O1334" s="15">
        <v>5</v>
      </c>
      <c r="P1334" s="15">
        <v>2004</v>
      </c>
      <c r="Q1334" s="15" t="str" cm="1">
        <f t="array" ref="Q13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4" s="15" t="str" cm="1">
        <f t="array" ref="R13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canciones/kairoi/angel.html</v>
      </c>
      <c r="T1334" s="1"/>
      <c r="U1334" s="1"/>
      <c r="V1334" s="32" t="s">
        <v>3762</v>
      </c>
      <c r="W13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href="canciones/kairoi/angel.html"&gt;Ángel&lt;/a&gt;&lt;/li&gt;</v>
      </c>
      <c r="X1334" s="15" t="str">
        <f>_xlfn.TEXTBEFORE(_xlfn.TEXTAFTER(CantoralDB[[#This Row],[index.html]],"&gt;"),"&gt;")&amp;"&gt;"</f>
        <v>&lt;a href="canciones/kairoi/angel.html"&gt;</v>
      </c>
      <c r="Y1334"/>
      <c r="AC1334" s="1"/>
    </row>
    <row r="1335" spans="1:29" x14ac:dyDescent="0.3">
      <c r="A1335" s="1">
        <f>ROW(CantoralDB[[#This Row],[Título]])-1</f>
        <v>1334</v>
      </c>
      <c r="B1335" s="1" t="s">
        <v>1720</v>
      </c>
      <c r="C1335" s="1"/>
      <c r="J1335" s="1"/>
      <c r="M1335" s="15" t="s">
        <v>483</v>
      </c>
      <c r="N1335" s="1" t="s">
        <v>1499</v>
      </c>
      <c r="O1335" s="15">
        <v>6</v>
      </c>
      <c r="P1335" s="15">
        <v>2004</v>
      </c>
      <c r="Q1335" s="15" t="str" cm="1">
        <f t="array" ref="Q13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5" s="15" t="str" cm="1">
        <f t="array" ref="R13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canciones/kairoi/scaramouche.html</v>
      </c>
      <c r="T1335" s="1"/>
      <c r="U1335" s="1"/>
      <c r="V1335" s="32" t="s">
        <v>3763</v>
      </c>
      <c r="W13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href="canciones/kairoi/scaramouche.html"&gt;Scaramouche&lt;/a&gt;&lt;/li&gt;</v>
      </c>
      <c r="X1335" s="15" t="str">
        <f>_xlfn.TEXTBEFORE(_xlfn.TEXTAFTER(CantoralDB[[#This Row],[index.html]],"&gt;"),"&gt;")&amp;"&gt;"</f>
        <v>&lt;a href="canciones/kairoi/scaramouche.html"&gt;</v>
      </c>
      <c r="Y1335"/>
      <c r="AC1335" s="1"/>
    </row>
    <row r="1336" spans="1:29" x14ac:dyDescent="0.3">
      <c r="A1336" s="1">
        <f>ROW(CantoralDB[[#This Row],[Título]])-1</f>
        <v>1335</v>
      </c>
      <c r="B1336" s="1" t="s">
        <v>1722</v>
      </c>
      <c r="C1336" s="1"/>
      <c r="J1336" s="1"/>
      <c r="M1336" s="15" t="s">
        <v>483</v>
      </c>
      <c r="N1336" s="1" t="s">
        <v>1499</v>
      </c>
      <c r="O1336" s="15">
        <v>8</v>
      </c>
      <c r="P1336" s="15">
        <v>2004</v>
      </c>
      <c r="Q1336" s="15" t="str" cm="1">
        <f t="array" ref="Q13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6" s="15" t="str" cm="1">
        <f t="array" ref="R13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canciones/kairoi/en_que_mundo_vives.html</v>
      </c>
      <c r="T1336" s="1"/>
      <c r="U1336" s="1"/>
      <c r="V1336" s="32" t="s">
        <v>3764</v>
      </c>
      <c r="W13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href="canciones/kairoi/en_que_mundo_vives.html"&gt;En qué mundo vives&lt;/a&gt;&lt;/li&gt;</v>
      </c>
      <c r="X1336" s="15" t="str">
        <f>_xlfn.TEXTBEFORE(_xlfn.TEXTAFTER(CantoralDB[[#This Row],[index.html]],"&gt;"),"&gt;")&amp;"&gt;"</f>
        <v>&lt;a href="canciones/kairoi/en_que_mundo_vives.html"&gt;</v>
      </c>
      <c r="Y1336"/>
      <c r="AC1336" s="1"/>
    </row>
    <row r="1337" spans="1:29" x14ac:dyDescent="0.3">
      <c r="A1337" s="1">
        <f>ROW(CantoralDB[[#This Row],[Título]])-1</f>
        <v>1336</v>
      </c>
      <c r="B1337" s="1" t="s">
        <v>1723</v>
      </c>
      <c r="C1337" s="1"/>
      <c r="J1337" s="1"/>
      <c r="M1337" s="15" t="s">
        <v>483</v>
      </c>
      <c r="N1337" s="1" t="s">
        <v>1499</v>
      </c>
      <c r="O1337" s="15">
        <v>9</v>
      </c>
      <c r="P1337" s="15">
        <v>2004</v>
      </c>
      <c r="Q1337" s="15" t="str" cm="1">
        <f t="array" ref="Q13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7" s="15" t="str" cm="1">
        <f t="array" ref="R13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canciones/kairoi/una_iglesia_de_excluidos.html</v>
      </c>
      <c r="T1337" s="1"/>
      <c r="U1337" s="1"/>
      <c r="V1337" s="32" t="s">
        <v>3765</v>
      </c>
      <c r="W13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href="canciones/kairoi/una_iglesia_de_excluidos.html"&gt;Una iglesia de excluidos&lt;/a&gt;&lt;/li&gt;</v>
      </c>
      <c r="X1337" s="15" t="str">
        <f>_xlfn.TEXTBEFORE(_xlfn.TEXTAFTER(CantoralDB[[#This Row],[index.html]],"&gt;"),"&gt;")&amp;"&gt;"</f>
        <v>&lt;a href="canciones/kairoi/una_iglesia_de_excluidos.html"&gt;</v>
      </c>
      <c r="Y1337"/>
      <c r="AC1337" s="1"/>
    </row>
    <row r="1338" spans="1:29" x14ac:dyDescent="0.3">
      <c r="A1338" s="1">
        <f>ROW(CantoralDB[[#This Row],[Título]])-1</f>
        <v>1337</v>
      </c>
      <c r="B1338" s="1" t="s">
        <v>1724</v>
      </c>
      <c r="C1338" s="1"/>
      <c r="J1338" s="1"/>
      <c r="M1338" s="15" t="s">
        <v>483</v>
      </c>
      <c r="N1338" s="1" t="s">
        <v>1499</v>
      </c>
      <c r="O1338" s="15">
        <v>10</v>
      </c>
      <c r="P1338" s="15">
        <v>2004</v>
      </c>
      <c r="Q1338" s="15" t="str" cm="1">
        <f t="array" ref="Q13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8" s="15" t="str" cm="1">
        <f t="array" ref="R13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canciones/kairoi/un_dios_que_huele.html</v>
      </c>
      <c r="T1338" s="1"/>
      <c r="U1338" s="1"/>
      <c r="V1338" s="32" t="s">
        <v>3766</v>
      </c>
      <c r="W13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href="canciones/kairoi/un_dios_que_huele.html"&gt;Un Dios que huele&lt;/a&gt;&lt;/li&gt;</v>
      </c>
      <c r="X1338" s="15" t="str">
        <f>_xlfn.TEXTBEFORE(_xlfn.TEXTAFTER(CantoralDB[[#This Row],[index.html]],"&gt;"),"&gt;")&amp;"&gt;"</f>
        <v>&lt;a href="canciones/kairoi/un_dios_que_huele.html"&gt;</v>
      </c>
      <c r="Y1338"/>
      <c r="AC1338" s="1"/>
    </row>
    <row r="1339" spans="1:29" x14ac:dyDescent="0.3">
      <c r="A1339" s="1">
        <f>ROW(CantoralDB[[#This Row],[Título]])-1</f>
        <v>1338</v>
      </c>
      <c r="B1339" s="1" t="s">
        <v>1725</v>
      </c>
      <c r="C1339" s="1"/>
      <c r="J1339" s="1"/>
      <c r="M1339" s="15" t="s">
        <v>483</v>
      </c>
      <c r="N1339" s="1" t="s">
        <v>1499</v>
      </c>
      <c r="O1339" s="15">
        <v>11</v>
      </c>
      <c r="P1339" s="15">
        <v>2004</v>
      </c>
      <c r="Q1339" s="15" t="str" cm="1">
        <f t="array" ref="Q13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39" s="15" t="str" cm="1">
        <f t="array" ref="R13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canciones/kairoi/a_su_imagen_y_semejanza.html</v>
      </c>
      <c r="T1339" s="1"/>
      <c r="U1339" s="1"/>
      <c r="V1339" s="32" t="s">
        <v>3767</v>
      </c>
      <c r="W13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href="canciones/kairoi/a_su_imagen_y_semejanza.html"&gt;A su imagen y semejanza&lt;/a&gt;&lt;/li&gt;</v>
      </c>
      <c r="X1339" s="15" t="str">
        <f>_xlfn.TEXTBEFORE(_xlfn.TEXTAFTER(CantoralDB[[#This Row],[index.html]],"&gt;"),"&gt;")&amp;"&gt;"</f>
        <v>&lt;a href="canciones/kairoi/a_su_imagen_y_semejanza.html"&gt;</v>
      </c>
      <c r="Y1339"/>
      <c r="AC1339" s="1"/>
    </row>
    <row r="1340" spans="1:29" x14ac:dyDescent="0.3">
      <c r="A1340" s="1">
        <f>ROW(CantoralDB[[#This Row],[Título]])-1</f>
        <v>1339</v>
      </c>
      <c r="B1340" s="1" t="s">
        <v>1726</v>
      </c>
      <c r="C1340" s="1"/>
      <c r="J1340" s="1"/>
      <c r="M1340" s="15" t="s">
        <v>483</v>
      </c>
      <c r="N1340" s="1" t="s">
        <v>1499</v>
      </c>
      <c r="O1340" s="15">
        <v>12</v>
      </c>
      <c r="P1340" s="15">
        <v>2004</v>
      </c>
      <c r="Q1340" s="15" t="str" cm="1">
        <f t="array" ref="Q13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0" s="15" t="str" cm="1">
        <f t="array" ref="R13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canciones/kairoi/ante_el_espejo.html</v>
      </c>
      <c r="T1340" s="1"/>
      <c r="U1340" s="1"/>
      <c r="V1340" s="32" t="s">
        <v>3768</v>
      </c>
      <c r="W13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href="canciones/kairoi/ante_el_espejo.html"&gt;Ante el espejo&lt;/a&gt;&lt;/li&gt;</v>
      </c>
      <c r="X1340" s="15" t="str">
        <f>_xlfn.TEXTBEFORE(_xlfn.TEXTAFTER(CantoralDB[[#This Row],[index.html]],"&gt;"),"&gt;")&amp;"&gt;"</f>
        <v>&lt;a href="canciones/kairoi/ante_el_espejo.html"&gt;</v>
      </c>
      <c r="Y1340"/>
      <c r="AC1340" s="1"/>
    </row>
    <row r="1341" spans="1:29" x14ac:dyDescent="0.3">
      <c r="A1341" s="1">
        <f>ROW(CantoralDB[[#This Row],[Título]])-1</f>
        <v>1340</v>
      </c>
      <c r="B1341" s="1" t="s">
        <v>1727</v>
      </c>
      <c r="C1341" s="1"/>
      <c r="J1341" s="1"/>
      <c r="M1341" s="15" t="s">
        <v>483</v>
      </c>
      <c r="N1341" s="1" t="s">
        <v>1499</v>
      </c>
      <c r="O1341" s="15">
        <v>13</v>
      </c>
      <c r="P1341" s="15">
        <v>2004</v>
      </c>
      <c r="Q1341" s="15" t="str" cm="1">
        <f t="array" ref="Q13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1" s="15" t="str" cm="1">
        <f t="array" ref="R13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canciones/kairoi/angel_remix.html</v>
      </c>
      <c r="T1341" s="1"/>
      <c r="U1341" s="1"/>
      <c r="V1341" s="32" t="s">
        <v>3769</v>
      </c>
      <c r="W13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href="canciones/kairoi/angel_remix.html"&gt;Angel Remix&lt;/a&gt;&lt;/li&gt;</v>
      </c>
      <c r="X1341" s="15" t="str">
        <f>_xlfn.TEXTBEFORE(_xlfn.TEXTAFTER(CantoralDB[[#This Row],[index.html]],"&gt;"),"&gt;")&amp;"&gt;"</f>
        <v>&lt;a href="canciones/kairoi/angel_remix.html"&gt;</v>
      </c>
      <c r="Y1341"/>
      <c r="AC1341" s="1"/>
    </row>
    <row r="1342" spans="1:29" x14ac:dyDescent="0.3">
      <c r="A1342" s="1">
        <f>ROW(CantoralDB[[#This Row],[Título]])-1</f>
        <v>1341</v>
      </c>
      <c r="B1342" s="1" t="s">
        <v>1904</v>
      </c>
      <c r="C1342" s="1"/>
      <c r="H1342" s="1" t="s">
        <v>472</v>
      </c>
      <c r="J1342" s="1" t="s">
        <v>605</v>
      </c>
      <c r="M1342" s="15" t="s">
        <v>483</v>
      </c>
      <c r="N1342" s="1" t="s">
        <v>1492</v>
      </c>
      <c r="O1342" s="15">
        <v>1</v>
      </c>
      <c r="P1342" s="15">
        <v>1998</v>
      </c>
      <c r="Q1342" s="15" t="str" cm="1">
        <f t="array" ref="Q13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2" s="15" t="str" cm="1">
        <f t="array" ref="R13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canciones/kairoi/somos_cancion.html</v>
      </c>
      <c r="T1342" s="1"/>
      <c r="U1342" s="1"/>
      <c r="V1342" s="32" t="s">
        <v>3770</v>
      </c>
      <c r="W13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href="canciones/kairoi/somos_cancion.html"&gt;Somos canción&lt;/a&gt;&lt;/li&gt;</v>
      </c>
      <c r="X1342" s="15" t="str">
        <f>_xlfn.TEXTBEFORE(_xlfn.TEXTAFTER(CantoralDB[[#This Row],[index.html]],"&gt;"),"&gt;")&amp;"&gt;"</f>
        <v>&lt;a href="canciones/kairoi/somos_cancion.html"&gt;</v>
      </c>
      <c r="Y1342"/>
      <c r="AC1342" s="1"/>
    </row>
    <row r="1343" spans="1:29" x14ac:dyDescent="0.3">
      <c r="A1343" s="1">
        <f>ROW(CantoralDB[[#This Row],[Título]])-1</f>
        <v>1342</v>
      </c>
      <c r="B1343" s="1" t="s">
        <v>2024</v>
      </c>
      <c r="C1343" s="1"/>
      <c r="H1343" s="1" t="s">
        <v>529</v>
      </c>
      <c r="J1343" s="1" t="s">
        <v>605</v>
      </c>
      <c r="M1343" s="15" t="s">
        <v>483</v>
      </c>
      <c r="N1343" s="1" t="s">
        <v>1492</v>
      </c>
      <c r="O1343" s="15">
        <v>2</v>
      </c>
      <c r="P1343" s="15">
        <v>1998</v>
      </c>
      <c r="Q1343" s="15" t="str" cm="1">
        <f t="array" ref="Q13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3" s="15" t="str" cm="1">
        <f t="array" ref="R13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canciones/kairoi/ten_piedad_de_mi.html</v>
      </c>
      <c r="T1343" s="1"/>
      <c r="U1343" s="1"/>
      <c r="V1343" s="32" t="s">
        <v>3771</v>
      </c>
      <c r="W13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href="canciones/kairoi/ten_piedad_de_mi.html"&gt;Ten piedad de mí&lt;/a&gt;&lt;/li&gt;</v>
      </c>
      <c r="X1343" s="15" t="str">
        <f>_xlfn.TEXTBEFORE(_xlfn.TEXTAFTER(CantoralDB[[#This Row],[index.html]],"&gt;"),"&gt;")&amp;"&gt;"</f>
        <v>&lt;a href="canciones/kairoi/ten_piedad_de_mi.html"&gt;</v>
      </c>
      <c r="Y1343"/>
      <c r="AC1343" s="1"/>
    </row>
    <row r="1344" spans="1:29" x14ac:dyDescent="0.3">
      <c r="A1344" s="1">
        <f>ROW(CantoralDB[[#This Row],[Título]])-1</f>
        <v>1343</v>
      </c>
      <c r="B1344" s="1" t="s">
        <v>192</v>
      </c>
      <c r="C1344" s="1"/>
      <c r="H1344" s="1" t="s">
        <v>1026</v>
      </c>
      <c r="J1344" s="1" t="s">
        <v>605</v>
      </c>
      <c r="M1344" s="15" t="s">
        <v>483</v>
      </c>
      <c r="N1344" s="1" t="s">
        <v>1492</v>
      </c>
      <c r="O1344" s="15">
        <v>3</v>
      </c>
      <c r="P1344" s="15">
        <v>1998</v>
      </c>
      <c r="Q1344" s="15" t="str" cm="1">
        <f t="array" ref="Q13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4" s="15" t="str" cm="1">
        <f t="array" ref="R13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canciones/kairoi/gloria.html</v>
      </c>
      <c r="T1344" s="1"/>
      <c r="U1344" s="1"/>
      <c r="V1344" s="32" t="s">
        <v>3772</v>
      </c>
      <c r="W13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href="canciones/kairoi/gloria.html"&gt;Gloria&lt;/a&gt;&lt;/li&gt;</v>
      </c>
      <c r="X1344" s="15" t="str">
        <f>_xlfn.TEXTBEFORE(_xlfn.TEXTAFTER(CantoralDB[[#This Row],[index.html]],"&gt;"),"&gt;")&amp;"&gt;"</f>
        <v>&lt;a href="canciones/kairoi/gloria.html"&gt;</v>
      </c>
      <c r="Y1344"/>
      <c r="AC1344" s="1"/>
    </row>
    <row r="1345" spans="1:29" x14ac:dyDescent="0.3">
      <c r="A1345" s="1">
        <f>ROW(CantoralDB[[#This Row],[Título]])-1</f>
        <v>1344</v>
      </c>
      <c r="B1345" s="1" t="s">
        <v>1660</v>
      </c>
      <c r="C1345" s="1"/>
      <c r="J1345" s="1"/>
      <c r="M1345" s="15" t="s">
        <v>483</v>
      </c>
      <c r="N1345" s="1" t="s">
        <v>1492</v>
      </c>
      <c r="O1345" s="15">
        <v>4</v>
      </c>
      <c r="P1345" s="15">
        <v>1998</v>
      </c>
      <c r="Q1345" s="15" t="str" cm="1">
        <f t="array" ref="Q13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5" s="15" t="str" cm="1">
        <f t="array" ref="R13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canciones/kairoi/salmo.html</v>
      </c>
      <c r="T1345" s="1"/>
      <c r="U1345" s="1"/>
      <c r="V1345" s="32" t="s">
        <v>3773</v>
      </c>
      <c r="W13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href="canciones/kairoi/salmo.html"&gt;Salmo&lt;/a&gt;&lt;/li&gt;</v>
      </c>
      <c r="X1345" s="15" t="str">
        <f>_xlfn.TEXTBEFORE(_xlfn.TEXTAFTER(CantoralDB[[#This Row],[index.html]],"&gt;"),"&gt;")&amp;"&gt;"</f>
        <v>&lt;a href="canciones/kairoi/salmo.html"&gt;</v>
      </c>
      <c r="Y1345"/>
      <c r="AC1345" s="1"/>
    </row>
    <row r="1346" spans="1:29" x14ac:dyDescent="0.3">
      <c r="A1346" s="1">
        <f>ROW(CantoralDB[[#This Row],[Título]])-1</f>
        <v>1345</v>
      </c>
      <c r="B1346" s="1" t="s">
        <v>193</v>
      </c>
      <c r="C1346" s="1"/>
      <c r="H1346" s="1" t="s">
        <v>1026</v>
      </c>
      <c r="J1346" s="1" t="s">
        <v>605</v>
      </c>
      <c r="M1346" s="15" t="s">
        <v>483</v>
      </c>
      <c r="N1346" s="1" t="s">
        <v>1492</v>
      </c>
      <c r="O1346" s="15">
        <v>5</v>
      </c>
      <c r="P1346" s="15">
        <v>1998</v>
      </c>
      <c r="Q1346" s="15" t="str" cm="1">
        <f t="array" ref="Q13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6" s="15" t="str" cm="1">
        <f t="array" ref="R13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canciones/kairoi/aleluya.html</v>
      </c>
      <c r="T1346" s="1"/>
      <c r="U1346" s="1"/>
      <c r="V1346" s="32" t="s">
        <v>3774</v>
      </c>
      <c r="W13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href="canciones/kairoi/aleluya.html"&gt;Aleluya&lt;/a&gt;&lt;/li&gt;</v>
      </c>
      <c r="X1346" s="15" t="str">
        <f>_xlfn.TEXTBEFORE(_xlfn.TEXTAFTER(CantoralDB[[#This Row],[index.html]],"&gt;"),"&gt;")&amp;"&gt;"</f>
        <v>&lt;a href="canciones/kairoi/aleluya.html"&gt;</v>
      </c>
      <c r="Y1346"/>
      <c r="AC1346" s="1"/>
    </row>
    <row r="1347" spans="1:29" x14ac:dyDescent="0.3">
      <c r="A1347" s="1">
        <f>ROW(CantoralDB[[#This Row],[Título]])-1</f>
        <v>1346</v>
      </c>
      <c r="B1347" s="1" t="s">
        <v>1911</v>
      </c>
      <c r="C1347" s="1"/>
      <c r="H1347" s="1" t="s">
        <v>1027</v>
      </c>
      <c r="J1347" s="1" t="s">
        <v>605</v>
      </c>
      <c r="M1347" s="15" t="s">
        <v>483</v>
      </c>
      <c r="N1347" s="1" t="s">
        <v>1492</v>
      </c>
      <c r="O1347" s="15">
        <v>6</v>
      </c>
      <c r="P1347" s="15">
        <v>1998</v>
      </c>
      <c r="Q1347" s="15" t="str" cm="1">
        <f t="array" ref="Q13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7" s="15" t="str" cm="1">
        <f t="array" ref="R13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canciones/kairoi/estoy_creyendo_en_ti_(credo).html</v>
      </c>
      <c r="T1347" s="1"/>
      <c r="U1347" s="1"/>
      <c r="V1347" s="32" t="s">
        <v>3775</v>
      </c>
      <c r="W13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href="canciones/kairoi/estoy_creyendo_en_ti_(credo).html"&gt;Estoy creyendo en ti (credo)&lt;/a&gt;&lt;/li&gt;</v>
      </c>
      <c r="X1347" s="15" t="str">
        <f>_xlfn.TEXTBEFORE(_xlfn.TEXTAFTER(CantoralDB[[#This Row],[index.html]],"&gt;"),"&gt;")&amp;"&gt;"</f>
        <v>&lt;a href="canciones/kairoi/estoy_creyendo_en_ti_(credo).html"&gt;</v>
      </c>
      <c r="Y1347"/>
      <c r="AC1347" s="1"/>
    </row>
    <row r="1348" spans="1:29" x14ac:dyDescent="0.3">
      <c r="A1348" s="1">
        <f>ROW(CantoralDB[[#This Row],[Título]])-1</f>
        <v>1347</v>
      </c>
      <c r="B1348" s="1" t="s">
        <v>1912</v>
      </c>
      <c r="C1348" s="1"/>
      <c r="H1348" s="1" t="s">
        <v>1027</v>
      </c>
      <c r="J1348" s="1" t="s">
        <v>605</v>
      </c>
      <c r="M1348" s="15" t="s">
        <v>483</v>
      </c>
      <c r="N1348" s="1" t="s">
        <v>1492</v>
      </c>
      <c r="O1348" s="15">
        <v>7</v>
      </c>
      <c r="P1348" s="15">
        <v>1998</v>
      </c>
      <c r="Q1348" s="15" t="str" cm="1">
        <f t="array" ref="Q13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8" s="15" t="str" cm="1">
        <f t="array" ref="R13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canciones/kairoi/conviviendo_en_armonia.html</v>
      </c>
      <c r="T1348" s="1"/>
      <c r="U1348" s="1"/>
      <c r="V1348" s="32" t="s">
        <v>3777</v>
      </c>
      <c r="W13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href="canciones/kairoi/conviviendo_en_armonia.html"&gt;Conviviendo en armonía&lt;/a&gt;&lt;/li&gt;</v>
      </c>
      <c r="X1348" s="15" t="str">
        <f>_xlfn.TEXTBEFORE(_xlfn.TEXTAFTER(CantoralDB[[#This Row],[index.html]],"&gt;"),"&gt;")&amp;"&gt;"</f>
        <v>&lt;a href="canciones/kairoi/conviviendo_en_armonia.html"&gt;</v>
      </c>
      <c r="Y1348"/>
      <c r="AC1348" s="1"/>
    </row>
    <row r="1349" spans="1:29" x14ac:dyDescent="0.3">
      <c r="A1349" s="1">
        <f>ROW(CantoralDB[[#This Row],[Título]])-1</f>
        <v>1348</v>
      </c>
      <c r="B1349" s="1" t="s">
        <v>195</v>
      </c>
      <c r="C1349" s="1"/>
      <c r="J1349" s="1"/>
      <c r="M1349" s="15" t="s">
        <v>483</v>
      </c>
      <c r="N1349" s="1" t="s">
        <v>1492</v>
      </c>
      <c r="O1349" s="15">
        <v>8</v>
      </c>
      <c r="P1349" s="15">
        <v>1998</v>
      </c>
      <c r="Q1349" s="15" t="str" cm="1">
        <f t="array" ref="Q13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49" s="15" t="str" cm="1">
        <f t="array" ref="R13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canciones/kairoi/santo.html</v>
      </c>
      <c r="T1349" s="1"/>
      <c r="U1349" s="1"/>
      <c r="V1349" s="32" t="s">
        <v>3776</v>
      </c>
      <c r="W13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href="canciones/kairoi/santo.html"&gt;Santo&lt;/a&gt;&lt;/li&gt;</v>
      </c>
      <c r="X1349" s="15" t="str">
        <f>_xlfn.TEXTBEFORE(_xlfn.TEXTAFTER(CantoralDB[[#This Row],[index.html]],"&gt;"),"&gt;")&amp;"&gt;"</f>
        <v>&lt;a href="canciones/kairoi/santo.html"&gt;</v>
      </c>
      <c r="Y1349"/>
      <c r="AC1349" s="1"/>
    </row>
    <row r="1350" spans="1:29" x14ac:dyDescent="0.3">
      <c r="A1350" s="1">
        <f>ROW(CantoralDB[[#This Row],[Título]])-1</f>
        <v>1349</v>
      </c>
      <c r="B1350" s="1" t="s">
        <v>2138</v>
      </c>
      <c r="C1350" s="1"/>
      <c r="H1350" s="1" t="s">
        <v>1027</v>
      </c>
      <c r="J1350" s="1" t="s">
        <v>605</v>
      </c>
      <c r="M1350" s="15" t="s">
        <v>483</v>
      </c>
      <c r="N1350" s="1" t="s">
        <v>1492</v>
      </c>
      <c r="O1350" s="15">
        <v>9</v>
      </c>
      <c r="P1350" s="15">
        <v>1998</v>
      </c>
      <c r="Q1350" s="15" t="str" cm="1">
        <f t="array" ref="Q13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0" s="15" t="str" cm="1">
        <f t="array" ref="R13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canciones/kairoi/padre_nuestro_ii.html</v>
      </c>
      <c r="T1350" s="1"/>
      <c r="U1350" s="1"/>
      <c r="V1350" s="32" t="s">
        <v>3779</v>
      </c>
      <c r="W13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href="canciones/kairoi/padre_nuestro_ii.html"&gt;Padre nuestro II&lt;/a&gt;&lt;/li&gt;</v>
      </c>
      <c r="X1350" s="15" t="str">
        <f>_xlfn.TEXTBEFORE(_xlfn.TEXTAFTER(CantoralDB[[#This Row],[index.html]],"&gt;"),"&gt;")&amp;"&gt;"</f>
        <v>&lt;a href="canciones/kairoi/padre_nuestro_ii.html"&gt;</v>
      </c>
      <c r="Y1350"/>
      <c r="AC1350" s="1"/>
    </row>
    <row r="1351" spans="1:29" x14ac:dyDescent="0.3">
      <c r="A1351" s="1">
        <f>ROW(CantoralDB[[#This Row],[Título]])-1</f>
        <v>1350</v>
      </c>
      <c r="B1351" s="1" t="s">
        <v>1662</v>
      </c>
      <c r="C1351" s="1"/>
      <c r="J1351" s="1"/>
      <c r="M1351" s="15" t="s">
        <v>483</v>
      </c>
      <c r="N1351" s="1" t="s">
        <v>1492</v>
      </c>
      <c r="O1351" s="15">
        <v>10</v>
      </c>
      <c r="P1351" s="15">
        <v>1998</v>
      </c>
      <c r="Q1351" s="15" t="str" cm="1">
        <f t="array" ref="Q13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1" s="15" t="str" cm="1">
        <f t="array" ref="R13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canciones/kairoi/cancion_de_paz.html</v>
      </c>
      <c r="T1351" s="1"/>
      <c r="U1351" s="1"/>
      <c r="V1351" s="32" t="s">
        <v>3778</v>
      </c>
      <c r="W13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href="canciones/kairoi/cancion_de_paz.html"&gt;Canción de paz&lt;/a&gt;&lt;/li&gt;</v>
      </c>
      <c r="X1351" s="15" t="str">
        <f>_xlfn.TEXTBEFORE(_xlfn.TEXTAFTER(CantoralDB[[#This Row],[index.html]],"&gt;"),"&gt;")&amp;"&gt;"</f>
        <v>&lt;a href="canciones/kairoi/cancion_de_paz.html"&gt;</v>
      </c>
      <c r="Y1351"/>
      <c r="AC1351" s="1"/>
    </row>
    <row r="1352" spans="1:29" x14ac:dyDescent="0.3">
      <c r="A1352" s="1">
        <f>ROW(CantoralDB[[#This Row],[Título]])-1</f>
        <v>1351</v>
      </c>
      <c r="B1352" s="1" t="s">
        <v>1663</v>
      </c>
      <c r="C1352" s="1"/>
      <c r="H1352" s="1" t="s">
        <v>472</v>
      </c>
      <c r="I1352" s="1" t="s">
        <v>2945</v>
      </c>
      <c r="J1352" s="1" t="s">
        <v>605</v>
      </c>
      <c r="M1352" s="15" t="s">
        <v>483</v>
      </c>
      <c r="N1352" s="1" t="s">
        <v>1492</v>
      </c>
      <c r="O1352" s="15">
        <v>11</v>
      </c>
      <c r="P1352" s="15">
        <v>1998</v>
      </c>
      <c r="Q1352" s="15" t="str" cm="1">
        <f t="array" ref="Q13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2" s="15" t="str" cm="1">
        <f t="array" ref="R13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canciones/kairoi/te_agradezco.html</v>
      </c>
      <c r="T1352" s="1"/>
      <c r="U1352" s="1"/>
      <c r="V1352" s="32" t="s">
        <v>3780</v>
      </c>
      <c r="W13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href="canciones/kairoi/te_agradezco.html"&gt;Te agradezco&lt;/a&gt;&lt;/li&gt;</v>
      </c>
      <c r="X1352" s="15" t="str">
        <f>_xlfn.TEXTBEFORE(_xlfn.TEXTAFTER(CantoralDB[[#This Row],[index.html]],"&gt;"),"&gt;")&amp;"&gt;"</f>
        <v>&lt;a href="canciones/kairoi/te_agradezco.html"&gt;</v>
      </c>
      <c r="Y1352"/>
      <c r="AC1352" s="1"/>
    </row>
    <row r="1353" spans="1:29" x14ac:dyDescent="0.3">
      <c r="A1353" s="1">
        <f>ROW(CantoralDB[[#This Row],[Título]])-1</f>
        <v>1352</v>
      </c>
      <c r="B1353" s="1" t="s">
        <v>2878</v>
      </c>
      <c r="C1353" s="1"/>
      <c r="H1353" s="1" t="s">
        <v>1027</v>
      </c>
      <c r="J1353" s="1" t="s">
        <v>605</v>
      </c>
      <c r="M1353" s="15" t="s">
        <v>483</v>
      </c>
      <c r="N1353" s="1" t="s">
        <v>1492</v>
      </c>
      <c r="O1353" s="15">
        <v>12</v>
      </c>
      <c r="P1353" s="15">
        <v>1998</v>
      </c>
      <c r="Q1353" s="15" t="str" cm="1">
        <f t="array" ref="Q13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3" s="15" t="str" cm="1">
        <f t="array" ref="R13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canciones/kairoi/escucha_maria.html</v>
      </c>
      <c r="T1353" s="1"/>
      <c r="U1353" s="1"/>
      <c r="V1353" s="32" t="s">
        <v>3781</v>
      </c>
      <c r="W13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href="canciones/kairoi/escucha_maria.html"&gt;Escucha, María&lt;/a&gt;&lt;/li&gt;</v>
      </c>
      <c r="X1353" s="15" t="str">
        <f>_xlfn.TEXTBEFORE(_xlfn.TEXTAFTER(CantoralDB[[#This Row],[index.html]],"&gt;"),"&gt;")&amp;"&gt;"</f>
        <v>&lt;a href="canciones/kairoi/escucha_maria.html"&gt;</v>
      </c>
      <c r="Y1353"/>
      <c r="AC1353" s="1"/>
    </row>
    <row r="1354" spans="1:29" x14ac:dyDescent="0.3">
      <c r="A1354" s="1">
        <f>ROW(CantoralDB[[#This Row],[Título]])-1</f>
        <v>1353</v>
      </c>
      <c r="B1354" s="1" t="s">
        <v>1640</v>
      </c>
      <c r="C1354" s="1"/>
      <c r="J1354" s="1"/>
      <c r="M1354" s="15" t="s">
        <v>483</v>
      </c>
      <c r="N1354" s="1" t="s">
        <v>1490</v>
      </c>
      <c r="O1354" s="15">
        <v>1</v>
      </c>
      <c r="P1354" s="15">
        <v>1993</v>
      </c>
      <c r="Q1354" s="15" t="str" cm="1">
        <f t="array" ref="Q13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4" s="15" t="str" cm="1">
        <f t="array" ref="R13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canciones/kairoi/clara_hija_de_la_luz.html</v>
      </c>
      <c r="T1354" s="1"/>
      <c r="U1354" s="1"/>
      <c r="V1354" s="32" t="s">
        <v>3782</v>
      </c>
      <c r="W13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href="canciones/kairoi/clara_hija_de_la_luz.html"&gt;Clara, hija de la luz&lt;/a&gt;&lt;/li&gt;</v>
      </c>
      <c r="X1354" s="15" t="str">
        <f>_xlfn.TEXTBEFORE(_xlfn.TEXTAFTER(CantoralDB[[#This Row],[index.html]],"&gt;"),"&gt;")&amp;"&gt;"</f>
        <v>&lt;a href="canciones/kairoi/clara_hija_de_la_luz.html"&gt;</v>
      </c>
      <c r="Y1354"/>
      <c r="AC1354" s="1"/>
    </row>
    <row r="1355" spans="1:29" x14ac:dyDescent="0.3">
      <c r="A1355" s="1">
        <f>ROW(CantoralDB[[#This Row],[Título]])-1</f>
        <v>1354</v>
      </c>
      <c r="B1355" s="1" t="s">
        <v>1641</v>
      </c>
      <c r="C1355" s="1"/>
      <c r="J1355" s="1"/>
      <c r="M1355" s="15" t="s">
        <v>483</v>
      </c>
      <c r="N1355" s="1" t="s">
        <v>1490</v>
      </c>
      <c r="O1355" s="15">
        <v>2</v>
      </c>
      <c r="P1355" s="15">
        <v>1993</v>
      </c>
      <c r="Q1355" s="15" t="str" cm="1">
        <f t="array" ref="Q13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5" s="15" t="str" cm="1">
        <f t="array" ref="R13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canciones/kairoi/clara_imagen_de_dios.html</v>
      </c>
      <c r="T1355" s="1"/>
      <c r="U1355" s="1"/>
      <c r="V1355" s="32" t="s">
        <v>3783</v>
      </c>
      <c r="W13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href="canciones/kairoi/clara_imagen_de_dios.html"&gt;Clara, imagen de Dios&lt;/a&gt;&lt;/li&gt;</v>
      </c>
      <c r="X1355" s="15" t="str">
        <f>_xlfn.TEXTBEFORE(_xlfn.TEXTAFTER(CantoralDB[[#This Row],[index.html]],"&gt;"),"&gt;")&amp;"&gt;"</f>
        <v>&lt;a href="canciones/kairoi/clara_imagen_de_dios.html"&gt;</v>
      </c>
      <c r="Y1355"/>
      <c r="AC1355" s="1"/>
    </row>
    <row r="1356" spans="1:29" x14ac:dyDescent="0.3">
      <c r="A1356" s="1">
        <f>ROW(CantoralDB[[#This Row],[Título]])-1</f>
        <v>1355</v>
      </c>
      <c r="B1356" s="1" t="s">
        <v>1309</v>
      </c>
      <c r="C1356" s="1"/>
      <c r="E1356" s="1">
        <v>226</v>
      </c>
      <c r="H1356" s="1" t="s">
        <v>1027</v>
      </c>
      <c r="J1356" s="1" t="s">
        <v>605</v>
      </c>
      <c r="M1356" s="15" t="s">
        <v>483</v>
      </c>
      <c r="N1356" s="1" t="s">
        <v>1490</v>
      </c>
      <c r="O1356" s="15">
        <v>3</v>
      </c>
      <c r="P1356" s="15">
        <v>1993</v>
      </c>
      <c r="Q1356" s="15" t="str" cm="1">
        <f t="array" ref="Q13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6" s="15" t="str" cm="1">
        <f t="array" ref="R13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canciones/kairoi/rezar_no_es_otra_cosa.html</v>
      </c>
      <c r="T1356" s="1"/>
      <c r="U1356" s="1"/>
      <c r="V1356" s="32" t="s">
        <v>3784</v>
      </c>
      <c r="W13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data-nold="226"&gt;&lt;a href="canciones/kairoi/rezar_no_es_otra_cosa.html"&gt;Rezar no es otra cosa&lt;/a&gt;&lt;/li&gt;</v>
      </c>
      <c r="X1356" s="15" t="str">
        <f>_xlfn.TEXTBEFORE(_xlfn.TEXTAFTER(CantoralDB[[#This Row],[index.html]],"&gt;"),"&gt;")&amp;"&gt;"</f>
        <v>&lt;a href="canciones/kairoi/rezar_no_es_otra_cosa.html"&gt;</v>
      </c>
      <c r="Y1356"/>
      <c r="AC1356" s="1"/>
    </row>
    <row r="1357" spans="1:29" x14ac:dyDescent="0.3">
      <c r="A1357" s="1">
        <f>ROW(CantoralDB[[#This Row],[Título]])-1</f>
        <v>1356</v>
      </c>
      <c r="B1357" s="1" t="s">
        <v>1642</v>
      </c>
      <c r="C1357" s="1"/>
      <c r="H1357" s="1" t="s">
        <v>472</v>
      </c>
      <c r="J1357" s="1" t="s">
        <v>605</v>
      </c>
      <c r="M1357" s="15" t="s">
        <v>483</v>
      </c>
      <c r="N1357" s="1" t="s">
        <v>1490</v>
      </c>
      <c r="O1357" s="15">
        <v>4</v>
      </c>
      <c r="P1357" s="15">
        <v>1993</v>
      </c>
      <c r="Q1357" s="15" t="str" cm="1">
        <f t="array" ref="Q13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7" s="15" t="str" cm="1">
        <f t="array" ref="R13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canciones/kairoi/jesus_te_ama.html</v>
      </c>
      <c r="T1357" s="1"/>
      <c r="U1357" s="1"/>
      <c r="V1357" s="32" t="s">
        <v>3785</v>
      </c>
      <c r="W13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href="canciones/kairoi/jesus_te_ama.html"&gt;Jesús te ama&lt;/a&gt;&lt;/li&gt;</v>
      </c>
      <c r="X1357" s="15" t="str">
        <f>_xlfn.TEXTBEFORE(_xlfn.TEXTAFTER(CantoralDB[[#This Row],[index.html]],"&gt;"),"&gt;")&amp;"&gt;"</f>
        <v>&lt;a href="canciones/kairoi/jesus_te_ama.html"&gt;</v>
      </c>
      <c r="Y1357"/>
      <c r="AC1357" s="1"/>
    </row>
    <row r="1358" spans="1:29" x14ac:dyDescent="0.3">
      <c r="A1358" s="1">
        <f>ROW(CantoralDB[[#This Row],[Título]])-1</f>
        <v>1357</v>
      </c>
      <c r="B1358" s="1" t="s">
        <v>1643</v>
      </c>
      <c r="C1358" s="1"/>
      <c r="H1358" s="1" t="s">
        <v>529</v>
      </c>
      <c r="J1358" s="1" t="s">
        <v>605</v>
      </c>
      <c r="M1358" s="15" t="s">
        <v>483</v>
      </c>
      <c r="N1358" s="1" t="s">
        <v>1490</v>
      </c>
      <c r="O1358" s="15">
        <v>5</v>
      </c>
      <c r="P1358" s="15">
        <v>1993</v>
      </c>
      <c r="Q1358" s="15" t="str" cm="1">
        <f t="array" ref="Q13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8" s="15" t="str" cm="1">
        <f t="array" ref="R13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canciones/kairoi/cantico_de_las_criaturas.html</v>
      </c>
      <c r="T1358" s="1"/>
      <c r="U1358" s="1"/>
      <c r="V1358" s="32" t="s">
        <v>3786</v>
      </c>
      <c r="W13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href="canciones/kairoi/cantico_de_las_criaturas.html"&gt;Cántico de las criaturas&lt;/a&gt;&lt;/li&gt;</v>
      </c>
      <c r="X1358" s="15" t="str">
        <f>_xlfn.TEXTBEFORE(_xlfn.TEXTAFTER(CantoralDB[[#This Row],[index.html]],"&gt;"),"&gt;")&amp;"&gt;"</f>
        <v>&lt;a href="canciones/kairoi/cantico_de_las_criaturas.html"&gt;</v>
      </c>
      <c r="Y1358"/>
      <c r="AC1358" s="1"/>
    </row>
    <row r="1359" spans="1:29" x14ac:dyDescent="0.3">
      <c r="A1359" s="1">
        <f>ROW(CantoralDB[[#This Row],[Título]])-1</f>
        <v>1358</v>
      </c>
      <c r="B1359" s="1" t="s">
        <v>1908</v>
      </c>
      <c r="C1359" s="1"/>
      <c r="H1359" s="1" t="s">
        <v>472</v>
      </c>
      <c r="J1359" s="1" t="s">
        <v>605</v>
      </c>
      <c r="M1359" s="15" t="s">
        <v>483</v>
      </c>
      <c r="N1359" s="1" t="s">
        <v>1490</v>
      </c>
      <c r="O1359" s="15">
        <v>6</v>
      </c>
      <c r="P1359" s="15">
        <v>1993</v>
      </c>
      <c r="Q1359" s="15" t="str" cm="1">
        <f t="array" ref="Q13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59" s="15" t="str" cm="1">
        <f t="array" ref="R13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canciones/kairoi/ya_no_te_queda_tiempo.html</v>
      </c>
      <c r="T1359" s="1"/>
      <c r="U1359" s="1"/>
      <c r="V1359" s="32" t="s">
        <v>3787</v>
      </c>
      <c r="W13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href="canciones/kairoi/ya_no_te_queda_tiempo.html"&gt;Ya no te queda tiempo&lt;/a&gt;&lt;/li&gt;</v>
      </c>
      <c r="X1359" s="15" t="str">
        <f>_xlfn.TEXTBEFORE(_xlfn.TEXTAFTER(CantoralDB[[#This Row],[index.html]],"&gt;"),"&gt;")&amp;"&gt;"</f>
        <v>&lt;a href="canciones/kairoi/ya_no_te_queda_tiempo.html"&gt;</v>
      </c>
      <c r="Y1359"/>
      <c r="AC1359" s="1"/>
    </row>
    <row r="1360" spans="1:29" x14ac:dyDescent="0.3">
      <c r="A1360" s="1">
        <f>ROW(CantoralDB[[#This Row],[Título]])-1</f>
        <v>1359</v>
      </c>
      <c r="B1360" s="1" t="s">
        <v>1644</v>
      </c>
      <c r="C1360" s="1"/>
      <c r="J1360" s="1"/>
      <c r="M1360" s="15" t="s">
        <v>483</v>
      </c>
      <c r="N1360" s="1" t="s">
        <v>1490</v>
      </c>
      <c r="O1360" s="15">
        <v>7</v>
      </c>
      <c r="P1360" s="15">
        <v>1993</v>
      </c>
      <c r="Q1360" s="15" t="str" cm="1">
        <f t="array" ref="Q13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0" s="15" t="str" cm="1">
        <f t="array" ref="R13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canciones/kairoi/oracion_a_san_francisco.html</v>
      </c>
      <c r="T1360" s="1"/>
      <c r="U1360" s="1"/>
      <c r="V1360" s="32" t="s">
        <v>3788</v>
      </c>
      <c r="W13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href="canciones/kairoi/oracion_a_san_francisco.html"&gt;Oración a San Francisco&lt;/a&gt;&lt;/li&gt;</v>
      </c>
      <c r="X1360" s="15" t="str">
        <f>_xlfn.TEXTBEFORE(_xlfn.TEXTAFTER(CantoralDB[[#This Row],[index.html]],"&gt;"),"&gt;")&amp;"&gt;"</f>
        <v>&lt;a href="canciones/kairoi/oracion_a_san_francisco.html"&gt;</v>
      </c>
      <c r="Y1360"/>
      <c r="AC1360" s="1"/>
    </row>
    <row r="1361" spans="1:29" x14ac:dyDescent="0.3">
      <c r="A1361" s="1">
        <f>ROW(CantoralDB[[#This Row],[Título]])-1</f>
        <v>1360</v>
      </c>
      <c r="B1361" s="1" t="s">
        <v>1295</v>
      </c>
      <c r="C1361" s="1"/>
      <c r="E1361" s="1">
        <v>196</v>
      </c>
      <c r="H1361" s="1" t="s">
        <v>1026</v>
      </c>
      <c r="J1361" s="1" t="s">
        <v>605</v>
      </c>
      <c r="M1361" s="15" t="s">
        <v>483</v>
      </c>
      <c r="N1361" s="1" t="s">
        <v>1490</v>
      </c>
      <c r="O1361" s="15">
        <v>8</v>
      </c>
      <c r="P1361" s="15">
        <v>1993</v>
      </c>
      <c r="Q1361" s="15" t="str" cm="1">
        <f t="array" ref="Q13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1" s="15" t="str" cm="1">
        <f t="array" ref="R13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canciones/kairoi/padre_de_las_misericordias.html</v>
      </c>
      <c r="T1361" s="1"/>
      <c r="U1361" s="1"/>
      <c r="V1361" s="32" t="s">
        <v>3789</v>
      </c>
      <c r="W13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data-nold="196"&gt;&lt;a href="canciones/kairoi/padre_de_las_misericordias.html"&gt;Padre de las misericordias&lt;/a&gt;&lt;/li&gt;</v>
      </c>
      <c r="X1361" s="15" t="str">
        <f>_xlfn.TEXTBEFORE(_xlfn.TEXTAFTER(CantoralDB[[#This Row],[index.html]],"&gt;"),"&gt;")&amp;"&gt;"</f>
        <v>&lt;a href="canciones/kairoi/padre_de_las_misericordias.html"&gt;</v>
      </c>
      <c r="Y1361"/>
      <c r="AC1361" s="1"/>
    </row>
    <row r="1362" spans="1:29" x14ac:dyDescent="0.3">
      <c r="A1362" s="1">
        <f>ROW(CantoralDB[[#This Row],[Título]])-1</f>
        <v>1361</v>
      </c>
      <c r="B1362" s="1" t="s">
        <v>1326</v>
      </c>
      <c r="C1362" s="1"/>
      <c r="E1362" s="1">
        <v>252</v>
      </c>
      <c r="H1362" s="1" t="s">
        <v>1024</v>
      </c>
      <c r="J1362" s="1" t="s">
        <v>605</v>
      </c>
      <c r="M1362" s="15" t="s">
        <v>483</v>
      </c>
      <c r="N1362" s="1" t="s">
        <v>1490</v>
      </c>
      <c r="O1362" s="15">
        <v>9</v>
      </c>
      <c r="P1362" s="15">
        <v>1993</v>
      </c>
      <c r="Q1362" s="15" t="str" cm="1">
        <f t="array" ref="Q13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2" s="15" t="str" cm="1">
        <f t="array" ref="R13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canciones/kairoi/te_alabo_señor.html</v>
      </c>
      <c r="T1362" s="1"/>
      <c r="U1362" s="1"/>
      <c r="V1362" s="32" t="s">
        <v>3790</v>
      </c>
      <c r="W13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data-nold="252"&gt;&lt;a href="canciones/kairoi/te_alabo_señor.html"&gt;Te alabo, Señor&lt;/a&gt;&lt;/li&gt;</v>
      </c>
      <c r="X1362" s="15" t="str">
        <f>_xlfn.TEXTBEFORE(_xlfn.TEXTAFTER(CantoralDB[[#This Row],[index.html]],"&gt;"),"&gt;")&amp;"&gt;"</f>
        <v>&lt;a href="canciones/kairoi/te_alabo_señor.html"&gt;</v>
      </c>
      <c r="Y1362"/>
      <c r="AC1362" s="1"/>
    </row>
    <row r="1363" spans="1:29" x14ac:dyDescent="0.3">
      <c r="A1363" s="1">
        <f>ROW(CantoralDB[[#This Row],[Título]])-1</f>
        <v>1362</v>
      </c>
      <c r="B1363" s="1" t="s">
        <v>1645</v>
      </c>
      <c r="C1363" s="1"/>
      <c r="J1363" s="1"/>
      <c r="M1363" s="15" t="s">
        <v>483</v>
      </c>
      <c r="N1363" s="1" t="s">
        <v>1490</v>
      </c>
      <c r="O1363" s="15">
        <v>10</v>
      </c>
      <c r="P1363" s="15">
        <v>1993</v>
      </c>
      <c r="Q1363" s="15" t="str" cm="1">
        <f t="array" ref="Q13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3" s="15" t="str" cm="1">
        <f t="array" ref="R13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canciones/kairoi/si_vamos_desnudos_por_cristo.html</v>
      </c>
      <c r="T1363" s="1"/>
      <c r="U1363" s="1"/>
      <c r="V1363" s="32" t="s">
        <v>3791</v>
      </c>
      <c r="W13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href="canciones/kairoi/si_vamos_desnudos_por_cristo.html"&gt;Si vamos desnudos por Cristo&lt;/a&gt;&lt;/li&gt;</v>
      </c>
      <c r="X1363" s="15" t="str">
        <f>_xlfn.TEXTBEFORE(_xlfn.TEXTAFTER(CantoralDB[[#This Row],[index.html]],"&gt;"),"&gt;")&amp;"&gt;"</f>
        <v>&lt;a href="canciones/kairoi/si_vamos_desnudos_por_cristo.html"&gt;</v>
      </c>
      <c r="Y1363"/>
      <c r="AC1363" s="1"/>
    </row>
    <row r="1364" spans="1:29" x14ac:dyDescent="0.3">
      <c r="A1364" s="1">
        <f>ROW(CantoralDB[[#This Row],[Título]])-1</f>
        <v>1363</v>
      </c>
      <c r="B1364" s="1" t="s">
        <v>1646</v>
      </c>
      <c r="C1364" s="1"/>
      <c r="H1364" s="1" t="s">
        <v>1027</v>
      </c>
      <c r="J1364" s="1" t="s">
        <v>605</v>
      </c>
      <c r="M1364" s="15" t="s">
        <v>483</v>
      </c>
      <c r="N1364" s="1" t="s">
        <v>1490</v>
      </c>
      <c r="O1364" s="15">
        <v>11</v>
      </c>
      <c r="P1364" s="15">
        <v>1993</v>
      </c>
      <c r="Q1364" s="15" t="str" cm="1">
        <f t="array" ref="Q13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4" s="15" t="str" cm="1">
        <f t="array" ref="R13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canciones/kairoi/el_don_de_la_fraternidad.html</v>
      </c>
      <c r="T1364" s="1"/>
      <c r="U1364" s="1"/>
      <c r="V1364" s="32" t="s">
        <v>3792</v>
      </c>
      <c r="W13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href="canciones/kairoi/el_don_de_la_fraternidad.html"&gt;El don de la fraternidad&lt;/a&gt;&lt;/li&gt;</v>
      </c>
      <c r="X1364" s="15" t="str">
        <f>_xlfn.TEXTBEFORE(_xlfn.TEXTAFTER(CantoralDB[[#This Row],[index.html]],"&gt;"),"&gt;")&amp;"&gt;"</f>
        <v>&lt;a href="canciones/kairoi/el_don_de_la_fraternidad.html"&gt;</v>
      </c>
      <c r="Y1364"/>
      <c r="AC1364" s="1"/>
    </row>
    <row r="1365" spans="1:29" x14ac:dyDescent="0.3">
      <c r="A1365" s="1">
        <f>ROW(CantoralDB[[#This Row],[Título]])-1</f>
        <v>1364</v>
      </c>
      <c r="B1365" s="1" t="s">
        <v>1566</v>
      </c>
      <c r="C1365" s="1"/>
      <c r="E1365" s="1">
        <v>304</v>
      </c>
      <c r="H1365" s="1" t="s">
        <v>1024</v>
      </c>
      <c r="J1365" s="1" t="s">
        <v>605</v>
      </c>
      <c r="M1365" s="15" t="s">
        <v>483</v>
      </c>
      <c r="N1365" s="1" t="s">
        <v>1485</v>
      </c>
      <c r="O1365" s="15">
        <v>1</v>
      </c>
      <c r="P1365" s="15">
        <v>1986</v>
      </c>
      <c r="Q1365" s="15" t="str" cm="1">
        <f t="array" ref="Q13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5" s="15" t="str" cm="1">
        <f t="array" ref="R13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canciones/kairoi/jesus_es_verdad.html</v>
      </c>
      <c r="T1365" s="1"/>
      <c r="U1365" s="1"/>
      <c r="V1365" s="32" t="s">
        <v>3793</v>
      </c>
      <c r="W13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data-nold="304"&gt;&lt;a href="canciones/kairoi/jesus_es_verdad.html"&gt;Jesús es verdad&lt;/a&gt;&lt;/li&gt;</v>
      </c>
      <c r="X1365" s="15" t="str">
        <f>_xlfn.TEXTBEFORE(_xlfn.TEXTAFTER(CantoralDB[[#This Row],[index.html]],"&gt;"),"&gt;")&amp;"&gt;"</f>
        <v>&lt;a href="canciones/kairoi/jesus_es_verdad.html"&gt;</v>
      </c>
      <c r="Y1365"/>
      <c r="AC1365" s="1"/>
    </row>
    <row r="1366" spans="1:29" x14ac:dyDescent="0.3">
      <c r="A1366" s="1">
        <f>ROW(CantoralDB[[#This Row],[Título]])-1</f>
        <v>1365</v>
      </c>
      <c r="B1366" s="1" t="s">
        <v>1601</v>
      </c>
      <c r="C1366" s="1"/>
      <c r="J1366" s="1"/>
      <c r="M1366" s="15" t="s">
        <v>483</v>
      </c>
      <c r="N1366" s="1" t="s">
        <v>1485</v>
      </c>
      <c r="O1366" s="15">
        <v>3</v>
      </c>
      <c r="P1366" s="15">
        <v>1986</v>
      </c>
      <c r="Q1366" s="15" t="str" cm="1">
        <f t="array" ref="Q13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6" s="15" t="str" cm="1">
        <f t="array" ref="R13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canciones/kairoi/como_marcelino.html</v>
      </c>
      <c r="T1366" s="1"/>
      <c r="U1366" s="1"/>
      <c r="V1366" s="32" t="s">
        <v>3794</v>
      </c>
      <c r="W13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href="canciones/kairoi/como_marcelino.html"&gt;Como Marcelino&lt;/a&gt;&lt;/li&gt;</v>
      </c>
      <c r="X1366" s="15" t="str">
        <f>_xlfn.TEXTBEFORE(_xlfn.TEXTAFTER(CantoralDB[[#This Row],[index.html]],"&gt;"),"&gt;")&amp;"&gt;"</f>
        <v>&lt;a href="canciones/kairoi/como_marcelino.html"&gt;</v>
      </c>
      <c r="Y1366"/>
      <c r="AC1366" s="1"/>
    </row>
    <row r="1367" spans="1:29" x14ac:dyDescent="0.3">
      <c r="A1367" s="1">
        <f>ROW(CantoralDB[[#This Row],[Título]])-1</f>
        <v>1366</v>
      </c>
      <c r="B1367" s="1" t="s">
        <v>1602</v>
      </c>
      <c r="C1367" s="1"/>
      <c r="H1367" s="1" t="s">
        <v>1027</v>
      </c>
      <c r="J1367" s="1" t="s">
        <v>605</v>
      </c>
      <c r="M1367" s="15" t="s">
        <v>483</v>
      </c>
      <c r="N1367" s="1" t="s">
        <v>1485</v>
      </c>
      <c r="O1367" s="15">
        <v>4</v>
      </c>
      <c r="P1367" s="15">
        <v>1986</v>
      </c>
      <c r="Q1367" s="15" t="str" cm="1">
        <f t="array" ref="Q13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7" s="15" t="str" cm="1">
        <f t="array" ref="R13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canciones/kairoi/niño.html</v>
      </c>
      <c r="T1367" s="1"/>
      <c r="U1367" s="1"/>
      <c r="V1367" s="32" t="s">
        <v>3795</v>
      </c>
      <c r="W13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href="canciones/kairoi/niño.html"&gt;Niño&lt;/a&gt;&lt;/li&gt;</v>
      </c>
      <c r="X1367" s="15" t="str">
        <f>_xlfn.TEXTBEFORE(_xlfn.TEXTAFTER(CantoralDB[[#This Row],[index.html]],"&gt;"),"&gt;")&amp;"&gt;"</f>
        <v>&lt;a href="canciones/kairoi/niño.html"&gt;</v>
      </c>
      <c r="Y1367"/>
      <c r="AC1367" s="1"/>
    </row>
    <row r="1368" spans="1:29" x14ac:dyDescent="0.3">
      <c r="A1368" s="1">
        <f>ROW(CantoralDB[[#This Row],[Título]])-1</f>
        <v>1367</v>
      </c>
      <c r="B1368" s="1" t="s">
        <v>1604</v>
      </c>
      <c r="C1368" s="1"/>
      <c r="H1368" s="1" t="s">
        <v>1024</v>
      </c>
      <c r="J1368" s="1" t="s">
        <v>605</v>
      </c>
      <c r="M1368" s="15" t="s">
        <v>483</v>
      </c>
      <c r="N1368" s="1" t="s">
        <v>1485</v>
      </c>
      <c r="O1368" s="15">
        <v>6</v>
      </c>
      <c r="P1368" s="15">
        <v>1986</v>
      </c>
      <c r="Q1368" s="15" t="str" cm="1">
        <f t="array" ref="Q13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8" s="15" t="str" cm="1">
        <f t="array" ref="R13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canciones/kairoi/una_vida.html</v>
      </c>
      <c r="T1368" s="1"/>
      <c r="U1368" s="1"/>
      <c r="V1368" s="32" t="s">
        <v>3796</v>
      </c>
      <c r="W13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href="canciones/kairoi/una_vida.html"&gt;Una vida&lt;/a&gt;&lt;/li&gt;</v>
      </c>
      <c r="X1368" s="15" t="str">
        <f>_xlfn.TEXTBEFORE(_xlfn.TEXTAFTER(CantoralDB[[#This Row],[index.html]],"&gt;"),"&gt;")&amp;"&gt;"</f>
        <v>&lt;a href="canciones/kairoi/una_vida.html"&gt;</v>
      </c>
      <c r="Y1368"/>
      <c r="AC1368" s="1"/>
    </row>
    <row r="1369" spans="1:29" x14ac:dyDescent="0.3">
      <c r="A1369" s="1">
        <f>ROW(CantoralDB[[#This Row],[Título]])-1</f>
        <v>1368</v>
      </c>
      <c r="B1369" s="1" t="s">
        <v>1607</v>
      </c>
      <c r="C1369" s="1"/>
      <c r="H1369" s="1" t="s">
        <v>472</v>
      </c>
      <c r="J1369" s="1" t="s">
        <v>605</v>
      </c>
      <c r="M1369" s="15" t="s">
        <v>483</v>
      </c>
      <c r="N1369" s="1" t="s">
        <v>1485</v>
      </c>
      <c r="O1369" s="15">
        <v>9</v>
      </c>
      <c r="P1369" s="15">
        <v>1986</v>
      </c>
      <c r="Q1369" s="15" t="str" cm="1">
        <f t="array" ref="Q13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69" s="15" t="str" cm="1">
        <f t="array" ref="R13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canciones/kairoi/dios_en_la_ciudad.html</v>
      </c>
      <c r="T1369" s="1"/>
      <c r="U1369" s="1"/>
      <c r="V1369" s="32" t="s">
        <v>3797</v>
      </c>
      <c r="W13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href="canciones/kairoi/dios_en_la_ciudad.html"&gt;Dios en la ciudad&lt;/a&gt;&lt;/li&gt;</v>
      </c>
      <c r="X1369" s="15" t="str">
        <f>_xlfn.TEXTBEFORE(_xlfn.TEXTAFTER(CantoralDB[[#This Row],[index.html]],"&gt;"),"&gt;")&amp;"&gt;"</f>
        <v>&lt;a href="canciones/kairoi/dios_en_la_ciudad.html"&gt;</v>
      </c>
      <c r="Y1369"/>
      <c r="AC1369" s="1"/>
    </row>
    <row r="1370" spans="1:29" x14ac:dyDescent="0.3">
      <c r="A1370" s="1">
        <f>ROW(CantoralDB[[#This Row],[Título]])-1</f>
        <v>1369</v>
      </c>
      <c r="B1370" s="1" t="s">
        <v>1609</v>
      </c>
      <c r="C1370" s="1"/>
      <c r="H1370" s="1" t="s">
        <v>529</v>
      </c>
      <c r="J1370" s="1" t="s">
        <v>605</v>
      </c>
      <c r="M1370" s="15" t="s">
        <v>483</v>
      </c>
      <c r="N1370" s="1" t="s">
        <v>1485</v>
      </c>
      <c r="O1370" s="15">
        <v>11</v>
      </c>
      <c r="P1370" s="15">
        <v>1986</v>
      </c>
      <c r="Q1370" s="15" t="str" cm="1">
        <f t="array" ref="Q13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0" s="15" t="str" cm="1">
        <f t="array" ref="R13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canciones/kairoi/somos_una_familia.html</v>
      </c>
      <c r="T1370" s="1"/>
      <c r="U1370" s="1"/>
      <c r="V1370" s="32" t="s">
        <v>3798</v>
      </c>
      <c r="W13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href="canciones/kairoi/somos_una_familia.html"&gt;Somos una familia&lt;/a&gt;&lt;/li&gt;</v>
      </c>
      <c r="X1370" s="15" t="str">
        <f>_xlfn.TEXTBEFORE(_xlfn.TEXTAFTER(CantoralDB[[#This Row],[index.html]],"&gt;"),"&gt;")&amp;"&gt;"</f>
        <v>&lt;a href="canciones/kairoi/somos_una_familia.html"&gt;</v>
      </c>
      <c r="Y1370"/>
      <c r="AC1370" s="1"/>
    </row>
    <row r="1371" spans="1:29" x14ac:dyDescent="0.3">
      <c r="A1371" s="1">
        <f>ROW(CantoralDB[[#This Row],[Título]])-1</f>
        <v>1370</v>
      </c>
      <c r="B1371" s="1" t="s">
        <v>61</v>
      </c>
      <c r="C1371" s="1" t="s">
        <v>190</v>
      </c>
      <c r="D1371" s="1" t="s">
        <v>736</v>
      </c>
      <c r="E1371" s="1">
        <v>111</v>
      </c>
      <c r="G1371" s="1" t="s">
        <v>208</v>
      </c>
      <c r="H1371" s="1" t="s">
        <v>529</v>
      </c>
      <c r="I1371" s="1" t="s">
        <v>2949</v>
      </c>
      <c r="J1371" s="1" t="s">
        <v>605</v>
      </c>
      <c r="M1371" s="15" t="s">
        <v>483</v>
      </c>
      <c r="N1371" s="1" t="s">
        <v>1489</v>
      </c>
      <c r="O1371" s="15">
        <v>1</v>
      </c>
      <c r="P1371" s="15">
        <v>1992</v>
      </c>
      <c r="Q1371" s="15" t="str" cm="1">
        <f t="array" ref="Q13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1" s="15" t="str" cm="1">
        <f t="array" ref="R13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canciones/kairoi/eres_el_fuego_el_amor.html</v>
      </c>
      <c r="T1371" s="1" t="s">
        <v>829</v>
      </c>
      <c r="U1371" s="1"/>
      <c r="V1371" s="32" t="s">
        <v>3799</v>
      </c>
      <c r="W13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data-momento="Entrada" data-nnew="A19" data-nold="111"&gt;&lt;a href="canciones/kairoi/eres_el_fuego_el_amor.html"&gt;Eres el fuego, el amor&lt;/a&gt;&lt;/li&gt;</v>
      </c>
      <c r="X1371" s="15" t="str">
        <f>_xlfn.TEXTBEFORE(_xlfn.TEXTAFTER(CantoralDB[[#This Row],[index.html]],"&gt;"),"&gt;")&amp;"&gt;"</f>
        <v>&lt;a href="canciones/kairoi/eres_el_fuego_el_amor.html"&gt;</v>
      </c>
      <c r="Y1371"/>
      <c r="AC1371" s="1"/>
    </row>
    <row r="1372" spans="1:29" x14ac:dyDescent="0.3">
      <c r="A1372" s="1">
        <f>ROW(CantoralDB[[#This Row],[Título]])-1</f>
        <v>1371</v>
      </c>
      <c r="B1372" s="1" t="s">
        <v>1571</v>
      </c>
      <c r="C1372" s="1"/>
      <c r="H1372" s="1" t="s">
        <v>1024</v>
      </c>
      <c r="J1372" s="1" t="s">
        <v>605</v>
      </c>
      <c r="M1372" s="15" t="s">
        <v>483</v>
      </c>
      <c r="N1372" s="1" t="s">
        <v>1489</v>
      </c>
      <c r="O1372" s="15">
        <v>2</v>
      </c>
      <c r="P1372" s="15">
        <v>1992</v>
      </c>
      <c r="Q1372" s="15" t="str" cm="1">
        <f t="array" ref="Q13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2" s="15" t="str" cm="1">
        <f t="array" ref="R13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canciones/kairoi/me_has_seducido_señor.html</v>
      </c>
      <c r="T1372" s="1"/>
      <c r="U1372" s="1"/>
      <c r="V1372" s="32" t="s">
        <v>3800</v>
      </c>
      <c r="W13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href="canciones/kairoi/me_has_seducido_señor.html"&gt;Me has seducido, Señor&lt;/a&gt;&lt;/li&gt;</v>
      </c>
      <c r="X1372" s="15" t="str">
        <f>_xlfn.TEXTBEFORE(_xlfn.TEXTAFTER(CantoralDB[[#This Row],[index.html]],"&gt;"),"&gt;")&amp;"&gt;"</f>
        <v>&lt;a href="canciones/kairoi/me_has_seducido_señor.html"&gt;</v>
      </c>
      <c r="Y1372"/>
      <c r="AC1372" s="1"/>
    </row>
    <row r="1373" spans="1:29" x14ac:dyDescent="0.3">
      <c r="A1373" s="1">
        <f>ROW(CantoralDB[[#This Row],[Título]])-1</f>
        <v>1372</v>
      </c>
      <c r="B1373" s="1" t="s">
        <v>1634</v>
      </c>
      <c r="C1373" s="1"/>
      <c r="J1373" s="1"/>
      <c r="M1373" s="15" t="s">
        <v>483</v>
      </c>
      <c r="N1373" s="1" t="s">
        <v>1489</v>
      </c>
      <c r="O1373" s="15">
        <v>3</v>
      </c>
      <c r="P1373" s="15">
        <v>1992</v>
      </c>
      <c r="Q1373" s="15" t="str" cm="1">
        <f t="array" ref="Q13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3" s="15" t="str" cm="1">
        <f t="array" ref="R13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canciones/kairoi/deseo_paz.html</v>
      </c>
      <c r="T1373" s="1"/>
      <c r="U1373" s="1"/>
      <c r="V1373" s="32" t="s">
        <v>3801</v>
      </c>
      <c r="W13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href="canciones/kairoi/deseo_paz.html"&gt;Deseo paz&lt;/a&gt;&lt;/li&gt;</v>
      </c>
      <c r="X1373" s="15" t="str">
        <f>_xlfn.TEXTBEFORE(_xlfn.TEXTAFTER(CantoralDB[[#This Row],[index.html]],"&gt;"),"&gt;")&amp;"&gt;"</f>
        <v>&lt;a href="canciones/kairoi/deseo_paz.html"&gt;</v>
      </c>
      <c r="Y1373"/>
      <c r="AC1373" s="1"/>
    </row>
    <row r="1374" spans="1:29" x14ac:dyDescent="0.3">
      <c r="A1374" s="1">
        <f>ROW(CantoralDB[[#This Row],[Título]])-1</f>
        <v>1373</v>
      </c>
      <c r="B1374" s="1" t="s">
        <v>1572</v>
      </c>
      <c r="C1374" s="1"/>
      <c r="H1374" s="1" t="s">
        <v>472</v>
      </c>
      <c r="J1374" s="1" t="s">
        <v>605</v>
      </c>
      <c r="M1374" s="15" t="s">
        <v>483</v>
      </c>
      <c r="N1374" s="1" t="s">
        <v>1489</v>
      </c>
      <c r="O1374" s="15">
        <v>4</v>
      </c>
      <c r="P1374" s="15">
        <v>1992</v>
      </c>
      <c r="Q1374" s="15" t="str" cm="1">
        <f t="array" ref="Q13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4" s="15" t="str" cm="1">
        <f t="array" ref="R13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canciones/kairoi/una_vida_que_busca_libertad.html</v>
      </c>
      <c r="T1374" s="1"/>
      <c r="U1374" s="1"/>
      <c r="V1374" s="32" t="s">
        <v>3802</v>
      </c>
      <c r="W13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href="canciones/kairoi/una_vida_que_busca_libertad.html"&gt;Una vida que busca libertad&lt;/a&gt;&lt;/li&gt;</v>
      </c>
      <c r="X1374" s="15" t="str">
        <f>_xlfn.TEXTBEFORE(_xlfn.TEXTAFTER(CantoralDB[[#This Row],[index.html]],"&gt;"),"&gt;")&amp;"&gt;"</f>
        <v>&lt;a href="canciones/kairoi/una_vida_que_busca_libertad.html"&gt;</v>
      </c>
      <c r="Y1374"/>
      <c r="AC1374" s="1"/>
    </row>
    <row r="1375" spans="1:29" x14ac:dyDescent="0.3">
      <c r="A1375" s="1">
        <f>ROW(CantoralDB[[#This Row],[Título]])-1</f>
        <v>1374</v>
      </c>
      <c r="B1375" s="1" t="s">
        <v>1635</v>
      </c>
      <c r="C1375" s="1"/>
      <c r="H1375" s="1" t="s">
        <v>1025</v>
      </c>
      <c r="J1375" s="1" t="s">
        <v>605</v>
      </c>
      <c r="M1375" s="15" t="s">
        <v>483</v>
      </c>
      <c r="N1375" s="1" t="s">
        <v>1489</v>
      </c>
      <c r="O1375" s="15">
        <v>5</v>
      </c>
      <c r="P1375" s="15">
        <v>1992</v>
      </c>
      <c r="Q1375" s="15" t="str" cm="1">
        <f t="array" ref="Q13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5" s="15" t="str" cm="1">
        <f t="array" ref="R13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canciones/kairoi/nuestra_buena_madre.html</v>
      </c>
      <c r="T1375" s="1"/>
      <c r="U1375" s="1"/>
      <c r="V1375" s="32" t="s">
        <v>3803</v>
      </c>
      <c r="W13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href="canciones/kairoi/nuestra_buena_madre.html"&gt;Nuestra buena madre&lt;/a&gt;&lt;/li&gt;</v>
      </c>
      <c r="X1375" s="15" t="str">
        <f>_xlfn.TEXTBEFORE(_xlfn.TEXTAFTER(CantoralDB[[#This Row],[index.html]],"&gt;"),"&gt;")&amp;"&gt;"</f>
        <v>&lt;a href="canciones/kairoi/nuestra_buena_madre.html"&gt;</v>
      </c>
      <c r="Y1375"/>
      <c r="AC1375" s="1"/>
    </row>
    <row r="1376" spans="1:29" x14ac:dyDescent="0.3">
      <c r="A1376" s="1">
        <f>ROW(CantoralDB[[#This Row],[Título]])-1</f>
        <v>1375</v>
      </c>
      <c r="B1376" s="1" t="s">
        <v>1573</v>
      </c>
      <c r="C1376" s="1"/>
      <c r="H1376" s="1" t="s">
        <v>1024</v>
      </c>
      <c r="J1376" s="1" t="s">
        <v>605</v>
      </c>
      <c r="M1376" s="15" t="s">
        <v>483</v>
      </c>
      <c r="N1376" s="1" t="s">
        <v>1489</v>
      </c>
      <c r="O1376" s="15">
        <v>6</v>
      </c>
      <c r="P1376" s="15">
        <v>1992</v>
      </c>
      <c r="Q1376" s="15" t="str" cm="1">
        <f t="array" ref="Q13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6" s="15" t="str" cm="1">
        <f t="array" ref="R13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canciones/kairoi/señor_yo_no_soy_digno.html</v>
      </c>
      <c r="T1376" s="1"/>
      <c r="U1376" s="1"/>
      <c r="V1376" s="32" t="s">
        <v>3804</v>
      </c>
      <c r="W13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href="canciones/kairoi/señor_yo_no_soy_digno.html"&gt;Señor, yo no soy digno&lt;/a&gt;&lt;/li&gt;</v>
      </c>
      <c r="X1376" s="15" t="str">
        <f>_xlfn.TEXTBEFORE(_xlfn.TEXTAFTER(CantoralDB[[#This Row],[index.html]],"&gt;"),"&gt;")&amp;"&gt;"</f>
        <v>&lt;a href="canciones/kairoi/señor_yo_no_soy_digno.html"&gt;</v>
      </c>
      <c r="Y1376"/>
      <c r="AC1376" s="1"/>
    </row>
    <row r="1377" spans="1:29" x14ac:dyDescent="0.3">
      <c r="A1377" s="1">
        <f>ROW(CantoralDB[[#This Row],[Título]])-1</f>
        <v>1376</v>
      </c>
      <c r="B1377" s="1" t="s">
        <v>1636</v>
      </c>
      <c r="C1377" s="1"/>
      <c r="H1377" s="1" t="s">
        <v>472</v>
      </c>
      <c r="J1377" s="1" t="s">
        <v>605</v>
      </c>
      <c r="M1377" s="15" t="s">
        <v>483</v>
      </c>
      <c r="N1377" s="1" t="s">
        <v>1489</v>
      </c>
      <c r="O1377" s="15">
        <v>7</v>
      </c>
      <c r="P1377" s="15">
        <v>1992</v>
      </c>
      <c r="Q1377" s="15" t="str" cm="1">
        <f t="array" ref="Q13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7" s="15" t="str" cm="1">
        <f t="array" ref="R13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canciones/kairoi/no_durmais.html</v>
      </c>
      <c r="T1377" s="1"/>
      <c r="U1377" s="1"/>
      <c r="V1377" s="32" t="s">
        <v>3805</v>
      </c>
      <c r="W13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href="canciones/kairoi/no_durmais.html"&gt;No durmáis&lt;/a&gt;&lt;/li&gt;</v>
      </c>
      <c r="X1377" s="15" t="str">
        <f>_xlfn.TEXTBEFORE(_xlfn.TEXTAFTER(CantoralDB[[#This Row],[index.html]],"&gt;"),"&gt;")&amp;"&gt;"</f>
        <v>&lt;a href="canciones/kairoi/no_durmais.html"&gt;</v>
      </c>
      <c r="Y1377"/>
      <c r="AC1377" s="1"/>
    </row>
    <row r="1378" spans="1:29" x14ac:dyDescent="0.3">
      <c r="A1378" s="1">
        <f>ROW(CantoralDB[[#This Row],[Título]])-1</f>
        <v>1377</v>
      </c>
      <c r="B1378" s="1" t="s">
        <v>1907</v>
      </c>
      <c r="C1378" s="1"/>
      <c r="H1378" s="1" t="s">
        <v>1027</v>
      </c>
      <c r="J1378" s="1" t="s">
        <v>605</v>
      </c>
      <c r="M1378" s="15" t="s">
        <v>483</v>
      </c>
      <c r="N1378" s="1" t="s">
        <v>1489</v>
      </c>
      <c r="O1378" s="15">
        <v>8</v>
      </c>
      <c r="P1378" s="15">
        <v>1992</v>
      </c>
      <c r="Q1378" s="15" t="str" cm="1">
        <f t="array" ref="Q13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8" s="15" t="str" cm="1">
        <f t="array" ref="R13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canciones/kairoi/señor_dios_me_tienes_ante_ti.html</v>
      </c>
      <c r="T1378" s="1"/>
      <c r="U1378" s="1"/>
      <c r="V1378" s="32" t="s">
        <v>3806</v>
      </c>
      <c r="W13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href="canciones/kairoi/señor_dios_me_tienes_ante_ti.html"&gt;Señor Dios, me tienes ante ti&lt;/a&gt;&lt;/li&gt;</v>
      </c>
      <c r="X1378" s="15" t="str">
        <f>_xlfn.TEXTBEFORE(_xlfn.TEXTAFTER(CantoralDB[[#This Row],[index.html]],"&gt;"),"&gt;")&amp;"&gt;"</f>
        <v>&lt;a href="canciones/kairoi/señor_dios_me_tienes_ante_ti.html"&gt;</v>
      </c>
      <c r="Y1378"/>
      <c r="AC1378" s="1"/>
    </row>
    <row r="1379" spans="1:29" x14ac:dyDescent="0.3">
      <c r="A1379" s="1">
        <f>ROW(CantoralDB[[#This Row],[Título]])-1</f>
        <v>1378</v>
      </c>
      <c r="B1379" s="1" t="s">
        <v>174</v>
      </c>
      <c r="C1379" s="1" t="s">
        <v>990</v>
      </c>
      <c r="D1379" s="1" t="s">
        <v>682</v>
      </c>
      <c r="G1379" s="1" t="s">
        <v>208</v>
      </c>
      <c r="H1379" s="1" t="s">
        <v>1027</v>
      </c>
      <c r="J1379" s="1" t="s">
        <v>605</v>
      </c>
      <c r="M1379" s="15" t="s">
        <v>483</v>
      </c>
      <c r="N1379" s="1" t="s">
        <v>1489</v>
      </c>
      <c r="O1379" s="15">
        <v>9</v>
      </c>
      <c r="P1379" s="15">
        <v>1992</v>
      </c>
      <c r="Q1379" s="15" t="str" cm="1">
        <f t="array" ref="Q13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79" s="15" t="str" cm="1">
        <f t="array" ref="R13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canciones/kairoi/bienaventuranzas_(kairoi).html</v>
      </c>
      <c r="T1379" s="1" t="s">
        <v>807</v>
      </c>
      <c r="U1379" s="1"/>
      <c r="V1379" s="32" t="s">
        <v>3807</v>
      </c>
      <c r="W13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data-momento="Comunión" data-nnew="K12"&gt;&lt;a href="canciones/kairoi/bienaventuranzas_(kairoi).html"&gt;Bienaventuranzas (Kairoi)&lt;/a&gt;&lt;/li&gt;</v>
      </c>
      <c r="X1379" s="15" t="str">
        <f>_xlfn.TEXTBEFORE(_xlfn.TEXTAFTER(CantoralDB[[#This Row],[index.html]],"&gt;"),"&gt;")&amp;"&gt;"</f>
        <v>&lt;a href="canciones/kairoi/bienaventuranzas_(kairoi).html"&gt;</v>
      </c>
      <c r="Y1379"/>
      <c r="AC1379" s="1"/>
    </row>
    <row r="1380" spans="1:29" x14ac:dyDescent="0.3">
      <c r="A1380" s="1">
        <f>ROW(CantoralDB[[#This Row],[Título]])-1</f>
        <v>1379</v>
      </c>
      <c r="B1380" s="1" t="s">
        <v>1637</v>
      </c>
      <c r="C1380" s="1"/>
      <c r="H1380" s="1" t="s">
        <v>472</v>
      </c>
      <c r="J1380" s="1" t="s">
        <v>605</v>
      </c>
      <c r="M1380" s="15" t="s">
        <v>483</v>
      </c>
      <c r="N1380" s="1" t="s">
        <v>1489</v>
      </c>
      <c r="O1380" s="15">
        <v>10</v>
      </c>
      <c r="P1380" s="15">
        <v>1992</v>
      </c>
      <c r="Q1380" s="15" t="str" cm="1">
        <f t="array" ref="Q13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0" s="15" t="str" cm="1">
        <f t="array" ref="R13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canciones/kairoi/tu_llamada.html</v>
      </c>
      <c r="T1380" s="1"/>
      <c r="U1380" s="1"/>
      <c r="V1380" s="32" t="s">
        <v>3808</v>
      </c>
      <c r="W13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href="canciones/kairoi/tu_llamada.html"&gt;Tu llamada&lt;/a&gt;&lt;/li&gt;</v>
      </c>
      <c r="X1380" s="15" t="str">
        <f>_xlfn.TEXTBEFORE(_xlfn.TEXTAFTER(CantoralDB[[#This Row],[index.html]],"&gt;"),"&gt;")&amp;"&gt;"</f>
        <v>&lt;a href="canciones/kairoi/tu_llamada.html"&gt;</v>
      </c>
      <c r="Y1380"/>
      <c r="AC1380" s="1"/>
    </row>
    <row r="1381" spans="1:29" x14ac:dyDescent="0.3">
      <c r="A1381" s="1">
        <f>ROW(CantoralDB[[#This Row],[Título]])-1</f>
        <v>1380</v>
      </c>
      <c r="B1381" s="1" t="s">
        <v>1638</v>
      </c>
      <c r="C1381" s="1"/>
      <c r="H1381" s="1" t="s">
        <v>529</v>
      </c>
      <c r="J1381" s="1" t="s">
        <v>605</v>
      </c>
      <c r="M1381" s="15" t="s">
        <v>483</v>
      </c>
      <c r="N1381" s="1" t="s">
        <v>1489</v>
      </c>
      <c r="O1381" s="15">
        <v>11</v>
      </c>
      <c r="P1381" s="15">
        <v>1992</v>
      </c>
      <c r="Q1381" s="15" t="str" cm="1">
        <f t="array" ref="Q13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1" s="15" t="str" cm="1">
        <f t="array" ref="R13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canciones/kairoi/no_es_facil.html</v>
      </c>
      <c r="T1381" s="1"/>
      <c r="U1381" s="1"/>
      <c r="V1381" s="32" t="s">
        <v>3809</v>
      </c>
      <c r="W13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href="canciones/kairoi/no_es_facil.html"&gt;No es fácil&lt;/a&gt;&lt;/li&gt;</v>
      </c>
      <c r="X1381" s="15" t="str">
        <f>_xlfn.TEXTBEFORE(_xlfn.TEXTAFTER(CantoralDB[[#This Row],[index.html]],"&gt;"),"&gt;")&amp;"&gt;"</f>
        <v>&lt;a href="canciones/kairoi/no_es_facil.html"&gt;</v>
      </c>
      <c r="Y1381"/>
      <c r="AC1381" s="1"/>
    </row>
    <row r="1382" spans="1:29" x14ac:dyDescent="0.3">
      <c r="A1382" s="1">
        <f>ROW(CantoralDB[[#This Row],[Título]])-1</f>
        <v>1381</v>
      </c>
      <c r="B1382" s="1" t="s">
        <v>1639</v>
      </c>
      <c r="C1382" s="1"/>
      <c r="H1382" s="1" t="s">
        <v>1025</v>
      </c>
      <c r="J1382" s="1" t="s">
        <v>605</v>
      </c>
      <c r="M1382" s="15" t="s">
        <v>483</v>
      </c>
      <c r="N1382" s="1" t="s">
        <v>1489</v>
      </c>
      <c r="O1382" s="15">
        <v>12</v>
      </c>
      <c r="P1382" s="15">
        <v>1992</v>
      </c>
      <c r="Q1382" s="15" t="str" cm="1">
        <f t="array" ref="Q13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2" s="15" t="str" cm="1">
        <f t="array" ref="R13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canciones/kairoi/nacidos_de_la_cruz.html</v>
      </c>
      <c r="T1382" s="1"/>
      <c r="U1382" s="1"/>
      <c r="V1382" s="32" t="s">
        <v>3810</v>
      </c>
      <c r="W13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href="canciones/kairoi/nacidos_de_la_cruz.html"&gt;Nacidos de la cruz&lt;/a&gt;&lt;/li&gt;</v>
      </c>
      <c r="X1382" s="15" t="str">
        <f>_xlfn.TEXTBEFORE(_xlfn.TEXTAFTER(CantoralDB[[#This Row],[index.html]],"&gt;"),"&gt;")&amp;"&gt;"</f>
        <v>&lt;a href="canciones/kairoi/nacidos_de_la_cruz.html"&gt;</v>
      </c>
      <c r="Y1382"/>
      <c r="AC1382" s="1"/>
    </row>
    <row r="1383" spans="1:29" x14ac:dyDescent="0.3">
      <c r="A1383" s="1">
        <f>ROW(CantoralDB[[#This Row],[Título]])-1</f>
        <v>1382</v>
      </c>
      <c r="B1383" s="1" t="s">
        <v>258</v>
      </c>
      <c r="C1383" s="1" t="s">
        <v>190</v>
      </c>
      <c r="D1383" s="1" t="s">
        <v>738</v>
      </c>
      <c r="F1383" s="1">
        <v>1</v>
      </c>
      <c r="G1383" s="1" t="s">
        <v>212</v>
      </c>
      <c r="H1383" s="1" t="s">
        <v>529</v>
      </c>
      <c r="J1383" s="1" t="s">
        <v>605</v>
      </c>
      <c r="M1383" s="15" t="s">
        <v>483</v>
      </c>
      <c r="N1383" s="1" t="s">
        <v>1480</v>
      </c>
      <c r="O1383" s="15">
        <v>1</v>
      </c>
      <c r="P1383" s="15">
        <v>1979</v>
      </c>
      <c r="Q1383" s="15" t="str" cm="1">
        <f t="array" ref="Q13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3" s="15" t="str" cm="1">
        <f t="array" ref="R13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canciones/kairoi/jesus_es_señor.html</v>
      </c>
      <c r="T1383" s="1" t="s">
        <v>837</v>
      </c>
      <c r="U1383" s="1"/>
      <c r="V1383" s="32" t="s">
        <v>3811</v>
      </c>
      <c r="W13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data-momento="Entrada" data-nnew="A21" data-nrcc="1"&gt;&lt;a href="canciones/kairoi/jesus_es_señor.html"&gt;Jesús es Señor&lt;/a&gt;&lt;/li&gt;</v>
      </c>
      <c r="X1383" s="15" t="str">
        <f>_xlfn.TEXTBEFORE(_xlfn.TEXTAFTER(CantoralDB[[#This Row],[index.html]],"&gt;"),"&gt;")&amp;"&gt;"</f>
        <v>&lt;a href="canciones/kairoi/jesus_es_señor.html"&gt;</v>
      </c>
      <c r="Y1383"/>
      <c r="AC1383" s="1"/>
    </row>
    <row r="1384" spans="1:29" x14ac:dyDescent="0.3">
      <c r="A1384" s="1">
        <f>ROW(CantoralDB[[#This Row],[Título]])-1</f>
        <v>1383</v>
      </c>
      <c r="B1384" s="1" t="s">
        <v>166</v>
      </c>
      <c r="C1384" s="1" t="s">
        <v>199</v>
      </c>
      <c r="D1384" s="1" t="s">
        <v>1055</v>
      </c>
      <c r="E1384" s="1">
        <v>474</v>
      </c>
      <c r="F1384" s="1">
        <v>60</v>
      </c>
      <c r="G1384" s="1" t="s">
        <v>208</v>
      </c>
      <c r="H1384" s="1" t="s">
        <v>1024</v>
      </c>
      <c r="J1384" s="1" t="s">
        <v>605</v>
      </c>
      <c r="M1384" s="15" t="s">
        <v>483</v>
      </c>
      <c r="N1384" s="1" t="s">
        <v>1480</v>
      </c>
      <c r="O1384" s="15">
        <v>2</v>
      </c>
      <c r="P1384" s="15">
        <v>1979</v>
      </c>
      <c r="Q1384" s="15" t="str" cm="1">
        <f t="array" ref="Q13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4" s="15" t="str" cm="1">
        <f t="array" ref="R13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canciones/kairoi/yo_cantare_(magnificat).html</v>
      </c>
      <c r="T1384" s="1" t="s">
        <v>865</v>
      </c>
      <c r="U1384" s="1"/>
      <c r="V1384" s="32" t="s">
        <v>3812</v>
      </c>
      <c r="W13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data-momento="María" data-nnew="M24" data-nold="474" data-nrcc="60"&gt;&lt;a href="canciones/kairoi/yo_cantare_(magnificat).html"&gt;Yo cantaré (Magnificat)&lt;/a&gt;&lt;/li&gt;</v>
      </c>
      <c r="X1384" s="15" t="str">
        <f>_xlfn.TEXTBEFORE(_xlfn.TEXTAFTER(CantoralDB[[#This Row],[index.html]],"&gt;"),"&gt;")&amp;"&gt;"</f>
        <v>&lt;a href="canciones/kairoi/yo_cantare_(magnificat).html"&gt;</v>
      </c>
      <c r="Y1384"/>
      <c r="AC1384" s="1"/>
    </row>
    <row r="1385" spans="1:29" x14ac:dyDescent="0.3">
      <c r="A1385" s="1">
        <f>ROW(CantoralDB[[#This Row],[Título]])-1</f>
        <v>1384</v>
      </c>
      <c r="B1385" s="1" t="s">
        <v>224</v>
      </c>
      <c r="C1385" s="1" t="s">
        <v>190</v>
      </c>
      <c r="D1385" s="1" t="s">
        <v>739</v>
      </c>
      <c r="F1385" s="1">
        <v>11</v>
      </c>
      <c r="G1385" s="1" t="s">
        <v>215</v>
      </c>
      <c r="H1385" s="1" t="s">
        <v>529</v>
      </c>
      <c r="J1385" s="1" t="s">
        <v>605</v>
      </c>
      <c r="M1385" s="15" t="s">
        <v>483</v>
      </c>
      <c r="N1385" s="1" t="s">
        <v>1480</v>
      </c>
      <c r="O1385" s="15">
        <v>3</v>
      </c>
      <c r="P1385" s="15">
        <v>1979</v>
      </c>
      <c r="Q1385" s="15" t="str" cm="1">
        <f t="array" ref="Q13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5" s="15" t="str" cm="1">
        <f t="array" ref="R13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canciones/kairoi/jesus_esta_entre_nosotros.html</v>
      </c>
      <c r="T1385" s="1"/>
      <c r="U1385" s="1"/>
      <c r="V1385" s="32" t="s">
        <v>3813</v>
      </c>
      <c r="W13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data-momento="Entrada" data-nnew="A22" data-nrcc="11"&gt;&lt;a href="canciones/kairoi/jesus_esta_entre_nosotros.html"&gt;Jesús está entre nosotros&lt;/a&gt;&lt;/li&gt;</v>
      </c>
      <c r="X1385" s="15" t="str">
        <f>_xlfn.TEXTBEFORE(_xlfn.TEXTAFTER(CantoralDB[[#This Row],[index.html]],"&gt;"),"&gt;")&amp;"&gt;"</f>
        <v>&lt;a href="canciones/kairoi/jesus_esta_entre_nosotros.html"&gt;</v>
      </c>
      <c r="Y1385"/>
      <c r="AC1385" s="1"/>
    </row>
    <row r="1386" spans="1:29" x14ac:dyDescent="0.3">
      <c r="A1386" s="1">
        <f>ROW(CantoralDB[[#This Row],[Título]])-1</f>
        <v>1385</v>
      </c>
      <c r="B1386" s="1" t="s">
        <v>601</v>
      </c>
      <c r="C1386" s="1" t="s">
        <v>990</v>
      </c>
      <c r="D1386" s="1" t="s">
        <v>704</v>
      </c>
      <c r="F1386" s="1">
        <v>172</v>
      </c>
      <c r="G1386" s="1" t="s">
        <v>212</v>
      </c>
      <c r="H1386" s="1" t="s">
        <v>529</v>
      </c>
      <c r="J1386" s="1" t="s">
        <v>605</v>
      </c>
      <c r="M1386" s="15" t="s">
        <v>483</v>
      </c>
      <c r="N1386" s="1" t="s">
        <v>1480</v>
      </c>
      <c r="O1386" s="15">
        <v>4</v>
      </c>
      <c r="P1386" s="15">
        <v>1979</v>
      </c>
      <c r="Q1386" s="15" t="str" cm="1">
        <f t="array" ref="Q13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6" s="15" t="str" cm="1">
        <f t="array" ref="R13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canciones/kairoi/hablame.html</v>
      </c>
      <c r="T1386" s="1"/>
      <c r="U1386" s="1"/>
      <c r="V1386" s="32" t="s">
        <v>3814</v>
      </c>
      <c r="W13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data-momento="Comunión" data-nnew="K34" data-nrcc="172"&gt;&lt;a href="canciones/kairoi/hablame.html"&gt;Háblame&lt;/a&gt;&lt;/li&gt;</v>
      </c>
      <c r="X1386" s="15" t="str">
        <f>_xlfn.TEXTBEFORE(_xlfn.TEXTAFTER(CantoralDB[[#This Row],[index.html]],"&gt;"),"&gt;")&amp;"&gt;"</f>
        <v>&lt;a href="canciones/kairoi/hablame.html"&gt;</v>
      </c>
      <c r="Y1386"/>
      <c r="AC1386" s="1"/>
    </row>
    <row r="1387" spans="1:29" x14ac:dyDescent="0.3">
      <c r="A1387" s="1">
        <f>ROW(CantoralDB[[#This Row],[Título]])-1</f>
        <v>1386</v>
      </c>
      <c r="B1387" s="1" t="s">
        <v>103</v>
      </c>
      <c r="C1387" s="1" t="s">
        <v>990</v>
      </c>
      <c r="D1387" s="1" t="s">
        <v>722</v>
      </c>
      <c r="E1387" s="1">
        <v>443</v>
      </c>
      <c r="F1387" s="1">
        <v>208</v>
      </c>
      <c r="G1387" s="1" t="s">
        <v>208</v>
      </c>
      <c r="H1387" s="1" t="s">
        <v>529</v>
      </c>
      <c r="I1387" s="1" t="s">
        <v>2948</v>
      </c>
      <c r="J1387" s="1" t="s">
        <v>605</v>
      </c>
      <c r="M1387" s="15" t="s">
        <v>483</v>
      </c>
      <c r="N1387" s="1" t="s">
        <v>1480</v>
      </c>
      <c r="O1387" s="15">
        <v>5</v>
      </c>
      <c r="P1387" s="15">
        <v>1979</v>
      </c>
      <c r="Q1387" s="15" t="str" cm="1">
        <f t="array" ref="Q13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7" s="15" t="str" cm="1">
        <f t="array" ref="R13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canciones/kairoi/oracion_del_pobre.html</v>
      </c>
      <c r="T1387" s="1"/>
      <c r="U1387" s="1"/>
      <c r="V1387" s="32" t="s">
        <v>3815</v>
      </c>
      <c r="W13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data-momento="Comunión" data-nnew="K52" data-nold="443" data-nrcc="208"&gt;&lt;a href="canciones/kairoi/oracion_del_pobre.html"&gt;Oración del pobre&lt;/a&gt;&lt;/li&gt;</v>
      </c>
      <c r="X1387" s="15" t="str">
        <f>_xlfn.TEXTBEFORE(_xlfn.TEXTAFTER(CantoralDB[[#This Row],[index.html]],"&gt;"),"&gt;")&amp;"&gt;"</f>
        <v>&lt;a href="canciones/kairoi/oracion_del_pobre.html"&gt;</v>
      </c>
      <c r="Y1387"/>
      <c r="AC1387" s="1"/>
    </row>
    <row r="1388" spans="1:29" x14ac:dyDescent="0.3">
      <c r="A1388" s="1">
        <f>ROW(CantoralDB[[#This Row],[Título]])-1</f>
        <v>1387</v>
      </c>
      <c r="B1388" s="1" t="s">
        <v>1534</v>
      </c>
      <c r="C1388" s="1"/>
      <c r="F1388" s="1">
        <v>232</v>
      </c>
      <c r="H1388" s="1" t="s">
        <v>1024</v>
      </c>
      <c r="J1388" s="1" t="s">
        <v>605</v>
      </c>
      <c r="M1388" s="15" t="s">
        <v>483</v>
      </c>
      <c r="N1388" s="1" t="s">
        <v>1480</v>
      </c>
      <c r="O1388" s="15">
        <v>6</v>
      </c>
      <c r="P1388" s="15">
        <v>1979</v>
      </c>
      <c r="Q1388" s="15" t="str" cm="1">
        <f t="array" ref="Q13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8" s="15" t="str" cm="1">
        <f t="array" ref="R13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3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canciones/kairoi/himno_a_dios.html</v>
      </c>
      <c r="T1388" s="1"/>
      <c r="U1388" s="1"/>
      <c r="V1388" s="32" t="s">
        <v>3816</v>
      </c>
      <c r="W13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data-nrcc="232"&gt;&lt;a href="canciones/kairoi/himno_a_dios.html"&gt;Himno a Dios&lt;/a&gt;&lt;/li&gt;</v>
      </c>
      <c r="X1388" s="15" t="str">
        <f>_xlfn.TEXTBEFORE(_xlfn.TEXTAFTER(CantoralDB[[#This Row],[index.html]],"&gt;"),"&gt;")&amp;"&gt;"</f>
        <v>&lt;a href="canciones/kairoi/himno_a_dios.html"&gt;</v>
      </c>
      <c r="Y1388"/>
      <c r="AC1388" s="1"/>
    </row>
    <row r="1389" spans="1:29" x14ac:dyDescent="0.3">
      <c r="A1389" s="1">
        <f>ROW(CantoralDB[[#This Row],[Título]])-1</f>
        <v>1388</v>
      </c>
      <c r="B1389" s="1" t="s">
        <v>1535</v>
      </c>
      <c r="C1389" s="1"/>
      <c r="H1389" s="1" t="s">
        <v>1026</v>
      </c>
      <c r="J1389" s="1" t="s">
        <v>605</v>
      </c>
      <c r="M1389" s="15" t="s">
        <v>483</v>
      </c>
      <c r="N1389" s="1" t="s">
        <v>1480</v>
      </c>
      <c r="O1389" s="15">
        <v>7</v>
      </c>
      <c r="P1389" s="15">
        <v>1979</v>
      </c>
      <c r="Q1389" s="15" t="str" cm="1">
        <f t="array" ref="Q13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89" s="15" t="str" cm="1">
        <f t="array" ref="R13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canciones/kairoi/ven_señor_jesus.html</v>
      </c>
      <c r="T1389" s="1"/>
      <c r="U1389" s="1"/>
      <c r="V1389" s="32" t="s">
        <v>3817</v>
      </c>
      <c r="W13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href="canciones/kairoi/ven_señor_jesus.html"&gt;Ven, Señor Jesús&lt;/a&gt;&lt;/li&gt;</v>
      </c>
      <c r="X1389" s="15" t="str">
        <f>_xlfn.TEXTBEFORE(_xlfn.TEXTAFTER(CantoralDB[[#This Row],[index.html]],"&gt;"),"&gt;")&amp;"&gt;"</f>
        <v>&lt;a href="canciones/kairoi/ven_señor_jesus.html"&gt;</v>
      </c>
      <c r="Y1389"/>
      <c r="AC1389" s="1"/>
    </row>
    <row r="1390" spans="1:29" x14ac:dyDescent="0.3">
      <c r="A1390" s="1">
        <f>ROW(CantoralDB[[#This Row],[Título]])-1</f>
        <v>1389</v>
      </c>
      <c r="B1390" s="1" t="s">
        <v>1296</v>
      </c>
      <c r="C1390" s="1"/>
      <c r="F1390" s="1">
        <v>137</v>
      </c>
      <c r="H1390" s="1" t="s">
        <v>529</v>
      </c>
      <c r="J1390" s="1" t="s">
        <v>605</v>
      </c>
      <c r="M1390" s="15" t="s">
        <v>483</v>
      </c>
      <c r="N1390" s="1" t="s">
        <v>1480</v>
      </c>
      <c r="O1390" s="15">
        <v>8</v>
      </c>
      <c r="P1390" s="15">
        <v>1979</v>
      </c>
      <c r="Q1390" s="15" t="str" cm="1">
        <f t="array" ref="Q13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0" s="15" t="str" cm="1">
        <f t="array" ref="R13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3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canciones/kairoi/padre_me_pongo_en_tus_manos.html</v>
      </c>
      <c r="T1390" s="1"/>
      <c r="U1390" s="1"/>
      <c r="V1390" s="32" t="s">
        <v>3818</v>
      </c>
      <c r="W13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data-nrcc="137"&gt;&lt;a href="canciones/kairoi/padre_me_pongo_en_tus_manos.html"&gt;Padre, me pongo en tus manos&lt;/a&gt;&lt;/li&gt;</v>
      </c>
      <c r="X1390" s="15" t="str">
        <f>_xlfn.TEXTBEFORE(_xlfn.TEXTAFTER(CantoralDB[[#This Row],[index.html]],"&gt;"),"&gt;")&amp;"&gt;"</f>
        <v>&lt;a href="canciones/kairoi/padre_me_pongo_en_tus_manos.html"&gt;</v>
      </c>
      <c r="Y1390"/>
      <c r="AC1390" s="1"/>
    </row>
    <row r="1391" spans="1:29" x14ac:dyDescent="0.3">
      <c r="A1391" s="1">
        <f>ROW(CantoralDB[[#This Row],[Título]])-1</f>
        <v>1390</v>
      </c>
      <c r="B1391" s="1" t="s">
        <v>606</v>
      </c>
      <c r="C1391" s="1" t="s">
        <v>192</v>
      </c>
      <c r="D1391" s="1" t="s">
        <v>1418</v>
      </c>
      <c r="F1391" s="1">
        <v>241</v>
      </c>
      <c r="G1391" s="1" t="s">
        <v>212</v>
      </c>
      <c r="H1391" s="1" t="s">
        <v>529</v>
      </c>
      <c r="I1391" s="1" t="s">
        <v>2948</v>
      </c>
      <c r="J1391" s="1" t="s">
        <v>605</v>
      </c>
      <c r="M1391" s="15" t="s">
        <v>483</v>
      </c>
      <c r="N1391" s="1" t="s">
        <v>1480</v>
      </c>
      <c r="O1391" s="15">
        <v>9</v>
      </c>
      <c r="P1391" s="15">
        <v>1979</v>
      </c>
      <c r="Q1391" s="15" t="str" cm="1">
        <f t="array" ref="Q13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1" s="15" t="str" cm="1">
        <f t="array" ref="R13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3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canciones/kairoi/gloria_a_dios_(no_se_como_alabarte).html</v>
      </c>
      <c r="T1391" s="1"/>
      <c r="U1391" s="1"/>
      <c r="V1391" s="32" t="s">
        <v>3819</v>
      </c>
      <c r="W13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data-momento="Gloria" data-nnew="C01" data-nrcc="241"&gt;&lt;a href="canciones/kairoi/gloria_a_dios_(no_se_como_alabarte).html"&gt;Gloria a Dios (No sé cómo alabarte)&lt;/a&gt;&lt;/li&gt;</v>
      </c>
      <c r="X1391" s="15" t="str">
        <f>_xlfn.TEXTBEFORE(_xlfn.TEXTAFTER(CantoralDB[[#This Row],[index.html]],"&gt;"),"&gt;")&amp;"&gt;"</f>
        <v>&lt;a href="canciones/kairoi/gloria_a_dios_(no_se_como_alabarte).html"&gt;</v>
      </c>
      <c r="Y1391"/>
      <c r="AC1391" s="1"/>
    </row>
    <row r="1392" spans="1:29" x14ac:dyDescent="0.3">
      <c r="A1392" s="1">
        <f>ROW(CantoralDB[[#This Row],[Título]])-1</f>
        <v>1391</v>
      </c>
      <c r="B1392" s="1" t="s">
        <v>1536</v>
      </c>
      <c r="C1392" s="1"/>
      <c r="F1392" s="1">
        <v>265</v>
      </c>
      <c r="H1392" s="1" t="s">
        <v>1024</v>
      </c>
      <c r="J1392" s="1" t="s">
        <v>605</v>
      </c>
      <c r="M1392" s="15" t="s">
        <v>483</v>
      </c>
      <c r="N1392" s="1" t="s">
        <v>1480</v>
      </c>
      <c r="O1392" s="15">
        <v>10</v>
      </c>
      <c r="P1392" s="15">
        <v>1979</v>
      </c>
      <c r="Q1392" s="15" t="str" cm="1">
        <f t="array" ref="Q13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2" s="15" t="str" cm="1">
        <f t="array" ref="R13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3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canciones/kairoi/tu_me_sondeas.html</v>
      </c>
      <c r="T1392" s="1"/>
      <c r="U1392" s="1"/>
      <c r="V1392" s="32" t="s">
        <v>3820</v>
      </c>
      <c r="W13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data-nrcc="265"&gt;&lt;a href="canciones/kairoi/tu_me_sondeas.html"&gt;Tú me sondeas&lt;/a&gt;&lt;/li&gt;</v>
      </c>
      <c r="X1392" s="15" t="str">
        <f>_xlfn.TEXTBEFORE(_xlfn.TEXTAFTER(CantoralDB[[#This Row],[index.html]],"&gt;"),"&gt;")&amp;"&gt;"</f>
        <v>&lt;a href="canciones/kairoi/tu_me_sondeas.html"&gt;</v>
      </c>
      <c r="Y1392"/>
      <c r="AC1392" s="1"/>
    </row>
    <row r="1393" spans="1:29" x14ac:dyDescent="0.3">
      <c r="A1393" s="1">
        <f>ROW(CantoralDB[[#This Row],[Título]])-1</f>
        <v>1392</v>
      </c>
      <c r="B1393" s="1" t="s">
        <v>1537</v>
      </c>
      <c r="C1393" s="1"/>
      <c r="F1393" s="1">
        <v>22</v>
      </c>
      <c r="H1393" s="1" t="s">
        <v>1026</v>
      </c>
      <c r="J1393" s="1" t="s">
        <v>605</v>
      </c>
      <c r="M1393" s="15" t="s">
        <v>483</v>
      </c>
      <c r="N1393" s="1" t="s">
        <v>1480</v>
      </c>
      <c r="O1393" s="15">
        <v>11</v>
      </c>
      <c r="P1393" s="15">
        <v>1979</v>
      </c>
      <c r="Q1393" s="15" t="str" cm="1">
        <f t="array" ref="Q13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3" s="15" t="str" cm="1">
        <f t="array" ref="R13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3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canciones/kairoi/el_agua_del_señor.html</v>
      </c>
      <c r="T1393" s="1"/>
      <c r="U1393" s="1"/>
      <c r="V1393" s="32" t="s">
        <v>3821</v>
      </c>
      <c r="W13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data-nrcc="22"&gt;&lt;a href="canciones/kairoi/el_agua_del_señor.html"&gt;El agua del Señor&lt;/a&gt;&lt;/li&gt;</v>
      </c>
      <c r="X1393" s="15" t="str">
        <f>_xlfn.TEXTBEFORE(_xlfn.TEXTAFTER(CantoralDB[[#This Row],[index.html]],"&gt;"),"&gt;")&amp;"&gt;"</f>
        <v>&lt;a href="canciones/kairoi/el_agua_del_señor.html"&gt;</v>
      </c>
      <c r="Y1393"/>
      <c r="AC1393" s="1"/>
    </row>
    <row r="1394" spans="1:29" x14ac:dyDescent="0.3">
      <c r="A1394" s="1">
        <f>ROW(CantoralDB[[#This Row],[Título]])-1</f>
        <v>1393</v>
      </c>
      <c r="B1394" s="1" t="s">
        <v>1538</v>
      </c>
      <c r="C1394" s="1"/>
      <c r="H1394" s="1" t="s">
        <v>529</v>
      </c>
      <c r="J1394" s="1" t="s">
        <v>605</v>
      </c>
      <c r="M1394" s="15" t="s">
        <v>483</v>
      </c>
      <c r="N1394" s="1" t="s">
        <v>1480</v>
      </c>
      <c r="O1394" s="15">
        <v>12</v>
      </c>
      <c r="P1394" s="15">
        <v>1979</v>
      </c>
      <c r="Q1394" s="15" t="str" cm="1">
        <f t="array" ref="Q13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4" s="15" t="str" cm="1">
        <f t="array" ref="R13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canciones/kairoi/canta_jerusalen.html</v>
      </c>
      <c r="T1394" s="1"/>
      <c r="U1394" s="1"/>
      <c r="V1394" s="32" t="s">
        <v>3822</v>
      </c>
      <c r="W13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href="canciones/kairoi/canta_jerusalen.html"&gt;Canta Jerusalén&lt;/a&gt;&lt;/li&gt;</v>
      </c>
      <c r="X1394" s="15" t="str">
        <f>_xlfn.TEXTBEFORE(_xlfn.TEXTAFTER(CantoralDB[[#This Row],[index.html]],"&gt;"),"&gt;")&amp;"&gt;"</f>
        <v>&lt;a href="canciones/kairoi/canta_jerusalen.html"&gt;</v>
      </c>
      <c r="Y1394"/>
      <c r="AC1394" s="1"/>
    </row>
    <row r="1395" spans="1:29" x14ac:dyDescent="0.3">
      <c r="A1395" s="1">
        <f>ROW(CantoralDB[[#This Row],[Título]])-1</f>
        <v>1394</v>
      </c>
      <c r="B1395" s="1" t="s">
        <v>1739</v>
      </c>
      <c r="C1395" s="1"/>
      <c r="J1395" s="1"/>
      <c r="M1395" s="15" t="s">
        <v>483</v>
      </c>
      <c r="N1395" s="1" t="s">
        <v>1501</v>
      </c>
      <c r="O1395" s="15">
        <v>3</v>
      </c>
      <c r="P1395" s="15">
        <v>2020</v>
      </c>
      <c r="Q1395" s="15" t="str" cm="1">
        <f t="array" ref="Q13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5" s="15" t="str" cm="1">
        <f t="array" ref="R13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canciones/kairoi/entorno_al_pan.html</v>
      </c>
      <c r="T1395" s="1"/>
      <c r="U1395" s="1"/>
      <c r="V1395" s="32" t="s">
        <v>3823</v>
      </c>
      <c r="W13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href="canciones/kairoi/entorno_al_pan.html"&gt;Entorno al pan&lt;/a&gt;&lt;/li&gt;</v>
      </c>
      <c r="X1395" s="15" t="str">
        <f>_xlfn.TEXTBEFORE(_xlfn.TEXTAFTER(CantoralDB[[#This Row],[index.html]],"&gt;"),"&gt;")&amp;"&gt;"</f>
        <v>&lt;a href="canciones/kairoi/entorno_al_pan.html"&gt;</v>
      </c>
      <c r="Y1395"/>
      <c r="AC1395" s="1"/>
    </row>
    <row r="1396" spans="1:29" x14ac:dyDescent="0.3">
      <c r="A1396" s="1">
        <f>ROW(CantoralDB[[#This Row],[Título]])-1</f>
        <v>1395</v>
      </c>
      <c r="B1396" s="1" t="s">
        <v>1622</v>
      </c>
      <c r="C1396" s="1"/>
      <c r="H1396" s="1" t="s">
        <v>1024</v>
      </c>
      <c r="J1396" s="1" t="s">
        <v>605</v>
      </c>
      <c r="M1396" s="15" t="s">
        <v>483</v>
      </c>
      <c r="N1396" s="1" t="s">
        <v>1501</v>
      </c>
      <c r="O1396" s="15">
        <v>5</v>
      </c>
      <c r="P1396" s="15">
        <v>2020</v>
      </c>
      <c r="Q1396" s="15" t="str" cm="1">
        <f t="array" ref="Q13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6" s="15" t="str" cm="1">
        <f t="array" ref="R13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canciones/kairoi/diremos_que_si.html</v>
      </c>
      <c r="T1396" s="1"/>
      <c r="U1396" s="1"/>
      <c r="V1396" s="32" t="s">
        <v>3824</v>
      </c>
      <c r="W13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href="canciones/kairoi/diremos_que_si.html"&gt;Diremos que sí&lt;/a&gt;&lt;/li&gt;</v>
      </c>
      <c r="X1396" s="15" t="str">
        <f>_xlfn.TEXTBEFORE(_xlfn.TEXTAFTER(CantoralDB[[#This Row],[index.html]],"&gt;"),"&gt;")&amp;"&gt;"</f>
        <v>&lt;a href="canciones/kairoi/diremos_que_si.html"&gt;</v>
      </c>
      <c r="Y1396"/>
      <c r="AC1396" s="1"/>
    </row>
    <row r="1397" spans="1:29" x14ac:dyDescent="0.3">
      <c r="A1397" s="1">
        <f>ROW(CantoralDB[[#This Row],[Título]])-1</f>
        <v>1396</v>
      </c>
      <c r="B1397" s="1" t="s">
        <v>1721</v>
      </c>
      <c r="C1397" s="1"/>
      <c r="J1397" s="1"/>
      <c r="M1397" s="15" t="s">
        <v>483</v>
      </c>
      <c r="N1397" s="1" t="s">
        <v>1501</v>
      </c>
      <c r="O1397" s="15">
        <v>6</v>
      </c>
      <c r="P1397" s="15">
        <v>2020</v>
      </c>
      <c r="Q1397" s="15" t="str" cm="1">
        <f t="array" ref="Q13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7" s="15" t="str" cm="1">
        <f t="array" ref="R13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canciones/kairoi/caminar.html</v>
      </c>
      <c r="T1397" s="1"/>
      <c r="U1397" s="1"/>
      <c r="V1397" s="32" t="s">
        <v>3825</v>
      </c>
      <c r="W13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href="canciones/kairoi/caminar.html"&gt;Caminar&lt;/a&gt;&lt;/li&gt;</v>
      </c>
      <c r="X1397" s="15" t="str">
        <f>_xlfn.TEXTBEFORE(_xlfn.TEXTAFTER(CantoralDB[[#This Row],[index.html]],"&gt;"),"&gt;")&amp;"&gt;"</f>
        <v>&lt;a href="canciones/kairoi/caminar.html"&gt;</v>
      </c>
      <c r="Y1397"/>
      <c r="AC1397" s="1"/>
    </row>
    <row r="1398" spans="1:29" x14ac:dyDescent="0.3">
      <c r="A1398" s="1">
        <f>ROW(CantoralDB[[#This Row],[Título]])-1</f>
        <v>1397</v>
      </c>
      <c r="B1398" s="1" t="s">
        <v>1567</v>
      </c>
      <c r="C1398" s="1"/>
      <c r="H1398" s="1" t="s">
        <v>529</v>
      </c>
      <c r="J1398" s="1" t="s">
        <v>605</v>
      </c>
      <c r="M1398" s="15" t="s">
        <v>483</v>
      </c>
      <c r="N1398" s="1" t="s">
        <v>1501</v>
      </c>
      <c r="O1398" s="15">
        <v>7</v>
      </c>
      <c r="P1398" s="15">
        <v>2020</v>
      </c>
      <c r="Q1398" s="15" t="str" cm="1">
        <f t="array" ref="Q13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8" s="15" t="str" cm="1">
        <f t="array" ref="R13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canciones/kairoi/gracias_por_tu_don.html</v>
      </c>
      <c r="T1398" s="1"/>
      <c r="U1398" s="1"/>
      <c r="V1398" s="32" t="s">
        <v>3826</v>
      </c>
      <c r="W13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href="canciones/kairoi/gracias_por_tu_don.html"&gt;Gracias por tu don&lt;/a&gt;&lt;/li&gt;</v>
      </c>
      <c r="X1398" s="15" t="str">
        <f>_xlfn.TEXTBEFORE(_xlfn.TEXTAFTER(CantoralDB[[#This Row],[index.html]],"&gt;"),"&gt;")&amp;"&gt;"</f>
        <v>&lt;a href="canciones/kairoi/gracias_por_tu_don.html"&gt;</v>
      </c>
      <c r="Y1398"/>
      <c r="AC1398" s="1"/>
    </row>
    <row r="1399" spans="1:29" x14ac:dyDescent="0.3">
      <c r="A1399" s="1">
        <f>ROW(CantoralDB[[#This Row],[Título]])-1</f>
        <v>1398</v>
      </c>
      <c r="B1399" s="1" t="s">
        <v>1740</v>
      </c>
      <c r="C1399" s="1"/>
      <c r="J1399" s="1"/>
      <c r="M1399" s="15" t="s">
        <v>483</v>
      </c>
      <c r="N1399" s="1" t="s">
        <v>1501</v>
      </c>
      <c r="O1399" s="15">
        <v>9</v>
      </c>
      <c r="P1399" s="15">
        <v>2020</v>
      </c>
      <c r="Q1399" s="15" t="str" cm="1">
        <f t="array" ref="Q13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399" s="15" t="str" cm="1">
        <f t="array" ref="R13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3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canciones/kairoi/somos.html</v>
      </c>
      <c r="T1399" s="1"/>
      <c r="U1399" s="1"/>
      <c r="V1399" s="32" t="s">
        <v>3827</v>
      </c>
      <c r="W13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href="canciones/kairoi/somos.html"&gt;Somos&lt;/a&gt;&lt;/li&gt;</v>
      </c>
      <c r="X1399" s="15" t="str">
        <f>_xlfn.TEXTBEFORE(_xlfn.TEXTAFTER(CantoralDB[[#This Row],[index.html]],"&gt;"),"&gt;")&amp;"&gt;"</f>
        <v>&lt;a href="canciones/kairoi/somos.html"&gt;</v>
      </c>
      <c r="Y1399"/>
      <c r="AC1399" s="1"/>
    </row>
    <row r="1400" spans="1:29" x14ac:dyDescent="0.3">
      <c r="A1400" s="1">
        <f>ROW(CantoralDB[[#This Row],[Título]])-1</f>
        <v>1399</v>
      </c>
      <c r="B1400" s="1" t="s">
        <v>1590</v>
      </c>
      <c r="C1400" s="1"/>
      <c r="J1400" s="1"/>
      <c r="M1400" s="15" t="s">
        <v>483</v>
      </c>
      <c r="N1400" s="1" t="s">
        <v>1482</v>
      </c>
      <c r="O1400" s="15">
        <v>1</v>
      </c>
      <c r="P1400" s="15">
        <v>1981</v>
      </c>
      <c r="Q1400" s="15" t="str" cm="1">
        <f t="array" ref="Q14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0" s="15" t="str" cm="1">
        <f t="array" ref="R14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canciones/kairoi/un_himno_surgira.html</v>
      </c>
      <c r="T1400" s="1"/>
      <c r="U1400" s="1"/>
      <c r="V1400" s="32" t="s">
        <v>3828</v>
      </c>
      <c r="W14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href="canciones/kairoi/un_himno_surgira.html"&gt;Un himno surgirá&lt;/a&gt;&lt;/li&gt;</v>
      </c>
      <c r="X1400" s="15" t="str">
        <f>_xlfn.TEXTBEFORE(_xlfn.TEXTAFTER(CantoralDB[[#This Row],[index.html]],"&gt;"),"&gt;")&amp;"&gt;"</f>
        <v>&lt;a href="canciones/kairoi/un_himno_surgira.html"&gt;</v>
      </c>
      <c r="Y1400"/>
      <c r="AC1400" s="1"/>
    </row>
    <row r="1401" spans="1:29" x14ac:dyDescent="0.3">
      <c r="A1401" s="1">
        <f>ROW(CantoralDB[[#This Row],[Título]])-1</f>
        <v>1400</v>
      </c>
      <c r="B1401" s="1" t="s">
        <v>1591</v>
      </c>
      <c r="C1401" s="1"/>
      <c r="J1401" s="1"/>
      <c r="M1401" s="15" t="s">
        <v>483</v>
      </c>
      <c r="N1401" s="1" t="s">
        <v>1482</v>
      </c>
      <c r="O1401" s="15">
        <v>3</v>
      </c>
      <c r="P1401" s="15">
        <v>1981</v>
      </c>
      <c r="Q1401" s="15" t="str" cm="1">
        <f t="array" ref="Q14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1" s="15" t="str" cm="1">
        <f t="array" ref="R14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canciones/kairoi/hermitage_casa_del_señor.html</v>
      </c>
      <c r="T1401" s="1"/>
      <c r="U1401" s="1"/>
      <c r="V1401" s="32" t="s">
        <v>3829</v>
      </c>
      <c r="W14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href="canciones/kairoi/hermitage_casa_del_señor.html"&gt;Hermitage, casa del Señor&lt;/a&gt;&lt;/li&gt;</v>
      </c>
      <c r="X1401" s="15" t="str">
        <f>_xlfn.TEXTBEFORE(_xlfn.TEXTAFTER(CantoralDB[[#This Row],[index.html]],"&gt;"),"&gt;")&amp;"&gt;"</f>
        <v>&lt;a href="canciones/kairoi/hermitage_casa_del_señor.html"&gt;</v>
      </c>
      <c r="Y1401"/>
      <c r="AC1401" s="1"/>
    </row>
    <row r="1402" spans="1:29" x14ac:dyDescent="0.3">
      <c r="A1402" s="1">
        <f>ROW(CantoralDB[[#This Row],[Título]])-1</f>
        <v>1401</v>
      </c>
      <c r="B1402" s="1" t="s">
        <v>1592</v>
      </c>
      <c r="C1402" s="1"/>
      <c r="J1402" s="1"/>
      <c r="M1402" s="15" t="s">
        <v>483</v>
      </c>
      <c r="N1402" s="1" t="s">
        <v>1482</v>
      </c>
      <c r="O1402" s="15">
        <v>5</v>
      </c>
      <c r="P1402" s="15">
        <v>1981</v>
      </c>
      <c r="Q1402" s="15" t="str" cm="1">
        <f t="array" ref="Q14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2" s="15" t="str" cm="1">
        <f t="array" ref="R14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canciones/kairoi/donde_haya_un_niño.html</v>
      </c>
      <c r="T1402" s="1"/>
      <c r="U1402" s="1"/>
      <c r="V1402" s="32" t="s">
        <v>3830</v>
      </c>
      <c r="W14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href="canciones/kairoi/donde_haya_un_niño.html"&gt;Donde haya un niño&lt;/a&gt;&lt;/li&gt;</v>
      </c>
      <c r="X1402" s="15" t="str">
        <f>_xlfn.TEXTBEFORE(_xlfn.TEXTAFTER(CantoralDB[[#This Row],[index.html]],"&gt;"),"&gt;")&amp;"&gt;"</f>
        <v>&lt;a href="canciones/kairoi/donde_haya_un_niño.html"&gt;</v>
      </c>
      <c r="Y1402"/>
      <c r="AC1402" s="1"/>
    </row>
    <row r="1403" spans="1:29" x14ac:dyDescent="0.3">
      <c r="A1403" s="1">
        <f>ROW(CantoralDB[[#This Row],[Título]])-1</f>
        <v>1402</v>
      </c>
      <c r="B1403" s="1" t="s">
        <v>1593</v>
      </c>
      <c r="C1403" s="1"/>
      <c r="J1403" s="1"/>
      <c r="M1403" s="15" t="s">
        <v>483</v>
      </c>
      <c r="N1403" s="1" t="s">
        <v>1482</v>
      </c>
      <c r="O1403" s="15">
        <v>6</v>
      </c>
      <c r="P1403" s="15">
        <v>1981</v>
      </c>
      <c r="Q1403" s="15" t="str" cm="1">
        <f t="array" ref="Q14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3" s="15" t="str" cm="1">
        <f t="array" ref="R14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canciones/kairoi/pienso_en_usted.html</v>
      </c>
      <c r="T1403" s="1"/>
      <c r="U1403" s="1"/>
      <c r="V1403" s="32" t="s">
        <v>3831</v>
      </c>
      <c r="W14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href="canciones/kairoi/pienso_en_usted.html"&gt;Pienso en usted&lt;/a&gt;&lt;/li&gt;</v>
      </c>
      <c r="X1403" s="15" t="str">
        <f>_xlfn.TEXTBEFORE(_xlfn.TEXTAFTER(CantoralDB[[#This Row],[index.html]],"&gt;"),"&gt;")&amp;"&gt;"</f>
        <v>&lt;a href="canciones/kairoi/pienso_en_usted.html"&gt;</v>
      </c>
      <c r="Y1403"/>
      <c r="AC1403" s="1"/>
    </row>
    <row r="1404" spans="1:29" x14ac:dyDescent="0.3">
      <c r="A1404" s="1">
        <f>ROW(CantoralDB[[#This Row],[Título]])-1</f>
        <v>1403</v>
      </c>
      <c r="B1404" s="1" t="s">
        <v>1595</v>
      </c>
      <c r="C1404" s="1"/>
      <c r="J1404" s="1"/>
      <c r="M1404" s="15" t="s">
        <v>483</v>
      </c>
      <c r="N1404" s="1" t="s">
        <v>1482</v>
      </c>
      <c r="O1404" s="15">
        <v>8</v>
      </c>
      <c r="P1404" s="15">
        <v>1981</v>
      </c>
      <c r="Q1404" s="15" t="str" cm="1">
        <f t="array" ref="Q14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4" s="15" t="str" cm="1">
        <f t="array" ref="R14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canciones/kairoi/confiad_recurrid.html</v>
      </c>
      <c r="T1404" s="1"/>
      <c r="U1404" s="1"/>
      <c r="V1404" s="32" t="s">
        <v>3832</v>
      </c>
      <c r="W14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href="canciones/kairoi/confiad_recurrid.html"&gt;Confiad, recurrid&lt;/a&gt;&lt;/li&gt;</v>
      </c>
      <c r="X1404" s="15" t="str">
        <f>_xlfn.TEXTBEFORE(_xlfn.TEXTAFTER(CantoralDB[[#This Row],[index.html]],"&gt;"),"&gt;")&amp;"&gt;"</f>
        <v>&lt;a href="canciones/kairoi/confiad_recurrid.html"&gt;</v>
      </c>
      <c r="Y1404"/>
      <c r="AC1404" s="1"/>
    </row>
    <row r="1405" spans="1:29" x14ac:dyDescent="0.3">
      <c r="A1405" s="1">
        <f>ROW(CantoralDB[[#This Row],[Título]])-1</f>
        <v>1404</v>
      </c>
      <c r="B1405" s="1" t="s">
        <v>1596</v>
      </c>
      <c r="C1405" s="1"/>
      <c r="J1405" s="1"/>
      <c r="M1405" s="15" t="s">
        <v>483</v>
      </c>
      <c r="N1405" s="1" t="s">
        <v>1482</v>
      </c>
      <c r="O1405" s="15">
        <v>9</v>
      </c>
      <c r="P1405" s="15">
        <v>1981</v>
      </c>
      <c r="Q1405" s="15" t="str" cm="1">
        <f t="array" ref="Q14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5" s="15" t="str" cm="1">
        <f t="array" ref="R14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canciones/kairoi/hermanitos_de_maria.html</v>
      </c>
      <c r="T1405" s="1"/>
      <c r="U1405" s="1"/>
      <c r="V1405" s="32" t="s">
        <v>3833</v>
      </c>
      <c r="W14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href="canciones/kairoi/hermanitos_de_maria.html"&gt;Hermanitos de María&lt;/a&gt;&lt;/li&gt;</v>
      </c>
      <c r="X1405" s="15" t="str">
        <f>_xlfn.TEXTBEFORE(_xlfn.TEXTAFTER(CantoralDB[[#This Row],[index.html]],"&gt;"),"&gt;")&amp;"&gt;"</f>
        <v>&lt;a href="canciones/kairoi/hermanitos_de_maria.html"&gt;</v>
      </c>
      <c r="Y1405"/>
      <c r="AC1405" s="1"/>
    </row>
    <row r="1406" spans="1:29" x14ac:dyDescent="0.3">
      <c r="A1406" s="1">
        <f>ROW(CantoralDB[[#This Row],[Título]])-1</f>
        <v>1405</v>
      </c>
      <c r="B1406" s="1" t="s">
        <v>1547</v>
      </c>
      <c r="C1406" s="1"/>
      <c r="H1406" s="1" t="s">
        <v>529</v>
      </c>
      <c r="J1406" s="1" t="s">
        <v>605</v>
      </c>
      <c r="M1406" s="15" t="s">
        <v>483</v>
      </c>
      <c r="N1406" s="1" t="s">
        <v>1482</v>
      </c>
      <c r="O1406" s="15">
        <v>10</v>
      </c>
      <c r="P1406" s="15">
        <v>1981</v>
      </c>
      <c r="Q1406" s="15" t="str" cm="1">
        <f t="array" ref="Q14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6" s="15" t="str" cm="1">
        <f t="array" ref="R14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canciones/kairoi/corto_la_roca.html</v>
      </c>
      <c r="T1406" s="1"/>
      <c r="U1406" s="1"/>
      <c r="V1406" s="32" t="s">
        <v>3834</v>
      </c>
      <c r="W14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href="canciones/kairoi/corto_la_roca.html"&gt;Cortó la roca&lt;/a&gt;&lt;/li&gt;</v>
      </c>
      <c r="X1406" s="15" t="str">
        <f>_xlfn.TEXTBEFORE(_xlfn.TEXTAFTER(CantoralDB[[#This Row],[index.html]],"&gt;"),"&gt;")&amp;"&gt;"</f>
        <v>&lt;a href="canciones/kairoi/corto_la_roca.html"&gt;</v>
      </c>
      <c r="Y1406"/>
      <c r="AC1406" s="1"/>
    </row>
    <row r="1407" spans="1:29" x14ac:dyDescent="0.3">
      <c r="A1407" s="1">
        <f>ROW(CantoralDB[[#This Row],[Título]])-1</f>
        <v>1406</v>
      </c>
      <c r="B1407" s="1" t="s">
        <v>1597</v>
      </c>
      <c r="C1407" s="1"/>
      <c r="J1407" s="1"/>
      <c r="M1407" s="15" t="s">
        <v>483</v>
      </c>
      <c r="N1407" s="1" t="s">
        <v>1482</v>
      </c>
      <c r="O1407" s="15">
        <v>11</v>
      </c>
      <c r="P1407" s="15">
        <v>1981</v>
      </c>
      <c r="Q1407" s="15" t="str" cm="1">
        <f t="array" ref="Q14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7" s="15" t="str" cm="1">
        <f t="array" ref="R14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canciones/kairoi/testamento_espiritual.html</v>
      </c>
      <c r="T1407" s="1"/>
      <c r="U1407" s="1"/>
      <c r="V1407" s="32" t="s">
        <v>3835</v>
      </c>
      <c r="W14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href="canciones/kairoi/testamento_espiritual.html"&gt;Testamento espiritual&lt;/a&gt;&lt;/li&gt;</v>
      </c>
      <c r="X1407" s="15" t="str">
        <f>_xlfn.TEXTBEFORE(_xlfn.TEXTAFTER(CantoralDB[[#This Row],[index.html]],"&gt;"),"&gt;")&amp;"&gt;"</f>
        <v>&lt;a href="canciones/kairoi/testamento_espiritual.html"&gt;</v>
      </c>
      <c r="Y1407"/>
      <c r="AC1407" s="1"/>
    </row>
    <row r="1408" spans="1:29" x14ac:dyDescent="0.3">
      <c r="A1408" s="1">
        <f>ROW(CantoralDB[[#This Row],[Título]])-1</f>
        <v>1407</v>
      </c>
      <c r="B1408" s="1" t="s">
        <v>1598</v>
      </c>
      <c r="C1408" s="1"/>
      <c r="J1408" s="1"/>
      <c r="M1408" s="15" t="s">
        <v>483</v>
      </c>
      <c r="N1408" s="1" t="s">
        <v>1482</v>
      </c>
      <c r="O1408" s="15">
        <v>12</v>
      </c>
      <c r="P1408" s="15">
        <v>1981</v>
      </c>
      <c r="Q1408" s="15" t="str" cm="1">
        <f t="array" ref="Q14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8" s="15" t="str" cm="1">
        <f t="array" ref="R14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canciones/kairoi/nuestras_voces_cantan.html</v>
      </c>
      <c r="T1408" s="1"/>
      <c r="U1408" s="1"/>
      <c r="V1408" s="32" t="s">
        <v>3836</v>
      </c>
      <c r="W14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href="canciones/kairoi/nuestras_voces_cantan.html"&gt;Nuestras voces cantan&lt;/a&gt;&lt;/li&gt;</v>
      </c>
      <c r="X1408" s="15" t="str">
        <f>_xlfn.TEXTBEFORE(_xlfn.TEXTAFTER(CantoralDB[[#This Row],[index.html]],"&gt;"),"&gt;")&amp;"&gt;"</f>
        <v>&lt;a href="canciones/kairoi/nuestras_voces_cantan.html"&gt;</v>
      </c>
      <c r="Y1408"/>
      <c r="AC1408" s="1"/>
    </row>
    <row r="1409" spans="1:29" x14ac:dyDescent="0.3">
      <c r="A1409" s="1">
        <f>ROW(CantoralDB[[#This Row],[Título]])-1</f>
        <v>1408</v>
      </c>
      <c r="B1409" s="1" t="s">
        <v>2871</v>
      </c>
      <c r="C1409" s="1"/>
      <c r="H1409" s="1" t="s">
        <v>529</v>
      </c>
      <c r="J1409" s="1" t="s">
        <v>605</v>
      </c>
      <c r="M1409" s="15" t="s">
        <v>483</v>
      </c>
      <c r="N1409" s="1" t="s">
        <v>92</v>
      </c>
      <c r="O1409" s="15">
        <v>1</v>
      </c>
      <c r="P1409" s="15">
        <v>1980</v>
      </c>
      <c r="Q1409" s="15" t="str" cm="1">
        <f t="array" ref="Q14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09" s="15" t="str" cm="1">
        <f t="array" ref="R14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canciones/kairoi/ave_maria_i.html</v>
      </c>
      <c r="T1409" s="1"/>
      <c r="U1409" s="1"/>
      <c r="V1409" s="32" t="s">
        <v>3837</v>
      </c>
      <c r="W14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href="canciones/kairoi/ave_maria_i.html"&gt;Ave María I&lt;/a&gt;&lt;/li&gt;</v>
      </c>
      <c r="X1409" s="15" t="str">
        <f>_xlfn.TEXTBEFORE(_xlfn.TEXTAFTER(CantoralDB[[#This Row],[index.html]],"&gt;"),"&gt;")&amp;"&gt;"</f>
        <v>&lt;a href="canciones/kairoi/ave_maria_i.html"&gt;</v>
      </c>
      <c r="Y1409"/>
      <c r="AC1409" s="1"/>
    </row>
    <row r="1410" spans="1:29" x14ac:dyDescent="0.3">
      <c r="A1410" s="1">
        <f>ROW(CantoralDB[[#This Row],[Título]])-1</f>
        <v>1409</v>
      </c>
      <c r="B1410" s="1" t="s">
        <v>1539</v>
      </c>
      <c r="C1410" s="1"/>
      <c r="H1410" s="1" t="s">
        <v>1025</v>
      </c>
      <c r="J1410" s="1" t="s">
        <v>605</v>
      </c>
      <c r="M1410" s="15" t="s">
        <v>483</v>
      </c>
      <c r="N1410" s="1" t="s">
        <v>92</v>
      </c>
      <c r="O1410" s="15">
        <v>2</v>
      </c>
      <c r="P1410" s="15">
        <v>1980</v>
      </c>
      <c r="Q1410" s="15" t="str" cm="1">
        <f t="array" ref="Q14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0" s="15" t="str" cm="1">
        <f t="array" ref="R14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canciones/kairoi/tu_estas_cerca.html</v>
      </c>
      <c r="T1410" s="1"/>
      <c r="U1410" s="1"/>
      <c r="V1410" s="32" t="s">
        <v>3838</v>
      </c>
      <c r="W14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href="canciones/kairoi/tu_estas_cerca.html"&gt;Tú estás cerca&lt;/a&gt;&lt;/li&gt;</v>
      </c>
      <c r="X1410" s="15" t="str">
        <f>_xlfn.TEXTBEFORE(_xlfn.TEXTAFTER(CantoralDB[[#This Row],[index.html]],"&gt;"),"&gt;")&amp;"&gt;"</f>
        <v>&lt;a href="canciones/kairoi/tu_estas_cerca.html"&gt;</v>
      </c>
      <c r="Y1410"/>
      <c r="AC1410" s="1"/>
    </row>
    <row r="1411" spans="1:29" x14ac:dyDescent="0.3">
      <c r="A1411" s="1">
        <f>ROW(CantoralDB[[#This Row],[Título]])-1</f>
        <v>1410</v>
      </c>
      <c r="B1411" s="1" t="s">
        <v>1540</v>
      </c>
      <c r="C1411" s="1"/>
      <c r="H1411" s="1" t="s">
        <v>529</v>
      </c>
      <c r="J1411" s="1" t="s">
        <v>605</v>
      </c>
      <c r="M1411" s="15" t="s">
        <v>483</v>
      </c>
      <c r="N1411" s="1" t="s">
        <v>92</v>
      </c>
      <c r="O1411" s="15">
        <v>3</v>
      </c>
      <c r="P1411" s="15">
        <v>1980</v>
      </c>
      <c r="Q1411" s="15" t="str" cm="1">
        <f t="array" ref="Q14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1" s="15" t="str" cm="1">
        <f t="array" ref="R14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canciones/kairoi/madre_de_los_hijos_pobres.html</v>
      </c>
      <c r="T1411" s="1"/>
      <c r="U1411" s="1"/>
      <c r="V1411" s="32" t="s">
        <v>3839</v>
      </c>
      <c r="W14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href="canciones/kairoi/madre_de_los_hijos_pobres.html"&gt;Madre de los hijos pobres&lt;/a&gt;&lt;/li&gt;</v>
      </c>
      <c r="X1411" s="15" t="str">
        <f>_xlfn.TEXTBEFORE(_xlfn.TEXTAFTER(CantoralDB[[#This Row],[index.html]],"&gt;"),"&gt;")&amp;"&gt;"</f>
        <v>&lt;a href="canciones/kairoi/madre_de_los_hijos_pobres.html"&gt;</v>
      </c>
      <c r="Y1411"/>
      <c r="AC1411" s="1"/>
    </row>
    <row r="1412" spans="1:29" x14ac:dyDescent="0.3">
      <c r="A1412" s="1">
        <f>ROW(CantoralDB[[#This Row],[Título]])-1</f>
        <v>1411</v>
      </c>
      <c r="B1412" s="1" t="s">
        <v>1541</v>
      </c>
      <c r="C1412" s="1"/>
      <c r="H1412" s="1" t="s">
        <v>1026</v>
      </c>
      <c r="J1412" s="1" t="s">
        <v>605</v>
      </c>
      <c r="M1412" s="15" t="s">
        <v>483</v>
      </c>
      <c r="N1412" s="1" t="s">
        <v>92</v>
      </c>
      <c r="O1412" s="15">
        <v>4</v>
      </c>
      <c r="P1412" s="15">
        <v>1980</v>
      </c>
      <c r="Q1412" s="15" t="str" cm="1">
        <f t="array" ref="Q14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2" s="15" t="str" cm="1">
        <f t="array" ref="R14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canciones/kairoi/magnificat.html</v>
      </c>
      <c r="T1412" s="1"/>
      <c r="U1412" s="1"/>
      <c r="V1412" s="32" t="s">
        <v>3840</v>
      </c>
      <c r="W14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href="canciones/kairoi/magnificat.html"&gt;Magnificat&lt;/a&gt;&lt;/li&gt;</v>
      </c>
      <c r="X1412" s="15" t="str">
        <f>_xlfn.TEXTBEFORE(_xlfn.TEXTAFTER(CantoralDB[[#This Row],[index.html]],"&gt;"),"&gt;")&amp;"&gt;"</f>
        <v>&lt;a href="canciones/kairoi/magnificat.html"&gt;</v>
      </c>
      <c r="Y1412"/>
      <c r="AC1412" s="1"/>
    </row>
    <row r="1413" spans="1:29" x14ac:dyDescent="0.3">
      <c r="A1413" s="1">
        <f>ROW(CantoralDB[[#This Row],[Título]])-1</f>
        <v>1412</v>
      </c>
      <c r="B1413" s="1" t="s">
        <v>1542</v>
      </c>
      <c r="C1413" s="1"/>
      <c r="H1413" s="1" t="s">
        <v>1027</v>
      </c>
      <c r="J1413" s="1" t="s">
        <v>605</v>
      </c>
      <c r="M1413" s="15" t="s">
        <v>483</v>
      </c>
      <c r="N1413" s="1" t="s">
        <v>92</v>
      </c>
      <c r="O1413" s="15">
        <v>5</v>
      </c>
      <c r="P1413" s="15">
        <v>1980</v>
      </c>
      <c r="Q1413" s="15" t="str" cm="1">
        <f t="array" ref="Q14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3" s="15" t="str" cm="1">
        <f t="array" ref="R14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canciones/kairoi/angelus.html</v>
      </c>
      <c r="T1413" s="1"/>
      <c r="U1413" s="1"/>
      <c r="V1413" s="32" t="s">
        <v>3841</v>
      </c>
      <c r="W14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href="canciones/kairoi/angelus.html"&gt;Angelus&lt;/a&gt;&lt;/li&gt;</v>
      </c>
      <c r="X1413" s="15" t="str">
        <f>_xlfn.TEXTBEFORE(_xlfn.TEXTAFTER(CantoralDB[[#This Row],[index.html]],"&gt;"),"&gt;")&amp;"&gt;"</f>
        <v>&lt;a href="canciones/kairoi/angelus.html"&gt;</v>
      </c>
      <c r="Y1413"/>
      <c r="AC1413" s="1"/>
    </row>
    <row r="1414" spans="1:29" x14ac:dyDescent="0.3">
      <c r="A1414" s="1">
        <f>ROW(CantoralDB[[#This Row],[Título]])-1</f>
        <v>1413</v>
      </c>
      <c r="B1414" s="1" t="s">
        <v>2879</v>
      </c>
      <c r="C1414" s="1"/>
      <c r="H1414" s="1" t="s">
        <v>1024</v>
      </c>
      <c r="J1414" s="1" t="s">
        <v>605</v>
      </c>
      <c r="M1414" s="15" t="s">
        <v>483</v>
      </c>
      <c r="N1414" s="1" t="s">
        <v>92</v>
      </c>
      <c r="O1414" s="15">
        <v>6</v>
      </c>
      <c r="P1414" s="15">
        <v>1980</v>
      </c>
      <c r="Q1414" s="15" t="str" cm="1">
        <f t="array" ref="Q14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4" s="15" t="str" cm="1">
        <f t="array" ref="R14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canciones/kairoi/gracias_madre.html</v>
      </c>
      <c r="T1414" s="1"/>
      <c r="U1414" s="1"/>
      <c r="V1414" s="32" t="s">
        <v>3842</v>
      </c>
      <c r="W14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href="canciones/kairoi/gracias_madre.html"&gt;Gracias, Madre&lt;/a&gt;&lt;/li&gt;</v>
      </c>
      <c r="X1414" s="15" t="str">
        <f>_xlfn.TEXTBEFORE(_xlfn.TEXTAFTER(CantoralDB[[#This Row],[index.html]],"&gt;"),"&gt;")&amp;"&gt;"</f>
        <v>&lt;a href="canciones/kairoi/gracias_madre.html"&gt;</v>
      </c>
      <c r="Y1414"/>
      <c r="AC1414" s="1"/>
    </row>
    <row r="1415" spans="1:29" x14ac:dyDescent="0.3">
      <c r="A1415" s="1">
        <f>ROW(CantoralDB[[#This Row],[Título]])-1</f>
        <v>1414</v>
      </c>
      <c r="B1415" s="1" t="s">
        <v>92</v>
      </c>
      <c r="C1415" s="1" t="s">
        <v>199</v>
      </c>
      <c r="D1415" s="1" t="s">
        <v>1046</v>
      </c>
      <c r="E1415" s="1">
        <v>436</v>
      </c>
      <c r="F1415" s="1">
        <v>31</v>
      </c>
      <c r="G1415" s="1" t="s">
        <v>208</v>
      </c>
      <c r="H1415" s="1" t="s">
        <v>529</v>
      </c>
      <c r="I1415" s="1" t="s">
        <v>2948</v>
      </c>
      <c r="J1415" s="1" t="s">
        <v>605</v>
      </c>
      <c r="M1415" s="15" t="s">
        <v>483</v>
      </c>
      <c r="N1415" s="1" t="s">
        <v>92</v>
      </c>
      <c r="O1415" s="15">
        <v>7</v>
      </c>
      <c r="P1415" s="15">
        <v>1980</v>
      </c>
      <c r="Q1415" s="15" t="str" cm="1">
        <f t="array" ref="Q14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5" s="15" t="str" cm="1">
        <f t="array" ref="R14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4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canciones/kairoi/maria_musica_de_dios.html</v>
      </c>
      <c r="T1415" s="1"/>
      <c r="U1415" s="1"/>
      <c r="V1415" s="32" t="s">
        <v>3843</v>
      </c>
      <c r="W14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data-momento="María" data-nnew="M15" data-nold="436" data-nrcc="31"&gt;&lt;a href="canciones/kairoi/maria_musica_de_dios.html"&gt;María, música de Dios&lt;/a&gt;&lt;/li&gt;</v>
      </c>
      <c r="X1415" s="15" t="str">
        <f>_xlfn.TEXTBEFORE(_xlfn.TEXTAFTER(CantoralDB[[#This Row],[index.html]],"&gt;"),"&gt;")&amp;"&gt;"</f>
        <v>&lt;a href="canciones/kairoi/maria_musica_de_dios.html"&gt;</v>
      </c>
      <c r="Y1415"/>
      <c r="AC1415" s="1"/>
    </row>
    <row r="1416" spans="1:29" x14ac:dyDescent="0.3">
      <c r="A1416" s="1">
        <f>ROW(CantoralDB[[#This Row],[Título]])-1</f>
        <v>1415</v>
      </c>
      <c r="B1416" s="1" t="s">
        <v>1543</v>
      </c>
      <c r="C1416" s="1"/>
      <c r="H1416" s="1" t="s">
        <v>529</v>
      </c>
      <c r="J1416" s="1" t="s">
        <v>605</v>
      </c>
      <c r="M1416" s="15" t="s">
        <v>483</v>
      </c>
      <c r="N1416" s="1" t="s">
        <v>92</v>
      </c>
      <c r="O1416" s="15">
        <v>9</v>
      </c>
      <c r="P1416" s="15">
        <v>1980</v>
      </c>
      <c r="Q1416" s="15" t="str" cm="1">
        <f t="array" ref="Q14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6" s="15" t="str" cm="1">
        <f t="array" ref="R14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canciones/kairoi/arcilla_entre_sus_manos.html</v>
      </c>
      <c r="T1416" s="1"/>
      <c r="U1416" s="1"/>
      <c r="V1416" s="32" t="s">
        <v>3844</v>
      </c>
      <c r="W14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href="canciones/kairoi/arcilla_entre_sus_manos.html"&gt;Arcilla entre sus manos&lt;/a&gt;&lt;/li&gt;</v>
      </c>
      <c r="X1416" s="15" t="str">
        <f>_xlfn.TEXTBEFORE(_xlfn.TEXTAFTER(CantoralDB[[#This Row],[index.html]],"&gt;"),"&gt;")&amp;"&gt;"</f>
        <v>&lt;a href="canciones/kairoi/arcilla_entre_sus_manos.html"&gt;</v>
      </c>
      <c r="Y1416"/>
      <c r="AC1416" s="1"/>
    </row>
    <row r="1417" spans="1:29" x14ac:dyDescent="0.3">
      <c r="A1417" s="1">
        <f>ROW(CantoralDB[[#This Row],[Título]])-1</f>
        <v>1416</v>
      </c>
      <c r="B1417" s="1" t="s">
        <v>1544</v>
      </c>
      <c r="C1417" s="1"/>
      <c r="H1417" s="1" t="s">
        <v>1025</v>
      </c>
      <c r="J1417" s="1" t="s">
        <v>605</v>
      </c>
      <c r="M1417" s="15" t="s">
        <v>483</v>
      </c>
      <c r="N1417" s="1" t="s">
        <v>92</v>
      </c>
      <c r="O1417" s="15">
        <v>10</v>
      </c>
      <c r="P1417" s="15">
        <v>1980</v>
      </c>
      <c r="Q1417" s="15" t="str" cm="1">
        <f t="array" ref="Q14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7" s="15" t="str" cm="1">
        <f t="array" ref="R14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canciones/kairoi/tu_eres_del_señor.html</v>
      </c>
      <c r="T1417" s="1"/>
      <c r="U1417" s="1"/>
      <c r="V1417" s="32" t="s">
        <v>3845</v>
      </c>
      <c r="W14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href="canciones/kairoi/tu_eres_del_señor.html"&gt;Tú eres del Señor&lt;/a&gt;&lt;/li&gt;</v>
      </c>
      <c r="X1417" s="15" t="str">
        <f>_xlfn.TEXTBEFORE(_xlfn.TEXTAFTER(CantoralDB[[#This Row],[index.html]],"&gt;"),"&gt;")&amp;"&gt;"</f>
        <v>&lt;a href="canciones/kairoi/tu_eres_del_señor.html"&gt;</v>
      </c>
      <c r="Y1417"/>
      <c r="AC1417" s="1"/>
    </row>
    <row r="1418" spans="1:29" x14ac:dyDescent="0.3">
      <c r="A1418" s="1">
        <f>ROW(CantoralDB[[#This Row],[Título]])-1</f>
        <v>1417</v>
      </c>
      <c r="B1418" s="1" t="s">
        <v>2143</v>
      </c>
      <c r="C1418" s="1" t="s">
        <v>199</v>
      </c>
      <c r="D1418" s="1" t="s">
        <v>1430</v>
      </c>
      <c r="G1418" s="1" t="s">
        <v>215</v>
      </c>
      <c r="H1418" s="1" t="s">
        <v>1024</v>
      </c>
      <c r="J1418" s="1" t="s">
        <v>605</v>
      </c>
      <c r="M1418" s="15" t="s">
        <v>483</v>
      </c>
      <c r="N1418" s="1" t="s">
        <v>92</v>
      </c>
      <c r="O1418" s="15">
        <v>11</v>
      </c>
      <c r="P1418" s="15">
        <v>1980</v>
      </c>
      <c r="Q1418" s="15" t="str" cm="1">
        <f t="array" ref="Q14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8" s="15" t="str" cm="1">
        <f t="array" ref="R14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4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canciones/kairoi/junto_a_ti_maria.html</v>
      </c>
      <c r="T1418" s="1"/>
      <c r="U1418" s="1"/>
      <c r="V1418" s="32" t="s">
        <v>3846</v>
      </c>
      <c r="W14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data-momento="María" data-nnew="M07"&gt;&lt;a href="canciones/kairoi/junto_a_ti_maria.html"&gt;Junto a ti, María&lt;/a&gt;&lt;/li&gt;</v>
      </c>
      <c r="X1418" s="15" t="str">
        <f>_xlfn.TEXTBEFORE(_xlfn.TEXTAFTER(CantoralDB[[#This Row],[index.html]],"&gt;"),"&gt;")&amp;"&gt;"</f>
        <v>&lt;a href="canciones/kairoi/junto_a_ti_maria.html"&gt;</v>
      </c>
      <c r="Y1418"/>
      <c r="AC1418" s="1"/>
    </row>
    <row r="1419" spans="1:29" x14ac:dyDescent="0.3">
      <c r="A1419" s="1">
        <f>ROW(CantoralDB[[#This Row],[Título]])-1</f>
        <v>1418</v>
      </c>
      <c r="B1419" s="1" t="s">
        <v>1545</v>
      </c>
      <c r="C1419" s="1"/>
      <c r="H1419" s="1" t="s">
        <v>472</v>
      </c>
      <c r="J1419" s="1" t="s">
        <v>605</v>
      </c>
      <c r="M1419" s="15" t="s">
        <v>483</v>
      </c>
      <c r="N1419" s="1" t="s">
        <v>92</v>
      </c>
      <c r="O1419" s="15">
        <v>12</v>
      </c>
      <c r="P1419" s="15">
        <v>1980</v>
      </c>
      <c r="Q1419" s="15" t="str" cm="1">
        <f t="array" ref="Q14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19" s="15" t="str" cm="1">
        <f t="array" ref="R14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canciones/kairoi/tu_eres_maria.html</v>
      </c>
      <c r="T1419" s="1"/>
      <c r="U1419" s="1"/>
      <c r="V1419" s="32" t="s">
        <v>3847</v>
      </c>
      <c r="W14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href="canciones/kairoi/tu_eres_maria.html"&gt;Tú eres María&lt;/a&gt;&lt;/li&gt;</v>
      </c>
      <c r="X1419" s="15" t="str">
        <f>_xlfn.TEXTBEFORE(_xlfn.TEXTAFTER(CantoralDB[[#This Row],[index.html]],"&gt;"),"&gt;")&amp;"&gt;"</f>
        <v>&lt;a href="canciones/kairoi/tu_eres_maria.html"&gt;</v>
      </c>
      <c r="Y1419"/>
      <c r="AC1419" s="1"/>
    </row>
    <row r="1420" spans="1:29" x14ac:dyDescent="0.3">
      <c r="A1420" s="1">
        <f>ROW(CantoralDB[[#This Row],[Título]])-1</f>
        <v>1419</v>
      </c>
      <c r="B1420" s="1" t="s">
        <v>1909</v>
      </c>
      <c r="C1420" s="1"/>
      <c r="H1420" s="1" t="s">
        <v>1024</v>
      </c>
      <c r="J1420" s="1" t="s">
        <v>605</v>
      </c>
      <c r="M1420" s="15" t="s">
        <v>483</v>
      </c>
      <c r="N1420" s="1" t="s">
        <v>1533</v>
      </c>
      <c r="O1420" s="15">
        <v>1</v>
      </c>
      <c r="P1420" s="15">
        <v>1996</v>
      </c>
      <c r="Q1420" s="15" t="str" cm="1">
        <f t="array" ref="Q14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0" s="15" t="str" cm="1">
        <f t="array" ref="R14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canciones/kairoi/pregon_pascual_(aleluya).html</v>
      </c>
      <c r="T1420" s="1"/>
      <c r="U1420" s="1"/>
      <c r="V1420" s="32" t="s">
        <v>3848</v>
      </c>
      <c r="W14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href="canciones/kairoi/pregon_pascual_(aleluya).html"&gt;Pregón Pascual (Aleluya)&lt;/a&gt;&lt;/li&gt;</v>
      </c>
      <c r="X1420" s="15" t="str">
        <f>_xlfn.TEXTBEFORE(_xlfn.TEXTAFTER(CantoralDB[[#This Row],[index.html]],"&gt;"),"&gt;")&amp;"&gt;"</f>
        <v>&lt;a href="canciones/kairoi/pregon_pascual_(aleluya).html"&gt;</v>
      </c>
      <c r="Y1420"/>
      <c r="AC1420" s="1"/>
    </row>
    <row r="1421" spans="1:29" x14ac:dyDescent="0.3">
      <c r="A1421" s="1">
        <f>ROW(CantoralDB[[#This Row],[Título]])-1</f>
        <v>1420</v>
      </c>
      <c r="B1421" s="1" t="s">
        <v>1649</v>
      </c>
      <c r="C1421" s="1"/>
      <c r="J1421" s="1"/>
      <c r="M1421" s="15" t="s">
        <v>483</v>
      </c>
      <c r="N1421" s="1" t="s">
        <v>1533</v>
      </c>
      <c r="O1421" s="15">
        <v>2</v>
      </c>
      <c r="P1421" s="15">
        <v>1996</v>
      </c>
      <c r="Q1421" s="15" t="str" cm="1">
        <f t="array" ref="Q14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1" s="15" t="str" cm="1">
        <f t="array" ref="R14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canciones/kairoi/latinoamerica.html</v>
      </c>
      <c r="T1421" s="1"/>
      <c r="U1421" s="1"/>
      <c r="V1421" s="32" t="s">
        <v>3849</v>
      </c>
      <c r="W14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href="canciones/kairoi/latinoamerica.html"&gt;Latinoamérica&lt;/a&gt;&lt;/li&gt;</v>
      </c>
      <c r="X1421" s="15" t="str">
        <f>_xlfn.TEXTBEFORE(_xlfn.TEXTAFTER(CantoralDB[[#This Row],[index.html]],"&gt;"),"&gt;")&amp;"&gt;"</f>
        <v>&lt;a href="canciones/kairoi/latinoamerica.html"&gt;</v>
      </c>
      <c r="Y1421"/>
      <c r="AC1421" s="1"/>
    </row>
    <row r="1422" spans="1:29" x14ac:dyDescent="0.3">
      <c r="A1422" s="1">
        <f>ROW(CantoralDB[[#This Row],[Título]])-1</f>
        <v>1421</v>
      </c>
      <c r="B1422" s="1" t="s">
        <v>1650</v>
      </c>
      <c r="C1422" s="1"/>
      <c r="J1422" s="1"/>
      <c r="M1422" s="15" t="s">
        <v>483</v>
      </c>
      <c r="N1422" s="1" t="s">
        <v>1533</v>
      </c>
      <c r="O1422" s="15">
        <v>3</v>
      </c>
      <c r="P1422" s="15">
        <v>1996</v>
      </c>
      <c r="Q1422" s="15" t="str" cm="1">
        <f t="array" ref="Q14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2" s="15" t="str" cm="1">
        <f t="array" ref="R14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canciones/kairoi/indigena.html</v>
      </c>
      <c r="T1422" s="1"/>
      <c r="U1422" s="1"/>
      <c r="V1422" s="32" t="s">
        <v>3850</v>
      </c>
      <c r="W14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href="canciones/kairoi/indigena.html"&gt;Indígena&lt;/a&gt;&lt;/li&gt;</v>
      </c>
      <c r="X1422" s="15" t="str">
        <f>_xlfn.TEXTBEFORE(_xlfn.TEXTAFTER(CantoralDB[[#This Row],[index.html]],"&gt;"),"&gt;")&amp;"&gt;"</f>
        <v>&lt;a href="canciones/kairoi/indigena.html"&gt;</v>
      </c>
      <c r="Y1422"/>
      <c r="AC1422" s="1"/>
    </row>
    <row r="1423" spans="1:29" x14ac:dyDescent="0.3">
      <c r="A1423" s="1">
        <f>ROW(CantoralDB[[#This Row],[Título]])-1</f>
        <v>1422</v>
      </c>
      <c r="B1423" s="1" t="s">
        <v>1651</v>
      </c>
      <c r="C1423" s="1"/>
      <c r="J1423" s="1"/>
      <c r="M1423" s="15" t="s">
        <v>483</v>
      </c>
      <c r="N1423" s="1" t="s">
        <v>1533</v>
      </c>
      <c r="O1423" s="15">
        <v>4</v>
      </c>
      <c r="P1423" s="15">
        <v>1996</v>
      </c>
      <c r="Q1423" s="15" t="str" cm="1">
        <f t="array" ref="Q14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3" s="15" t="str" cm="1">
        <f t="array" ref="R14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canciones/kairoi/nos_precederan.html</v>
      </c>
      <c r="T1423" s="1"/>
      <c r="U1423" s="1"/>
      <c r="V1423" s="32" t="s">
        <v>3851</v>
      </c>
      <c r="W14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href="canciones/kairoi/nos_precederan.html"&gt;Nos precederán&lt;/a&gt;&lt;/li&gt;</v>
      </c>
      <c r="X1423" s="15" t="str">
        <f>_xlfn.TEXTBEFORE(_xlfn.TEXTAFTER(CantoralDB[[#This Row],[index.html]],"&gt;"),"&gt;")&amp;"&gt;"</f>
        <v>&lt;a href="canciones/kairoi/nos_precederan.html"&gt;</v>
      </c>
      <c r="Y1423"/>
      <c r="AC1423" s="1"/>
    </row>
    <row r="1424" spans="1:29" x14ac:dyDescent="0.3">
      <c r="A1424" s="1">
        <f>ROW(CantoralDB[[#This Row],[Título]])-1</f>
        <v>1423</v>
      </c>
      <c r="B1424" s="1" t="s">
        <v>1652</v>
      </c>
      <c r="C1424" s="1"/>
      <c r="J1424" s="1"/>
      <c r="M1424" s="15" t="s">
        <v>483</v>
      </c>
      <c r="N1424" s="1" t="s">
        <v>1533</v>
      </c>
      <c r="O1424" s="15">
        <v>5</v>
      </c>
      <c r="P1424" s="15">
        <v>1996</v>
      </c>
      <c r="Q1424" s="15" t="str" cm="1">
        <f t="array" ref="Q14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4" s="15" t="str" cm="1">
        <f t="array" ref="R14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canciones/kairoi/un_kirie_mas.html</v>
      </c>
      <c r="T1424" s="1"/>
      <c r="U1424" s="1"/>
      <c r="V1424" s="32" t="s">
        <v>3852</v>
      </c>
      <c r="W14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href="canciones/kairoi/un_kirie_mas.html"&gt;Un kirie más&lt;/a&gt;&lt;/li&gt;</v>
      </c>
      <c r="X1424" s="15" t="str">
        <f>_xlfn.TEXTBEFORE(_xlfn.TEXTAFTER(CantoralDB[[#This Row],[index.html]],"&gt;"),"&gt;")&amp;"&gt;"</f>
        <v>&lt;a href="canciones/kairoi/un_kirie_mas.html"&gt;</v>
      </c>
      <c r="Y1424"/>
      <c r="AC1424" s="1"/>
    </row>
    <row r="1425" spans="1:29" x14ac:dyDescent="0.3">
      <c r="A1425" s="1">
        <f>ROW(CantoralDB[[#This Row],[Título]])-1</f>
        <v>1424</v>
      </c>
      <c r="B1425" s="1" t="s">
        <v>1653</v>
      </c>
      <c r="C1425" s="1"/>
      <c r="J1425" s="1"/>
      <c r="M1425" s="15" t="s">
        <v>483</v>
      </c>
      <c r="N1425" s="1" t="s">
        <v>1533</v>
      </c>
      <c r="O1425" s="15">
        <v>6</v>
      </c>
      <c r="P1425" s="15">
        <v>1996</v>
      </c>
      <c r="Q1425" s="15" t="str" cm="1">
        <f t="array" ref="Q14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5" s="15" t="str" cm="1">
        <f t="array" ref="R14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canciones/kairoi/la_mula.html</v>
      </c>
      <c r="T1425" s="1"/>
      <c r="U1425" s="1"/>
      <c r="V1425" s="32" t="s">
        <v>3853</v>
      </c>
      <c r="W14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href="canciones/kairoi/la_mula.html"&gt;La mula&lt;/a&gt;&lt;/li&gt;</v>
      </c>
      <c r="X1425" s="15" t="str">
        <f>_xlfn.TEXTBEFORE(_xlfn.TEXTAFTER(CantoralDB[[#This Row],[index.html]],"&gt;"),"&gt;")&amp;"&gt;"</f>
        <v>&lt;a href="canciones/kairoi/la_mula.html"&gt;</v>
      </c>
      <c r="Y1425"/>
      <c r="AC1425" s="1"/>
    </row>
    <row r="1426" spans="1:29" x14ac:dyDescent="0.3">
      <c r="A1426" s="1">
        <f>ROW(CantoralDB[[#This Row],[Título]])-1</f>
        <v>1425</v>
      </c>
      <c r="B1426" s="1" t="s">
        <v>1533</v>
      </c>
      <c r="C1426" s="1"/>
      <c r="J1426" s="1"/>
      <c r="M1426" s="15" t="s">
        <v>483</v>
      </c>
      <c r="N1426" s="1" t="s">
        <v>1533</v>
      </c>
      <c r="O1426" s="15">
        <v>7</v>
      </c>
      <c r="P1426" s="15">
        <v>1996</v>
      </c>
      <c r="Q1426" s="15" t="str" cm="1">
        <f t="array" ref="Q14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6" s="15" t="str" cm="1">
        <f t="array" ref="R14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canciones/kairoi/mas_cerca_del_sol.html</v>
      </c>
      <c r="T1426" s="1"/>
      <c r="U1426" s="1"/>
      <c r="V1426" s="32" t="s">
        <v>3854</v>
      </c>
      <c r="W14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href="canciones/kairoi/mas_cerca_del_sol.html"&gt;Más cerca del sol&lt;/a&gt;&lt;/li&gt;</v>
      </c>
      <c r="X1426" s="15" t="str">
        <f>_xlfn.TEXTBEFORE(_xlfn.TEXTAFTER(CantoralDB[[#This Row],[index.html]],"&gt;"),"&gt;")&amp;"&gt;"</f>
        <v>&lt;a href="canciones/kairoi/mas_cerca_del_sol.html"&gt;</v>
      </c>
      <c r="Y1426"/>
      <c r="AC1426" s="1"/>
    </row>
    <row r="1427" spans="1:29" x14ac:dyDescent="0.3">
      <c r="A1427" s="1">
        <f>ROW(CantoralDB[[#This Row],[Título]])-1</f>
        <v>1426</v>
      </c>
      <c r="B1427" s="1" t="s">
        <v>1654</v>
      </c>
      <c r="C1427" s="1"/>
      <c r="J1427" s="1"/>
      <c r="M1427" s="15" t="s">
        <v>483</v>
      </c>
      <c r="N1427" s="1" t="s">
        <v>1533</v>
      </c>
      <c r="O1427" s="15">
        <v>8</v>
      </c>
      <c r="P1427" s="15">
        <v>1996</v>
      </c>
      <c r="Q1427" s="15" t="str" cm="1">
        <f t="array" ref="Q14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7" s="15" t="str" cm="1">
        <f t="array" ref="R14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canciones/kairoi/el_brujo_mugandino.html</v>
      </c>
      <c r="T1427" s="1"/>
      <c r="U1427" s="1"/>
      <c r="V1427" s="32" t="s">
        <v>3855</v>
      </c>
      <c r="W14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href="canciones/kairoi/el_brujo_mugandino.html"&gt;El brujo Mugandino&lt;/a&gt;&lt;/li&gt;</v>
      </c>
      <c r="X1427" s="15" t="str">
        <f>_xlfn.TEXTBEFORE(_xlfn.TEXTAFTER(CantoralDB[[#This Row],[index.html]],"&gt;"),"&gt;")&amp;"&gt;"</f>
        <v>&lt;a href="canciones/kairoi/el_brujo_mugandino.html"&gt;</v>
      </c>
      <c r="Y1427"/>
      <c r="AC1427" s="1"/>
    </row>
    <row r="1428" spans="1:29" x14ac:dyDescent="0.3">
      <c r="A1428" s="1">
        <f>ROW(CantoralDB[[#This Row],[Título]])-1</f>
        <v>1427</v>
      </c>
      <c r="B1428" s="1" t="s">
        <v>1655</v>
      </c>
      <c r="C1428" s="1"/>
      <c r="J1428" s="1"/>
      <c r="M1428" s="15" t="s">
        <v>483</v>
      </c>
      <c r="N1428" s="1" t="s">
        <v>1533</v>
      </c>
      <c r="O1428" s="15">
        <v>9</v>
      </c>
      <c r="P1428" s="15">
        <v>1996</v>
      </c>
      <c r="Q1428" s="15" t="str" cm="1">
        <f t="array" ref="Q14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8" s="15" t="str" cm="1">
        <f t="array" ref="R14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canciones/kairoi/que_no_nos_den_el_pan_bañado_en_sangre.html</v>
      </c>
      <c r="T1428" s="1"/>
      <c r="U1428" s="1"/>
      <c r="V1428" s="32" t="s">
        <v>3856</v>
      </c>
      <c r="W14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href="canciones/kairoi/que_no_nos_den_el_pan_bañado_en_sangre.html"&gt;Que no nos den el pan bañado en sangre&lt;/a&gt;&lt;/li&gt;</v>
      </c>
      <c r="X1428" s="15" t="str">
        <f>_xlfn.TEXTBEFORE(_xlfn.TEXTAFTER(CantoralDB[[#This Row],[index.html]],"&gt;"),"&gt;")&amp;"&gt;"</f>
        <v>&lt;a href="canciones/kairoi/que_no_nos_den_el_pan_bañado_en_sangre.html"&gt;</v>
      </c>
      <c r="Y1428"/>
      <c r="AC1428" s="1"/>
    </row>
    <row r="1429" spans="1:29" x14ac:dyDescent="0.3">
      <c r="A1429" s="1">
        <f>ROW(CantoralDB[[#This Row],[Título]])-1</f>
        <v>1428</v>
      </c>
      <c r="B1429" s="1" t="s">
        <v>1656</v>
      </c>
      <c r="C1429" s="1"/>
      <c r="J1429" s="1"/>
      <c r="M1429" s="15" t="s">
        <v>483</v>
      </c>
      <c r="N1429" s="1" t="s">
        <v>1533</v>
      </c>
      <c r="O1429" s="15">
        <v>10</v>
      </c>
      <c r="P1429" s="15">
        <v>1996</v>
      </c>
      <c r="Q1429" s="15" t="str" cm="1">
        <f t="array" ref="Q14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29" s="15" t="str" cm="1">
        <f t="array" ref="R14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canciones/kairoi/salve_compañera_nuestra.html</v>
      </c>
      <c r="T1429" s="1"/>
      <c r="U1429" s="1"/>
      <c r="V1429" s="32" t="s">
        <v>3857</v>
      </c>
      <c r="W14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href="canciones/kairoi/salve_compañera_nuestra.html"&gt;Salve, compañera nuestra&lt;/a&gt;&lt;/li&gt;</v>
      </c>
      <c r="X1429" s="15" t="str">
        <f>_xlfn.TEXTBEFORE(_xlfn.TEXTAFTER(CantoralDB[[#This Row],[index.html]],"&gt;"),"&gt;")&amp;"&gt;"</f>
        <v>&lt;a href="canciones/kairoi/salve_compañera_nuestra.html"&gt;</v>
      </c>
      <c r="Y1429"/>
      <c r="AC1429" s="1"/>
    </row>
    <row r="1430" spans="1:29" x14ac:dyDescent="0.3">
      <c r="A1430" s="1">
        <f>ROW(CantoralDB[[#This Row],[Título]])-1</f>
        <v>1429</v>
      </c>
      <c r="B1430" s="1" t="s">
        <v>1657</v>
      </c>
      <c r="C1430" s="1"/>
      <c r="J1430" s="1"/>
      <c r="M1430" s="15" t="s">
        <v>483</v>
      </c>
      <c r="N1430" s="1" t="s">
        <v>1533</v>
      </c>
      <c r="O1430" s="15">
        <v>11</v>
      </c>
      <c r="P1430" s="15">
        <v>1996</v>
      </c>
      <c r="Q1430" s="15" t="str" cm="1">
        <f t="array" ref="Q14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0" s="15" t="str" cm="1">
        <f t="array" ref="R14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canciones/kairoi/el_bar_del_bosnio.html</v>
      </c>
      <c r="T1430" s="1"/>
      <c r="U1430" s="1"/>
      <c r="V1430" s="32" t="s">
        <v>3858</v>
      </c>
      <c r="W14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href="canciones/kairoi/el_bar_del_bosnio.html"&gt;El bar del bosnio&lt;/a&gt;&lt;/li&gt;</v>
      </c>
      <c r="X1430" s="15" t="str">
        <f>_xlfn.TEXTBEFORE(_xlfn.TEXTAFTER(CantoralDB[[#This Row],[index.html]],"&gt;"),"&gt;")&amp;"&gt;"</f>
        <v>&lt;a href="canciones/kairoi/el_bar_del_bosnio.html"&gt;</v>
      </c>
      <c r="Y1430"/>
      <c r="AC1430" s="1"/>
    </row>
    <row r="1431" spans="1:29" x14ac:dyDescent="0.3">
      <c r="A1431" s="1">
        <f>ROW(CantoralDB[[#This Row],[Título]])-1</f>
        <v>1430</v>
      </c>
      <c r="B1431" s="1" t="s">
        <v>1658</v>
      </c>
      <c r="C1431" s="1"/>
      <c r="J1431" s="1"/>
      <c r="M1431" s="15" t="s">
        <v>483</v>
      </c>
      <c r="N1431" s="1" t="s">
        <v>1533</v>
      </c>
      <c r="O1431" s="15">
        <v>12</v>
      </c>
      <c r="P1431" s="15">
        <v>1996</v>
      </c>
      <c r="Q1431" s="15" t="str" cm="1">
        <f t="array" ref="Q14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1" s="15" t="str" cm="1">
        <f t="array" ref="R14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canciones/kairoi/mi_mamita_buena.html</v>
      </c>
      <c r="T1431" s="1"/>
      <c r="U1431" s="1"/>
      <c r="V1431" s="32" t="s">
        <v>3859</v>
      </c>
      <c r="W14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href="canciones/kairoi/mi_mamita_buena.html"&gt;Mi mamita buena&lt;/a&gt;&lt;/li&gt;</v>
      </c>
      <c r="X1431" s="15" t="str">
        <f>_xlfn.TEXTBEFORE(_xlfn.TEXTAFTER(CantoralDB[[#This Row],[index.html]],"&gt;"),"&gt;")&amp;"&gt;"</f>
        <v>&lt;a href="canciones/kairoi/mi_mamita_buena.html"&gt;</v>
      </c>
      <c r="Y1431"/>
      <c r="AC1431" s="1"/>
    </row>
    <row r="1432" spans="1:29" x14ac:dyDescent="0.3">
      <c r="A1432" s="1">
        <f>ROW(CantoralDB[[#This Row],[Título]])-1</f>
        <v>1431</v>
      </c>
      <c r="B1432" s="1" t="s">
        <v>1659</v>
      </c>
      <c r="C1432" s="1"/>
      <c r="J1432" s="1"/>
      <c r="M1432" s="15" t="s">
        <v>483</v>
      </c>
      <c r="N1432" s="1" t="s">
        <v>1533</v>
      </c>
      <c r="O1432" s="15">
        <v>13</v>
      </c>
      <c r="P1432" s="15">
        <v>1996</v>
      </c>
      <c r="Q1432" s="15" t="str" cm="1">
        <f t="array" ref="Q14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2" s="15" t="str" cm="1">
        <f t="array" ref="R14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canciones/kairoi/de_pura_raza.html</v>
      </c>
      <c r="T1432" s="1"/>
      <c r="U1432" s="1"/>
      <c r="V1432" s="32" t="s">
        <v>3860</v>
      </c>
      <c r="W14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href="canciones/kairoi/de_pura_raza.html"&gt;De pura raza&lt;/a&gt;&lt;/li&gt;</v>
      </c>
      <c r="X1432" s="15" t="str">
        <f>_xlfn.TEXTBEFORE(_xlfn.TEXTAFTER(CantoralDB[[#This Row],[index.html]],"&gt;"),"&gt;")&amp;"&gt;"</f>
        <v>&lt;a href="canciones/kairoi/de_pura_raza.html"&gt;</v>
      </c>
      <c r="Y1432"/>
      <c r="AC1432" s="1"/>
    </row>
    <row r="1433" spans="1:29" x14ac:dyDescent="0.3">
      <c r="A1433" s="1">
        <f>ROW(CantoralDB[[#This Row],[Título]])-1</f>
        <v>1432</v>
      </c>
      <c r="B1433" s="1" t="s">
        <v>1497</v>
      </c>
      <c r="C1433" s="1"/>
      <c r="H1433" s="1" t="s">
        <v>1026</v>
      </c>
      <c r="J1433" s="1" t="s">
        <v>605</v>
      </c>
      <c r="M1433" s="15" t="s">
        <v>483</v>
      </c>
      <c r="N1433" s="1" t="s">
        <v>1497</v>
      </c>
      <c r="O1433" s="15">
        <v>1</v>
      </c>
      <c r="P1433" s="15">
        <v>2001</v>
      </c>
      <c r="Q1433" s="15" t="str" cm="1">
        <f t="array" ref="Q14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3" s="15" t="str" cm="1">
        <f t="array" ref="R14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canciones/kairoi/nacidos_de_mujer.html</v>
      </c>
      <c r="T1433" s="1"/>
      <c r="U1433" s="1"/>
      <c r="V1433" s="32" t="s">
        <v>3861</v>
      </c>
      <c r="W14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href="canciones/kairoi/nacidos_de_mujer.html"&gt;Nacidos de mujer&lt;/a&gt;&lt;/li&gt;</v>
      </c>
      <c r="X1433" s="15" t="str">
        <f>_xlfn.TEXTBEFORE(_xlfn.TEXTAFTER(CantoralDB[[#This Row],[index.html]],"&gt;"),"&gt;")&amp;"&gt;"</f>
        <v>&lt;a href="canciones/kairoi/nacidos_de_mujer.html"&gt;</v>
      </c>
      <c r="Y1433"/>
      <c r="AC1433" s="1"/>
    </row>
    <row r="1434" spans="1:29" x14ac:dyDescent="0.3">
      <c r="A1434" s="1">
        <f>ROW(CantoralDB[[#This Row],[Título]])-1</f>
        <v>1433</v>
      </c>
      <c r="B1434" s="1" t="s">
        <v>1694</v>
      </c>
      <c r="C1434" s="1"/>
      <c r="H1434" s="1" t="s">
        <v>1025</v>
      </c>
      <c r="J1434" s="1" t="s">
        <v>605</v>
      </c>
      <c r="M1434" s="15" t="s">
        <v>483</v>
      </c>
      <c r="N1434" s="1" t="s">
        <v>1497</v>
      </c>
      <c r="O1434" s="15">
        <v>2</v>
      </c>
      <c r="P1434" s="15">
        <v>2001</v>
      </c>
      <c r="Q1434" s="15" t="str" cm="1">
        <f t="array" ref="Q14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4" s="15" t="str" cm="1">
        <f t="array" ref="R14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canciones/kairoi/haced_lo_que_el_os_diga.html</v>
      </c>
      <c r="T1434" s="1"/>
      <c r="U1434" s="1"/>
      <c r="V1434" s="32" t="s">
        <v>3862</v>
      </c>
      <c r="W14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href="canciones/kairoi/haced_lo_que_el_os_diga.html"&gt;Haced lo que Él os diga&lt;/a&gt;&lt;/li&gt;</v>
      </c>
      <c r="X1434" s="15" t="str">
        <f>_xlfn.TEXTBEFORE(_xlfn.TEXTAFTER(CantoralDB[[#This Row],[index.html]],"&gt;"),"&gt;")&amp;"&gt;"</f>
        <v>&lt;a href="canciones/kairoi/haced_lo_que_el_os_diga.html"&gt;</v>
      </c>
      <c r="Y1434"/>
      <c r="AC1434" s="1"/>
    </row>
    <row r="1435" spans="1:29" x14ac:dyDescent="0.3">
      <c r="A1435" s="1">
        <f>ROW(CantoralDB[[#This Row],[Título]])-1</f>
        <v>1434</v>
      </c>
      <c r="B1435" s="1" t="s">
        <v>1695</v>
      </c>
      <c r="C1435" s="1"/>
      <c r="H1435" s="1" t="s">
        <v>472</v>
      </c>
      <c r="J1435" s="1" t="s">
        <v>605</v>
      </c>
      <c r="M1435" s="15" t="s">
        <v>483</v>
      </c>
      <c r="N1435" s="1" t="s">
        <v>1497</v>
      </c>
      <c r="O1435" s="15">
        <v>3</v>
      </c>
      <c r="P1435" s="15">
        <v>2001</v>
      </c>
      <c r="Q1435" s="15" t="str" cm="1">
        <f t="array" ref="Q14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5" s="15" t="str" cm="1">
        <f t="array" ref="R14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canciones/kairoi/en_comunidad.html</v>
      </c>
      <c r="T1435" s="1"/>
      <c r="U1435" s="1"/>
      <c r="V1435" s="32" t="s">
        <v>3863</v>
      </c>
      <c r="W14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href="canciones/kairoi/en_comunidad.html"&gt;En comunidad&lt;/a&gt;&lt;/li&gt;</v>
      </c>
      <c r="X1435" s="15" t="str">
        <f>_xlfn.TEXTBEFORE(_xlfn.TEXTAFTER(CantoralDB[[#This Row],[index.html]],"&gt;"),"&gt;")&amp;"&gt;"</f>
        <v>&lt;a href="canciones/kairoi/en_comunidad.html"&gt;</v>
      </c>
      <c r="Y1435"/>
      <c r="AC1435" s="1"/>
    </row>
    <row r="1436" spans="1:29" x14ac:dyDescent="0.3">
      <c r="A1436" s="1">
        <f>ROW(CantoralDB[[#This Row],[Título]])-1</f>
        <v>1435</v>
      </c>
      <c r="B1436" s="1" t="s">
        <v>1696</v>
      </c>
      <c r="C1436" s="1"/>
      <c r="H1436" s="1" t="s">
        <v>1027</v>
      </c>
      <c r="J1436" s="1" t="s">
        <v>605</v>
      </c>
      <c r="M1436" s="15" t="s">
        <v>483</v>
      </c>
      <c r="N1436" s="1" t="s">
        <v>1497</v>
      </c>
      <c r="O1436" s="15">
        <v>4</v>
      </c>
      <c r="P1436" s="15">
        <v>2001</v>
      </c>
      <c r="Q1436" s="15" t="str" cm="1">
        <f t="array" ref="Q14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6" s="15" t="str" cm="1">
        <f t="array" ref="R14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canciones/kairoi/danos_tu_espiritu.html</v>
      </c>
      <c r="T1436" s="1"/>
      <c r="U1436" s="1"/>
      <c r="V1436" s="32" t="s">
        <v>3864</v>
      </c>
      <c r="W14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href="canciones/kairoi/danos_tu_espiritu.html"&gt;Danos tu espíritu&lt;/a&gt;&lt;/li&gt;</v>
      </c>
      <c r="X1436" s="15" t="str">
        <f>_xlfn.TEXTBEFORE(_xlfn.TEXTAFTER(CantoralDB[[#This Row],[index.html]],"&gt;"),"&gt;")&amp;"&gt;"</f>
        <v>&lt;a href="canciones/kairoi/danos_tu_espiritu.html"&gt;</v>
      </c>
      <c r="Y1436"/>
      <c r="AC1436" s="1"/>
    </row>
    <row r="1437" spans="1:29" x14ac:dyDescent="0.3">
      <c r="A1437" s="1">
        <f>ROW(CantoralDB[[#This Row],[Título]])-1</f>
        <v>1436</v>
      </c>
      <c r="B1437" s="1" t="s">
        <v>1697</v>
      </c>
      <c r="C1437" s="1"/>
      <c r="J1437" s="1"/>
      <c r="M1437" s="15" t="s">
        <v>483</v>
      </c>
      <c r="N1437" s="1" t="s">
        <v>1497</v>
      </c>
      <c r="O1437" s="15">
        <v>5</v>
      </c>
      <c r="P1437" s="15">
        <v>2001</v>
      </c>
      <c r="Q1437" s="15" t="str" cm="1">
        <f t="array" ref="Q14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7" s="15" t="str" cm="1">
        <f t="array" ref="R14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canciones/kairoi/adela.html</v>
      </c>
      <c r="T1437" s="1"/>
      <c r="U1437" s="1"/>
      <c r="V1437" s="32" t="s">
        <v>3865</v>
      </c>
      <c r="W14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href="canciones/kairoi/adela.html"&gt;Adela&lt;/a&gt;&lt;/li&gt;</v>
      </c>
      <c r="X1437" s="15" t="str">
        <f>_xlfn.TEXTBEFORE(_xlfn.TEXTAFTER(CantoralDB[[#This Row],[index.html]],"&gt;"),"&gt;")&amp;"&gt;"</f>
        <v>&lt;a href="canciones/kairoi/adela.html"&gt;</v>
      </c>
      <c r="Y1437"/>
      <c r="AC1437" s="1"/>
    </row>
    <row r="1438" spans="1:29" x14ac:dyDescent="0.3">
      <c r="A1438" s="1">
        <f>ROW(CantoralDB[[#This Row],[Título]])-1</f>
        <v>1437</v>
      </c>
      <c r="B1438" s="1" t="s">
        <v>2021</v>
      </c>
      <c r="C1438" s="1"/>
      <c r="H1438" s="1" t="s">
        <v>1026</v>
      </c>
      <c r="J1438" s="1" t="s">
        <v>605</v>
      </c>
      <c r="M1438" s="15" t="s">
        <v>483</v>
      </c>
      <c r="N1438" s="1" t="s">
        <v>1497</v>
      </c>
      <c r="O1438" s="15">
        <v>6</v>
      </c>
      <c r="P1438" s="15">
        <v>2001</v>
      </c>
      <c r="Q1438" s="15" t="str" cm="1">
        <f t="array" ref="Q14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8" s="15" t="str" cm="1">
        <f t="array" ref="R14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canciones/kairoi/gloria_(por_maria).html</v>
      </c>
      <c r="T1438" s="1"/>
      <c r="U1438" s="1"/>
      <c r="V1438" s="32" t="s">
        <v>3866</v>
      </c>
      <c r="W14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href="canciones/kairoi/gloria_(por_maria).html"&gt;Gloria (por María)&lt;/a&gt;&lt;/li&gt;</v>
      </c>
      <c r="X1438" s="15" t="str">
        <f>_xlfn.TEXTBEFORE(_xlfn.TEXTAFTER(CantoralDB[[#This Row],[index.html]],"&gt;"),"&gt;")&amp;"&gt;"</f>
        <v>&lt;a href="canciones/kairoi/gloria_(por_maria).html"&gt;</v>
      </c>
      <c r="Y1438"/>
      <c r="AC1438" s="1"/>
    </row>
    <row r="1439" spans="1:29" x14ac:dyDescent="0.3">
      <c r="A1439" s="1">
        <f>ROW(CantoralDB[[#This Row],[Título]])-1</f>
        <v>1438</v>
      </c>
      <c r="B1439" s="1" t="s">
        <v>1698</v>
      </c>
      <c r="C1439" s="1"/>
      <c r="H1439" s="1" t="s">
        <v>1024</v>
      </c>
      <c r="J1439" s="1" t="s">
        <v>605</v>
      </c>
      <c r="M1439" s="15" t="s">
        <v>483</v>
      </c>
      <c r="N1439" s="1" t="s">
        <v>1497</v>
      </c>
      <c r="O1439" s="15">
        <v>7</v>
      </c>
      <c r="P1439" s="15">
        <v>2001</v>
      </c>
      <c r="Q1439" s="15" t="str" cm="1">
        <f t="array" ref="Q14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39" s="15" t="str" cm="1">
        <f t="array" ref="R14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canciones/kairoi/pequeño_corazon.html</v>
      </c>
      <c r="T1439" s="1"/>
      <c r="U1439" s="1"/>
      <c r="V1439" s="32" t="s">
        <v>3867</v>
      </c>
      <c r="W14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href="canciones/kairoi/pequeño_corazon.html"&gt;Pequeño corazón&lt;/a&gt;&lt;/li&gt;</v>
      </c>
      <c r="X1439" s="15" t="str">
        <f>_xlfn.TEXTBEFORE(_xlfn.TEXTAFTER(CantoralDB[[#This Row],[index.html]],"&gt;"),"&gt;")&amp;"&gt;"</f>
        <v>&lt;a href="canciones/kairoi/pequeño_corazon.html"&gt;</v>
      </c>
      <c r="Y1439"/>
      <c r="AC1439" s="1"/>
    </row>
    <row r="1440" spans="1:29" x14ac:dyDescent="0.3">
      <c r="A1440" s="1">
        <f>ROW(CantoralDB[[#This Row],[Título]])-1</f>
        <v>1439</v>
      </c>
      <c r="B1440" s="1" t="s">
        <v>1699</v>
      </c>
      <c r="C1440" s="1"/>
      <c r="J1440" s="1"/>
      <c r="M1440" s="15" t="s">
        <v>483</v>
      </c>
      <c r="N1440" s="1" t="s">
        <v>1497</v>
      </c>
      <c r="O1440" s="15">
        <v>8</v>
      </c>
      <c r="P1440" s="15">
        <v>2001</v>
      </c>
      <c r="Q1440" s="15" t="str" cm="1">
        <f t="array" ref="Q14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0" s="15" t="str" cm="1">
        <f t="array" ref="R14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canciones/kairoi/chaminade.html</v>
      </c>
      <c r="T1440" s="1"/>
      <c r="U1440" s="1"/>
      <c r="V1440" s="32" t="s">
        <v>3868</v>
      </c>
      <c r="W14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href="canciones/kairoi/chaminade.html"&gt;Chaminade&lt;/a&gt;&lt;/li&gt;</v>
      </c>
      <c r="X1440" s="15" t="str">
        <f>_xlfn.TEXTBEFORE(_xlfn.TEXTAFTER(CantoralDB[[#This Row],[index.html]],"&gt;"),"&gt;")&amp;"&gt;"</f>
        <v>&lt;a href="canciones/kairoi/chaminade.html"&gt;</v>
      </c>
      <c r="Y1440"/>
      <c r="AC1440" s="1"/>
    </row>
    <row r="1441" spans="1:29" x14ac:dyDescent="0.3">
      <c r="A1441" s="1">
        <f>ROW(CantoralDB[[#This Row],[Título]])-1</f>
        <v>1440</v>
      </c>
      <c r="B1441" s="1" t="s">
        <v>1661</v>
      </c>
      <c r="C1441" s="1"/>
      <c r="H1441" s="1" t="s">
        <v>1027</v>
      </c>
      <c r="J1441" s="1" t="s">
        <v>605</v>
      </c>
      <c r="M1441" s="15" t="s">
        <v>483</v>
      </c>
      <c r="N1441" s="1" t="s">
        <v>1497</v>
      </c>
      <c r="O1441" s="15">
        <v>9</v>
      </c>
      <c r="P1441" s="15">
        <v>2001</v>
      </c>
      <c r="Q1441" s="15" t="str" cm="1">
        <f t="array" ref="Q14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1" s="15" t="str" cm="1">
        <f t="array" ref="R14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canciones/kairoi/credo.html</v>
      </c>
      <c r="T1441" s="1"/>
      <c r="U1441" s="1"/>
      <c r="V1441" s="32" t="s">
        <v>3869</v>
      </c>
      <c r="W14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href="canciones/kairoi/credo.html"&gt;Credo&lt;/a&gt;&lt;/li&gt;</v>
      </c>
      <c r="X1441" s="15" t="str">
        <f>_xlfn.TEXTBEFORE(_xlfn.TEXTAFTER(CantoralDB[[#This Row],[index.html]],"&gt;"),"&gt;")&amp;"&gt;"</f>
        <v>&lt;a href="canciones/kairoi/credo.html"&gt;</v>
      </c>
      <c r="Y1441"/>
      <c r="AC1441" s="1"/>
    </row>
    <row r="1442" spans="1:29" x14ac:dyDescent="0.3">
      <c r="A1442" s="1">
        <f>ROW(CantoralDB[[#This Row],[Título]])-1</f>
        <v>1441</v>
      </c>
      <c r="B1442" s="1" t="s">
        <v>1700</v>
      </c>
      <c r="C1442" s="1"/>
      <c r="H1442" s="1" t="s">
        <v>529</v>
      </c>
      <c r="J1442" s="1" t="s">
        <v>605</v>
      </c>
      <c r="M1442" s="15" t="s">
        <v>483</v>
      </c>
      <c r="N1442" s="1" t="s">
        <v>1497</v>
      </c>
      <c r="O1442" s="15">
        <v>10</v>
      </c>
      <c r="P1442" s="15">
        <v>2001</v>
      </c>
      <c r="Q1442" s="15" t="str" cm="1">
        <f t="array" ref="Q14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2" s="15" t="str" cm="1">
        <f t="array" ref="R14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canciones/kairoi/creo_en_ti.html</v>
      </c>
      <c r="T1442" s="1"/>
      <c r="U1442" s="1"/>
      <c r="V1442" s="32" t="s">
        <v>3870</v>
      </c>
      <c r="W14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href="canciones/kairoi/creo_en_ti.html"&gt;Creo en ti&lt;/a&gt;&lt;/li&gt;</v>
      </c>
      <c r="X1442" s="15" t="str">
        <f>_xlfn.TEXTBEFORE(_xlfn.TEXTAFTER(CantoralDB[[#This Row],[index.html]],"&gt;"),"&gt;")&amp;"&gt;"</f>
        <v>&lt;a href="canciones/kairoi/creo_en_ti.html"&gt;</v>
      </c>
      <c r="Y1442"/>
      <c r="AC1442" s="1"/>
    </row>
    <row r="1443" spans="1:29" x14ac:dyDescent="0.3">
      <c r="A1443" s="1">
        <f>ROW(CantoralDB[[#This Row],[Título]])-1</f>
        <v>1442</v>
      </c>
      <c r="B1443" s="1" t="s">
        <v>1701</v>
      </c>
      <c r="C1443" s="1"/>
      <c r="H1443" s="1" t="s">
        <v>1026</v>
      </c>
      <c r="J1443" s="1" t="s">
        <v>605</v>
      </c>
      <c r="M1443" s="15" t="s">
        <v>483</v>
      </c>
      <c r="N1443" s="1" t="s">
        <v>1497</v>
      </c>
      <c r="O1443" s="15">
        <v>11</v>
      </c>
      <c r="P1443" s="15">
        <v>2001</v>
      </c>
      <c r="Q1443" s="15" t="str" cm="1">
        <f t="array" ref="Q14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3" s="15" t="str" cm="1">
        <f t="array" ref="R14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canciones/kairoi/a_las_tres_de_la_tarde.html</v>
      </c>
      <c r="T1443" s="1"/>
      <c r="U1443" s="1"/>
      <c r="V1443" s="32" t="s">
        <v>3871</v>
      </c>
      <c r="W14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href="canciones/kairoi/a_las_tres_de_la_tarde.html"&gt;A las tres de la tarde&lt;/a&gt;&lt;/li&gt;</v>
      </c>
      <c r="X1443" s="15" t="str">
        <f>_xlfn.TEXTBEFORE(_xlfn.TEXTAFTER(CantoralDB[[#This Row],[index.html]],"&gt;"),"&gt;")&amp;"&gt;"</f>
        <v>&lt;a href="canciones/kairoi/a_las_tres_de_la_tarde.html"&gt;</v>
      </c>
      <c r="Y1443"/>
      <c r="AC1443" s="1"/>
    </row>
    <row r="1444" spans="1:29" x14ac:dyDescent="0.3">
      <c r="A1444" s="1">
        <f>ROW(CantoralDB[[#This Row],[Título]])-1</f>
        <v>1443</v>
      </c>
      <c r="B1444" s="1" t="s">
        <v>1702</v>
      </c>
      <c r="C1444" s="1"/>
      <c r="H1444" s="1" t="s">
        <v>1024</v>
      </c>
      <c r="J1444" s="1" t="s">
        <v>605</v>
      </c>
      <c r="M1444" s="15" t="s">
        <v>483</v>
      </c>
      <c r="N1444" s="1" t="s">
        <v>1497</v>
      </c>
      <c r="O1444" s="15">
        <v>12</v>
      </c>
      <c r="P1444" s="15">
        <v>2001</v>
      </c>
      <c r="Q1444" s="15" t="str" cm="1">
        <f t="array" ref="Q14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4" s="15" t="str" cm="1">
        <f t="array" ref="R14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canciones/kairoi/vino_nuevo.html</v>
      </c>
      <c r="T1444" s="1"/>
      <c r="U1444" s="1"/>
      <c r="V1444" s="32" t="s">
        <v>3872</v>
      </c>
      <c r="W14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href="canciones/kairoi/vino_nuevo.html"&gt;Vino nuevo&lt;/a&gt;&lt;/li&gt;</v>
      </c>
      <c r="X1444" s="15" t="str">
        <f>_xlfn.TEXTBEFORE(_xlfn.TEXTAFTER(CantoralDB[[#This Row],[index.html]],"&gt;"),"&gt;")&amp;"&gt;"</f>
        <v>&lt;a href="canciones/kairoi/vino_nuevo.html"&gt;</v>
      </c>
      <c r="Y1444"/>
      <c r="AC1444" s="1"/>
    </row>
    <row r="1445" spans="1:29" x14ac:dyDescent="0.3">
      <c r="A1445" s="1">
        <f>ROW(CantoralDB[[#This Row],[Título]])-1</f>
        <v>1444</v>
      </c>
      <c r="B1445" s="1" t="s">
        <v>1703</v>
      </c>
      <c r="C1445" s="1"/>
      <c r="H1445" s="1" t="s">
        <v>529</v>
      </c>
      <c r="J1445" s="1" t="s">
        <v>605</v>
      </c>
      <c r="M1445" s="15" t="s">
        <v>483</v>
      </c>
      <c r="N1445" s="1" t="s">
        <v>1497</v>
      </c>
      <c r="O1445" s="15">
        <v>13</v>
      </c>
      <c r="P1445" s="15">
        <v>2001</v>
      </c>
      <c r="Q1445" s="15" t="str" cm="1">
        <f t="array" ref="Q14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5" s="15" t="str" cm="1">
        <f t="array" ref="R14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canciones/kairoi/te_seguire.html</v>
      </c>
      <c r="T1445" s="1"/>
      <c r="U1445" s="1"/>
      <c r="V1445" s="32" t="s">
        <v>3873</v>
      </c>
      <c r="W14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href="canciones/kairoi/te_seguire.html"&gt;Te seguiré&lt;/a&gt;&lt;/li&gt;</v>
      </c>
      <c r="X1445" s="15" t="str">
        <f>_xlfn.TEXTBEFORE(_xlfn.TEXTAFTER(CantoralDB[[#This Row],[index.html]],"&gt;"),"&gt;")&amp;"&gt;"</f>
        <v>&lt;a href="canciones/kairoi/te_seguire.html"&gt;</v>
      </c>
      <c r="Y1445"/>
      <c r="AC1445" s="1"/>
    </row>
    <row r="1446" spans="1:29" x14ac:dyDescent="0.3">
      <c r="A1446" s="1">
        <f>ROW(CantoralDB[[#This Row],[Título]])-1</f>
        <v>1445</v>
      </c>
      <c r="B1446" s="1" t="s">
        <v>1704</v>
      </c>
      <c r="C1446" s="1"/>
      <c r="H1446" s="1" t="s">
        <v>1026</v>
      </c>
      <c r="J1446" s="1" t="s">
        <v>605</v>
      </c>
      <c r="M1446" s="15" t="s">
        <v>483</v>
      </c>
      <c r="N1446" s="1" t="s">
        <v>1497</v>
      </c>
      <c r="O1446" s="15">
        <v>14</v>
      </c>
      <c r="P1446" s="15">
        <v>2001</v>
      </c>
      <c r="Q1446" s="15" t="str" cm="1">
        <f t="array" ref="Q14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6" s="15" t="str" cm="1">
        <f t="array" ref="R14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canciones/kairoi/un_solo_corazon.html</v>
      </c>
      <c r="T1446" s="1"/>
      <c r="U1446" s="1"/>
      <c r="V1446" s="32" t="s">
        <v>3874</v>
      </c>
      <c r="W14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href="canciones/kairoi/un_solo_corazon.html"&gt;Un solo corazón&lt;/a&gt;&lt;/li&gt;</v>
      </c>
      <c r="X1446" s="15" t="str">
        <f>_xlfn.TEXTBEFORE(_xlfn.TEXTAFTER(CantoralDB[[#This Row],[index.html]],"&gt;"),"&gt;")&amp;"&gt;"</f>
        <v>&lt;a href="canciones/kairoi/un_solo_corazon.html"&gt;</v>
      </c>
      <c r="Y1446"/>
      <c r="AC1446" s="1"/>
    </row>
    <row r="1447" spans="1:29" x14ac:dyDescent="0.3">
      <c r="A1447" s="1">
        <f>ROW(CantoralDB[[#This Row],[Título]])-1</f>
        <v>1446</v>
      </c>
      <c r="B1447" s="1" t="s">
        <v>1685</v>
      </c>
      <c r="C1447" s="1"/>
      <c r="J1447" s="1"/>
      <c r="M1447" s="15" t="s">
        <v>483</v>
      </c>
      <c r="N1447" s="1" t="s">
        <v>1496</v>
      </c>
      <c r="O1447" s="15">
        <v>1</v>
      </c>
      <c r="P1447" s="15">
        <v>2001</v>
      </c>
      <c r="Q1447" s="15" t="str" cm="1">
        <f t="array" ref="Q14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7" s="15" t="str" cm="1">
        <f t="array" ref="R14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canciones/kairoi/y_fuiste_hogar.html</v>
      </c>
      <c r="T1447" s="1"/>
      <c r="U1447" s="1"/>
      <c r="V1447" s="32" t="s">
        <v>3875</v>
      </c>
      <c r="W14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href="canciones/kairoi/y_fuiste_hogar.html"&gt;Y fuiste hogar&lt;/a&gt;&lt;/li&gt;</v>
      </c>
      <c r="X1447" s="15" t="str">
        <f>_xlfn.TEXTBEFORE(_xlfn.TEXTAFTER(CantoralDB[[#This Row],[index.html]],"&gt;"),"&gt;")&amp;"&gt;"</f>
        <v>&lt;a href="canciones/kairoi/y_fuiste_hogar.html"&gt;</v>
      </c>
      <c r="Y1447"/>
      <c r="AC1447" s="1"/>
    </row>
    <row r="1448" spans="1:29" x14ac:dyDescent="0.3">
      <c r="A1448" s="1">
        <f>ROW(CantoralDB[[#This Row],[Título]])-1</f>
        <v>1447</v>
      </c>
      <c r="B1448" s="1" t="s">
        <v>1496</v>
      </c>
      <c r="C1448" s="1"/>
      <c r="J1448" s="1"/>
      <c r="M1448" s="15" t="s">
        <v>483</v>
      </c>
      <c r="N1448" s="1" t="s">
        <v>1496</v>
      </c>
      <c r="O1448" s="15">
        <v>2</v>
      </c>
      <c r="P1448" s="15">
        <v>2001</v>
      </c>
      <c r="Q1448" s="15" t="str" cm="1">
        <f t="array" ref="Q14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8" s="15" t="str" cm="1">
        <f t="array" ref="R14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canciones/kairoi/profeta_de_la_familia.html</v>
      </c>
      <c r="T1448" s="1"/>
      <c r="U1448" s="1"/>
      <c r="V1448" s="32" t="s">
        <v>3876</v>
      </c>
      <c r="W14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href="canciones/kairoi/profeta_de_la_familia.html"&gt;Profeta de la familia&lt;/a&gt;&lt;/li&gt;</v>
      </c>
      <c r="X1448" s="15" t="str">
        <f>_xlfn.TEXTBEFORE(_xlfn.TEXTAFTER(CantoralDB[[#This Row],[index.html]],"&gt;"),"&gt;")&amp;"&gt;"</f>
        <v>&lt;a href="canciones/kairoi/profeta_de_la_familia.html"&gt;</v>
      </c>
      <c r="Y1448"/>
      <c r="AC1448" s="1"/>
    </row>
    <row r="1449" spans="1:29" x14ac:dyDescent="0.3">
      <c r="A1449" s="1">
        <f>ROW(CantoralDB[[#This Row],[Título]])-1</f>
        <v>1448</v>
      </c>
      <c r="B1449" s="1" t="s">
        <v>1686</v>
      </c>
      <c r="C1449" s="1"/>
      <c r="J1449" s="1"/>
      <c r="M1449" s="15" t="s">
        <v>483</v>
      </c>
      <c r="N1449" s="1" t="s">
        <v>1496</v>
      </c>
      <c r="O1449" s="15">
        <v>3</v>
      </c>
      <c r="P1449" s="15">
        <v>2001</v>
      </c>
      <c r="Q1449" s="15" t="str" cm="1">
        <f t="array" ref="Q14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49" s="15" t="str" cm="1">
        <f t="array" ref="R14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canciones/kairoi/como_tu.html</v>
      </c>
      <c r="T1449" s="1"/>
      <c r="U1449" s="1"/>
      <c r="V1449" s="32" t="s">
        <v>3877</v>
      </c>
      <c r="W14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href="canciones/kairoi/como_tu.html"&gt;Como tú&lt;/a&gt;&lt;/li&gt;</v>
      </c>
      <c r="X1449" s="15" t="str">
        <f>_xlfn.TEXTBEFORE(_xlfn.TEXTAFTER(CantoralDB[[#This Row],[index.html]],"&gt;"),"&gt;")&amp;"&gt;"</f>
        <v>&lt;a href="canciones/kairoi/como_tu.html"&gt;</v>
      </c>
      <c r="Y1449"/>
      <c r="AC1449" s="1"/>
    </row>
    <row r="1450" spans="1:29" x14ac:dyDescent="0.3">
      <c r="A1450" s="1">
        <f>ROW(CantoralDB[[#This Row],[Título]])-1</f>
        <v>1449</v>
      </c>
      <c r="B1450" s="1" t="s">
        <v>1687</v>
      </c>
      <c r="C1450" s="1"/>
      <c r="J1450" s="1"/>
      <c r="M1450" s="15" t="s">
        <v>483</v>
      </c>
      <c r="N1450" s="1" t="s">
        <v>1496</v>
      </c>
      <c r="O1450" s="15">
        <v>4</v>
      </c>
      <c r="P1450" s="15">
        <v>2001</v>
      </c>
      <c r="Q1450" s="15" t="str" cm="1">
        <f t="array" ref="Q14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0" s="15" t="str" cm="1">
        <f t="array" ref="R14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canciones/kairoi/siempre_si_celebrare.html</v>
      </c>
      <c r="T1450" s="1"/>
      <c r="U1450" s="1"/>
      <c r="V1450" s="32" t="s">
        <v>3878</v>
      </c>
      <c r="W14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href="canciones/kairoi/siempre_si_celebrare.html"&gt;Siempre, sí, celebraré&lt;/a&gt;&lt;/li&gt;</v>
      </c>
      <c r="X1450" s="15" t="str">
        <f>_xlfn.TEXTBEFORE(_xlfn.TEXTAFTER(CantoralDB[[#This Row],[index.html]],"&gt;"),"&gt;")&amp;"&gt;"</f>
        <v>&lt;a href="canciones/kairoi/siempre_si_celebrare.html"&gt;</v>
      </c>
      <c r="Y1450"/>
      <c r="AC1450" s="1"/>
    </row>
    <row r="1451" spans="1:29" x14ac:dyDescent="0.3">
      <c r="A1451" s="1">
        <f>ROW(CantoralDB[[#This Row],[Título]])-1</f>
        <v>1450</v>
      </c>
      <c r="B1451" s="1" t="s">
        <v>1688</v>
      </c>
      <c r="C1451" s="1"/>
      <c r="J1451" s="1"/>
      <c r="M1451" s="15" t="s">
        <v>483</v>
      </c>
      <c r="N1451" s="1" t="s">
        <v>1496</v>
      </c>
      <c r="O1451" s="15">
        <v>5</v>
      </c>
      <c r="P1451" s="15">
        <v>2001</v>
      </c>
      <c r="Q1451" s="15" t="str" cm="1">
        <f t="array" ref="Q14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1" s="15" t="str" cm="1">
        <f t="array" ref="R14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canciones/kairoi/su_palabra.html</v>
      </c>
      <c r="T1451" s="1"/>
      <c r="U1451" s="1"/>
      <c r="V1451" s="32" t="s">
        <v>3879</v>
      </c>
      <c r="W14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href="canciones/kairoi/su_palabra.html"&gt;Su palabra&lt;/a&gt;&lt;/li&gt;</v>
      </c>
      <c r="X1451" s="15" t="str">
        <f>_xlfn.TEXTBEFORE(_xlfn.TEXTAFTER(CantoralDB[[#This Row],[index.html]],"&gt;"),"&gt;")&amp;"&gt;"</f>
        <v>&lt;a href="canciones/kairoi/su_palabra.html"&gt;</v>
      </c>
      <c r="Y1451"/>
      <c r="AC1451" s="1"/>
    </row>
    <row r="1452" spans="1:29" x14ac:dyDescent="0.3">
      <c r="A1452" s="1">
        <f>ROW(CantoralDB[[#This Row],[Título]])-1</f>
        <v>1451</v>
      </c>
      <c r="B1452" s="1" t="s">
        <v>1689</v>
      </c>
      <c r="C1452" s="1"/>
      <c r="J1452" s="1"/>
      <c r="M1452" s="15" t="s">
        <v>483</v>
      </c>
      <c r="N1452" s="1" t="s">
        <v>1496</v>
      </c>
      <c r="O1452" s="15">
        <v>6</v>
      </c>
      <c r="P1452" s="15">
        <v>2001</v>
      </c>
      <c r="Q1452" s="15" t="str" cm="1">
        <f t="array" ref="Q14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2" s="15" t="str" cm="1">
        <f t="array" ref="R14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canciones/kairoi/santa_familia.html</v>
      </c>
      <c r="T1452" s="1"/>
      <c r="U1452" s="1"/>
      <c r="V1452" s="32" t="s">
        <v>3880</v>
      </c>
      <c r="W14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href="canciones/kairoi/santa_familia.html"&gt;Santa Familia&lt;/a&gt;&lt;/li&gt;</v>
      </c>
      <c r="X1452" s="15" t="str">
        <f>_xlfn.TEXTBEFORE(_xlfn.TEXTAFTER(CantoralDB[[#This Row],[index.html]],"&gt;"),"&gt;")&amp;"&gt;"</f>
        <v>&lt;a href="canciones/kairoi/santa_familia.html"&gt;</v>
      </c>
      <c r="Y1452"/>
      <c r="AC1452" s="1"/>
    </row>
    <row r="1453" spans="1:29" x14ac:dyDescent="0.3">
      <c r="A1453" s="1">
        <f>ROW(CantoralDB[[#This Row],[Título]])-1</f>
        <v>1452</v>
      </c>
      <c r="B1453" s="1" t="s">
        <v>1690</v>
      </c>
      <c r="C1453" s="1"/>
      <c r="J1453" s="1"/>
      <c r="M1453" s="15" t="s">
        <v>483</v>
      </c>
      <c r="N1453" s="1" t="s">
        <v>1496</v>
      </c>
      <c r="O1453" s="15">
        <v>7</v>
      </c>
      <c r="P1453" s="15">
        <v>2001</v>
      </c>
      <c r="Q1453" s="15" t="str" cm="1">
        <f t="array" ref="Q14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3" s="15" t="str" cm="1">
        <f t="array" ref="R14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canciones/kairoi/jesus_maria_y_jose.html</v>
      </c>
      <c r="T1453" s="1"/>
      <c r="U1453" s="1"/>
      <c r="V1453" s="32" t="s">
        <v>3881</v>
      </c>
      <c r="W14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href="canciones/kairoi/jesus_maria_y_jose.html"&gt;Jesús, María y José&lt;/a&gt;&lt;/li&gt;</v>
      </c>
      <c r="X1453" s="15" t="str">
        <f>_xlfn.TEXTBEFORE(_xlfn.TEXTAFTER(CantoralDB[[#This Row],[index.html]],"&gt;"),"&gt;")&amp;"&gt;"</f>
        <v>&lt;a href="canciones/kairoi/jesus_maria_y_jose.html"&gt;</v>
      </c>
      <c r="Y1453"/>
      <c r="AC1453" s="1"/>
    </row>
    <row r="1454" spans="1:29" x14ac:dyDescent="0.3">
      <c r="A1454" s="1">
        <f>ROW(CantoralDB[[#This Row],[Título]])-1</f>
        <v>1453</v>
      </c>
      <c r="B1454" s="1" t="s">
        <v>1691</v>
      </c>
      <c r="C1454" s="1"/>
      <c r="J1454" s="1"/>
      <c r="M1454" s="15" t="s">
        <v>483</v>
      </c>
      <c r="N1454" s="1" t="s">
        <v>1496</v>
      </c>
      <c r="O1454" s="15">
        <v>8</v>
      </c>
      <c r="P1454" s="15">
        <v>2001</v>
      </c>
      <c r="Q1454" s="15" t="str" cm="1">
        <f t="array" ref="Q14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4" s="15" t="str" cm="1">
        <f t="array" ref="R14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canciones/kairoi/tu_mirada.html</v>
      </c>
      <c r="T1454" s="1"/>
      <c r="U1454" s="1"/>
      <c r="V1454" s="32" t="s">
        <v>3882</v>
      </c>
      <c r="W14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href="canciones/kairoi/tu_mirada.html"&gt;Tu mirada&lt;/a&gt;&lt;/li&gt;</v>
      </c>
      <c r="X1454" s="15" t="str">
        <f>_xlfn.TEXTBEFORE(_xlfn.TEXTAFTER(CantoralDB[[#This Row],[index.html]],"&gt;"),"&gt;")&amp;"&gt;"</f>
        <v>&lt;a href="canciones/kairoi/tu_mirada.html"&gt;</v>
      </c>
      <c r="Y1454"/>
      <c r="AC1454" s="1"/>
    </row>
    <row r="1455" spans="1:29" x14ac:dyDescent="0.3">
      <c r="A1455" s="1">
        <f>ROW(CantoralDB[[#This Row],[Título]])-1</f>
        <v>1454</v>
      </c>
      <c r="B1455" s="1" t="s">
        <v>1692</v>
      </c>
      <c r="C1455" s="1"/>
      <c r="J1455" s="1"/>
      <c r="M1455" s="15" t="s">
        <v>483</v>
      </c>
      <c r="N1455" s="1" t="s">
        <v>1496</v>
      </c>
      <c r="O1455" s="15">
        <v>9</v>
      </c>
      <c r="P1455" s="15">
        <v>2001</v>
      </c>
      <c r="Q1455" s="15" t="str" cm="1">
        <f t="array" ref="Q14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5" s="15" t="str" cm="1">
        <f t="array" ref="R14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canciones/kairoi/familias.html</v>
      </c>
      <c r="T1455" s="1"/>
      <c r="U1455" s="1"/>
      <c r="V1455" s="32" t="s">
        <v>3883</v>
      </c>
      <c r="W14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href="canciones/kairoi/familias.html"&gt;Familias&lt;/a&gt;&lt;/li&gt;</v>
      </c>
      <c r="X1455" s="15" t="str">
        <f>_xlfn.TEXTBEFORE(_xlfn.TEXTAFTER(CantoralDB[[#This Row],[index.html]],"&gt;"),"&gt;")&amp;"&gt;"</f>
        <v>&lt;a href="canciones/kairoi/familias.html"&gt;</v>
      </c>
      <c r="Y1455"/>
      <c r="AC1455" s="1"/>
    </row>
    <row r="1456" spans="1:29" x14ac:dyDescent="0.3">
      <c r="A1456" s="1">
        <f>ROW(CantoralDB[[#This Row],[Título]])-1</f>
        <v>1455</v>
      </c>
      <c r="B1456" s="1" t="s">
        <v>1693</v>
      </c>
      <c r="C1456" s="1"/>
      <c r="J1456" s="1"/>
      <c r="M1456" s="15" t="s">
        <v>483</v>
      </c>
      <c r="N1456" s="1" t="s">
        <v>1496</v>
      </c>
      <c r="O1456" s="15">
        <v>10</v>
      </c>
      <c r="P1456" s="15">
        <v>2001</v>
      </c>
      <c r="Q1456" s="15" t="str" cm="1">
        <f t="array" ref="Q14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6" s="15" t="str" cm="1">
        <f t="array" ref="R14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canciones/kairoi/el_poema_de_la_piedra.html</v>
      </c>
      <c r="T1456" s="1"/>
      <c r="U1456" s="1"/>
      <c r="V1456" s="32" t="s">
        <v>3884</v>
      </c>
      <c r="W14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href="canciones/kairoi/el_poema_de_la_piedra.html"&gt;El poema de la piedra&lt;/a&gt;&lt;/li&gt;</v>
      </c>
      <c r="X1456" s="15" t="str">
        <f>_xlfn.TEXTBEFORE(_xlfn.TEXTAFTER(CantoralDB[[#This Row],[index.html]],"&gt;"),"&gt;")&amp;"&gt;"</f>
        <v>&lt;a href="canciones/kairoi/el_poema_de_la_piedra.html"&gt;</v>
      </c>
      <c r="Y1456"/>
      <c r="AC1456" s="1"/>
    </row>
    <row r="1457" spans="1:29" x14ac:dyDescent="0.3">
      <c r="A1457" s="1">
        <f>ROW(CantoralDB[[#This Row],[Título]])-1</f>
        <v>1456</v>
      </c>
      <c r="B1457" s="1" t="s">
        <v>2876</v>
      </c>
      <c r="C1457" s="1"/>
      <c r="H1457" s="1" t="s">
        <v>1027</v>
      </c>
      <c r="J1457" s="1" t="s">
        <v>605</v>
      </c>
      <c r="M1457" s="15" t="s">
        <v>483</v>
      </c>
      <c r="N1457" s="1" t="s">
        <v>1488</v>
      </c>
      <c r="O1457" s="15">
        <v>1</v>
      </c>
      <c r="P1457" s="15">
        <v>1991</v>
      </c>
      <c r="Q1457" s="15" t="str" cm="1">
        <f t="array" ref="Q14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7" s="15" t="str" cm="1">
        <f t="array" ref="R14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canciones/kairoi/cristo_señor.html</v>
      </c>
      <c r="T1457" s="1"/>
      <c r="U1457" s="1"/>
      <c r="V1457" s="32" t="s">
        <v>3885</v>
      </c>
      <c r="W14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href="canciones/kairoi/cristo_señor.html"&gt;Cristo Señor&lt;/a&gt;&lt;/li&gt;</v>
      </c>
      <c r="X1457" s="15" t="str">
        <f>_xlfn.TEXTBEFORE(_xlfn.TEXTAFTER(CantoralDB[[#This Row],[index.html]],"&gt;"),"&gt;")&amp;"&gt;"</f>
        <v>&lt;a href="canciones/kairoi/cristo_señor.html"&gt;</v>
      </c>
      <c r="Y1457"/>
      <c r="AC1457" s="1"/>
    </row>
    <row r="1458" spans="1:29" x14ac:dyDescent="0.3">
      <c r="A1458" s="1">
        <f>ROW(CantoralDB[[#This Row],[Título]])-1</f>
        <v>1457</v>
      </c>
      <c r="B1458" s="1" t="s">
        <v>1624</v>
      </c>
      <c r="C1458" s="1"/>
      <c r="H1458" s="1" t="s">
        <v>1027</v>
      </c>
      <c r="J1458" s="1" t="s">
        <v>605</v>
      </c>
      <c r="M1458" s="15" t="s">
        <v>483</v>
      </c>
      <c r="N1458" s="1" t="s">
        <v>1488</v>
      </c>
      <c r="O1458" s="15">
        <v>2</v>
      </c>
      <c r="P1458" s="15">
        <v>1991</v>
      </c>
      <c r="Q1458" s="15" t="str" cm="1">
        <f t="array" ref="Q14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8" s="15" t="str" cm="1">
        <f t="array" ref="R14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canciones/kairoi/tu_seras_mi_hermano.html</v>
      </c>
      <c r="T1458" s="1"/>
      <c r="U1458" s="1"/>
      <c r="V1458" s="32" t="s">
        <v>3886</v>
      </c>
      <c r="W14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href="canciones/kairoi/tu_seras_mi_hermano.html"&gt;Tú serás mi hermano&lt;/a&gt;&lt;/li&gt;</v>
      </c>
      <c r="X1458" s="15" t="str">
        <f>_xlfn.TEXTBEFORE(_xlfn.TEXTAFTER(CantoralDB[[#This Row],[index.html]],"&gt;"),"&gt;")&amp;"&gt;"</f>
        <v>&lt;a href="canciones/kairoi/tu_seras_mi_hermano.html"&gt;</v>
      </c>
      <c r="Y1458"/>
      <c r="AC1458" s="1"/>
    </row>
    <row r="1459" spans="1:29" x14ac:dyDescent="0.3">
      <c r="A1459" s="1">
        <f>ROW(CantoralDB[[#This Row],[Título]])-1</f>
        <v>1458</v>
      </c>
      <c r="B1459" s="1" t="s">
        <v>1625</v>
      </c>
      <c r="C1459" s="1"/>
      <c r="H1459" s="1" t="s">
        <v>1027</v>
      </c>
      <c r="J1459" s="1" t="s">
        <v>605</v>
      </c>
      <c r="M1459" s="15" t="s">
        <v>483</v>
      </c>
      <c r="N1459" s="1" t="s">
        <v>1488</v>
      </c>
      <c r="O1459" s="15">
        <v>3</v>
      </c>
      <c r="P1459" s="15">
        <v>1991</v>
      </c>
      <c r="Q1459" s="15" t="str" cm="1">
        <f t="array" ref="Q14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59" s="15" t="str" cm="1">
        <f t="array" ref="R14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canciones/kairoi/cristo.html</v>
      </c>
      <c r="T1459" s="1"/>
      <c r="U1459" s="1"/>
      <c r="V1459" s="32" t="s">
        <v>3887</v>
      </c>
      <c r="W14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href="canciones/kairoi/cristo.html"&gt;Cristo&lt;/a&gt;&lt;/li&gt;</v>
      </c>
      <c r="X1459" s="15" t="str">
        <f>_xlfn.TEXTBEFORE(_xlfn.TEXTAFTER(CantoralDB[[#This Row],[index.html]],"&gt;"),"&gt;")&amp;"&gt;"</f>
        <v>&lt;a href="canciones/kairoi/cristo.html"&gt;</v>
      </c>
      <c r="Y1459"/>
      <c r="AC1459" s="1"/>
    </row>
    <row r="1460" spans="1:29" x14ac:dyDescent="0.3">
      <c r="A1460" s="1">
        <f>ROW(CantoralDB[[#This Row],[Título]])-1</f>
        <v>1459</v>
      </c>
      <c r="B1460" s="1" t="s">
        <v>1626</v>
      </c>
      <c r="C1460" s="1"/>
      <c r="H1460" s="1" t="s">
        <v>1026</v>
      </c>
      <c r="J1460" s="1" t="s">
        <v>605</v>
      </c>
      <c r="M1460" s="15" t="s">
        <v>483</v>
      </c>
      <c r="N1460" s="1" t="s">
        <v>1488</v>
      </c>
      <c r="O1460" s="15">
        <v>4</v>
      </c>
      <c r="P1460" s="15">
        <v>1991</v>
      </c>
      <c r="Q1460" s="15" t="str" cm="1">
        <f t="array" ref="Q14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0" s="15" t="str" cm="1">
        <f t="array" ref="R14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canciones/kairoi/alli_estas_tu.html</v>
      </c>
      <c r="T1460" s="1"/>
      <c r="U1460" s="1"/>
      <c r="V1460" s="32" t="s">
        <v>3888</v>
      </c>
      <c r="W14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href="canciones/kairoi/alli_estas_tu.html"&gt;Allí estás tú&lt;/a&gt;&lt;/li&gt;</v>
      </c>
      <c r="X1460" s="15" t="str">
        <f>_xlfn.TEXTBEFORE(_xlfn.TEXTAFTER(CantoralDB[[#This Row],[index.html]],"&gt;"),"&gt;")&amp;"&gt;"</f>
        <v>&lt;a href="canciones/kairoi/alli_estas_tu.html"&gt;</v>
      </c>
      <c r="Y1460"/>
      <c r="AC1460" s="1"/>
    </row>
    <row r="1461" spans="1:29" x14ac:dyDescent="0.3">
      <c r="A1461" s="1">
        <f>ROW(CantoralDB[[#This Row],[Título]])-1</f>
        <v>1460</v>
      </c>
      <c r="B1461" s="1" t="s">
        <v>1627</v>
      </c>
      <c r="C1461" s="1"/>
      <c r="J1461" s="1"/>
      <c r="M1461" s="15" t="s">
        <v>483</v>
      </c>
      <c r="N1461" s="1" t="s">
        <v>1488</v>
      </c>
      <c r="O1461" s="15">
        <v>5</v>
      </c>
      <c r="P1461" s="15">
        <v>1991</v>
      </c>
      <c r="Q1461" s="15" t="str" cm="1">
        <f t="array" ref="Q14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1" s="15" t="str" cm="1">
        <f t="array" ref="R14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canciones/kairoi/no_hay_lloros_por_un_niño_muerto.html</v>
      </c>
      <c r="T1461" s="1"/>
      <c r="U1461" s="1"/>
      <c r="V1461" s="32" t="s">
        <v>3889</v>
      </c>
      <c r="W14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href="canciones/kairoi/no_hay_lloros_por_un_niño_muerto.html"&gt;No hay lloros por un niño muerto&lt;/a&gt;&lt;/li&gt;</v>
      </c>
      <c r="X1461" s="15" t="str">
        <f>_xlfn.TEXTBEFORE(_xlfn.TEXTAFTER(CantoralDB[[#This Row],[index.html]],"&gt;"),"&gt;")&amp;"&gt;"</f>
        <v>&lt;a href="canciones/kairoi/no_hay_lloros_por_un_niño_muerto.html"&gt;</v>
      </c>
      <c r="Y1461"/>
      <c r="AC1461" s="1"/>
    </row>
    <row r="1462" spans="1:29" x14ac:dyDescent="0.3">
      <c r="A1462" s="1">
        <f>ROW(CantoralDB[[#This Row],[Título]])-1</f>
        <v>1461</v>
      </c>
      <c r="B1462" s="1" t="s">
        <v>1628</v>
      </c>
      <c r="C1462" s="1"/>
      <c r="H1462" s="1" t="s">
        <v>1027</v>
      </c>
      <c r="J1462" s="1" t="s">
        <v>605</v>
      </c>
      <c r="M1462" s="15" t="s">
        <v>483</v>
      </c>
      <c r="N1462" s="1" t="s">
        <v>1488</v>
      </c>
      <c r="O1462" s="15">
        <v>6</v>
      </c>
      <c r="P1462" s="15">
        <v>1991</v>
      </c>
      <c r="Q1462" s="15" t="str" cm="1">
        <f t="array" ref="Q14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2" s="15" t="str" cm="1">
        <f t="array" ref="R14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canciones/kairoi/deja_que_en_tu_vida_cante_el.html</v>
      </c>
      <c r="T1462" s="1"/>
      <c r="U1462" s="1"/>
      <c r="V1462" s="32" t="s">
        <v>3890</v>
      </c>
      <c r="W14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href="canciones/kairoi/deja_que_en_tu_vida_cante_el.html"&gt;Deja que en tu vida cante Él&lt;/a&gt;&lt;/li&gt;</v>
      </c>
      <c r="X1462" s="15" t="str">
        <f>_xlfn.TEXTBEFORE(_xlfn.TEXTAFTER(CantoralDB[[#This Row],[index.html]],"&gt;"),"&gt;")&amp;"&gt;"</f>
        <v>&lt;a href="canciones/kairoi/deja_que_en_tu_vida_cante_el.html"&gt;</v>
      </c>
      <c r="Y1462"/>
      <c r="AC1462" s="1"/>
    </row>
    <row r="1463" spans="1:29" x14ac:dyDescent="0.3">
      <c r="A1463" s="1">
        <f>ROW(CantoralDB[[#This Row],[Título]])-1</f>
        <v>1462</v>
      </c>
      <c r="B1463" s="1" t="s">
        <v>1629</v>
      </c>
      <c r="C1463" s="1"/>
      <c r="J1463" s="1"/>
      <c r="M1463" s="15" t="s">
        <v>483</v>
      </c>
      <c r="N1463" s="1" t="s">
        <v>1488</v>
      </c>
      <c r="O1463" s="15">
        <v>7</v>
      </c>
      <c r="P1463" s="15">
        <v>1991</v>
      </c>
      <c r="Q1463" s="15" t="str" cm="1">
        <f t="array" ref="Q14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3" s="15" t="str" cm="1">
        <f t="array" ref="R14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canciones/kairoi/tiene_el_sida.html</v>
      </c>
      <c r="T1463" s="1"/>
      <c r="U1463" s="1"/>
      <c r="V1463" s="32" t="s">
        <v>3891</v>
      </c>
      <c r="W14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href="canciones/kairoi/tiene_el_sida.html"&gt;Tiene el sida&lt;/a&gt;&lt;/li&gt;</v>
      </c>
      <c r="X1463" s="15" t="str">
        <f>_xlfn.TEXTBEFORE(_xlfn.TEXTAFTER(CantoralDB[[#This Row],[index.html]],"&gt;"),"&gt;")&amp;"&gt;"</f>
        <v>&lt;a href="canciones/kairoi/tiene_el_sida.html"&gt;</v>
      </c>
      <c r="Y1463"/>
      <c r="AC1463" s="1"/>
    </row>
    <row r="1464" spans="1:29" x14ac:dyDescent="0.3">
      <c r="A1464" s="1">
        <f>ROW(CantoralDB[[#This Row],[Título]])-1</f>
        <v>1463</v>
      </c>
      <c r="B1464" s="1" t="s">
        <v>1630</v>
      </c>
      <c r="C1464" s="1"/>
      <c r="H1464" s="1" t="s">
        <v>1026</v>
      </c>
      <c r="J1464" s="1" t="s">
        <v>605</v>
      </c>
      <c r="M1464" s="15" t="s">
        <v>483</v>
      </c>
      <c r="N1464" s="1" t="s">
        <v>1488</v>
      </c>
      <c r="O1464" s="15">
        <v>8</v>
      </c>
      <c r="P1464" s="15">
        <v>1991</v>
      </c>
      <c r="Q1464" s="15" t="str" cm="1">
        <f t="array" ref="Q14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4" s="15" t="str" cm="1">
        <f t="array" ref="R14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canciones/kairoi/grito_libertad.html</v>
      </c>
      <c r="T1464" s="1"/>
      <c r="U1464" s="1"/>
      <c r="V1464" s="32" t="s">
        <v>3892</v>
      </c>
      <c r="W14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href="canciones/kairoi/grito_libertad.html"&gt;Grito libertad&lt;/a&gt;&lt;/li&gt;</v>
      </c>
      <c r="X1464" s="15" t="str">
        <f>_xlfn.TEXTBEFORE(_xlfn.TEXTAFTER(CantoralDB[[#This Row],[index.html]],"&gt;"),"&gt;")&amp;"&gt;"</f>
        <v>&lt;a href="canciones/kairoi/grito_libertad.html"&gt;</v>
      </c>
      <c r="Y1464"/>
      <c r="AC1464" s="1"/>
    </row>
    <row r="1465" spans="1:29" x14ac:dyDescent="0.3">
      <c r="A1465" s="1">
        <f>ROW(CantoralDB[[#This Row],[Título]])-1</f>
        <v>1464</v>
      </c>
      <c r="B1465" s="1" t="s">
        <v>1631</v>
      </c>
      <c r="C1465" s="1"/>
      <c r="J1465" s="1"/>
      <c r="M1465" s="15" t="s">
        <v>483</v>
      </c>
      <c r="N1465" s="1" t="s">
        <v>1488</v>
      </c>
      <c r="O1465" s="15">
        <v>9</v>
      </c>
      <c r="P1465" s="15">
        <v>1991</v>
      </c>
      <c r="Q1465" s="15" t="str" cm="1">
        <f t="array" ref="Q14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5" s="15" t="str" cm="1">
        <f t="array" ref="R14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canciones/kairoi/tu_sonrisa_no_la_vi.html</v>
      </c>
      <c r="T1465" s="1"/>
      <c r="U1465" s="1"/>
      <c r="V1465" s="32" t="s">
        <v>3893</v>
      </c>
      <c r="W14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href="canciones/kairoi/tu_sonrisa_no_la_vi.html"&gt;Tu sonrisa no la vi&lt;/a&gt;&lt;/li&gt;</v>
      </c>
      <c r="X1465" s="15" t="str">
        <f>_xlfn.TEXTBEFORE(_xlfn.TEXTAFTER(CantoralDB[[#This Row],[index.html]],"&gt;"),"&gt;")&amp;"&gt;"</f>
        <v>&lt;a href="canciones/kairoi/tu_sonrisa_no_la_vi.html"&gt;</v>
      </c>
      <c r="Y1465"/>
      <c r="AC1465" s="1"/>
    </row>
    <row r="1466" spans="1:29" x14ac:dyDescent="0.3">
      <c r="A1466" s="1">
        <f>ROW(CantoralDB[[#This Row],[Título]])-1</f>
        <v>1465</v>
      </c>
      <c r="B1466" s="1" t="s">
        <v>1488</v>
      </c>
      <c r="C1466" s="1"/>
      <c r="J1466" s="1"/>
      <c r="M1466" s="15" t="s">
        <v>483</v>
      </c>
      <c r="N1466" s="1" t="s">
        <v>1488</v>
      </c>
      <c r="O1466" s="15">
        <v>10</v>
      </c>
      <c r="P1466" s="15">
        <v>1991</v>
      </c>
      <c r="Q1466" s="15" t="str" cm="1">
        <f t="array" ref="Q14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6" s="15" t="str" cm="1">
        <f t="array" ref="R14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canciones/kairoi/señor_de_la_historia.html</v>
      </c>
      <c r="T1466" s="1"/>
      <c r="U1466" s="1"/>
      <c r="V1466" s="32" t="s">
        <v>3894</v>
      </c>
      <c r="W14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href="canciones/kairoi/señor_de_la_historia.html"&gt;Señor de la historia&lt;/a&gt;&lt;/li&gt;</v>
      </c>
      <c r="X1466" s="15" t="str">
        <f>_xlfn.TEXTBEFORE(_xlfn.TEXTAFTER(CantoralDB[[#This Row],[index.html]],"&gt;"),"&gt;")&amp;"&gt;"</f>
        <v>&lt;a href="canciones/kairoi/señor_de_la_historia.html"&gt;</v>
      </c>
      <c r="Y1466"/>
      <c r="AC1466" s="1"/>
    </row>
    <row r="1467" spans="1:29" x14ac:dyDescent="0.3">
      <c r="A1467" s="1">
        <f>ROW(CantoralDB[[#This Row],[Título]])-1</f>
        <v>1466</v>
      </c>
      <c r="B1467" s="1" t="s">
        <v>1632</v>
      </c>
      <c r="C1467" s="1"/>
      <c r="J1467" s="1"/>
      <c r="M1467" s="15" t="s">
        <v>483</v>
      </c>
      <c r="N1467" s="1" t="s">
        <v>1488</v>
      </c>
      <c r="O1467" s="15">
        <v>11</v>
      </c>
      <c r="P1467" s="15">
        <v>1991</v>
      </c>
      <c r="Q1467" s="15" t="str" cm="1">
        <f t="array" ref="Q14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7" s="15" t="str" cm="1">
        <f t="array" ref="R14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canciones/kairoi/me_muero_de_hambre.html</v>
      </c>
      <c r="T1467" s="1"/>
      <c r="U1467" s="1"/>
      <c r="V1467" s="32" t="s">
        <v>3895</v>
      </c>
      <c r="W14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href="canciones/kairoi/me_muero_de_hambre.html"&gt;Me muero de hambre&lt;/a&gt;&lt;/li&gt;</v>
      </c>
      <c r="X1467" s="15" t="str">
        <f>_xlfn.TEXTBEFORE(_xlfn.TEXTAFTER(CantoralDB[[#This Row],[index.html]],"&gt;"),"&gt;")&amp;"&gt;"</f>
        <v>&lt;a href="canciones/kairoi/me_muero_de_hambre.html"&gt;</v>
      </c>
      <c r="Y1467"/>
      <c r="AC1467" s="1"/>
    </row>
    <row r="1468" spans="1:29" x14ac:dyDescent="0.3">
      <c r="A1468" s="1">
        <f>ROW(CantoralDB[[#This Row],[Título]])-1</f>
        <v>1467</v>
      </c>
      <c r="B1468" s="1" t="s">
        <v>1633</v>
      </c>
      <c r="C1468" s="1"/>
      <c r="J1468" s="1"/>
      <c r="M1468" s="15" t="s">
        <v>483</v>
      </c>
      <c r="N1468" s="1" t="s">
        <v>1488</v>
      </c>
      <c r="O1468" s="15">
        <v>12</v>
      </c>
      <c r="P1468" s="15">
        <v>1991</v>
      </c>
      <c r="Q1468" s="15" t="str" cm="1">
        <f t="array" ref="Q14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8" s="15" t="str" cm="1">
        <f t="array" ref="R14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canciones/kairoi/yo_no_he_podido_ser_bueno.html</v>
      </c>
      <c r="T1468" s="1"/>
      <c r="U1468" s="1"/>
      <c r="V1468" s="32" t="s">
        <v>3896</v>
      </c>
      <c r="W14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href="canciones/kairoi/yo_no_he_podido_ser_bueno.html"&gt;Yo no he podido ser bueno&lt;/a&gt;&lt;/li&gt;</v>
      </c>
      <c r="X1468" s="15" t="str">
        <f>_xlfn.TEXTBEFORE(_xlfn.TEXTAFTER(CantoralDB[[#This Row],[index.html]],"&gt;"),"&gt;")&amp;"&gt;"</f>
        <v>&lt;a href="canciones/kairoi/yo_no_he_podido_ser_bueno.html"&gt;</v>
      </c>
      <c r="Y1468"/>
      <c r="AC1468" s="1"/>
    </row>
    <row r="1469" spans="1:29" x14ac:dyDescent="0.3">
      <c r="A1469" s="1">
        <f>ROW(CantoralDB[[#This Row],[Título]])-1</f>
        <v>1468</v>
      </c>
      <c r="B1469" s="1" t="s">
        <v>1574</v>
      </c>
      <c r="C1469" s="1"/>
      <c r="H1469" s="1" t="s">
        <v>1026</v>
      </c>
      <c r="J1469" s="1" t="s">
        <v>605</v>
      </c>
      <c r="M1469" s="15" t="s">
        <v>483</v>
      </c>
      <c r="N1469" s="1" t="s">
        <v>1491</v>
      </c>
      <c r="O1469" s="15">
        <v>1</v>
      </c>
      <c r="P1469" s="15">
        <v>1995</v>
      </c>
      <c r="Q1469" s="15" t="str" cm="1">
        <f t="array" ref="Q14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69" s="15" t="str" cm="1">
        <f t="array" ref="R14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canciones/kairoi/si_jesus.html</v>
      </c>
      <c r="T1469" s="1"/>
      <c r="U1469" s="1"/>
      <c r="V1469" s="32" t="s">
        <v>3897</v>
      </c>
      <c r="W14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href="canciones/kairoi/si_jesus.html"&gt;Sí, Jesús&lt;/a&gt;&lt;/li&gt;</v>
      </c>
      <c r="X1469" s="15" t="str">
        <f>_xlfn.TEXTBEFORE(_xlfn.TEXTAFTER(CantoralDB[[#This Row],[index.html]],"&gt;"),"&gt;")&amp;"&gt;"</f>
        <v>&lt;a href="canciones/kairoi/si_jesus.html"&gt;</v>
      </c>
      <c r="Y1469"/>
      <c r="AC1469" s="1"/>
    </row>
    <row r="1470" spans="1:29" x14ac:dyDescent="0.3">
      <c r="A1470" s="1">
        <f>ROW(CantoralDB[[#This Row],[Título]])-1</f>
        <v>1469</v>
      </c>
      <c r="B1470" s="1" t="s">
        <v>1647</v>
      </c>
      <c r="C1470" s="1"/>
      <c r="J1470" s="1"/>
      <c r="M1470" s="15" t="s">
        <v>483</v>
      </c>
      <c r="N1470" s="1" t="s">
        <v>1491</v>
      </c>
      <c r="O1470" s="15">
        <v>2</v>
      </c>
      <c r="P1470" s="15">
        <v>1995</v>
      </c>
      <c r="Q1470" s="15" t="str" cm="1">
        <f t="array" ref="Q14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0" s="15" t="str" cm="1">
        <f t="array" ref="R14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canciones/kairoi/cuando_la_muerte.html</v>
      </c>
      <c r="T1470" s="1"/>
      <c r="U1470" s="1"/>
      <c r="V1470" s="32" t="s">
        <v>3898</v>
      </c>
      <c r="W14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href="canciones/kairoi/cuando_la_muerte.html"&gt;Cuando la muerte&lt;/a&gt;&lt;/li&gt;</v>
      </c>
      <c r="X1470" s="15" t="str">
        <f>_xlfn.TEXTBEFORE(_xlfn.TEXTAFTER(CantoralDB[[#This Row],[index.html]],"&gt;"),"&gt;")&amp;"&gt;"</f>
        <v>&lt;a href="canciones/kairoi/cuando_la_muerte.html"&gt;</v>
      </c>
      <c r="Y1470"/>
      <c r="AC1470" s="1"/>
    </row>
    <row r="1471" spans="1:29" x14ac:dyDescent="0.3">
      <c r="A1471" s="1">
        <f>ROW(CantoralDB[[#This Row],[Título]])-1</f>
        <v>1470</v>
      </c>
      <c r="B1471" s="1" t="s">
        <v>1575</v>
      </c>
      <c r="C1471" s="1"/>
      <c r="H1471" s="1" t="s">
        <v>529</v>
      </c>
      <c r="J1471" s="1" t="s">
        <v>605</v>
      </c>
      <c r="M1471" s="15" t="s">
        <v>483</v>
      </c>
      <c r="N1471" s="1" t="s">
        <v>1491</v>
      </c>
      <c r="O1471" s="15">
        <v>3</v>
      </c>
      <c r="P1471" s="15">
        <v>1995</v>
      </c>
      <c r="Q1471" s="15" t="str" cm="1">
        <f t="array" ref="Q14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1" s="15" t="str" cm="1">
        <f t="array" ref="R14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canciones/kairoi/no_temais.html</v>
      </c>
      <c r="T1471" s="1"/>
      <c r="U1471" s="1"/>
      <c r="V1471" s="32" t="s">
        <v>3899</v>
      </c>
      <c r="W14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href="canciones/kairoi/no_temais.html"&gt;No temáis&lt;/a&gt;&lt;/li&gt;</v>
      </c>
      <c r="X1471" s="15" t="str">
        <f>_xlfn.TEXTBEFORE(_xlfn.TEXTAFTER(CantoralDB[[#This Row],[index.html]],"&gt;"),"&gt;")&amp;"&gt;"</f>
        <v>&lt;a href="canciones/kairoi/no_temais.html"&gt;</v>
      </c>
      <c r="Y1471"/>
      <c r="AC1471" s="1"/>
    </row>
    <row r="1472" spans="1:29" x14ac:dyDescent="0.3">
      <c r="A1472" s="1">
        <f>ROW(CantoralDB[[#This Row],[Título]])-1</f>
        <v>1471</v>
      </c>
      <c r="B1472" s="1" t="s">
        <v>1902</v>
      </c>
      <c r="C1472" s="1"/>
      <c r="H1472" s="1" t="s">
        <v>1027</v>
      </c>
      <c r="J1472" s="1" t="s">
        <v>605</v>
      </c>
      <c r="M1472" s="15" t="s">
        <v>483</v>
      </c>
      <c r="N1472" s="1" t="s">
        <v>1491</v>
      </c>
      <c r="O1472" s="15">
        <v>4</v>
      </c>
      <c r="P1472" s="15">
        <v>1995</v>
      </c>
      <c r="Q1472" s="15" t="str" cm="1">
        <f t="array" ref="Q14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2" s="15" t="str" cm="1">
        <f t="array" ref="R14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canciones/kairoi/la_libertad_del_espiritu.html</v>
      </c>
      <c r="T1472" s="1"/>
      <c r="U1472" s="1"/>
      <c r="V1472" s="32" t="s">
        <v>3900</v>
      </c>
      <c r="W14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href="canciones/kairoi/la_libertad_del_espiritu.html"&gt;La libertad del Espíritu&lt;/a&gt;&lt;/li&gt;</v>
      </c>
      <c r="X1472" s="15" t="str">
        <f>_xlfn.TEXTBEFORE(_xlfn.TEXTAFTER(CantoralDB[[#This Row],[index.html]],"&gt;"),"&gt;")&amp;"&gt;"</f>
        <v>&lt;a href="canciones/kairoi/la_libertad_del_espiritu.html"&gt;</v>
      </c>
      <c r="Y1472"/>
      <c r="AC1472" s="1"/>
    </row>
    <row r="1473" spans="1:29" x14ac:dyDescent="0.3">
      <c r="A1473" s="1">
        <f>ROW(CantoralDB[[#This Row],[Título]])-1</f>
        <v>1472</v>
      </c>
      <c r="B1473" s="1" t="s">
        <v>1648</v>
      </c>
      <c r="C1473" s="1"/>
      <c r="J1473" s="1"/>
      <c r="M1473" s="15" t="s">
        <v>483</v>
      </c>
      <c r="N1473" s="1" t="s">
        <v>1491</v>
      </c>
      <c r="O1473" s="15">
        <v>5</v>
      </c>
      <c r="P1473" s="15">
        <v>1995</v>
      </c>
      <c r="Q1473" s="15" t="str" cm="1">
        <f t="array" ref="Q14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3" s="15" t="str" cm="1">
        <f t="array" ref="R14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canciones/kairoi/que_sepamos_estar.html</v>
      </c>
      <c r="T1473" s="1"/>
      <c r="U1473" s="1"/>
      <c r="V1473" s="32" t="s">
        <v>3901</v>
      </c>
      <c r="W14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href="canciones/kairoi/que_sepamos_estar.html"&gt;Que sepamos estar&lt;/a&gt;&lt;/li&gt;</v>
      </c>
      <c r="X1473" s="15" t="str">
        <f>_xlfn.TEXTBEFORE(_xlfn.TEXTAFTER(CantoralDB[[#This Row],[index.html]],"&gt;"),"&gt;")&amp;"&gt;"</f>
        <v>&lt;a href="canciones/kairoi/que_sepamos_estar.html"&gt;</v>
      </c>
      <c r="Y1473"/>
      <c r="AC1473" s="1"/>
    </row>
    <row r="1474" spans="1:29" x14ac:dyDescent="0.3">
      <c r="A1474" s="1">
        <f>ROW(CantoralDB[[#This Row],[Título]])-1</f>
        <v>1473</v>
      </c>
      <c r="B1474" s="1" t="s">
        <v>1576</v>
      </c>
      <c r="C1474" s="1"/>
      <c r="H1474" s="1" t="s">
        <v>1026</v>
      </c>
      <c r="J1474" s="1" t="s">
        <v>605</v>
      </c>
      <c r="M1474" s="15" t="s">
        <v>483</v>
      </c>
      <c r="N1474" s="1" t="s">
        <v>1491</v>
      </c>
      <c r="O1474" s="15">
        <v>6</v>
      </c>
      <c r="P1474" s="15">
        <v>1995</v>
      </c>
      <c r="Q1474" s="15" t="str" cm="1">
        <f t="array" ref="Q14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4" s="15" t="str" cm="1">
        <f t="array" ref="R14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canciones/kairoi/quejate_si_puedes.html</v>
      </c>
      <c r="T1474" s="1"/>
      <c r="U1474" s="1"/>
      <c r="V1474" s="32" t="s">
        <v>3902</v>
      </c>
      <c r="W14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href="canciones/kairoi/quejate_si_puedes.html"&gt;Quéjate si puedes&lt;/a&gt;&lt;/li&gt;</v>
      </c>
      <c r="X1474" s="15" t="str">
        <f>_xlfn.TEXTBEFORE(_xlfn.TEXTAFTER(CantoralDB[[#This Row],[index.html]],"&gt;"),"&gt;")&amp;"&gt;"</f>
        <v>&lt;a href="canciones/kairoi/quejate_si_puedes.html"&gt;</v>
      </c>
      <c r="Y1474"/>
      <c r="AC1474" s="1"/>
    </row>
    <row r="1475" spans="1:29" x14ac:dyDescent="0.3">
      <c r="A1475" s="1">
        <f>ROW(CantoralDB[[#This Row],[Título]])-1</f>
        <v>1474</v>
      </c>
      <c r="B1475" s="1" t="s">
        <v>1901</v>
      </c>
      <c r="C1475" s="1"/>
      <c r="H1475" s="1" t="s">
        <v>472</v>
      </c>
      <c r="J1475" s="1" t="s">
        <v>605</v>
      </c>
      <c r="M1475" s="15" t="s">
        <v>483</v>
      </c>
      <c r="N1475" s="1" t="s">
        <v>1491</v>
      </c>
      <c r="O1475" s="15">
        <v>7</v>
      </c>
      <c r="P1475" s="15">
        <v>1995</v>
      </c>
      <c r="Q1475" s="15" t="str" cm="1">
        <f t="array" ref="Q14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5" s="15" t="str" cm="1">
        <f t="array" ref="R14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canciones/kairoi/lo_entregaron_todo.html</v>
      </c>
      <c r="T1475" s="1"/>
      <c r="U1475" s="1"/>
      <c r="V1475" s="32" t="s">
        <v>3903</v>
      </c>
      <c r="W14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href="canciones/kairoi/lo_entregaron_todo.html"&gt;Lo entregaron todo&lt;/a&gt;&lt;/li&gt;</v>
      </c>
      <c r="X1475" s="15" t="str">
        <f>_xlfn.TEXTBEFORE(_xlfn.TEXTAFTER(CantoralDB[[#This Row],[index.html]],"&gt;"),"&gt;")&amp;"&gt;"</f>
        <v>&lt;a href="canciones/kairoi/lo_entregaron_todo.html"&gt;</v>
      </c>
      <c r="Y1475"/>
      <c r="AC1475" s="1"/>
    </row>
    <row r="1476" spans="1:29" x14ac:dyDescent="0.3">
      <c r="A1476" s="1">
        <f>ROW(CantoralDB[[#This Row],[Título]])-1</f>
        <v>1475</v>
      </c>
      <c r="B1476" s="1" t="s">
        <v>2022</v>
      </c>
      <c r="C1476" s="1"/>
      <c r="H1476" s="1" t="s">
        <v>529</v>
      </c>
      <c r="J1476" s="1" t="s">
        <v>605</v>
      </c>
      <c r="M1476" s="15" t="s">
        <v>483</v>
      </c>
      <c r="N1476" s="1" t="s">
        <v>1491</v>
      </c>
      <c r="O1476" s="15">
        <v>8</v>
      </c>
      <c r="P1476" s="15">
        <v>1995</v>
      </c>
      <c r="Q1476" s="15" t="str" cm="1">
        <f t="array" ref="Q14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6" s="15" t="str" cm="1">
        <f t="array" ref="R14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canciones/kairoi/vale_mas_hablar_con_dios.html</v>
      </c>
      <c r="T1476" s="1"/>
      <c r="U1476" s="1"/>
      <c r="V1476" s="32" t="s">
        <v>3904</v>
      </c>
      <c r="W14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href="canciones/kairoi/vale_mas_hablar_con_dios.html"&gt;Vale más hablar con Dios&lt;/a&gt;&lt;/li&gt;</v>
      </c>
      <c r="X1476" s="15" t="str">
        <f>_xlfn.TEXTBEFORE(_xlfn.TEXTAFTER(CantoralDB[[#This Row],[index.html]],"&gt;"),"&gt;")&amp;"&gt;"</f>
        <v>&lt;a href="canciones/kairoi/vale_mas_hablar_con_dios.html"&gt;</v>
      </c>
      <c r="Y1476"/>
      <c r="AC1476" s="1"/>
    </row>
    <row r="1477" spans="1:29" x14ac:dyDescent="0.3">
      <c r="A1477" s="1">
        <f>ROW(CantoralDB[[#This Row],[Título]])-1</f>
        <v>1476</v>
      </c>
      <c r="B1477" s="1" t="s">
        <v>1577</v>
      </c>
      <c r="C1477" s="1"/>
      <c r="H1477" s="1" t="s">
        <v>472</v>
      </c>
      <c r="J1477" s="1" t="s">
        <v>605</v>
      </c>
      <c r="M1477" s="15" t="s">
        <v>483</v>
      </c>
      <c r="N1477" s="1" t="s">
        <v>1491</v>
      </c>
      <c r="O1477" s="15">
        <v>9</v>
      </c>
      <c r="P1477" s="15">
        <v>1995</v>
      </c>
      <c r="Q1477" s="15" t="str" cm="1">
        <f t="array" ref="Q14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7" s="15" t="str" cm="1">
        <f t="array" ref="R14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canciones/kairoi/de_lo_debil_saca_fuerzas_dios.html</v>
      </c>
      <c r="T1477" s="1"/>
      <c r="U1477" s="1"/>
      <c r="V1477" s="32" t="s">
        <v>3905</v>
      </c>
      <c r="W14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href="canciones/kairoi/de_lo_debil_saca_fuerzas_dios.html"&gt;De lo débil saca fuerzas Dios&lt;/a&gt;&lt;/li&gt;</v>
      </c>
      <c r="X1477" s="15" t="str">
        <f>_xlfn.TEXTBEFORE(_xlfn.TEXTAFTER(CantoralDB[[#This Row],[index.html]],"&gt;"),"&gt;")&amp;"&gt;"</f>
        <v>&lt;a href="canciones/kairoi/de_lo_debil_saca_fuerzas_dios.html"&gt;</v>
      </c>
      <c r="Y1477"/>
      <c r="AC1477" s="1"/>
    </row>
    <row r="1478" spans="1:29" x14ac:dyDescent="0.3">
      <c r="A1478" s="1">
        <f>ROW(CantoralDB[[#This Row],[Título]])-1</f>
        <v>1477</v>
      </c>
      <c r="B1478" s="1" t="s">
        <v>2179</v>
      </c>
      <c r="C1478" s="1"/>
      <c r="H1478" s="1" t="s">
        <v>1026</v>
      </c>
      <c r="J1478" s="1" t="s">
        <v>605</v>
      </c>
      <c r="M1478" s="15" t="s">
        <v>483</v>
      </c>
      <c r="N1478" s="1" t="s">
        <v>1491</v>
      </c>
      <c r="O1478" s="15">
        <v>10</v>
      </c>
      <c r="P1478" s="15">
        <v>1995</v>
      </c>
      <c r="Q1478" s="15" t="str" cm="1">
        <f t="array" ref="Q14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8" s="15" t="str" cm="1">
        <f t="array" ref="R14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canciones/kairoi/fueron_valientes.html</v>
      </c>
      <c r="T1478" s="1"/>
      <c r="U1478" s="1"/>
      <c r="V1478" s="32" t="s">
        <v>3906</v>
      </c>
      <c r="W14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href="canciones/kairoi/fueron_valientes.html"&gt;Fueron valientes&lt;/a&gt;&lt;/li&gt;</v>
      </c>
      <c r="X1478" s="15" t="str">
        <f>_xlfn.TEXTBEFORE(_xlfn.TEXTAFTER(CantoralDB[[#This Row],[index.html]],"&gt;"),"&gt;")&amp;"&gt;"</f>
        <v>&lt;a href="canciones/kairoi/fueron_valientes.html"&gt;</v>
      </c>
      <c r="Y1478"/>
      <c r="AC1478" s="1"/>
    </row>
    <row r="1479" spans="1:29" x14ac:dyDescent="0.3">
      <c r="A1479" s="1">
        <f>ROW(CantoralDB[[#This Row],[Título]])-1</f>
        <v>1478</v>
      </c>
      <c r="B1479" s="1" t="s">
        <v>1903</v>
      </c>
      <c r="C1479" s="1"/>
      <c r="H1479" s="1" t="s">
        <v>1027</v>
      </c>
      <c r="J1479" s="1" t="s">
        <v>605</v>
      </c>
      <c r="M1479" s="15" t="s">
        <v>483</v>
      </c>
      <c r="N1479" s="1" t="s">
        <v>1491</v>
      </c>
      <c r="O1479" s="15">
        <v>11</v>
      </c>
      <c r="P1479" s="15">
        <v>1995</v>
      </c>
      <c r="Q1479" s="15" t="str" cm="1">
        <f t="array" ref="Q14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79" s="15" t="str" cm="1">
        <f t="array" ref="R14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canciones/kairoi/te_reclamaran_la_vida.html</v>
      </c>
      <c r="T1479" s="1"/>
      <c r="U1479" s="1"/>
      <c r="V1479" s="32" t="s">
        <v>3907</v>
      </c>
      <c r="W14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href="canciones/kairoi/te_reclamaran_la_vida.html"&gt;Te reclamarán la vida&lt;/a&gt;&lt;/li&gt;</v>
      </c>
      <c r="X1479" s="15" t="str">
        <f>_xlfn.TEXTBEFORE(_xlfn.TEXTAFTER(CantoralDB[[#This Row],[index.html]],"&gt;"),"&gt;")&amp;"&gt;"</f>
        <v>&lt;a href="canciones/kairoi/te_reclamaran_la_vida.html"&gt;</v>
      </c>
      <c r="Y1479"/>
      <c r="AC1479" s="1"/>
    </row>
    <row r="1480" spans="1:29" x14ac:dyDescent="0.3">
      <c r="A1480" s="1">
        <f>ROW(CantoralDB[[#This Row],[Título]])-1</f>
        <v>1479</v>
      </c>
      <c r="B1480" s="1" t="s">
        <v>1578</v>
      </c>
      <c r="C1480" s="1"/>
      <c r="H1480" s="1" t="s">
        <v>1025</v>
      </c>
      <c r="J1480" s="1" t="s">
        <v>605</v>
      </c>
      <c r="M1480" s="15" t="s">
        <v>483</v>
      </c>
      <c r="N1480" s="1" t="s">
        <v>1491</v>
      </c>
      <c r="O1480" s="15">
        <v>12</v>
      </c>
      <c r="P1480" s="15">
        <v>1995</v>
      </c>
      <c r="Q1480" s="15" t="str" cm="1">
        <f t="array" ref="Q14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0" s="15" t="str" cm="1">
        <f t="array" ref="R14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canciones/kairoi/esperad_al_señor.html</v>
      </c>
      <c r="T1480" s="1"/>
      <c r="U1480" s="1"/>
      <c r="V1480" s="32" t="s">
        <v>3908</v>
      </c>
      <c r="W14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href="canciones/kairoi/esperad_al_señor.html"&gt;Esperad al Señor&lt;/a&gt;&lt;/li&gt;</v>
      </c>
      <c r="X1480" s="15" t="str">
        <f>_xlfn.TEXTBEFORE(_xlfn.TEXTAFTER(CantoralDB[[#This Row],[index.html]],"&gt;"),"&gt;")&amp;"&gt;"</f>
        <v>&lt;a href="canciones/kairoi/esperad_al_señor.html"&gt;</v>
      </c>
      <c r="Y1480"/>
      <c r="AC1480" s="1"/>
    </row>
    <row r="1481" spans="1:29" x14ac:dyDescent="0.3">
      <c r="A1481" s="1">
        <f>ROW(CantoralDB[[#This Row],[Título]])-1</f>
        <v>1480</v>
      </c>
      <c r="B1481" s="1" t="s">
        <v>1494</v>
      </c>
      <c r="C1481" s="1"/>
      <c r="J1481" s="1"/>
      <c r="M1481" s="15" t="s">
        <v>483</v>
      </c>
      <c r="N1481" s="1" t="s">
        <v>1494</v>
      </c>
      <c r="O1481" s="15">
        <v>1</v>
      </c>
      <c r="P1481" s="15">
        <v>1999</v>
      </c>
      <c r="Q1481" s="15" t="str" cm="1">
        <f t="array" ref="Q14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1" s="15" t="str" cm="1">
        <f t="array" ref="R14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canciones/kairoi/un_corazon_sin_fronteras.html</v>
      </c>
      <c r="T1481" s="1"/>
      <c r="U1481" s="1"/>
      <c r="V1481" s="32" t="s">
        <v>3909</v>
      </c>
      <c r="W14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href="canciones/kairoi/un_corazon_sin_fronteras.html"&gt;Un corazón sin fronteras&lt;/a&gt;&lt;/li&gt;</v>
      </c>
      <c r="X1481" s="15" t="str">
        <f>_xlfn.TEXTBEFORE(_xlfn.TEXTAFTER(CantoralDB[[#This Row],[index.html]],"&gt;"),"&gt;")&amp;"&gt;"</f>
        <v>&lt;a href="canciones/kairoi/un_corazon_sin_fronteras.html"&gt;</v>
      </c>
      <c r="Y1481"/>
      <c r="AC1481" s="1"/>
    </row>
    <row r="1482" spans="1:29" x14ac:dyDescent="0.3">
      <c r="A1482" s="1">
        <f>ROW(CantoralDB[[#This Row],[Título]])-1</f>
        <v>1481</v>
      </c>
      <c r="B1482" s="1" t="s">
        <v>1608</v>
      </c>
      <c r="C1482" s="1"/>
      <c r="H1482" s="1" t="s">
        <v>1024</v>
      </c>
      <c r="J1482" s="1" t="s">
        <v>605</v>
      </c>
      <c r="M1482" s="15" t="s">
        <v>483</v>
      </c>
      <c r="N1482" s="1" t="s">
        <v>1494</v>
      </c>
      <c r="O1482" s="15">
        <v>2</v>
      </c>
      <c r="P1482" s="15">
        <v>1999</v>
      </c>
      <c r="Q1482" s="15" t="str" cm="1">
        <f t="array" ref="Q14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2" s="15" t="str" cm="1">
        <f t="array" ref="R14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canciones/kairoi/buena_madre.html</v>
      </c>
      <c r="T1482" s="1"/>
      <c r="U1482" s="1"/>
      <c r="V1482" s="32" t="s">
        <v>3910</v>
      </c>
      <c r="W14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href="canciones/kairoi/buena_madre.html"&gt;Buena Madre&lt;/a&gt;&lt;/li&gt;</v>
      </c>
      <c r="X1482" s="15" t="str">
        <f>_xlfn.TEXTBEFORE(_xlfn.TEXTAFTER(CantoralDB[[#This Row],[index.html]],"&gt;"),"&gt;")&amp;"&gt;"</f>
        <v>&lt;a href="canciones/kairoi/buena_madre.html"&gt;</v>
      </c>
      <c r="Y1482"/>
      <c r="AC1482" s="1"/>
    </row>
    <row r="1483" spans="1:29" x14ac:dyDescent="0.3">
      <c r="A1483" s="1">
        <f>ROW(CantoralDB[[#This Row],[Título]])-1</f>
        <v>1482</v>
      </c>
      <c r="B1483" s="1" t="s">
        <v>1546</v>
      </c>
      <c r="C1483" s="1"/>
      <c r="H1483" s="1" t="s">
        <v>1027</v>
      </c>
      <c r="J1483" s="1" t="s">
        <v>605</v>
      </c>
      <c r="M1483" s="15" t="s">
        <v>483</v>
      </c>
      <c r="N1483" s="1" t="s">
        <v>1494</v>
      </c>
      <c r="O1483" s="15">
        <v>3</v>
      </c>
      <c r="P1483" s="15">
        <v>1999</v>
      </c>
      <c r="Q1483" s="15" t="str" cm="1">
        <f t="array" ref="Q14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3" s="15" t="str" cm="1">
        <f t="array" ref="R14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canciones/kairoi/construyenos_la_casa.html</v>
      </c>
      <c r="T1483" s="1"/>
      <c r="U1483" s="1"/>
      <c r="V1483" s="32" t="s">
        <v>3911</v>
      </c>
      <c r="W14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href="canciones/kairoi/construyenos_la_casa.html"&gt;Constrúyenos la casa&lt;/a&gt;&lt;/li&gt;</v>
      </c>
      <c r="X1483" s="15" t="str">
        <f>_xlfn.TEXTBEFORE(_xlfn.TEXTAFTER(CantoralDB[[#This Row],[index.html]],"&gt;"),"&gt;")&amp;"&gt;"</f>
        <v>&lt;a href="canciones/kairoi/construyenos_la_casa.html"&gt;</v>
      </c>
      <c r="Y1483"/>
      <c r="AC1483" s="1"/>
    </row>
    <row r="1484" spans="1:29" x14ac:dyDescent="0.3">
      <c r="A1484" s="1">
        <f>ROW(CantoralDB[[#This Row],[Título]])-1</f>
        <v>1483</v>
      </c>
      <c r="B1484" s="1" t="s">
        <v>1606</v>
      </c>
      <c r="C1484" s="1"/>
      <c r="H1484" s="1" t="s">
        <v>1024</v>
      </c>
      <c r="J1484" s="1" t="s">
        <v>605</v>
      </c>
      <c r="M1484" s="15" t="s">
        <v>483</v>
      </c>
      <c r="N1484" s="1" t="s">
        <v>1494</v>
      </c>
      <c r="O1484" s="15">
        <v>6</v>
      </c>
      <c r="P1484" s="15">
        <v>1999</v>
      </c>
      <c r="Q1484" s="15" t="str" cm="1">
        <f t="array" ref="Q14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4" s="15" t="str" cm="1">
        <f t="array" ref="R14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canciones/kairoi/hermano_entre_los_hombres.html</v>
      </c>
      <c r="T1484" s="1"/>
      <c r="U1484" s="1"/>
      <c r="V1484" s="32" t="s">
        <v>3912</v>
      </c>
      <c r="W14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href="canciones/kairoi/hermano_entre_los_hombres.html"&gt;Hermano entre los hombres&lt;/a&gt;&lt;/li&gt;</v>
      </c>
      <c r="X1484" s="15" t="str">
        <f>_xlfn.TEXTBEFORE(_xlfn.TEXTAFTER(CantoralDB[[#This Row],[index.html]],"&gt;"),"&gt;")&amp;"&gt;"</f>
        <v>&lt;a href="canciones/kairoi/hermano_entre_los_hombres.html"&gt;</v>
      </c>
      <c r="Y1484"/>
      <c r="AC1484" s="1"/>
    </row>
    <row r="1485" spans="1:29" x14ac:dyDescent="0.3">
      <c r="A1485" s="1">
        <f>ROW(CantoralDB[[#This Row],[Título]])-1</f>
        <v>1484</v>
      </c>
      <c r="B1485" s="1" t="s">
        <v>1605</v>
      </c>
      <c r="C1485" s="1"/>
      <c r="H1485" s="1" t="s">
        <v>529</v>
      </c>
      <c r="J1485" s="1" t="s">
        <v>605</v>
      </c>
      <c r="M1485" s="15" t="s">
        <v>483</v>
      </c>
      <c r="N1485" s="1" t="s">
        <v>1494</v>
      </c>
      <c r="O1485" s="15">
        <v>7</v>
      </c>
      <c r="P1485" s="15">
        <v>1999</v>
      </c>
      <c r="Q1485" s="15" t="str" cm="1">
        <f t="array" ref="Q14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5" s="15" t="str" cm="1">
        <f t="array" ref="R14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canciones/kairoi/en_torno_al_pan.html</v>
      </c>
      <c r="T1485" s="1"/>
      <c r="U1485" s="1"/>
      <c r="V1485" s="32" t="s">
        <v>3913</v>
      </c>
      <c r="W14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href="canciones/kairoi/en_torno_al_pan.html"&gt;En torno al pan&lt;/a&gt;&lt;/li&gt;</v>
      </c>
      <c r="X1485" s="15" t="str">
        <f>_xlfn.TEXTBEFORE(_xlfn.TEXTAFTER(CantoralDB[[#This Row],[index.html]],"&gt;"),"&gt;")&amp;"&gt;"</f>
        <v>&lt;a href="canciones/kairoi/en_torno_al_pan.html"&gt;</v>
      </c>
      <c r="Y1485"/>
      <c r="AC1485" s="1"/>
    </row>
    <row r="1486" spans="1:29" x14ac:dyDescent="0.3">
      <c r="A1486" s="1">
        <f>ROW(CantoralDB[[#This Row],[Título]])-1</f>
        <v>1485</v>
      </c>
      <c r="B1486" s="1" t="s">
        <v>1674</v>
      </c>
      <c r="C1486" s="1"/>
      <c r="J1486" s="1"/>
      <c r="M1486" s="15" t="s">
        <v>483</v>
      </c>
      <c r="N1486" s="1" t="s">
        <v>1494</v>
      </c>
      <c r="O1486" s="15">
        <v>8</v>
      </c>
      <c r="P1486" s="15">
        <v>1999</v>
      </c>
      <c r="Q1486" s="15" t="str" cm="1">
        <f t="array" ref="Q14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6" s="15" t="str" cm="1">
        <f t="array" ref="R14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canciones/kairoi/frases_marcelino.html</v>
      </c>
      <c r="T1486" s="1"/>
      <c r="U1486" s="1"/>
      <c r="V1486" s="32" t="s">
        <v>3914</v>
      </c>
      <c r="W14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href="canciones/kairoi/frases_marcelino.html"&gt;Frases Marcelino&lt;/a&gt;&lt;/li&gt;</v>
      </c>
      <c r="X1486" s="15" t="str">
        <f>_xlfn.TEXTBEFORE(_xlfn.TEXTAFTER(CantoralDB[[#This Row],[index.html]],"&gt;"),"&gt;")&amp;"&gt;"</f>
        <v>&lt;a href="canciones/kairoi/frases_marcelino.html"&gt;</v>
      </c>
      <c r="Y1486"/>
      <c r="AC1486" s="1"/>
    </row>
    <row r="1487" spans="1:29" x14ac:dyDescent="0.3">
      <c r="A1487" s="1">
        <f>ROW(CantoralDB[[#This Row],[Título]])-1</f>
        <v>1486</v>
      </c>
      <c r="B1487" s="1" t="s">
        <v>1603</v>
      </c>
      <c r="C1487" s="1"/>
      <c r="J1487" s="1"/>
      <c r="M1487" s="15" t="s">
        <v>483</v>
      </c>
      <c r="N1487" s="1" t="s">
        <v>1494</v>
      </c>
      <c r="O1487" s="15">
        <v>9</v>
      </c>
      <c r="P1487" s="15">
        <v>1999</v>
      </c>
      <c r="Q1487" s="15" t="str" cm="1">
        <f t="array" ref="Q14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7" s="15" t="str" cm="1">
        <f t="array" ref="R14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canciones/kairoi/hermano_confia_en_dios.html</v>
      </c>
      <c r="T1487" s="1"/>
      <c r="U1487" s="1"/>
      <c r="V1487" s="32" t="s">
        <v>3915</v>
      </c>
      <c r="W14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href="canciones/kairoi/hermano_confia_en_dios.html"&gt;Hermano, confía en Dios&lt;/a&gt;&lt;/li&gt;</v>
      </c>
      <c r="X1487" s="15" t="str">
        <f>_xlfn.TEXTBEFORE(_xlfn.TEXTAFTER(CantoralDB[[#This Row],[index.html]],"&gt;"),"&gt;")&amp;"&gt;"</f>
        <v>&lt;a href="canciones/kairoi/hermano_confia_en_dios.html"&gt;</v>
      </c>
      <c r="Y1487"/>
      <c r="AC1487" s="1"/>
    </row>
    <row r="1488" spans="1:29" x14ac:dyDescent="0.3">
      <c r="A1488" s="1">
        <f>ROW(CantoralDB[[#This Row],[Título]])-1</f>
        <v>1487</v>
      </c>
      <c r="B1488" s="1" t="s">
        <v>1594</v>
      </c>
      <c r="C1488" s="1"/>
      <c r="J1488" s="1"/>
      <c r="M1488" s="15" t="s">
        <v>483</v>
      </c>
      <c r="N1488" s="1" t="s">
        <v>1494</v>
      </c>
      <c r="O1488" s="15">
        <v>10</v>
      </c>
      <c r="P1488" s="15">
        <v>1999</v>
      </c>
      <c r="Q1488" s="15" t="str" cm="1">
        <f t="array" ref="Q14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8" s="15" t="str" cm="1">
        <f t="array" ref="R14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canciones/kairoi/familia_marista.html</v>
      </c>
      <c r="T1488" s="1"/>
      <c r="U1488" s="1"/>
      <c r="V1488" s="32" t="s">
        <v>3916</v>
      </c>
      <c r="W14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href="canciones/kairoi/familia_marista.html"&gt;Familia Marista&lt;/a&gt;&lt;/li&gt;</v>
      </c>
      <c r="X1488" s="15" t="str">
        <f>_xlfn.TEXTBEFORE(_xlfn.TEXTAFTER(CantoralDB[[#This Row],[index.html]],"&gt;"),"&gt;")&amp;"&gt;"</f>
        <v>&lt;a href="canciones/kairoi/familia_marista.html"&gt;</v>
      </c>
      <c r="Y1488"/>
      <c r="AC1488" s="1"/>
    </row>
    <row r="1489" spans="1:29" x14ac:dyDescent="0.3">
      <c r="A1489" s="1">
        <f>ROW(CantoralDB[[#This Row],[Título]])-1</f>
        <v>1488</v>
      </c>
      <c r="B1489" s="1" t="s">
        <v>1675</v>
      </c>
      <c r="C1489" s="1"/>
      <c r="H1489" s="1" t="s">
        <v>1024</v>
      </c>
      <c r="J1489" s="1" t="s">
        <v>605</v>
      </c>
      <c r="M1489" s="15" t="s">
        <v>483</v>
      </c>
      <c r="N1489" s="1" t="s">
        <v>1494</v>
      </c>
      <c r="O1489" s="15">
        <v>12</v>
      </c>
      <c r="P1489" s="15">
        <v>1999</v>
      </c>
      <c r="Q1489" s="15" t="str" cm="1">
        <f t="array" ref="Q14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89" s="15" t="str" cm="1">
        <f t="array" ref="R14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canciones/kairoi/acuerdate_maria.html</v>
      </c>
      <c r="T1489" s="1"/>
      <c r="U1489" s="1"/>
      <c r="V1489" s="32" t="s">
        <v>3917</v>
      </c>
      <c r="W14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href="canciones/kairoi/acuerdate_maria.html"&gt;Acuérdate, María&lt;/a&gt;&lt;/li&gt;</v>
      </c>
      <c r="X1489" s="15" t="str">
        <f>_xlfn.TEXTBEFORE(_xlfn.TEXTAFTER(CantoralDB[[#This Row],[index.html]],"&gt;"),"&gt;")&amp;"&gt;"</f>
        <v>&lt;a href="canciones/kairoi/acuerdate_maria.html"&gt;</v>
      </c>
      <c r="Y1489"/>
      <c r="AC1489" s="1"/>
    </row>
    <row r="1490" spans="1:29" x14ac:dyDescent="0.3">
      <c r="A1490" s="1">
        <f>ROW(CantoralDB[[#This Row],[Título]])-1</f>
        <v>1489</v>
      </c>
      <c r="B1490" s="1" t="s">
        <v>1610</v>
      </c>
      <c r="C1490" s="1"/>
      <c r="H1490" s="1" t="s">
        <v>529</v>
      </c>
      <c r="J1490" s="1" t="s">
        <v>605</v>
      </c>
      <c r="M1490" s="15" t="s">
        <v>483</v>
      </c>
      <c r="N1490" s="1" t="s">
        <v>1494</v>
      </c>
      <c r="O1490" s="15">
        <v>13</v>
      </c>
      <c r="P1490" s="15">
        <v>1999</v>
      </c>
      <c r="Q1490" s="15" t="str" cm="1">
        <f t="array" ref="Q14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0" s="15" t="str" cm="1">
        <f t="array" ref="R14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canciones/kairoi/hermano_adios.html</v>
      </c>
      <c r="T1490" s="1"/>
      <c r="U1490" s="1"/>
      <c r="V1490" s="32" t="s">
        <v>3918</v>
      </c>
      <c r="W14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href="canciones/kairoi/hermano_adios.html"&gt;Hermano, adiós&lt;/a&gt;&lt;/li&gt;</v>
      </c>
      <c r="X1490" s="15" t="str">
        <f>_xlfn.TEXTBEFORE(_xlfn.TEXTAFTER(CantoralDB[[#This Row],[index.html]],"&gt;"),"&gt;")&amp;"&gt;"</f>
        <v>&lt;a href="canciones/kairoi/hermano_adios.html"&gt;</v>
      </c>
      <c r="Y1490"/>
      <c r="AC1490" s="1"/>
    </row>
    <row r="1491" spans="1:29" x14ac:dyDescent="0.3">
      <c r="A1491" s="1">
        <f>ROW(CantoralDB[[#This Row],[Título]])-1</f>
        <v>1490</v>
      </c>
      <c r="B1491" s="1" t="s">
        <v>1676</v>
      </c>
      <c r="C1491" s="1"/>
      <c r="J1491" s="1"/>
      <c r="M1491" s="15" t="s">
        <v>483</v>
      </c>
      <c r="N1491" s="1" t="s">
        <v>1494</v>
      </c>
      <c r="O1491" s="15">
        <v>14</v>
      </c>
      <c r="P1491" s="15">
        <v>1999</v>
      </c>
      <c r="Q1491" s="15" t="str" cm="1">
        <f t="array" ref="Q14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1" s="15" t="str" cm="1">
        <f t="array" ref="R14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canciones/kairoi/tu_seras_hoy_champagnat.html</v>
      </c>
      <c r="T1491" s="1"/>
      <c r="U1491" s="1"/>
      <c r="V1491" s="32" t="s">
        <v>3919</v>
      </c>
      <c r="W14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href="canciones/kairoi/tu_seras_hoy_champagnat.html"&gt;Tu serás hoy Champagnat&lt;/a&gt;&lt;/li&gt;</v>
      </c>
      <c r="X1491" s="15" t="str">
        <f>_xlfn.TEXTBEFORE(_xlfn.TEXTAFTER(CantoralDB[[#This Row],[index.html]],"&gt;"),"&gt;")&amp;"&gt;"</f>
        <v>&lt;a href="canciones/kairoi/tu_seras_hoy_champagnat.html"&gt;</v>
      </c>
      <c r="Y1491"/>
      <c r="AC1491" s="1"/>
    </row>
    <row r="1492" spans="1:29" x14ac:dyDescent="0.3">
      <c r="A1492" s="1">
        <f>ROW(CantoralDB[[#This Row],[Título]])-1</f>
        <v>1491</v>
      </c>
      <c r="B1492" s="1" t="s">
        <v>1580</v>
      </c>
      <c r="C1492" s="1"/>
      <c r="J1492" s="1"/>
      <c r="M1492" s="15" t="s">
        <v>483</v>
      </c>
      <c r="N1492" s="1" t="s">
        <v>1481</v>
      </c>
      <c r="O1492" s="15">
        <v>1</v>
      </c>
      <c r="P1492" s="15">
        <v>1979</v>
      </c>
      <c r="Q1492" s="15" t="str" cm="1">
        <f t="array" ref="Q14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2" s="15" t="str" cm="1">
        <f t="array" ref="R14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canciones/kairoi/sintonia.html</v>
      </c>
      <c r="T1492" s="1"/>
      <c r="U1492" s="1"/>
      <c r="V1492" s="32" t="s">
        <v>3920</v>
      </c>
      <c r="W14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href="canciones/kairoi/sintonia.html"&gt;Sintonía&lt;/a&gt;&lt;/li&gt;</v>
      </c>
      <c r="X1492" s="15" t="str">
        <f>_xlfn.TEXTBEFORE(_xlfn.TEXTAFTER(CantoralDB[[#This Row],[index.html]],"&gt;"),"&gt;")&amp;"&gt;"</f>
        <v>&lt;a href="canciones/kairoi/sintonia.html"&gt;</v>
      </c>
      <c r="Y1492"/>
      <c r="AC1492" s="1"/>
    </row>
    <row r="1493" spans="1:29" x14ac:dyDescent="0.3">
      <c r="A1493" s="1">
        <f>ROW(CantoralDB[[#This Row],[Título]])-1</f>
        <v>1492</v>
      </c>
      <c r="B1493" s="1" t="s">
        <v>1581</v>
      </c>
      <c r="C1493" s="1"/>
      <c r="J1493" s="1"/>
      <c r="M1493" s="15" t="s">
        <v>483</v>
      </c>
      <c r="N1493" s="1" t="s">
        <v>1481</v>
      </c>
      <c r="O1493" s="15">
        <v>2</v>
      </c>
      <c r="P1493" s="15">
        <v>1979</v>
      </c>
      <c r="Q1493" s="15" t="str" cm="1">
        <f t="array" ref="Q14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3" s="15" t="str" cm="1">
        <f t="array" ref="R14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canciones/kairoi/mi_ciudad.html</v>
      </c>
      <c r="T1493" s="1"/>
      <c r="U1493" s="1"/>
      <c r="V1493" s="32" t="s">
        <v>3921</v>
      </c>
      <c r="W14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href="canciones/kairoi/mi_ciudad.html"&gt;Mi ciudad&lt;/a&gt;&lt;/li&gt;</v>
      </c>
      <c r="X1493" s="15" t="str">
        <f>_xlfn.TEXTBEFORE(_xlfn.TEXTAFTER(CantoralDB[[#This Row],[index.html]],"&gt;"),"&gt;")&amp;"&gt;"</f>
        <v>&lt;a href="canciones/kairoi/mi_ciudad.html"&gt;</v>
      </c>
      <c r="Y1493"/>
      <c r="AC1493" s="1"/>
    </row>
    <row r="1494" spans="1:29" x14ac:dyDescent="0.3">
      <c r="A1494" s="1">
        <f>ROW(CantoralDB[[#This Row],[Título]])-1</f>
        <v>1493</v>
      </c>
      <c r="B1494" s="1" t="s">
        <v>1582</v>
      </c>
      <c r="C1494" s="1"/>
      <c r="J1494" s="1"/>
      <c r="M1494" s="15" t="s">
        <v>483</v>
      </c>
      <c r="N1494" s="1" t="s">
        <v>1481</v>
      </c>
      <c r="O1494" s="15">
        <v>3</v>
      </c>
      <c r="P1494" s="15">
        <v>1979</v>
      </c>
      <c r="Q1494" s="15" t="str" cm="1">
        <f t="array" ref="Q14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4" s="15" t="str" cm="1">
        <f t="array" ref="R14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canciones/kairoi/mañana_quien_sabra.html</v>
      </c>
      <c r="T1494" s="1"/>
      <c r="U1494" s="1"/>
      <c r="V1494" s="32" t="s">
        <v>3922</v>
      </c>
      <c r="W14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href="canciones/kairoi/mañana_quien_sabra.html"&gt;Mañana, quién sabrá&lt;/a&gt;&lt;/li&gt;</v>
      </c>
      <c r="X1494" s="15" t="str">
        <f>_xlfn.TEXTBEFORE(_xlfn.TEXTAFTER(CantoralDB[[#This Row],[index.html]],"&gt;"),"&gt;")&amp;"&gt;"</f>
        <v>&lt;a href="canciones/kairoi/mañana_quien_sabra.html"&gt;</v>
      </c>
      <c r="Y1494"/>
      <c r="AC1494" s="1"/>
    </row>
    <row r="1495" spans="1:29" x14ac:dyDescent="0.3">
      <c r="A1495" s="1">
        <f>ROW(CantoralDB[[#This Row],[Título]])-1</f>
        <v>1494</v>
      </c>
      <c r="B1495" s="1" t="s">
        <v>1583</v>
      </c>
      <c r="C1495" s="1"/>
      <c r="J1495" s="1"/>
      <c r="M1495" s="15" t="s">
        <v>483</v>
      </c>
      <c r="N1495" s="1" t="s">
        <v>1481</v>
      </c>
      <c r="O1495" s="15">
        <v>4</v>
      </c>
      <c r="P1495" s="15">
        <v>1979</v>
      </c>
      <c r="Q1495" s="15" t="str" cm="1">
        <f t="array" ref="Q14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5" s="15" t="str" cm="1">
        <f t="array" ref="R14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canciones/kairoi/quisiera_haber_nacido.html</v>
      </c>
      <c r="T1495" s="1"/>
      <c r="U1495" s="1"/>
      <c r="V1495" s="32" t="s">
        <v>3923</v>
      </c>
      <c r="W14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href="canciones/kairoi/quisiera_haber_nacido.html"&gt;Quisiera haber nacido&lt;/a&gt;&lt;/li&gt;</v>
      </c>
      <c r="X1495" s="15" t="str">
        <f>_xlfn.TEXTBEFORE(_xlfn.TEXTAFTER(CantoralDB[[#This Row],[index.html]],"&gt;"),"&gt;")&amp;"&gt;"</f>
        <v>&lt;a href="canciones/kairoi/quisiera_haber_nacido.html"&gt;</v>
      </c>
      <c r="Y1495"/>
      <c r="AC1495" s="1"/>
    </row>
    <row r="1496" spans="1:29" x14ac:dyDescent="0.3">
      <c r="A1496" s="1">
        <f>ROW(CantoralDB[[#This Row],[Título]])-1</f>
        <v>1495</v>
      </c>
      <c r="B1496" s="1" t="s">
        <v>1584</v>
      </c>
      <c r="C1496" s="1"/>
      <c r="J1496" s="1"/>
      <c r="M1496" s="15" t="s">
        <v>483</v>
      </c>
      <c r="N1496" s="1" t="s">
        <v>1481</v>
      </c>
      <c r="O1496" s="15">
        <v>5</v>
      </c>
      <c r="P1496" s="15">
        <v>1979</v>
      </c>
      <c r="Q1496" s="15" t="str" cm="1">
        <f t="array" ref="Q14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6" s="15" t="str" cm="1">
        <f t="array" ref="R14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canciones/kairoi/no_puedo_jugar.html</v>
      </c>
      <c r="T1496" s="1"/>
      <c r="U1496" s="1"/>
      <c r="V1496" s="32" t="s">
        <v>3924</v>
      </c>
      <c r="W14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href="canciones/kairoi/no_puedo_jugar.html"&gt;No puedo jugar&lt;/a&gt;&lt;/li&gt;</v>
      </c>
      <c r="X1496" s="15" t="str">
        <f>_xlfn.TEXTBEFORE(_xlfn.TEXTAFTER(CantoralDB[[#This Row],[index.html]],"&gt;"),"&gt;")&amp;"&gt;"</f>
        <v>&lt;a href="canciones/kairoi/no_puedo_jugar.html"&gt;</v>
      </c>
      <c r="Y1496"/>
      <c r="AC1496" s="1"/>
    </row>
    <row r="1497" spans="1:29" x14ac:dyDescent="0.3">
      <c r="A1497" s="1">
        <f>ROW(CantoralDB[[#This Row],[Título]])-1</f>
        <v>1496</v>
      </c>
      <c r="B1497" s="1" t="s">
        <v>1935</v>
      </c>
      <c r="C1497" s="1"/>
      <c r="J1497" s="1"/>
      <c r="M1497" s="15" t="s">
        <v>483</v>
      </c>
      <c r="N1497" s="1" t="s">
        <v>1481</v>
      </c>
      <c r="O1497" s="15">
        <v>6</v>
      </c>
      <c r="P1497" s="15">
        <v>1979</v>
      </c>
      <c r="Q1497" s="15" t="str" cm="1">
        <f t="array" ref="Q14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7" s="15" t="str" cm="1">
        <f t="array" ref="R14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canciones/kairoi/quien_me_ayuda.html</v>
      </c>
      <c r="T1497" s="1"/>
      <c r="U1497" s="1"/>
      <c r="V1497" s="32" t="s">
        <v>3925</v>
      </c>
      <c r="W14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href="canciones/kairoi/quien_me_ayuda.html"&gt;Quién me ayuda&lt;/a&gt;&lt;/li&gt;</v>
      </c>
      <c r="X1497" s="15" t="str">
        <f>_xlfn.TEXTBEFORE(_xlfn.TEXTAFTER(CantoralDB[[#This Row],[index.html]],"&gt;"),"&gt;")&amp;"&gt;"</f>
        <v>&lt;a href="canciones/kairoi/quien_me_ayuda.html"&gt;</v>
      </c>
      <c r="Y1497"/>
      <c r="AC1497" s="1"/>
    </row>
    <row r="1498" spans="1:29" x14ac:dyDescent="0.3">
      <c r="A1498" s="1">
        <f>ROW(CantoralDB[[#This Row],[Título]])-1</f>
        <v>1497</v>
      </c>
      <c r="B1498" s="1" t="s">
        <v>1585</v>
      </c>
      <c r="C1498" s="1"/>
      <c r="J1498" s="1"/>
      <c r="M1498" s="15" t="s">
        <v>483</v>
      </c>
      <c r="N1498" s="1" t="s">
        <v>1481</v>
      </c>
      <c r="O1498" s="15">
        <v>7</v>
      </c>
      <c r="P1498" s="15">
        <v>1979</v>
      </c>
      <c r="Q1498" s="15" t="str" cm="1">
        <f t="array" ref="Q14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8" s="15" t="str" cm="1">
        <f t="array" ref="R14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canciones/kairoi/siempre_me_gusto_decirte_hola.html</v>
      </c>
      <c r="T1498" s="1"/>
      <c r="U1498" s="1"/>
      <c r="V1498" s="32" t="s">
        <v>3926</v>
      </c>
      <c r="W14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href="canciones/kairoi/siempre_me_gusto_decirte_hola.html"&gt;Siempre me gustó decirte hola&lt;/a&gt;&lt;/li&gt;</v>
      </c>
      <c r="X1498" s="15" t="str">
        <f>_xlfn.TEXTBEFORE(_xlfn.TEXTAFTER(CantoralDB[[#This Row],[index.html]],"&gt;"),"&gt;")&amp;"&gt;"</f>
        <v>&lt;a href="canciones/kairoi/siempre_me_gusto_decirte_hola.html"&gt;</v>
      </c>
      <c r="Y1498"/>
      <c r="AC1498" s="1"/>
    </row>
    <row r="1499" spans="1:29" x14ac:dyDescent="0.3">
      <c r="A1499" s="1">
        <f>ROW(CantoralDB[[#This Row],[Título]])-1</f>
        <v>1498</v>
      </c>
      <c r="B1499" s="1" t="s">
        <v>1586</v>
      </c>
      <c r="C1499" s="1"/>
      <c r="J1499" s="1"/>
      <c r="M1499" s="15" t="s">
        <v>483</v>
      </c>
      <c r="N1499" s="1" t="s">
        <v>1481</v>
      </c>
      <c r="O1499" s="15">
        <v>8</v>
      </c>
      <c r="P1499" s="15">
        <v>1979</v>
      </c>
      <c r="Q1499" s="15" t="str" cm="1">
        <f t="array" ref="Q14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499" s="15" t="str" cm="1">
        <f t="array" ref="R14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4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canciones/kairoi/solo_trabajar.html</v>
      </c>
      <c r="T1499" s="1"/>
      <c r="U1499" s="1"/>
      <c r="V1499" s="32" t="s">
        <v>3927</v>
      </c>
      <c r="W14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href="canciones/kairoi/solo_trabajar.html"&gt;Sólo trabajar&lt;/a&gt;&lt;/li&gt;</v>
      </c>
      <c r="X1499" s="15" t="str">
        <f>_xlfn.TEXTBEFORE(_xlfn.TEXTAFTER(CantoralDB[[#This Row],[index.html]],"&gt;"),"&gt;")&amp;"&gt;"</f>
        <v>&lt;a href="canciones/kairoi/solo_trabajar.html"&gt;</v>
      </c>
      <c r="Y1499"/>
      <c r="AC1499" s="1"/>
    </row>
    <row r="1500" spans="1:29" x14ac:dyDescent="0.3">
      <c r="A1500" s="1">
        <f>ROW(CantoralDB[[#This Row],[Título]])-1</f>
        <v>1499</v>
      </c>
      <c r="B1500" s="1" t="s">
        <v>1587</v>
      </c>
      <c r="C1500" s="1"/>
      <c r="J1500" s="1"/>
      <c r="M1500" s="15" t="s">
        <v>483</v>
      </c>
      <c r="N1500" s="1" t="s">
        <v>1481</v>
      </c>
      <c r="O1500" s="15">
        <v>9</v>
      </c>
      <c r="P1500" s="15">
        <v>1979</v>
      </c>
      <c r="Q1500" s="15" t="str" cm="1">
        <f t="array" ref="Q15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0" s="15" t="str" cm="1">
        <f t="array" ref="R15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canciones/kairoi/no_tengo_a_nadie.html</v>
      </c>
      <c r="T1500" s="1"/>
      <c r="U1500" s="1"/>
      <c r="V1500" s="32" t="s">
        <v>3928</v>
      </c>
      <c r="W15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href="canciones/kairoi/no_tengo_a_nadie.html"&gt;No tengo a nadie&lt;/a&gt;&lt;/li&gt;</v>
      </c>
      <c r="X1500" s="15" t="str">
        <f>_xlfn.TEXTBEFORE(_xlfn.TEXTAFTER(CantoralDB[[#This Row],[index.html]],"&gt;"),"&gt;")&amp;"&gt;"</f>
        <v>&lt;a href="canciones/kairoi/no_tengo_a_nadie.html"&gt;</v>
      </c>
      <c r="Y1500"/>
      <c r="AC1500" s="1"/>
    </row>
    <row r="1501" spans="1:29" x14ac:dyDescent="0.3">
      <c r="A1501" s="1">
        <f>ROW(CantoralDB[[#This Row],[Título]])-1</f>
        <v>1500</v>
      </c>
      <c r="B1501" s="1" t="s">
        <v>1588</v>
      </c>
      <c r="C1501" s="1"/>
      <c r="J1501" s="1"/>
      <c r="M1501" s="15" t="s">
        <v>483</v>
      </c>
      <c r="N1501" s="1" t="s">
        <v>1481</v>
      </c>
      <c r="O1501" s="15">
        <v>10</v>
      </c>
      <c r="P1501" s="15">
        <v>1979</v>
      </c>
      <c r="Q1501" s="15" t="str" cm="1">
        <f t="array" ref="Q15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1" s="15" t="str" cm="1">
        <f t="array" ref="R15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canciones/kairoi/me_hicieron_asi.html</v>
      </c>
      <c r="T1501" s="1"/>
      <c r="U1501" s="1"/>
      <c r="V1501" s="32" t="s">
        <v>3929</v>
      </c>
      <c r="W15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href="canciones/kairoi/me_hicieron_asi.html"&gt;Me hicieron así&lt;/a&gt;&lt;/li&gt;</v>
      </c>
      <c r="X1501" s="15" t="str">
        <f>_xlfn.TEXTBEFORE(_xlfn.TEXTAFTER(CantoralDB[[#This Row],[index.html]],"&gt;"),"&gt;")&amp;"&gt;"</f>
        <v>&lt;a href="canciones/kairoi/me_hicieron_asi.html"&gt;</v>
      </c>
      <c r="Y1501"/>
      <c r="AC1501" s="1"/>
    </row>
    <row r="1502" spans="1:29" x14ac:dyDescent="0.3">
      <c r="A1502" s="1">
        <f>ROW(CantoralDB[[#This Row],[Título]])-1</f>
        <v>1501</v>
      </c>
      <c r="B1502" s="1" t="s">
        <v>1589</v>
      </c>
      <c r="C1502" s="1"/>
      <c r="J1502" s="1"/>
      <c r="M1502" s="15" t="s">
        <v>483</v>
      </c>
      <c r="N1502" s="1" t="s">
        <v>1481</v>
      </c>
      <c r="O1502" s="15">
        <v>11</v>
      </c>
      <c r="P1502" s="15">
        <v>1979</v>
      </c>
      <c r="Q1502" s="15" t="str" cm="1">
        <f t="array" ref="Q15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2" s="15" t="str" cm="1">
        <f t="array" ref="R15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canciones/kairoi/tu_y_yo_este_aquel.html</v>
      </c>
      <c r="T1502" s="1"/>
      <c r="U1502" s="1"/>
      <c r="V1502" s="32" t="s">
        <v>3930</v>
      </c>
      <c r="W15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href="canciones/kairoi/tu_y_yo_este_aquel.html"&gt;Tú y yo, éste, aquél&lt;/a&gt;&lt;/li&gt;</v>
      </c>
      <c r="X1502" s="15" t="str">
        <f>_xlfn.TEXTBEFORE(_xlfn.TEXTAFTER(CantoralDB[[#This Row],[index.html]],"&gt;"),"&gt;")&amp;"&gt;"</f>
        <v>&lt;a href="canciones/kairoi/tu_y_yo_este_aquel.html"&gt;</v>
      </c>
      <c r="Y1502"/>
      <c r="AC1502" s="1"/>
    </row>
    <row r="1503" spans="1:29" x14ac:dyDescent="0.3">
      <c r="A1503" s="1">
        <f>ROW(CantoralDB[[#This Row],[Título]])-1</f>
        <v>1502</v>
      </c>
      <c r="B1503" s="1" t="s">
        <v>1600</v>
      </c>
      <c r="C1503" s="1"/>
      <c r="J1503" s="1"/>
      <c r="M1503" s="15" t="s">
        <v>483</v>
      </c>
      <c r="N1503" s="1" t="s">
        <v>1484</v>
      </c>
      <c r="O1503" s="15">
        <v>1</v>
      </c>
      <c r="P1503" s="15">
        <v>1986</v>
      </c>
      <c r="Q1503" s="15" t="str" cm="1">
        <f t="array" ref="Q15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3" s="15" t="str" cm="1">
        <f t="array" ref="R15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canciones/kairoi/gloria_hosana.html</v>
      </c>
      <c r="T1503" s="1"/>
      <c r="U1503" s="1"/>
      <c r="V1503" s="32" t="s">
        <v>3931</v>
      </c>
      <c r="W15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href="canciones/kairoi/gloria_hosana.html"&gt;Gloria, hosana&lt;/a&gt;&lt;/li&gt;</v>
      </c>
      <c r="X1503" s="15" t="str">
        <f>_xlfn.TEXTBEFORE(_xlfn.TEXTAFTER(CantoralDB[[#This Row],[index.html]],"&gt;"),"&gt;")&amp;"&gt;"</f>
        <v>&lt;a href="canciones/kairoi/gloria_hosana.html"&gt;</v>
      </c>
      <c r="Y1503"/>
      <c r="AC1503" s="1"/>
    </row>
    <row r="1504" spans="1:29" x14ac:dyDescent="0.3">
      <c r="A1504" s="1">
        <f>ROW(CantoralDB[[#This Row],[Título]])-1</f>
        <v>1503</v>
      </c>
      <c r="B1504" s="1" t="s">
        <v>1554</v>
      </c>
      <c r="C1504" s="1"/>
      <c r="H1504" s="1" t="s">
        <v>1027</v>
      </c>
      <c r="J1504" s="1" t="s">
        <v>605</v>
      </c>
      <c r="M1504" s="15" t="s">
        <v>483</v>
      </c>
      <c r="N1504" s="1" t="s">
        <v>1484</v>
      </c>
      <c r="O1504" s="15">
        <v>2</v>
      </c>
      <c r="P1504" s="15">
        <v>1986</v>
      </c>
      <c r="Q1504" s="15" t="str" cm="1">
        <f t="array" ref="Q15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4" s="15" t="str" cm="1">
        <f t="array" ref="R15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canciones/kairoi/en_tu_cruz_sigues_hoy.html</v>
      </c>
      <c r="T1504" s="1"/>
      <c r="U1504" s="1"/>
      <c r="V1504" s="32" t="s">
        <v>3932</v>
      </c>
      <c r="W15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href="canciones/kairoi/en_tu_cruz_sigues_hoy.html"&gt;En tu cruz sigues hoy&lt;/a&gt;&lt;/li&gt;</v>
      </c>
      <c r="X1504" s="15" t="str">
        <f>_xlfn.TEXTBEFORE(_xlfn.TEXTAFTER(CantoralDB[[#This Row],[index.html]],"&gt;"),"&gt;")&amp;"&gt;"</f>
        <v>&lt;a href="canciones/kairoi/en_tu_cruz_sigues_hoy.html"&gt;</v>
      </c>
      <c r="Y1504"/>
      <c r="AC1504" s="1"/>
    </row>
    <row r="1505" spans="1:29" x14ac:dyDescent="0.3">
      <c r="A1505" s="1">
        <f>ROW(CantoralDB[[#This Row],[Título]])-1</f>
        <v>1504</v>
      </c>
      <c r="B1505" s="1" t="s">
        <v>1555</v>
      </c>
      <c r="C1505" s="1"/>
      <c r="H1505" s="1" t="s">
        <v>1025</v>
      </c>
      <c r="J1505" s="1" t="s">
        <v>605</v>
      </c>
      <c r="M1505" s="15" t="s">
        <v>483</v>
      </c>
      <c r="N1505" s="1" t="s">
        <v>1484</v>
      </c>
      <c r="O1505" s="15">
        <v>3</v>
      </c>
      <c r="P1505" s="15">
        <v>1986</v>
      </c>
      <c r="Q1505" s="15" t="str" cm="1">
        <f t="array" ref="Q15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5" s="15" t="str" cm="1">
        <f t="array" ref="R15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canciones/kairoi/en_la_cruz_nos_das_la_vida.html</v>
      </c>
      <c r="T1505" s="1"/>
      <c r="U1505" s="1"/>
      <c r="V1505" s="32" t="s">
        <v>3933</v>
      </c>
      <c r="W15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href="canciones/kairoi/en_la_cruz_nos_das_la_vida.html"&gt;En la cruz nos das la vida&lt;/a&gt;&lt;/li&gt;</v>
      </c>
      <c r="X1505" s="15" t="str">
        <f>_xlfn.TEXTBEFORE(_xlfn.TEXTAFTER(CantoralDB[[#This Row],[index.html]],"&gt;"),"&gt;")&amp;"&gt;"</f>
        <v>&lt;a href="canciones/kairoi/en_la_cruz_nos_das_la_vida.html"&gt;</v>
      </c>
      <c r="Y1505"/>
      <c r="AC1505" s="1"/>
    </row>
    <row r="1506" spans="1:29" x14ac:dyDescent="0.3">
      <c r="A1506" s="1">
        <f>ROW(CantoralDB[[#This Row],[Título]])-1</f>
        <v>1505</v>
      </c>
      <c r="B1506" s="1" t="s">
        <v>1556</v>
      </c>
      <c r="C1506" s="1"/>
      <c r="H1506" s="1" t="s">
        <v>1024</v>
      </c>
      <c r="J1506" s="1" t="s">
        <v>605</v>
      </c>
      <c r="M1506" s="15" t="s">
        <v>483</v>
      </c>
      <c r="N1506" s="1" t="s">
        <v>1484</v>
      </c>
      <c r="O1506" s="15">
        <v>4</v>
      </c>
      <c r="P1506" s="15">
        <v>1986</v>
      </c>
      <c r="Q1506" s="15" t="str" cm="1">
        <f t="array" ref="Q15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6" s="15" t="str" cm="1">
        <f t="array" ref="R15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canciones/kairoi/siento_tu_llamada.html</v>
      </c>
      <c r="T1506" s="1"/>
      <c r="U1506" s="1"/>
      <c r="V1506" s="32" t="s">
        <v>3934</v>
      </c>
      <c r="W15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href="canciones/kairoi/siento_tu_llamada.html"&gt;Siento tu llamada&lt;/a&gt;&lt;/li&gt;</v>
      </c>
      <c r="X1506" s="15" t="str">
        <f>_xlfn.TEXTBEFORE(_xlfn.TEXTAFTER(CantoralDB[[#This Row],[index.html]],"&gt;"),"&gt;")&amp;"&gt;"</f>
        <v>&lt;a href="canciones/kairoi/siento_tu_llamada.html"&gt;</v>
      </c>
      <c r="Y1506"/>
      <c r="AC1506" s="1"/>
    </row>
    <row r="1507" spans="1:29" x14ac:dyDescent="0.3">
      <c r="A1507" s="1">
        <f>ROW(CantoralDB[[#This Row],[Título]])-1</f>
        <v>1506</v>
      </c>
      <c r="B1507" s="1" t="s">
        <v>1557</v>
      </c>
      <c r="C1507" s="1"/>
      <c r="H1507" s="1" t="s">
        <v>529</v>
      </c>
      <c r="J1507" s="1" t="s">
        <v>605</v>
      </c>
      <c r="M1507" s="15" t="s">
        <v>483</v>
      </c>
      <c r="N1507" s="1" t="s">
        <v>1484</v>
      </c>
      <c r="O1507" s="15">
        <v>5</v>
      </c>
      <c r="P1507" s="15">
        <v>1986</v>
      </c>
      <c r="Q1507" s="15" t="str" cm="1">
        <f t="array" ref="Q15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7" s="15" t="str" cm="1">
        <f t="array" ref="R15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canciones/kairoi/el_señor_es_la_esperanza.html</v>
      </c>
      <c r="T1507" s="1"/>
      <c r="U1507" s="1"/>
      <c r="V1507" s="32" t="s">
        <v>3934</v>
      </c>
      <c r="W15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href="canciones/kairoi/el_señor_es_la_esperanza.html"&gt;El Señor es la esperanza&lt;/a&gt;&lt;/li&gt;</v>
      </c>
      <c r="X1507" s="15" t="str">
        <f>_xlfn.TEXTBEFORE(_xlfn.TEXTAFTER(CantoralDB[[#This Row],[index.html]],"&gt;"),"&gt;")&amp;"&gt;"</f>
        <v>&lt;a href="canciones/kairoi/el_señor_es_la_esperanza.html"&gt;</v>
      </c>
      <c r="Y1507"/>
      <c r="AC1507" s="1"/>
    </row>
    <row r="1508" spans="1:29" x14ac:dyDescent="0.3">
      <c r="A1508" s="1">
        <f>ROW(CantoralDB[[#This Row],[Título]])-1</f>
        <v>1507</v>
      </c>
      <c r="B1508" s="1" t="s">
        <v>1558</v>
      </c>
      <c r="C1508" s="1"/>
      <c r="H1508" s="1" t="s">
        <v>529</v>
      </c>
      <c r="J1508" s="1" t="s">
        <v>605</v>
      </c>
      <c r="M1508" s="15" t="s">
        <v>483</v>
      </c>
      <c r="N1508" s="1" t="s">
        <v>1484</v>
      </c>
      <c r="O1508" s="15">
        <v>6</v>
      </c>
      <c r="P1508" s="15">
        <v>1986</v>
      </c>
      <c r="Q1508" s="15" t="str" cm="1">
        <f t="array" ref="Q15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8" s="15" t="str" cm="1">
        <f t="array" ref="R15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canciones/kairoi/el_señor_esta_aqui.html</v>
      </c>
      <c r="T1508" s="1"/>
      <c r="U1508" s="1"/>
      <c r="V1508" s="32" t="s">
        <v>3934</v>
      </c>
      <c r="W15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href="canciones/kairoi/el_señor_esta_aqui.html"&gt;El Señor está aquí&lt;/a&gt;&lt;/li&gt;</v>
      </c>
      <c r="X1508" s="15" t="str">
        <f>_xlfn.TEXTBEFORE(_xlfn.TEXTAFTER(CantoralDB[[#This Row],[index.html]],"&gt;"),"&gt;")&amp;"&gt;"</f>
        <v>&lt;a href="canciones/kairoi/el_señor_esta_aqui.html"&gt;</v>
      </c>
      <c r="Y1508"/>
      <c r="AC1508" s="1"/>
    </row>
    <row r="1509" spans="1:29" x14ac:dyDescent="0.3">
      <c r="A1509" s="1">
        <f>ROW(CantoralDB[[#This Row],[Título]])-1</f>
        <v>1508</v>
      </c>
      <c r="B1509" s="1" t="s">
        <v>1559</v>
      </c>
      <c r="C1509" s="1"/>
      <c r="H1509" s="1" t="s">
        <v>1025</v>
      </c>
      <c r="J1509" s="1" t="s">
        <v>605</v>
      </c>
      <c r="M1509" s="15" t="s">
        <v>483</v>
      </c>
      <c r="N1509" s="1" t="s">
        <v>1484</v>
      </c>
      <c r="O1509" s="15">
        <v>7</v>
      </c>
      <c r="P1509" s="15">
        <v>1986</v>
      </c>
      <c r="Q1509" s="15" t="str" cm="1">
        <f t="array" ref="Q15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09" s="15" t="str" cm="1">
        <f t="array" ref="R15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canciones/kairoi/caminad.html</v>
      </c>
      <c r="T1509" s="1"/>
      <c r="U1509" s="1"/>
      <c r="V1509" s="32" t="s">
        <v>3934</v>
      </c>
      <c r="W15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href="canciones/kairoi/caminad.html"&gt;Caminad&lt;/a&gt;&lt;/li&gt;</v>
      </c>
      <c r="X1509" s="15" t="str">
        <f>_xlfn.TEXTBEFORE(_xlfn.TEXTAFTER(CantoralDB[[#This Row],[index.html]],"&gt;"),"&gt;")&amp;"&gt;"</f>
        <v>&lt;a href="canciones/kairoi/caminad.html"&gt;</v>
      </c>
      <c r="Y1509"/>
      <c r="AC1509" s="1"/>
    </row>
    <row r="1510" spans="1:29" x14ac:dyDescent="0.3">
      <c r="A1510" s="1">
        <f>ROW(CantoralDB[[#This Row],[Título]])-1</f>
        <v>1509</v>
      </c>
      <c r="B1510" s="1" t="s">
        <v>1560</v>
      </c>
      <c r="C1510" s="1"/>
      <c r="H1510" s="1" t="s">
        <v>1025</v>
      </c>
      <c r="J1510" s="1" t="s">
        <v>605</v>
      </c>
      <c r="M1510" s="15" t="s">
        <v>483</v>
      </c>
      <c r="N1510" s="1" t="s">
        <v>1484</v>
      </c>
      <c r="O1510" s="15">
        <v>8</v>
      </c>
      <c r="P1510" s="15">
        <v>1986</v>
      </c>
      <c r="Q1510" s="15" t="str" cm="1">
        <f t="array" ref="Q15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0" s="15" t="str" cm="1">
        <f t="array" ref="R15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canciones/kairoi/acogeme_dios.html</v>
      </c>
      <c r="T1510" s="1"/>
      <c r="U1510" s="1"/>
      <c r="V1510" s="32" t="s">
        <v>3934</v>
      </c>
      <c r="W15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href="canciones/kairoi/acogeme_dios.html"&gt;Acógeme, Dios&lt;/a&gt;&lt;/li&gt;</v>
      </c>
      <c r="X1510" s="15" t="str">
        <f>_xlfn.TEXTBEFORE(_xlfn.TEXTAFTER(CantoralDB[[#This Row],[index.html]],"&gt;"),"&gt;")&amp;"&gt;"</f>
        <v>&lt;a href="canciones/kairoi/acogeme_dios.html"&gt;</v>
      </c>
      <c r="Y1510"/>
      <c r="AC1510" s="1"/>
    </row>
    <row r="1511" spans="1:29" x14ac:dyDescent="0.3">
      <c r="A1511" s="1">
        <f>ROW(CantoralDB[[#This Row],[Título]])-1</f>
        <v>1510</v>
      </c>
      <c r="B1511" s="1" t="s">
        <v>1561</v>
      </c>
      <c r="C1511" s="1"/>
      <c r="H1511" s="1" t="s">
        <v>1027</v>
      </c>
      <c r="J1511" s="1" t="s">
        <v>605</v>
      </c>
      <c r="M1511" s="15" t="s">
        <v>483</v>
      </c>
      <c r="N1511" s="1" t="s">
        <v>1484</v>
      </c>
      <c r="O1511" s="15">
        <v>9</v>
      </c>
      <c r="P1511" s="15">
        <v>1986</v>
      </c>
      <c r="Q1511" s="15" t="str" cm="1">
        <f t="array" ref="Q15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1" s="15" t="str" cm="1">
        <f t="array" ref="R15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canciones/kairoi/maria_madre_del_dolor.html</v>
      </c>
      <c r="T1511" s="1"/>
      <c r="U1511" s="1"/>
      <c r="V1511" s="32" t="s">
        <v>3935</v>
      </c>
      <c r="W15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href="canciones/kairoi/maria_madre_del_dolor.html"&gt;María, madre del dolor&lt;/a&gt;&lt;/li&gt;</v>
      </c>
      <c r="X1511" s="15" t="str">
        <f>_xlfn.TEXTBEFORE(_xlfn.TEXTAFTER(CantoralDB[[#This Row],[index.html]],"&gt;"),"&gt;")&amp;"&gt;"</f>
        <v>&lt;a href="canciones/kairoi/maria_madre_del_dolor.html"&gt;</v>
      </c>
      <c r="Y1511"/>
      <c r="AC1511" s="1"/>
    </row>
    <row r="1512" spans="1:29" x14ac:dyDescent="0.3">
      <c r="A1512" s="1">
        <f>ROW(CantoralDB[[#This Row],[Título]])-1</f>
        <v>1511</v>
      </c>
      <c r="B1512" s="1" t="s">
        <v>222</v>
      </c>
      <c r="C1512" s="1" t="s">
        <v>190</v>
      </c>
      <c r="D1512" s="1" t="s">
        <v>732</v>
      </c>
      <c r="G1512" s="1" t="s">
        <v>215</v>
      </c>
      <c r="H1512" s="1" t="s">
        <v>529</v>
      </c>
      <c r="J1512" s="1" t="s">
        <v>605</v>
      </c>
      <c r="M1512" s="15" t="s">
        <v>483</v>
      </c>
      <c r="N1512" s="1" t="s">
        <v>1484</v>
      </c>
      <c r="O1512" s="15">
        <v>10</v>
      </c>
      <c r="P1512" s="15">
        <v>1986</v>
      </c>
      <c r="Q1512" s="15" t="str" cm="1">
        <f t="array" ref="Q15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2" s="15" t="str" cm="1">
        <f t="array" ref="R15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canciones/kairoi/el_señor_nos_ha_reunido.html</v>
      </c>
      <c r="T1512" s="1"/>
      <c r="U1512" s="1"/>
      <c r="V1512" s="32" t="s">
        <v>3936</v>
      </c>
      <c r="W15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data-momento="Entrada" data-nnew="A15"&gt;&lt;a href="canciones/kairoi/el_señor_nos_ha_reunido.html"&gt;El Señor nos ha reunido&lt;/a&gt;&lt;/li&gt;</v>
      </c>
      <c r="X1512" s="15" t="str">
        <f>_xlfn.TEXTBEFORE(_xlfn.TEXTAFTER(CantoralDB[[#This Row],[index.html]],"&gt;"),"&gt;")&amp;"&gt;"</f>
        <v>&lt;a href="canciones/kairoi/el_señor_nos_ha_reunido.html"&gt;</v>
      </c>
      <c r="Y1512"/>
      <c r="AC1512" s="1"/>
    </row>
    <row r="1513" spans="1:29" x14ac:dyDescent="0.3">
      <c r="A1513" s="1">
        <f>ROW(CantoralDB[[#This Row],[Título]])-1</f>
        <v>1512</v>
      </c>
      <c r="B1513" s="1" t="s">
        <v>1562</v>
      </c>
      <c r="C1513" s="1"/>
      <c r="H1513" s="1" t="s">
        <v>529</v>
      </c>
      <c r="J1513" s="1" t="s">
        <v>605</v>
      </c>
      <c r="M1513" s="15" t="s">
        <v>483</v>
      </c>
      <c r="N1513" s="1" t="s">
        <v>1484</v>
      </c>
      <c r="O1513" s="15">
        <v>11</v>
      </c>
      <c r="P1513" s="15">
        <v>1986</v>
      </c>
      <c r="Q1513" s="15" t="str" cm="1">
        <f t="array" ref="Q15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3" s="15" t="str" cm="1">
        <f t="array" ref="R15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canciones/kairoi/llama_de_vida.html</v>
      </c>
      <c r="T1513" s="1"/>
      <c r="U1513" s="1"/>
      <c r="V1513" s="32" t="s">
        <v>3937</v>
      </c>
      <c r="W15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href="canciones/kairoi/llama_de_vida.html"&gt;Llama de vida&lt;/a&gt;&lt;/li&gt;</v>
      </c>
      <c r="X1513" s="15" t="str">
        <f>_xlfn.TEXTBEFORE(_xlfn.TEXTAFTER(CantoralDB[[#This Row],[index.html]],"&gt;"),"&gt;")&amp;"&gt;"</f>
        <v>&lt;a href="canciones/kairoi/llama_de_vida.html"&gt;</v>
      </c>
      <c r="Y1513"/>
      <c r="AC1513" s="1"/>
    </row>
    <row r="1514" spans="1:29" x14ac:dyDescent="0.3">
      <c r="A1514" s="1">
        <f>ROW(CantoralDB[[#This Row],[Título]])-1</f>
        <v>1513</v>
      </c>
      <c r="B1514" s="1" t="s">
        <v>1563</v>
      </c>
      <c r="C1514" s="1"/>
      <c r="H1514" s="1" t="s">
        <v>529</v>
      </c>
      <c r="J1514" s="1" t="s">
        <v>605</v>
      </c>
      <c r="M1514" s="15" t="s">
        <v>483</v>
      </c>
      <c r="N1514" s="1" t="s">
        <v>1484</v>
      </c>
      <c r="O1514" s="15">
        <v>12</v>
      </c>
      <c r="P1514" s="15">
        <v>1986</v>
      </c>
      <c r="Q1514" s="15" t="str" cm="1">
        <f t="array" ref="Q15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4" s="15" t="str" cm="1">
        <f t="array" ref="R15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canciones/kairoi/venga_tu_reino.html</v>
      </c>
      <c r="T1514" s="1"/>
      <c r="U1514" s="1"/>
      <c r="V1514" s="32" t="s">
        <v>3938</v>
      </c>
      <c r="W15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href="canciones/kairoi/venga_tu_reino.html"&gt;Venga tu reino&lt;/a&gt;&lt;/li&gt;</v>
      </c>
      <c r="X1514" s="15" t="str">
        <f>_xlfn.TEXTBEFORE(_xlfn.TEXTAFTER(CantoralDB[[#This Row],[index.html]],"&gt;"),"&gt;")&amp;"&gt;"</f>
        <v>&lt;a href="canciones/kairoi/venga_tu_reino.html"&gt;</v>
      </c>
      <c r="Y1514"/>
      <c r="AC1514" s="1"/>
    </row>
    <row r="1515" spans="1:29" x14ac:dyDescent="0.3">
      <c r="A1515" s="1">
        <f>ROW(CantoralDB[[#This Row],[Título]])-1</f>
        <v>1514</v>
      </c>
      <c r="B1515" s="1" t="s">
        <v>1910</v>
      </c>
      <c r="C1515" s="1" t="s">
        <v>210</v>
      </c>
      <c r="D1515" s="1" t="s">
        <v>1453</v>
      </c>
      <c r="G1515" s="1" t="s">
        <v>208</v>
      </c>
      <c r="H1515" s="1" t="s">
        <v>472</v>
      </c>
      <c r="I1515" s="1" t="s">
        <v>2945</v>
      </c>
      <c r="J1515" s="1" t="s">
        <v>605</v>
      </c>
      <c r="M1515" s="15" t="s">
        <v>483</v>
      </c>
      <c r="N1515" s="1" t="s">
        <v>1484</v>
      </c>
      <c r="O1515" s="15">
        <v>13</v>
      </c>
      <c r="P1515" s="15">
        <v>1986</v>
      </c>
      <c r="Q1515" s="15" t="str" cm="1">
        <f t="array" ref="Q15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5" s="15" t="str" cm="1">
        <f t="array" ref="R15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canciones/kairoi/pregon_pascual_(gloria).html</v>
      </c>
      <c r="T1515" s="1"/>
      <c r="U1515" s="1"/>
      <c r="V1515" s="32" t="s">
        <v>3939</v>
      </c>
      <c r="W15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data-momento="Especiales" data-nnew="P04"&gt;&lt;a href="canciones/kairoi/pregon_pascual_(gloria).html"&gt;Pregón Pascual (Gloria)&lt;/a&gt;&lt;/li&gt;</v>
      </c>
      <c r="X1515" s="15" t="str">
        <f>_xlfn.TEXTBEFORE(_xlfn.TEXTAFTER(CantoralDB[[#This Row],[index.html]],"&gt;"),"&gt;")&amp;"&gt;"</f>
        <v>&lt;a href="canciones/kairoi/pregon_pascual_(gloria).html"&gt;</v>
      </c>
      <c r="Y1515"/>
      <c r="AC1515" s="1"/>
    </row>
    <row r="1516" spans="1:29" x14ac:dyDescent="0.3">
      <c r="A1516" s="1">
        <f>ROW(CantoralDB[[#This Row],[Título]])-1</f>
        <v>1515</v>
      </c>
      <c r="B1516" s="1" t="s">
        <v>557</v>
      </c>
      <c r="C1516" s="1" t="s">
        <v>190</v>
      </c>
      <c r="D1516" s="1" t="s">
        <v>741</v>
      </c>
      <c r="G1516" s="1" t="s">
        <v>551</v>
      </c>
      <c r="H1516" s="1" t="s">
        <v>1024</v>
      </c>
      <c r="J1516" s="1" t="s">
        <v>605</v>
      </c>
      <c r="M1516" s="15" t="s">
        <v>483</v>
      </c>
      <c r="N1516" s="1" t="s">
        <v>1484</v>
      </c>
      <c r="O1516" s="15">
        <v>14</v>
      </c>
      <c r="P1516" s="15">
        <v>1986</v>
      </c>
      <c r="Q1516" s="15" t="str" cm="1">
        <f t="array" ref="Q15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6" s="15" t="str" cm="1">
        <f t="array" ref="R15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canciones/kairoi/mirad_jesus_resucita_hoy.html</v>
      </c>
      <c r="T1516" s="1"/>
      <c r="U1516" s="1"/>
      <c r="V1516" s="32" t="s">
        <v>3940</v>
      </c>
      <c r="W15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data-momento="Entrada" data-nnew="A24"&gt;&lt;a href="canciones/kairoi/mirad_jesus_resucita_hoy.html"&gt;Mirad, Jesús resucita hoy&lt;/a&gt;&lt;/li&gt;</v>
      </c>
      <c r="X1516" s="15" t="str">
        <f>_xlfn.TEXTBEFORE(_xlfn.TEXTAFTER(CantoralDB[[#This Row],[index.html]],"&gt;"),"&gt;")&amp;"&gt;"</f>
        <v>&lt;a href="canciones/kairoi/mirad_jesus_resucita_hoy.html"&gt;</v>
      </c>
      <c r="Y1516"/>
      <c r="AC1516" s="1"/>
    </row>
    <row r="1517" spans="1:29" x14ac:dyDescent="0.3">
      <c r="A1517" s="1">
        <f>ROW(CantoralDB[[#This Row],[Título]])-1</f>
        <v>1516</v>
      </c>
      <c r="B1517" s="1" t="s">
        <v>1564</v>
      </c>
      <c r="C1517" s="1"/>
      <c r="H1517" s="1" t="s">
        <v>472</v>
      </c>
      <c r="J1517" s="1" t="s">
        <v>605</v>
      </c>
      <c r="M1517" s="15" t="s">
        <v>483</v>
      </c>
      <c r="N1517" s="1" t="s">
        <v>1484</v>
      </c>
      <c r="O1517" s="15">
        <v>15</v>
      </c>
      <c r="P1517" s="15">
        <v>1986</v>
      </c>
      <c r="Q1517" s="15" t="str" cm="1">
        <f t="array" ref="Q15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7" s="15" t="str" cm="1">
        <f t="array" ref="R15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canciones/kairoi/somos_testigos.html</v>
      </c>
      <c r="T1517" s="1"/>
      <c r="U1517" s="1"/>
      <c r="V1517" s="32" t="s">
        <v>3941</v>
      </c>
      <c r="W15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href="canciones/kairoi/somos_testigos.html"&gt;Somos testigos&lt;/a&gt;&lt;/li&gt;</v>
      </c>
      <c r="X1517" s="15" t="str">
        <f>_xlfn.TEXTBEFORE(_xlfn.TEXTAFTER(CantoralDB[[#This Row],[index.html]],"&gt;"),"&gt;")&amp;"&gt;"</f>
        <v>&lt;a href="canciones/kairoi/somos_testigos.html"&gt;</v>
      </c>
      <c r="Y1517"/>
      <c r="AC1517" s="1"/>
    </row>
    <row r="1518" spans="1:29" x14ac:dyDescent="0.3">
      <c r="A1518" s="1">
        <f>ROW(CantoralDB[[#This Row],[Título]])-1</f>
        <v>1517</v>
      </c>
      <c r="B1518" s="1" t="s">
        <v>1565</v>
      </c>
      <c r="C1518" s="1"/>
      <c r="H1518" s="1" t="s">
        <v>1024</v>
      </c>
      <c r="J1518" s="1" t="s">
        <v>605</v>
      </c>
      <c r="M1518" s="15" t="s">
        <v>483</v>
      </c>
      <c r="N1518" s="1" t="s">
        <v>1484</v>
      </c>
      <c r="O1518" s="15">
        <v>16</v>
      </c>
      <c r="P1518" s="15">
        <v>1986</v>
      </c>
      <c r="Q1518" s="15" t="str" cm="1">
        <f t="array" ref="Q15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8" s="15" t="str" cm="1">
        <f t="array" ref="R15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canciones/kairoi/tu_camino_y_tu_verdad.html</v>
      </c>
      <c r="T1518" s="1"/>
      <c r="U1518" s="1"/>
      <c r="V1518" s="32" t="s">
        <v>3942</v>
      </c>
      <c r="W15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href="canciones/kairoi/tu_camino_y_tu_verdad.html"&gt;Tu camino y tu verdad&lt;/a&gt;&lt;/li&gt;</v>
      </c>
      <c r="X1518" s="15" t="str">
        <f>_xlfn.TEXTBEFORE(_xlfn.TEXTAFTER(CantoralDB[[#This Row],[index.html]],"&gt;"),"&gt;")&amp;"&gt;"</f>
        <v>&lt;a href="canciones/kairoi/tu_camino_y_tu_verdad.html"&gt;</v>
      </c>
      <c r="Y1518"/>
      <c r="AC1518" s="1"/>
    </row>
    <row r="1519" spans="1:29" x14ac:dyDescent="0.3">
      <c r="A1519" s="1">
        <f>ROW(CantoralDB[[#This Row],[Título]])-1</f>
        <v>1518</v>
      </c>
      <c r="B1519" s="1" t="s">
        <v>1677</v>
      </c>
      <c r="C1519" s="1"/>
      <c r="H1519" s="1" t="s">
        <v>1024</v>
      </c>
      <c r="J1519" s="1" t="s">
        <v>605</v>
      </c>
      <c r="M1519" s="15" t="s">
        <v>483</v>
      </c>
      <c r="N1519" s="1" t="s">
        <v>1495</v>
      </c>
      <c r="O1519" s="15">
        <v>1</v>
      </c>
      <c r="P1519" s="15">
        <v>1999</v>
      </c>
      <c r="Q1519" s="15" t="str" cm="1">
        <f t="array" ref="Q15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19" s="15" t="str" cm="1">
        <f t="array" ref="R15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canciones/kairoi/seguir_amando.html</v>
      </c>
      <c r="T1519" s="1"/>
      <c r="U1519" s="1"/>
      <c r="V1519" s="32" t="s">
        <v>3943</v>
      </c>
      <c r="W15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href="canciones/kairoi/seguir_amando.html"&gt;Seguir amando&lt;/a&gt;&lt;/li&gt;</v>
      </c>
      <c r="X1519" s="15" t="str">
        <f>_xlfn.TEXTBEFORE(_xlfn.TEXTAFTER(CantoralDB[[#This Row],[index.html]],"&gt;"),"&gt;")&amp;"&gt;"</f>
        <v>&lt;a href="canciones/kairoi/seguir_amando.html"&gt;</v>
      </c>
      <c r="Y1519"/>
      <c r="AC1519" s="1"/>
    </row>
    <row r="1520" spans="1:29" x14ac:dyDescent="0.3">
      <c r="A1520" s="1">
        <f>ROW(CantoralDB[[#This Row],[Título]])-1</f>
        <v>1519</v>
      </c>
      <c r="B1520" s="1" t="s">
        <v>1495</v>
      </c>
      <c r="C1520" s="1"/>
      <c r="H1520" s="1" t="s">
        <v>472</v>
      </c>
      <c r="J1520" s="1" t="s">
        <v>605</v>
      </c>
      <c r="M1520" s="15" t="s">
        <v>483</v>
      </c>
      <c r="N1520" s="1" t="s">
        <v>1495</v>
      </c>
      <c r="O1520" s="15">
        <v>2</v>
      </c>
      <c r="P1520" s="15">
        <v>1999</v>
      </c>
      <c r="Q1520" s="15" t="str" cm="1">
        <f t="array" ref="Q15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0" s="15" t="str" cm="1">
        <f t="array" ref="R15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canciones/kairoi/y_se_vive_la_vida.html</v>
      </c>
      <c r="T1520" s="1"/>
      <c r="U1520" s="1"/>
      <c r="V1520" s="32" t="s">
        <v>3944</v>
      </c>
      <c r="W15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href="canciones/kairoi/y_se_vive_la_vida.html"&gt;Y se vive la vida&lt;/a&gt;&lt;/li&gt;</v>
      </c>
      <c r="X1520" s="15" t="str">
        <f>_xlfn.TEXTBEFORE(_xlfn.TEXTAFTER(CantoralDB[[#This Row],[index.html]],"&gt;"),"&gt;")&amp;"&gt;"</f>
        <v>&lt;a href="canciones/kairoi/y_se_vive_la_vida.html"&gt;</v>
      </c>
      <c r="Y1520"/>
      <c r="AC1520" s="1"/>
    </row>
    <row r="1521" spans="1:29" x14ac:dyDescent="0.3">
      <c r="A1521" s="1">
        <f>ROW(CantoralDB[[#This Row],[Título]])-1</f>
        <v>1520</v>
      </c>
      <c r="B1521" s="1" t="s">
        <v>1678</v>
      </c>
      <c r="C1521" s="1"/>
      <c r="H1521" s="1" t="s">
        <v>1024</v>
      </c>
      <c r="J1521" s="1" t="s">
        <v>605</v>
      </c>
      <c r="M1521" s="15" t="s">
        <v>483</v>
      </c>
      <c r="N1521" s="1" t="s">
        <v>1495</v>
      </c>
      <c r="O1521" s="15">
        <v>3</v>
      </c>
      <c r="P1521" s="15">
        <v>1999</v>
      </c>
      <c r="Q1521" s="15" t="str" cm="1">
        <f t="array" ref="Q15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1" s="15" t="str" cm="1">
        <f t="array" ref="R15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canciones/kairoi/jesus_cambianos.html</v>
      </c>
      <c r="T1521" s="1"/>
      <c r="U1521" s="1"/>
      <c r="V1521" s="32" t="s">
        <v>3945</v>
      </c>
      <c r="W15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href="canciones/kairoi/jesus_cambianos.html"&gt;Jesús, cámbianos&lt;/a&gt;&lt;/li&gt;</v>
      </c>
      <c r="X1521" s="15" t="str">
        <f>_xlfn.TEXTBEFORE(_xlfn.TEXTAFTER(CantoralDB[[#This Row],[index.html]],"&gt;"),"&gt;")&amp;"&gt;"</f>
        <v>&lt;a href="canciones/kairoi/jesus_cambianos.html"&gt;</v>
      </c>
      <c r="Y1521"/>
      <c r="AC1521" s="1"/>
    </row>
    <row r="1522" spans="1:29" x14ac:dyDescent="0.3">
      <c r="A1522" s="1">
        <f>ROW(CantoralDB[[#This Row],[Título]])-1</f>
        <v>1521</v>
      </c>
      <c r="B1522" s="1" t="s">
        <v>1679</v>
      </c>
      <c r="C1522" s="1"/>
      <c r="H1522" s="1" t="s">
        <v>529</v>
      </c>
      <c r="J1522" s="1" t="s">
        <v>605</v>
      </c>
      <c r="M1522" s="15" t="s">
        <v>483</v>
      </c>
      <c r="N1522" s="1" t="s">
        <v>1495</v>
      </c>
      <c r="O1522" s="15">
        <v>4</v>
      </c>
      <c r="P1522" s="15">
        <v>1999</v>
      </c>
      <c r="Q1522" s="15" t="str" cm="1">
        <f t="array" ref="Q15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2" s="15" t="str" cm="1">
        <f t="array" ref="R15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canciones/kairoi/como_maria.html</v>
      </c>
      <c r="T1522" s="1"/>
      <c r="U1522" s="1"/>
      <c r="V1522" s="32" t="s">
        <v>3946</v>
      </c>
      <c r="W15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href="canciones/kairoi/como_maria.html"&gt;Como María&lt;/a&gt;&lt;/li&gt;</v>
      </c>
      <c r="X1522" s="15" t="str">
        <f>_xlfn.TEXTBEFORE(_xlfn.TEXTAFTER(CantoralDB[[#This Row],[index.html]],"&gt;"),"&gt;")&amp;"&gt;"</f>
        <v>&lt;a href="canciones/kairoi/como_maria.html"&gt;</v>
      </c>
      <c r="Y1522"/>
      <c r="AC1522" s="1"/>
    </row>
    <row r="1523" spans="1:29" x14ac:dyDescent="0.3">
      <c r="A1523" s="1">
        <f>ROW(CantoralDB[[#This Row],[Título]])-1</f>
        <v>1522</v>
      </c>
      <c r="B1523" s="1" t="s">
        <v>1680</v>
      </c>
      <c r="C1523" s="1"/>
      <c r="H1523" s="1" t="s">
        <v>1025</v>
      </c>
      <c r="J1523" s="1" t="s">
        <v>605</v>
      </c>
      <c r="M1523" s="15" t="s">
        <v>483</v>
      </c>
      <c r="N1523" s="1" t="s">
        <v>1495</v>
      </c>
      <c r="O1523" s="15">
        <v>5</v>
      </c>
      <c r="P1523" s="15">
        <v>1999</v>
      </c>
      <c r="Q1523" s="15" t="str" cm="1">
        <f t="array" ref="Q15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3" s="15" t="str" cm="1">
        <f t="array" ref="R15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canciones/kairoi/nos_marca_el_caminar.html</v>
      </c>
      <c r="T1523" s="1"/>
      <c r="U1523" s="1"/>
      <c r="V1523" s="32" t="s">
        <v>3947</v>
      </c>
      <c r="W15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href="canciones/kairoi/nos_marca_el_caminar.html"&gt;Nos marca el caminar&lt;/a&gt;&lt;/li&gt;</v>
      </c>
      <c r="X1523" s="15" t="str">
        <f>_xlfn.TEXTBEFORE(_xlfn.TEXTAFTER(CantoralDB[[#This Row],[index.html]],"&gt;"),"&gt;")&amp;"&gt;"</f>
        <v>&lt;a href="canciones/kairoi/nos_marca_el_caminar.html"&gt;</v>
      </c>
      <c r="Y1523"/>
      <c r="AC1523" s="1"/>
    </row>
    <row r="1524" spans="1:29" x14ac:dyDescent="0.3">
      <c r="A1524" s="1">
        <f>ROW(CantoralDB[[#This Row],[Título]])-1</f>
        <v>1523</v>
      </c>
      <c r="B1524" s="1" t="s">
        <v>1681</v>
      </c>
      <c r="C1524" s="1"/>
      <c r="J1524" s="1"/>
      <c r="M1524" s="15" t="s">
        <v>483</v>
      </c>
      <c r="N1524" s="1" t="s">
        <v>1495</v>
      </c>
      <c r="O1524" s="15">
        <v>6</v>
      </c>
      <c r="P1524" s="15">
        <v>1999</v>
      </c>
      <c r="Q1524" s="15" t="str" cm="1">
        <f t="array" ref="Q15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4" s="15" t="str" cm="1">
        <f t="array" ref="R15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canciones/kairoi/alfonsa_hermana_y_amiga.html</v>
      </c>
      <c r="T1524" s="1"/>
      <c r="U1524" s="1"/>
      <c r="V1524" s="32" t="s">
        <v>3948</v>
      </c>
      <c r="W15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href="canciones/kairoi/alfonsa_hermana_y_amiga.html"&gt;Alfonsa, hermana y amiga&lt;/a&gt;&lt;/li&gt;</v>
      </c>
      <c r="X1524" s="15" t="str">
        <f>_xlfn.TEXTBEFORE(_xlfn.TEXTAFTER(CantoralDB[[#This Row],[index.html]],"&gt;"),"&gt;")&amp;"&gt;"</f>
        <v>&lt;a href="canciones/kairoi/alfonsa_hermana_y_amiga.html"&gt;</v>
      </c>
      <c r="Y1524"/>
      <c r="AC1524" s="1"/>
    </row>
    <row r="1525" spans="1:29" x14ac:dyDescent="0.3">
      <c r="A1525" s="1">
        <f>ROW(CantoralDB[[#This Row],[Título]])-1</f>
        <v>1524</v>
      </c>
      <c r="B1525" s="1" t="s">
        <v>1682</v>
      </c>
      <c r="C1525" s="1"/>
      <c r="H1525" s="1" t="s">
        <v>1027</v>
      </c>
      <c r="J1525" s="1" t="s">
        <v>605</v>
      </c>
      <c r="M1525" s="15" t="s">
        <v>483</v>
      </c>
      <c r="N1525" s="1" t="s">
        <v>1495</v>
      </c>
      <c r="O1525" s="15">
        <v>7</v>
      </c>
      <c r="P1525" s="15">
        <v>1999</v>
      </c>
      <c r="Q1525" s="15" t="str" cm="1">
        <f t="array" ref="Q15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5" s="15" t="str" cm="1">
        <f t="array" ref="R15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canciones/kairoi/soy_mujer.html</v>
      </c>
      <c r="T1525" s="1"/>
      <c r="U1525" s="1"/>
      <c r="V1525" s="32" t="s">
        <v>3949</v>
      </c>
      <c r="W15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href="canciones/kairoi/soy_mujer.html"&gt;Soy mujer&lt;/a&gt;&lt;/li&gt;</v>
      </c>
      <c r="X1525" s="15" t="str">
        <f>_xlfn.TEXTBEFORE(_xlfn.TEXTAFTER(CantoralDB[[#This Row],[index.html]],"&gt;"),"&gt;")&amp;"&gt;"</f>
        <v>&lt;a href="canciones/kairoi/soy_mujer.html"&gt;</v>
      </c>
      <c r="Y1525"/>
      <c r="AC1525" s="1"/>
    </row>
    <row r="1526" spans="1:29" x14ac:dyDescent="0.3">
      <c r="A1526" s="1">
        <f>ROW(CantoralDB[[#This Row],[Título]])-1</f>
        <v>1525</v>
      </c>
      <c r="B1526" s="1" t="s">
        <v>1683</v>
      </c>
      <c r="C1526" s="1"/>
      <c r="H1526" s="1" t="s">
        <v>529</v>
      </c>
      <c r="J1526" s="1" t="s">
        <v>605</v>
      </c>
      <c r="M1526" s="15" t="s">
        <v>483</v>
      </c>
      <c r="N1526" s="1" t="s">
        <v>1495</v>
      </c>
      <c r="O1526" s="15">
        <v>8</v>
      </c>
      <c r="P1526" s="15">
        <v>1999</v>
      </c>
      <c r="Q1526" s="15" t="str" cm="1">
        <f t="array" ref="Q15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6" s="15" t="str" cm="1">
        <f t="array" ref="R15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canciones/kairoi/en_ti_solo_descanso.html</v>
      </c>
      <c r="T1526" s="1"/>
      <c r="U1526" s="1"/>
      <c r="V1526" s="32" t="s">
        <v>3950</v>
      </c>
      <c r="W15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href="canciones/kairoi/en_ti_solo_descanso.html"&gt;En ti solo descanso&lt;/a&gt;&lt;/li&gt;</v>
      </c>
      <c r="X1526" s="15" t="str">
        <f>_xlfn.TEXTBEFORE(_xlfn.TEXTAFTER(CantoralDB[[#This Row],[index.html]],"&gt;"),"&gt;")&amp;"&gt;"</f>
        <v>&lt;a href="canciones/kairoi/en_ti_solo_descanso.html"&gt;</v>
      </c>
      <c r="Y1526"/>
      <c r="AC1526" s="1"/>
    </row>
    <row r="1527" spans="1:29" x14ac:dyDescent="0.3">
      <c r="A1527" s="1">
        <f>ROW(CantoralDB[[#This Row],[Título]])-1</f>
        <v>1526</v>
      </c>
      <c r="B1527" s="1" t="s">
        <v>890</v>
      </c>
      <c r="C1527" s="1"/>
      <c r="H1527" s="1" t="s">
        <v>1027</v>
      </c>
      <c r="J1527" s="1" t="s">
        <v>605</v>
      </c>
      <c r="M1527" s="15" t="s">
        <v>483</v>
      </c>
      <c r="N1527" s="1" t="s">
        <v>1495</v>
      </c>
      <c r="O1527" s="15">
        <v>9</v>
      </c>
      <c r="P1527" s="15">
        <v>1999</v>
      </c>
      <c r="Q1527" s="15" t="str" cm="1">
        <f t="array" ref="Q15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7" s="15" t="str" cm="1">
        <f t="array" ref="R15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canciones/kairoi/dios_de_la_vida.html</v>
      </c>
      <c r="T1527" s="1"/>
      <c r="U1527" s="1"/>
      <c r="V1527" s="32" t="s">
        <v>3951</v>
      </c>
      <c r="W15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href="canciones/kairoi/dios_de_la_vida.html"&gt;Dios de la vida&lt;/a&gt;&lt;/li&gt;</v>
      </c>
      <c r="X1527" s="15" t="str">
        <f>_xlfn.TEXTBEFORE(_xlfn.TEXTAFTER(CantoralDB[[#This Row],[index.html]],"&gt;"),"&gt;")&amp;"&gt;"</f>
        <v>&lt;a href="canciones/kairoi/dios_de_la_vida.html"&gt;</v>
      </c>
      <c r="Y1527"/>
      <c r="AC1527" s="1"/>
    </row>
    <row r="1528" spans="1:29" x14ac:dyDescent="0.3">
      <c r="A1528" s="1">
        <f>ROW(CantoralDB[[#This Row],[Título]])-1</f>
        <v>1527</v>
      </c>
      <c r="B1528" s="1" t="s">
        <v>1684</v>
      </c>
      <c r="C1528" s="1"/>
      <c r="H1528" s="1" t="s">
        <v>472</v>
      </c>
      <c r="J1528" s="1" t="s">
        <v>605</v>
      </c>
      <c r="M1528" s="15" t="s">
        <v>483</v>
      </c>
      <c r="N1528" s="1" t="s">
        <v>1495</v>
      </c>
      <c r="O1528" s="15">
        <v>10</v>
      </c>
      <c r="P1528" s="15">
        <v>1999</v>
      </c>
      <c r="Q1528" s="15" t="str" cm="1">
        <f t="array" ref="Q15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8" s="15" t="str" cm="1">
        <f t="array" ref="R15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canciones/kairoi/sueña.html</v>
      </c>
      <c r="T1528" s="1"/>
      <c r="U1528" s="1"/>
      <c r="V1528" s="32" t="s">
        <v>3952</v>
      </c>
      <c r="W15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href="canciones/kairoi/sueña.html"&gt;Sueña&lt;/a&gt;&lt;/li&gt;</v>
      </c>
      <c r="X1528" s="15" t="str">
        <f>_xlfn.TEXTBEFORE(_xlfn.TEXTAFTER(CantoralDB[[#This Row],[index.html]],"&gt;"),"&gt;")&amp;"&gt;"</f>
        <v>&lt;a href="canciones/kairoi/sueña.html"&gt;</v>
      </c>
      <c r="Y1528"/>
      <c r="AC1528" s="1"/>
    </row>
    <row r="1529" spans="1:29" x14ac:dyDescent="0.3">
      <c r="A1529" s="1">
        <f>ROW(CantoralDB[[#This Row],[Título]])-1</f>
        <v>1528</v>
      </c>
      <c r="B1529" s="1" t="s">
        <v>109</v>
      </c>
      <c r="C1529" s="1" t="s">
        <v>197</v>
      </c>
      <c r="D1529" s="1" t="s">
        <v>1448</v>
      </c>
      <c r="E1529" s="1">
        <v>201</v>
      </c>
      <c r="G1529" s="1" t="s">
        <v>208</v>
      </c>
      <c r="H1529" s="1" t="s">
        <v>529</v>
      </c>
      <c r="I1529" s="1" t="s">
        <v>2948</v>
      </c>
      <c r="J1529" s="1" t="s">
        <v>605</v>
      </c>
      <c r="M1529" s="15" t="s">
        <v>483</v>
      </c>
      <c r="N1529" s="1" t="s">
        <v>1483</v>
      </c>
      <c r="O1529" s="15">
        <v>1</v>
      </c>
      <c r="P1529" s="15">
        <v>1985</v>
      </c>
      <c r="Q1529" s="15" t="str" cm="1">
        <f t="array" ref="Q15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29" s="15" t="str" cm="1">
        <f t="array" ref="R15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canciones/kairoi/paz_en_la_tierra.html</v>
      </c>
      <c r="T1529" s="1"/>
      <c r="U1529" s="1"/>
      <c r="V1529" s="32" t="s">
        <v>3953</v>
      </c>
      <c r="W15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data-momento="Paz" data-nnew="I06" data-nold="201"&gt;&lt;a href="canciones/kairoi/paz_en_la_tierra.html"&gt;Paz en la tierra&lt;/a&gt;&lt;/li&gt;</v>
      </c>
      <c r="X1529" s="15" t="str">
        <f>_xlfn.TEXTBEFORE(_xlfn.TEXTAFTER(CantoralDB[[#This Row],[index.html]],"&gt;"),"&gt;")&amp;"&gt;"</f>
        <v>&lt;a href="canciones/kairoi/paz_en_la_tierra.html"&gt;</v>
      </c>
      <c r="Y1529"/>
      <c r="AC1529" s="1"/>
    </row>
    <row r="1530" spans="1:29" x14ac:dyDescent="0.3">
      <c r="A1530" s="1">
        <f>ROW(CantoralDB[[#This Row],[Título]])-1</f>
        <v>1529</v>
      </c>
      <c r="B1530" s="1" t="s">
        <v>1548</v>
      </c>
      <c r="C1530" s="1"/>
      <c r="H1530" s="1" t="s">
        <v>529</v>
      </c>
      <c r="J1530" s="1" t="s">
        <v>605</v>
      </c>
      <c r="M1530" s="15" t="s">
        <v>483</v>
      </c>
      <c r="N1530" s="1" t="s">
        <v>1483</v>
      </c>
      <c r="O1530" s="15">
        <v>2</v>
      </c>
      <c r="P1530" s="15">
        <v>1985</v>
      </c>
      <c r="Q1530" s="15" t="str" cm="1">
        <f t="array" ref="Q15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0" s="15" t="str" cm="1">
        <f t="array" ref="R15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canciones/kairoi/me_estas_llamando.html</v>
      </c>
      <c r="T1530" s="1"/>
      <c r="U1530" s="1"/>
      <c r="V1530" s="32" t="s">
        <v>3954</v>
      </c>
      <c r="W15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href="canciones/kairoi/me_estas_llamando.html"&gt;Me estás llamando&lt;/a&gt;&lt;/li&gt;</v>
      </c>
      <c r="X1530" s="15" t="str">
        <f>_xlfn.TEXTBEFORE(_xlfn.TEXTAFTER(CantoralDB[[#This Row],[index.html]],"&gt;"),"&gt;")&amp;"&gt;"</f>
        <v>&lt;a href="canciones/kairoi/me_estas_llamando.html"&gt;</v>
      </c>
      <c r="Y1530"/>
      <c r="AC1530" s="1"/>
    </row>
    <row r="1531" spans="1:29" x14ac:dyDescent="0.3">
      <c r="A1531" s="1">
        <f>ROW(CantoralDB[[#This Row],[Título]])-1</f>
        <v>1530</v>
      </c>
      <c r="B1531" s="1" t="s">
        <v>502</v>
      </c>
      <c r="C1531" s="1" t="s">
        <v>192</v>
      </c>
      <c r="D1531" s="1" t="s">
        <v>1469</v>
      </c>
      <c r="G1531" s="1" t="s">
        <v>215</v>
      </c>
      <c r="H1531" s="1" t="s">
        <v>529</v>
      </c>
      <c r="J1531" s="1" t="s">
        <v>605</v>
      </c>
      <c r="M1531" s="15" t="s">
        <v>483</v>
      </c>
      <c r="N1531" s="1" t="s">
        <v>1483</v>
      </c>
      <c r="O1531" s="15">
        <v>3</v>
      </c>
      <c r="P1531" s="15">
        <v>1985</v>
      </c>
      <c r="Q1531" s="15" t="str" cm="1">
        <f t="array" ref="Q15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1" s="15" t="str" cm="1">
        <f t="array" ref="R15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canciones/kairoi/todo_mi_ser_(alabo_tu_bondad).html</v>
      </c>
      <c r="T1531" s="1"/>
      <c r="U1531" s="1"/>
      <c r="V1531" s="32" t="s">
        <v>3955</v>
      </c>
      <c r="W15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data-momento="Gloria" data-nnew="C08"&gt;&lt;a href="canciones/kairoi/todo_mi_ser_(alabo_tu_bondad).html"&gt;Todo mi ser (Alabo tu bondad)&lt;/a&gt;&lt;/li&gt;</v>
      </c>
      <c r="X1531" s="15" t="str">
        <f>_xlfn.TEXTBEFORE(_xlfn.TEXTAFTER(CantoralDB[[#This Row],[index.html]],"&gt;"),"&gt;")&amp;"&gt;"</f>
        <v>&lt;a href="canciones/kairoi/todo_mi_ser_(alabo_tu_bondad).html"&gt;</v>
      </c>
      <c r="Y1531"/>
      <c r="AC1531" s="1"/>
    </row>
    <row r="1532" spans="1:29" x14ac:dyDescent="0.3">
      <c r="A1532" s="1">
        <f>ROW(CantoralDB[[#This Row],[Título]])-1</f>
        <v>1531</v>
      </c>
      <c r="B1532" s="1" t="s">
        <v>1549</v>
      </c>
      <c r="C1532" s="1"/>
      <c r="H1532" s="1" t="s">
        <v>1024</v>
      </c>
      <c r="J1532" s="1" t="s">
        <v>605</v>
      </c>
      <c r="M1532" s="15" t="s">
        <v>483</v>
      </c>
      <c r="N1532" s="1" t="s">
        <v>1483</v>
      </c>
      <c r="O1532" s="15">
        <v>4</v>
      </c>
      <c r="P1532" s="15">
        <v>1985</v>
      </c>
      <c r="Q1532" s="15" t="str" cm="1">
        <f t="array" ref="Q15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2" s="15" t="str" cm="1">
        <f t="array" ref="R15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canciones/kairoi/tocare_para_ti.html</v>
      </c>
      <c r="T1532" s="1"/>
      <c r="U1532" s="1"/>
      <c r="V1532" s="32" t="s">
        <v>3956</v>
      </c>
      <c r="W15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href="canciones/kairoi/tocare_para_ti.html"&gt;Tocaré para ti&lt;/a&gt;&lt;/li&gt;</v>
      </c>
      <c r="X1532" s="15" t="str">
        <f>_xlfn.TEXTBEFORE(_xlfn.TEXTAFTER(CantoralDB[[#This Row],[index.html]],"&gt;"),"&gt;")&amp;"&gt;"</f>
        <v>&lt;a href="canciones/kairoi/tocare_para_ti.html"&gt;</v>
      </c>
      <c r="Y1532"/>
      <c r="AC1532" s="1"/>
    </row>
    <row r="1533" spans="1:29" x14ac:dyDescent="0.3">
      <c r="A1533" s="1">
        <f>ROW(CantoralDB[[#This Row],[Título]])-1</f>
        <v>1532</v>
      </c>
      <c r="B1533" s="1" t="s">
        <v>48</v>
      </c>
      <c r="C1533" s="1" t="s">
        <v>990</v>
      </c>
      <c r="D1533" s="1" t="s">
        <v>694</v>
      </c>
      <c r="E1533" s="1">
        <v>418</v>
      </c>
      <c r="G1533" s="1" t="s">
        <v>208</v>
      </c>
      <c r="H1533" s="1" t="s">
        <v>1024</v>
      </c>
      <c r="J1533" s="1" t="s">
        <v>605</v>
      </c>
      <c r="M1533" s="15" t="s">
        <v>483</v>
      </c>
      <c r="N1533" s="1" t="s">
        <v>1483</v>
      </c>
      <c r="O1533" s="15">
        <v>5</v>
      </c>
      <c r="P1533" s="15">
        <v>1985</v>
      </c>
      <c r="Q1533" s="15" t="str" cm="1">
        <f t="array" ref="Q15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3" s="15" t="str" cm="1">
        <f t="array" ref="R15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canciones/kairoi/el_amor_es_nuestro_canto.html</v>
      </c>
      <c r="T1533" s="1"/>
      <c r="U1533" s="1"/>
      <c r="V1533" s="32" t="s">
        <v>3957</v>
      </c>
      <c r="W15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data-momento="Comunión" data-nnew="K24" data-nold="418"&gt;&lt;a href="canciones/kairoi/el_amor_es_nuestro_canto.html"&gt;El amor es nuestro canto&lt;/a&gt;&lt;/li&gt;</v>
      </c>
      <c r="X1533" s="15" t="str">
        <f>_xlfn.TEXTBEFORE(_xlfn.TEXTAFTER(CantoralDB[[#This Row],[index.html]],"&gt;"),"&gt;")&amp;"&gt;"</f>
        <v>&lt;a href="canciones/kairoi/el_amor_es_nuestro_canto.html"&gt;</v>
      </c>
      <c r="Y1533"/>
      <c r="AC1533" s="1"/>
    </row>
    <row r="1534" spans="1:29" x14ac:dyDescent="0.3">
      <c r="A1534" s="1">
        <f>ROW(CantoralDB[[#This Row],[Título]])-1</f>
        <v>1533</v>
      </c>
      <c r="B1534" s="1" t="s">
        <v>1550</v>
      </c>
      <c r="C1534" s="1"/>
      <c r="H1534" s="1" t="s">
        <v>529</v>
      </c>
      <c r="J1534" s="1" t="s">
        <v>605</v>
      </c>
      <c r="M1534" s="15" t="s">
        <v>483</v>
      </c>
      <c r="N1534" s="1" t="s">
        <v>1483</v>
      </c>
      <c r="O1534" s="15">
        <v>6</v>
      </c>
      <c r="P1534" s="15">
        <v>1985</v>
      </c>
      <c r="Q1534" s="15" t="str" cm="1">
        <f t="array" ref="Q15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4" s="15" t="str" cm="1">
        <f t="array" ref="R15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canciones/kairoi/enseñanos_a_orar.html</v>
      </c>
      <c r="T1534" s="1"/>
      <c r="U1534" s="1"/>
      <c r="V1534" s="32" t="s">
        <v>3958</v>
      </c>
      <c r="W15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href="canciones/kairoi/enseñanos_a_orar.html"&gt;Enséñanos a orar&lt;/a&gt;&lt;/li&gt;</v>
      </c>
      <c r="X1534" s="15" t="str">
        <f>_xlfn.TEXTBEFORE(_xlfn.TEXTAFTER(CantoralDB[[#This Row],[index.html]],"&gt;"),"&gt;")&amp;"&gt;"</f>
        <v>&lt;a href="canciones/kairoi/enseñanos_a_orar.html"&gt;</v>
      </c>
      <c r="Y1534"/>
      <c r="AC1534" s="1"/>
    </row>
    <row r="1535" spans="1:29" x14ac:dyDescent="0.3">
      <c r="A1535" s="1">
        <f>ROW(CantoralDB[[#This Row],[Título]])-1</f>
        <v>1534</v>
      </c>
      <c r="B1535" s="1" t="s">
        <v>1551</v>
      </c>
      <c r="C1535" s="1"/>
      <c r="H1535" s="1" t="s">
        <v>1026</v>
      </c>
      <c r="J1535" s="1" t="s">
        <v>605</v>
      </c>
      <c r="M1535" s="15" t="s">
        <v>483</v>
      </c>
      <c r="N1535" s="1" t="s">
        <v>1483</v>
      </c>
      <c r="O1535" s="15">
        <v>7</v>
      </c>
      <c r="P1535" s="15">
        <v>1985</v>
      </c>
      <c r="Q1535" s="15" t="str" cm="1">
        <f t="array" ref="Q15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5" s="15" t="str" cm="1">
        <f t="array" ref="R15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canciones/kairoi/tu_señor.html</v>
      </c>
      <c r="T1535" s="1"/>
      <c r="U1535" s="1"/>
      <c r="V1535" s="32" t="s">
        <v>3959</v>
      </c>
      <c r="W15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href="canciones/kairoi/tu_señor.html"&gt;Tú, Señor&lt;/a&gt;&lt;/li&gt;</v>
      </c>
      <c r="X1535" s="15" t="str">
        <f>_xlfn.TEXTBEFORE(_xlfn.TEXTAFTER(CantoralDB[[#This Row],[index.html]],"&gt;"),"&gt;")&amp;"&gt;"</f>
        <v>&lt;a href="canciones/kairoi/tu_señor.html"&gt;</v>
      </c>
      <c r="Y1535"/>
      <c r="AC1535" s="1"/>
    </row>
    <row r="1536" spans="1:29" x14ac:dyDescent="0.3">
      <c r="A1536" s="1">
        <f>ROW(CantoralDB[[#This Row],[Título]])-1</f>
        <v>1535</v>
      </c>
      <c r="B1536" s="1" t="s">
        <v>1552</v>
      </c>
      <c r="C1536" s="1"/>
      <c r="H1536" s="1" t="s">
        <v>529</v>
      </c>
      <c r="J1536" s="1" t="s">
        <v>605</v>
      </c>
      <c r="M1536" s="15" t="s">
        <v>483</v>
      </c>
      <c r="N1536" s="1" t="s">
        <v>1483</v>
      </c>
      <c r="O1536" s="15">
        <v>8</v>
      </c>
      <c r="P1536" s="15">
        <v>1985</v>
      </c>
      <c r="Q1536" s="15" t="str" cm="1">
        <f t="array" ref="Q15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6" s="15" t="str" cm="1">
        <f t="array" ref="R15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canciones/kairoi/esperando_con_maria.html</v>
      </c>
      <c r="T1536" s="1"/>
      <c r="U1536" s="1"/>
      <c r="V1536" s="32" t="s">
        <v>3960</v>
      </c>
      <c r="W15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href="canciones/kairoi/esperando_con_maria.html"&gt;Esperando con María&lt;/a&gt;&lt;/li&gt;</v>
      </c>
      <c r="X1536" s="15" t="str">
        <f>_xlfn.TEXTBEFORE(_xlfn.TEXTAFTER(CantoralDB[[#This Row],[index.html]],"&gt;"),"&gt;")&amp;"&gt;"</f>
        <v>&lt;a href="canciones/kairoi/esperando_con_maria.html"&gt;</v>
      </c>
      <c r="Y1536"/>
      <c r="AC1536" s="1"/>
    </row>
    <row r="1537" spans="1:29" x14ac:dyDescent="0.3">
      <c r="A1537" s="1">
        <f>ROW(CantoralDB[[#This Row],[Título]])-1</f>
        <v>1536</v>
      </c>
      <c r="B1537" s="1" t="s">
        <v>188</v>
      </c>
      <c r="C1537" s="1" t="s">
        <v>218</v>
      </c>
      <c r="D1537" s="1" t="s">
        <v>1473</v>
      </c>
      <c r="F1537" s="1">
        <v>135</v>
      </c>
      <c r="G1537" s="1" t="s">
        <v>208</v>
      </c>
      <c r="H1537" s="1" t="s">
        <v>529</v>
      </c>
      <c r="J1537" s="1" t="s">
        <v>605</v>
      </c>
      <c r="M1537" s="15" t="s">
        <v>483</v>
      </c>
      <c r="N1537" s="1" t="s">
        <v>1483</v>
      </c>
      <c r="O1537" s="15">
        <v>9</v>
      </c>
      <c r="P1537" s="15">
        <v>1985</v>
      </c>
      <c r="Q1537" s="15" t="str" cm="1">
        <f t="array" ref="Q15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7" s="15" t="str" cm="1">
        <f t="array" ref="R15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canciones/kairoi/ven_espiritu_de_dios_(kairoi).html</v>
      </c>
      <c r="T1537" s="1"/>
      <c r="U1537" s="1"/>
      <c r="V1537" s="32" t="s">
        <v>3961</v>
      </c>
      <c r="W15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data-momento="Espíritu" data-nnew="N05" data-nrcc="135"&gt;&lt;a href="canciones/kairoi/ven_espiritu_de_dios_(kairoi).html"&gt;Ven, Espíritu de Dios (Kairoi)&lt;/a&gt;&lt;/li&gt;</v>
      </c>
      <c r="X1537" s="15" t="str">
        <f>_xlfn.TEXTBEFORE(_xlfn.TEXTAFTER(CantoralDB[[#This Row],[index.html]],"&gt;"),"&gt;")&amp;"&gt;"</f>
        <v>&lt;a href="canciones/kairoi/ven_espiritu_de_dios_(kairoi).html"&gt;</v>
      </c>
      <c r="Y1537"/>
      <c r="AC1537" s="1"/>
    </row>
    <row r="1538" spans="1:29" x14ac:dyDescent="0.3">
      <c r="A1538" s="1">
        <f>ROW(CantoralDB[[#This Row],[Título]])-1</f>
        <v>1537</v>
      </c>
      <c r="B1538" s="1" t="s">
        <v>2139</v>
      </c>
      <c r="C1538" s="1"/>
      <c r="F1538" s="1">
        <v>306</v>
      </c>
      <c r="H1538" s="1" t="s">
        <v>472</v>
      </c>
      <c r="J1538" s="1" t="s">
        <v>605</v>
      </c>
      <c r="M1538" s="15" t="s">
        <v>483</v>
      </c>
      <c r="N1538" s="1" t="s">
        <v>1483</v>
      </c>
      <c r="O1538" s="15">
        <v>10</v>
      </c>
      <c r="P1538" s="15">
        <v>1985</v>
      </c>
      <c r="Q1538" s="15" t="str" cm="1">
        <f t="array" ref="Q15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8" s="15" t="str" cm="1">
        <f t="array" ref="R15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canciones/kairoi/padre_nuestro_i.html</v>
      </c>
      <c r="T1538" s="1"/>
      <c r="U1538" s="1"/>
      <c r="V1538" s="32" t="s">
        <v>3962</v>
      </c>
      <c r="W15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data-nrcc="306"&gt;&lt;a href="canciones/kairoi/padre_nuestro_i.html"&gt;Padre nuestro I&lt;/a&gt;&lt;/li&gt;</v>
      </c>
      <c r="X1538" s="15" t="str">
        <f>_xlfn.TEXTBEFORE(_xlfn.TEXTAFTER(CantoralDB[[#This Row],[index.html]],"&gt;"),"&gt;")&amp;"&gt;"</f>
        <v>&lt;a href="canciones/kairoi/padre_nuestro_i.html"&gt;</v>
      </c>
      <c r="Y1538"/>
      <c r="AC1538" s="1"/>
    </row>
    <row r="1539" spans="1:29" x14ac:dyDescent="0.3">
      <c r="A1539" s="1">
        <f>ROW(CantoralDB[[#This Row],[Título]])-1</f>
        <v>1538</v>
      </c>
      <c r="B1539" s="1" t="s">
        <v>23</v>
      </c>
      <c r="C1539" s="1" t="s">
        <v>990</v>
      </c>
      <c r="D1539" s="1" t="s">
        <v>680</v>
      </c>
      <c r="E1539" s="1">
        <v>409</v>
      </c>
      <c r="F1539" s="1">
        <v>239</v>
      </c>
      <c r="G1539" s="1" t="s">
        <v>208</v>
      </c>
      <c r="H1539" s="1" t="s">
        <v>529</v>
      </c>
      <c r="J1539" s="1" t="s">
        <v>605</v>
      </c>
      <c r="M1539" s="15" t="s">
        <v>483</v>
      </c>
      <c r="N1539" s="1" t="s">
        <v>1483</v>
      </c>
      <c r="O1539" s="15">
        <v>11</v>
      </c>
      <c r="P1539" s="15">
        <v>1985</v>
      </c>
      <c r="Q1539" s="15" t="str" cm="1">
        <f t="array" ref="Q15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39" s="15" t="str" cm="1">
        <f t="array" ref="R15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canciones/kairoi/amaos_(como_el_padre_me_amo).html</v>
      </c>
      <c r="T1539" s="1" t="s">
        <v>800</v>
      </c>
      <c r="U1539" s="1"/>
      <c r="V1539" s="32" t="s">
        <v>3963</v>
      </c>
      <c r="W15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 data-momento="Comunión" data-nnew="K10" data-nold="409" data-nrcc="239"&gt;&lt;a href="canciones/kairoi/amaos_(como_el_padre_me_amo).html"&gt;Amaos (Como el Padre me amó)&lt;/a&gt;&lt;/li&gt;</v>
      </c>
      <c r="X1539" s="15" t="str">
        <f>_xlfn.TEXTBEFORE(_xlfn.TEXTAFTER(CantoralDB[[#This Row],[index.html]],"&gt;"),"&gt;")&amp;"&gt;"</f>
        <v>&lt;a href="canciones/kairoi/amaos_(como_el_padre_me_amo).html"&gt;</v>
      </c>
      <c r="Y1539"/>
      <c r="AC1539" s="1"/>
    </row>
    <row r="1540" spans="1:29" x14ac:dyDescent="0.3">
      <c r="A1540" s="1">
        <f>ROW(CantoralDB[[#This Row],[Título]])-1</f>
        <v>1539</v>
      </c>
      <c r="B1540" s="1" t="s">
        <v>1599</v>
      </c>
      <c r="C1540" s="1"/>
      <c r="J1540" s="1"/>
      <c r="M1540" s="15" t="s">
        <v>483</v>
      </c>
      <c r="N1540" s="1" t="s">
        <v>1483</v>
      </c>
      <c r="O1540" s="15">
        <v>12</v>
      </c>
      <c r="P1540" s="15">
        <v>1985</v>
      </c>
      <c r="Q1540" s="15" t="str" cm="1">
        <f t="array" ref="Q15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kairoi</v>
      </c>
      <c r="R1540" s="15" t="str" cm="1">
        <f t="array" ref="R15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kairoi</v>
      </c>
      <c r="S15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canciones/kairoi/padre_perdon.html</v>
      </c>
      <c r="T1540" s="1"/>
      <c r="U1540" s="1"/>
      <c r="V1540" s="32" t="s">
        <v>3964</v>
      </c>
      <c r="W15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data-author="Kairoi"&gt;&lt;a href="canciones/kairoi/padre_perdon.html"&gt;Padre, perdón&lt;/a&gt;&lt;/li&gt;</v>
      </c>
      <c r="X1540" s="15" t="str">
        <f>_xlfn.TEXTBEFORE(_xlfn.TEXTAFTER(CantoralDB[[#This Row],[index.html]],"&gt;"),"&gt;")&amp;"&gt;"</f>
        <v>&lt;a href="canciones/kairoi/padre_perdon.html"&gt;</v>
      </c>
      <c r="Y1540"/>
      <c r="AC1540" s="1"/>
    </row>
    <row r="1541" spans="1:29" x14ac:dyDescent="0.3">
      <c r="A1541" s="1">
        <f>ROW(CantoralDB[[#This Row],[Título]])-1</f>
        <v>1540</v>
      </c>
      <c r="B1541" s="1" t="s">
        <v>2409</v>
      </c>
      <c r="C1541" s="1"/>
      <c r="F1541" s="1">
        <v>35</v>
      </c>
      <c r="H1541" s="1" t="s">
        <v>529</v>
      </c>
      <c r="J1541" s="1" t="s">
        <v>605</v>
      </c>
      <c r="M1541" s="15" t="s">
        <v>2394</v>
      </c>
      <c r="O1541" s="15"/>
      <c r="P1541" s="15"/>
      <c r="Q1541" s="15" t="str" cm="1">
        <f t="array" ref="Q15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1" s="15" t="str" cm="1">
        <f t="array" ref="R15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canciones/lazaro_iparraguirre/aleluya_mirad_la_muerte.html</v>
      </c>
      <c r="T1541" s="1"/>
      <c r="U1541" s="1"/>
      <c r="V1541" s="32" t="s">
        <v>4474</v>
      </c>
      <c r="W15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data-nrcc="35"&gt;&lt;a href="canciones/lazaro_iparraguirre/aleluya_mirad_la_muerte.html"&gt;Aleluya, mirad la muerte&lt;/a&gt;&lt;/li&gt;</v>
      </c>
      <c r="X1541" s="15" t="str">
        <f>_xlfn.TEXTBEFORE(_xlfn.TEXTAFTER(CantoralDB[[#This Row],[index.html]],"&gt;"),"&gt;")&amp;"&gt;"</f>
        <v>&lt;a href="canciones/lazaro_iparraguirre/aleluya_mirad_la_muerte.html"&gt;</v>
      </c>
      <c r="Y1541"/>
      <c r="AC1541" s="1"/>
    </row>
    <row r="1542" spans="1:29" x14ac:dyDescent="0.3">
      <c r="A1542" s="1">
        <f>ROW(CantoralDB[[#This Row],[Título]])-1</f>
        <v>1541</v>
      </c>
      <c r="B1542" s="1" t="s">
        <v>4432</v>
      </c>
      <c r="C1542" s="1"/>
      <c r="F1542" s="1">
        <v>133</v>
      </c>
      <c r="H1542" s="1" t="s">
        <v>1024</v>
      </c>
      <c r="J1542" s="1" t="s">
        <v>605</v>
      </c>
      <c r="M1542" s="15" t="s">
        <v>2394</v>
      </c>
      <c r="O1542" s="15"/>
      <c r="P1542" s="15"/>
      <c r="Q1542" s="15" t="str" cm="1">
        <f t="array" ref="Q15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2" s="15" t="str" cm="1">
        <f t="array" ref="R15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canciones/lazaro_iparraguirre/bendecid_al_señor_proclamad_su_amor.html</v>
      </c>
      <c r="T1542" s="1"/>
      <c r="U1542" s="1"/>
      <c r="V1542" s="32" t="s">
        <v>4420</v>
      </c>
      <c r="W15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data-nrcc="133"&gt;&lt;a href="canciones/lazaro_iparraguirre/bendecid_al_señor_proclamad_su_amor.html"&gt;Bendecid al Señor, proclamad su amor&lt;/a&gt;&lt;/li&gt;</v>
      </c>
      <c r="X1542" s="15" t="str">
        <f>_xlfn.TEXTBEFORE(_xlfn.TEXTAFTER(CantoralDB[[#This Row],[index.html]],"&gt;"),"&gt;")&amp;"&gt;"</f>
        <v>&lt;a href="canciones/lazaro_iparraguirre/bendecid_al_señor_proclamad_su_amor.html"&gt;</v>
      </c>
      <c r="Y1542"/>
      <c r="AC1542" s="1"/>
    </row>
    <row r="1543" spans="1:29" x14ac:dyDescent="0.3">
      <c r="A1543" s="1">
        <f>ROW(CantoralDB[[#This Row],[Título]])-1</f>
        <v>1542</v>
      </c>
      <c r="B1543" s="1" t="s">
        <v>2525</v>
      </c>
      <c r="C1543" s="1"/>
      <c r="F1543" s="1">
        <v>142</v>
      </c>
      <c r="H1543" s="1" t="s">
        <v>1024</v>
      </c>
      <c r="J1543" s="1" t="s">
        <v>605</v>
      </c>
      <c r="M1543" s="15" t="s">
        <v>2394</v>
      </c>
      <c r="O1543" s="15"/>
      <c r="P1543" s="15"/>
      <c r="Q1543" s="15" t="str" cm="1">
        <f t="array" ref="Q15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3" s="15" t="str" cm="1">
        <f t="array" ref="R15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canciones/lazaro_iparraguirre/caminaremos.html</v>
      </c>
      <c r="T1543" s="1"/>
      <c r="U1543" s="1"/>
      <c r="V1543" s="32" t="s">
        <v>2973</v>
      </c>
      <c r="W15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data-nrcc="142"&gt;&lt;a href="canciones/lazaro_iparraguirre/caminaremos.html"&gt;Caminaremos&lt;/a&gt;&lt;/li&gt;</v>
      </c>
      <c r="X1543" s="15" t="str">
        <f>_xlfn.TEXTBEFORE(_xlfn.TEXTAFTER(CantoralDB[[#This Row],[index.html]],"&gt;"),"&gt;")&amp;"&gt;"</f>
        <v>&lt;a href="canciones/lazaro_iparraguirre/caminaremos.html"&gt;</v>
      </c>
      <c r="Y1543"/>
      <c r="AC1543" s="1"/>
    </row>
    <row r="1544" spans="1:29" x14ac:dyDescent="0.3">
      <c r="A1544" s="1">
        <f>ROW(CantoralDB[[#This Row],[Título]])-1</f>
        <v>1543</v>
      </c>
      <c r="B1544" s="1" t="s">
        <v>5868</v>
      </c>
      <c r="C1544" s="1"/>
      <c r="F1544" s="1">
        <v>229</v>
      </c>
      <c r="H1544" s="1" t="s">
        <v>1024</v>
      </c>
      <c r="J1544" s="1" t="s">
        <v>605</v>
      </c>
      <c r="M1544" s="15" t="s">
        <v>2394</v>
      </c>
      <c r="O1544" s="15"/>
      <c r="P1544" s="15"/>
      <c r="Q1544" s="15" t="str" cm="1">
        <f t="array" ref="Q15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4" s="15" t="str" cm="1">
        <f t="array" ref="R15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canciones/lazaro_iparraguirre/maestro_te_seguire.html</v>
      </c>
      <c r="T1544" s="1"/>
      <c r="U1544" s="1"/>
      <c r="V1544" s="32" t="s">
        <v>5867</v>
      </c>
      <c r="W15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data-nrcc="229"&gt;&lt;a href="canciones/lazaro_iparraguirre/maestro_te_seguire.html"&gt;Maestro, te seguiré&lt;/a&gt;&lt;/li&gt;</v>
      </c>
      <c r="X1544" s="15" t="str">
        <f>_xlfn.TEXTBEFORE(_xlfn.TEXTAFTER(CantoralDB[[#This Row],[index.html]],"&gt;"),"&gt;")&amp;"&gt;"</f>
        <v>&lt;a href="canciones/lazaro_iparraguirre/maestro_te_seguire.html"&gt;</v>
      </c>
      <c r="Y1544"/>
      <c r="AC1544" s="1"/>
    </row>
    <row r="1545" spans="1:29" x14ac:dyDescent="0.3">
      <c r="A1545" s="1">
        <f>ROW(CantoralDB[[#This Row],[Título]])-1</f>
        <v>1544</v>
      </c>
      <c r="B1545" s="1" t="s">
        <v>2743</v>
      </c>
      <c r="C1545" s="1"/>
      <c r="F1545" s="1">
        <v>372</v>
      </c>
      <c r="J1545" s="1"/>
      <c r="M1545" s="15" t="s">
        <v>2394</v>
      </c>
      <c r="O1545" s="15"/>
      <c r="P1545" s="15"/>
      <c r="Q1545" s="15" t="str" cm="1">
        <f t="array" ref="Q15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5" s="15" t="str" cm="1">
        <f t="array" ref="R15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canciones/lazaro_iparraguirre/mirad_levantad.html</v>
      </c>
      <c r="T1545" s="1"/>
      <c r="U1545" s="1"/>
      <c r="V1545" s="15"/>
      <c r="W15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data-nrcc="372"&gt;&lt;a href="canciones/lazaro_iparraguirre/mirad_levantad.html"&gt;Mirad, levantad&lt;/a&gt;&lt;/li&gt;</v>
      </c>
      <c r="X1545" s="15" t="str">
        <f>_xlfn.TEXTBEFORE(_xlfn.TEXTAFTER(CantoralDB[[#This Row],[index.html]],"&gt;"),"&gt;")&amp;"&gt;"</f>
        <v>&lt;a href="canciones/lazaro_iparraguirre/mirad_levantad.html"&gt;</v>
      </c>
      <c r="Y1545"/>
      <c r="AC1545" s="1"/>
    </row>
    <row r="1546" spans="1:29" x14ac:dyDescent="0.3">
      <c r="A1546" s="1">
        <f>ROW(CantoralDB[[#This Row],[Título]])-1</f>
        <v>1545</v>
      </c>
      <c r="B1546" s="1" t="s">
        <v>2758</v>
      </c>
      <c r="C1546" s="1"/>
      <c r="F1546" s="1">
        <v>384</v>
      </c>
      <c r="H1546" s="1" t="s">
        <v>529</v>
      </c>
      <c r="J1546" s="1" t="s">
        <v>605</v>
      </c>
      <c r="M1546" s="15" t="s">
        <v>2394</v>
      </c>
      <c r="O1546" s="15"/>
      <c r="P1546" s="15"/>
      <c r="Q1546" s="15" t="str" cm="1">
        <f t="array" ref="Q15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6" s="15" t="str" cm="1">
        <f t="array" ref="R15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canciones/lazaro_iparraguirre/nos_dejaste_señor.html</v>
      </c>
      <c r="T1546" s="1"/>
      <c r="U1546" s="1"/>
      <c r="V1546" s="32" t="s">
        <v>4433</v>
      </c>
      <c r="W15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data-nrcc="384"&gt;&lt;a href="canciones/lazaro_iparraguirre/nos_dejaste_señor.html"&gt;Nos dejaste, Señor&lt;/a&gt;&lt;/li&gt;</v>
      </c>
      <c r="X1546" s="15" t="str">
        <f>_xlfn.TEXTBEFORE(_xlfn.TEXTAFTER(CantoralDB[[#This Row],[index.html]],"&gt;"),"&gt;")&amp;"&gt;"</f>
        <v>&lt;a href="canciones/lazaro_iparraguirre/nos_dejaste_señor.html"&gt;</v>
      </c>
      <c r="Y1546"/>
      <c r="AC1546" s="1"/>
    </row>
    <row r="1547" spans="1:29" x14ac:dyDescent="0.3">
      <c r="A1547" s="1">
        <f>ROW(CantoralDB[[#This Row],[Título]])-1</f>
        <v>1546</v>
      </c>
      <c r="B1547" s="1" t="s">
        <v>2523</v>
      </c>
      <c r="C1547" s="1"/>
      <c r="F1547" s="1">
        <v>140</v>
      </c>
      <c r="H1547" s="1" t="s">
        <v>472</v>
      </c>
      <c r="J1547" s="1" t="s">
        <v>605</v>
      </c>
      <c r="M1547" s="15" t="s">
        <v>2394</v>
      </c>
      <c r="O1547" s="15"/>
      <c r="P1547" s="15"/>
      <c r="Q1547" s="15" t="str" cm="1">
        <f t="array" ref="Q15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7" s="15" t="str" cm="1">
        <f t="array" ref="R15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canciones/lazaro_iparraguirre/que_deseables.html</v>
      </c>
      <c r="T1547" s="1"/>
      <c r="U1547" s="1"/>
      <c r="V1547" s="32" t="s">
        <v>4505</v>
      </c>
      <c r="W15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data-nrcc="140"&gt;&lt;a href="canciones/lazaro_iparraguirre/que_deseables.html"&gt;Qué deseables&lt;/a&gt;&lt;/li&gt;</v>
      </c>
      <c r="X1547" s="15" t="str">
        <f>_xlfn.TEXTBEFORE(_xlfn.TEXTAFTER(CantoralDB[[#This Row],[index.html]],"&gt;"),"&gt;")&amp;"&gt;"</f>
        <v>&lt;a href="canciones/lazaro_iparraguirre/que_deseables.html"&gt;</v>
      </c>
      <c r="Y1547"/>
      <c r="AC1547" s="1"/>
    </row>
    <row r="1548" spans="1:29" x14ac:dyDescent="0.3">
      <c r="A1548" s="1">
        <f>ROW(CantoralDB[[#This Row],[Título]])-1</f>
        <v>1547</v>
      </c>
      <c r="B1548" s="1" t="s">
        <v>2678</v>
      </c>
      <c r="C1548" s="1"/>
      <c r="F1548" s="1">
        <v>308</v>
      </c>
      <c r="H1548" s="1" t="s">
        <v>1027</v>
      </c>
      <c r="J1548" s="1" t="s">
        <v>605</v>
      </c>
      <c r="M1548" s="15" t="s">
        <v>2394</v>
      </c>
      <c r="N1548" s="1" t="s">
        <v>1703</v>
      </c>
      <c r="O1548" s="15"/>
      <c r="P1548" s="15"/>
      <c r="Q1548" s="15" t="str" cm="1">
        <f t="array" ref="Q15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8" s="15" t="str" cm="1">
        <f t="array" ref="R15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canciones/lazaro_iparraguirre/resucito.html</v>
      </c>
      <c r="T1548" s="1"/>
      <c r="U1548" s="1"/>
      <c r="V1548" s="32" t="s">
        <v>4419</v>
      </c>
      <c r="W15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data-nrcc="308"&gt;&lt;a href="canciones/lazaro_iparraguirre/resucito.html"&gt;Resucitó&lt;/a&gt;&lt;/li&gt;</v>
      </c>
      <c r="X1548" s="15" t="str">
        <f>_xlfn.TEXTBEFORE(_xlfn.TEXTAFTER(CantoralDB[[#This Row],[index.html]],"&gt;"),"&gt;")&amp;"&gt;"</f>
        <v>&lt;a href="canciones/lazaro_iparraguirre/resucito.html"&gt;</v>
      </c>
      <c r="Y1548"/>
      <c r="AC1548" s="1"/>
    </row>
    <row r="1549" spans="1:29" x14ac:dyDescent="0.3">
      <c r="A1549" s="1">
        <f>ROW(CantoralDB[[#This Row],[Título]])-1</f>
        <v>1548</v>
      </c>
      <c r="B1549" s="1" t="s">
        <v>2475</v>
      </c>
      <c r="C1549" s="1"/>
      <c r="F1549" s="1">
        <v>96</v>
      </c>
      <c r="H1549" s="1" t="s">
        <v>1027</v>
      </c>
      <c r="J1549" s="1" t="s">
        <v>605</v>
      </c>
      <c r="M1549" s="15" t="s">
        <v>2394</v>
      </c>
      <c r="O1549" s="15"/>
      <c r="P1549" s="15"/>
      <c r="Q1549" s="15" t="str" cm="1">
        <f t="array" ref="Q15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49" s="15" t="str" cm="1">
        <f t="array" ref="R15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canciones/lazaro_iparraguirre/si_estas_buscando.html</v>
      </c>
      <c r="T1549" s="1"/>
      <c r="U1549" s="1"/>
      <c r="V1549" s="15"/>
      <c r="W15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data-nrcc="96"&gt;&lt;a href="canciones/lazaro_iparraguirre/si_estas_buscando.html"&gt;Si estás buscando&lt;/a&gt;&lt;/li&gt;</v>
      </c>
      <c r="X1549" s="15" t="str">
        <f>_xlfn.TEXTBEFORE(_xlfn.TEXTAFTER(CantoralDB[[#This Row],[index.html]],"&gt;"),"&gt;")&amp;"&gt;"</f>
        <v>&lt;a href="canciones/lazaro_iparraguirre/si_estas_buscando.html"&gt;</v>
      </c>
      <c r="Y1549"/>
      <c r="AC1549" s="1"/>
    </row>
    <row r="1550" spans="1:29" x14ac:dyDescent="0.3">
      <c r="A1550" s="1">
        <f>ROW(CantoralDB[[#This Row],[Título]])-1</f>
        <v>1549</v>
      </c>
      <c r="B1550" s="1" t="s">
        <v>2395</v>
      </c>
      <c r="C1550" s="1"/>
      <c r="F1550" s="1">
        <v>19</v>
      </c>
      <c r="H1550" s="1" t="s">
        <v>1027</v>
      </c>
      <c r="J1550" s="1" t="s">
        <v>605</v>
      </c>
      <c r="M1550" s="15" t="s">
        <v>2394</v>
      </c>
      <c r="O1550" s="15"/>
      <c r="P1550" s="15"/>
      <c r="Q1550" s="15" t="str" cm="1">
        <f t="array" ref="Q15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50" s="15" t="str" cm="1">
        <f t="array" ref="R15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canciones/lazaro_iparraguirre/si_lo_que_buscas.html</v>
      </c>
      <c r="T1550" s="1"/>
      <c r="U1550" s="1"/>
      <c r="V1550" s="32" t="s">
        <v>3040</v>
      </c>
      <c r="W15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data-nrcc="19"&gt;&lt;a href="canciones/lazaro_iparraguirre/si_lo_que_buscas.html"&gt;Si lo que buscas&lt;/a&gt;&lt;/li&gt;</v>
      </c>
      <c r="X1550" s="15" t="str">
        <f>_xlfn.TEXTBEFORE(_xlfn.TEXTAFTER(CantoralDB[[#This Row],[index.html]],"&gt;"),"&gt;")&amp;"&gt;"</f>
        <v>&lt;a href="canciones/lazaro_iparraguirre/si_lo_que_buscas.html"&gt;</v>
      </c>
      <c r="Y1550"/>
      <c r="AC1550" s="1"/>
    </row>
    <row r="1551" spans="1:29" x14ac:dyDescent="0.3">
      <c r="A1551" s="1">
        <f>ROW(CantoralDB[[#This Row],[Título]])-1</f>
        <v>1550</v>
      </c>
      <c r="B1551" s="1" t="s">
        <v>2420</v>
      </c>
      <c r="C1551" s="1"/>
      <c r="F1551" s="1">
        <v>47</v>
      </c>
      <c r="J1551" s="1"/>
      <c r="M1551" s="15" t="s">
        <v>2394</v>
      </c>
      <c r="O1551" s="15"/>
      <c r="P1551" s="15"/>
      <c r="Q1551" s="15" t="str" cm="1">
        <f t="array" ref="Q15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51" s="15" t="str" cm="1">
        <f t="array" ref="R15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canciones/lazaro_iparraguirre/tomad_y_comed.html</v>
      </c>
      <c r="T1551" s="1"/>
      <c r="U1551" s="1"/>
      <c r="V1551" s="15"/>
      <c r="W15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data-nrcc="47"&gt;&lt;a href="canciones/lazaro_iparraguirre/tomad_y_comed.html"&gt;Tomad y comed&lt;/a&gt;&lt;/li&gt;</v>
      </c>
      <c r="X1551" s="15" t="str">
        <f>_xlfn.TEXTBEFORE(_xlfn.TEXTAFTER(CantoralDB[[#This Row],[index.html]],"&gt;"),"&gt;")&amp;"&gt;"</f>
        <v>&lt;a href="canciones/lazaro_iparraguirre/tomad_y_comed.html"&gt;</v>
      </c>
      <c r="Y1551"/>
      <c r="AC1551" s="1"/>
    </row>
    <row r="1552" spans="1:29" x14ac:dyDescent="0.3">
      <c r="A1552" s="1">
        <f>ROW(CantoralDB[[#This Row],[Título]])-1</f>
        <v>1551</v>
      </c>
      <c r="B1552" s="1" t="s">
        <v>2676</v>
      </c>
      <c r="C1552" s="1"/>
      <c r="F1552" s="1">
        <v>305</v>
      </c>
      <c r="J1552" s="1"/>
      <c r="M1552" s="15" t="s">
        <v>2394</v>
      </c>
      <c r="O1552" s="15"/>
      <c r="P1552" s="15"/>
      <c r="Q1552" s="15" t="str" cm="1">
        <f t="array" ref="Q15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52" s="15" t="str" cm="1">
        <f t="array" ref="R15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canciones/lazaro_iparraguirre/venid_alabemos.html</v>
      </c>
      <c r="T1552" s="1"/>
      <c r="U1552" s="1"/>
      <c r="V1552" s="32" t="s">
        <v>4529</v>
      </c>
      <c r="W15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data-nrcc="305"&gt;&lt;a href="canciones/lazaro_iparraguirre/venid_alabemos.html"&gt;Venid, alabemos&lt;/a&gt;&lt;/li&gt;</v>
      </c>
      <c r="X1552" s="15" t="str">
        <f>_xlfn.TEXTBEFORE(_xlfn.TEXTAFTER(CantoralDB[[#This Row],[index.html]],"&gt;"),"&gt;")&amp;"&gt;"</f>
        <v>&lt;a href="canciones/lazaro_iparraguirre/venid_alabemos.html"&gt;</v>
      </c>
      <c r="Y1552"/>
      <c r="AC1552" s="1"/>
    </row>
    <row r="1553" spans="1:29" x14ac:dyDescent="0.3">
      <c r="A1553" s="1">
        <f>ROW(CantoralDB[[#This Row],[Título]])-1</f>
        <v>1552</v>
      </c>
      <c r="B1553" s="1" t="s">
        <v>2496</v>
      </c>
      <c r="C1553" s="1"/>
      <c r="F1553" s="1">
        <v>119</v>
      </c>
      <c r="H1553" s="1" t="s">
        <v>1026</v>
      </c>
      <c r="J1553" s="1" t="s">
        <v>605</v>
      </c>
      <c r="M1553" s="15" t="s">
        <v>2394</v>
      </c>
      <c r="O1553" s="15"/>
      <c r="P1553" s="15"/>
      <c r="Q1553" s="15" t="str" cm="1">
        <f t="array" ref="Q15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53" s="15" t="str" cm="1">
        <f t="array" ref="R15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canciones/lazaro_iparraguirre/vino_un_hombre_a_nuestro_mundo.html</v>
      </c>
      <c r="T1553" s="1"/>
      <c r="U1553" s="1"/>
      <c r="V1553" s="15"/>
      <c r="W15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data-nrcc="119"&gt;&lt;a href="canciones/lazaro_iparraguirre/vino_un_hombre_a_nuestro_mundo.html"&gt;Vino un hombre a nuestro mundo&lt;/a&gt;&lt;/li&gt;</v>
      </c>
      <c r="X1553" s="15" t="str">
        <f>_xlfn.TEXTBEFORE(_xlfn.TEXTAFTER(CantoralDB[[#This Row],[index.html]],"&gt;"),"&gt;")&amp;"&gt;"</f>
        <v>&lt;a href="canciones/lazaro_iparraguirre/vino_un_hombre_a_nuestro_mundo.html"&gt;</v>
      </c>
      <c r="Y1553"/>
      <c r="AC1553" s="1"/>
    </row>
    <row r="1554" spans="1:29" x14ac:dyDescent="0.3">
      <c r="A1554" s="1">
        <f>ROW(CantoralDB[[#This Row],[Título]])-1</f>
        <v>1553</v>
      </c>
      <c r="B1554" s="1" t="s">
        <v>2458</v>
      </c>
      <c r="C1554" s="1"/>
      <c r="F1554" s="1">
        <v>80</v>
      </c>
      <c r="J1554" s="1"/>
      <c r="M1554" s="15" t="s">
        <v>2394</v>
      </c>
      <c r="N1554" s="1" t="s">
        <v>1703</v>
      </c>
      <c r="O1554" s="15"/>
      <c r="P1554" s="15"/>
      <c r="Q1554" s="15" t="str" cm="1">
        <f t="array" ref="Q15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lazaro_iparraguirre</v>
      </c>
      <c r="R1554" s="15" t="str" cm="1">
        <f t="array" ref="R15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canciones/lazaro_iparraguirre/yo_te_ensalzo.html</v>
      </c>
      <c r="T1554" s="1"/>
      <c r="U1554" s="1"/>
      <c r="V1554" s="32" t="s">
        <v>4567</v>
      </c>
      <c r="W15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data-author="Lázaro Iparraguirre" data-nrcc="80"&gt;&lt;a href="canciones/lazaro_iparraguirre/yo_te_ensalzo.html"&gt;Yo te ensalzo&lt;/a&gt;&lt;/li&gt;</v>
      </c>
      <c r="X1554" s="15" t="str">
        <f>_xlfn.TEXTBEFORE(_xlfn.TEXTAFTER(CantoralDB[[#This Row],[index.html]],"&gt;"),"&gt;")&amp;"&gt;"</f>
        <v>&lt;a href="canciones/lazaro_iparraguirre/yo_te_ensalzo.html"&gt;</v>
      </c>
      <c r="Y1554"/>
      <c r="AC1554" s="1"/>
    </row>
    <row r="1555" spans="1:29" x14ac:dyDescent="0.3">
      <c r="A1555" s="1">
        <f>ROW(CantoralDB[[#This Row],[Título]])-1</f>
        <v>1554</v>
      </c>
      <c r="B1555" s="1" t="s">
        <v>2567</v>
      </c>
      <c r="C1555" s="1"/>
      <c r="F1555" s="1">
        <v>181</v>
      </c>
      <c r="J1555" s="1"/>
      <c r="M1555" s="15" t="s">
        <v>2390</v>
      </c>
      <c r="O1555" s="15"/>
      <c r="P1555" s="15"/>
      <c r="Q1555" s="15" t="str" cm="1">
        <f t="array" ref="Q15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55" s="15" t="str" cm="1">
        <f t="array" ref="R15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canciones/luis_alfredo_diaz/ahora_no_tengo.html</v>
      </c>
      <c r="T1555" s="1"/>
      <c r="U1555" s="1"/>
      <c r="V1555" s="32" t="s">
        <v>4479</v>
      </c>
      <c r="W15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data-nrcc="181"&gt;&lt;a href="canciones/luis_alfredo_diaz/ahora_no_tengo.html"&gt;Ahora no tengo&lt;/a&gt;&lt;/li&gt;</v>
      </c>
      <c r="X1555" s="15" t="str">
        <f>_xlfn.TEXTBEFORE(_xlfn.TEXTAFTER(CantoralDB[[#This Row],[index.html]],"&gt;"),"&gt;")&amp;"&gt;"</f>
        <v>&lt;a href="canciones/luis_alfredo_diaz/ahora_no_tengo.html"&gt;</v>
      </c>
      <c r="Y1555"/>
      <c r="AC1555" s="1"/>
    </row>
    <row r="1556" spans="1:29" x14ac:dyDescent="0.3">
      <c r="A1556" s="1">
        <f>ROW(CantoralDB[[#This Row],[Título]])-1</f>
        <v>1555</v>
      </c>
      <c r="B1556" s="1" t="s">
        <v>2559</v>
      </c>
      <c r="C1556" s="1"/>
      <c r="F1556" s="1">
        <v>173</v>
      </c>
      <c r="J1556" s="1"/>
      <c r="M1556" s="15" t="s">
        <v>2390</v>
      </c>
      <c r="O1556" s="15"/>
      <c r="P1556" s="15"/>
      <c r="Q1556" s="15" t="str" cm="1">
        <f t="array" ref="Q15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56" s="15" t="str" cm="1">
        <f t="array" ref="R15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canciones/luis_alfredo_diaz/amar.html</v>
      </c>
      <c r="T1556" s="1"/>
      <c r="U1556" s="1"/>
      <c r="V1556" s="32" t="s">
        <v>4467</v>
      </c>
      <c r="W15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data-nrcc="173"&gt;&lt;a href="canciones/luis_alfredo_diaz/amar.html"&gt;Amar&lt;/a&gt;&lt;/li&gt;</v>
      </c>
      <c r="X1556" s="15" t="str">
        <f>_xlfn.TEXTBEFORE(_xlfn.TEXTAFTER(CantoralDB[[#This Row],[index.html]],"&gt;"),"&gt;")&amp;"&gt;"</f>
        <v>&lt;a href="canciones/luis_alfredo_diaz/amar.html"&gt;</v>
      </c>
      <c r="Y1556"/>
      <c r="AC1556" s="1"/>
    </row>
    <row r="1557" spans="1:29" x14ac:dyDescent="0.3">
      <c r="A1557" s="1">
        <f>ROW(CantoralDB[[#This Row],[Título]])-1</f>
        <v>1556</v>
      </c>
      <c r="B1557" s="1" t="s">
        <v>2536</v>
      </c>
      <c r="C1557" s="1"/>
      <c r="F1557" s="1">
        <v>153</v>
      </c>
      <c r="J1557" s="1"/>
      <c r="M1557" s="15" t="s">
        <v>2390</v>
      </c>
      <c r="O1557" s="15"/>
      <c r="P1557" s="15"/>
      <c r="Q1557" s="15" t="str" cm="1">
        <f t="array" ref="Q15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57" s="15" t="str" cm="1">
        <f t="array" ref="R15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canciones/luis_alfredo_diaz/aqui_el_esta.html</v>
      </c>
      <c r="T1557" s="1"/>
      <c r="U1557" s="1"/>
      <c r="V1557" s="15"/>
      <c r="W15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data-nrcc="153"&gt;&lt;a href="canciones/luis_alfredo_diaz/aqui_el_esta.html"&gt;Aquí él está&lt;/a&gt;&lt;/li&gt;</v>
      </c>
      <c r="X1557" s="15" t="str">
        <f>_xlfn.TEXTBEFORE(_xlfn.TEXTAFTER(CantoralDB[[#This Row],[index.html]],"&gt;"),"&gt;")&amp;"&gt;"</f>
        <v>&lt;a href="canciones/luis_alfredo_diaz/aqui_el_esta.html"&gt;</v>
      </c>
      <c r="Y1557"/>
      <c r="AC1557" s="1"/>
    </row>
    <row r="1558" spans="1:29" x14ac:dyDescent="0.3">
      <c r="A1558" s="1">
        <f>ROW(CantoralDB[[#This Row],[Título]])-1</f>
        <v>1557</v>
      </c>
      <c r="B1558" s="1" t="s">
        <v>2872</v>
      </c>
      <c r="C1558" s="1"/>
      <c r="E1558" s="1">
        <v>47</v>
      </c>
      <c r="H1558" s="1" t="s">
        <v>529</v>
      </c>
      <c r="J1558" s="1" t="s">
        <v>605</v>
      </c>
      <c r="M1558" s="15" t="s">
        <v>2390</v>
      </c>
      <c r="O1558" s="15"/>
      <c r="P1558" s="15"/>
      <c r="Q1558" s="15" t="str" cm="1">
        <f t="array" ref="Q15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58" s="15" t="str" cm="1">
        <f t="array" ref="R15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canciones/luis_alfredo_diaz/compartir.html</v>
      </c>
      <c r="T1558" s="1"/>
      <c r="U1558" s="1"/>
      <c r="V1558" s="15"/>
      <c r="W15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data-nold="47"&gt;&lt;a href="canciones/luis_alfredo_diaz/compartir.html"&gt;Compartir&lt;/a&gt;&lt;/li&gt;</v>
      </c>
      <c r="X1558" s="15" t="str">
        <f>_xlfn.TEXTBEFORE(_xlfn.TEXTAFTER(CantoralDB[[#This Row],[index.html]],"&gt;"),"&gt;")&amp;"&gt;"</f>
        <v>&lt;a href="canciones/luis_alfredo_diaz/compartir.html"&gt;</v>
      </c>
      <c r="Y1558"/>
      <c r="AC1558" s="1"/>
    </row>
    <row r="1559" spans="1:29" x14ac:dyDescent="0.3">
      <c r="A1559" s="1">
        <f>ROW(CantoralDB[[#This Row],[Título]])-1</f>
        <v>1558</v>
      </c>
      <c r="B1559" s="1" t="s">
        <v>2471</v>
      </c>
      <c r="C1559" s="1"/>
      <c r="F1559" s="1">
        <v>92</v>
      </c>
      <c r="J1559" s="1"/>
      <c r="M1559" s="15" t="s">
        <v>2390</v>
      </c>
      <c r="O1559" s="15"/>
      <c r="P1559" s="15"/>
      <c r="Q1559" s="15" t="str" cm="1">
        <f t="array" ref="Q15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59" s="15" t="str" cm="1">
        <f t="array" ref="R15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canciones/luis_alfredo_diaz/cuando_escuches.html</v>
      </c>
      <c r="T1559" s="1"/>
      <c r="U1559" s="1"/>
      <c r="V1559" s="32" t="s">
        <v>4551</v>
      </c>
      <c r="W15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data-nrcc="92"&gt;&lt;a href="canciones/luis_alfredo_diaz/cuando_escuches.html"&gt;Cuando escuches&lt;/a&gt;&lt;/li&gt;</v>
      </c>
      <c r="X1559" s="15" t="str">
        <f>_xlfn.TEXTBEFORE(_xlfn.TEXTAFTER(CantoralDB[[#This Row],[index.html]],"&gt;"),"&gt;")&amp;"&gt;"</f>
        <v>&lt;a href="canciones/luis_alfredo_diaz/cuando_escuches.html"&gt;</v>
      </c>
      <c r="Y1559"/>
      <c r="AC1559" s="1"/>
    </row>
    <row r="1560" spans="1:29" x14ac:dyDescent="0.3">
      <c r="A1560" s="1">
        <f>ROW(CantoralDB[[#This Row],[Título]])-1</f>
        <v>1559</v>
      </c>
      <c r="B1560" s="1" t="s">
        <v>2570</v>
      </c>
      <c r="C1560" s="1"/>
      <c r="F1560" s="1">
        <v>184</v>
      </c>
      <c r="J1560" s="1"/>
      <c r="M1560" s="15" t="s">
        <v>2390</v>
      </c>
      <c r="O1560" s="15"/>
      <c r="P1560" s="15"/>
      <c r="Q1560" s="15" t="str" cm="1">
        <f t="array" ref="Q15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0" s="15" t="str" cm="1">
        <f t="array" ref="R15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canciones/luis_alfredo_diaz/deseo_ser_santa.html</v>
      </c>
      <c r="T1560" s="1"/>
      <c r="U1560" s="1"/>
      <c r="V1560" s="32" t="s">
        <v>4492</v>
      </c>
      <c r="W15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data-nrcc="184"&gt;&lt;a href="canciones/luis_alfredo_diaz/deseo_ser_santa.html"&gt;Deseo ser santa&lt;/a&gt;&lt;/li&gt;</v>
      </c>
      <c r="X1560" s="15" t="str">
        <f>_xlfn.TEXTBEFORE(_xlfn.TEXTAFTER(CantoralDB[[#This Row],[index.html]],"&gt;"),"&gt;")&amp;"&gt;"</f>
        <v>&lt;a href="canciones/luis_alfredo_diaz/deseo_ser_santa.html"&gt;</v>
      </c>
      <c r="Y1560"/>
      <c r="AC1560" s="1"/>
    </row>
    <row r="1561" spans="1:29" x14ac:dyDescent="0.3">
      <c r="A1561" s="1">
        <f>ROW(CantoralDB[[#This Row],[Título]])-1</f>
        <v>1560</v>
      </c>
      <c r="B1561" s="1" t="s">
        <v>2410</v>
      </c>
      <c r="C1561" s="1"/>
      <c r="F1561" s="1">
        <v>37</v>
      </c>
      <c r="J1561" s="1"/>
      <c r="M1561" s="15" t="s">
        <v>2390</v>
      </c>
      <c r="O1561" s="15"/>
      <c r="P1561" s="15"/>
      <c r="Q1561" s="15" t="str" cm="1">
        <f t="array" ref="Q15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1" s="15" t="str" cm="1">
        <f t="array" ref="R15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canciones/luis_alfredo_diaz/gloria_yo_soy_libre.html</v>
      </c>
      <c r="T1561" s="1"/>
      <c r="U1561" s="1"/>
      <c r="V1561" s="32" t="s">
        <v>4496</v>
      </c>
      <c r="W15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data-nrcc="37"&gt;&lt;a href="canciones/luis_alfredo_diaz/gloria_yo_soy_libre.html"&gt;Gloria, yo soy libre&lt;/a&gt;&lt;/li&gt;</v>
      </c>
      <c r="X1561" s="15" t="str">
        <f>_xlfn.TEXTBEFORE(_xlfn.TEXTAFTER(CantoralDB[[#This Row],[index.html]],"&gt;"),"&gt;")&amp;"&gt;"</f>
        <v>&lt;a href="canciones/luis_alfredo_diaz/gloria_yo_soy_libre.html"&gt;</v>
      </c>
      <c r="Y1561"/>
      <c r="AC1561" s="1"/>
    </row>
    <row r="1562" spans="1:29" x14ac:dyDescent="0.3">
      <c r="A1562" s="1">
        <f>ROW(CantoralDB[[#This Row],[Título]])-1</f>
        <v>1561</v>
      </c>
      <c r="B1562" s="1" t="s">
        <v>2575</v>
      </c>
      <c r="C1562" s="1"/>
      <c r="F1562" s="1">
        <v>187</v>
      </c>
      <c r="J1562" s="1"/>
      <c r="M1562" s="15" t="s">
        <v>2390</v>
      </c>
      <c r="O1562" s="15"/>
      <c r="P1562" s="15"/>
      <c r="Q1562" s="15" t="str" cm="1">
        <f t="array" ref="Q15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2" s="15" t="str" cm="1">
        <f t="array" ref="R15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canciones/luis_alfredo_diaz/lo_que_agrada_a_dios.html</v>
      </c>
      <c r="T1562" s="1"/>
      <c r="U1562" s="1"/>
      <c r="V1562" s="32" t="s">
        <v>4443</v>
      </c>
      <c r="W15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data-nrcc="187"&gt;&lt;a href="canciones/luis_alfredo_diaz/lo_que_agrada_a_dios.html"&gt;Lo que agrada a Dios&lt;/a&gt;&lt;/li&gt;</v>
      </c>
      <c r="X1562" s="15" t="str">
        <f>_xlfn.TEXTBEFORE(_xlfn.TEXTAFTER(CantoralDB[[#This Row],[index.html]],"&gt;"),"&gt;")&amp;"&gt;"</f>
        <v>&lt;a href="canciones/luis_alfredo_diaz/lo_que_agrada_a_dios.html"&gt;</v>
      </c>
      <c r="Y1562"/>
      <c r="AC1562" s="1"/>
    </row>
    <row r="1563" spans="1:29" x14ac:dyDescent="0.3">
      <c r="A1563" s="1">
        <f>ROW(CantoralDB[[#This Row],[Título]])-1</f>
        <v>1562</v>
      </c>
      <c r="B1563" s="1" t="s">
        <v>97</v>
      </c>
      <c r="C1563" s="1" t="s">
        <v>200</v>
      </c>
      <c r="D1563" s="1" t="s">
        <v>662</v>
      </c>
      <c r="E1563" s="1">
        <v>440</v>
      </c>
      <c r="F1563" s="1">
        <v>91</v>
      </c>
      <c r="G1563" s="1" t="s">
        <v>208</v>
      </c>
      <c r="H1563" s="1" t="s">
        <v>1024</v>
      </c>
      <c r="J1563" s="1" t="s">
        <v>605</v>
      </c>
      <c r="M1563" s="15" t="s">
        <v>2390</v>
      </c>
      <c r="O1563" s="15"/>
      <c r="P1563" s="15"/>
      <c r="Q1563" s="15" t="str" cm="1">
        <f t="array" ref="Q15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3" s="15" t="str" cm="1">
        <f t="array" ref="R15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canciones/luis_alfredo_diaz/no_adoreis_a_nadie.html</v>
      </c>
      <c r="T1563" s="1" t="s">
        <v>844</v>
      </c>
      <c r="U1563" s="1"/>
      <c r="V1563" s="32" t="s">
        <v>4539</v>
      </c>
      <c r="W15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data-momento="Antífonas" data-nnew="D27" data-nold="440" data-nrcc="91"&gt;&lt;a href="canciones/luis_alfredo_diaz/no_adoreis_a_nadie.html"&gt;No adoréis a nadie&lt;/a&gt;&lt;/li&gt;</v>
      </c>
      <c r="X1563" s="15" t="str">
        <f>_xlfn.TEXTBEFORE(_xlfn.TEXTAFTER(CantoralDB[[#This Row],[index.html]],"&gt;"),"&gt;")&amp;"&gt;"</f>
        <v>&lt;a href="canciones/luis_alfredo_diaz/no_adoreis_a_nadie.html"&gt;</v>
      </c>
      <c r="Y1563"/>
      <c r="AC1563" s="1"/>
    </row>
    <row r="1564" spans="1:29" x14ac:dyDescent="0.3">
      <c r="A1564" s="1">
        <f>ROW(CantoralDB[[#This Row],[Título]])-1</f>
        <v>1563</v>
      </c>
      <c r="B1564" s="1" t="s">
        <v>2561</v>
      </c>
      <c r="C1564" s="1"/>
      <c r="F1564" s="1">
        <v>176</v>
      </c>
      <c r="J1564" s="1"/>
      <c r="M1564" s="15" t="s">
        <v>2390</v>
      </c>
      <c r="O1564" s="15"/>
      <c r="P1564" s="15"/>
      <c r="Q1564" s="15" t="str" cm="1">
        <f t="array" ref="Q15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4" s="15" t="str" cm="1">
        <f t="array" ref="R15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canciones/luis_alfredo_diaz/no_quiero_ser_santa_a_medias.html</v>
      </c>
      <c r="T1564" s="1"/>
      <c r="U1564" s="1"/>
      <c r="V1564" s="32" t="s">
        <v>4514</v>
      </c>
      <c r="W15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data-nrcc="176"&gt;&lt;a href="canciones/luis_alfredo_diaz/no_quiero_ser_santa_a_medias.html"&gt;No quiero ser santa a medias&lt;/a&gt;&lt;/li&gt;</v>
      </c>
      <c r="X1564" s="15" t="str">
        <f>_xlfn.TEXTBEFORE(_xlfn.TEXTAFTER(CantoralDB[[#This Row],[index.html]],"&gt;"),"&gt;")&amp;"&gt;"</f>
        <v>&lt;a href="canciones/luis_alfredo_diaz/no_quiero_ser_santa_a_medias.html"&gt;</v>
      </c>
      <c r="Y1564"/>
      <c r="AC1564" s="1"/>
    </row>
    <row r="1565" spans="1:29" x14ac:dyDescent="0.3">
      <c r="A1565" s="1">
        <f>ROW(CantoralDB[[#This Row],[Título]])-1</f>
        <v>1564</v>
      </c>
      <c r="B1565" s="1" t="s">
        <v>2576</v>
      </c>
      <c r="C1565" s="1"/>
      <c r="F1565" s="1">
        <v>189</v>
      </c>
      <c r="J1565" s="1"/>
      <c r="M1565" s="15" t="s">
        <v>2390</v>
      </c>
      <c r="O1565" s="15"/>
      <c r="P1565" s="15"/>
      <c r="Q1565" s="15" t="str" cm="1">
        <f t="array" ref="Q15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5" s="15" t="str" cm="1">
        <f t="array" ref="R15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canciones/luis_alfredo_diaz/que_bueno_es_alabarte.html</v>
      </c>
      <c r="T1565" s="1"/>
      <c r="U1565" s="1"/>
      <c r="V1565" s="15"/>
      <c r="W15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data-nrcc="189"&gt;&lt;a href="canciones/luis_alfredo_diaz/que_bueno_es_alabarte.html"&gt;Qué bueno es alabarte&lt;/a&gt;&lt;/li&gt;</v>
      </c>
      <c r="X1565" s="15" t="str">
        <f>_xlfn.TEXTBEFORE(_xlfn.TEXTAFTER(CantoralDB[[#This Row],[index.html]],"&gt;"),"&gt;")&amp;"&gt;"</f>
        <v>&lt;a href="canciones/luis_alfredo_diaz/que_bueno_es_alabarte.html"&gt;</v>
      </c>
      <c r="Y1565"/>
      <c r="AC1565" s="1"/>
    </row>
    <row r="1566" spans="1:29" x14ac:dyDescent="0.3">
      <c r="A1566" s="1">
        <f>ROW(CantoralDB[[#This Row],[Título]])-1</f>
        <v>1565</v>
      </c>
      <c r="B1566" s="1" t="s">
        <v>120</v>
      </c>
      <c r="C1566" s="1" t="s">
        <v>194</v>
      </c>
      <c r="D1566" s="1" t="s">
        <v>765</v>
      </c>
      <c r="E1566" s="1">
        <v>450</v>
      </c>
      <c r="F1566" s="1">
        <v>401</v>
      </c>
      <c r="G1566" s="1" t="s">
        <v>208</v>
      </c>
      <c r="H1566" s="1" t="s">
        <v>1027</v>
      </c>
      <c r="J1566" s="1" t="s">
        <v>605</v>
      </c>
      <c r="M1566" s="15" t="s">
        <v>2390</v>
      </c>
      <c r="O1566" s="15"/>
      <c r="P1566" s="15"/>
      <c r="Q1566" s="15" t="str" cm="1">
        <f t="array" ref="Q15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6" s="15" t="str" cm="1">
        <f t="array" ref="R15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canciones/luis_alfredo_diaz/que_te_puedo_dar.html</v>
      </c>
      <c r="T1566" s="1"/>
      <c r="U1566" s="1"/>
      <c r="V1566" s="32" t="s">
        <v>4466</v>
      </c>
      <c r="W15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data-momento="Ofertorio" data-nnew="F13" data-nold="450" data-nrcc="401"&gt;&lt;a href="canciones/luis_alfredo_diaz/que_te_puedo_dar.html"&gt;Qué te puedo dar&lt;/a&gt;&lt;/li&gt;</v>
      </c>
      <c r="X1566" s="15" t="str">
        <f>_xlfn.TEXTBEFORE(_xlfn.TEXTAFTER(CantoralDB[[#This Row],[index.html]],"&gt;"),"&gt;")&amp;"&gt;"</f>
        <v>&lt;a href="canciones/luis_alfredo_diaz/que_te_puedo_dar.html"&gt;</v>
      </c>
      <c r="Y1566"/>
      <c r="AC1566" s="1"/>
    </row>
    <row r="1567" spans="1:29" x14ac:dyDescent="0.3">
      <c r="A1567" s="1">
        <f>ROW(CantoralDB[[#This Row],[Título]])-1</f>
        <v>1566</v>
      </c>
      <c r="B1567" s="1" t="s">
        <v>2389</v>
      </c>
      <c r="C1567" s="1"/>
      <c r="F1567" s="1">
        <v>14</v>
      </c>
      <c r="H1567" s="1" t="s">
        <v>472</v>
      </c>
      <c r="I1567" s="1" t="s">
        <v>2947</v>
      </c>
      <c r="J1567" s="1" t="s">
        <v>605</v>
      </c>
      <c r="M1567" s="15" t="s">
        <v>2390</v>
      </c>
      <c r="O1567" s="15"/>
      <c r="P1567" s="15"/>
      <c r="Q1567" s="15" t="str" cm="1">
        <f t="array" ref="Q15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7" s="15" t="str" cm="1">
        <f t="array" ref="R15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canciones/luis_alfredo_diaz/quiero_decir_que_si.html</v>
      </c>
      <c r="T1567" s="1"/>
      <c r="U1567" s="1"/>
      <c r="V1567" s="32" t="s">
        <v>3007</v>
      </c>
      <c r="W15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data-nrcc="14"&gt;&lt;a href="canciones/luis_alfredo_diaz/quiero_decir_que_si.html"&gt;Quiero decir que sí&lt;/a&gt;&lt;/li&gt;</v>
      </c>
      <c r="X1567" s="15" t="str">
        <f>_xlfn.TEXTBEFORE(_xlfn.TEXTAFTER(CantoralDB[[#This Row],[index.html]],"&gt;"),"&gt;")&amp;"&gt;"</f>
        <v>&lt;a href="canciones/luis_alfredo_diaz/quiero_decir_que_si.html"&gt;</v>
      </c>
      <c r="Y1567"/>
      <c r="AC1567" s="1"/>
    </row>
    <row r="1568" spans="1:29" x14ac:dyDescent="0.3">
      <c r="A1568" s="1">
        <f>ROW(CantoralDB[[#This Row],[Título]])-1</f>
        <v>1567</v>
      </c>
      <c r="B1568" s="1" t="s">
        <v>2732</v>
      </c>
      <c r="C1568" s="1"/>
      <c r="F1568" s="1">
        <v>361</v>
      </c>
      <c r="J1568" s="1"/>
      <c r="M1568" s="15" t="s">
        <v>2390</v>
      </c>
      <c r="O1568" s="15"/>
      <c r="P1568" s="15"/>
      <c r="Q1568" s="15" t="str" cm="1">
        <f t="array" ref="Q15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8" s="15" t="str" cm="1">
        <f t="array" ref="R15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canciones/luis_alfredo_diaz/se_siente_una_paz_tan_grande.html</v>
      </c>
      <c r="T1568" s="1"/>
      <c r="U1568" s="1"/>
      <c r="V1568" s="15"/>
      <c r="W15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data-nrcc="361"&gt;&lt;a href="canciones/luis_alfredo_diaz/se_siente_una_paz_tan_grande.html"&gt;Se siente una paz tan grande&lt;/a&gt;&lt;/li&gt;</v>
      </c>
      <c r="X1568" s="15" t="str">
        <f>_xlfn.TEXTBEFORE(_xlfn.TEXTAFTER(CantoralDB[[#This Row],[index.html]],"&gt;"),"&gt;")&amp;"&gt;"</f>
        <v>&lt;a href="canciones/luis_alfredo_diaz/se_siente_una_paz_tan_grande.html"&gt;</v>
      </c>
      <c r="Y1568"/>
      <c r="AC1568" s="1"/>
    </row>
    <row r="1569" spans="1:29" x14ac:dyDescent="0.3">
      <c r="A1569" s="1">
        <f>ROW(CantoralDB[[#This Row],[Título]])-1</f>
        <v>1568</v>
      </c>
      <c r="B1569" s="1" t="s">
        <v>1315</v>
      </c>
      <c r="C1569" s="1"/>
      <c r="E1569" s="1">
        <v>238</v>
      </c>
      <c r="I1569" s="1" t="s">
        <v>5061</v>
      </c>
      <c r="J1569" s="1" t="s">
        <v>605</v>
      </c>
      <c r="M1569" s="15" t="s">
        <v>2390</v>
      </c>
      <c r="O1569" s="15"/>
      <c r="P1569" s="15"/>
      <c r="Q1569" s="15" t="str" cm="1">
        <f t="array" ref="Q15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69" s="15" t="str" cm="1">
        <f t="array" ref="R15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canciones/luis_alfredo_diaz/solidaridad.html</v>
      </c>
      <c r="T1569" s="1"/>
      <c r="U1569" s="1"/>
      <c r="V1569" s="15"/>
      <c r="W15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data-nold="238"&gt;&lt;a href="canciones/luis_alfredo_diaz/solidaridad.html"&gt;Solidaridad&lt;/a&gt;&lt;/li&gt;</v>
      </c>
      <c r="X1569" s="15" t="str">
        <f>_xlfn.TEXTBEFORE(_xlfn.TEXTAFTER(CantoralDB[[#This Row],[index.html]],"&gt;"),"&gt;")&amp;"&gt;"</f>
        <v>&lt;a href="canciones/luis_alfredo_diaz/solidaridad.html"&gt;</v>
      </c>
      <c r="Y1569"/>
      <c r="AC1569" s="1"/>
    </row>
    <row r="1570" spans="1:29" x14ac:dyDescent="0.3">
      <c r="A1570" s="1">
        <f>ROW(CantoralDB[[#This Row],[Título]])-1</f>
        <v>1569</v>
      </c>
      <c r="B1570" s="1" t="s">
        <v>1336</v>
      </c>
      <c r="C1570" s="1"/>
      <c r="E1570" s="1">
        <v>273</v>
      </c>
      <c r="J1570" s="1"/>
      <c r="M1570" s="15" t="s">
        <v>2390</v>
      </c>
      <c r="O1570" s="15"/>
      <c r="P1570" s="15"/>
      <c r="Q1570" s="15" t="str" cm="1">
        <f t="array" ref="Q15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70" s="15" t="str" cm="1">
        <f t="array" ref="R15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canciones/luis_alfredo_diaz/un_nuevo_reino_esta_amaneciendo.html</v>
      </c>
      <c r="T1570" s="1"/>
      <c r="U1570" s="1"/>
      <c r="V1570" s="15"/>
      <c r="W15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data-nold="273"&gt;&lt;a href="canciones/luis_alfredo_diaz/un_nuevo_reino_esta_amaneciendo.html"&gt;Un nuevo Reino está amaneciendo&lt;/a&gt;&lt;/li&gt;</v>
      </c>
      <c r="X1570" s="15" t="str">
        <f>_xlfn.TEXTBEFORE(_xlfn.TEXTAFTER(CantoralDB[[#This Row],[index.html]],"&gt;"),"&gt;")&amp;"&gt;"</f>
        <v>&lt;a href="canciones/luis_alfredo_diaz/un_nuevo_reino_esta_amaneciendo.html"&gt;</v>
      </c>
      <c r="Y1570"/>
      <c r="AC1570" s="1"/>
    </row>
    <row r="1571" spans="1:29" x14ac:dyDescent="0.3">
      <c r="A1571" s="1">
        <f>ROW(CantoralDB[[#This Row],[Título]])-1</f>
        <v>1570</v>
      </c>
      <c r="B1571" s="1" t="s">
        <v>542</v>
      </c>
      <c r="C1571" s="1" t="s">
        <v>990</v>
      </c>
      <c r="D1571" s="1" t="s">
        <v>1013</v>
      </c>
      <c r="G1571" s="1" t="s">
        <v>208</v>
      </c>
      <c r="H1571" s="1" t="s">
        <v>1024</v>
      </c>
      <c r="I1571" s="1" t="s">
        <v>2948</v>
      </c>
      <c r="J1571" s="1" t="s">
        <v>605</v>
      </c>
      <c r="M1571" s="15" t="s">
        <v>2390</v>
      </c>
      <c r="O1571" s="15"/>
      <c r="P1571" s="15"/>
      <c r="Q1571" s="15" t="str" cm="1">
        <f t="array" ref="Q15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71" s="15" t="str" cm="1">
        <f t="array" ref="R15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canciones/luis_alfredo_diaz/una_tarde_en_la_playa.html</v>
      </c>
      <c r="T1571" s="1" t="s">
        <v>814</v>
      </c>
      <c r="U1571" s="1"/>
      <c r="V1571" s="15"/>
      <c r="W15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data-momento="Comunión" data-nnew="K79"&gt;&lt;a href="canciones/luis_alfredo_diaz/una_tarde_en_la_playa.html"&gt;Una tarde en la playa&lt;/a&gt;&lt;/li&gt;</v>
      </c>
      <c r="X1571" s="15" t="str">
        <f>_xlfn.TEXTBEFORE(_xlfn.TEXTAFTER(CantoralDB[[#This Row],[index.html]],"&gt;"),"&gt;")&amp;"&gt;"</f>
        <v>&lt;a href="canciones/luis_alfredo_diaz/una_tarde_en_la_playa.html"&gt;</v>
      </c>
      <c r="Y1571"/>
      <c r="AC1571" s="1"/>
    </row>
    <row r="1572" spans="1:29" x14ac:dyDescent="0.3">
      <c r="A1572" s="1">
        <f>ROW(CantoralDB[[#This Row],[Título]])-1</f>
        <v>1571</v>
      </c>
      <c r="B1572" s="1" t="s">
        <v>2645</v>
      </c>
      <c r="C1572" s="1"/>
      <c r="F1572" s="1">
        <v>272</v>
      </c>
      <c r="J1572" s="1"/>
      <c r="M1572" s="15" t="s">
        <v>2390</v>
      </c>
      <c r="O1572" s="15"/>
      <c r="P1572" s="15"/>
      <c r="Q1572" s="15" t="str" cm="1">
        <f t="array" ref="Q15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72" s="15" t="str" cm="1">
        <f t="array" ref="R15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canciones/luis_alfredo_diaz/vine_a_alabar_a_dios.html</v>
      </c>
      <c r="T1572" s="1"/>
      <c r="U1572" s="1"/>
      <c r="V1572" s="32" t="s">
        <v>4562</v>
      </c>
      <c r="W15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data-nrcc="272"&gt;&lt;a href="canciones/luis_alfredo_diaz/vine_a_alabar_a_dios.html"&gt;Vine a alabar a Dios&lt;/a&gt;&lt;/li&gt;</v>
      </c>
      <c r="X1572" s="15" t="str">
        <f>_xlfn.TEXTBEFORE(_xlfn.TEXTAFTER(CantoralDB[[#This Row],[index.html]],"&gt;"),"&gt;")&amp;"&gt;"</f>
        <v>&lt;a href="canciones/luis_alfredo_diaz/vine_a_alabar_a_dios.html"&gt;</v>
      </c>
      <c r="Y1572"/>
      <c r="AC1572" s="1"/>
    </row>
    <row r="1573" spans="1:29" x14ac:dyDescent="0.3">
      <c r="A1573" s="1">
        <f>ROW(CantoralDB[[#This Row],[Título]])-1</f>
        <v>1572</v>
      </c>
      <c r="B1573" s="1" t="s">
        <v>2528</v>
      </c>
      <c r="C1573" s="1"/>
      <c r="F1573" s="1">
        <v>145</v>
      </c>
      <c r="J1573" s="1"/>
      <c r="M1573" s="15" t="s">
        <v>2390</v>
      </c>
      <c r="O1573" s="15"/>
      <c r="P1573" s="15"/>
      <c r="Q1573" s="15" t="str" cm="1">
        <f t="array" ref="Q15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luis_alfredo_diaz</v>
      </c>
      <c r="R1573" s="15" t="str" cm="1">
        <f t="array" ref="R15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canciones/luis_alfredo_diaz/yo_no_soy_nada.html</v>
      </c>
      <c r="T1573" s="1"/>
      <c r="U1573" s="1"/>
      <c r="V1573" s="32" t="s">
        <v>4520</v>
      </c>
      <c r="W15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Alfredo Díaz" data-nrcc="145"&gt;&lt;a href="canciones/luis_alfredo_diaz/yo_no_soy_nada.html"&gt;Yo no soy nada&lt;/a&gt;&lt;/li&gt;</v>
      </c>
      <c r="X1573" s="15" t="str">
        <f>_xlfn.TEXTBEFORE(_xlfn.TEXTAFTER(CantoralDB[[#This Row],[index.html]],"&gt;"),"&gt;")&amp;"&gt;"</f>
        <v>&lt;a href="canciones/luis_alfredo_diaz/yo_no_soy_nada.html"&gt;</v>
      </c>
      <c r="Y1573"/>
      <c r="AC1573" s="1"/>
    </row>
    <row r="1574" spans="1:29" x14ac:dyDescent="0.3">
      <c r="A1574" s="1">
        <f>ROW(CantoralDB[[#This Row],[Título]])-1</f>
        <v>1573</v>
      </c>
      <c r="B1574" s="1" t="s">
        <v>1781</v>
      </c>
      <c r="C1574" s="1"/>
      <c r="F1574" s="1">
        <v>7</v>
      </c>
      <c r="H1574" s="1" t="s">
        <v>1024</v>
      </c>
      <c r="I1574" s="1" t="s">
        <v>2947</v>
      </c>
      <c r="J1574" s="1" t="s">
        <v>605</v>
      </c>
      <c r="M1574" s="15" t="s">
        <v>2383</v>
      </c>
      <c r="N1574" s="1" t="s">
        <v>3002</v>
      </c>
      <c r="O1574" s="15"/>
      <c r="P1574" s="15"/>
      <c r="Q1574" s="15" t="str" cm="1">
        <f t="array" ref="Q15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4" s="15" t="str" cm="1">
        <f t="array" ref="R15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canciones/marcos_witt/heme_aqui.html</v>
      </c>
      <c r="T1574" s="1"/>
      <c r="U1574" s="1"/>
      <c r="V1574" s="32" t="s">
        <v>4487</v>
      </c>
      <c r="W15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data-nrcc="7"&gt;&lt;a href="canciones/marcos_witt/heme_aqui.html"&gt;Heme aquí&lt;/a&gt;&lt;/li&gt;</v>
      </c>
      <c r="X1574" s="15" t="str">
        <f>_xlfn.TEXTBEFORE(_xlfn.TEXTAFTER(CantoralDB[[#This Row],[index.html]],"&gt;"),"&gt;")&amp;"&gt;"</f>
        <v>&lt;a href="canciones/marcos_witt/heme_aqui.html"&gt;</v>
      </c>
      <c r="Y1574"/>
      <c r="AC1574" s="1"/>
    </row>
    <row r="1575" spans="1:29" x14ac:dyDescent="0.3">
      <c r="A1575" s="1">
        <f>ROW(CantoralDB[[#This Row],[Título]])-1</f>
        <v>1574</v>
      </c>
      <c r="B1575" s="1" t="s">
        <v>2657</v>
      </c>
      <c r="C1575" s="1"/>
      <c r="F1575" s="1">
        <v>286</v>
      </c>
      <c r="J1575" s="1"/>
      <c r="M1575" s="15" t="s">
        <v>2383</v>
      </c>
      <c r="O1575" s="15"/>
      <c r="P1575" s="15"/>
      <c r="Q1575" s="15" t="str" cm="1">
        <f t="array" ref="Q15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5" s="15" t="str" cm="1">
        <f t="array" ref="R15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canciones/marcos_witt/cuan_bello_es_el_señor.html</v>
      </c>
      <c r="T1575" s="1"/>
      <c r="U1575" s="1"/>
      <c r="V1575" s="15"/>
      <c r="W15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data-nrcc="286"&gt;&lt;a href="canciones/marcos_witt/cuan_bello_es_el_señor.html"&gt;Cuán bello es el Señor&lt;/a&gt;&lt;/li&gt;</v>
      </c>
      <c r="X1575" s="15" t="str">
        <f>_xlfn.TEXTBEFORE(_xlfn.TEXTAFTER(CantoralDB[[#This Row],[index.html]],"&gt;"),"&gt;")&amp;"&gt;"</f>
        <v>&lt;a href="canciones/marcos_witt/cuan_bello_es_el_señor.html"&gt;</v>
      </c>
      <c r="Y1575"/>
      <c r="AC1575" s="1"/>
    </row>
    <row r="1576" spans="1:29" x14ac:dyDescent="0.3">
      <c r="A1576" s="1">
        <f>ROW(CantoralDB[[#This Row],[Título]])-1</f>
        <v>1575</v>
      </c>
      <c r="B1576" s="1" t="s">
        <v>2824</v>
      </c>
      <c r="C1576" s="1"/>
      <c r="F1576" s="1">
        <v>436</v>
      </c>
      <c r="J1576" s="1"/>
      <c r="M1576" s="15" t="s">
        <v>2383</v>
      </c>
      <c r="O1576" s="15"/>
      <c r="P1576" s="15"/>
      <c r="Q1576" s="15" t="str" cm="1">
        <f t="array" ref="Q15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6" s="15" t="str" cm="1">
        <f t="array" ref="R15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canciones/marcos_witt/enciende_una_luz.html</v>
      </c>
      <c r="T1576" s="1"/>
      <c r="U1576" s="1"/>
      <c r="V1576" s="32" t="s">
        <v>4489</v>
      </c>
      <c r="W15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data-nrcc="436"&gt;&lt;a href="canciones/marcos_witt/enciende_una_luz.html"&gt;Enciende una luz&lt;/a&gt;&lt;/li&gt;</v>
      </c>
      <c r="X1576" s="15" t="str">
        <f>_xlfn.TEXTBEFORE(_xlfn.TEXTAFTER(CantoralDB[[#This Row],[index.html]],"&gt;"),"&gt;")&amp;"&gt;"</f>
        <v>&lt;a href="canciones/marcos_witt/enciende_una_luz.html"&gt;</v>
      </c>
      <c r="Y1576"/>
      <c r="AC1576" s="1"/>
    </row>
    <row r="1577" spans="1:29" x14ac:dyDescent="0.3">
      <c r="A1577" s="1">
        <f>ROW(CantoralDB[[#This Row],[Título]])-1</f>
        <v>1576</v>
      </c>
      <c r="B1577" s="1" t="s">
        <v>2730</v>
      </c>
      <c r="C1577" s="1"/>
      <c r="F1577" s="1">
        <v>359</v>
      </c>
      <c r="J1577" s="1"/>
      <c r="M1577" s="15" t="s">
        <v>2383</v>
      </c>
      <c r="O1577" s="15"/>
      <c r="P1577" s="15"/>
      <c r="Q1577" s="15" t="str" cm="1">
        <f t="array" ref="Q15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7" s="15" t="str" cm="1">
        <f t="array" ref="R15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canciones/marcos_witt/has_cambiado_mi_lamento_en_baile.html</v>
      </c>
      <c r="T1577" s="1"/>
      <c r="U1577" s="1"/>
      <c r="V1577" s="32" t="s">
        <v>4509</v>
      </c>
      <c r="W15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data-nrcc="359"&gt;&lt;a href="canciones/marcos_witt/has_cambiado_mi_lamento_en_baile.html"&gt;Has cambiado mi lamento en baile&lt;/a&gt;&lt;/li&gt;</v>
      </c>
      <c r="X1577" s="15" t="str">
        <f>_xlfn.TEXTBEFORE(_xlfn.TEXTAFTER(CantoralDB[[#This Row],[index.html]],"&gt;"),"&gt;")&amp;"&gt;"</f>
        <v>&lt;a href="canciones/marcos_witt/has_cambiado_mi_lamento_en_baile.html"&gt;</v>
      </c>
      <c r="Y1577"/>
      <c r="AC1577" s="1"/>
    </row>
    <row r="1578" spans="1:29" x14ac:dyDescent="0.3">
      <c r="A1578" s="1">
        <f>ROW(CantoralDB[[#This Row],[Título]])-1</f>
        <v>1577</v>
      </c>
      <c r="B1578" s="1" t="s">
        <v>2685</v>
      </c>
      <c r="C1578" s="1"/>
      <c r="F1578" s="1">
        <v>316</v>
      </c>
      <c r="J1578" s="1"/>
      <c r="M1578" s="15" t="s">
        <v>2383</v>
      </c>
      <c r="O1578" s="15"/>
      <c r="P1578" s="15"/>
      <c r="Q1578" s="15" t="str" cm="1">
        <f t="array" ref="Q15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8" s="15" t="str" cm="1">
        <f t="array" ref="R15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canciones/marcos_witt/mas_el_dios_de_toda_gracia.html</v>
      </c>
      <c r="T1578" s="1"/>
      <c r="U1578" s="1"/>
      <c r="V1578" s="15"/>
      <c r="W15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data-nrcc="316"&gt;&lt;a href="canciones/marcos_witt/mas_el_dios_de_toda_gracia.html"&gt;Mas el Dios de toda gracia&lt;/a&gt;&lt;/li&gt;</v>
      </c>
      <c r="X1578" s="15" t="str">
        <f>_xlfn.TEXTBEFORE(_xlfn.TEXTAFTER(CantoralDB[[#This Row],[index.html]],"&gt;"),"&gt;")&amp;"&gt;"</f>
        <v>&lt;a href="canciones/marcos_witt/mas_el_dios_de_toda_gracia.html"&gt;</v>
      </c>
      <c r="Y1578"/>
      <c r="AC1578" s="1"/>
    </row>
    <row r="1579" spans="1:29" x14ac:dyDescent="0.3">
      <c r="A1579" s="1">
        <f>ROW(CantoralDB[[#This Row],[Título]])-1</f>
        <v>1578</v>
      </c>
      <c r="B1579" s="1" t="s">
        <v>2518</v>
      </c>
      <c r="C1579" s="1"/>
      <c r="F1579" s="1">
        <v>134</v>
      </c>
      <c r="J1579" s="1"/>
      <c r="M1579" s="15" t="s">
        <v>2383</v>
      </c>
      <c r="O1579" s="15"/>
      <c r="P1579" s="15"/>
      <c r="Q1579" s="15" t="str" cm="1">
        <f t="array" ref="Q15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79" s="15" t="str" cm="1">
        <f t="array" ref="R15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canciones/marcos_witt/renuevame.html</v>
      </c>
      <c r="T1579" s="1"/>
      <c r="U1579" s="1"/>
      <c r="V1579" s="32" t="s">
        <v>4459</v>
      </c>
      <c r="W15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data-nrcc="134"&gt;&lt;a href="canciones/marcos_witt/renuevame.html"&gt;Renuévame&lt;/a&gt;&lt;/li&gt;</v>
      </c>
      <c r="X1579" s="15" t="str">
        <f>_xlfn.TEXTBEFORE(_xlfn.TEXTAFTER(CantoralDB[[#This Row],[index.html]],"&gt;"),"&gt;")&amp;"&gt;"</f>
        <v>&lt;a href="canciones/marcos_witt/renuevame.html"&gt;</v>
      </c>
      <c r="Y1579"/>
      <c r="AC1579" s="1"/>
    </row>
    <row r="1580" spans="1:29" x14ac:dyDescent="0.3">
      <c r="A1580" s="1">
        <f>ROW(CantoralDB[[#This Row],[Título]])-1</f>
        <v>1579</v>
      </c>
      <c r="B1580" s="1" t="s">
        <v>2468</v>
      </c>
      <c r="C1580" s="1"/>
      <c r="F1580" s="1">
        <v>89</v>
      </c>
      <c r="J1580" s="1"/>
      <c r="M1580" s="15" t="s">
        <v>2383</v>
      </c>
      <c r="O1580" s="15"/>
      <c r="P1580" s="15"/>
      <c r="Q1580" s="15" t="str" cm="1">
        <f t="array" ref="Q15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80" s="15" t="str" cm="1">
        <f t="array" ref="R15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canciones/marcos_witt/temprano_yo_te_buscare.html</v>
      </c>
      <c r="T1580" s="1"/>
      <c r="U1580" s="1"/>
      <c r="V1580" s="32" t="s">
        <v>4468</v>
      </c>
      <c r="W15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data-nrcc="89"&gt;&lt;a href="canciones/marcos_witt/temprano_yo_te_buscare.html"&gt;Temprano yo te buscaré&lt;/a&gt;&lt;/li&gt;</v>
      </c>
      <c r="X1580" s="15" t="str">
        <f>_xlfn.TEXTBEFORE(_xlfn.TEXTAFTER(CantoralDB[[#This Row],[index.html]],"&gt;"),"&gt;")&amp;"&gt;"</f>
        <v>&lt;a href="canciones/marcos_witt/temprano_yo_te_buscare.html"&gt;</v>
      </c>
      <c r="Y1580"/>
      <c r="AC1580" s="1"/>
    </row>
    <row r="1581" spans="1:29" x14ac:dyDescent="0.3">
      <c r="A1581" s="1">
        <f>ROW(CantoralDB[[#This Row],[Título]])-1</f>
        <v>1580</v>
      </c>
      <c r="B1581" s="1" t="s">
        <v>2740</v>
      </c>
      <c r="C1581" s="1"/>
      <c r="F1581" s="1">
        <v>370</v>
      </c>
      <c r="J1581" s="1"/>
      <c r="M1581" s="15" t="s">
        <v>2383</v>
      </c>
      <c r="O1581" s="15"/>
      <c r="P1581" s="15"/>
      <c r="Q1581" s="15" t="str" cm="1">
        <f t="array" ref="Q15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81" s="15" t="str" cm="1">
        <f t="array" ref="R15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canciones/marcos_witt/tu_amor_por_mi.html</v>
      </c>
      <c r="T1581" s="1"/>
      <c r="U1581" s="1"/>
      <c r="V1581" s="15"/>
      <c r="W15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data-nrcc="370"&gt;&lt;a href="canciones/marcos_witt/tu_amor_por_mi.html"&gt;Tu amor por mí&lt;/a&gt;&lt;/li&gt;</v>
      </c>
      <c r="X1581" s="15" t="str">
        <f>_xlfn.TEXTBEFORE(_xlfn.TEXTAFTER(CantoralDB[[#This Row],[index.html]],"&gt;"),"&gt;")&amp;"&gt;"</f>
        <v>&lt;a href="canciones/marcos_witt/tu_amor_por_mi.html"&gt;</v>
      </c>
      <c r="Y1581"/>
      <c r="AC1581" s="1"/>
    </row>
    <row r="1582" spans="1:29" x14ac:dyDescent="0.3">
      <c r="A1582" s="1">
        <f>ROW(CantoralDB[[#This Row],[Título]])-1</f>
        <v>1581</v>
      </c>
      <c r="B1582" s="1" t="s">
        <v>2392</v>
      </c>
      <c r="C1582" s="1"/>
      <c r="F1582" s="1">
        <v>16</v>
      </c>
      <c r="H1582" s="1" t="s">
        <v>529</v>
      </c>
      <c r="J1582" s="1" t="s">
        <v>605</v>
      </c>
      <c r="M1582" s="15" t="s">
        <v>2383</v>
      </c>
      <c r="O1582" s="15"/>
      <c r="P1582" s="15"/>
      <c r="Q1582" s="15" t="str" cm="1">
        <f t="array" ref="Q15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marcos_witt</v>
      </c>
      <c r="R1582" s="15" t="str" cm="1">
        <f t="array" ref="R15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canciones/marcos_witt/yeshua.html</v>
      </c>
      <c r="T1582" s="1"/>
      <c r="U1582" s="1"/>
      <c r="V1582" s="32" t="s">
        <v>3030</v>
      </c>
      <c r="W15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Witt" data-nrcc="16"&gt;&lt;a href="canciones/marcos_witt/yeshua.html"&gt;Yeshua&lt;/a&gt;&lt;/li&gt;</v>
      </c>
      <c r="X1582" s="15" t="str">
        <f>_xlfn.TEXTBEFORE(_xlfn.TEXTAFTER(CantoralDB[[#This Row],[index.html]],"&gt;"),"&gt;")&amp;"&gt;"</f>
        <v>&lt;a href="canciones/marcos_witt/yeshua.html"&gt;</v>
      </c>
      <c r="Y1582"/>
      <c r="AC1582" s="1"/>
    </row>
    <row r="1583" spans="1:29" x14ac:dyDescent="0.3">
      <c r="A1583" s="1">
        <f>ROW(CantoralDB[[#This Row],[Título]])-1</f>
        <v>1582</v>
      </c>
      <c r="B1583" s="1" t="s">
        <v>2677</v>
      </c>
      <c r="C1583" s="1"/>
      <c r="F1583" s="1">
        <v>307</v>
      </c>
      <c r="J1583" s="1"/>
      <c r="M1583" s="15" t="s">
        <v>2498</v>
      </c>
      <c r="O1583" s="15"/>
      <c r="P1583" s="15"/>
      <c r="Q1583" s="15" t="str" cm="1">
        <f t="array" ref="Q15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3" s="15" t="str" cm="1">
        <f t="array" ref="R15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canciones/marta_gil-delgado/cree_y_veras_la_gloria_de_dios.html</v>
      </c>
      <c r="T1583" s="1"/>
      <c r="U1583" s="1"/>
      <c r="V1583" s="15"/>
      <c r="W15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data-nrcc="307"&gt;&lt;a href="canciones/marta_gil-delgado/cree_y_veras_la_gloria_de_dios.html"&gt;Cree y verás la gloria de Dios&lt;/a&gt;&lt;/li&gt;</v>
      </c>
      <c r="X1583" s="15" t="str">
        <f>_xlfn.TEXTBEFORE(_xlfn.TEXTAFTER(CantoralDB[[#This Row],[index.html]],"&gt;"),"&gt;")&amp;"&gt;"</f>
        <v>&lt;a href="canciones/marta_gil-delgado/cree_y_veras_la_gloria_de_dios.html"&gt;</v>
      </c>
      <c r="Y1583"/>
      <c r="AC1583" s="1"/>
    </row>
    <row r="1584" spans="1:29" x14ac:dyDescent="0.3">
      <c r="A1584" s="1">
        <f>ROW(CantoralDB[[#This Row],[Título]])-1</f>
        <v>1583</v>
      </c>
      <c r="B1584" s="1" t="s">
        <v>1625</v>
      </c>
      <c r="C1584" s="1"/>
      <c r="F1584" s="1">
        <v>193</v>
      </c>
      <c r="J1584" s="1"/>
      <c r="M1584" s="15" t="s">
        <v>2498</v>
      </c>
      <c r="O1584" s="15"/>
      <c r="P1584" s="15"/>
      <c r="Q1584" s="15" t="str" cm="1">
        <f t="array" ref="Q15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4" s="15" t="str" cm="1">
        <f t="array" ref="R15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canciones/marta_gil-delgado/cristo.html</v>
      </c>
      <c r="T1584" s="1"/>
      <c r="U1584" s="1"/>
      <c r="V1584" s="15"/>
      <c r="W15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data-nrcc="193"&gt;&lt;a href="canciones/marta_gil-delgado/cristo.html"&gt;Cristo&lt;/a&gt;&lt;/li&gt;</v>
      </c>
      <c r="X1584" s="15" t="str">
        <f>_xlfn.TEXTBEFORE(_xlfn.TEXTAFTER(CantoralDB[[#This Row],[index.html]],"&gt;"),"&gt;")&amp;"&gt;"</f>
        <v>&lt;a href="canciones/marta_gil-delgado/cristo.html"&gt;</v>
      </c>
      <c r="Y1584"/>
      <c r="AC1584" s="1"/>
    </row>
    <row r="1585" spans="1:29" x14ac:dyDescent="0.3">
      <c r="A1585" s="1">
        <f>ROW(CantoralDB[[#This Row],[Título]])-1</f>
        <v>1584</v>
      </c>
      <c r="B1585" s="1" t="s">
        <v>2759</v>
      </c>
      <c r="C1585" s="1"/>
      <c r="F1585" s="1">
        <v>385</v>
      </c>
      <c r="J1585" s="1"/>
      <c r="M1585" s="15" t="s">
        <v>2498</v>
      </c>
      <c r="O1585" s="15"/>
      <c r="P1585" s="15"/>
      <c r="Q1585" s="15" t="str" cm="1">
        <f t="array" ref="Q15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5" s="15" t="str" cm="1">
        <f t="array" ref="R15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canciones/marta_gil-delgado/gloria_al_cordero.html</v>
      </c>
      <c r="T1585" s="1"/>
      <c r="U1585" s="1"/>
      <c r="V1585" s="32" t="s">
        <v>4519</v>
      </c>
      <c r="W15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data-nrcc="385"&gt;&lt;a href="canciones/marta_gil-delgado/gloria_al_cordero.html"&gt;Gloria al Cordero&lt;/a&gt;&lt;/li&gt;</v>
      </c>
      <c r="X1585" s="15" t="str">
        <f>_xlfn.TEXTBEFORE(_xlfn.TEXTAFTER(CantoralDB[[#This Row],[index.html]],"&gt;"),"&gt;")&amp;"&gt;"</f>
        <v>&lt;a href="canciones/marta_gil-delgado/gloria_al_cordero.html"&gt;</v>
      </c>
      <c r="Y1585"/>
      <c r="AC1585" s="1"/>
    </row>
    <row r="1586" spans="1:29" x14ac:dyDescent="0.3">
      <c r="A1586" s="1">
        <f>ROW(CantoralDB[[#This Row],[Título]])-1</f>
        <v>1585</v>
      </c>
      <c r="B1586" s="1" t="s">
        <v>2497</v>
      </c>
      <c r="C1586" s="1"/>
      <c r="F1586" s="1">
        <v>120</v>
      </c>
      <c r="J1586" s="1"/>
      <c r="M1586" s="15" t="s">
        <v>2498</v>
      </c>
      <c r="O1586" s="15"/>
      <c r="P1586" s="15"/>
      <c r="Q1586" s="15" t="str" cm="1">
        <f t="array" ref="Q15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6" s="15" t="str" cm="1">
        <f t="array" ref="R15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canciones/marta_gil-delgado/hagase_en_nosotros.html</v>
      </c>
      <c r="T1586" s="1"/>
      <c r="U1586" s="1"/>
      <c r="V1586" s="32" t="s">
        <v>4491</v>
      </c>
      <c r="W15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data-nrcc="120"&gt;&lt;a href="canciones/marta_gil-delgado/hagase_en_nosotros.html"&gt;Hágase en nosotros&lt;/a&gt;&lt;/li&gt;</v>
      </c>
      <c r="X1586" s="15" t="str">
        <f>_xlfn.TEXTBEFORE(_xlfn.TEXTAFTER(CantoralDB[[#This Row],[index.html]],"&gt;"),"&gt;")&amp;"&gt;"</f>
        <v>&lt;a href="canciones/marta_gil-delgado/hagase_en_nosotros.html"&gt;</v>
      </c>
      <c r="Y1586"/>
      <c r="AC1586" s="1"/>
    </row>
    <row r="1587" spans="1:29" x14ac:dyDescent="0.3">
      <c r="A1587" s="1">
        <f>ROW(CantoralDB[[#This Row],[Título]])-1</f>
        <v>1586</v>
      </c>
      <c r="B1587" s="1" t="s">
        <v>2700</v>
      </c>
      <c r="C1587" s="1"/>
      <c r="F1587" s="1">
        <v>334</v>
      </c>
      <c r="J1587" s="1"/>
      <c r="M1587" s="15" t="s">
        <v>2498</v>
      </c>
      <c r="O1587" s="15"/>
      <c r="P1587" s="15"/>
      <c r="Q1587" s="15" t="str" cm="1">
        <f t="array" ref="Q15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7" s="15" t="str" cm="1">
        <f t="array" ref="R15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canciones/marta_gil-delgado/hasta_los_confines_de_la_tierra.html</v>
      </c>
      <c r="T1587" s="1"/>
      <c r="U1587" s="1"/>
      <c r="V1587" s="15"/>
      <c r="W15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data-nrcc="334"&gt;&lt;a href="canciones/marta_gil-delgado/hasta_los_confines_de_la_tierra.html"&gt;Hasta los confines de la tierra&lt;/a&gt;&lt;/li&gt;</v>
      </c>
      <c r="X1587" s="15" t="str">
        <f>_xlfn.TEXTBEFORE(_xlfn.TEXTAFTER(CantoralDB[[#This Row],[index.html]],"&gt;"),"&gt;")&amp;"&gt;"</f>
        <v>&lt;a href="canciones/marta_gil-delgado/hasta_los_confines_de_la_tierra.html"&gt;</v>
      </c>
      <c r="Y1587"/>
      <c r="AC1587" s="1"/>
    </row>
    <row r="1588" spans="1:29" x14ac:dyDescent="0.3">
      <c r="A1588" s="1">
        <f>ROW(CantoralDB[[#This Row],[Título]])-1</f>
        <v>1587</v>
      </c>
      <c r="B1588" s="1" t="s">
        <v>2547</v>
      </c>
      <c r="C1588" s="1"/>
      <c r="F1588" s="1">
        <v>163</v>
      </c>
      <c r="J1588" s="1"/>
      <c r="M1588" s="15" t="s">
        <v>2498</v>
      </c>
      <c r="O1588" s="15"/>
      <c r="P1588" s="15"/>
      <c r="Q1588" s="15" t="str" cm="1">
        <f t="array" ref="Q15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8" s="15" t="str" cm="1">
        <f t="array" ref="R15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canciones/marta_gil-delgado/jesus_quedate_aqui.html</v>
      </c>
      <c r="T1588" s="1"/>
      <c r="U1588" s="1"/>
      <c r="V1588" s="32" t="s">
        <v>4555</v>
      </c>
      <c r="W15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data-nrcc="163"&gt;&lt;a href="canciones/marta_gil-delgado/jesus_quedate_aqui.html"&gt;Jesús, quédate aquí&lt;/a&gt;&lt;/li&gt;</v>
      </c>
      <c r="X1588" s="15" t="str">
        <f>_xlfn.TEXTBEFORE(_xlfn.TEXTAFTER(CantoralDB[[#This Row],[index.html]],"&gt;"),"&gt;")&amp;"&gt;"</f>
        <v>&lt;a href="canciones/marta_gil-delgado/jesus_quedate_aqui.html"&gt;</v>
      </c>
      <c r="Y1588"/>
      <c r="AC1588" s="1"/>
    </row>
    <row r="1589" spans="1:29" x14ac:dyDescent="0.3">
      <c r="A1589" s="1">
        <f>ROW(CantoralDB[[#This Row],[Título]])-1</f>
        <v>1588</v>
      </c>
      <c r="B1589" s="1" t="s">
        <v>2835</v>
      </c>
      <c r="C1589" s="1"/>
      <c r="F1589" s="1">
        <v>448</v>
      </c>
      <c r="J1589" s="1"/>
      <c r="M1589" s="15" t="s">
        <v>2498</v>
      </c>
      <c r="O1589" s="15"/>
      <c r="P1589" s="15"/>
      <c r="Q1589" s="15" t="str" cm="1">
        <f t="array" ref="Q15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89" s="15" t="str" cm="1">
        <f t="array" ref="R15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canciones/marta_gil-delgado/no_me_callare.html</v>
      </c>
      <c r="T1589" s="1"/>
      <c r="U1589" s="1"/>
      <c r="V1589" s="32" t="s">
        <v>4497</v>
      </c>
      <c r="W15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data-nrcc="448"&gt;&lt;a href="canciones/marta_gil-delgado/no_me_callare.html"&gt;No me callaré&lt;/a&gt;&lt;/li&gt;</v>
      </c>
      <c r="X1589" s="15" t="str">
        <f>_xlfn.TEXTBEFORE(_xlfn.TEXTAFTER(CantoralDB[[#This Row],[index.html]],"&gt;"),"&gt;")&amp;"&gt;"</f>
        <v>&lt;a href="canciones/marta_gil-delgado/no_me_callare.html"&gt;</v>
      </c>
      <c r="Y1589"/>
      <c r="AC1589" s="1"/>
    </row>
    <row r="1590" spans="1:29" x14ac:dyDescent="0.3">
      <c r="A1590" s="1">
        <f>ROW(CantoralDB[[#This Row],[Título]])-1</f>
        <v>1589</v>
      </c>
      <c r="B1590" s="1" t="s">
        <v>1575</v>
      </c>
      <c r="C1590" s="1"/>
      <c r="F1590" s="1">
        <v>228</v>
      </c>
      <c r="J1590" s="1"/>
      <c r="M1590" s="15" t="s">
        <v>2498</v>
      </c>
      <c r="O1590" s="15"/>
      <c r="P1590" s="15"/>
      <c r="Q1590" s="15" t="str" cm="1">
        <f t="array" ref="Q15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90" s="15" t="str" cm="1">
        <f t="array" ref="R15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canciones/marta_gil-delgado/no_temais.html</v>
      </c>
      <c r="T1590" s="1"/>
      <c r="U1590" s="1"/>
      <c r="V1590" s="15"/>
      <c r="W15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data-nrcc="228"&gt;&lt;a href="canciones/marta_gil-delgado/no_temais.html"&gt;No temáis&lt;/a&gt;&lt;/li&gt;</v>
      </c>
      <c r="X1590" s="15" t="str">
        <f>_xlfn.TEXTBEFORE(_xlfn.TEXTAFTER(CantoralDB[[#This Row],[index.html]],"&gt;"),"&gt;")&amp;"&gt;"</f>
        <v>&lt;a href="canciones/marta_gil-delgado/no_temais.html"&gt;</v>
      </c>
      <c r="Y1590"/>
      <c r="AC1590" s="1"/>
    </row>
    <row r="1591" spans="1:29" x14ac:dyDescent="0.3">
      <c r="A1591" s="1">
        <f>ROW(CantoralDB[[#This Row],[Título]])-1</f>
        <v>1590</v>
      </c>
      <c r="B1591" s="1" t="s">
        <v>2829</v>
      </c>
      <c r="C1591" s="1"/>
      <c r="F1591" s="1">
        <v>441</v>
      </c>
      <c r="J1591" s="1"/>
      <c r="M1591" s="15" t="s">
        <v>2498</v>
      </c>
      <c r="O1591" s="15"/>
      <c r="P1591" s="15"/>
      <c r="Q1591" s="15" t="str" cm="1">
        <f t="array" ref="Q15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91" s="15" t="str" cm="1">
        <f t="array" ref="R15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canciones/marta_gil-delgado/quien_es_este.html</v>
      </c>
      <c r="T1591" s="1"/>
      <c r="U1591" s="1"/>
      <c r="V1591" s="15"/>
      <c r="W15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data-nrcc="441"&gt;&lt;a href="canciones/marta_gil-delgado/quien_es_este.html"&gt;Quién es este&lt;/a&gt;&lt;/li&gt;</v>
      </c>
      <c r="X1591" s="15" t="str">
        <f>_xlfn.TEXTBEFORE(_xlfn.TEXTAFTER(CantoralDB[[#This Row],[index.html]],"&gt;"),"&gt;")&amp;"&gt;"</f>
        <v>&lt;a href="canciones/marta_gil-delgado/quien_es_este.html"&gt;</v>
      </c>
      <c r="Y1591"/>
      <c r="AC1591" s="1"/>
    </row>
    <row r="1592" spans="1:29" x14ac:dyDescent="0.3">
      <c r="A1592" s="1">
        <f>ROW(CantoralDB[[#This Row],[Título]])-1</f>
        <v>1591</v>
      </c>
      <c r="B1592" s="1" t="s">
        <v>2527</v>
      </c>
      <c r="C1592" s="1"/>
      <c r="F1592" s="1">
        <v>144</v>
      </c>
      <c r="J1592" s="1"/>
      <c r="M1592" s="15" t="s">
        <v>2498</v>
      </c>
      <c r="O1592" s="15"/>
      <c r="P1592" s="15"/>
      <c r="Q1592" s="15" t="str" cm="1">
        <f t="array" ref="Q15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marta_gil-delgado</v>
      </c>
      <c r="R1592" s="15" t="str" cm="1">
        <f t="array" ref="R15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5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canciones/marta_gil-delgado/ven_espiritu_de_amor.html</v>
      </c>
      <c r="T1592" s="1"/>
      <c r="U1592" s="1"/>
      <c r="V1592" s="32" t="s">
        <v>4507</v>
      </c>
      <c r="W15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Gil-Delgado" data-nrcc="144"&gt;&lt;a href="canciones/marta_gil-delgado/ven_espiritu_de_amor.html"&gt;Ven, Espíritu de amor&lt;/a&gt;&lt;/li&gt;</v>
      </c>
      <c r="X1592" s="15" t="str">
        <f>_xlfn.TEXTBEFORE(_xlfn.TEXTAFTER(CantoralDB[[#This Row],[index.html]],"&gt;"),"&gt;")&amp;"&gt;"</f>
        <v>&lt;a href="canciones/marta_gil-delgado/ven_espiritu_de_amor.html"&gt;</v>
      </c>
      <c r="Y1592"/>
      <c r="AC1592" s="1"/>
    </row>
    <row r="1593" spans="1:29" x14ac:dyDescent="0.3">
      <c r="A1593" s="1">
        <f>ROW(CantoralDB[[#This Row],[Título]])-1</f>
        <v>1592</v>
      </c>
      <c r="B1593" s="1" t="s">
        <v>1</v>
      </c>
      <c r="C1593" s="1" t="s">
        <v>475</v>
      </c>
      <c r="D1593" s="1" t="s">
        <v>1355</v>
      </c>
      <c r="E1593" s="1">
        <v>1</v>
      </c>
      <c r="G1593" s="1" t="s">
        <v>208</v>
      </c>
      <c r="H1593" s="1" t="s">
        <v>1025</v>
      </c>
      <c r="J1593" s="1" t="s">
        <v>605</v>
      </c>
      <c r="M1593" s="15" t="s">
        <v>486</v>
      </c>
      <c r="O1593" s="15"/>
      <c r="P1593" s="15"/>
      <c r="Q1593" s="15" t="str" cm="1">
        <f t="array" ref="Q15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3" s="15" t="str" cm="1">
        <f t="array" ref="R15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canciones/miguel_manzano/a_belen_se_va_y_se_viene.html</v>
      </c>
      <c r="T1593" s="1"/>
      <c r="U1593" s="1"/>
      <c r="V1593" s="32" t="s">
        <v>3026</v>
      </c>
      <c r="W1593" s="17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data-momento="Navidad" data-nnew="O01" data-nold="1"&gt;&lt;a href="canciones/miguel_manzano/a_belen_se_va_y_se_viene.html"&gt;A Belén se va y se viene&lt;/a&gt;&lt;/li&gt;</v>
      </c>
      <c r="X1593" s="15" t="str">
        <f>_xlfn.TEXTBEFORE(_xlfn.TEXTAFTER(CantoralDB[[#This Row],[index.html]],"&gt;"),"&gt;")&amp;"&gt;"</f>
        <v>&lt;a href="canciones/miguel_manzano/a_belen_se_va_y_se_viene.html"&gt;</v>
      </c>
      <c r="Y1593"/>
      <c r="AC1593" s="1"/>
    </row>
    <row r="1594" spans="1:29" x14ac:dyDescent="0.3">
      <c r="A1594" s="1">
        <f>ROW(CantoralDB[[#This Row],[Título]])-1</f>
        <v>1593</v>
      </c>
      <c r="B1594" s="1" t="s">
        <v>1163</v>
      </c>
      <c r="C1594" s="1"/>
      <c r="E1594" s="1">
        <v>25</v>
      </c>
      <c r="H1594" s="1" t="s">
        <v>1025</v>
      </c>
      <c r="J1594" s="1" t="s">
        <v>605</v>
      </c>
      <c r="M1594" s="15" t="s">
        <v>486</v>
      </c>
      <c r="O1594" s="15"/>
      <c r="P1594" s="15"/>
      <c r="Q1594" s="15" t="str" cm="1">
        <f t="array" ref="Q15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4" s="15" t="str" cm="1">
        <f t="array" ref="R15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canciones/miguel_manzano/a_ti_levanto_mis_ojos.html</v>
      </c>
      <c r="T1594" s="1"/>
      <c r="U1594" s="1"/>
      <c r="V1594" s="32" t="s">
        <v>4852</v>
      </c>
      <c r="W15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data-nold="25"&gt;&lt;a href="canciones/miguel_manzano/a_ti_levanto_mis_ojos.html"&gt;A ti levanto mis ojos&lt;/a&gt;&lt;/li&gt;</v>
      </c>
      <c r="X1594" s="15" t="str">
        <f>_xlfn.TEXTBEFORE(_xlfn.TEXTAFTER(CantoralDB[[#This Row],[index.html]],"&gt;"),"&gt;")&amp;"&gt;"</f>
        <v>&lt;a href="canciones/miguel_manzano/a_ti_levanto_mis_ojos.html"&gt;</v>
      </c>
      <c r="Y1594"/>
      <c r="AC1594" s="1"/>
    </row>
    <row r="1595" spans="1:29" x14ac:dyDescent="0.3">
      <c r="A1595" s="1">
        <f>ROW(CantoralDB[[#This Row],[Título]])-1</f>
        <v>1594</v>
      </c>
      <c r="B1595" s="1" t="s">
        <v>1156</v>
      </c>
      <c r="C1595" s="1"/>
      <c r="E1595" s="1">
        <v>11</v>
      </c>
      <c r="H1595" s="1" t="s">
        <v>1025</v>
      </c>
      <c r="J1595" s="1" t="s">
        <v>605</v>
      </c>
      <c r="M1595" s="15" t="s">
        <v>486</v>
      </c>
      <c r="O1595" s="15"/>
      <c r="P1595" s="15"/>
      <c r="Q1595" s="15" t="str" cm="1">
        <f t="array" ref="Q15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5" s="15" t="str" cm="1">
        <f t="array" ref="R15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canciones/miguel_manzano/aclama_al_señor_tierra_entera.html</v>
      </c>
      <c r="T1595" s="1"/>
      <c r="U1595" s="1"/>
      <c r="V1595" s="32" t="s">
        <v>4853</v>
      </c>
      <c r="W15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data-nold="11"&gt;&lt;a href="canciones/miguel_manzano/aclama_al_señor_tierra_entera.html"&gt;Aclama al Señor, tierra entera&lt;/a&gt;&lt;/li&gt;</v>
      </c>
      <c r="X1595" s="15" t="str">
        <f>_xlfn.TEXTBEFORE(_xlfn.TEXTAFTER(CantoralDB[[#This Row],[index.html]],"&gt;"),"&gt;")&amp;"&gt;"</f>
        <v>&lt;a href="canciones/miguel_manzano/aclama_al_señor_tierra_entera.html"&gt;</v>
      </c>
      <c r="Y1595"/>
      <c r="AC1595" s="1"/>
    </row>
    <row r="1596" spans="1:29" x14ac:dyDescent="0.3">
      <c r="A1596" s="1">
        <f>ROW(CantoralDB[[#This Row],[Título]])-1</f>
        <v>1595</v>
      </c>
      <c r="B1596" s="1" t="s">
        <v>18</v>
      </c>
      <c r="C1596" s="1" t="s">
        <v>193</v>
      </c>
      <c r="D1596" s="1" t="s">
        <v>1375</v>
      </c>
      <c r="E1596" s="1">
        <v>14</v>
      </c>
      <c r="G1596" s="1" t="s">
        <v>208</v>
      </c>
      <c r="H1596" s="1" t="s">
        <v>1025</v>
      </c>
      <c r="J1596" s="1" t="s">
        <v>605</v>
      </c>
      <c r="M1596" s="15" t="s">
        <v>486</v>
      </c>
      <c r="O1596" s="15"/>
      <c r="P1596" s="15"/>
      <c r="Q1596" s="15" t="str" cm="1">
        <f t="array" ref="Q15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6" s="15" t="str" cm="1">
        <f t="array" ref="R15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canciones/miguel_manzano/aleluya_el_señor_es_nuestro_rey.html</v>
      </c>
      <c r="T1596" s="1" t="s">
        <v>798</v>
      </c>
      <c r="U1596" s="1"/>
      <c r="V1596" s="32" t="s">
        <v>4854</v>
      </c>
      <c r="W15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data-momento="Aleluya" data-nnew="E07" data-nold="14"&gt;&lt;a href="canciones/miguel_manzano/aleluya_el_señor_es_nuestro_rey.html"&gt;Aleluya, el Señor es nuestro Rey&lt;/a&gt;&lt;/li&gt;</v>
      </c>
      <c r="X1596" s="15" t="str">
        <f>_xlfn.TEXTBEFORE(_xlfn.TEXTAFTER(CantoralDB[[#This Row],[index.html]],"&gt;"),"&gt;")&amp;"&gt;"</f>
        <v>&lt;a href="canciones/miguel_manzano/aleluya_el_señor_es_nuestro_rey.html"&gt;</v>
      </c>
      <c r="Y1596"/>
      <c r="AC1596" s="1"/>
    </row>
    <row r="1597" spans="1:29" x14ac:dyDescent="0.3">
      <c r="A1597" s="1">
        <f>ROW(CantoralDB[[#This Row],[Título]])-1</f>
        <v>1596</v>
      </c>
      <c r="B1597" s="1" t="s">
        <v>1167</v>
      </c>
      <c r="C1597" s="1"/>
      <c r="E1597" s="1">
        <v>33</v>
      </c>
      <c r="H1597" s="1" t="s">
        <v>529</v>
      </c>
      <c r="J1597" s="1" t="s">
        <v>605</v>
      </c>
      <c r="M1597" s="15" t="s">
        <v>486</v>
      </c>
      <c r="O1597" s="15"/>
      <c r="P1597" s="15"/>
      <c r="Q1597" s="15" t="str" cm="1">
        <f t="array" ref="Q15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7" s="15" t="str" cm="1">
        <f t="array" ref="R15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canciones/miguel_manzano/alma_mia_recobra_tu_calma.html</v>
      </c>
      <c r="T1597" s="1"/>
      <c r="U1597" s="1"/>
      <c r="V1597" s="32" t="s">
        <v>4855</v>
      </c>
      <c r="W15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data-nold="33"&gt;&lt;a href="canciones/miguel_manzano/alma_mia_recobra_tu_calma.html"&gt;Alma mía, recobra tu calma&lt;/a&gt;&lt;/li&gt;</v>
      </c>
      <c r="X1597" s="15" t="str">
        <f>_xlfn.TEXTBEFORE(_xlfn.TEXTAFTER(CantoralDB[[#This Row],[index.html]],"&gt;"),"&gt;")&amp;"&gt;"</f>
        <v>&lt;a href="canciones/miguel_manzano/alma_mia_recobra_tu_calma.html"&gt;</v>
      </c>
      <c r="Y1597"/>
      <c r="AC1597" s="1"/>
    </row>
    <row r="1598" spans="1:29" x14ac:dyDescent="0.3">
      <c r="A1598" s="1">
        <f>ROW(CantoralDB[[#This Row],[Título]])-1</f>
        <v>1597</v>
      </c>
      <c r="B1598" s="1" t="s">
        <v>36</v>
      </c>
      <c r="C1598" s="1" t="s">
        <v>990</v>
      </c>
      <c r="D1598" s="1" t="s">
        <v>686</v>
      </c>
      <c r="E1598" s="1">
        <v>60</v>
      </c>
      <c r="G1598" s="1" t="s">
        <v>208</v>
      </c>
      <c r="H1598" s="1" t="s">
        <v>1027</v>
      </c>
      <c r="I1598" s="1" t="s">
        <v>2945</v>
      </c>
      <c r="J1598" s="1" t="s">
        <v>605</v>
      </c>
      <c r="M1598" s="15" t="s">
        <v>486</v>
      </c>
      <c r="O1598" s="15"/>
      <c r="P1598" s="15"/>
      <c r="Q1598" s="15" t="str" cm="1">
        <f t="array" ref="Q15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8" s="15" t="str" cm="1">
        <f t="array" ref="R15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canciones/miguel_manzano/con_vosotros_esta.html</v>
      </c>
      <c r="T1598" s="1" t="s">
        <v>813</v>
      </c>
      <c r="U1598" s="1"/>
      <c r="V1598" s="32" t="s">
        <v>4856</v>
      </c>
      <c r="W15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data-momento="Comunión" data-nnew="K16" data-nold="60"&gt;&lt;a href="canciones/miguel_manzano/con_vosotros_esta.html"&gt;Con vosotros está&lt;/a&gt;&lt;/li&gt;</v>
      </c>
      <c r="X1598" s="15" t="str">
        <f>_xlfn.TEXTBEFORE(_xlfn.TEXTAFTER(CantoralDB[[#This Row],[index.html]],"&gt;"),"&gt;")&amp;"&gt;"</f>
        <v>&lt;a href="canciones/miguel_manzano/con_vosotros_esta.html"&gt;</v>
      </c>
      <c r="Y1598"/>
      <c r="AC1598" s="1"/>
    </row>
    <row r="1599" spans="1:29" x14ac:dyDescent="0.3">
      <c r="A1599" s="1">
        <f>ROW(CantoralDB[[#This Row],[Título]])-1</f>
        <v>1598</v>
      </c>
      <c r="B1599" s="1" t="s">
        <v>249</v>
      </c>
      <c r="C1599" s="1" t="s">
        <v>201</v>
      </c>
      <c r="D1599" s="1" t="s">
        <v>1401</v>
      </c>
      <c r="G1599" s="1" t="s">
        <v>247</v>
      </c>
      <c r="H1599" s="1" t="s">
        <v>1024</v>
      </c>
      <c r="J1599" s="1" t="s">
        <v>605</v>
      </c>
      <c r="M1599" s="15" t="s">
        <v>486</v>
      </c>
      <c r="O1599" s="15"/>
      <c r="P1599" s="15"/>
      <c r="Q1599" s="15" t="str" cm="1">
        <f t="array" ref="Q15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599" s="15" t="str" cm="1">
        <f t="array" ref="R15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5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canciones/miguel_manzano/cordero_de_dios_(manzano).html</v>
      </c>
      <c r="T1599" s="1"/>
      <c r="U1599" s="1"/>
      <c r="V1599" s="32" t="s">
        <v>4857</v>
      </c>
      <c r="W15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data-momento="Cordero de Dios" data-nnew="J04"&gt;&lt;a href="canciones/miguel_manzano/cordero_de_dios_(manzano).html"&gt;Cordero de Dios (Manzano)&lt;/a&gt;&lt;/li&gt;</v>
      </c>
      <c r="X1599" s="15" t="str">
        <f>_xlfn.TEXTBEFORE(_xlfn.TEXTAFTER(CantoralDB[[#This Row],[index.html]],"&gt;"),"&gt;")&amp;"&gt;"</f>
        <v>&lt;a href="canciones/miguel_manzano/cordero_de_dios_(manzano).html"&gt;</v>
      </c>
      <c r="Y1599"/>
      <c r="AC1599" s="1"/>
    </row>
    <row r="1600" spans="1:29" x14ac:dyDescent="0.3">
      <c r="A1600" s="1">
        <f>ROW(CantoralDB[[#This Row],[Título]])-1</f>
        <v>1599</v>
      </c>
      <c r="B1600" s="1" t="s">
        <v>42</v>
      </c>
      <c r="C1600" s="1" t="s">
        <v>194</v>
      </c>
      <c r="D1600" s="1" t="s">
        <v>1404</v>
      </c>
      <c r="E1600" s="1">
        <v>67</v>
      </c>
      <c r="G1600" s="1" t="s">
        <v>208</v>
      </c>
      <c r="H1600" s="1" t="s">
        <v>529</v>
      </c>
      <c r="I1600" s="1" t="s">
        <v>2948</v>
      </c>
      <c r="J1600" s="1" t="s">
        <v>605</v>
      </c>
      <c r="M1600" s="15" t="s">
        <v>486</v>
      </c>
      <c r="O1600" s="15"/>
      <c r="P1600" s="15"/>
      <c r="Q1600" s="15" t="str" cm="1">
        <f t="array" ref="Q16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0" s="15" t="str" cm="1">
        <f t="array" ref="R16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canciones/miguel_manzano/cuando_el_pobre_nada_tiene.html</v>
      </c>
      <c r="T1600" s="1"/>
      <c r="U1600" s="1"/>
      <c r="V1600" s="32" t="s">
        <v>4858</v>
      </c>
      <c r="W16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data-momento="Ofertorio" data-nnew="F05" data-nold="67"&gt;&lt;a href="canciones/miguel_manzano/cuando_el_pobre_nada_tiene.html"&gt;Cuando el pobre nada tiene&lt;/a&gt;&lt;/li&gt;</v>
      </c>
      <c r="X1600" s="15" t="str">
        <f>_xlfn.TEXTBEFORE(_xlfn.TEXTAFTER(CantoralDB[[#This Row],[index.html]],"&gt;"),"&gt;")&amp;"&gt;"</f>
        <v>&lt;a href="canciones/miguel_manzano/cuando_el_pobre_nada_tiene.html"&gt;</v>
      </c>
      <c r="Y1600"/>
      <c r="AC1600" s="1"/>
    </row>
    <row r="1601" spans="1:29" x14ac:dyDescent="0.3">
      <c r="A1601" s="1">
        <f>ROW(CantoralDB[[#This Row],[Título]])-1</f>
        <v>1600</v>
      </c>
      <c r="B1601" s="1" t="s">
        <v>1190</v>
      </c>
      <c r="C1601" s="1"/>
      <c r="E1601" s="1">
        <v>66</v>
      </c>
      <c r="H1601" s="1" t="s">
        <v>1025</v>
      </c>
      <c r="J1601" s="1" t="s">
        <v>605</v>
      </c>
      <c r="M1601" s="15" t="s">
        <v>486</v>
      </c>
      <c r="O1601" s="15"/>
      <c r="P1601" s="15"/>
      <c r="Q1601" s="15" t="str" cm="1">
        <f t="array" ref="Q16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1" s="15" t="str" cm="1">
        <f t="array" ref="R16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canciones/miguel_manzano/cuando_vendras_señor.html</v>
      </c>
      <c r="T1601" s="1"/>
      <c r="U1601" s="1"/>
      <c r="V1601" s="32" t="s">
        <v>4859</v>
      </c>
      <c r="W16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data-nold="66"&gt;&lt;a href="canciones/miguel_manzano/cuando_vendras_señor.html"&gt;Cuándo vendrás, Señor&lt;/a&gt;&lt;/li&gt;</v>
      </c>
      <c r="X1601" s="15" t="str">
        <f>_xlfn.TEXTBEFORE(_xlfn.TEXTAFTER(CantoralDB[[#This Row],[index.html]],"&gt;"),"&gt;")&amp;"&gt;"</f>
        <v>&lt;a href="canciones/miguel_manzano/cuando_vendras_señor.html"&gt;</v>
      </c>
      <c r="Y1601"/>
      <c r="AC1601" s="1"/>
    </row>
    <row r="1602" spans="1:29" x14ac:dyDescent="0.3">
      <c r="A1602" s="1">
        <f>ROW(CantoralDB[[#This Row],[Título]])-1</f>
        <v>1601</v>
      </c>
      <c r="B1602" s="1" t="s">
        <v>2110</v>
      </c>
      <c r="C1602" s="1"/>
      <c r="E1602" s="1">
        <v>79</v>
      </c>
      <c r="H1602" s="1" t="s">
        <v>1025</v>
      </c>
      <c r="J1602" s="1" t="s">
        <v>605</v>
      </c>
      <c r="M1602" s="15" t="s">
        <v>486</v>
      </c>
      <c r="O1602" s="15"/>
      <c r="P1602" s="15"/>
      <c r="Q1602" s="15" t="str" cm="1">
        <f t="array" ref="Q16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2" s="15" t="str" cm="1">
        <f t="array" ref="R16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canciones/miguel_manzano/desde_lo_hondo.html</v>
      </c>
      <c r="T1602" s="1"/>
      <c r="U1602" s="1"/>
      <c r="V1602" s="32" t="s">
        <v>4860</v>
      </c>
      <c r="W16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data-nold="79"&gt;&lt;a href="canciones/miguel_manzano/desde_lo_hondo.html"&gt;Desde lo hondo&lt;/a&gt;&lt;/li&gt;</v>
      </c>
      <c r="X1602" s="15" t="str">
        <f>_xlfn.TEXTBEFORE(_xlfn.TEXTAFTER(CantoralDB[[#This Row],[index.html]],"&gt;"),"&gt;")&amp;"&gt;"</f>
        <v>&lt;a href="canciones/miguel_manzano/desde_lo_hondo.html"&gt;</v>
      </c>
      <c r="Y1602"/>
      <c r="AC1602" s="1"/>
    </row>
    <row r="1603" spans="1:29" x14ac:dyDescent="0.3">
      <c r="A1603" s="1">
        <f>ROW(CantoralDB[[#This Row],[Título]])-1</f>
        <v>1602</v>
      </c>
      <c r="B1603" s="1" t="s">
        <v>1209</v>
      </c>
      <c r="C1603" s="1"/>
      <c r="E1603" s="1">
        <v>90</v>
      </c>
      <c r="H1603" s="1" t="s">
        <v>1027</v>
      </c>
      <c r="J1603" s="1" t="s">
        <v>605</v>
      </c>
      <c r="M1603" s="15" t="s">
        <v>486</v>
      </c>
      <c r="O1603" s="15"/>
      <c r="P1603" s="15"/>
      <c r="Q1603" s="15" t="str" cm="1">
        <f t="array" ref="Q16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3" s="15" t="str" cm="1">
        <f t="array" ref="R16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canciones/miguel_manzano/el_pueblo_gime_en_el_dolor.html</v>
      </c>
      <c r="T1603" s="1"/>
      <c r="U1603" s="1"/>
      <c r="V1603" s="32" t="s">
        <v>4861</v>
      </c>
      <c r="W16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data-nold="90"&gt;&lt;a href="canciones/miguel_manzano/el_pueblo_gime_en_el_dolor.html"&gt;El pueblo gime en el dolor&lt;/a&gt;&lt;/li&gt;</v>
      </c>
      <c r="X1603" s="15" t="str">
        <f>_xlfn.TEXTBEFORE(_xlfn.TEXTAFTER(CantoralDB[[#This Row],[index.html]],"&gt;"),"&gt;")&amp;"&gt;"</f>
        <v>&lt;a href="canciones/miguel_manzano/el_pueblo_gime_en_el_dolor.html"&gt;</v>
      </c>
      <c r="Y1603"/>
      <c r="AC1603" s="1"/>
    </row>
    <row r="1604" spans="1:29" x14ac:dyDescent="0.3">
      <c r="A1604" s="1">
        <f>ROW(CantoralDB[[#This Row],[Título]])-1</f>
        <v>1603</v>
      </c>
      <c r="B1604" s="1" t="s">
        <v>66</v>
      </c>
      <c r="C1604" s="1" t="s">
        <v>200</v>
      </c>
      <c r="D1604" s="1" t="s">
        <v>653</v>
      </c>
      <c r="E1604" s="1">
        <v>113</v>
      </c>
      <c r="G1604" s="1" t="s">
        <v>208</v>
      </c>
      <c r="H1604" s="1" t="s">
        <v>529</v>
      </c>
      <c r="I1604" s="1" t="s">
        <v>2948</v>
      </c>
      <c r="J1604" s="1" t="s">
        <v>605</v>
      </c>
      <c r="M1604" s="15" t="s">
        <v>486</v>
      </c>
      <c r="O1604" s="15"/>
      <c r="P1604" s="15"/>
      <c r="Q1604" s="15" t="str" cm="1">
        <f t="array" ref="Q16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4" s="15" t="str" cm="1">
        <f t="array" ref="R16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canciones/miguel_manzano/este_es_el_dia_en_que_actuo_el_señor.html</v>
      </c>
      <c r="T1604" s="1" t="s">
        <v>831</v>
      </c>
      <c r="U1604" s="1"/>
      <c r="V1604" s="32" t="s">
        <v>4862</v>
      </c>
      <c r="W16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data-momento="Antífonas" data-nnew="D18" data-nold="113"&gt;&lt;a href="canciones/miguel_manzano/este_es_el_dia_en_que_actuo_el_señor.html"&gt;Este es el día en que actuó el Señor&lt;/a&gt;&lt;/li&gt;</v>
      </c>
      <c r="X1604" s="15" t="str">
        <f>_xlfn.TEXTBEFORE(_xlfn.TEXTAFTER(CantoralDB[[#This Row],[index.html]],"&gt;"),"&gt;")&amp;"&gt;"</f>
        <v>&lt;a href="canciones/miguel_manzano/este_es_el_dia_en_que_actuo_el_señor.html"&gt;</v>
      </c>
      <c r="Y1604"/>
      <c r="AC1604" s="1"/>
    </row>
    <row r="1605" spans="1:29" x14ac:dyDescent="0.3">
      <c r="A1605" s="1">
        <f>ROW(CantoralDB[[#This Row],[Título]])-1</f>
        <v>1604</v>
      </c>
      <c r="B1605" s="1" t="s">
        <v>1271</v>
      </c>
      <c r="C1605" s="1"/>
      <c r="E1605" s="1">
        <v>155</v>
      </c>
      <c r="I1605" s="1" t="s">
        <v>5061</v>
      </c>
      <c r="J1605" s="1" t="s">
        <v>605</v>
      </c>
      <c r="M1605" s="15" t="s">
        <v>486</v>
      </c>
      <c r="O1605" s="15"/>
      <c r="P1605" s="15"/>
      <c r="Q1605" s="15" t="str" cm="1">
        <f t="array" ref="Q16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5" s="15" t="str" cm="1">
        <f t="array" ref="R16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canciones/miguel_manzano/la_tierra_que_hoy_pisamos.html</v>
      </c>
      <c r="T1605" s="1"/>
      <c r="U1605" s="1"/>
      <c r="V1605" s="15"/>
      <c r="W16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data-nold="155"&gt;&lt;a href="canciones/miguel_manzano/la_tierra_que_hoy_pisamos.html"&gt;La tierra que hoy pisamos&lt;/a&gt;&lt;/li&gt;</v>
      </c>
      <c r="X1605" s="15" t="str">
        <f>_xlfn.TEXTBEFORE(_xlfn.TEXTAFTER(CantoralDB[[#This Row],[index.html]],"&gt;"),"&gt;")&amp;"&gt;"</f>
        <v>&lt;a href="canciones/miguel_manzano/la_tierra_que_hoy_pisamos.html"&gt;</v>
      </c>
      <c r="Y1605"/>
      <c r="AC1605" s="1"/>
    </row>
    <row r="1606" spans="1:29" x14ac:dyDescent="0.3">
      <c r="A1606" s="1">
        <f>ROW(CantoralDB[[#This Row],[Título]])-1</f>
        <v>1605</v>
      </c>
      <c r="B1606" s="1" t="s">
        <v>1268</v>
      </c>
      <c r="C1606" s="1"/>
      <c r="E1606" s="1">
        <v>151</v>
      </c>
      <c r="I1606" s="1" t="s">
        <v>5061</v>
      </c>
      <c r="J1606" s="1" t="s">
        <v>605</v>
      </c>
      <c r="M1606" s="15" t="s">
        <v>486</v>
      </c>
      <c r="O1606" s="15"/>
      <c r="P1606" s="15"/>
      <c r="Q1606" s="15" t="str" cm="1">
        <f t="array" ref="Q16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6" s="15" t="str" cm="1">
        <f t="array" ref="R16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canciones/miguel_manzano/levanto_mis_ojos_a_los_montes.html</v>
      </c>
      <c r="T1606" s="1"/>
      <c r="U1606" s="1"/>
      <c r="V1606" s="32" t="s">
        <v>4866</v>
      </c>
      <c r="W16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data-nold="151"&gt;&lt;a href="canciones/miguel_manzano/levanto_mis_ojos_a_los_montes.html"&gt;Levanto mis ojos a los montes&lt;/a&gt;&lt;/li&gt;</v>
      </c>
      <c r="X1606" s="15" t="str">
        <f>_xlfn.TEXTBEFORE(_xlfn.TEXTAFTER(CantoralDB[[#This Row],[index.html]],"&gt;"),"&gt;")&amp;"&gt;"</f>
        <v>&lt;a href="canciones/miguel_manzano/levanto_mis_ojos_a_los_montes.html"&gt;</v>
      </c>
      <c r="Y1606"/>
      <c r="AC1606" s="1"/>
    </row>
    <row r="1607" spans="1:29" x14ac:dyDescent="0.3">
      <c r="A1607" s="1">
        <f>ROW(CantoralDB[[#This Row],[Título]])-1</f>
        <v>1606</v>
      </c>
      <c r="B1607" s="1" t="s">
        <v>94</v>
      </c>
      <c r="C1607" s="1" t="s">
        <v>990</v>
      </c>
      <c r="D1607" s="1" t="s">
        <v>716</v>
      </c>
      <c r="E1607" s="1">
        <v>166</v>
      </c>
      <c r="G1607" s="1" t="s">
        <v>208</v>
      </c>
      <c r="H1607" s="1" t="s">
        <v>1024</v>
      </c>
      <c r="J1607" s="1" t="s">
        <v>605</v>
      </c>
      <c r="M1607" s="15" t="s">
        <v>486</v>
      </c>
      <c r="O1607" s="15"/>
      <c r="P1607" s="15"/>
      <c r="Q1607" s="15" t="str" cm="1">
        <f t="array" ref="Q16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7" s="15" t="str" cm="1">
        <f t="array" ref="R16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canciones/miguel_manzano/mirad_al_suelo.html</v>
      </c>
      <c r="T1607" s="1" t="s">
        <v>841</v>
      </c>
      <c r="U1607" s="1"/>
      <c r="V1607" s="32" t="s">
        <v>4863</v>
      </c>
      <c r="W16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data-momento="Comunión" data-nnew="K46" data-nold="166"&gt;&lt;a href="canciones/miguel_manzano/mirad_al_suelo.html"&gt;Mirad al suelo&lt;/a&gt;&lt;/li&gt;</v>
      </c>
      <c r="X1607" s="15" t="str">
        <f>_xlfn.TEXTBEFORE(_xlfn.TEXTAFTER(CantoralDB[[#This Row],[index.html]],"&gt;"),"&gt;")&amp;"&gt;"</f>
        <v>&lt;a href="canciones/miguel_manzano/mirad_al_suelo.html"&gt;</v>
      </c>
      <c r="Y1607"/>
      <c r="AC1607" s="1"/>
    </row>
    <row r="1608" spans="1:29" x14ac:dyDescent="0.3">
      <c r="A1608" s="1">
        <f>ROW(CantoralDB[[#This Row],[Título]])-1</f>
        <v>1607</v>
      </c>
      <c r="B1608" s="1" t="s">
        <v>1299</v>
      </c>
      <c r="C1608" s="1"/>
      <c r="E1608" s="1">
        <v>206</v>
      </c>
      <c r="I1608" s="1" t="s">
        <v>5061</v>
      </c>
      <c r="J1608" s="1" t="s">
        <v>605</v>
      </c>
      <c r="M1608" s="15" t="s">
        <v>486</v>
      </c>
      <c r="O1608" s="15"/>
      <c r="P1608" s="15"/>
      <c r="Q1608" s="15" t="str" cm="1">
        <f t="array" ref="Q16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8" s="15" t="str" cm="1">
        <f t="array" ref="R16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canciones/miguel_manzano/porque_el_mundo_esta_lleno_de_misterios.html</v>
      </c>
      <c r="T1608" s="1"/>
      <c r="U1608" s="1"/>
      <c r="V1608" s="15"/>
      <c r="W16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data-nold="206"&gt;&lt;a href="canciones/miguel_manzano/porque_el_mundo_esta_lleno_de_misterios.html"&gt;Porque el mundo está lleno de misterios&lt;/a&gt;&lt;/li&gt;</v>
      </c>
      <c r="X1608" s="15" t="str">
        <f>_xlfn.TEXTBEFORE(_xlfn.TEXTAFTER(CantoralDB[[#This Row],[index.html]],"&gt;"),"&gt;")&amp;"&gt;"</f>
        <v>&lt;a href="canciones/miguel_manzano/porque_el_mundo_esta_lleno_de_misterios.html"&gt;</v>
      </c>
      <c r="Y1608"/>
      <c r="AC1608" s="1"/>
    </row>
    <row r="1609" spans="1:29" x14ac:dyDescent="0.3">
      <c r="A1609" s="1">
        <f>ROW(CantoralDB[[#This Row],[Título]])-1</f>
        <v>1608</v>
      </c>
      <c r="B1609" s="1" t="s">
        <v>119</v>
      </c>
      <c r="C1609" s="1" t="s">
        <v>190</v>
      </c>
      <c r="D1609" s="1" t="s">
        <v>745</v>
      </c>
      <c r="E1609" s="1">
        <v>221</v>
      </c>
      <c r="G1609" s="1" t="s">
        <v>208</v>
      </c>
      <c r="H1609" s="1" t="s">
        <v>1026</v>
      </c>
      <c r="J1609" s="1" t="s">
        <v>605</v>
      </c>
      <c r="M1609" s="15" t="s">
        <v>486</v>
      </c>
      <c r="O1609" s="15"/>
      <c r="P1609" s="15"/>
      <c r="Q1609" s="15" t="str" cm="1">
        <f t="array" ref="Q16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09" s="15" t="str" cm="1">
        <f t="array" ref="R16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canciones/miguel_manzano/que_alegria_cuando_me_dijeron.html</v>
      </c>
      <c r="T1609" s="1" t="s">
        <v>854</v>
      </c>
      <c r="U1609" s="1"/>
      <c r="V1609" s="32" t="s">
        <v>4864</v>
      </c>
      <c r="W16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data-momento="Entrada" data-nnew="A28" data-nold="221"&gt;&lt;a href="canciones/miguel_manzano/que_alegria_cuando_me_dijeron.html"&gt;Qué alegría cuando me dijeron&lt;/a&gt;&lt;/li&gt;</v>
      </c>
      <c r="X1609" s="15" t="str">
        <f>_xlfn.TEXTBEFORE(_xlfn.TEXTAFTER(CantoralDB[[#This Row],[index.html]],"&gt;"),"&gt;")&amp;"&gt;"</f>
        <v>&lt;a href="canciones/miguel_manzano/que_alegria_cuando_me_dijeron.html"&gt;</v>
      </c>
      <c r="Y1609"/>
      <c r="AC1609" s="1"/>
    </row>
    <row r="1610" spans="1:29" x14ac:dyDescent="0.3">
      <c r="A1610" s="1">
        <f>ROW(CantoralDB[[#This Row],[Título]])-1</f>
        <v>1609</v>
      </c>
      <c r="B1610" s="1" t="s">
        <v>1314</v>
      </c>
      <c r="C1610" s="1"/>
      <c r="E1610" s="1">
        <v>236</v>
      </c>
      <c r="I1610" s="1" t="s">
        <v>5061</v>
      </c>
      <c r="J1610" s="1" t="s">
        <v>605</v>
      </c>
      <c r="M1610" s="15" t="s">
        <v>486</v>
      </c>
      <c r="O1610" s="15"/>
      <c r="P1610" s="15"/>
      <c r="Q1610" s="15" t="str" cm="1">
        <f t="array" ref="Q16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10" s="15" t="str" cm="1">
        <f t="array" ref="R16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canciones/miguel_manzano/sacareis_aguas_con_gozo.html</v>
      </c>
      <c r="T1610" s="1"/>
      <c r="U1610" s="1"/>
      <c r="V1610" s="15"/>
      <c r="W16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data-nold="236"&gt;&lt;a href="canciones/miguel_manzano/sacareis_aguas_con_gozo.html"&gt;Sacaréis aguas con gozo&lt;/a&gt;&lt;/li&gt;</v>
      </c>
      <c r="X1610" s="15" t="str">
        <f>_xlfn.TEXTBEFORE(_xlfn.TEXTAFTER(CantoralDB[[#This Row],[index.html]],"&gt;"),"&gt;")&amp;"&gt;"</f>
        <v>&lt;a href="canciones/miguel_manzano/sacareis_aguas_con_gozo.html"&gt;</v>
      </c>
      <c r="Y1610"/>
      <c r="AC1610" s="1"/>
    </row>
    <row r="1611" spans="1:29" x14ac:dyDescent="0.3">
      <c r="A1611" s="1">
        <f>ROW(CantoralDB[[#This Row],[Título]])-1</f>
        <v>1610</v>
      </c>
      <c r="B1611" s="1" t="s">
        <v>149</v>
      </c>
      <c r="C1611" s="1" t="s">
        <v>200</v>
      </c>
      <c r="D1611" s="1" t="s">
        <v>673</v>
      </c>
      <c r="E1611" s="1">
        <v>264</v>
      </c>
      <c r="G1611" s="1" t="s">
        <v>208</v>
      </c>
      <c r="H1611" s="1" t="s">
        <v>1025</v>
      </c>
      <c r="I1611" s="1" t="s">
        <v>2948</v>
      </c>
      <c r="J1611" s="1" t="s">
        <v>605</v>
      </c>
      <c r="M1611" s="15" t="s">
        <v>486</v>
      </c>
      <c r="O1611" s="15"/>
      <c r="P1611" s="15"/>
      <c r="Q1611" s="15" t="str" cm="1">
        <f t="array" ref="Q16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miguel_manzano</v>
      </c>
      <c r="R1611" s="15" t="str" cm="1">
        <f t="array" ref="R16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canciones/miguel_manzano/tu_reino_es_vida.html</v>
      </c>
      <c r="T1611" s="1"/>
      <c r="U1611" s="1"/>
      <c r="V1611" s="32" t="s">
        <v>4865</v>
      </c>
      <c r="W16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Manzano" data-momento="Antífonas" data-nnew="D38" data-nold="264"&gt;&lt;a href="canciones/miguel_manzano/tu_reino_es_vida.html"&gt;Tu Reino es vida&lt;/a&gt;&lt;/li&gt;</v>
      </c>
      <c r="X1611" s="15" t="str">
        <f>_xlfn.TEXTBEFORE(_xlfn.TEXTAFTER(CantoralDB[[#This Row],[index.html]],"&gt;"),"&gt;")&amp;"&gt;"</f>
        <v>&lt;a href="canciones/miguel_manzano/tu_reino_es_vida.html"&gt;</v>
      </c>
      <c r="Y1611"/>
      <c r="AC1611" s="1"/>
    </row>
    <row r="1612" spans="1:29" x14ac:dyDescent="0.3">
      <c r="A1612" s="1">
        <f>ROW(CantoralDB[[#This Row],[Título]])-1</f>
        <v>1611</v>
      </c>
      <c r="B1612" s="1" t="s">
        <v>986</v>
      </c>
      <c r="C1612" s="1" t="s">
        <v>193</v>
      </c>
      <c r="D1612" s="1" t="s">
        <v>1372</v>
      </c>
      <c r="G1612" s="1" t="s">
        <v>988</v>
      </c>
      <c r="H1612" s="1" t="s">
        <v>1026</v>
      </c>
      <c r="J1612" s="1" t="s">
        <v>605</v>
      </c>
      <c r="M1612" s="15" t="s">
        <v>792</v>
      </c>
      <c r="O1612" s="15"/>
      <c r="P1612" s="15"/>
      <c r="Q1612" s="15" t="str" cm="1">
        <f t="array" ref="Q16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2" s="15" t="str" cm="1">
        <f t="array" ref="R16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canciones/nsb/aleluya_de_adviento.html</v>
      </c>
      <c r="T1612" s="1"/>
      <c r="U1612" s="1"/>
      <c r="V1612" s="32" t="s">
        <v>4775</v>
      </c>
      <c r="W16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data-momento="Aleluya" data-nnew="E09"&gt;&lt;a href="canciones/nsb/aleluya_de_adviento.html"&gt;Aleluya de Adviento&lt;/a&gt;&lt;/li&gt;</v>
      </c>
      <c r="X1612" s="15" t="str">
        <f>_xlfn.TEXTBEFORE(_xlfn.TEXTAFTER(CantoralDB[[#This Row],[index.html]],"&gt;"),"&gt;")&amp;"&gt;"</f>
        <v>&lt;a href="canciones/nsb/aleluya_de_adviento.html"&gt;</v>
      </c>
      <c r="Y1612"/>
      <c r="AC1612" s="1"/>
    </row>
    <row r="1613" spans="1:29" x14ac:dyDescent="0.3">
      <c r="A1613" s="1">
        <f>ROW(CantoralDB[[#This Row],[Título]])-1</f>
        <v>1612</v>
      </c>
      <c r="B1613" s="1" t="s">
        <v>779</v>
      </c>
      <c r="C1613" s="1" t="s">
        <v>201</v>
      </c>
      <c r="D1613" s="1" t="s">
        <v>1398</v>
      </c>
      <c r="G1613" s="1" t="s">
        <v>531</v>
      </c>
      <c r="H1613" s="1" t="s">
        <v>472</v>
      </c>
      <c r="I1613" s="1" t="s">
        <v>2948</v>
      </c>
      <c r="J1613" s="1" t="s">
        <v>605</v>
      </c>
      <c r="M1613" s="15" t="s">
        <v>792</v>
      </c>
      <c r="O1613" s="15"/>
      <c r="P1613" s="15"/>
      <c r="Q1613" s="15" t="str" cm="1">
        <f t="array" ref="Q16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3" s="15" t="str" cm="1">
        <f t="array" ref="R16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canciones/nsb/cordero_de_dios_(algete).html</v>
      </c>
      <c r="T1613" s="1"/>
      <c r="U1613" s="1"/>
      <c r="V1613" s="15"/>
      <c r="W16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data-momento="Cordero de Dios" data-nnew="J01"&gt;&lt;a href="canciones/nsb/cordero_de_dios_(algete).html"&gt;Cordero de Dios (Algete)&lt;/a&gt;&lt;/li&gt;</v>
      </c>
      <c r="X1613" s="15" t="str">
        <f>_xlfn.TEXTBEFORE(_xlfn.TEXTAFTER(CantoralDB[[#This Row],[index.html]],"&gt;"),"&gt;")&amp;"&gt;"</f>
        <v>&lt;a href="canciones/nsb/cordero_de_dios_(algete).html"&gt;</v>
      </c>
      <c r="Y1613"/>
      <c r="AC1613" s="1"/>
    </row>
    <row r="1614" spans="1:29" x14ac:dyDescent="0.3">
      <c r="A1614" s="1">
        <f>ROW(CantoralDB[[#This Row],[Título]])-1</f>
        <v>1613</v>
      </c>
      <c r="B1614" s="1" t="s">
        <v>38</v>
      </c>
      <c r="C1614" s="1" t="s">
        <v>201</v>
      </c>
      <c r="D1614" s="1" t="s">
        <v>1400</v>
      </c>
      <c r="E1614" s="1">
        <v>415</v>
      </c>
      <c r="G1614" s="1" t="s">
        <v>208</v>
      </c>
      <c r="H1614" s="1" t="s">
        <v>1027</v>
      </c>
      <c r="J1614" s="1" t="s">
        <v>605</v>
      </c>
      <c r="M1614" s="15" t="s">
        <v>792</v>
      </c>
      <c r="O1614" s="15"/>
      <c r="P1614" s="15"/>
      <c r="Q1614" s="15" t="str" cm="1">
        <f t="array" ref="Q16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4" s="15" t="str" cm="1">
        <f t="array" ref="R16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canciones/nsb/cordero_de_dios_(boliviano).html</v>
      </c>
      <c r="T1614" s="1"/>
      <c r="U1614" s="1"/>
      <c r="V1614" s="15"/>
      <c r="W16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data-momento="Cordero de Dios" data-nnew="J03" data-nold="415"&gt;&lt;a href="canciones/nsb/cordero_de_dios_(boliviano).html"&gt;Cordero de Dios (boliviano)&lt;/a&gt;&lt;/li&gt;</v>
      </c>
      <c r="X1614" s="15" t="str">
        <f>_xlfn.TEXTBEFORE(_xlfn.TEXTAFTER(CantoralDB[[#This Row],[index.html]],"&gt;"),"&gt;")&amp;"&gt;"</f>
        <v>&lt;a href="canciones/nsb/cordero_de_dios_(boliviano).html"&gt;</v>
      </c>
      <c r="Y1614"/>
      <c r="AC1614" s="1"/>
    </row>
    <row r="1615" spans="1:29" x14ac:dyDescent="0.3">
      <c r="A1615" s="1">
        <f>ROW(CantoralDB[[#This Row],[Título]])-1</f>
        <v>1614</v>
      </c>
      <c r="B1615" s="1" t="s">
        <v>593</v>
      </c>
      <c r="C1615" s="1" t="s">
        <v>199</v>
      </c>
      <c r="D1615" s="1" t="s">
        <v>1408</v>
      </c>
      <c r="G1615" s="1" t="s">
        <v>592</v>
      </c>
      <c r="H1615" s="1" t="s">
        <v>529</v>
      </c>
      <c r="I1615" s="1" t="s">
        <v>2948</v>
      </c>
      <c r="J1615" s="1" t="s">
        <v>605</v>
      </c>
      <c r="M1615" s="15" t="s">
        <v>792</v>
      </c>
      <c r="O1615" s="15"/>
      <c r="P1615" s="15"/>
      <c r="Q1615" s="15" t="str" cm="1">
        <f t="array" ref="Q16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5" s="15" t="str" cm="1">
        <f t="array" ref="R16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canciones/nsb/dulce_muchacha_humilde_de_palestina.html</v>
      </c>
      <c r="T1615" s="1"/>
      <c r="U1615" s="1"/>
      <c r="V1615" s="32" t="s">
        <v>5199</v>
      </c>
      <c r="W16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data-momento="María" data-nnew="M03"&gt;&lt;a href="canciones/nsb/dulce_muchacha_humilde_de_palestina.html"&gt;Dulce muchacha humilde de Palestina&lt;/a&gt;&lt;/li&gt;</v>
      </c>
      <c r="X1615" s="15" t="str">
        <f>_xlfn.TEXTBEFORE(_xlfn.TEXTAFTER(CantoralDB[[#This Row],[index.html]],"&gt;"),"&gt;")&amp;"&gt;"</f>
        <v>&lt;a href="canciones/nsb/dulce_muchacha_humilde_de_palestina.html"&gt;</v>
      </c>
      <c r="Y1615"/>
      <c r="AC1615" s="1"/>
    </row>
    <row r="1616" spans="1:29" x14ac:dyDescent="0.3">
      <c r="A1616" s="1">
        <f>ROW(CantoralDB[[#This Row],[Título]])-1</f>
        <v>1615</v>
      </c>
      <c r="B1616" s="1" t="s">
        <v>51</v>
      </c>
      <c r="C1616" s="1" t="s">
        <v>990</v>
      </c>
      <c r="D1616" s="1" t="s">
        <v>697</v>
      </c>
      <c r="E1616" s="1">
        <v>95</v>
      </c>
      <c r="G1616" s="1" t="s">
        <v>208</v>
      </c>
      <c r="H1616" s="1" t="s">
        <v>1024</v>
      </c>
      <c r="J1616" s="1" t="s">
        <v>605</v>
      </c>
      <c r="M1616" s="15" t="s">
        <v>792</v>
      </c>
      <c r="O1616" s="15"/>
      <c r="P1616" s="15"/>
      <c r="Q1616" s="15" t="str" cm="1">
        <f t="array" ref="Q16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6" s="15" t="str" cm="1">
        <f t="array" ref="R16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canciones/nsb/el_señor_dios_nos_amo.html</v>
      </c>
      <c r="T1616" s="1" t="s">
        <v>822</v>
      </c>
      <c r="U1616" s="1"/>
      <c r="V1616" s="32" t="s">
        <v>5200</v>
      </c>
      <c r="W16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data-nnew="K27" data-nold="95"&gt;&lt;a href="canciones/nsb/el_señor_dios_nos_amo.html"&gt;El Señor Dios nos amó&lt;/a&gt;&lt;/li&gt;</v>
      </c>
      <c r="X1616" s="15" t="str">
        <f>_xlfn.TEXTBEFORE(_xlfn.TEXTAFTER(CantoralDB[[#This Row],[index.html]],"&gt;"),"&gt;")&amp;"&gt;"</f>
        <v>&lt;a href="canciones/nsb/el_señor_dios_nos_amo.html"&gt;</v>
      </c>
      <c r="Y1616"/>
      <c r="AC1616" s="1"/>
    </row>
    <row r="1617" spans="1:29" x14ac:dyDescent="0.3">
      <c r="A1617" s="1">
        <f>ROW(CantoralDB[[#This Row],[Título]])-1</f>
        <v>1616</v>
      </c>
      <c r="B1617" s="1" t="s">
        <v>1479</v>
      </c>
      <c r="C1617" s="1"/>
      <c r="E1617" s="1">
        <v>314</v>
      </c>
      <c r="H1617" s="1" t="s">
        <v>529</v>
      </c>
      <c r="J1617" s="1" t="s">
        <v>605</v>
      </c>
      <c r="M1617" s="15" t="s">
        <v>792</v>
      </c>
      <c r="N1617" s="14"/>
      <c r="O1617" s="15"/>
      <c r="P1617" s="15"/>
      <c r="Q1617" s="15" t="str" cm="1">
        <f t="array" ref="Q16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7" s="15" t="str" cm="1">
        <f t="array" ref="R16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canciones/nsb/el_tren_del_evangelio.html</v>
      </c>
      <c r="T1617" s="1"/>
      <c r="U1617" s="1"/>
      <c r="V1617" s="32" t="s">
        <v>1478</v>
      </c>
      <c r="W16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data-nold="314"&gt;&lt;a href="canciones/nsb/el_tren_del_evangelio.html"&gt;El tren del Evangelio&lt;/a&gt;&lt;/li&gt;</v>
      </c>
      <c r="X1617" s="15" t="str">
        <f>_xlfn.TEXTBEFORE(_xlfn.TEXTAFTER(CantoralDB[[#This Row],[index.html]],"&gt;"),"&gt;")&amp;"&gt;"</f>
        <v>&lt;a href="canciones/nsb/el_tren_del_evangelio.html"&gt;</v>
      </c>
      <c r="Y1617"/>
      <c r="AC1617" s="1"/>
    </row>
    <row r="1618" spans="1:29" x14ac:dyDescent="0.3">
      <c r="A1618" s="1">
        <f>ROW(CantoralDB[[#This Row],[Título]])-1</f>
        <v>1617</v>
      </c>
      <c r="B1618" s="1" t="s">
        <v>56</v>
      </c>
      <c r="C1618" s="1" t="s">
        <v>196</v>
      </c>
      <c r="D1618" s="1" t="s">
        <v>1414</v>
      </c>
      <c r="E1618" s="1">
        <v>107</v>
      </c>
      <c r="G1618" s="1" t="s">
        <v>208</v>
      </c>
      <c r="H1618" s="1" t="s">
        <v>1027</v>
      </c>
      <c r="J1618" s="1" t="s">
        <v>605</v>
      </c>
      <c r="M1618" s="15" t="s">
        <v>792</v>
      </c>
      <c r="O1618" s="15"/>
      <c r="P1618" s="15"/>
      <c r="Q1618" s="15" t="str" cm="1">
        <f t="array" ref="Q16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8" s="15" t="str" cm="1">
        <f t="array" ref="R16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canciones/nsb/en_el_mar_he_oido_hoy.html</v>
      </c>
      <c r="T1618" s="1"/>
      <c r="U1618" s="1"/>
      <c r="V1618" s="32" t="s">
        <v>5201</v>
      </c>
      <c r="W16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data-momento="Padrenuestro" data-nnew="H01" data-nold="107"&gt;&lt;a href="canciones/nsb/en_el_mar_he_oido_hoy.html"&gt;En el mar he oído hoy&lt;/a&gt;&lt;/li&gt;</v>
      </c>
      <c r="X1618" s="15" t="str">
        <f>_xlfn.TEXTBEFORE(_xlfn.TEXTAFTER(CantoralDB[[#This Row],[index.html]],"&gt;"),"&gt;")&amp;"&gt;"</f>
        <v>&lt;a href="canciones/nsb/en_el_mar_he_oido_hoy.html"&gt;</v>
      </c>
      <c r="Y1618"/>
      <c r="AC1618" s="1"/>
    </row>
    <row r="1619" spans="1:29" x14ac:dyDescent="0.3">
      <c r="A1619" s="1">
        <f>ROW(CantoralDB[[#This Row],[Título]])-1</f>
        <v>1618</v>
      </c>
      <c r="B1619" s="1" t="s">
        <v>57</v>
      </c>
      <c r="C1619" s="1" t="s">
        <v>190</v>
      </c>
      <c r="D1619" s="1" t="s">
        <v>734</v>
      </c>
      <c r="E1619" s="1">
        <v>101</v>
      </c>
      <c r="G1619" s="1" t="s">
        <v>208</v>
      </c>
      <c r="H1619" s="1" t="s">
        <v>1024</v>
      </c>
      <c r="I1619" s="1" t="s">
        <v>2948</v>
      </c>
      <c r="J1619" s="1" t="s">
        <v>605</v>
      </c>
      <c r="M1619" s="15" t="s">
        <v>792</v>
      </c>
      <c r="O1619" s="15"/>
      <c r="P1619" s="15"/>
      <c r="Q1619" s="15" t="str" cm="1">
        <f t="array" ref="Q16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19" s="15" t="str" cm="1">
        <f t="array" ref="R16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canciones/nsb/en_el_señor_estamos_congregados.html</v>
      </c>
      <c r="T1619" s="1"/>
      <c r="U1619" s="1"/>
      <c r="V1619" s="15"/>
      <c r="W16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data-momento="Entrada" data-nnew="A17" data-nold="101"&gt;&lt;a href="canciones/nsb/en_el_señor_estamos_congregados.html"&gt;En el Señor estamos congregados&lt;/a&gt;&lt;/li&gt;</v>
      </c>
      <c r="X1619" s="15" t="str">
        <f>_xlfn.TEXTBEFORE(_xlfn.TEXTAFTER(CantoralDB[[#This Row],[index.html]],"&gt;"),"&gt;")&amp;"&gt;"</f>
        <v>&lt;a href="canciones/nsb/en_el_señor_estamos_congregados.html"&gt;</v>
      </c>
      <c r="Y1619"/>
      <c r="AC1619" s="1"/>
    </row>
    <row r="1620" spans="1:29" x14ac:dyDescent="0.3">
      <c r="A1620" s="1">
        <f>ROW(CantoralDB[[#This Row],[Título]])-1</f>
        <v>1619</v>
      </c>
      <c r="B1620" s="1" t="s">
        <v>1249</v>
      </c>
      <c r="C1620" s="1"/>
      <c r="E1620" s="1">
        <v>118</v>
      </c>
      <c r="H1620" s="1" t="s">
        <v>529</v>
      </c>
      <c r="J1620" s="1" t="s">
        <v>605</v>
      </c>
      <c r="M1620" s="15" t="s">
        <v>792</v>
      </c>
      <c r="O1620" s="15"/>
      <c r="P1620" s="15"/>
      <c r="Q1620" s="15" t="str" cm="1">
        <f t="array" ref="Q16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0" s="15" t="str" cm="1">
        <f t="array" ref="R16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canciones/nsb/esta_es_la_noche_de_la_luz.html</v>
      </c>
      <c r="T1620" s="1"/>
      <c r="U1620" s="1"/>
      <c r="V1620" s="15"/>
      <c r="W16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data-nold="118"&gt;&lt;a href="canciones/nsb/esta_es_la_noche_de_la_luz.html"&gt;Esta es la noche de la luz&lt;/a&gt;&lt;/li&gt;</v>
      </c>
      <c r="X1620" s="15" t="str">
        <f>_xlfn.TEXTBEFORE(_xlfn.TEXTAFTER(CantoralDB[[#This Row],[index.html]],"&gt;"),"&gt;")&amp;"&gt;"</f>
        <v>&lt;a href="canciones/nsb/esta_es_la_noche_de_la_luz.html"&gt;</v>
      </c>
      <c r="Y1620"/>
      <c r="AC1620" s="1"/>
    </row>
    <row r="1621" spans="1:29" x14ac:dyDescent="0.3">
      <c r="A1621" s="1">
        <f>ROW(CantoralDB[[#This Row],[Título]])-1</f>
        <v>1620</v>
      </c>
      <c r="B1621" s="1" t="s">
        <v>69</v>
      </c>
      <c r="C1621" s="1" t="s">
        <v>192</v>
      </c>
      <c r="D1621" s="1" t="s">
        <v>1421</v>
      </c>
      <c r="E1621" s="1">
        <v>303</v>
      </c>
      <c r="G1621" s="1" t="s">
        <v>208</v>
      </c>
      <c r="H1621" s="1" t="s">
        <v>529</v>
      </c>
      <c r="J1621" s="1" t="s">
        <v>605</v>
      </c>
      <c r="M1621" s="15" t="s">
        <v>792</v>
      </c>
      <c r="O1621" s="15"/>
      <c r="P1621" s="15"/>
      <c r="Q1621" s="15" t="str" cm="1">
        <f t="array" ref="Q16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1" s="15" t="str" cm="1">
        <f t="array" ref="R16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canciones/nsb/gloria_y_alabanza.html</v>
      </c>
      <c r="T1621" s="1"/>
      <c r="U1621" s="1"/>
      <c r="V1621" s="32" t="s">
        <v>5309</v>
      </c>
      <c r="W16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data-momento="Gloria" data-nnew="C04" data-nold="303"&gt;&lt;a href="canciones/nsb/gloria_y_alabanza.html"&gt;Gloria y alabanza&lt;/a&gt;&lt;/li&gt;</v>
      </c>
      <c r="X1621" s="15" t="str">
        <f>_xlfn.TEXTBEFORE(_xlfn.TEXTAFTER(CantoralDB[[#This Row],[index.html]],"&gt;"),"&gt;")&amp;"&gt;"</f>
        <v>&lt;a href="canciones/nsb/gloria_y_alabanza.html"&gt;</v>
      </c>
      <c r="Y1621"/>
      <c r="AC1621" s="1"/>
    </row>
    <row r="1622" spans="1:29" x14ac:dyDescent="0.3">
      <c r="A1622" s="1">
        <f>ROW(CantoralDB[[#This Row],[Título]])-1</f>
        <v>1621</v>
      </c>
      <c r="B1622" s="1" t="s">
        <v>1261</v>
      </c>
      <c r="C1622" s="1"/>
      <c r="E1622" s="1">
        <v>135</v>
      </c>
      <c r="H1622" s="1" t="s">
        <v>529</v>
      </c>
      <c r="J1622" s="1" t="s">
        <v>605</v>
      </c>
      <c r="M1622" s="15" t="s">
        <v>792</v>
      </c>
      <c r="O1622" s="15"/>
      <c r="P1622" s="15"/>
      <c r="Q1622" s="15" t="str" cm="1">
        <f t="array" ref="Q16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2" s="15" t="str" cm="1">
        <f t="array" ref="R16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canciones/nsb/hoy_empieza_una_nueva_era.html</v>
      </c>
      <c r="T1622" s="1"/>
      <c r="U1622" s="1"/>
      <c r="V1622" s="32" t="s">
        <v>2976</v>
      </c>
      <c r="W16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data-nold="135"&gt;&lt;a href="canciones/nsb/hoy_empieza_una_nueva_era.html"&gt;Hoy empieza una nueva era&lt;/a&gt;&lt;/li&gt;</v>
      </c>
      <c r="X1622" s="15" t="str">
        <f>_xlfn.TEXTBEFORE(_xlfn.TEXTAFTER(CantoralDB[[#This Row],[index.html]],"&gt;"),"&gt;")&amp;"&gt;"</f>
        <v>&lt;a href="canciones/nsb/hoy_empieza_una_nueva_era.html"&gt;</v>
      </c>
      <c r="Y1622"/>
      <c r="AC1622" s="1"/>
    </row>
    <row r="1623" spans="1:29" x14ac:dyDescent="0.3">
      <c r="A1623" s="1">
        <f>ROW(CantoralDB[[#This Row],[Título]])-1</f>
        <v>1622</v>
      </c>
      <c r="B1623" s="1" t="s">
        <v>232</v>
      </c>
      <c r="C1623" s="1" t="s">
        <v>197</v>
      </c>
      <c r="D1623" s="1" t="s">
        <v>1432</v>
      </c>
      <c r="G1623" s="1" t="s">
        <v>212</v>
      </c>
      <c r="H1623" s="1" t="s">
        <v>472</v>
      </c>
      <c r="I1623" s="1" t="s">
        <v>2948</v>
      </c>
      <c r="J1623" s="1" t="s">
        <v>605</v>
      </c>
      <c r="M1623" s="15" t="s">
        <v>792</v>
      </c>
      <c r="O1623" s="15"/>
      <c r="P1623" s="15"/>
      <c r="Q1623" s="15" t="str" cm="1">
        <f t="array" ref="Q16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3" s="15" t="str" cm="1">
        <f t="array" ref="R16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canciones/nsb/la_paz_te_doy.html</v>
      </c>
      <c r="T1623" s="1"/>
      <c r="U1623" s="1"/>
      <c r="V1623" s="32" t="s">
        <v>5311</v>
      </c>
      <c r="W16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data-momento="Paz" data-nnew="I02"&gt;&lt;a href="canciones/nsb/la_paz_te_doy.html"&gt;La paz te doy&lt;/a&gt;&lt;/li&gt;</v>
      </c>
      <c r="X1623" s="15" t="str">
        <f>_xlfn.TEXTBEFORE(_xlfn.TEXTAFTER(CantoralDB[[#This Row],[index.html]],"&gt;"),"&gt;")&amp;"&gt;"</f>
        <v>&lt;a href="canciones/nsb/la_paz_te_doy.html"&gt;</v>
      </c>
      <c r="Y1623"/>
      <c r="AC1623" s="1"/>
    </row>
    <row r="1624" spans="1:29" x14ac:dyDescent="0.3">
      <c r="A1624" s="1">
        <f>ROW(CantoralDB[[#This Row],[Título]])-1</f>
        <v>1623</v>
      </c>
      <c r="B1624" s="1" t="s">
        <v>588</v>
      </c>
      <c r="C1624" s="1" t="s">
        <v>210</v>
      </c>
      <c r="D1624" s="1" t="s">
        <v>1434</v>
      </c>
      <c r="G1624" s="1" t="s">
        <v>592</v>
      </c>
      <c r="H1624" s="1" t="s">
        <v>529</v>
      </c>
      <c r="I1624" s="1" t="s">
        <v>2945</v>
      </c>
      <c r="J1624" s="1" t="s">
        <v>605</v>
      </c>
      <c r="M1624" s="15" t="s">
        <v>792</v>
      </c>
      <c r="O1624" s="15"/>
      <c r="P1624" s="15"/>
      <c r="Q1624" s="15" t="str" cm="1">
        <f t="array" ref="Q16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4" s="15" t="str" cm="1">
        <f t="array" ref="R16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canciones/nsb/letanias.html</v>
      </c>
      <c r="T1624" s="1"/>
      <c r="U1624" s="1"/>
      <c r="V1624" s="15"/>
      <c r="W16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data-momento="Especiales" data-nnew="P03"&gt;&lt;a href="canciones/nsb/letanias.html"&gt;Letanías&lt;/a&gt;&lt;/li&gt;</v>
      </c>
      <c r="X1624" s="15" t="str">
        <f>_xlfn.TEXTBEFORE(_xlfn.TEXTAFTER(CantoralDB[[#This Row],[index.html]],"&gt;"),"&gt;")&amp;"&gt;"</f>
        <v>&lt;a href="canciones/nsb/letanias.html"&gt;</v>
      </c>
      <c r="Y1624"/>
      <c r="AC1624" s="1"/>
    </row>
    <row r="1625" spans="1:29" x14ac:dyDescent="0.3">
      <c r="A1625" s="1">
        <f>ROW(CantoralDB[[#This Row],[Título]])-1</f>
        <v>1624</v>
      </c>
      <c r="B1625" s="1" t="s">
        <v>233</v>
      </c>
      <c r="C1625" s="1" t="s">
        <v>197</v>
      </c>
      <c r="D1625" s="1" t="s">
        <v>1435</v>
      </c>
      <c r="G1625" s="1" t="s">
        <v>212</v>
      </c>
      <c r="H1625" s="1" t="s">
        <v>472</v>
      </c>
      <c r="I1625" s="1" t="s">
        <v>2948</v>
      </c>
      <c r="J1625" s="1" t="s">
        <v>605</v>
      </c>
      <c r="M1625" s="15" t="s">
        <v>792</v>
      </c>
      <c r="O1625" s="15"/>
      <c r="P1625" s="15"/>
      <c r="Q1625" s="15" t="str" cm="1">
        <f t="array" ref="Q16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5" s="15" t="str" cm="1">
        <f t="array" ref="R16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canciones/nsb/llevad_la_buena_noticia.html</v>
      </c>
      <c r="T1625" s="1"/>
      <c r="U1625" s="1"/>
      <c r="V1625" s="32" t="s">
        <v>5313</v>
      </c>
      <c r="W16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data-momento="Paz" data-nnew="I03"&gt;&lt;a href="canciones/nsb/llevad_la_buena_noticia.html"&gt;Llevad la buena noticia&lt;/a&gt;&lt;/li&gt;</v>
      </c>
      <c r="X1625" s="15" t="str">
        <f>_xlfn.TEXTBEFORE(_xlfn.TEXTAFTER(CantoralDB[[#This Row],[index.html]],"&gt;"),"&gt;")&amp;"&gt;"</f>
        <v>&lt;a href="canciones/nsb/llevad_la_buena_noticia.html"&gt;</v>
      </c>
      <c r="Y1625"/>
      <c r="AC1625" s="1"/>
    </row>
    <row r="1626" spans="1:29" x14ac:dyDescent="0.3">
      <c r="A1626" s="1">
        <f>ROW(CantoralDB[[#This Row],[Título]])-1</f>
        <v>1625</v>
      </c>
      <c r="B1626" s="1" t="s">
        <v>90</v>
      </c>
      <c r="C1626" s="1" t="s">
        <v>199</v>
      </c>
      <c r="D1626" s="1" t="s">
        <v>1043</v>
      </c>
      <c r="E1626" s="1">
        <v>434</v>
      </c>
      <c r="G1626" s="1" t="s">
        <v>208</v>
      </c>
      <c r="H1626" s="1" t="s">
        <v>529</v>
      </c>
      <c r="J1626" s="1" t="s">
        <v>605</v>
      </c>
      <c r="M1626" s="15" t="s">
        <v>792</v>
      </c>
      <c r="O1626" s="15"/>
      <c r="P1626" s="15"/>
      <c r="Q1626" s="15" t="str" cm="1">
        <f t="array" ref="Q16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6" s="15" t="str" cm="1">
        <f t="array" ref="R16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canciones/nsb/maria_madre_nuestra.html</v>
      </c>
      <c r="T1626" s="1"/>
      <c r="U1626" s="1"/>
      <c r="V1626" s="32" t="s">
        <v>5314</v>
      </c>
      <c r="W16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data-momento="María" data-nnew="M12" data-nold="434"&gt;&lt;a href="canciones/nsb/maria_madre_nuestra.html"&gt;María, madre nuestra&lt;/a&gt;&lt;/li&gt;</v>
      </c>
      <c r="X1626" s="15" t="str">
        <f>_xlfn.TEXTBEFORE(_xlfn.TEXTAFTER(CantoralDB[[#This Row],[index.html]],"&gt;"),"&gt;")&amp;"&gt;"</f>
        <v>&lt;a href="canciones/nsb/maria_madre_nuestra.html"&gt;</v>
      </c>
      <c r="Y1626"/>
      <c r="AC1626" s="1"/>
    </row>
    <row r="1627" spans="1:29" x14ac:dyDescent="0.3">
      <c r="A1627" s="1">
        <f>ROW(CantoralDB[[#This Row],[Título]])-1</f>
        <v>1626</v>
      </c>
      <c r="B1627" s="1" t="s">
        <v>98</v>
      </c>
      <c r="C1627" s="1" t="s">
        <v>990</v>
      </c>
      <c r="D1627" s="1" t="s">
        <v>719</v>
      </c>
      <c r="E1627" s="1">
        <v>441</v>
      </c>
      <c r="G1627" s="1" t="s">
        <v>208</v>
      </c>
      <c r="H1627" s="1" t="s">
        <v>529</v>
      </c>
      <c r="J1627" s="1" t="s">
        <v>605</v>
      </c>
      <c r="M1627" s="15" t="s">
        <v>792</v>
      </c>
      <c r="O1627" s="15"/>
      <c r="P1627" s="15"/>
      <c r="Q1627" s="15" t="str" cm="1">
        <f t="array" ref="Q16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7" s="15" t="str" cm="1">
        <f t="array" ref="R16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canciones/nsb/no_me_mueve.html</v>
      </c>
      <c r="T1627" s="1"/>
      <c r="U1627" s="1"/>
      <c r="V1627" s="15"/>
      <c r="W16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data-nnew="K49" data-nold="441"&gt;&lt;a href="canciones/nsb/no_me_mueve.html"&gt;No me mueve&lt;/a&gt;&lt;/li&gt;</v>
      </c>
      <c r="X1627" s="15" t="str">
        <f>_xlfn.TEXTBEFORE(_xlfn.TEXTAFTER(CantoralDB[[#This Row],[index.html]],"&gt;"),"&gt;")&amp;"&gt;"</f>
        <v>&lt;a href="canciones/nsb/no_me_mueve.html"&gt;</v>
      </c>
      <c r="Y1627"/>
      <c r="AC1627" s="1"/>
    </row>
    <row r="1628" spans="1:29" x14ac:dyDescent="0.3">
      <c r="A1628" s="1">
        <f>ROW(CantoralDB[[#This Row],[Título]])-1</f>
        <v>1627</v>
      </c>
      <c r="B1628" s="1" t="s">
        <v>553</v>
      </c>
      <c r="C1628" s="1" t="s">
        <v>200</v>
      </c>
      <c r="D1628" s="1" t="s">
        <v>663</v>
      </c>
      <c r="G1628" s="1" t="s">
        <v>551</v>
      </c>
      <c r="H1628" s="1" t="s">
        <v>1027</v>
      </c>
      <c r="J1628" s="1" t="s">
        <v>605</v>
      </c>
      <c r="M1628" s="15" t="s">
        <v>792</v>
      </c>
      <c r="O1628" s="15"/>
      <c r="P1628" s="15"/>
      <c r="Q1628" s="15" t="str" cm="1">
        <f t="array" ref="Q16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8" s="15" t="str" cm="1">
        <f t="array" ref="R16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canciones/nsb/no_quiero_alejarme_de_ti.html</v>
      </c>
      <c r="T1628" s="1" t="s">
        <v>845</v>
      </c>
      <c r="U1628" s="1"/>
      <c r="V1628" s="32" t="s">
        <v>5315</v>
      </c>
      <c r="W16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data-momento="Antífonas" data-nnew="D28"&gt;&lt;a href="canciones/nsb/no_quiero_alejarme_de_ti.html"&gt;No quiero alejarme de ti&lt;/a&gt;&lt;/li&gt;</v>
      </c>
      <c r="X1628" s="15" t="str">
        <f>_xlfn.TEXTBEFORE(_xlfn.TEXTAFTER(CantoralDB[[#This Row],[index.html]],"&gt;"),"&gt;")&amp;"&gt;"</f>
        <v>&lt;a href="canciones/nsb/no_quiero_alejarme_de_ti.html"&gt;</v>
      </c>
      <c r="Y1628"/>
      <c r="AC1628" s="1"/>
    </row>
    <row r="1629" spans="1:29" x14ac:dyDescent="0.3">
      <c r="A1629" s="1">
        <f>ROW(CantoralDB[[#This Row],[Título]])-1</f>
        <v>1628</v>
      </c>
      <c r="B1629" s="1" t="s">
        <v>1287</v>
      </c>
      <c r="C1629" s="1"/>
      <c r="E1629" s="1">
        <v>180</v>
      </c>
      <c r="H1629" s="1" t="s">
        <v>529</v>
      </c>
      <c r="J1629" s="1" t="s">
        <v>605</v>
      </c>
      <c r="M1629" s="15" t="s">
        <v>792</v>
      </c>
      <c r="O1629" s="15"/>
      <c r="P1629" s="15"/>
      <c r="Q1629" s="15" t="str" cm="1">
        <f t="array" ref="Q16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29" s="15" t="str" cm="1">
        <f t="array" ref="R16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canciones/nsb/no_vayais_a_la_fiesta.html</v>
      </c>
      <c r="T1629" s="1"/>
      <c r="U1629" s="1"/>
      <c r="V1629" s="15"/>
      <c r="W16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data-nold="180"&gt;&lt;a href="canciones/nsb/no_vayais_a_la_fiesta.html"&gt;No vayáis a la fiesta&lt;/a&gt;&lt;/li&gt;</v>
      </c>
      <c r="X1629" s="15" t="str">
        <f>_xlfn.TEXTBEFORE(_xlfn.TEXTAFTER(CantoralDB[[#This Row],[index.html]],"&gt;"),"&gt;")&amp;"&gt;"</f>
        <v>&lt;a href="canciones/nsb/no_vayais_a_la_fiesta.html"&gt;</v>
      </c>
      <c r="Y1629"/>
      <c r="AC1629" s="1"/>
    </row>
    <row r="1630" spans="1:29" x14ac:dyDescent="0.3">
      <c r="A1630" s="1">
        <f>ROW(CantoralDB[[#This Row],[Título]])-1</f>
        <v>1629</v>
      </c>
      <c r="B1630" s="1" t="s">
        <v>101</v>
      </c>
      <c r="C1630" s="1" t="s">
        <v>191</v>
      </c>
      <c r="D1630" s="1" t="s">
        <v>1440</v>
      </c>
      <c r="E1630" s="1">
        <v>191</v>
      </c>
      <c r="G1630" s="1" t="s">
        <v>208</v>
      </c>
      <c r="H1630" s="1" t="s">
        <v>529</v>
      </c>
      <c r="J1630" s="1" t="s">
        <v>605</v>
      </c>
      <c r="M1630" s="15" t="s">
        <v>792</v>
      </c>
      <c r="O1630" s="15"/>
      <c r="P1630" s="15"/>
      <c r="Q1630" s="15" t="str" cm="1">
        <f t="array" ref="Q16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0" s="15" t="str" cm="1">
        <f t="array" ref="R16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canciones/nsb/oh_señor_mueve_mi_espiritu.html</v>
      </c>
      <c r="T1630" s="1"/>
      <c r="U1630" s="1"/>
      <c r="V1630" s="15"/>
      <c r="W16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data-momento="Perdón - Agua" data-nnew="B04" data-nold="191"&gt;&lt;a href="canciones/nsb/oh_señor_mueve_mi_espiritu.html"&gt;Oh, Señor, mueve mi espíritu&lt;/a&gt;&lt;/li&gt;</v>
      </c>
      <c r="X1630" s="15" t="str">
        <f>_xlfn.TEXTBEFORE(_xlfn.TEXTAFTER(CantoralDB[[#This Row],[index.html]],"&gt;"),"&gt;")&amp;"&gt;"</f>
        <v>&lt;a href="canciones/nsb/oh_señor_mueve_mi_espiritu.html"&gt;</v>
      </c>
      <c r="Y1630"/>
      <c r="AC1630" s="1"/>
    </row>
    <row r="1631" spans="1:29" x14ac:dyDescent="0.3">
      <c r="A1631" s="1">
        <f>ROW(CantoralDB[[#This Row],[Título]])-1</f>
        <v>1630</v>
      </c>
      <c r="B1631" s="1" t="s">
        <v>105</v>
      </c>
      <c r="C1631" s="1" t="s">
        <v>196</v>
      </c>
      <c r="D1631" s="1" t="s">
        <v>1442</v>
      </c>
      <c r="E1631" s="1">
        <v>444</v>
      </c>
      <c r="G1631" s="1" t="s">
        <v>208</v>
      </c>
      <c r="H1631" s="1" t="s">
        <v>1027</v>
      </c>
      <c r="I1631" s="1" t="s">
        <v>2948</v>
      </c>
      <c r="J1631" s="1" t="s">
        <v>605</v>
      </c>
      <c r="M1631" s="15" t="s">
        <v>792</v>
      </c>
      <c r="O1631" s="15"/>
      <c r="P1631" s="15"/>
      <c r="Q1631" s="15" t="str" cm="1">
        <f t="array" ref="Q16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1" s="15" t="str" cm="1">
        <f t="array" ref="R16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canciones/nsb/padre_nuestro_(mexicano).html</v>
      </c>
      <c r="T1631" s="1"/>
      <c r="U1631" s="1"/>
      <c r="V1631" s="32" t="s">
        <v>5316</v>
      </c>
      <c r="W16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data-momento="Padrenuestro" data-nnew="H03" data-nold="444"&gt;&lt;a href="canciones/nsb/padre_nuestro_(mexicano).html"&gt;Padre nuestro (mexicano)&lt;/a&gt;&lt;/li&gt;</v>
      </c>
      <c r="X1631" s="15" t="str">
        <f>_xlfn.TEXTBEFORE(_xlfn.TEXTAFTER(CantoralDB[[#This Row],[index.html]],"&gt;"),"&gt;")&amp;"&gt;"</f>
        <v>&lt;a href="canciones/nsb/padre_nuestro_(mexicano).html"&gt;</v>
      </c>
      <c r="Y1631"/>
      <c r="AC1631" s="1"/>
    </row>
    <row r="1632" spans="1:29" x14ac:dyDescent="0.3">
      <c r="A1632" s="1">
        <f>ROW(CantoralDB[[#This Row],[Título]])-1</f>
        <v>1631</v>
      </c>
      <c r="B1632" s="1" t="s">
        <v>108</v>
      </c>
      <c r="C1632" s="1" t="s">
        <v>990</v>
      </c>
      <c r="D1632" s="1" t="s">
        <v>723</v>
      </c>
      <c r="E1632" s="1">
        <v>445</v>
      </c>
      <c r="G1632" s="1" t="s">
        <v>208</v>
      </c>
      <c r="H1632" s="1" t="s">
        <v>472</v>
      </c>
      <c r="J1632" s="1" t="s">
        <v>605</v>
      </c>
      <c r="M1632" s="15" t="s">
        <v>792</v>
      </c>
      <c r="O1632" s="15"/>
      <c r="P1632" s="15"/>
      <c r="Q1632" s="15" t="str" cm="1">
        <f t="array" ref="Q16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2" s="15" t="str" cm="1">
        <f t="array" ref="R16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canciones/nsb/para_el_que_sabe.html</v>
      </c>
      <c r="T1632" s="1"/>
      <c r="U1632" s="1"/>
      <c r="V1632" s="15"/>
      <c r="W16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data-nnew="K53" data-nold="445"&gt;&lt;a href="canciones/nsb/para_el_que_sabe.html"&gt;Para el que sabe&lt;/a&gt;&lt;/li&gt;</v>
      </c>
      <c r="X1632" s="15" t="str">
        <f>_xlfn.TEXTBEFORE(_xlfn.TEXTAFTER(CantoralDB[[#This Row],[index.html]],"&gt;"),"&gt;")&amp;"&gt;"</f>
        <v>&lt;a href="canciones/nsb/para_el_que_sabe.html"&gt;</v>
      </c>
      <c r="Y1632"/>
      <c r="AC1632" s="1"/>
    </row>
    <row r="1633" spans="1:29" x14ac:dyDescent="0.3">
      <c r="A1633" s="1">
        <f>ROW(CantoralDB[[#This Row],[Título]])-1</f>
        <v>1632</v>
      </c>
      <c r="B1633" s="1" t="s">
        <v>110</v>
      </c>
      <c r="C1633" s="1" t="s">
        <v>197</v>
      </c>
      <c r="D1633" s="1" t="s">
        <v>1449</v>
      </c>
      <c r="E1633" s="1">
        <v>200</v>
      </c>
      <c r="G1633" s="1" t="s">
        <v>208</v>
      </c>
      <c r="H1633" s="1" t="s">
        <v>1024</v>
      </c>
      <c r="I1633" s="1" t="s">
        <v>2948</v>
      </c>
      <c r="J1633" s="1" t="s">
        <v>605</v>
      </c>
      <c r="M1633" s="15" t="s">
        <v>792</v>
      </c>
      <c r="O1633" s="15"/>
      <c r="P1633" s="15"/>
      <c r="Q1633" s="15" t="str" cm="1">
        <f t="array" ref="Q16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3" s="15" t="str" cm="1">
        <f t="array" ref="R16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canciones/nsb/paz_señor_en_el_cielo_y_la_tierra.html</v>
      </c>
      <c r="T1633" s="1"/>
      <c r="U1633" s="1"/>
      <c r="V1633" s="32" t="s">
        <v>5317</v>
      </c>
      <c r="W16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data-momento="Paz" data-nnew="I07" data-nold="200"&gt;&lt;a href="canciones/nsb/paz_señor_en_el_cielo_y_la_tierra.html"&gt;Paz, Señor, en el cielo y la tierra&lt;/a&gt;&lt;/li&gt;</v>
      </c>
      <c r="X1633" s="15" t="str">
        <f>_xlfn.TEXTBEFORE(_xlfn.TEXTAFTER(CantoralDB[[#This Row],[index.html]],"&gt;"),"&gt;")&amp;"&gt;"</f>
        <v>&lt;a href="canciones/nsb/paz_señor_en_el_cielo_y_la_tierra.html"&gt;</v>
      </c>
      <c r="Y1633"/>
      <c r="AC1633" s="1"/>
    </row>
    <row r="1634" spans="1:29" x14ac:dyDescent="0.3">
      <c r="A1634" s="1">
        <f>ROW(CantoralDB[[#This Row],[Título]])-1</f>
        <v>1633</v>
      </c>
      <c r="B1634" s="1" t="s">
        <v>112</v>
      </c>
      <c r="C1634" s="1" t="s">
        <v>197</v>
      </c>
      <c r="D1634" s="1" t="s">
        <v>1450</v>
      </c>
      <c r="E1634" s="1">
        <v>448</v>
      </c>
      <c r="F1634" s="1">
        <v>191</v>
      </c>
      <c r="G1634" s="1" t="s">
        <v>208</v>
      </c>
      <c r="H1634" s="1" t="s">
        <v>529</v>
      </c>
      <c r="J1634" s="1" t="s">
        <v>605</v>
      </c>
      <c r="M1634" s="15" t="s">
        <v>792</v>
      </c>
      <c r="O1634" s="15"/>
      <c r="P1634" s="15"/>
      <c r="Q1634" s="15" t="str" cm="1">
        <f t="array" ref="Q16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4" s="15" t="str" cm="1">
        <f t="array" ref="R16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canciones/nsb/pon_tu_mano.html</v>
      </c>
      <c r="T1634" s="1"/>
      <c r="U1634" s="1"/>
      <c r="V1634" s="32" t="s">
        <v>5318</v>
      </c>
      <c r="W16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data-momento="Paz" data-nnew="I08" data-nold="448" data-nrcc="191"&gt;&lt;a href="canciones/nsb/pon_tu_mano.html"&gt;Pon tu mano&lt;/a&gt;&lt;/li&gt;</v>
      </c>
      <c r="X1634" s="15" t="str">
        <f>_xlfn.TEXTBEFORE(_xlfn.TEXTAFTER(CantoralDB[[#This Row],[index.html]],"&gt;"),"&gt;")&amp;"&gt;"</f>
        <v>&lt;a href="canciones/nsb/pon_tu_mano.html"&gt;</v>
      </c>
      <c r="Y1634"/>
      <c r="AC1634" s="1"/>
    </row>
    <row r="1635" spans="1:29" x14ac:dyDescent="0.3">
      <c r="A1635" s="1">
        <f>ROW(CantoralDB[[#This Row],[Título]])-1</f>
        <v>1634</v>
      </c>
      <c r="B1635" s="1" t="s">
        <v>113</v>
      </c>
      <c r="C1635" s="1" t="s">
        <v>194</v>
      </c>
      <c r="D1635" s="1" t="s">
        <v>764</v>
      </c>
      <c r="E1635" s="1">
        <v>214</v>
      </c>
      <c r="G1635" s="1" t="s">
        <v>208</v>
      </c>
      <c r="H1635" s="1" t="s">
        <v>529</v>
      </c>
      <c r="J1635" s="1" t="s">
        <v>605</v>
      </c>
      <c r="M1635" s="15" t="s">
        <v>792</v>
      </c>
      <c r="O1635" s="15"/>
      <c r="P1635" s="15"/>
      <c r="Q1635" s="15" t="str" cm="1">
        <f t="array" ref="Q16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5" s="15" t="str" cm="1">
        <f t="array" ref="R16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canciones/nsb/por_los_hombres.html</v>
      </c>
      <c r="T1635" s="1"/>
      <c r="U1635" s="1"/>
      <c r="V1635" s="32" t="s">
        <v>5319</v>
      </c>
      <c r="W16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data-momento="Ofertorio" data-nnew="F12" data-nold="214"&gt;&lt;a href="canciones/nsb/por_los_hombres.html"&gt;Por los hombres&lt;/a&gt;&lt;/li&gt;</v>
      </c>
      <c r="X1635" s="15" t="str">
        <f>_xlfn.TEXTBEFORE(_xlfn.TEXTAFTER(CantoralDB[[#This Row],[index.html]],"&gt;"),"&gt;")&amp;"&gt;"</f>
        <v>&lt;a href="canciones/nsb/por_los_hombres.html"&gt;</v>
      </c>
      <c r="Y1635"/>
      <c r="AC1635" s="1"/>
    </row>
    <row r="1636" spans="1:29" x14ac:dyDescent="0.3">
      <c r="A1636" s="1">
        <f>ROW(CantoralDB[[#This Row],[Título]])-1</f>
        <v>1635</v>
      </c>
      <c r="B1636" s="1" t="s">
        <v>595</v>
      </c>
      <c r="C1636" s="1" t="s">
        <v>199</v>
      </c>
      <c r="D1636" s="1" t="s">
        <v>1050</v>
      </c>
      <c r="G1636" s="1" t="s">
        <v>596</v>
      </c>
      <c r="H1636" s="1" t="s">
        <v>529</v>
      </c>
      <c r="I1636" s="1" t="s">
        <v>2948</v>
      </c>
      <c r="J1636" s="1" t="s">
        <v>605</v>
      </c>
      <c r="M1636" s="15" t="s">
        <v>792</v>
      </c>
      <c r="O1636" s="15"/>
      <c r="P1636" s="15"/>
      <c r="Q1636" s="15" t="str" cm="1">
        <f t="array" ref="Q16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6" s="15" t="str" cm="1">
        <f t="array" ref="R16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canciones/nsb/salve_madre.html</v>
      </c>
      <c r="T1636" s="1"/>
      <c r="U1636" s="1"/>
      <c r="V1636" s="32" t="s">
        <v>5320</v>
      </c>
      <c r="W16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data-momento="María" data-nnew="M18"&gt;&lt;a href="canciones/nsb/salve_madre.html"&gt;Salve, Madre&lt;/a&gt;&lt;/li&gt;</v>
      </c>
      <c r="X1636" s="15" t="str">
        <f>_xlfn.TEXTBEFORE(_xlfn.TEXTAFTER(CantoralDB[[#This Row],[index.html]],"&gt;"),"&gt;")&amp;"&gt;"</f>
        <v>&lt;a href="canciones/nsb/salve_madre.html"&gt;</v>
      </c>
      <c r="Y1636"/>
      <c r="AC1636" s="1"/>
    </row>
    <row r="1637" spans="1:29" x14ac:dyDescent="0.3">
      <c r="A1637" s="1">
        <f>ROW(CantoralDB[[#This Row],[Título]])-1</f>
        <v>1636</v>
      </c>
      <c r="B1637" s="1" t="s">
        <v>577</v>
      </c>
      <c r="C1637" s="1" t="s">
        <v>195</v>
      </c>
      <c r="D1637" s="1" t="s">
        <v>1462</v>
      </c>
      <c r="G1637" s="1" t="s">
        <v>208</v>
      </c>
      <c r="H1637" s="1" t="s">
        <v>529</v>
      </c>
      <c r="I1637" s="1" t="s">
        <v>2948</v>
      </c>
      <c r="J1637" s="1" t="s">
        <v>605</v>
      </c>
      <c r="M1637" s="15" t="s">
        <v>792</v>
      </c>
      <c r="O1637" s="15"/>
      <c r="P1637" s="15"/>
      <c r="Q1637" s="15" t="str" cm="1">
        <f t="array" ref="Q16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7" s="15" t="str" cm="1">
        <f t="array" ref="R16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canciones/nsb/santo_(santo_domingo_de_silos).html</v>
      </c>
      <c r="T1637" s="1"/>
      <c r="U1637" s="1"/>
      <c r="V1637" s="15"/>
      <c r="W16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data-momento="Santo" data-nnew="G08"&gt;&lt;a href="canciones/nsb/santo_(santo_domingo_de_silos).html"&gt;Santo (Santo Domingo de Silos)&lt;/a&gt;&lt;/li&gt;</v>
      </c>
      <c r="X1637" s="15" t="str">
        <f>_xlfn.TEXTBEFORE(_xlfn.TEXTAFTER(CantoralDB[[#This Row],[index.html]],"&gt;"),"&gt;")&amp;"&gt;"</f>
        <v>&lt;a href="canciones/nsb/santo_(santo_domingo_de_silos).html"&gt;</v>
      </c>
      <c r="Y1637"/>
      <c r="AC1637" s="1"/>
    </row>
    <row r="1638" spans="1:29" x14ac:dyDescent="0.3">
      <c r="A1638" s="1">
        <f>ROW(CantoralDB[[#This Row],[Título]])-1</f>
        <v>1637</v>
      </c>
      <c r="B1638" s="1" t="s">
        <v>565</v>
      </c>
      <c r="C1638" s="1" t="s">
        <v>195</v>
      </c>
      <c r="D1638" s="1" t="s">
        <v>775</v>
      </c>
      <c r="G1638" s="1" t="s">
        <v>208</v>
      </c>
      <c r="H1638" s="1" t="s">
        <v>529</v>
      </c>
      <c r="I1638" s="1" t="s">
        <v>2948</v>
      </c>
      <c r="J1638" s="1" t="s">
        <v>605</v>
      </c>
      <c r="M1638" s="15" t="s">
        <v>792</v>
      </c>
      <c r="O1638" s="15"/>
      <c r="P1638" s="15"/>
      <c r="Q1638" s="15" t="str" cm="1">
        <f t="array" ref="Q16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8" s="15" t="str" cm="1">
        <f t="array" ref="R16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canciones/nsb/santo_eres_señor_dios_nuestro.html</v>
      </c>
      <c r="T1638" s="1"/>
      <c r="U1638" s="1"/>
      <c r="V1638" s="32" t="s">
        <v>5321</v>
      </c>
      <c r="W16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data-momento="Santo" data-nnew="G11"&gt;&lt;a href="canciones/nsb/santo_eres_señor_dios_nuestro.html"&gt;Santo eres, Señor, Dios nuestro&lt;/a&gt;&lt;/li&gt;</v>
      </c>
      <c r="X1638" s="15" t="str">
        <f>_xlfn.TEXTBEFORE(_xlfn.TEXTAFTER(CantoralDB[[#This Row],[index.html]],"&gt;"),"&gt;")&amp;"&gt;"</f>
        <v>&lt;a href="canciones/nsb/santo_eres_señor_dios_nuestro.html"&gt;</v>
      </c>
      <c r="Y1638"/>
      <c r="AC1638" s="1"/>
    </row>
    <row r="1639" spans="1:29" x14ac:dyDescent="0.3">
      <c r="A1639" s="1">
        <f>ROW(CantoralDB[[#This Row],[Título]])-1</f>
        <v>1638</v>
      </c>
      <c r="B1639" s="1" t="s">
        <v>558</v>
      </c>
      <c r="C1639" s="1" t="s">
        <v>195</v>
      </c>
      <c r="D1639" s="1" t="s">
        <v>776</v>
      </c>
      <c r="G1639" s="1" t="s">
        <v>551</v>
      </c>
      <c r="H1639" s="1" t="s">
        <v>1024</v>
      </c>
      <c r="J1639" s="1" t="s">
        <v>605</v>
      </c>
      <c r="M1639" s="15" t="s">
        <v>792</v>
      </c>
      <c r="O1639" s="15"/>
      <c r="P1639" s="15"/>
      <c r="Q1639" s="15" t="str" cm="1">
        <f t="array" ref="Q16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39" s="15" t="str" cm="1">
        <f t="array" ref="R16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canciones/nsb/santo_es_el_señor.html</v>
      </c>
      <c r="T1639" s="1"/>
      <c r="U1639" s="1"/>
      <c r="V1639" s="32" t="s">
        <v>5322</v>
      </c>
      <c r="W16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data-momento="Santo" data-nnew="G12"&gt;&lt;a href="canciones/nsb/santo_es_el_señor.html"&gt;Santo es el Señor&lt;/a&gt;&lt;/li&gt;</v>
      </c>
      <c r="X1639" s="15" t="str">
        <f>_xlfn.TEXTBEFORE(_xlfn.TEXTAFTER(CantoralDB[[#This Row],[index.html]],"&gt;"),"&gt;")&amp;"&gt;"</f>
        <v>&lt;a href="canciones/nsb/santo_es_el_señor.html"&gt;</v>
      </c>
      <c r="Y1639"/>
      <c r="AC1639" s="1"/>
    </row>
    <row r="1640" spans="1:29" x14ac:dyDescent="0.3">
      <c r="A1640" s="1">
        <f>ROW(CantoralDB[[#This Row],[Título]])-1</f>
        <v>1639</v>
      </c>
      <c r="B1640" s="1" t="s">
        <v>131</v>
      </c>
      <c r="C1640" s="1" t="s">
        <v>195</v>
      </c>
      <c r="D1640" s="1" t="s">
        <v>777</v>
      </c>
      <c r="E1640" s="1">
        <v>459</v>
      </c>
      <c r="F1640" s="1">
        <v>379</v>
      </c>
      <c r="G1640" s="1" t="s">
        <v>208</v>
      </c>
      <c r="H1640" s="1" t="s">
        <v>1024</v>
      </c>
      <c r="I1640" s="1" t="s">
        <v>2948</v>
      </c>
      <c r="J1640" s="1" t="s">
        <v>605</v>
      </c>
      <c r="M1640" s="15" t="s">
        <v>792</v>
      </c>
      <c r="O1640" s="15"/>
      <c r="P1640" s="15"/>
      <c r="Q1640" s="15" t="str" cm="1">
        <f t="array" ref="Q16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0" s="15" t="str" cm="1">
        <f t="array" ref="R16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canciones/nsb/santo_zaireño.html</v>
      </c>
      <c r="T1640" s="1"/>
      <c r="U1640" s="1"/>
      <c r="V1640" s="32" t="s">
        <v>4566</v>
      </c>
      <c r="W16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data-momento="Santo" data-nnew="G13" data-nold="459" data-nrcc="379"&gt;&lt;a href="canciones/nsb/santo_zaireño.html"&gt;Santo zaireño&lt;/a&gt;&lt;/li&gt;</v>
      </c>
      <c r="X1640" s="15" t="str">
        <f>_xlfn.TEXTBEFORE(_xlfn.TEXTAFTER(CantoralDB[[#This Row],[index.html]],"&gt;"),"&gt;")&amp;"&gt;"</f>
        <v>&lt;a href="canciones/nsb/santo_zaireño.html"&gt;</v>
      </c>
      <c r="Y1640"/>
      <c r="AC1640" s="1"/>
    </row>
    <row r="1641" spans="1:29" x14ac:dyDescent="0.3">
      <c r="A1641" s="1">
        <f>ROW(CantoralDB[[#This Row],[Título]])-1</f>
        <v>1640</v>
      </c>
      <c r="B1641" s="1" t="s">
        <v>132</v>
      </c>
      <c r="C1641" s="1" t="s">
        <v>990</v>
      </c>
      <c r="D1641" s="1" t="s">
        <v>999</v>
      </c>
      <c r="E1641" s="1">
        <v>233</v>
      </c>
      <c r="G1641" s="1" t="s">
        <v>208</v>
      </c>
      <c r="H1641" s="1" t="s">
        <v>529</v>
      </c>
      <c r="J1641" s="1" t="s">
        <v>605</v>
      </c>
      <c r="M1641" s="15" t="s">
        <v>792</v>
      </c>
      <c r="O1641" s="15"/>
      <c r="P1641" s="15"/>
      <c r="Q1641" s="15" t="str" cm="1">
        <f t="array" ref="Q16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1" s="15" t="str" cm="1">
        <f t="array" ref="R16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canciones/nsb/se_acerca_tu_navidad.html</v>
      </c>
      <c r="T1641" s="1"/>
      <c r="U1641" s="1"/>
      <c r="V1641" s="15"/>
      <c r="W16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data-nnew="K65" data-nold="233"&gt;&lt;a href="canciones/nsb/se_acerca_tu_navidad.html"&gt;Se acerca tu Navidad&lt;/a&gt;&lt;/li&gt;</v>
      </c>
      <c r="X1641" s="15" t="str">
        <f>_xlfn.TEXTBEFORE(_xlfn.TEXTAFTER(CantoralDB[[#This Row],[index.html]],"&gt;"),"&gt;")&amp;"&gt;"</f>
        <v>&lt;a href="canciones/nsb/se_acerca_tu_navidad.html"&gt;</v>
      </c>
      <c r="Y1641"/>
      <c r="AC1641" s="1"/>
    </row>
    <row r="1642" spans="1:29" x14ac:dyDescent="0.3">
      <c r="A1642" s="1">
        <f>ROW(CantoralDB[[#This Row],[Título]])-1</f>
        <v>1641</v>
      </c>
      <c r="B1642" s="1" t="s">
        <v>559</v>
      </c>
      <c r="C1642" s="1" t="s">
        <v>191</v>
      </c>
      <c r="D1642" s="1" t="s">
        <v>1466</v>
      </c>
      <c r="G1642" s="1" t="s">
        <v>551</v>
      </c>
      <c r="H1642" s="1" t="s">
        <v>1024</v>
      </c>
      <c r="J1642" s="1" t="s">
        <v>605</v>
      </c>
      <c r="M1642" s="15" t="s">
        <v>792</v>
      </c>
      <c r="O1642" s="15"/>
      <c r="P1642" s="15"/>
      <c r="Q1642" s="15" t="str" cm="1">
        <f t="array" ref="Q16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2" s="15" t="str" cm="1">
        <f t="array" ref="R16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canciones/nsb/señor_ten_piedad_de_nosotros.html</v>
      </c>
      <c r="T1642" s="1"/>
      <c r="U1642" s="1"/>
      <c r="V1642" s="32" t="s">
        <v>5323</v>
      </c>
      <c r="W16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data-momento="Perdón - Agua" data-nnew="B07"&gt;&lt;a href="canciones/nsb/señor_ten_piedad_de_nosotros.html"&gt;Señor, ten piedad de nosotros&lt;/a&gt;&lt;/li&gt;</v>
      </c>
      <c r="X1642" s="15" t="str">
        <f>_xlfn.TEXTBEFORE(_xlfn.TEXTAFTER(CantoralDB[[#This Row],[index.html]],"&gt;"),"&gt;")&amp;"&gt;"</f>
        <v>&lt;a href="canciones/nsb/señor_ten_piedad_de_nosotros.html"&gt;</v>
      </c>
      <c r="Y1642"/>
      <c r="AC1642" s="1"/>
    </row>
    <row r="1643" spans="1:29" x14ac:dyDescent="0.3">
      <c r="A1643" s="1">
        <f>ROW(CantoralDB[[#This Row],[Título]])-1</f>
        <v>1642</v>
      </c>
      <c r="B1643" s="1" t="s">
        <v>134</v>
      </c>
      <c r="C1643" s="1" t="s">
        <v>197</v>
      </c>
      <c r="D1643" s="1" t="s">
        <v>773</v>
      </c>
      <c r="E1643" s="1">
        <v>234</v>
      </c>
      <c r="G1643" s="1" t="s">
        <v>208</v>
      </c>
      <c r="H1643" s="1" t="s">
        <v>529</v>
      </c>
      <c r="I1643" s="1" t="s">
        <v>2948</v>
      </c>
      <c r="J1643" s="1" t="s">
        <v>605</v>
      </c>
      <c r="M1643" s="15" t="s">
        <v>792</v>
      </c>
      <c r="O1643" s="15"/>
      <c r="P1643" s="15"/>
      <c r="Q1643" s="15" t="str" cm="1">
        <f t="array" ref="Q16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3" s="15" t="str" cm="1">
        <f t="array" ref="R16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canciones/nsb/shalom_haberim.html</v>
      </c>
      <c r="T1643" s="1"/>
      <c r="U1643" s="1"/>
      <c r="V1643" s="32" t="s">
        <v>5324</v>
      </c>
      <c r="W16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data-momento="Paz" data-nnew="I10" data-nold="234"&gt;&lt;a href="canciones/nsb/shalom_haberim.html"&gt;Shalom haberim&lt;/a&gt;&lt;/li&gt;</v>
      </c>
      <c r="X1643" s="15" t="str">
        <f>_xlfn.TEXTBEFORE(_xlfn.TEXTAFTER(CantoralDB[[#This Row],[index.html]],"&gt;"),"&gt;")&amp;"&gt;"</f>
        <v>&lt;a href="canciones/nsb/shalom_haberim.html"&gt;</v>
      </c>
      <c r="Y1643"/>
      <c r="AC1643" s="1"/>
    </row>
    <row r="1644" spans="1:29" x14ac:dyDescent="0.3">
      <c r="A1644" s="1">
        <f>ROW(CantoralDB[[#This Row],[Título]])-1</f>
        <v>1643</v>
      </c>
      <c r="B1644" s="1" t="s">
        <v>135</v>
      </c>
      <c r="C1644" s="1" t="s">
        <v>990</v>
      </c>
      <c r="D1644" s="1" t="s">
        <v>1000</v>
      </c>
      <c r="E1644" s="1">
        <v>235</v>
      </c>
      <c r="G1644" s="1" t="s">
        <v>208</v>
      </c>
      <c r="H1644" s="1" t="s">
        <v>529</v>
      </c>
      <c r="I1644" s="1" t="s">
        <v>2948</v>
      </c>
      <c r="J1644" s="1" t="s">
        <v>605</v>
      </c>
      <c r="M1644" s="15" t="s">
        <v>792</v>
      </c>
      <c r="O1644" s="15"/>
      <c r="P1644" s="15"/>
      <c r="Q1644" s="15" t="str" cm="1">
        <f t="array" ref="Q16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4" s="15" t="str" cm="1">
        <f t="array" ref="R16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canciones/nsb/si_dios_a_su_mesa_nos_quiere_sentar.html</v>
      </c>
      <c r="T1644" s="1"/>
      <c r="U1644" s="1"/>
      <c r="V1644" s="15"/>
      <c r="W16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data-nnew="K66" data-nold="235"&gt;&lt;a href="canciones/nsb/si_dios_a_su_mesa_nos_quiere_sentar.html"&gt;Si Dios a su mesa nos quiere sentar&lt;/a&gt;&lt;/li&gt;</v>
      </c>
      <c r="X1644" s="15" t="str">
        <f>_xlfn.TEXTBEFORE(_xlfn.TEXTAFTER(CantoralDB[[#This Row],[index.html]],"&gt;"),"&gt;")&amp;"&gt;"</f>
        <v>&lt;a href="canciones/nsb/si_dios_a_su_mesa_nos_quiere_sentar.html"&gt;</v>
      </c>
      <c r="Y1644"/>
      <c r="AC1644" s="1"/>
    </row>
    <row r="1645" spans="1:29" x14ac:dyDescent="0.3">
      <c r="A1645" s="1">
        <f>ROW(CantoralDB[[#This Row],[Título]])-1</f>
        <v>1644</v>
      </c>
      <c r="B1645" s="1" t="s">
        <v>1352</v>
      </c>
      <c r="C1645" s="1"/>
      <c r="E1645" s="1">
        <v>309</v>
      </c>
      <c r="J1645" s="1"/>
      <c r="M1645" s="15" t="s">
        <v>792</v>
      </c>
      <c r="O1645" s="15"/>
      <c r="P1645" s="15"/>
      <c r="Q1645" s="15" t="str" cm="1">
        <f t="array" ref="Q16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5" s="15" t="str" cm="1">
        <f t="array" ref="R16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canciones/nsb/somos_los_que_hacemos_puentes.html</v>
      </c>
      <c r="T1645" s="1"/>
      <c r="U1645" s="1"/>
      <c r="V1645" s="15"/>
      <c r="W16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data-nold="309"&gt;&lt;a href="canciones/nsb/somos_los_que_hacemos_puentes.html"&gt;Somos los que hacemos puentes&lt;/a&gt;&lt;/li&gt;</v>
      </c>
      <c r="X1645" s="15" t="str">
        <f>_xlfn.TEXTBEFORE(_xlfn.TEXTAFTER(CantoralDB[[#This Row],[index.html]],"&gt;"),"&gt;")&amp;"&gt;"</f>
        <v>&lt;a href="canciones/nsb/somos_los_que_hacemos_puentes.html"&gt;</v>
      </c>
      <c r="Y1645"/>
      <c r="AC1645" s="1"/>
    </row>
    <row r="1646" spans="1:29" x14ac:dyDescent="0.3">
      <c r="A1646" s="1">
        <f>ROW(CantoralDB[[#This Row],[Título]])-1</f>
        <v>1645</v>
      </c>
      <c r="B1646" s="1" t="s">
        <v>186</v>
      </c>
      <c r="C1646" s="1" t="s">
        <v>191</v>
      </c>
      <c r="D1646" s="1" t="s">
        <v>1468</v>
      </c>
      <c r="G1646" s="1" t="s">
        <v>208</v>
      </c>
      <c r="H1646" s="1" t="s">
        <v>529</v>
      </c>
      <c r="J1646" s="1" t="s">
        <v>605</v>
      </c>
      <c r="M1646" s="15" t="s">
        <v>792</v>
      </c>
      <c r="O1646" s="15"/>
      <c r="P1646" s="15"/>
      <c r="Q1646" s="15" t="str" cm="1">
        <f t="array" ref="Q16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6" s="15" t="str" cm="1">
        <f t="array" ref="R16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canciones/nsb/ten_piedad_de_mi_señor.html</v>
      </c>
      <c r="T1646" s="1"/>
      <c r="U1646" s="1"/>
      <c r="V1646" s="32" t="s">
        <v>5328</v>
      </c>
      <c r="W16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data-momento="Perdón - Agua" data-nnew="B08"&gt;&lt;a href="canciones/nsb/ten_piedad_de_mi_señor.html"&gt;Ten piedad de mi, Señor&lt;/a&gt;&lt;/li&gt;</v>
      </c>
      <c r="X1646" s="15" t="str">
        <f>_xlfn.TEXTBEFORE(_xlfn.TEXTAFTER(CantoralDB[[#This Row],[index.html]],"&gt;"),"&gt;")&amp;"&gt;"</f>
        <v>&lt;a href="canciones/nsb/ten_piedad_de_mi_señor.html"&gt;</v>
      </c>
      <c r="Y1646"/>
      <c r="AC1646" s="1"/>
    </row>
    <row r="1647" spans="1:29" x14ac:dyDescent="0.3">
      <c r="A1647" s="1">
        <f>ROW(CantoralDB[[#This Row],[Título]])-1</f>
        <v>1646</v>
      </c>
      <c r="B1647" s="1" t="s">
        <v>152</v>
      </c>
      <c r="C1647" s="1" t="s">
        <v>190</v>
      </c>
      <c r="D1647" s="1" t="s">
        <v>749</v>
      </c>
      <c r="E1647" s="1">
        <v>270</v>
      </c>
      <c r="G1647" s="1" t="s">
        <v>208</v>
      </c>
      <c r="H1647" s="1" t="s">
        <v>1024</v>
      </c>
      <c r="I1647" s="1" t="s">
        <v>2948</v>
      </c>
      <c r="J1647" s="1" t="s">
        <v>605</v>
      </c>
      <c r="M1647" s="15" t="s">
        <v>792</v>
      </c>
      <c r="O1647" s="15"/>
      <c r="P1647" s="15"/>
      <c r="Q1647" s="15" t="str" cm="1">
        <f t="array" ref="Q16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7" s="15" t="str" cm="1">
        <f t="array" ref="R16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canciones/nsb/un_nuevo_sitio_disponed.html</v>
      </c>
      <c r="T1647" s="1"/>
      <c r="U1647" s="1"/>
      <c r="V1647" s="32" t="s">
        <v>5333</v>
      </c>
      <c r="W16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data-momento="Entrada" data-nnew="A32" data-nold="270"&gt;&lt;a href="canciones/nsb/un_nuevo_sitio_disponed.html"&gt;Un nuevo sitio disponed&lt;/a&gt;&lt;/li&gt;</v>
      </c>
      <c r="X1647" s="15" t="str">
        <f>_xlfn.TEXTBEFORE(_xlfn.TEXTAFTER(CantoralDB[[#This Row],[index.html]],"&gt;"),"&gt;")&amp;"&gt;"</f>
        <v>&lt;a href="canciones/nsb/un_nuevo_sitio_disponed.html"&gt;</v>
      </c>
      <c r="Y1647"/>
      <c r="AC1647" s="1"/>
    </row>
    <row r="1648" spans="1:29" x14ac:dyDescent="0.3">
      <c r="A1648" s="1">
        <f>ROW(CantoralDB[[#This Row],[Título]])-1</f>
        <v>1647</v>
      </c>
      <c r="B1648" s="1" t="s">
        <v>164</v>
      </c>
      <c r="C1648" s="1" t="s">
        <v>198</v>
      </c>
      <c r="D1648" s="1" t="s">
        <v>1475</v>
      </c>
      <c r="E1648" s="1">
        <v>472</v>
      </c>
      <c r="G1648" s="1" t="s">
        <v>208</v>
      </c>
      <c r="H1648" s="1" t="s">
        <v>1024</v>
      </c>
      <c r="J1648" s="1" t="s">
        <v>605</v>
      </c>
      <c r="M1648" s="15" t="s">
        <v>792</v>
      </c>
      <c r="O1648" s="15"/>
      <c r="P1648" s="15"/>
      <c r="Q1648" s="15" t="str" cm="1">
        <f t="array" ref="Q16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8" s="15" t="str" cm="1">
        <f t="array" ref="R16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canciones/nsb/vive_tu_amor_en_mi.html</v>
      </c>
      <c r="T1648" s="1"/>
      <c r="U1648" s="1"/>
      <c r="V1648" s="15"/>
      <c r="W16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data-momento="Despedida" data-nnew="L09" data-nold="472"&gt;&lt;a href="canciones/nsb/vive_tu_amor_en_mi.html"&gt;Vive tu amor en mí&lt;/a&gt;&lt;/li&gt;</v>
      </c>
      <c r="X1648" s="15" t="str">
        <f>_xlfn.TEXTBEFORE(_xlfn.TEXTAFTER(CantoralDB[[#This Row],[index.html]],"&gt;"),"&gt;")&amp;"&gt;"</f>
        <v>&lt;a href="canciones/nsb/vive_tu_amor_en_mi.html"&gt;</v>
      </c>
      <c r="Y1648"/>
      <c r="AC1648" s="1"/>
    </row>
    <row r="1649" spans="1:29" x14ac:dyDescent="0.3">
      <c r="A1649" s="1">
        <f>ROW(CantoralDB[[#This Row],[Título]])-1</f>
        <v>1648</v>
      </c>
      <c r="B1649" s="1" t="s">
        <v>165</v>
      </c>
      <c r="C1649" s="1" t="s">
        <v>990</v>
      </c>
      <c r="D1649" s="1" t="s">
        <v>1015</v>
      </c>
      <c r="E1649" s="1">
        <v>473</v>
      </c>
      <c r="G1649" s="1" t="s">
        <v>208</v>
      </c>
      <c r="H1649" s="1" t="s">
        <v>529</v>
      </c>
      <c r="I1649" s="1" t="s">
        <v>2948</v>
      </c>
      <c r="J1649" s="1" t="s">
        <v>605</v>
      </c>
      <c r="M1649" s="15" t="s">
        <v>792</v>
      </c>
      <c r="O1649" s="15"/>
      <c r="P1649" s="15"/>
      <c r="Q1649" s="15" t="str" cm="1">
        <f t="array" ref="Q16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49" s="15" t="str" cm="1">
        <f t="array" ref="R16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canciones/nsb/volar.html</v>
      </c>
      <c r="T1649" s="1"/>
      <c r="U1649" s="1"/>
      <c r="V1649" s="32" t="s">
        <v>5337</v>
      </c>
      <c r="W16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data-momento="Comunión" data-nnew="K81" data-nold="473"&gt;&lt;a href="canciones/nsb/volar.html"&gt;Volar&lt;/a&gt;&lt;/li&gt;</v>
      </c>
      <c r="X1649" s="15" t="str">
        <f>_xlfn.TEXTBEFORE(_xlfn.TEXTAFTER(CantoralDB[[#This Row],[index.html]],"&gt;"),"&gt;")&amp;"&gt;"</f>
        <v>&lt;a href="canciones/nsb/volar.html"&gt;</v>
      </c>
      <c r="Y1649"/>
      <c r="AC1649" s="1"/>
    </row>
    <row r="1650" spans="1:29" x14ac:dyDescent="0.3">
      <c r="A1650" s="1">
        <f>ROW(CantoralDB[[#This Row],[Título]])-1</f>
        <v>1649</v>
      </c>
      <c r="B1650" s="1" t="s">
        <v>604</v>
      </c>
      <c r="C1650" s="1" t="s">
        <v>210</v>
      </c>
      <c r="D1650" s="1" t="s">
        <v>1464</v>
      </c>
      <c r="G1650" s="1" t="s">
        <v>599</v>
      </c>
      <c r="H1650" s="1" t="s">
        <v>1024</v>
      </c>
      <c r="J1650" s="1" t="s">
        <v>605</v>
      </c>
      <c r="M1650" s="15" t="s">
        <v>632</v>
      </c>
      <c r="O1650" s="15"/>
      <c r="P1650" s="15"/>
      <c r="Q1650" s="15" t="str" cm="1">
        <f t="array" ref="Q16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0" s="15" t="str" cm="1">
        <f t="array" ref="R16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canciones/nsb/secuencia_de_pascua.html</v>
      </c>
      <c r="T1650" s="1"/>
      <c r="U1650" s="1"/>
      <c r="V1650" s="32" t="s">
        <v>5338</v>
      </c>
      <c r="W16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data-author="A. B. Celada Alonso" data-momento="Especiales" data-nnew="P05"&gt;&lt;a href="canciones/nsb/secuencia_de_pascua.html"&gt;Secuencia de Pascua&lt;/a&gt;&lt;/li&gt;</v>
      </c>
      <c r="X1650" s="15" t="str">
        <f>_xlfn.TEXTBEFORE(_xlfn.TEXTAFTER(CantoralDB[[#This Row],[index.html]],"&gt;"),"&gt;")&amp;"&gt;"</f>
        <v>&lt;a href="canciones/nsb/secuencia_de_pascua.html"&gt;</v>
      </c>
      <c r="Y1650"/>
      <c r="AC1650" s="1"/>
    </row>
    <row r="1651" spans="1:29" x14ac:dyDescent="0.3">
      <c r="A1651" s="1">
        <f>ROW(CantoralDB[[#This Row],[Título]])-1</f>
        <v>1650</v>
      </c>
      <c r="B1651" s="1" t="s">
        <v>1289</v>
      </c>
      <c r="C1651" s="1"/>
      <c r="E1651" s="1">
        <v>182</v>
      </c>
      <c r="H1651" s="1" t="s">
        <v>1027</v>
      </c>
      <c r="J1651" s="1" t="s">
        <v>605</v>
      </c>
      <c r="M1651" s="15" t="s">
        <v>2091</v>
      </c>
      <c r="O1651" s="15"/>
      <c r="P1651" s="15"/>
      <c r="Q1651" s="15" t="str" cm="1">
        <f t="array" ref="Q16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1" s="15" t="str" cm="1">
        <f t="array" ref="R16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canciones/nsb/nueva_aurora_en_nuestra_noche.html</v>
      </c>
      <c r="T1651" s="1"/>
      <c r="U1651" s="1"/>
      <c r="V1651" s="32" t="s">
        <v>5339</v>
      </c>
      <c r="W16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data-author="Akepsimas" data-nold="182"&gt;&lt;a href="canciones/nsb/nueva_aurora_en_nuestra_noche.html"&gt;Nueva aurora en nuestra noche&lt;/a&gt;&lt;/li&gt;</v>
      </c>
      <c r="X1651" s="15" t="str">
        <f>_xlfn.TEXTBEFORE(_xlfn.TEXTAFTER(CantoralDB[[#This Row],[index.html]],"&gt;"),"&gt;")&amp;"&gt;"</f>
        <v>&lt;a href="canciones/nsb/nueva_aurora_en_nuestra_noche.html"&gt;</v>
      </c>
      <c r="Y1651"/>
      <c r="AC1651" s="1"/>
    </row>
    <row r="1652" spans="1:29" x14ac:dyDescent="0.3">
      <c r="A1652" s="1">
        <f>ROW(CantoralDB[[#This Row],[Título]])-1</f>
        <v>1651</v>
      </c>
      <c r="B1652" s="1" t="s">
        <v>1318</v>
      </c>
      <c r="C1652" s="1"/>
      <c r="E1652" s="1">
        <v>242</v>
      </c>
      <c r="H1652" s="1" t="s">
        <v>472</v>
      </c>
      <c r="J1652" s="1" t="s">
        <v>605</v>
      </c>
      <c r="M1652" s="15" t="s">
        <v>2091</v>
      </c>
      <c r="O1652" s="15"/>
      <c r="P1652" s="15"/>
      <c r="Q1652" s="15" t="str" cm="1">
        <f t="array" ref="Q16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2" s="15" t="str" cm="1">
        <f t="array" ref="R16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canciones/nsb/si_despierta_el_corazon.html</v>
      </c>
      <c r="T1652" s="1"/>
      <c r="U1652" s="1"/>
      <c r="V1652" s="15"/>
      <c r="W16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data-author="Akepsimas" data-nold="242"&gt;&lt;a href="canciones/nsb/si_despierta_el_corazon.html"&gt;Si despierta el corazón&lt;/a&gt;&lt;/li&gt;</v>
      </c>
      <c r="X1652" s="15" t="str">
        <f>_xlfn.TEXTBEFORE(_xlfn.TEXTAFTER(CantoralDB[[#This Row],[index.html]],"&gt;"),"&gt;")&amp;"&gt;"</f>
        <v>&lt;a href="canciones/nsb/si_despierta_el_corazon.html"&gt;</v>
      </c>
      <c r="Y1652"/>
      <c r="AC1652" s="1"/>
    </row>
    <row r="1653" spans="1:29" x14ac:dyDescent="0.3">
      <c r="A1653" s="1">
        <f>ROW(CantoralDB[[#This Row],[Título]])-1</f>
        <v>1652</v>
      </c>
      <c r="B1653" s="1" t="s">
        <v>1154</v>
      </c>
      <c r="C1653" s="1"/>
      <c r="E1653" s="1">
        <v>6</v>
      </c>
      <c r="H1653" s="1" t="s">
        <v>1024</v>
      </c>
      <c r="J1653" s="1" t="s">
        <v>605</v>
      </c>
      <c r="M1653" s="15" t="s">
        <v>2358</v>
      </c>
      <c r="N1653" s="1" t="s">
        <v>2216</v>
      </c>
      <c r="O1653" s="15"/>
      <c r="P1653" s="15"/>
      <c r="Q1653" s="15" t="str" cm="1">
        <f t="array" ref="Q16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3" s="15" t="str" cm="1">
        <f t="array" ref="R16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canciones/nsb/acompañame_señor_en_la_tribulacion.html</v>
      </c>
      <c r="T1653" s="1"/>
      <c r="U1653" s="1"/>
      <c r="V1653" s="32" t="s">
        <v>3029</v>
      </c>
      <c r="W16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 Coppo" data-nold="6"&gt;&lt;a href="canciones/nsb/acompañame_señor_en_la_tribulacion.html"&gt;Acompáñame, Señor, en la tribulación&lt;/a&gt;&lt;/li&gt;</v>
      </c>
      <c r="X1653" s="15" t="str">
        <f>_xlfn.TEXTBEFORE(_xlfn.TEXTAFTER(CantoralDB[[#This Row],[index.html]],"&gt;"),"&gt;")&amp;"&gt;"</f>
        <v>&lt;a href="canciones/nsb/acompañame_señor_en_la_tribulacion.html"&gt;</v>
      </c>
      <c r="Y1653"/>
      <c r="AC1653" s="1"/>
    </row>
    <row r="1654" spans="1:29" x14ac:dyDescent="0.3">
      <c r="A1654" s="1">
        <f>ROW(CantoralDB[[#This Row],[Título]])-1</f>
        <v>1653</v>
      </c>
      <c r="B1654" s="1" t="s">
        <v>44</v>
      </c>
      <c r="C1654" s="1" t="s">
        <v>990</v>
      </c>
      <c r="D1654" s="1" t="s">
        <v>692</v>
      </c>
      <c r="E1654" s="1">
        <v>83</v>
      </c>
      <c r="G1654" s="1" t="s">
        <v>208</v>
      </c>
      <c r="H1654" s="1" t="s">
        <v>1024</v>
      </c>
      <c r="J1654" s="1" t="s">
        <v>605</v>
      </c>
      <c r="M1654" s="15" t="s">
        <v>572</v>
      </c>
      <c r="N1654" s="1" t="s">
        <v>52</v>
      </c>
      <c r="O1654" s="15">
        <v>1982</v>
      </c>
      <c r="P1654" s="15"/>
      <c r="Q1654" s="15" t="str" cm="1">
        <f t="array" ref="Q16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4" s="15" t="str" cm="1">
        <f t="array" ref="R16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canciones/nsb/dios_es_fiel.html</v>
      </c>
      <c r="T1654" s="1"/>
      <c r="U1654" s="1"/>
      <c r="V1654" s="32" t="s">
        <v>5342</v>
      </c>
      <c r="W16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Taulé" data-momento="Comunión" data-nnew="K22" data-nold="83"&gt;&lt;a href="canciones/nsb/dios_es_fiel.html"&gt;Dios es fiel&lt;/a&gt;&lt;/li&gt;</v>
      </c>
      <c r="X1654" s="15" t="str">
        <f>_xlfn.TEXTBEFORE(_xlfn.TEXTAFTER(CantoralDB[[#This Row],[index.html]],"&gt;"),"&gt;")&amp;"&gt;"</f>
        <v>&lt;a href="canciones/nsb/dios_es_fiel.html"&gt;</v>
      </c>
      <c r="Y1654"/>
      <c r="AC1654" s="1"/>
    </row>
    <row r="1655" spans="1:29" x14ac:dyDescent="0.3">
      <c r="A1655" s="1">
        <f>ROW(CantoralDB[[#This Row],[Título]])-1</f>
        <v>1654</v>
      </c>
      <c r="B1655" s="1" t="s">
        <v>1165</v>
      </c>
      <c r="C1655" s="1"/>
      <c r="E1655" s="1">
        <v>29</v>
      </c>
      <c r="H1655" s="1" t="s">
        <v>529</v>
      </c>
      <c r="J1655" s="1" t="s">
        <v>605</v>
      </c>
      <c r="M1655" s="15" t="s">
        <v>572</v>
      </c>
      <c r="N1655" s="1" t="s">
        <v>5343</v>
      </c>
      <c r="O1655" s="15">
        <v>1989</v>
      </c>
      <c r="P1655" s="15"/>
      <c r="Q1655" s="15" t="str" cm="1">
        <f t="array" ref="Q16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5" s="15" t="str" cm="1">
        <f t="array" ref="R16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canciones/nsb/antes_de_ser_llevado_a_la_muerte.html</v>
      </c>
      <c r="T1655" s="1"/>
      <c r="U1655" s="1"/>
      <c r="V1655" s="32" t="s">
        <v>5341</v>
      </c>
      <c r="W16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Taulé" data-nold="29"&gt;&lt;a href="canciones/nsb/antes_de_ser_llevado_a_la_muerte.html"&gt;Antes de ser llevado a la muerte&lt;/a&gt;&lt;/li&gt;</v>
      </c>
      <c r="X1655" s="15" t="str">
        <f>_xlfn.TEXTBEFORE(_xlfn.TEXTAFTER(CantoralDB[[#This Row],[index.html]],"&gt;"),"&gt;")&amp;"&gt;"</f>
        <v>&lt;a href="canciones/nsb/antes_de_ser_llevado_a_la_muerte.html"&gt;</v>
      </c>
      <c r="Y1655"/>
      <c r="AC1655" s="1"/>
    </row>
    <row r="1656" spans="1:29" x14ac:dyDescent="0.3">
      <c r="A1656" s="1">
        <f>ROW(CantoralDB[[#This Row],[Título]])-1</f>
        <v>1655</v>
      </c>
      <c r="B1656" s="1" t="s">
        <v>52</v>
      </c>
      <c r="C1656" s="1" t="s">
        <v>200</v>
      </c>
      <c r="D1656" s="1" t="s">
        <v>648</v>
      </c>
      <c r="E1656" s="1">
        <v>96</v>
      </c>
      <c r="G1656" s="1" t="s">
        <v>208</v>
      </c>
      <c r="H1656" s="1" t="s">
        <v>1024</v>
      </c>
      <c r="I1656" s="1" t="s">
        <v>2948</v>
      </c>
      <c r="J1656" s="1" t="s">
        <v>605</v>
      </c>
      <c r="M1656" s="15" t="s">
        <v>572</v>
      </c>
      <c r="N1656" s="1" t="s">
        <v>5344</v>
      </c>
      <c r="O1656" s="15">
        <v>1996</v>
      </c>
      <c r="P1656" s="15"/>
      <c r="Q1656" s="15" t="str" cm="1">
        <f t="array" ref="Q16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6" s="15" t="str" cm="1">
        <f t="array" ref="R16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canciones/nsb/el_señor_es_mi_luz.html</v>
      </c>
      <c r="T1656" s="1" t="s">
        <v>823</v>
      </c>
      <c r="U1656" s="1"/>
      <c r="V1656" s="32" t="s">
        <v>5345</v>
      </c>
      <c r="W16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Taulé" data-momento="Antífonas" data-nnew="D13" data-nold="96"&gt;&lt;a href="canciones/nsb/el_señor_es_mi_luz.html"&gt;El Señor es mi luz&lt;/a&gt;&lt;/li&gt;</v>
      </c>
      <c r="X1656" s="15" t="str">
        <f>_xlfn.TEXTBEFORE(_xlfn.TEXTAFTER(CantoralDB[[#This Row],[index.html]],"&gt;"),"&gt;")&amp;"&gt;"</f>
        <v>&lt;a href="canciones/nsb/el_señor_es_mi_luz.html"&gt;</v>
      </c>
      <c r="Y1656"/>
      <c r="AC1656" s="1"/>
    </row>
    <row r="1657" spans="1:29" x14ac:dyDescent="0.3">
      <c r="A1657" s="1">
        <f>ROW(CantoralDB[[#This Row],[Título]])-1</f>
        <v>1656</v>
      </c>
      <c r="B1657" s="1" t="s">
        <v>493</v>
      </c>
      <c r="C1657" s="1" t="s">
        <v>191</v>
      </c>
      <c r="D1657" s="1" t="s">
        <v>1397</v>
      </c>
      <c r="G1657" s="1" t="s">
        <v>494</v>
      </c>
      <c r="H1657" s="1" t="s">
        <v>1027</v>
      </c>
      <c r="J1657" s="1" t="s">
        <v>605</v>
      </c>
      <c r="M1657" s="15" t="s">
        <v>628</v>
      </c>
      <c r="O1657" s="15"/>
      <c r="P1657" s="15"/>
      <c r="Q1657" s="15" t="str" cm="1">
        <f t="array" ref="Q16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7" s="15" t="str" cm="1">
        <f t="array" ref="R16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canciones/nsb/confieso.html</v>
      </c>
      <c r="T1657" s="1"/>
      <c r="U1657" s="1"/>
      <c r="V1657" s="32" t="s">
        <v>5340</v>
      </c>
      <c r="W16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y Emilia" data-momento="Perdón - Agua" data-nnew="B02"&gt;&lt;a href="canciones/nsb/confieso.html"&gt;Confieso&lt;/a&gt;&lt;/li&gt;</v>
      </c>
      <c r="X1657" s="15" t="str">
        <f>_xlfn.TEXTBEFORE(_xlfn.TEXTAFTER(CantoralDB[[#This Row],[index.html]],"&gt;"),"&gt;")&amp;"&gt;"</f>
        <v>&lt;a href="canciones/nsb/confieso.html"&gt;</v>
      </c>
      <c r="Y1657"/>
      <c r="AC1657" s="1"/>
    </row>
    <row r="1658" spans="1:29" x14ac:dyDescent="0.3">
      <c r="A1658" s="1">
        <f>ROW(CantoralDB[[#This Row],[Título]])-1</f>
        <v>1657</v>
      </c>
      <c r="B1658" s="1" t="s">
        <v>63</v>
      </c>
      <c r="C1658" s="1" t="s">
        <v>990</v>
      </c>
      <c r="D1658" s="1" t="s">
        <v>703</v>
      </c>
      <c r="E1658" s="1">
        <v>425</v>
      </c>
      <c r="G1658" s="1" t="s">
        <v>208</v>
      </c>
      <c r="H1658" s="1" t="s">
        <v>529</v>
      </c>
      <c r="J1658" s="1" t="s">
        <v>605</v>
      </c>
      <c r="M1658" s="15" t="s">
        <v>628</v>
      </c>
      <c r="O1658" s="15"/>
      <c r="P1658" s="15"/>
      <c r="Q1658" s="15" t="str" cm="1">
        <f t="array" ref="Q16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8" s="15" t="str" cm="1">
        <f t="array" ref="R16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canciones/nsb/es_de_locos.html</v>
      </c>
      <c r="T1658" s="1"/>
      <c r="U1658" s="1"/>
      <c r="V1658" s="32" t="s">
        <v>5346</v>
      </c>
      <c r="W16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y Emilia" data-momento="Comunión" data-nnew="K33" data-nold="425"&gt;&lt;a href="canciones/nsb/es_de_locos.html"&gt;Es de locos&lt;/a&gt;&lt;/li&gt;</v>
      </c>
      <c r="X1658" s="15" t="str">
        <f>_xlfn.TEXTBEFORE(_xlfn.TEXTAFTER(CantoralDB[[#This Row],[index.html]],"&gt;"),"&gt;")&amp;"&gt;"</f>
        <v>&lt;a href="canciones/nsb/es_de_locos.html"&gt;</v>
      </c>
      <c r="Y1658"/>
      <c r="AC1658" s="1"/>
    </row>
    <row r="1659" spans="1:29" x14ac:dyDescent="0.3">
      <c r="A1659" s="1">
        <f>ROW(CantoralDB[[#This Row],[Título]])-1</f>
        <v>1658</v>
      </c>
      <c r="B1659" s="1" t="s">
        <v>225</v>
      </c>
      <c r="C1659" s="1" t="s">
        <v>190</v>
      </c>
      <c r="D1659" s="1" t="s">
        <v>756</v>
      </c>
      <c r="G1659" s="1" t="s">
        <v>215</v>
      </c>
      <c r="H1659" s="1" t="s">
        <v>1027</v>
      </c>
      <c r="J1659" s="1" t="s">
        <v>605</v>
      </c>
      <c r="M1659" s="15" t="s">
        <v>492</v>
      </c>
      <c r="O1659" s="15"/>
      <c r="P1659" s="15"/>
      <c r="Q1659" s="15" t="str" cm="1">
        <f t="array" ref="Q16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59" s="15" t="str" cm="1">
        <f t="array" ref="R16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canciones/nsb/ven_a_celebrar.html</v>
      </c>
      <c r="T1659" s="1"/>
      <c r="U1659" s="1"/>
      <c r="V1659" s="32" t="s">
        <v>5347</v>
      </c>
      <c r="W16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data-author="Alborada" data-momento="Entrada" data-nnew="A39"&gt;&lt;a href="canciones/nsb/ven_a_celebrar.html"&gt;Ven a celebrar&lt;/a&gt;&lt;/li&gt;</v>
      </c>
      <c r="X1659" s="15" t="str">
        <f>_xlfn.TEXTBEFORE(_xlfn.TEXTAFTER(CantoralDB[[#This Row],[index.html]],"&gt;"),"&gt;")&amp;"&gt;"</f>
        <v>&lt;a href="canciones/nsb/ven_a_celebrar.html"&gt;</v>
      </c>
      <c r="Y1659"/>
      <c r="AC1659" s="1"/>
    </row>
    <row r="1660" spans="1:29" x14ac:dyDescent="0.3">
      <c r="A1660" s="1">
        <f>ROW(CantoralDB[[#This Row],[Título]])-1</f>
        <v>1659</v>
      </c>
      <c r="B1660" s="1" t="s">
        <v>170</v>
      </c>
      <c r="C1660" s="1" t="s">
        <v>194</v>
      </c>
      <c r="D1660" s="1" t="s">
        <v>772</v>
      </c>
      <c r="E1660" s="1">
        <v>476</v>
      </c>
      <c r="G1660" s="1" t="s">
        <v>208</v>
      </c>
      <c r="H1660" s="1" t="s">
        <v>472</v>
      </c>
      <c r="I1660" s="1" t="s">
        <v>2948</v>
      </c>
      <c r="J1660" s="1" t="s">
        <v>605</v>
      </c>
      <c r="M1660" s="15" t="s">
        <v>492</v>
      </c>
      <c r="O1660" s="15"/>
      <c r="P1660" s="15"/>
      <c r="Q1660" s="15" t="str" cm="1">
        <f t="array" ref="Q16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0" s="15" t="str" cm="1">
        <f t="array" ref="R16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canciones/nsb/yo_soy_la_vida_y_la_verdad.html</v>
      </c>
      <c r="T1660" s="1" t="s">
        <v>868</v>
      </c>
      <c r="U1660" s="1"/>
      <c r="V1660" s="32" t="s">
        <v>5348</v>
      </c>
      <c r="W16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data-author="Alborada" data-momento="Ofertorio" data-nnew="F20" data-nold="476"&gt;&lt;a href="canciones/nsb/yo_soy_la_vida_y_la_verdad.html"&gt;Yo soy la Vida y la Verdad&lt;/a&gt;&lt;/li&gt;</v>
      </c>
      <c r="X1660" s="15" t="str">
        <f>_xlfn.TEXTBEFORE(_xlfn.TEXTAFTER(CantoralDB[[#This Row],[index.html]],"&gt;"),"&gt;")&amp;"&gt;"</f>
        <v>&lt;a href="canciones/nsb/yo_soy_la_vida_y_la_verdad.html"&gt;</v>
      </c>
      <c r="Y1660"/>
      <c r="AC1660" s="1"/>
    </row>
    <row r="1661" spans="1:29" x14ac:dyDescent="0.3">
      <c r="A1661" s="1">
        <f>ROW(CantoralDB[[#This Row],[Título]])-1</f>
        <v>1660</v>
      </c>
      <c r="B1661" s="1" t="s">
        <v>618</v>
      </c>
      <c r="C1661" s="1" t="s">
        <v>201</v>
      </c>
      <c r="D1661" s="1" t="s">
        <v>1402</v>
      </c>
      <c r="G1661" s="1" t="s">
        <v>208</v>
      </c>
      <c r="H1661" s="1" t="s">
        <v>1027</v>
      </c>
      <c r="J1661" s="1" t="s">
        <v>605</v>
      </c>
      <c r="M1661" s="15" t="s">
        <v>617</v>
      </c>
      <c r="O1661" s="15"/>
      <c r="P1661" s="15"/>
      <c r="Q1661" s="15" t="str" cm="1">
        <f t="array" ref="Q16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1" s="15" t="str" cm="1">
        <f t="array" ref="R16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canciones/nsb/cordero_de_dios_(maristas).html</v>
      </c>
      <c r="T1661" s="1"/>
      <c r="U1661" s="1"/>
      <c r="V1661" s="32" t="s">
        <v>4867</v>
      </c>
      <c r="W16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Mejía" data-momento="Cordero de Dios" data-nnew="J05"&gt;&lt;a href="canciones/nsb/cordero_de_dios_(maristas).html"&gt;Cordero de Dios (Maristas)&lt;/a&gt;&lt;/li&gt;</v>
      </c>
      <c r="X1661" s="15" t="str">
        <f>_xlfn.TEXTBEFORE(_xlfn.TEXTAFTER(CantoralDB[[#This Row],[index.html]],"&gt;"),"&gt;")&amp;"&gt;"</f>
        <v>&lt;a href="canciones/nsb/cordero_de_dios_(maristas).html"&gt;</v>
      </c>
      <c r="Y1661"/>
      <c r="AC1661" s="1"/>
    </row>
    <row r="1662" spans="1:29" x14ac:dyDescent="0.3">
      <c r="A1662" s="1">
        <f>ROW(CantoralDB[[#This Row],[Título]])-1</f>
        <v>1661</v>
      </c>
      <c r="B1662" s="1" t="s">
        <v>2355</v>
      </c>
      <c r="C1662" s="1"/>
      <c r="E1662" s="1" t="s">
        <v>2356</v>
      </c>
      <c r="H1662" s="1" t="s">
        <v>1024</v>
      </c>
      <c r="J1662" s="1" t="s">
        <v>605</v>
      </c>
      <c r="M1662" s="15" t="s">
        <v>2357</v>
      </c>
      <c r="N1662" s="1" t="s">
        <v>5350</v>
      </c>
      <c r="O1662" s="15">
        <v>1987</v>
      </c>
      <c r="P1662" s="15"/>
      <c r="Q1662" s="15" t="str" cm="1">
        <f t="array" ref="Q16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2" s="15" t="str" cm="1">
        <f t="array" ref="R16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canciones/nsb/hoy_señor_me_has_vuelto_a_perdonar.html</v>
      </c>
      <c r="T1662" s="1"/>
      <c r="U1662" s="1"/>
      <c r="V1662" s="32" t="s">
        <v>5349</v>
      </c>
      <c r="W16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data-author="Alfonso Luna" data-nold="306b"&gt;&lt;a href="canciones/nsb/hoy_señor_me_has_vuelto_a_perdonar.html"&gt;Hoy, Señor, me has vuelto a perdonar&lt;/a&gt;&lt;/li&gt;</v>
      </c>
      <c r="X1662" s="15" t="str">
        <f>_xlfn.TEXTBEFORE(_xlfn.TEXTAFTER(CantoralDB[[#This Row],[index.html]],"&gt;"),"&gt;")&amp;"&gt;"</f>
        <v>&lt;a href="canciones/nsb/hoy_señor_me_has_vuelto_a_perdonar.html"&gt;</v>
      </c>
      <c r="Y1662"/>
      <c r="AC1662" s="1"/>
    </row>
    <row r="1663" spans="1:29" x14ac:dyDescent="0.3">
      <c r="A1663" s="1">
        <f>ROW(CantoralDB[[#This Row],[Título]])-1</f>
        <v>1662</v>
      </c>
      <c r="B1663" s="1" t="s">
        <v>622</v>
      </c>
      <c r="C1663" s="1" t="s">
        <v>990</v>
      </c>
      <c r="D1663" s="1" t="s">
        <v>1005</v>
      </c>
      <c r="G1663" s="1" t="s">
        <v>208</v>
      </c>
      <c r="H1663" s="1" t="s">
        <v>1026</v>
      </c>
      <c r="J1663" s="1" t="s">
        <v>605</v>
      </c>
      <c r="M1663" s="15" t="s">
        <v>570</v>
      </c>
      <c r="O1663" s="15"/>
      <c r="P1663" s="15"/>
      <c r="Q1663" s="15" t="str" cm="1">
        <f t="array" ref="Q16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3" s="15" t="str" cm="1">
        <f t="array" ref="R16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canciones/nsb/tanto_amo_dios_al_mundo.html</v>
      </c>
      <c r="T1663" s="1"/>
      <c r="U1663" s="1"/>
      <c r="V1663" s="32" t="s">
        <v>5351</v>
      </c>
      <c r="W16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data-author="Alicia Mendoza" data-momento="Comunión" data-nnew="K71"&gt;&lt;a href="canciones/nsb/tanto_amo_dios_al_mundo.html"&gt;Tanto amó Dios al mundo&lt;/a&gt;&lt;/li&gt;</v>
      </c>
      <c r="X1663" s="15" t="str">
        <f>_xlfn.TEXTBEFORE(_xlfn.TEXTAFTER(CantoralDB[[#This Row],[index.html]],"&gt;"),"&gt;")&amp;"&gt;"</f>
        <v>&lt;a href="canciones/nsb/tanto_amo_dios_al_mundo.html"&gt;</v>
      </c>
      <c r="Y1663"/>
      <c r="AC1663" s="1"/>
    </row>
    <row r="1664" spans="1:29" x14ac:dyDescent="0.3">
      <c r="A1664" s="1">
        <f>ROW(CantoralDB[[#This Row],[Título]])-1</f>
        <v>1663</v>
      </c>
      <c r="B1664" s="1" t="s">
        <v>503</v>
      </c>
      <c r="C1664" s="1" t="s">
        <v>192</v>
      </c>
      <c r="D1664" s="1" t="s">
        <v>1423</v>
      </c>
      <c r="E1664" s="1">
        <v>127</v>
      </c>
      <c r="G1664" s="1" t="s">
        <v>208</v>
      </c>
      <c r="H1664" s="1" t="s">
        <v>1027</v>
      </c>
      <c r="J1664" s="1" t="s">
        <v>605</v>
      </c>
      <c r="M1664" s="15" t="s">
        <v>2883</v>
      </c>
      <c r="O1664" s="15"/>
      <c r="P1664" s="15"/>
      <c r="Q1664" s="15" t="str" cm="1">
        <f t="array" ref="Q16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4" s="15" t="str" cm="1">
        <f t="array" ref="R16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canciones/nsb/gloria_gloria_aleluya.html</v>
      </c>
      <c r="T1664" s="1"/>
      <c r="U1664" s="1"/>
      <c r="V1664" s="32" t="s">
        <v>5352</v>
      </c>
      <c r="W16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data-author="Andrés Barriales" data-momento="Gloria" data-nnew="C06" data-nold="127"&gt;&lt;a href="canciones/nsb/gloria_gloria_aleluya.html"&gt;Gloria, gloria, aleluya&lt;/a&gt;&lt;/li&gt;</v>
      </c>
      <c r="X1664" s="15" t="str">
        <f>_xlfn.TEXTBEFORE(_xlfn.TEXTAFTER(CantoralDB[[#This Row],[index.html]],"&gt;"),"&gt;")&amp;"&gt;"</f>
        <v>&lt;a href="canciones/nsb/gloria_gloria_aleluya.html"&gt;</v>
      </c>
      <c r="Y1664"/>
      <c r="AC1664" s="1"/>
    </row>
    <row r="1665" spans="1:29" x14ac:dyDescent="0.3">
      <c r="A1665" s="1">
        <f>ROW(CantoralDB[[#This Row],[Título]])-1</f>
        <v>1664</v>
      </c>
      <c r="B1665" s="1" t="s">
        <v>76</v>
      </c>
      <c r="C1665" s="1" t="s">
        <v>198</v>
      </c>
      <c r="D1665" s="1" t="s">
        <v>1428</v>
      </c>
      <c r="E1665" s="1">
        <v>139</v>
      </c>
      <c r="F1665" s="1">
        <v>354</v>
      </c>
      <c r="G1665" s="1" t="s">
        <v>208</v>
      </c>
      <c r="H1665" s="1" t="s">
        <v>529</v>
      </c>
      <c r="I1665" s="1" t="s">
        <v>2948</v>
      </c>
      <c r="J1665" s="1" t="s">
        <v>605</v>
      </c>
      <c r="M1665" s="15" t="s">
        <v>2883</v>
      </c>
      <c r="O1665" s="15"/>
      <c r="P1665" s="15"/>
      <c r="Q1665" s="15" t="str" cm="1">
        <f t="array" ref="Q16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5" s="15" t="str" cm="1">
        <f t="array" ref="R16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canciones/nsb/hoy_el_señor_resucito.html</v>
      </c>
      <c r="T1665" s="1"/>
      <c r="U1665" s="1"/>
      <c r="V1665" s="32" t="s">
        <v>5353</v>
      </c>
      <c r="W16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data-author="Andrés Barriales" data-momento="Despedida" data-nnew="L03" data-nold="139" data-nrcc="354"&gt;&lt;a href="canciones/nsb/hoy_el_señor_resucito.html"&gt;Hoy el Señor resucitó&lt;/a&gt;&lt;/li&gt;</v>
      </c>
      <c r="X1665" s="15" t="str">
        <f>_xlfn.TEXTBEFORE(_xlfn.TEXTAFTER(CantoralDB[[#This Row],[index.html]],"&gt;"),"&gt;")&amp;"&gt;"</f>
        <v>&lt;a href="canciones/nsb/hoy_el_señor_resucito.html"&gt;</v>
      </c>
      <c r="Y1665"/>
      <c r="AC1665" s="1"/>
    </row>
    <row r="1666" spans="1:29" x14ac:dyDescent="0.3">
      <c r="A1666" s="1">
        <f>ROW(CantoralDB[[#This Row],[Título]])-1</f>
        <v>1665</v>
      </c>
      <c r="B1666" s="1" t="s">
        <v>1290</v>
      </c>
      <c r="C1666" s="1"/>
      <c r="E1666" s="1">
        <v>183</v>
      </c>
      <c r="H1666" s="1" t="s">
        <v>529</v>
      </c>
      <c r="J1666" s="1" t="s">
        <v>605</v>
      </c>
      <c r="M1666" s="15" t="s">
        <v>2883</v>
      </c>
      <c r="O1666" s="15"/>
      <c r="P1666" s="15"/>
      <c r="Q1666" s="15" t="str" cm="1">
        <f t="array" ref="Q16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6" s="15" t="str" cm="1">
        <f t="array" ref="R16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canciones/nsb/nosotros_venceremos.html</v>
      </c>
      <c r="T1666" s="1"/>
      <c r="U1666" s="1"/>
      <c r="V1666" s="32" t="s">
        <v>5354</v>
      </c>
      <c r="W16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data-author="Andrés Barriales" data-nold="183"&gt;&lt;a href="canciones/nsb/nosotros_venceremos.html"&gt;Nosotros venceremos&lt;/a&gt;&lt;/li&gt;</v>
      </c>
      <c r="X1666" s="15" t="str">
        <f>_xlfn.TEXTBEFORE(_xlfn.TEXTAFTER(CantoralDB[[#This Row],[index.html]],"&gt;"),"&gt;")&amp;"&gt;"</f>
        <v>&lt;a href="canciones/nsb/nosotros_venceremos.html"&gt;</v>
      </c>
      <c r="Y1666"/>
      <c r="AC1666" s="1"/>
    </row>
    <row r="1667" spans="1:29" x14ac:dyDescent="0.3">
      <c r="A1667" s="1">
        <f>ROW(CantoralDB[[#This Row],[Título]])-1</f>
        <v>1666</v>
      </c>
      <c r="B1667" s="1" t="s">
        <v>236</v>
      </c>
      <c r="C1667" s="1" t="s">
        <v>199</v>
      </c>
      <c r="D1667" s="1" t="s">
        <v>1048</v>
      </c>
      <c r="G1667" s="1" t="s">
        <v>208</v>
      </c>
      <c r="H1667" s="1" t="s">
        <v>1024</v>
      </c>
      <c r="J1667" s="1" t="s">
        <v>605</v>
      </c>
      <c r="M1667" s="15" t="s">
        <v>575</v>
      </c>
      <c r="O1667" s="15"/>
      <c r="P1667" s="15"/>
      <c r="Q1667" s="15" t="str" cm="1">
        <f t="array" ref="Q16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7" s="15" t="str" cm="1">
        <f t="array" ref="R16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canciones/nsb/quiero_caminar_contigo_maria.html</v>
      </c>
      <c r="T1667" s="1"/>
      <c r="U1667" s="1"/>
      <c r="V1667" s="32" t="s">
        <v>4847</v>
      </c>
      <c r="W16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data-author="Athenas" data-momento="María" data-nnew="M17"&gt;&lt;a href="canciones/nsb/quiero_caminar_contigo_maria.html"&gt;Quiero caminar contigo, María&lt;/a&gt;&lt;/li&gt;</v>
      </c>
      <c r="X1667" s="15" t="str">
        <f>_xlfn.TEXTBEFORE(_xlfn.TEXTAFTER(CantoralDB[[#This Row],[index.html]],"&gt;"),"&gt;")&amp;"&gt;"</f>
        <v>&lt;a href="canciones/nsb/quiero_caminar_contigo_maria.html"&gt;</v>
      </c>
      <c r="Y1667"/>
      <c r="AC1667" s="1"/>
    </row>
    <row r="1668" spans="1:29" x14ac:dyDescent="0.3">
      <c r="A1668" s="1">
        <f>ROW(CantoralDB[[#This Row],[Título]])-1</f>
        <v>1667</v>
      </c>
      <c r="B1668" s="1" t="s">
        <v>180</v>
      </c>
      <c r="C1668" s="1" t="s">
        <v>990</v>
      </c>
      <c r="D1668" s="1" t="s">
        <v>699</v>
      </c>
      <c r="F1668" s="1">
        <v>303</v>
      </c>
      <c r="G1668" s="1" t="s">
        <v>208</v>
      </c>
      <c r="H1668" s="1" t="s">
        <v>529</v>
      </c>
      <c r="J1668" s="1" t="s">
        <v>605</v>
      </c>
      <c r="M1668" s="15" t="s">
        <v>586</v>
      </c>
      <c r="O1668" s="15"/>
      <c r="P1668" s="15"/>
      <c r="Q1668" s="15" t="str" cm="1">
        <f t="array" ref="Q16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8" s="15" t="str" cm="1">
        <f t="array" ref="R16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canciones/nsb/el_vendra_y_te_salvara.html</v>
      </c>
      <c r="T1668" s="1" t="s">
        <v>826</v>
      </c>
      <c r="U1668" s="1"/>
      <c r="V1668" s="32" t="s">
        <v>4537</v>
      </c>
      <c r="W16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data-author="Bob Fitts y Gary Sadler" data-momento="Comunión" data-nnew="K29" data-nrcc="303"&gt;&lt;a href="canciones/nsb/el_vendra_y_te_salvara.html"&gt;Él vendrá y te salvará&lt;/a&gt;&lt;/li&gt;</v>
      </c>
      <c r="X1668" s="15" t="str">
        <f>_xlfn.TEXTBEFORE(_xlfn.TEXTAFTER(CantoralDB[[#This Row],[index.html]],"&gt;"),"&gt;")&amp;"&gt;"</f>
        <v>&lt;a href="canciones/nsb/el_vendra_y_te_salvara.html"&gt;</v>
      </c>
      <c r="Y1668"/>
      <c r="AC1668" s="1"/>
    </row>
    <row r="1669" spans="1:29" x14ac:dyDescent="0.3">
      <c r="A1669" s="1">
        <f>ROW(CantoralDB[[#This Row],[Título]])-1</f>
        <v>1668</v>
      </c>
      <c r="B1669" s="1" t="s">
        <v>1166</v>
      </c>
      <c r="C1669" s="1"/>
      <c r="E1669" s="1">
        <v>30</v>
      </c>
      <c r="H1669" s="1" t="s">
        <v>1025</v>
      </c>
      <c r="J1669" s="1" t="s">
        <v>605</v>
      </c>
      <c r="M1669" s="15" t="s">
        <v>2073</v>
      </c>
      <c r="O1669" s="15"/>
      <c r="P1669" s="15"/>
      <c r="Q1669" s="15" t="str" cm="1">
        <f t="array" ref="Q16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69" s="15" t="str" cm="1">
        <f t="array" ref="R16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canciones/nsb/arriba_nubes_negras.html</v>
      </c>
      <c r="T1669" s="1"/>
      <c r="U1669" s="1"/>
      <c r="V1669" s="15"/>
      <c r="W16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data-author="Cantos S Cateq" data-nold="30"&gt;&lt;a href="canciones/nsb/arriba_nubes_negras.html"&gt;Arriba nubes negras&lt;/a&gt;&lt;/li&gt;</v>
      </c>
      <c r="X1669" s="15" t="str">
        <f>_xlfn.TEXTBEFORE(_xlfn.TEXTAFTER(CantoralDB[[#This Row],[index.html]],"&gt;"),"&gt;")&amp;"&gt;"</f>
        <v>&lt;a href="canciones/nsb/arriba_nubes_negras.html"&gt;</v>
      </c>
      <c r="Y1669"/>
      <c r="AC1669" s="1"/>
    </row>
    <row r="1670" spans="1:29" x14ac:dyDescent="0.3">
      <c r="A1670" s="1">
        <f>ROW(CantoralDB[[#This Row],[Título]])-1</f>
        <v>1669</v>
      </c>
      <c r="B1670" s="1" t="s">
        <v>1201</v>
      </c>
      <c r="C1670" s="1"/>
      <c r="E1670" s="1">
        <v>81</v>
      </c>
      <c r="H1670" s="1" t="s">
        <v>1027</v>
      </c>
      <c r="J1670" s="1" t="s">
        <v>605</v>
      </c>
      <c r="M1670" s="15" t="s">
        <v>2073</v>
      </c>
      <c r="O1670" s="15"/>
      <c r="P1670" s="15"/>
      <c r="Q1670" s="15" t="str" cm="1">
        <f t="array" ref="Q16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0" s="15" t="str" cm="1">
        <f t="array" ref="R16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canciones/nsb/de_jerusalen_bajaba_a_jerico.html</v>
      </c>
      <c r="T1670" s="1"/>
      <c r="U1670" s="1"/>
      <c r="V1670" s="32" t="s">
        <v>1476</v>
      </c>
      <c r="W16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data-author="Cantos S Cateq" data-nold="81"&gt;&lt;a href="canciones/nsb/de_jerusalen_bajaba_a_jerico.html"&gt;De Jerusalén bajaba a Jericó&lt;/a&gt;&lt;/li&gt;</v>
      </c>
      <c r="X1670" s="15" t="str">
        <f>_xlfn.TEXTBEFORE(_xlfn.TEXTAFTER(CantoralDB[[#This Row],[index.html]],"&gt;"),"&gt;")&amp;"&gt;"</f>
        <v>&lt;a href="canciones/nsb/de_jerusalen_bajaba_a_jerico.html"&gt;</v>
      </c>
      <c r="Y1670"/>
      <c r="AC1670" s="1"/>
    </row>
    <row r="1671" spans="1:29" x14ac:dyDescent="0.3">
      <c r="A1671" s="1">
        <f>ROW(CantoralDB[[#This Row],[Título]])-1</f>
        <v>1670</v>
      </c>
      <c r="B1671" s="1" t="s">
        <v>203</v>
      </c>
      <c r="C1671" s="1" t="s">
        <v>990</v>
      </c>
      <c r="D1671" s="1" t="s">
        <v>1035</v>
      </c>
      <c r="E1671" s="1">
        <v>23</v>
      </c>
      <c r="G1671" s="1" t="s">
        <v>208</v>
      </c>
      <c r="H1671" s="1" t="s">
        <v>1024</v>
      </c>
      <c r="I1671" s="1" t="s">
        <v>2948</v>
      </c>
      <c r="J1671" s="1" t="s">
        <v>605</v>
      </c>
      <c r="M1671" s="15" t="s">
        <v>539</v>
      </c>
      <c r="O1671" s="15"/>
      <c r="P1671" s="15"/>
      <c r="Q1671" s="15" t="str" cm="1">
        <f t="array" ref="Q16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1" s="15" t="str" cm="1">
        <f t="array" ref="R16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canciones/nsb/alza_tu_mano_(comunidad).html</v>
      </c>
      <c r="T1671" s="1"/>
      <c r="U1671" s="1"/>
      <c r="V1671" s="15"/>
      <c r="W16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data-author="Comunidad San Pedro" data-momento="Comunión" data-nnew="K07" data-nold="23"&gt;&lt;a href="canciones/nsb/alza_tu_mano_(comunidad).html"&gt;Alza tu mano (Comunidad)&lt;/a&gt;&lt;/li&gt;</v>
      </c>
      <c r="X1671" s="15" t="str">
        <f>_xlfn.TEXTBEFORE(_xlfn.TEXTAFTER(CantoralDB[[#This Row],[index.html]],"&gt;"),"&gt;")&amp;"&gt;"</f>
        <v>&lt;a href="canciones/nsb/alza_tu_mano_(comunidad).html"&gt;</v>
      </c>
      <c r="Y1671"/>
      <c r="AC1671" s="1"/>
    </row>
    <row r="1672" spans="1:29" x14ac:dyDescent="0.3">
      <c r="A1672" s="1">
        <f>ROW(CantoralDB[[#This Row],[Título]])-1</f>
        <v>1671</v>
      </c>
      <c r="B1672" s="1" t="s">
        <v>549</v>
      </c>
      <c r="C1672" s="1" t="s">
        <v>475</v>
      </c>
      <c r="D1672" s="1" t="s">
        <v>1065</v>
      </c>
      <c r="E1672" s="1">
        <v>171</v>
      </c>
      <c r="H1672" s="1" t="s">
        <v>1026</v>
      </c>
      <c r="J1672" s="1" t="s">
        <v>605</v>
      </c>
      <c r="M1672" s="15" t="s">
        <v>539</v>
      </c>
      <c r="O1672" s="15"/>
      <c r="P1672" s="15"/>
      <c r="Q1672" s="15" t="str" cm="1">
        <f t="array" ref="Q16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2" s="15" t="str" cm="1">
        <f t="array" ref="R16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canciones/nsb/vivid_la_navidad.html</v>
      </c>
      <c r="T1672" s="1"/>
      <c r="U1672" s="1"/>
      <c r="V1672" s="15"/>
      <c r="W16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data-author="Comunidad San Pedro" data-momento="Navidad" data-nnew="O18" data-nold="171"&gt;&lt;a href="canciones/nsb/vivid_la_navidad.html"&gt;Vivid la Navidad&lt;/a&gt;&lt;/li&gt;</v>
      </c>
      <c r="X1672" s="15" t="str">
        <f>_xlfn.TEXTBEFORE(_xlfn.TEXTAFTER(CantoralDB[[#This Row],[index.html]],"&gt;"),"&gt;")&amp;"&gt;"</f>
        <v>&lt;a href="canciones/nsb/vivid_la_navidad.html"&gt;</v>
      </c>
      <c r="Y1672"/>
      <c r="AC1672" s="1"/>
    </row>
    <row r="1673" spans="1:29" x14ac:dyDescent="0.3">
      <c r="A1673" s="1">
        <f>ROW(CantoralDB[[#This Row],[Título]])-1</f>
        <v>1672</v>
      </c>
      <c r="B1673" s="1" t="s">
        <v>68</v>
      </c>
      <c r="C1673" s="1" t="s">
        <v>192</v>
      </c>
      <c r="D1673" s="1" t="s">
        <v>1420</v>
      </c>
      <c r="E1673" s="1">
        <v>426</v>
      </c>
      <c r="F1673" s="1">
        <v>284</v>
      </c>
      <c r="G1673" s="1" t="s">
        <v>208</v>
      </c>
      <c r="H1673" s="1" t="s">
        <v>529</v>
      </c>
      <c r="I1673" s="1" t="s">
        <v>2949</v>
      </c>
      <c r="J1673" s="1" t="s">
        <v>605</v>
      </c>
      <c r="M1673" s="15" t="s">
        <v>504</v>
      </c>
      <c r="N1673" s="1" t="s">
        <v>5355</v>
      </c>
      <c r="O1673" s="15"/>
      <c r="P1673" s="15">
        <v>1980</v>
      </c>
      <c r="Q1673" s="15" t="str" cm="1">
        <f t="array" ref="Q16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3" s="15" t="str" cm="1">
        <f t="array" ref="R16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canciones/nsb/gloria_a_dios_gloria_al_padre.html</v>
      </c>
      <c r="T1673" s="1"/>
      <c r="U1673" s="1"/>
      <c r="V1673" s="32" t="s">
        <v>5356</v>
      </c>
      <c r="W16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data-author="Coral Católica Juvenil" data-momento="Gloria" data-nnew="C03" data-nold="426" data-nrcc="284"&gt;&lt;a href="canciones/nsb/gloria_a_dios_gloria_al_padre.html"&gt;Gloria a Dios, gloria al Padre&lt;/a&gt;&lt;/li&gt;</v>
      </c>
      <c r="X1673" s="15" t="str">
        <f>_xlfn.TEXTBEFORE(_xlfn.TEXTAFTER(CantoralDB[[#This Row],[index.html]],"&gt;"),"&gt;")&amp;"&gt;"</f>
        <v>&lt;a href="canciones/nsb/gloria_a_dios_gloria_al_padre.html"&gt;</v>
      </c>
      <c r="Y1673"/>
      <c r="AC1673" s="1"/>
    </row>
    <row r="1674" spans="1:29" x14ac:dyDescent="0.3">
      <c r="A1674" s="1">
        <f>ROW(CantoralDB[[#This Row],[Título]])-1</f>
        <v>1673</v>
      </c>
      <c r="B1674" s="1" t="s">
        <v>133</v>
      </c>
      <c r="C1674" s="1" t="s">
        <v>191</v>
      </c>
      <c r="D1674" s="1" t="s">
        <v>1465</v>
      </c>
      <c r="E1674" s="1">
        <v>460</v>
      </c>
      <c r="G1674" s="1" t="s">
        <v>208</v>
      </c>
      <c r="H1674" s="1" t="s">
        <v>529</v>
      </c>
      <c r="I1674" s="1" t="s">
        <v>2949</v>
      </c>
      <c r="J1674" s="1" t="s">
        <v>605</v>
      </c>
      <c r="M1674" s="15" t="s">
        <v>789</v>
      </c>
      <c r="O1674" s="15"/>
      <c r="P1674" s="15"/>
      <c r="Q1674" s="15" t="str" cm="1">
        <f t="array" ref="Q16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4" s="15" t="str" cm="1">
        <f t="array" ref="R16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canciones/nsb/señor_ten_piedad.html</v>
      </c>
      <c r="T1674" s="1"/>
      <c r="U1674" s="1"/>
      <c r="V1674" s="15"/>
      <c r="W16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data-author="Coro Niño Jesús (Cádiz)" data-momento="Perdón - Agua" data-nnew="B06" data-nold="460"&gt;&lt;a href="canciones/nsb/señor_ten_piedad.html"&gt;Señor, ten piedad&lt;/a&gt;&lt;/li&gt;</v>
      </c>
      <c r="X1674" s="15" t="str">
        <f>_xlfn.TEXTBEFORE(_xlfn.TEXTAFTER(CantoralDB[[#This Row],[index.html]],"&gt;"),"&gt;")&amp;"&gt;"</f>
        <v>&lt;a href="canciones/nsb/señor_ten_piedad.html"&gt;</v>
      </c>
      <c r="Y1674"/>
      <c r="AC1674" s="1"/>
    </row>
    <row r="1675" spans="1:29" x14ac:dyDescent="0.3">
      <c r="A1675" s="1">
        <f>ROW(CantoralDB[[#This Row],[Título]])-1</f>
        <v>1674</v>
      </c>
      <c r="B1675" s="1" t="s">
        <v>150</v>
      </c>
      <c r="C1675" s="1" t="s">
        <v>194</v>
      </c>
      <c r="D1675" s="1" t="s">
        <v>769</v>
      </c>
      <c r="E1675" s="1">
        <v>467</v>
      </c>
      <c r="G1675" s="1" t="s">
        <v>208</v>
      </c>
      <c r="H1675" s="1" t="s">
        <v>529</v>
      </c>
      <c r="I1675" s="1" t="s">
        <v>2948</v>
      </c>
      <c r="J1675" s="1" t="s">
        <v>605</v>
      </c>
      <c r="M1675" s="15" t="s">
        <v>790</v>
      </c>
      <c r="O1675" s="15"/>
      <c r="P1675" s="15"/>
      <c r="Q1675" s="15" t="str" cm="1">
        <f t="array" ref="Q16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5" s="15" t="str" cm="1">
        <f t="array" ref="R16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canciones/nsb/un_dia_abri_los_ojos.html</v>
      </c>
      <c r="T1675" s="1"/>
      <c r="U1675" s="1"/>
      <c r="V1675" s="32" t="s">
        <v>4850</v>
      </c>
      <c r="W16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data-author="Coro Parroquial San Miguel" data-momento="Ofertorio" data-nnew="F17" data-nold="467"&gt;&lt;a href="canciones/nsb/un_dia_abri_los_ojos.html"&gt;Un día abrí los ojos&lt;/a&gt;&lt;/li&gt;</v>
      </c>
      <c r="X1675" s="15" t="str">
        <f>_xlfn.TEXTBEFORE(_xlfn.TEXTAFTER(CantoralDB[[#This Row],[index.html]],"&gt;"),"&gt;")&amp;"&gt;"</f>
        <v>&lt;a href="canciones/nsb/un_dia_abri_los_ojos.html"&gt;</v>
      </c>
      <c r="Y1675"/>
      <c r="AC1675" s="1"/>
    </row>
    <row r="1676" spans="1:29" x14ac:dyDescent="0.3">
      <c r="A1676" s="1">
        <f>ROW(CantoralDB[[#This Row],[Título]])-1</f>
        <v>1675</v>
      </c>
      <c r="B1676" s="1" t="s">
        <v>162</v>
      </c>
      <c r="C1676" s="1" t="s">
        <v>990</v>
      </c>
      <c r="D1676" s="1" t="s">
        <v>1014</v>
      </c>
      <c r="E1676" s="1">
        <v>286</v>
      </c>
      <c r="G1676" s="1" t="s">
        <v>208</v>
      </c>
      <c r="H1676" s="1" t="s">
        <v>472</v>
      </c>
      <c r="I1676" s="1" t="s">
        <v>2947</v>
      </c>
      <c r="J1676" s="1" t="s">
        <v>605</v>
      </c>
      <c r="M1676" s="15" t="s">
        <v>2867</v>
      </c>
      <c r="O1676" s="15"/>
      <c r="P1676" s="15"/>
      <c r="Q1676" s="15" t="str" cm="1">
        <f t="array" ref="Q16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6" s="15" t="str" cm="1">
        <f t="array" ref="R16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canciones/nsb/victoria_tu_reinaras.html</v>
      </c>
      <c r="T1676" s="1"/>
      <c r="U1676" s="1"/>
      <c r="V1676" s="32" t="s">
        <v>4851</v>
      </c>
      <c r="W16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data-author="David Julien" data-momento="Comunión" data-nnew="K80" data-nold="286"&gt;&lt;a href="canciones/nsb/victoria_tu_reinaras.html"&gt;Victoria, tú reinarás&lt;/a&gt;&lt;/li&gt;</v>
      </c>
      <c r="X1676" s="15" t="str">
        <f>_xlfn.TEXTBEFORE(_xlfn.TEXTAFTER(CantoralDB[[#This Row],[index.html]],"&gt;"),"&gt;")&amp;"&gt;"</f>
        <v>&lt;a href="canciones/nsb/victoria_tu_reinaras.html"&gt;</v>
      </c>
      <c r="Y1676"/>
      <c r="AC1676" s="1"/>
    </row>
    <row r="1677" spans="1:29" x14ac:dyDescent="0.3">
      <c r="A1677" s="1">
        <f>ROW(CantoralDB[[#This Row],[Título]])-1</f>
        <v>1676</v>
      </c>
      <c r="B1677" s="1" t="s">
        <v>1339</v>
      </c>
      <c r="C1677" s="1"/>
      <c r="E1677" s="1">
        <v>280</v>
      </c>
      <c r="J1677" s="1"/>
      <c r="M1677" s="15" t="s">
        <v>2099</v>
      </c>
      <c r="O1677" s="15"/>
      <c r="P1677" s="15"/>
      <c r="Q1677" s="15" t="str" cm="1">
        <f t="array" ref="Q16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7" s="15" t="str" cm="1">
        <f t="array" ref="R16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canciones/nsb/ven_a_nuestro_mundo.html</v>
      </c>
      <c r="T1677" s="1"/>
      <c r="U1677" s="1"/>
      <c r="V1677" s="15"/>
      <c r="W16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data-author="Dubé" data-nold="280"&gt;&lt;a href="canciones/nsb/ven_a_nuestro_mundo.html"&gt;Ven a nuestro mundo&lt;/a&gt;&lt;/li&gt;</v>
      </c>
      <c r="X1677" s="15" t="str">
        <f>_xlfn.TEXTBEFORE(_xlfn.TEXTAFTER(CantoralDB[[#This Row],[index.html]],"&gt;"),"&gt;")&amp;"&gt;"</f>
        <v>&lt;a href="canciones/nsb/ven_a_nuestro_mundo.html"&gt;</v>
      </c>
      <c r="Y1677"/>
      <c r="AC1677" s="1"/>
    </row>
    <row r="1678" spans="1:29" x14ac:dyDescent="0.3">
      <c r="A1678" s="1">
        <f>ROW(CantoralDB[[#This Row],[Título]])-1</f>
        <v>1677</v>
      </c>
      <c r="B1678" s="1" t="s">
        <v>60</v>
      </c>
      <c r="C1678" s="1" t="s">
        <v>990</v>
      </c>
      <c r="D1678" s="1" t="s">
        <v>700</v>
      </c>
      <c r="E1678" s="1">
        <v>424</v>
      </c>
      <c r="G1678" s="1" t="s">
        <v>208</v>
      </c>
      <c r="H1678" s="1" t="s">
        <v>1024</v>
      </c>
      <c r="J1678" s="1" t="s">
        <v>605</v>
      </c>
      <c r="M1678" s="15" t="s">
        <v>625</v>
      </c>
      <c r="O1678" s="15"/>
      <c r="P1678" s="15"/>
      <c r="Q1678" s="15" t="str" cm="1">
        <f t="array" ref="Q16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8" s="15" t="str" cm="1">
        <f t="array" ref="R16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canciones/nsb/en_mi_getsemani.html</v>
      </c>
      <c r="T1678" s="1" t="s">
        <v>828</v>
      </c>
      <c r="U1678" s="1"/>
      <c r="V1678" s="32" t="s">
        <v>4848</v>
      </c>
      <c r="W16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data-author="Eduardo Meana" data-momento="Comunión" data-nnew="K30" data-nold="424"&gt;&lt;a href="canciones/nsb/en_mi_getsemani.html"&gt;En mi Getsemaní&lt;/a&gt;&lt;/li&gt;</v>
      </c>
      <c r="X1678" s="15" t="str">
        <f>_xlfn.TEXTBEFORE(_xlfn.TEXTAFTER(CantoralDB[[#This Row],[index.html]],"&gt;"),"&gt;")&amp;"&gt;"</f>
        <v>&lt;a href="canciones/nsb/en_mi_getsemani.html"&gt;</v>
      </c>
      <c r="Y1678"/>
      <c r="AC1678" s="1"/>
    </row>
    <row r="1679" spans="1:29" x14ac:dyDescent="0.3">
      <c r="A1679" s="1">
        <f>ROW(CantoralDB[[#This Row],[Título]])-1</f>
        <v>1678</v>
      </c>
      <c r="B1679" s="1" t="s">
        <v>591</v>
      </c>
      <c r="C1679" s="1" t="s">
        <v>990</v>
      </c>
      <c r="D1679" s="1" t="s">
        <v>997</v>
      </c>
      <c r="G1679" s="1" t="s">
        <v>592</v>
      </c>
      <c r="H1679" s="1" t="s">
        <v>1024</v>
      </c>
      <c r="J1679" s="1" t="s">
        <v>605</v>
      </c>
      <c r="M1679" s="15" t="s">
        <v>625</v>
      </c>
      <c r="O1679" s="15"/>
      <c r="P1679" s="15"/>
      <c r="Q1679" s="15" t="str" cm="1">
        <f t="array" ref="Q16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79" s="15" t="str" cm="1">
        <f t="array" ref="R16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canciones/nsb/quiero_ser_pan.html</v>
      </c>
      <c r="T1679" s="1"/>
      <c r="U1679" s="1"/>
      <c r="V1679" s="32" t="s">
        <v>4849</v>
      </c>
      <c r="W16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data-author="Eduardo Meana" data-momento="Comunión" data-nnew="K63"&gt;&lt;a href="canciones/nsb/quiero_ser_pan.html"&gt;Quiero ser pan&lt;/a&gt;&lt;/li&gt;</v>
      </c>
      <c r="X1679" s="15" t="str">
        <f>_xlfn.TEXTBEFORE(_xlfn.TEXTAFTER(CantoralDB[[#This Row],[index.html]],"&gt;"),"&gt;")&amp;"&gt;"</f>
        <v>&lt;a href="canciones/nsb/quiero_ser_pan.html"&gt;</v>
      </c>
      <c r="Y1679"/>
      <c r="AC1679" s="1"/>
    </row>
    <row r="1680" spans="1:29" x14ac:dyDescent="0.3">
      <c r="A1680" s="1">
        <f>ROW(CantoralDB[[#This Row],[Título]])-1</f>
        <v>1679</v>
      </c>
      <c r="B1680" s="1" t="s">
        <v>530</v>
      </c>
      <c r="C1680" s="1" t="s">
        <v>194</v>
      </c>
      <c r="D1680" s="1" t="s">
        <v>1416</v>
      </c>
      <c r="G1680" s="1" t="s">
        <v>531</v>
      </c>
      <c r="H1680" s="1" t="s">
        <v>472</v>
      </c>
      <c r="I1680" s="1" t="s">
        <v>2948</v>
      </c>
      <c r="J1680" s="1" t="s">
        <v>605</v>
      </c>
      <c r="M1680" s="15" t="s">
        <v>613</v>
      </c>
      <c r="O1680" s="15"/>
      <c r="P1680" s="15"/>
      <c r="Q1680" s="15" t="str" cm="1">
        <f t="array" ref="Q16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0" s="15" t="str" cm="1">
        <f t="array" ref="R16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canciones/nsb/esto_que_te_doy.html</v>
      </c>
      <c r="T1680" s="1"/>
      <c r="U1680" s="1"/>
      <c r="V1680" s="32" t="s">
        <v>2974</v>
      </c>
      <c r="W16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data-author="Eduardo Ortiz" data-momento="Ofertorio" data-nnew="F08"&gt;&lt;a href="canciones/nsb/esto_que_te_doy.html"&gt;Esto que te doy&lt;/a&gt;&lt;/li&gt;</v>
      </c>
      <c r="X1680" s="15" t="str">
        <f>_xlfn.TEXTBEFORE(_xlfn.TEXTAFTER(CantoralDB[[#This Row],[index.html]],"&gt;"),"&gt;")&amp;"&gt;"</f>
        <v>&lt;a href="canciones/nsb/esto_que_te_doy.html"&gt;</v>
      </c>
      <c r="Y1680"/>
      <c r="AC1680" s="1"/>
    </row>
    <row r="1681" spans="1:29" x14ac:dyDescent="0.3">
      <c r="A1681" s="1">
        <f>ROW(CantoralDB[[#This Row],[Título]])-1</f>
        <v>1680</v>
      </c>
      <c r="B1681" s="1" t="s">
        <v>37</v>
      </c>
      <c r="C1681" s="1" t="s">
        <v>990</v>
      </c>
      <c r="D1681" s="1" t="s">
        <v>688</v>
      </c>
      <c r="E1681" s="1">
        <v>414</v>
      </c>
      <c r="G1681" s="1" t="s">
        <v>208</v>
      </c>
      <c r="H1681" s="1" t="s">
        <v>529</v>
      </c>
      <c r="J1681" s="1" t="s">
        <v>605</v>
      </c>
      <c r="M1681" s="15" t="s">
        <v>616</v>
      </c>
      <c r="O1681" s="15"/>
      <c r="P1681" s="15"/>
      <c r="Q1681" s="15" t="str" cm="1">
        <f t="array" ref="Q16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1" s="15" t="str" cm="1">
        <f t="array" ref="R16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canciones/nsb/corazon_inquieto.html</v>
      </c>
      <c r="T1681" s="1" t="s">
        <v>814</v>
      </c>
      <c r="U1681" s="1"/>
      <c r="V1681" s="32" t="s">
        <v>5357</v>
      </c>
      <c r="W16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data-author="Elena Ráfales" data-momento="Comunión" data-nnew="K18" data-nold="414"&gt;&lt;a href="canciones/nsb/corazon_inquieto.html"&gt;Corazón inquieto&lt;/a&gt;&lt;/li&gt;</v>
      </c>
      <c r="X1681" s="15" t="str">
        <f>_xlfn.TEXTBEFORE(_xlfn.TEXTAFTER(CantoralDB[[#This Row],[index.html]],"&gt;"),"&gt;")&amp;"&gt;"</f>
        <v>&lt;a href="canciones/nsb/corazon_inquieto.html"&gt;</v>
      </c>
      <c r="Y1681"/>
      <c r="AC1681" s="1"/>
    </row>
    <row r="1682" spans="1:29" x14ac:dyDescent="0.3">
      <c r="A1682" s="1">
        <f>ROW(CantoralDB[[#This Row],[Título]])-1</f>
        <v>1681</v>
      </c>
      <c r="B1682" s="1" t="s">
        <v>20</v>
      </c>
      <c r="C1682" s="1" t="s">
        <v>990</v>
      </c>
      <c r="D1682" s="1" t="s">
        <v>1034</v>
      </c>
      <c r="E1682" s="1">
        <v>407</v>
      </c>
      <c r="G1682" s="1" t="s">
        <v>208</v>
      </c>
      <c r="H1682" s="1" t="s">
        <v>1027</v>
      </c>
      <c r="J1682" s="1" t="s">
        <v>605</v>
      </c>
      <c r="M1682" s="15" t="s">
        <v>538</v>
      </c>
      <c r="O1682" s="15"/>
      <c r="P1682" s="15"/>
      <c r="Q1682" s="15" t="str" cm="1">
        <f t="array" ref="Q16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2" s="15" t="str" cm="1">
        <f t="array" ref="R16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canciones/nsb/alma_misionera.html</v>
      </c>
      <c r="T1682" s="1"/>
      <c r="U1682" s="1"/>
      <c r="V1682" s="32" t="s">
        <v>5358</v>
      </c>
      <c r="W16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data-author="Enrique García Vélez" data-momento="Comunión" data-nnew="K06" data-nold="407"&gt;&lt;a href="canciones/nsb/alma_misionera.html"&gt;Alma misionera&lt;/a&gt;&lt;/li&gt;</v>
      </c>
      <c r="X1682" s="15" t="str">
        <f>_xlfn.TEXTBEFORE(_xlfn.TEXTAFTER(CantoralDB[[#This Row],[index.html]],"&gt;"),"&gt;")&amp;"&gt;"</f>
        <v>&lt;a href="canciones/nsb/alma_misionera.html"&gt;</v>
      </c>
      <c r="Y1682"/>
      <c r="AC1682" s="1"/>
    </row>
    <row r="1683" spans="1:29" x14ac:dyDescent="0.3">
      <c r="A1683" s="1">
        <f>ROW(CantoralDB[[#This Row],[Título]])-1</f>
        <v>1682</v>
      </c>
      <c r="B1683" s="1" t="s">
        <v>50</v>
      </c>
      <c r="C1683" s="1" t="s">
        <v>990</v>
      </c>
      <c r="D1683" s="1" t="s">
        <v>698</v>
      </c>
      <c r="E1683" s="1">
        <v>420</v>
      </c>
      <c r="G1683" s="1" t="s">
        <v>208</v>
      </c>
      <c r="H1683" s="1" t="s">
        <v>529</v>
      </c>
      <c r="I1683" s="1" t="s">
        <v>2947</v>
      </c>
      <c r="J1683" s="1" t="s">
        <v>605</v>
      </c>
      <c r="M1683" s="15" t="s">
        <v>627</v>
      </c>
      <c r="O1683" s="15"/>
      <c r="P1683" s="15"/>
      <c r="Q1683" s="15" t="str" cm="1">
        <f t="array" ref="Q16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3" s="15" t="str" cm="1">
        <f t="array" ref="R16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canciones/nsb/el_que_muere_por_mi.html</v>
      </c>
      <c r="T1683" s="1" t="s">
        <v>821</v>
      </c>
      <c r="U1683" s="1"/>
      <c r="V1683" s="32" t="s">
        <v>5359</v>
      </c>
      <c r="W16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Alvarado (Schönstatt)" data-momento="Comunión" data-nnew="K28" data-nold="420"&gt;&lt;a href="canciones/nsb/el_que_muere_por_mi.html"&gt;El que muere por mí&lt;/a&gt;&lt;/li&gt;</v>
      </c>
      <c r="X1683" s="15" t="str">
        <f>_xlfn.TEXTBEFORE(_xlfn.TEXTAFTER(CantoralDB[[#This Row],[index.html]],"&gt;"),"&gt;")&amp;"&gt;"</f>
        <v>&lt;a href="canciones/nsb/el_que_muere_por_mi.html"&gt;</v>
      </c>
      <c r="Y1683"/>
      <c r="AC1683" s="1"/>
    </row>
    <row r="1684" spans="1:29" x14ac:dyDescent="0.3">
      <c r="A1684" s="1">
        <f>ROW(CantoralDB[[#This Row],[Título]])-1</f>
        <v>1683</v>
      </c>
      <c r="B1684" s="1" t="s">
        <v>1306</v>
      </c>
      <c r="C1684" s="1"/>
      <c r="E1684" s="1">
        <v>219</v>
      </c>
      <c r="H1684" s="1" t="s">
        <v>472</v>
      </c>
      <c r="J1684" s="1" t="s">
        <v>605</v>
      </c>
      <c r="M1684" s="15" t="s">
        <v>2093</v>
      </c>
      <c r="O1684" s="15"/>
      <c r="P1684" s="15"/>
      <c r="Q1684" s="15" t="str" cm="1">
        <f t="array" ref="Q16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4" s="15" t="str" cm="1">
        <f t="array" ref="R16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canciones/nsb/quiero_ser_oh_señor.html</v>
      </c>
      <c r="T1684" s="1"/>
      <c r="U1684" s="1"/>
      <c r="V1684" s="32" t="s">
        <v>5361</v>
      </c>
      <c r="W16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data-author="Francisco de Asís" data-nold="219"&gt;&lt;a href="canciones/nsb/quiero_ser_oh_señor.html"&gt;Quiero ser, oh, Señor&lt;/a&gt;&lt;/li&gt;</v>
      </c>
      <c r="X1684" s="15" t="str">
        <f>_xlfn.TEXTBEFORE(_xlfn.TEXTAFTER(CantoralDB[[#This Row],[index.html]],"&gt;"),"&gt;")&amp;"&gt;"</f>
        <v>&lt;a href="canciones/nsb/quiero_ser_oh_señor.html"&gt;</v>
      </c>
      <c r="Y1684"/>
      <c r="AC1684" s="1"/>
    </row>
    <row r="1685" spans="1:29" x14ac:dyDescent="0.3">
      <c r="A1685" s="1">
        <f>ROW(CantoralDB[[#This Row],[Título]])-1</f>
        <v>1684</v>
      </c>
      <c r="B1685" s="1" t="s">
        <v>780</v>
      </c>
      <c r="C1685" s="1" t="s">
        <v>990</v>
      </c>
      <c r="D1685" s="1" t="s">
        <v>696</v>
      </c>
      <c r="G1685" s="1" t="s">
        <v>208</v>
      </c>
      <c r="H1685" s="1" t="s">
        <v>1027</v>
      </c>
      <c r="J1685" s="1" t="s">
        <v>605</v>
      </c>
      <c r="M1685" s="15" t="s">
        <v>623</v>
      </c>
      <c r="O1685" s="15"/>
      <c r="P1685" s="15"/>
      <c r="Q1685" s="15" t="str" cm="1">
        <f t="array" ref="Q16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5" s="15" t="str" cm="1">
        <f t="array" ref="R16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canciones/nsb/el_camino_no_lo_haremos_solos.html</v>
      </c>
      <c r="T1685" s="1"/>
      <c r="U1685" s="1"/>
      <c r="V1685" s="32" t="s">
        <v>5360</v>
      </c>
      <c r="W16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data-author="Gen Rosso" data-momento="Comunión" data-nnew="K26"&gt;&lt;a href="canciones/nsb/el_camino_no_lo_haremos_solos.html"&gt;El camino no lo haremos solos&lt;/a&gt;&lt;/li&gt;</v>
      </c>
      <c r="X1685" s="15" t="str">
        <f>_xlfn.TEXTBEFORE(_xlfn.TEXTAFTER(CantoralDB[[#This Row],[index.html]],"&gt;"),"&gt;")&amp;"&gt;"</f>
        <v>&lt;a href="canciones/nsb/el_camino_no_lo_haremos_solos.html"&gt;</v>
      </c>
      <c r="Y1685"/>
      <c r="AC1685" s="1"/>
    </row>
    <row r="1686" spans="1:29" x14ac:dyDescent="0.3">
      <c r="A1686" s="1">
        <f>ROW(CantoralDB[[#This Row],[Título]])-1</f>
        <v>1685</v>
      </c>
      <c r="B1686" s="1" t="s">
        <v>1038</v>
      </c>
      <c r="C1686" s="1" t="s">
        <v>990</v>
      </c>
      <c r="D1686" s="1" t="s">
        <v>1039</v>
      </c>
      <c r="H1686" s="1" t="s">
        <v>1026</v>
      </c>
      <c r="I1686" s="1" t="s">
        <v>2945</v>
      </c>
      <c r="J1686" s="1" t="s">
        <v>605</v>
      </c>
      <c r="M1686" s="15" t="s">
        <v>597</v>
      </c>
      <c r="N1686" s="1" t="s">
        <v>5326</v>
      </c>
      <c r="O1686" s="15">
        <v>1</v>
      </c>
      <c r="P1686" s="15">
        <v>2016</v>
      </c>
      <c r="Q1686" s="15" t="str" cm="1">
        <f t="array" ref="Q16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6" s="15" t="str" cm="1">
        <f t="array" ref="R16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canciones/nsb/siempre_en_ti.html</v>
      </c>
      <c r="T1686" s="1"/>
      <c r="U1686" s="1"/>
      <c r="V1686" s="32" t="s">
        <v>5325</v>
      </c>
      <c r="W16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data-author="Gen Verde" data-momento="Comunión" data-nnew="K83"&gt;&lt;a href="canciones/nsb/siempre_en_ti.html"&gt;Siempre en ti&lt;/a&gt;&lt;/li&gt;</v>
      </c>
      <c r="X1686" s="15" t="str">
        <f>_xlfn.TEXTBEFORE(_xlfn.TEXTAFTER(CantoralDB[[#This Row],[index.html]],"&gt;"),"&gt;")&amp;"&gt;"</f>
        <v>&lt;a href="canciones/nsb/siempre_en_ti.html"&gt;</v>
      </c>
      <c r="Y1686"/>
      <c r="AC1686" s="1"/>
    </row>
    <row r="1687" spans="1:29" x14ac:dyDescent="0.3">
      <c r="A1687" s="1">
        <f>ROW(CantoralDB[[#This Row],[Título]])-1</f>
        <v>1686</v>
      </c>
      <c r="B1687" s="1" t="s">
        <v>581</v>
      </c>
      <c r="C1687" s="1" t="s">
        <v>199</v>
      </c>
      <c r="D1687" s="1" t="s">
        <v>1051</v>
      </c>
      <c r="F1687" s="1">
        <v>97</v>
      </c>
      <c r="G1687" s="1" t="s">
        <v>582</v>
      </c>
      <c r="H1687" s="1" t="s">
        <v>1024</v>
      </c>
      <c r="I1687" s="1" t="s">
        <v>2948</v>
      </c>
      <c r="J1687" s="1" t="s">
        <v>605</v>
      </c>
      <c r="M1687" s="15" t="s">
        <v>597</v>
      </c>
      <c r="O1687" s="15"/>
      <c r="P1687" s="15"/>
      <c r="Q1687" s="15" t="str" cm="1">
        <f t="array" ref="Q16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7" s="15" t="str" cm="1">
        <f t="array" ref="R16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canciones/nsb/salve_regina.html</v>
      </c>
      <c r="T1687" s="1"/>
      <c r="U1687" s="1"/>
      <c r="V1687" s="32" t="s">
        <v>4511</v>
      </c>
      <c r="W16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data-author="Gen Verde" data-momento="María" data-nnew="M20" data-nrcc="97"&gt;&lt;a href="canciones/nsb/salve_regina.html"&gt;Salve, Regina&lt;/a&gt;&lt;/li&gt;</v>
      </c>
      <c r="X1687" s="15" t="str">
        <f>_xlfn.TEXTBEFORE(_xlfn.TEXTAFTER(CantoralDB[[#This Row],[index.html]],"&gt;"),"&gt;")&amp;"&gt;"</f>
        <v>&lt;a href="canciones/nsb/salve_regina.html"&gt;</v>
      </c>
      <c r="Y1687"/>
      <c r="AC1687" s="1"/>
    </row>
    <row r="1688" spans="1:29" x14ac:dyDescent="0.3">
      <c r="A1688" s="1">
        <f>ROW(CantoralDB[[#This Row],[Título]])-1</f>
        <v>1687</v>
      </c>
      <c r="B1688" s="1" t="s">
        <v>524</v>
      </c>
      <c r="C1688" s="1" t="s">
        <v>195</v>
      </c>
      <c r="D1688" s="1" t="s">
        <v>1456</v>
      </c>
      <c r="F1688" s="1">
        <v>74</v>
      </c>
      <c r="G1688" s="1" t="s">
        <v>208</v>
      </c>
      <c r="H1688" s="1" t="s">
        <v>529</v>
      </c>
      <c r="J1688" s="1" t="s">
        <v>605</v>
      </c>
      <c r="M1688" s="15" t="s">
        <v>580</v>
      </c>
      <c r="O1688" s="15"/>
      <c r="P1688" s="15"/>
      <c r="Q1688" s="15" t="str" cm="1">
        <f t="array" ref="Q16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8" s="15" t="str" cm="1">
        <f t="array" ref="R16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canciones/nsb/santo_(händel).html</v>
      </c>
      <c r="T1688" s="1"/>
      <c r="U1688" s="1"/>
      <c r="V1688" s="32" t="s">
        <v>4586</v>
      </c>
      <c r="W16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data-author="Georg Friedrich Händel" data-momento="Santo" data-nnew="G02" data-nrcc="74"&gt;&lt;a href="canciones/nsb/santo_(händel).html"&gt;Santo (Händel)&lt;/a&gt;&lt;/li&gt;</v>
      </c>
      <c r="X1688" s="15" t="str">
        <f>_xlfn.TEXTBEFORE(_xlfn.TEXTAFTER(CantoralDB[[#This Row],[index.html]],"&gt;"),"&gt;")&amp;"&gt;"</f>
        <v>&lt;a href="canciones/nsb/santo_(händel).html"&gt;</v>
      </c>
      <c r="Y1688"/>
      <c r="AC1688" s="1"/>
    </row>
    <row r="1689" spans="1:29" x14ac:dyDescent="0.3">
      <c r="A1689" s="1">
        <f>ROW(CantoralDB[[#This Row],[Título]])-1</f>
        <v>1688</v>
      </c>
      <c r="B1689" s="1" t="s">
        <v>1240</v>
      </c>
      <c r="C1689" s="1"/>
      <c r="E1689" s="1">
        <v>210</v>
      </c>
      <c r="H1689" s="1" t="s">
        <v>1025</v>
      </c>
      <c r="J1689" s="1" t="s">
        <v>605</v>
      </c>
      <c r="M1689" s="15" t="s">
        <v>2891</v>
      </c>
      <c r="O1689" s="15"/>
      <c r="P1689" s="15"/>
      <c r="Q1689" s="15" t="str" cm="1">
        <f t="array" ref="Q16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89" s="15" t="str" cm="1">
        <f t="array" ref="R16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canciones/nsb/yo_te_nombro_libertad.html</v>
      </c>
      <c r="T1689" s="1"/>
      <c r="U1689" s="1"/>
      <c r="V1689" s="32" t="s">
        <v>5362</v>
      </c>
      <c r="W16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data-author="Gian Franco Pagliardo" data-nold="210"&gt;&lt;a href="canciones/nsb/yo_te_nombro_libertad.html"&gt;Yo te nombro, libertad&lt;/a&gt;&lt;/li&gt;</v>
      </c>
      <c r="X1689" s="15" t="str">
        <f>_xlfn.TEXTBEFORE(_xlfn.TEXTAFTER(CantoralDB[[#This Row],[index.html]],"&gt;"),"&gt;")&amp;"&gt;"</f>
        <v>&lt;a href="canciones/nsb/yo_te_nombro_libertad.html"&gt;</v>
      </c>
      <c r="Y1689"/>
      <c r="AC1689" s="1"/>
    </row>
    <row r="1690" spans="1:29" x14ac:dyDescent="0.3">
      <c r="A1690" s="1">
        <f>ROW(CantoralDB[[#This Row],[Título]])-1</f>
        <v>1689</v>
      </c>
      <c r="B1690" s="1" t="s">
        <v>142</v>
      </c>
      <c r="C1690" s="1" t="s">
        <v>990</v>
      </c>
      <c r="D1690" s="1" t="s">
        <v>1007</v>
      </c>
      <c r="E1690" s="1">
        <v>255</v>
      </c>
      <c r="G1690" s="1" t="s">
        <v>208</v>
      </c>
      <c r="H1690" s="1" t="s">
        <v>529</v>
      </c>
      <c r="I1690" s="1" t="s">
        <v>2946</v>
      </c>
      <c r="J1690" s="1" t="s">
        <v>605</v>
      </c>
      <c r="M1690" s="15" t="s">
        <v>5330</v>
      </c>
      <c r="O1690" s="15"/>
      <c r="P1690" s="15">
        <v>1974</v>
      </c>
      <c r="Q1690" s="15" t="str" cm="1">
        <f t="array" ref="Q16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0" s="15" t="str" cm="1">
        <f t="array" ref="R16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canciones/nsb/tengo_que_gritar.html</v>
      </c>
      <c r="T1690" s="1" t="s">
        <v>860</v>
      </c>
      <c r="U1690" s="1"/>
      <c r="V1690" s="32" t="s">
        <v>5329</v>
      </c>
      <c r="W16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data-author="Gilmer Torres Ruiz" data-momento="Comunión" data-nnew="K73" data-nold="255"&gt;&lt;a href="canciones/nsb/tengo_que_gritar.html"&gt;Tengo que gritar&lt;/a&gt;&lt;/li&gt;</v>
      </c>
      <c r="X1690" s="15" t="str">
        <f>_xlfn.TEXTBEFORE(_xlfn.TEXTAFTER(CantoralDB[[#This Row],[index.html]],"&gt;"),"&gt;")&amp;"&gt;"</f>
        <v>&lt;a href="canciones/nsb/tengo_que_gritar.html"&gt;</v>
      </c>
      <c r="Y1690"/>
      <c r="AC1690" s="1"/>
    </row>
    <row r="1691" spans="1:29" x14ac:dyDescent="0.3">
      <c r="A1691" s="1">
        <f>ROW(CantoralDB[[#This Row],[Título]])-1</f>
        <v>1690</v>
      </c>
      <c r="B1691" s="1" t="s">
        <v>146</v>
      </c>
      <c r="C1691" s="1" t="s">
        <v>990</v>
      </c>
      <c r="D1691" s="1" t="s">
        <v>1010</v>
      </c>
      <c r="E1691" s="1">
        <v>465</v>
      </c>
      <c r="G1691" s="1" t="s">
        <v>208</v>
      </c>
      <c r="H1691" s="1" t="s">
        <v>1027</v>
      </c>
      <c r="I1691" s="1" t="s">
        <v>2947</v>
      </c>
      <c r="J1691" s="1" t="s">
        <v>605</v>
      </c>
      <c r="M1691" s="15" t="s">
        <v>626</v>
      </c>
      <c r="O1691" s="15"/>
      <c r="P1691" s="15"/>
      <c r="Q1691" s="15" t="str" cm="1">
        <f t="array" ref="Q16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1" s="15" t="str" cm="1">
        <f t="array" ref="R16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canciones/nsb/tu_eres_capaz.html</v>
      </c>
      <c r="T1691" s="1"/>
      <c r="U1691" s="1"/>
      <c r="V1691" s="32" t="s">
        <v>5363</v>
      </c>
      <c r="W16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data-author="Gina Fernández" data-momento="Comunión" data-nnew="K76" data-nold="465"&gt;&lt;a href="canciones/nsb/tu_eres_capaz.html"&gt;Tú eres capaz&lt;/a&gt;&lt;/li&gt;</v>
      </c>
      <c r="X1691" s="15" t="str">
        <f>_xlfn.TEXTBEFORE(_xlfn.TEXTAFTER(CantoralDB[[#This Row],[index.html]],"&gt;"),"&gt;")&amp;"&gt;"</f>
        <v>&lt;a href="canciones/nsb/tu_eres_capaz.html"&gt;</v>
      </c>
      <c r="Y1691"/>
      <c r="AC1691" s="1"/>
    </row>
    <row r="1692" spans="1:29" x14ac:dyDescent="0.3">
      <c r="A1692" s="1">
        <f>ROW(CantoralDB[[#This Row],[Título]])-1</f>
        <v>1691</v>
      </c>
      <c r="B1692" s="1" t="s">
        <v>1197</v>
      </c>
      <c r="C1692" s="1"/>
      <c r="E1692" s="1">
        <v>74</v>
      </c>
      <c r="H1692" s="1" t="s">
        <v>472</v>
      </c>
      <c r="J1692" s="1" t="s">
        <v>605</v>
      </c>
      <c r="M1692" s="15" t="s">
        <v>2886</v>
      </c>
      <c r="O1692" s="15"/>
      <c r="P1692" s="15"/>
      <c r="Q1692" s="15" t="str" cm="1">
        <f t="array" ref="Q16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2" s="15" t="str" cm="1">
        <f t="array" ref="R16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canciones/nsb/dame_señor_un_corazon_feliz.html</v>
      </c>
      <c r="T1692" s="1"/>
      <c r="U1692" s="1"/>
      <c r="V1692" s="15"/>
      <c r="W16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data-author="Gonzalo González" data-nold="74"&gt;&lt;a href="canciones/nsb/dame_señor_un_corazon_feliz.html"&gt;Dame, Señor, un corazón feliz&lt;/a&gt;&lt;/li&gt;</v>
      </c>
      <c r="X1692" s="15" t="str">
        <f>_xlfn.TEXTBEFORE(_xlfn.TEXTAFTER(CantoralDB[[#This Row],[index.html]],"&gt;"),"&gt;")&amp;"&gt;"</f>
        <v>&lt;a href="canciones/nsb/dame_señor_un_corazon_feliz.html"&gt;</v>
      </c>
      <c r="Y1692"/>
      <c r="AC1692" s="1"/>
    </row>
    <row r="1693" spans="1:29" x14ac:dyDescent="0.3">
      <c r="A1693" s="1">
        <f>ROW(CantoralDB[[#This Row],[Título]])-1</f>
        <v>1692</v>
      </c>
      <c r="B1693" s="1" t="s">
        <v>1174</v>
      </c>
      <c r="C1693" s="1"/>
      <c r="E1693" s="1">
        <v>46</v>
      </c>
      <c r="H1693" s="1" t="s">
        <v>1027</v>
      </c>
      <c r="J1693" s="1" t="s">
        <v>605</v>
      </c>
      <c r="M1693" s="15" t="s">
        <v>514</v>
      </c>
      <c r="N1693" s="1" t="s">
        <v>5366</v>
      </c>
      <c r="O1693" s="15"/>
      <c r="P1693" s="15">
        <v>1985</v>
      </c>
      <c r="Q1693" s="15" t="str" cm="1">
        <f t="array" ref="Q16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3" s="15" t="str" cm="1">
        <f t="array" ref="R16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canciones/nsb/cantan_los_angeles_en_belen.html</v>
      </c>
      <c r="T1693" s="1"/>
      <c r="U1693" s="1"/>
      <c r="V1693" s="32" t="s">
        <v>5365</v>
      </c>
      <c r="W16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data-author="Gregorio Fernández" data-nold="46"&gt;&lt;a href="canciones/nsb/cantan_los_angeles_en_belen.html"&gt;Cantan los ángeles en Belén&lt;/a&gt;&lt;/li&gt;</v>
      </c>
      <c r="X1693" s="15" t="str">
        <f>_xlfn.TEXTBEFORE(_xlfn.TEXTAFTER(CantoralDB[[#This Row],[index.html]],"&gt;"),"&gt;")&amp;"&gt;"</f>
        <v>&lt;a href="canciones/nsb/cantan_los_angeles_en_belen.html"&gt;</v>
      </c>
      <c r="Y1693"/>
      <c r="AC1693" s="1"/>
    </row>
    <row r="1694" spans="1:29" x14ac:dyDescent="0.3">
      <c r="A1694" s="1">
        <f>ROW(CantoralDB[[#This Row],[Título]])-1</f>
        <v>1693</v>
      </c>
      <c r="B1694" s="1" t="s">
        <v>2911</v>
      </c>
      <c r="C1694" s="1"/>
      <c r="E1694" s="1">
        <v>250</v>
      </c>
      <c r="H1694" s="1" t="s">
        <v>1027</v>
      </c>
      <c r="J1694" s="1" t="s">
        <v>605</v>
      </c>
      <c r="M1694" s="15" t="s">
        <v>514</v>
      </c>
      <c r="N1694" s="1" t="s">
        <v>5364</v>
      </c>
      <c r="O1694" s="15"/>
      <c r="P1694" s="15">
        <v>1993</v>
      </c>
      <c r="Q1694" s="15" t="str" cm="1">
        <f t="array" ref="Q16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4" s="15" t="str" cm="1">
        <f t="array" ref="R16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canciones/nsb/esto_es_navidad.html</v>
      </c>
      <c r="T1694" s="1"/>
      <c r="U1694" s="1"/>
      <c r="V1694" s="32" t="s">
        <v>5369</v>
      </c>
      <c r="W16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data-author="Gregorio Fernández" data-nold="250"&gt;&lt;a href="canciones/nsb/esto_es_navidad.html"&gt;Esto es Navidad&lt;/a&gt;&lt;/li&gt;</v>
      </c>
      <c r="X1694" s="15" t="str">
        <f>_xlfn.TEXTBEFORE(_xlfn.TEXTAFTER(CantoralDB[[#This Row],[index.html]],"&gt;"),"&gt;")&amp;"&gt;"</f>
        <v>&lt;a href="canciones/nsb/esto_es_navidad.html"&gt;</v>
      </c>
      <c r="Y1694"/>
      <c r="AC1694" s="1"/>
    </row>
    <row r="1695" spans="1:29" x14ac:dyDescent="0.3">
      <c r="A1695" s="1">
        <f>ROW(CantoralDB[[#This Row],[Título]])-1</f>
        <v>1694</v>
      </c>
      <c r="B1695" s="1" t="s">
        <v>5367</v>
      </c>
      <c r="C1695" s="1"/>
      <c r="E1695" s="1">
        <v>43</v>
      </c>
      <c r="H1695" s="1" t="s">
        <v>472</v>
      </c>
      <c r="J1695" s="1" t="s">
        <v>605</v>
      </c>
      <c r="M1695" s="15" t="s">
        <v>514</v>
      </c>
      <c r="N1695" s="1" t="s">
        <v>5364</v>
      </c>
      <c r="O1695" s="15"/>
      <c r="P1695" s="15">
        <v>1993</v>
      </c>
      <c r="Q1695" s="15" t="str" cm="1">
        <f t="array" ref="Q16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5" s="15" t="str" cm="1">
        <f t="array" ref="R16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canciones/nsb/ha_nacido.html</v>
      </c>
      <c r="T1695" s="1"/>
      <c r="U1695" s="1"/>
      <c r="V1695" s="32" t="s">
        <v>5368</v>
      </c>
      <c r="W16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data-author="Gregorio Fernández" data-nold="43"&gt;&lt;a href="canciones/nsb/ha_nacido.html"&gt;Ha nacido&lt;/a&gt;&lt;/li&gt;</v>
      </c>
      <c r="X1695" s="15" t="str">
        <f>_xlfn.TEXTBEFORE(_xlfn.TEXTAFTER(CantoralDB[[#This Row],[index.html]],"&gt;"),"&gt;")&amp;"&gt;"</f>
        <v>&lt;a href="canciones/nsb/ha_nacido.html"&gt;</v>
      </c>
      <c r="Y1695"/>
      <c r="AC1695" s="1"/>
    </row>
    <row r="1696" spans="1:29" x14ac:dyDescent="0.3">
      <c r="A1696" s="1">
        <f>ROW(CantoralDB[[#This Row],[Título]])-1</f>
        <v>1695</v>
      </c>
      <c r="B1696" s="1" t="s">
        <v>1260</v>
      </c>
      <c r="C1696" s="1"/>
      <c r="E1696" s="1">
        <v>134</v>
      </c>
      <c r="I1696" s="1" t="s">
        <v>5061</v>
      </c>
      <c r="J1696" s="1" t="s">
        <v>605</v>
      </c>
      <c r="M1696" s="15" t="s">
        <v>514</v>
      </c>
      <c r="O1696" s="15"/>
      <c r="P1696" s="15"/>
      <c r="Q1696" s="15" t="str" cm="1">
        <f t="array" ref="Q16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6" s="15" t="str" cm="1">
        <f t="array" ref="R16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canciones/nsb/hoy_en_belen_es_la_fiesta.html</v>
      </c>
      <c r="T1696" s="1"/>
      <c r="U1696" s="1"/>
      <c r="V1696" s="15"/>
      <c r="W16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data-author="Gregorio Fernández" data-nold="134"&gt;&lt;a href="canciones/nsb/hoy_en_belen_es_la_fiesta.html"&gt;Hoy en Belén es la fiesta&lt;/a&gt;&lt;/li&gt;</v>
      </c>
      <c r="X1696" s="15" t="str">
        <f>_xlfn.TEXTBEFORE(_xlfn.TEXTAFTER(CantoralDB[[#This Row],[index.html]],"&gt;"),"&gt;")&amp;"&gt;"</f>
        <v>&lt;a href="canciones/nsb/hoy_en_belen_es_la_fiesta.html"&gt;</v>
      </c>
      <c r="Y1696"/>
      <c r="AC1696" s="1"/>
    </row>
    <row r="1697" spans="1:29" x14ac:dyDescent="0.3">
      <c r="A1697" s="1">
        <f>ROW(CantoralDB[[#This Row],[Título]])-1</f>
        <v>1696</v>
      </c>
      <c r="B1697" s="1" t="s">
        <v>2910</v>
      </c>
      <c r="C1697" s="1"/>
      <c r="E1697" s="1">
        <v>249</v>
      </c>
      <c r="H1697" s="1" t="s">
        <v>1027</v>
      </c>
      <c r="J1697" s="1" t="s">
        <v>605</v>
      </c>
      <c r="M1697" s="15" t="s">
        <v>514</v>
      </c>
      <c r="O1697" s="15"/>
      <c r="P1697" s="15"/>
      <c r="Q1697" s="15" t="str" cm="1">
        <f t="array" ref="Q16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7" s="15" t="str" cm="1">
        <f t="array" ref="R16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canciones/nsb/si_cada_noche_fuera_nochebuena.html</v>
      </c>
      <c r="T1697" s="1"/>
      <c r="U1697" s="1"/>
      <c r="V1697" s="32"/>
      <c r="W16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data-author="Gregorio Fernández" data-nold="249"&gt;&lt;a href="canciones/nsb/si_cada_noche_fuera_nochebuena.html"&gt;Si cada noche fuera Nochebuena&lt;/a&gt;&lt;/li&gt;</v>
      </c>
      <c r="X1697" s="15" t="str">
        <f>_xlfn.TEXTBEFORE(_xlfn.TEXTAFTER(CantoralDB[[#This Row],[index.html]],"&gt;"),"&gt;")&amp;"&gt;"</f>
        <v>&lt;a href="canciones/nsb/si_cada_noche_fuera_nochebuena.html"&gt;</v>
      </c>
      <c r="Y1697"/>
      <c r="AC1697" s="1"/>
    </row>
    <row r="1698" spans="1:29" x14ac:dyDescent="0.3">
      <c r="A1698" s="1">
        <f>ROW(CantoralDB[[#This Row],[Título]])-1</f>
        <v>1697</v>
      </c>
      <c r="B1698" s="1" t="s">
        <v>91</v>
      </c>
      <c r="C1698" s="1" t="s">
        <v>199</v>
      </c>
      <c r="D1698" s="1" t="s">
        <v>1045</v>
      </c>
      <c r="E1698" s="1">
        <v>435</v>
      </c>
      <c r="G1698" s="1" t="s">
        <v>208</v>
      </c>
      <c r="H1698" s="1" t="s">
        <v>1027</v>
      </c>
      <c r="J1698" s="1" t="s">
        <v>605</v>
      </c>
      <c r="M1698" s="15" t="s">
        <v>2218</v>
      </c>
      <c r="O1698" s="15"/>
      <c r="P1698" s="15"/>
      <c r="Q1698" s="15" t="str" cm="1">
        <f t="array" ref="Q16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8" s="15" t="str" cm="1">
        <f t="array" ref="R16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canciones/nsb/maria_mirame.html</v>
      </c>
      <c r="T1698" s="1"/>
      <c r="U1698" s="1"/>
      <c r="V1698" s="32" t="s">
        <v>5370</v>
      </c>
      <c r="W16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data-author="Grupo Betsaida" data-momento="María" data-nnew="M14" data-nold="435"&gt;&lt;a href="canciones/nsb/maria_mirame.html"&gt;María, mírame&lt;/a&gt;&lt;/li&gt;</v>
      </c>
      <c r="X1698" s="15" t="str">
        <f>_xlfn.TEXTBEFORE(_xlfn.TEXTAFTER(CantoralDB[[#This Row],[index.html]],"&gt;"),"&gt;")&amp;"&gt;"</f>
        <v>&lt;a href="canciones/nsb/maria_mirame.html"&gt;</v>
      </c>
      <c r="Y1698"/>
      <c r="AC1698" s="1"/>
    </row>
    <row r="1699" spans="1:29" x14ac:dyDescent="0.3">
      <c r="A1699" s="1">
        <f>ROW(CantoralDB[[#This Row],[Título]])-1</f>
        <v>1698</v>
      </c>
      <c r="B1699" s="1" t="s">
        <v>172</v>
      </c>
      <c r="C1699" s="1" t="s">
        <v>194</v>
      </c>
      <c r="D1699" s="1" t="s">
        <v>1378</v>
      </c>
      <c r="G1699" s="1" t="s">
        <v>208</v>
      </c>
      <c r="H1699" s="1" t="s">
        <v>529</v>
      </c>
      <c r="J1699" s="1" t="s">
        <v>605</v>
      </c>
      <c r="M1699" s="15" t="s">
        <v>517</v>
      </c>
      <c r="O1699" s="15"/>
      <c r="P1699" s="15"/>
      <c r="Q1699" s="15" t="str" cm="1">
        <f t="array" ref="Q16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699" s="15" t="str" cm="1">
        <f t="array" ref="R16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6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canciones/nsb/alimento_de_amor_(el_loco).html</v>
      </c>
      <c r="T1699" s="1"/>
      <c r="U1699" s="1"/>
      <c r="V1699" s="32" t="s">
        <v>5371</v>
      </c>
      <c r="W16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data-author="Grupo Gente Nueva" data-momento="Ofertorio" data-nnew="F01"&gt;&lt;a href="canciones/nsb/alimento_de_amor_(el_loco).html"&gt;Alimento de amor (El loco)&lt;/a&gt;&lt;/li&gt;</v>
      </c>
      <c r="X1699" s="15" t="str">
        <f>_xlfn.TEXTBEFORE(_xlfn.TEXTAFTER(CantoralDB[[#This Row],[index.html]],"&gt;"),"&gt;")&amp;"&gt;"</f>
        <v>&lt;a href="canciones/nsb/alimento_de_amor_(el_loco).html"&gt;</v>
      </c>
      <c r="Y1699"/>
      <c r="AC1699" s="1"/>
    </row>
    <row r="1700" spans="1:29" x14ac:dyDescent="0.3">
      <c r="A1700" s="1">
        <f>ROW(CantoralDB[[#This Row],[Título]])-1</f>
        <v>1699</v>
      </c>
      <c r="B1700" s="1" t="s">
        <v>611</v>
      </c>
      <c r="C1700" s="1" t="s">
        <v>200</v>
      </c>
      <c r="D1700" s="1" t="s">
        <v>676</v>
      </c>
      <c r="G1700" s="1" t="s">
        <v>551</v>
      </c>
      <c r="H1700" s="1" t="s">
        <v>1027</v>
      </c>
      <c r="J1700" s="1" t="s">
        <v>605</v>
      </c>
      <c r="M1700" s="15" t="s">
        <v>612</v>
      </c>
      <c r="O1700" s="15"/>
      <c r="P1700" s="15"/>
      <c r="Q1700" s="15" t="str" cm="1">
        <f t="array" ref="Q17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0" s="15" t="str" cm="1">
        <f t="array" ref="R17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canciones/nsb/ven_si_te_has_caido_levantate.html</v>
      </c>
      <c r="T1700" s="1"/>
      <c r="U1700" s="1"/>
      <c r="V1700" s="32" t="s">
        <v>5372</v>
      </c>
      <c r="W17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data-author="Grupo Loyola Valladolid" data-momento="Antífonas" data-nnew="D41"&gt;&lt;a href="canciones/nsb/ven_si_te_has_caido_levantate.html"&gt;Ven, si te has caído levántate&lt;/a&gt;&lt;/li&gt;</v>
      </c>
      <c r="X1700" s="15" t="str">
        <f>_xlfn.TEXTBEFORE(_xlfn.TEXTAFTER(CantoralDB[[#This Row],[index.html]],"&gt;"),"&gt;")&amp;"&gt;"</f>
        <v>&lt;a href="canciones/nsb/ven_si_te_has_caido_levantate.html"&gt;</v>
      </c>
      <c r="Y1700"/>
      <c r="AC1700" s="1"/>
    </row>
    <row r="1701" spans="1:29" x14ac:dyDescent="0.3">
      <c r="A1701" s="1">
        <f>ROW(CantoralDB[[#This Row],[Título]])-1</f>
        <v>1700</v>
      </c>
      <c r="B1701" s="1" t="s">
        <v>533</v>
      </c>
      <c r="C1701" s="1" t="s">
        <v>210</v>
      </c>
      <c r="D1701" s="1" t="s">
        <v>1474</v>
      </c>
      <c r="G1701" s="1" t="s">
        <v>208</v>
      </c>
      <c r="H1701" s="1" t="s">
        <v>529</v>
      </c>
      <c r="J1701" s="1" t="s">
        <v>605</v>
      </c>
      <c r="M1701" s="15" t="s">
        <v>508</v>
      </c>
      <c r="O1701" s="15"/>
      <c r="P1701" s="15"/>
      <c r="Q1701" s="15" t="str" cm="1">
        <f t="array" ref="Q17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1" s="15" t="str" cm="1">
        <f t="array" ref="R17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canciones/nsb/ven_espiritu_divino_(secuencia_de_pentecostes).html</v>
      </c>
      <c r="T1701" s="1"/>
      <c r="U1701" s="1"/>
      <c r="V1701" s="32" t="s">
        <v>5373</v>
      </c>
      <c r="W17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data-author="Grupo Nueva Vida" data-momento="Especiales" data-nnew="P06"&gt;&lt;a href="canciones/nsb/ven_espiritu_divino_(secuencia_de_pentecostes).html"&gt;Ven, Espíritu divino (Secuencia de Pentecostés)&lt;/a&gt;&lt;/li&gt;</v>
      </c>
      <c r="X1701" s="15" t="str">
        <f>_xlfn.TEXTBEFORE(_xlfn.TEXTAFTER(CantoralDB[[#This Row],[index.html]],"&gt;"),"&gt;")&amp;"&gt;"</f>
        <v>&lt;a href="canciones/nsb/ven_espiritu_divino_(secuencia_de_pentecostes).html"&gt;</v>
      </c>
      <c r="Y1701"/>
      <c r="AC1701" s="1"/>
    </row>
    <row r="1702" spans="1:29" x14ac:dyDescent="0.3">
      <c r="A1702" s="1">
        <f>ROW(CantoralDB[[#This Row],[Título]])-1</f>
        <v>1701</v>
      </c>
      <c r="B1702" s="1" t="s">
        <v>209</v>
      </c>
      <c r="C1702" s="1" t="s">
        <v>210</v>
      </c>
      <c r="D1702" s="1" t="s">
        <v>1394</v>
      </c>
      <c r="F1702" s="1">
        <v>195</v>
      </c>
      <c r="G1702" s="1" t="s">
        <v>208</v>
      </c>
      <c r="H1702" s="1" t="s">
        <v>1024</v>
      </c>
      <c r="J1702" s="1" t="s">
        <v>605</v>
      </c>
      <c r="M1702" s="15" t="s">
        <v>2580</v>
      </c>
      <c r="O1702" s="15"/>
      <c r="P1702" s="15"/>
      <c r="Q1702" s="15" t="str" cm="1">
        <f t="array" ref="Q17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2" s="15" t="str" cm="1">
        <f t="array" ref="R17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canciones/nsb/cantemos_al_amor_de_los_amores.html</v>
      </c>
      <c r="T1702" s="1"/>
      <c r="U1702" s="1"/>
      <c r="V1702" s="32" t="s">
        <v>5374</v>
      </c>
      <c r="W17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data-author="Ignacio Busca de Sagastizábal" data-momento="Especiales" data-nnew="P01" data-nrcc="195"&gt;&lt;a href="canciones/nsb/cantemos_al_amor_de_los_amores.html"&gt;Cantemos al amor de los amores&lt;/a&gt;&lt;/li&gt;</v>
      </c>
      <c r="X1702" s="15" t="str">
        <f>_xlfn.TEXTBEFORE(_xlfn.TEXTAFTER(CantoralDB[[#This Row],[index.html]],"&gt;"),"&gt;")&amp;"&gt;"</f>
        <v>&lt;a href="canciones/nsb/cantemos_al_amor_de_los_amores.html"&gt;</v>
      </c>
      <c r="Y1702"/>
      <c r="AC1702" s="1"/>
    </row>
    <row r="1703" spans="1:29" x14ac:dyDescent="0.3">
      <c r="A1703" s="1">
        <f>ROW(CantoralDB[[#This Row],[Título]])-1</f>
        <v>1702</v>
      </c>
      <c r="B1703" s="1" t="s">
        <v>1333</v>
      </c>
      <c r="C1703" s="1"/>
      <c r="E1703" s="1">
        <v>267</v>
      </c>
      <c r="J1703" s="1"/>
      <c r="M1703" s="15" t="s">
        <v>2072</v>
      </c>
      <c r="O1703" s="15"/>
      <c r="P1703" s="15"/>
      <c r="Q1703" s="15" t="str" cm="1">
        <f t="array" ref="Q17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3" s="15" t="str" cm="1">
        <f t="array" ref="R17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canciones/nsb/todos_esperamos.html</v>
      </c>
      <c r="T1703" s="1"/>
      <c r="U1703" s="1"/>
      <c r="V1703" s="15"/>
      <c r="W17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data-author="IS Pastoral" data-nold="267"&gt;&lt;a href="canciones/nsb/todos_esperamos.html"&gt;Todos esperamos&lt;/a&gt;&lt;/li&gt;</v>
      </c>
      <c r="X1703" s="15" t="str">
        <f>_xlfn.TEXTBEFORE(_xlfn.TEXTAFTER(CantoralDB[[#This Row],[index.html]],"&gt;"),"&gt;")&amp;"&gt;"</f>
        <v>&lt;a href="canciones/nsb/todos_esperamos.html"&gt;</v>
      </c>
      <c r="Y1703"/>
      <c r="AC1703" s="1"/>
    </row>
    <row r="1704" spans="1:29" x14ac:dyDescent="0.3">
      <c r="A1704" s="1">
        <f>ROW(CantoralDB[[#This Row],[Título]])-1</f>
        <v>1703</v>
      </c>
      <c r="B1704" s="1" t="s">
        <v>16</v>
      </c>
      <c r="C1704" s="1" t="s">
        <v>193</v>
      </c>
      <c r="D1704" s="1" t="s">
        <v>1373</v>
      </c>
      <c r="E1704" s="1">
        <v>406</v>
      </c>
      <c r="G1704" s="1" t="s">
        <v>208</v>
      </c>
      <c r="H1704" s="1" t="s">
        <v>529</v>
      </c>
      <c r="J1704" s="1" t="s">
        <v>605</v>
      </c>
      <c r="M1704" s="15" t="s">
        <v>512</v>
      </c>
      <c r="O1704" s="15"/>
      <c r="P1704" s="15"/>
      <c r="Q1704" s="15" t="str" cm="1">
        <f t="array" ref="Q17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4" s="15" t="str" cm="1">
        <f t="array" ref="R17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canciones/nsb/aleluya_por_esa_gente.html</v>
      </c>
      <c r="T1704" s="1"/>
      <c r="U1704" s="1"/>
      <c r="V1704" s="32" t="s">
        <v>5375</v>
      </c>
      <c r="W17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data-author="Jaime Espino" data-momento="Aleluya" data-nnew="E05" data-nold="406"&gt;&lt;a href="canciones/nsb/aleluya_por_esa_gente.html"&gt;Aleluya por esa gente&lt;/a&gt;&lt;/li&gt;</v>
      </c>
      <c r="X1704" s="15" t="str">
        <f>_xlfn.TEXTBEFORE(_xlfn.TEXTAFTER(CantoralDB[[#This Row],[index.html]],"&gt;"),"&gt;")&amp;"&gt;"</f>
        <v>&lt;a href="canciones/nsb/aleluya_por_esa_gente.html"&gt;</v>
      </c>
      <c r="Y1704"/>
      <c r="AC1704" s="1"/>
    </row>
    <row r="1705" spans="1:29" x14ac:dyDescent="0.3">
      <c r="A1705" s="1">
        <f>ROW(CantoralDB[[#This Row],[Título]])-1</f>
        <v>1704</v>
      </c>
      <c r="B1705" s="1" t="s">
        <v>214</v>
      </c>
      <c r="C1705" s="1" t="s">
        <v>990</v>
      </c>
      <c r="D1705" s="1" t="s">
        <v>721</v>
      </c>
      <c r="G1705" s="1" t="s">
        <v>215</v>
      </c>
      <c r="H1705" s="1" t="s">
        <v>1026</v>
      </c>
      <c r="I1705" s="1" t="s">
        <v>2945</v>
      </c>
      <c r="J1705" s="1" t="s">
        <v>605</v>
      </c>
      <c r="M1705" s="15" t="s">
        <v>521</v>
      </c>
      <c r="O1705" s="15"/>
      <c r="P1705" s="15"/>
      <c r="Q1705" s="15" t="str" cm="1">
        <f t="array" ref="Q17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5" s="15" t="str" cm="1">
        <f t="array" ref="R17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canciones/nsb/no_temas.html</v>
      </c>
      <c r="T1705" s="1"/>
      <c r="U1705" s="1"/>
      <c r="V1705" s="32" t="s">
        <v>3080</v>
      </c>
      <c r="W17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data-author="Jaime Olguín" data-momento="Comunión" data-nnew="K51"&gt;&lt;a href="canciones/nsb/no_temas.html"&gt;No temas&lt;/a&gt;&lt;/li&gt;</v>
      </c>
      <c r="X1705" s="15" t="str">
        <f>_xlfn.TEXTBEFORE(_xlfn.TEXTAFTER(CantoralDB[[#This Row],[index.html]],"&gt;"),"&gt;")&amp;"&gt;"</f>
        <v>&lt;a href="canciones/nsb/no_temas.html"&gt;</v>
      </c>
      <c r="Y1705"/>
      <c r="AC1705" s="1"/>
    </row>
    <row r="1706" spans="1:29" x14ac:dyDescent="0.3">
      <c r="A1706" s="1">
        <f>ROW(CantoralDB[[#This Row],[Título]])-1</f>
        <v>1705</v>
      </c>
      <c r="B1706" s="1" t="s">
        <v>528</v>
      </c>
      <c r="C1706" s="1" t="s">
        <v>195</v>
      </c>
      <c r="D1706" s="1" t="s">
        <v>1460</v>
      </c>
      <c r="G1706" s="1" t="s">
        <v>253</v>
      </c>
      <c r="H1706" s="1" t="s">
        <v>472</v>
      </c>
      <c r="J1706" s="1" t="s">
        <v>605</v>
      </c>
      <c r="M1706" s="15" t="s">
        <v>521</v>
      </c>
      <c r="O1706" s="15"/>
      <c r="P1706" s="15"/>
      <c r="Q1706" s="15" t="str" cm="1">
        <f t="array" ref="Q17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6" s="15" t="str" cm="1">
        <f t="array" ref="R17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canciones/nsb/santo_(olguin).html</v>
      </c>
      <c r="T1706" s="1"/>
      <c r="U1706" s="1"/>
      <c r="V1706" s="32" t="s">
        <v>3081</v>
      </c>
      <c r="W17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data-author="Jaime Olguín" data-momento="Santo" data-nnew="G07"&gt;&lt;a href="canciones/nsb/santo_(olguin).html"&gt;Santo (Olguín)&lt;/a&gt;&lt;/li&gt;</v>
      </c>
      <c r="X1706" s="15" t="str">
        <f>_xlfn.TEXTBEFORE(_xlfn.TEXTAFTER(CantoralDB[[#This Row],[index.html]],"&gt;"),"&gt;")&amp;"&gt;"</f>
        <v>&lt;a href="canciones/nsb/santo_(olguin).html"&gt;</v>
      </c>
      <c r="Y1706"/>
      <c r="AC1706" s="1"/>
    </row>
    <row r="1707" spans="1:29" x14ac:dyDescent="0.3">
      <c r="A1707" s="1">
        <f>ROW(CantoralDB[[#This Row],[Título]])-1</f>
        <v>1706</v>
      </c>
      <c r="B1707" s="1" t="s">
        <v>45</v>
      </c>
      <c r="C1707" s="1" t="s">
        <v>190</v>
      </c>
      <c r="D1707" s="1" t="s">
        <v>730</v>
      </c>
      <c r="E1707" s="1">
        <v>417</v>
      </c>
      <c r="F1707" s="1">
        <v>338</v>
      </c>
      <c r="G1707" s="1" t="s">
        <v>208</v>
      </c>
      <c r="H1707" s="1" t="s">
        <v>529</v>
      </c>
      <c r="J1707" s="1" t="s">
        <v>605</v>
      </c>
      <c r="M1707" s="15" t="s">
        <v>500</v>
      </c>
      <c r="O1707" s="15"/>
      <c r="P1707" s="15"/>
      <c r="Q1707" s="15" t="str" cm="1">
        <f t="array" ref="Q17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7" s="15" t="str" cm="1">
        <f t="array" ref="R17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canciones/nsb/dios_esta_aqui.html</v>
      </c>
      <c r="T1707" s="1"/>
      <c r="U1707" s="1"/>
      <c r="V1707" s="32" t="s">
        <v>5376</v>
      </c>
      <c r="W17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data-author="Javier Gacías" data-momento="Entrada" data-nnew="A13" data-nold="417" data-nrcc="338"&gt;&lt;a href="canciones/nsb/dios_esta_aqui.html"&gt;Dios está aquí&lt;/a&gt;&lt;/li&gt;</v>
      </c>
      <c r="X1707" s="15" t="str">
        <f>_xlfn.TEXTBEFORE(_xlfn.TEXTAFTER(CantoralDB[[#This Row],[index.html]],"&gt;"),"&gt;")&amp;"&gt;"</f>
        <v>&lt;a href="canciones/nsb/dios_esta_aqui.html"&gt;</v>
      </c>
      <c r="Y1707"/>
      <c r="AC1707" s="1"/>
    </row>
    <row r="1708" spans="1:29" x14ac:dyDescent="0.3">
      <c r="A1708" s="1">
        <f>ROW(CantoralDB[[#This Row],[Título]])-1</f>
        <v>1707</v>
      </c>
      <c r="B1708" s="1" t="s">
        <v>1192</v>
      </c>
      <c r="C1708" s="1"/>
      <c r="E1708" s="1">
        <v>69</v>
      </c>
      <c r="I1708" s="1" t="s">
        <v>5061</v>
      </c>
      <c r="J1708" s="1" t="s">
        <v>605</v>
      </c>
      <c r="M1708" s="15" t="s">
        <v>2079</v>
      </c>
      <c r="O1708" s="15"/>
      <c r="P1708" s="15"/>
      <c r="Q1708" s="15" t="str" cm="1">
        <f t="array" ref="Q17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8" s="15" t="str" cm="1">
        <f t="array" ref="R17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canciones/nsb/cuando_el_pan_que_esta_en_mi_vida.html</v>
      </c>
      <c r="T1708" s="1"/>
      <c r="U1708" s="1"/>
      <c r="V1708" s="15"/>
      <c r="W17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data-author="JEC" data-nold="69"&gt;&lt;a href="canciones/nsb/cuando_el_pan_que_esta_en_mi_vida.html"&gt;Cuando el pan que está en mi vida&lt;/a&gt;&lt;/li&gt;</v>
      </c>
      <c r="X1708" s="15" t="str">
        <f>_xlfn.TEXTBEFORE(_xlfn.TEXTAFTER(CantoralDB[[#This Row],[index.html]],"&gt;"),"&gt;")&amp;"&gt;"</f>
        <v>&lt;a href="canciones/nsb/cuando_el_pan_que_esta_en_mi_vida.html"&gt;</v>
      </c>
      <c r="Y1708"/>
      <c r="AC1708" s="1"/>
    </row>
    <row r="1709" spans="1:29" x14ac:dyDescent="0.3">
      <c r="A1709" s="1">
        <f>ROW(CantoralDB[[#This Row],[Título]])-1</f>
        <v>1708</v>
      </c>
      <c r="B1709" s="1" t="s">
        <v>84</v>
      </c>
      <c r="C1709" s="1" t="s">
        <v>194</v>
      </c>
      <c r="D1709" s="1" t="s">
        <v>763</v>
      </c>
      <c r="E1709" s="1">
        <v>431</v>
      </c>
      <c r="G1709" s="1" t="s">
        <v>208</v>
      </c>
      <c r="H1709" s="1" t="s">
        <v>529</v>
      </c>
      <c r="J1709" s="1" t="s">
        <v>605</v>
      </c>
      <c r="M1709" s="15" t="s">
        <v>518</v>
      </c>
      <c r="O1709" s="15"/>
      <c r="P1709" s="15"/>
      <c r="Q1709" s="15" t="str" cm="1">
        <f t="array" ref="Q17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09" s="15" t="str" cm="1">
        <f t="array" ref="R17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canciones/nsb/la_cena_del_señor.html</v>
      </c>
      <c r="T1709" s="1"/>
      <c r="U1709" s="1"/>
      <c r="V1709" s="32" t="s">
        <v>5377</v>
      </c>
      <c r="W17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data-author="Jesucristo Superstar" data-momento="Ofertorio" data-nnew="F11" data-nold="431"&gt;&lt;a href="canciones/nsb/la_cena_del_señor.html"&gt;La cena del Señor&lt;/a&gt;&lt;/li&gt;</v>
      </c>
      <c r="X1709" s="15" t="str">
        <f>_xlfn.TEXTBEFORE(_xlfn.TEXTAFTER(CantoralDB[[#This Row],[index.html]],"&gt;"),"&gt;")&amp;"&gt;"</f>
        <v>&lt;a href="canciones/nsb/la_cena_del_señor.html"&gt;</v>
      </c>
      <c r="Y1709"/>
      <c r="AC1709" s="1"/>
    </row>
    <row r="1710" spans="1:29" x14ac:dyDescent="0.3">
      <c r="A1710" s="1">
        <f>ROW(CantoralDB[[#This Row],[Título]])-1</f>
        <v>1709</v>
      </c>
      <c r="B1710" s="1" t="s">
        <v>129</v>
      </c>
      <c r="C1710" s="1" t="s">
        <v>195</v>
      </c>
      <c r="D1710" s="1" t="s">
        <v>1455</v>
      </c>
      <c r="E1710" s="1">
        <v>455</v>
      </c>
      <c r="F1710" s="1">
        <v>45</v>
      </c>
      <c r="G1710" s="1" t="s">
        <v>208</v>
      </c>
      <c r="H1710" s="1" t="s">
        <v>1025</v>
      </c>
      <c r="J1710" s="1" t="s">
        <v>605</v>
      </c>
      <c r="M1710" s="15" t="s">
        <v>520</v>
      </c>
      <c r="O1710" s="15"/>
      <c r="P1710" s="15"/>
      <c r="Q1710" s="15" t="str" cm="1">
        <f t="array" ref="Q17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0" s="15" t="str" cm="1">
        <f t="array" ref="R17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canciones/nsb/santo_(cielo_y_tierra_pasaran).html</v>
      </c>
      <c r="T1710" s="1"/>
      <c r="U1710" s="1"/>
      <c r="V1710" s="32" t="s">
        <v>4425</v>
      </c>
      <c r="W17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data-author="Jesús Cardeñoso" data-momento="Santo" data-nnew="G01" data-nold="455" data-nrcc="45"&gt;&lt;a href="canciones/nsb/santo_(cielo_y_tierra_pasaran).html"&gt;Santo (Cielo y tierra pasarán)&lt;/a&gt;&lt;/li&gt;</v>
      </c>
      <c r="X1710" s="15" t="str">
        <f>_xlfn.TEXTBEFORE(_xlfn.TEXTAFTER(CantoralDB[[#This Row],[index.html]],"&gt;"),"&gt;")&amp;"&gt;"</f>
        <v>&lt;a href="canciones/nsb/santo_(cielo_y_tierra_pasaran).html"&gt;</v>
      </c>
      <c r="Y1710"/>
      <c r="AC1710" s="1"/>
    </row>
    <row r="1711" spans="1:29" x14ac:dyDescent="0.3">
      <c r="A1711" s="1">
        <f>ROW(CantoralDB[[#This Row],[Título]])-1</f>
        <v>1710</v>
      </c>
      <c r="B1711" s="1" t="s">
        <v>2941</v>
      </c>
      <c r="C1711" s="1"/>
      <c r="E1711" s="1">
        <v>259</v>
      </c>
      <c r="H1711" s="1" t="s">
        <v>1027</v>
      </c>
      <c r="J1711" s="1" t="s">
        <v>605</v>
      </c>
      <c r="M1711" s="15" t="s">
        <v>2896</v>
      </c>
      <c r="O1711" s="15"/>
      <c r="P1711" s="15"/>
      <c r="Q1711" s="15" t="str" cm="1">
        <f t="array" ref="Q17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1" s="15" t="str" cm="1">
        <f t="array" ref="R17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canciones/nsb/tus_manos_son_palomas_de_la_paz.html</v>
      </c>
      <c r="T1711" s="1"/>
      <c r="U1711" s="1"/>
      <c r="V1711" s="32" t="s">
        <v>5378</v>
      </c>
      <c r="W17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data-author="Joaquín Santos" data-nold="259"&gt;&lt;a href="canciones/nsb/tus_manos_son_palomas_de_la_paz.html"&gt;Tus manos son palomas de la paz&lt;/a&gt;&lt;/li&gt;</v>
      </c>
      <c r="X1711" s="15" t="str">
        <f>_xlfn.TEXTBEFORE(_xlfn.TEXTAFTER(CantoralDB[[#This Row],[index.html]],"&gt;"),"&gt;")&amp;"&gt;"</f>
        <v>&lt;a href="canciones/nsb/tus_manos_son_palomas_de_la_paz.html"&gt;</v>
      </c>
      <c r="Y1711"/>
      <c r="AC1711" s="1"/>
    </row>
    <row r="1712" spans="1:29" x14ac:dyDescent="0.3">
      <c r="A1712" s="1">
        <f>ROW(CantoralDB[[#This Row],[Título]])-1</f>
        <v>1711</v>
      </c>
      <c r="B1712" s="1" t="s">
        <v>1257</v>
      </c>
      <c r="C1712" s="1"/>
      <c r="E1712" s="1">
        <v>131</v>
      </c>
      <c r="H1712" s="1" t="s">
        <v>1026</v>
      </c>
      <c r="J1712" s="1" t="s">
        <v>605</v>
      </c>
      <c r="M1712" s="15" t="s">
        <v>2866</v>
      </c>
      <c r="O1712" s="15"/>
      <c r="P1712" s="15">
        <v>1975</v>
      </c>
      <c r="Q1712" s="15" t="str" cm="1">
        <f t="array" ref="Q17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2" s="15" t="str" cm="1">
        <f t="array" ref="R17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canciones/nsb/habra_un_dia_en_que_todos.html</v>
      </c>
      <c r="T1712" s="1"/>
      <c r="U1712" s="1"/>
      <c r="V1712" s="32" t="s">
        <v>3082</v>
      </c>
      <c r="W17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Antonio Labordeta" data-nold="131"&gt;&lt;a href="canciones/nsb/habra_un_dia_en_que_todos.html"&gt;Habrá un día en que todos&lt;/a&gt;&lt;/li&gt;</v>
      </c>
      <c r="X1712" s="15" t="str">
        <f>_xlfn.TEXTBEFORE(_xlfn.TEXTAFTER(CantoralDB[[#This Row],[index.html]],"&gt;"),"&gt;")&amp;"&gt;"</f>
        <v>&lt;a href="canciones/nsb/habra_un_dia_en_que_todos.html"&gt;</v>
      </c>
      <c r="Y1712"/>
      <c r="AC1712" s="1"/>
    </row>
    <row r="1713" spans="1:29" x14ac:dyDescent="0.3">
      <c r="A1713" s="1">
        <f>ROW(CantoralDB[[#This Row],[Título]])-1</f>
        <v>1712</v>
      </c>
      <c r="B1713" s="1" t="s">
        <v>183</v>
      </c>
      <c r="C1713" s="1" t="s">
        <v>990</v>
      </c>
      <c r="D1713" s="1" t="s">
        <v>706</v>
      </c>
      <c r="G1713" s="1" t="s">
        <v>208</v>
      </c>
      <c r="H1713" s="1" t="s">
        <v>1024</v>
      </c>
      <c r="J1713" s="1" t="s">
        <v>605</v>
      </c>
      <c r="M1713" s="15" t="s">
        <v>624</v>
      </c>
      <c r="O1713" s="15"/>
      <c r="P1713" s="15"/>
      <c r="Q1713" s="15" t="str" cm="1">
        <f t="array" ref="Q17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3" s="15" t="str" cm="1">
        <f t="array" ref="R17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canciones/nsb/himno_a_san_jose.html</v>
      </c>
      <c r="T1713" s="1"/>
      <c r="U1713" s="1"/>
      <c r="V1713" s="32" t="s">
        <v>5379</v>
      </c>
      <c r="W17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Antonio Poblete" data-momento="Comunión" data-nnew="K36"&gt;&lt;a href="canciones/nsb/himno_a_san_jose.html"&gt;Himno a San José&lt;/a&gt;&lt;/li&gt;</v>
      </c>
      <c r="X1713" s="15" t="str">
        <f>_xlfn.TEXTBEFORE(_xlfn.TEXTAFTER(CantoralDB[[#This Row],[index.html]],"&gt;"),"&gt;")&amp;"&gt;"</f>
        <v>&lt;a href="canciones/nsb/himno_a_san_jose.html"&gt;</v>
      </c>
      <c r="Y1713"/>
      <c r="AC1713" s="1"/>
    </row>
    <row r="1714" spans="1:29" x14ac:dyDescent="0.3">
      <c r="A1714" s="1">
        <f>ROW(CantoralDB[[#This Row],[Título]])-1</f>
        <v>1713</v>
      </c>
      <c r="B1714" s="1" t="s">
        <v>547</v>
      </c>
      <c r="C1714" s="1" t="s">
        <v>475</v>
      </c>
      <c r="D1714" s="1" t="s">
        <v>1059</v>
      </c>
      <c r="H1714" s="1" t="s">
        <v>1024</v>
      </c>
      <c r="J1714" s="1" t="s">
        <v>605</v>
      </c>
      <c r="M1714" s="15" t="s">
        <v>574</v>
      </c>
      <c r="O1714" s="15"/>
      <c r="P1714" s="15"/>
      <c r="Q1714" s="15" t="str" cm="1">
        <f t="array" ref="Q17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4" s="15" t="str" cm="1">
        <f t="array" ref="R17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canciones/nsb/navidad_es_navidad.html</v>
      </c>
      <c r="T1714" s="1"/>
      <c r="U1714" s="1"/>
      <c r="V1714" s="32" t="s">
        <v>3077</v>
      </c>
      <c r="W17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Luis Perales" data-momento="Navidad" data-nnew="O14"&gt;&lt;a href="canciones/nsb/navidad_es_navidad.html"&gt;Navidad, es Navidad&lt;/a&gt;&lt;/li&gt;</v>
      </c>
      <c r="X1714" s="15" t="str">
        <f>_xlfn.TEXTBEFORE(_xlfn.TEXTAFTER(CantoralDB[[#This Row],[index.html]],"&gt;"),"&gt;")&amp;"&gt;"</f>
        <v>&lt;a href="canciones/nsb/navidad_es_navidad.html"&gt;</v>
      </c>
      <c r="Y1714"/>
      <c r="AC1714" s="1"/>
    </row>
    <row r="1715" spans="1:29" x14ac:dyDescent="0.3">
      <c r="A1715" s="1">
        <f>ROW(CantoralDB[[#This Row],[Título]])-1</f>
        <v>1714</v>
      </c>
      <c r="B1715" s="1" t="s">
        <v>548</v>
      </c>
      <c r="C1715" s="1" t="s">
        <v>475</v>
      </c>
      <c r="D1715" s="1" t="s">
        <v>1060</v>
      </c>
      <c r="H1715" s="1" t="s">
        <v>529</v>
      </c>
      <c r="J1715" s="1" t="s">
        <v>605</v>
      </c>
      <c r="M1715" s="15" t="s">
        <v>574</v>
      </c>
      <c r="O1715" s="15"/>
      <c r="P1715" s="15"/>
      <c r="Q1715" s="15" t="str" cm="1">
        <f t="array" ref="Q17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5" s="15" t="str" cm="1">
        <f t="array" ref="R17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canciones/nsb/navidad_navidad.html</v>
      </c>
      <c r="T1715" s="1"/>
      <c r="U1715" s="1"/>
      <c r="V1715" s="32" t="s">
        <v>3078</v>
      </c>
      <c r="W17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Luis Perales" data-momento="Navidad" data-nnew="O13"&gt;&lt;a href="canciones/nsb/navidad_navidad.html"&gt;Navidad, Navidad&lt;/a&gt;&lt;/li&gt;</v>
      </c>
      <c r="X1715" s="15" t="str">
        <f>_xlfn.TEXTBEFORE(_xlfn.TEXTAFTER(CantoralDB[[#This Row],[index.html]],"&gt;"),"&gt;")&amp;"&gt;"</f>
        <v>&lt;a href="canciones/nsb/navidad_navidad.html"&gt;</v>
      </c>
      <c r="Y1715"/>
      <c r="AC1715" s="1"/>
    </row>
    <row r="1716" spans="1:29" x14ac:dyDescent="0.3">
      <c r="A1716" s="1">
        <f>ROW(CantoralDB[[#This Row],[Título]])-1</f>
        <v>1715</v>
      </c>
      <c r="B1716" s="1" t="s">
        <v>602</v>
      </c>
      <c r="C1716" s="1" t="s">
        <v>990</v>
      </c>
      <c r="D1716" s="1" t="s">
        <v>725</v>
      </c>
      <c r="G1716" s="1" t="s">
        <v>599</v>
      </c>
      <c r="H1716" s="1" t="s">
        <v>529</v>
      </c>
      <c r="J1716" s="1" t="s">
        <v>605</v>
      </c>
      <c r="M1716" s="15" t="s">
        <v>603</v>
      </c>
      <c r="O1716" s="15"/>
      <c r="P1716" s="15"/>
      <c r="Q1716" s="15" t="str" cm="1">
        <f t="array" ref="Q17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6" s="15" t="str" cm="1">
        <f t="array" ref="R17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canciones/nsb/principio_y_fundamento.html</v>
      </c>
      <c r="T1716" s="1"/>
      <c r="U1716" s="1"/>
      <c r="V1716" s="32" t="s">
        <v>3079</v>
      </c>
      <c r="W17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María Olaizola" data-momento="Comunión" data-nnew="K55"&gt;&lt;a href="canciones/nsb/principio_y_fundamento.html"&gt;Principio y fundamento&lt;/a&gt;&lt;/li&gt;</v>
      </c>
      <c r="X1716" s="15" t="str">
        <f>_xlfn.TEXTBEFORE(_xlfn.TEXTAFTER(CantoralDB[[#This Row],[index.html]],"&gt;"),"&gt;")&amp;"&gt;"</f>
        <v>&lt;a href="canciones/nsb/principio_y_fundamento.html"&gt;</v>
      </c>
      <c r="Y1716"/>
      <c r="AC1716" s="1"/>
    </row>
    <row r="1717" spans="1:29" x14ac:dyDescent="0.3">
      <c r="A1717" s="1">
        <f>ROW(CantoralDB[[#This Row],[Título]])-1</f>
        <v>1716</v>
      </c>
      <c r="B1717" s="1" t="s">
        <v>1304</v>
      </c>
      <c r="C1717" s="1"/>
      <c r="E1717" s="1">
        <v>216</v>
      </c>
      <c r="H1717" s="1" t="s">
        <v>1027</v>
      </c>
      <c r="J1717" s="1" t="s">
        <v>605</v>
      </c>
      <c r="M1717" s="15" t="s">
        <v>2133</v>
      </c>
      <c r="N1717" s="1" t="s">
        <v>81</v>
      </c>
      <c r="O1717" s="15"/>
      <c r="P1717" s="15"/>
      <c r="Q1717" s="15" t="str" cm="1">
        <f t="array" ref="Q17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7" s="15" t="str" cm="1">
        <f t="array" ref="R17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canciones/nsb/pueblo_que_avanzas_buscando.html</v>
      </c>
      <c r="T1717" s="1"/>
      <c r="U1717" s="1"/>
      <c r="V1717" s="32" t="s">
        <v>4886</v>
      </c>
      <c r="W17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Pedro Martins" data-nold="216"&gt;&lt;a href="canciones/nsb/pueblo_que_avanzas_buscando.html"&gt;Pueblo que avanzas buscando&lt;/a&gt;&lt;/li&gt;</v>
      </c>
      <c r="X1717" s="15" t="str">
        <f>_xlfn.TEXTBEFORE(_xlfn.TEXTAFTER(CantoralDB[[#This Row],[index.html]],"&gt;"),"&gt;")&amp;"&gt;"</f>
        <v>&lt;a href="canciones/nsb/pueblo_que_avanzas_buscando.html"&gt;</v>
      </c>
      <c r="Y1717"/>
      <c r="AC1717" s="1"/>
    </row>
    <row r="1718" spans="1:29" x14ac:dyDescent="0.3">
      <c r="A1718" s="1">
        <f>ROW(CantoralDB[[#This Row],[Título]])-1</f>
        <v>1717</v>
      </c>
      <c r="B1718" s="1" t="s">
        <v>12</v>
      </c>
      <c r="C1718" s="1" t="s">
        <v>190</v>
      </c>
      <c r="D1718" s="1" t="s">
        <v>1366</v>
      </c>
      <c r="E1718" s="1">
        <v>10</v>
      </c>
      <c r="G1718" s="1" t="s">
        <v>208</v>
      </c>
      <c r="H1718" s="1" t="s">
        <v>529</v>
      </c>
      <c r="J1718" s="1" t="s">
        <v>605</v>
      </c>
      <c r="M1718" s="15" t="s">
        <v>2133</v>
      </c>
      <c r="O1718" s="15"/>
      <c r="P1718" s="15"/>
      <c r="Q1718" s="15" t="str" cm="1">
        <f t="array" ref="Q17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8" s="15" t="str" cm="1">
        <f t="array" ref="R17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canciones/nsb/alegremonos_hermanos.html</v>
      </c>
      <c r="T1718" s="1"/>
      <c r="U1718" s="1"/>
      <c r="V1718" s="32" t="s">
        <v>4883</v>
      </c>
      <c r="W17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Pedro Martins" data-momento="Entrada" data-nnew="A06" data-nold="10"&gt;&lt;a href="canciones/nsb/alegremonos_hermanos.html"&gt;Alegrémonos, hermanos&lt;/a&gt;&lt;/li&gt;</v>
      </c>
      <c r="X1718" s="15" t="str">
        <f>_xlfn.TEXTBEFORE(_xlfn.TEXTAFTER(CantoralDB[[#This Row],[index.html]],"&gt;"),"&gt;")&amp;"&gt;"</f>
        <v>&lt;a href="canciones/nsb/alegremonos_hermanos.html"&gt;</v>
      </c>
      <c r="Y1718"/>
      <c r="AC1718" s="1"/>
    </row>
    <row r="1719" spans="1:29" x14ac:dyDescent="0.3">
      <c r="A1719" s="1">
        <f>ROW(CantoralDB[[#This Row],[Título]])-1</f>
        <v>1718</v>
      </c>
      <c r="B1719" s="1" t="s">
        <v>81</v>
      </c>
      <c r="C1719" s="1" t="s">
        <v>990</v>
      </c>
      <c r="D1719" s="1" t="s">
        <v>713</v>
      </c>
      <c r="E1719" s="1">
        <v>144</v>
      </c>
      <c r="G1719" s="1" t="s">
        <v>208</v>
      </c>
      <c r="H1719" s="1" t="s">
        <v>529</v>
      </c>
      <c r="J1719" s="1" t="s">
        <v>605</v>
      </c>
      <c r="M1719" s="15" t="s">
        <v>2133</v>
      </c>
      <c r="O1719" s="15"/>
      <c r="P1719" s="15"/>
      <c r="Q1719" s="15" t="str" cm="1">
        <f t="array" ref="Q17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19" s="15" t="str" cm="1">
        <f t="array" ref="R17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canciones/nsb/jesus_nuestra_pascua.html</v>
      </c>
      <c r="T1719" s="1"/>
      <c r="U1719" s="1"/>
      <c r="V1719" s="32" t="s">
        <v>4884</v>
      </c>
      <c r="W17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Pedro Martins" data-momento="Comunión" data-nnew="K43" data-nold="144"&gt;&lt;a href="canciones/nsb/jesus_nuestra_pascua.html"&gt;Jesús, nuestra Pascua&lt;/a&gt;&lt;/li&gt;</v>
      </c>
      <c r="X1719" s="15" t="str">
        <f>_xlfn.TEXTBEFORE(_xlfn.TEXTAFTER(CantoralDB[[#This Row],[index.html]],"&gt;"),"&gt;")&amp;"&gt;"</f>
        <v>&lt;a href="canciones/nsb/jesus_nuestra_pascua.html"&gt;</v>
      </c>
      <c r="Y1719"/>
      <c r="AC1719" s="1"/>
    </row>
    <row r="1720" spans="1:29" x14ac:dyDescent="0.3">
      <c r="A1720" s="1">
        <f>ROW(CantoralDB[[#This Row],[Título]])-1</f>
        <v>1719</v>
      </c>
      <c r="B1720" s="1" t="s">
        <v>82</v>
      </c>
      <c r="C1720" s="1" t="s">
        <v>990</v>
      </c>
      <c r="D1720" s="1" t="s">
        <v>715</v>
      </c>
      <c r="E1720" s="1">
        <v>143</v>
      </c>
      <c r="G1720" s="1" t="s">
        <v>208</v>
      </c>
      <c r="H1720" s="1" t="s">
        <v>529</v>
      </c>
      <c r="J1720" s="1" t="s">
        <v>605</v>
      </c>
      <c r="M1720" s="15" t="s">
        <v>2133</v>
      </c>
      <c r="O1720" s="15"/>
      <c r="P1720" s="15"/>
      <c r="Q1720" s="15" t="str" cm="1">
        <f t="array" ref="Q17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0" s="15" t="str" cm="1">
        <f t="array" ref="R17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canciones/nsb/juntos_cantemos_hoy.html</v>
      </c>
      <c r="T1720" s="1"/>
      <c r="U1720" s="1"/>
      <c r="V1720" s="32" t="s">
        <v>4885</v>
      </c>
      <c r="W17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Pedro Martins" data-momento="Comunión" data-nnew="K45" data-nold="143"&gt;&lt;a href="canciones/nsb/juntos_cantemos_hoy.html"&gt;Juntos cantemos hoy&lt;/a&gt;&lt;/li&gt;</v>
      </c>
      <c r="X1720" s="15" t="str">
        <f>_xlfn.TEXTBEFORE(_xlfn.TEXTAFTER(CantoralDB[[#This Row],[index.html]],"&gt;"),"&gt;")&amp;"&gt;"</f>
        <v>&lt;a href="canciones/nsb/juntos_cantemos_hoy.html"&gt;</v>
      </c>
      <c r="Y1720"/>
      <c r="AC1720" s="1"/>
    </row>
    <row r="1721" spans="1:29" x14ac:dyDescent="0.3">
      <c r="A1721" s="1">
        <f>ROW(CantoralDB[[#This Row],[Título]])-1</f>
        <v>1720</v>
      </c>
      <c r="B1721" s="1" t="s">
        <v>560</v>
      </c>
      <c r="C1721" s="1" t="s">
        <v>200</v>
      </c>
      <c r="D1721" s="1" t="s">
        <v>1386</v>
      </c>
      <c r="G1721" s="1" t="s">
        <v>551</v>
      </c>
      <c r="H1721" s="1" t="s">
        <v>1024</v>
      </c>
      <c r="J1721" s="1" t="s">
        <v>605</v>
      </c>
      <c r="M1721" s="15" t="s">
        <v>607</v>
      </c>
      <c r="O1721" s="15"/>
      <c r="P1721" s="15"/>
      <c r="Q1721" s="15" t="str" cm="1">
        <f t="array" ref="Q17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1" s="15" t="str" cm="1">
        <f t="array" ref="R17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canciones/nsb/ayudame_a_caminar.html</v>
      </c>
      <c r="T1721" s="1" t="s">
        <v>804</v>
      </c>
      <c r="U1721" s="1"/>
      <c r="V1721" s="32" t="s">
        <v>4887</v>
      </c>
      <c r="W17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Vives" data-momento="Antífonas" data-nnew="D05"&gt;&lt;a href="canciones/nsb/ayudame_a_caminar.html"&gt;Ayúdame a caminar&lt;/a&gt;&lt;/li&gt;</v>
      </c>
      <c r="X1721" s="15" t="str">
        <f>_xlfn.TEXTBEFORE(_xlfn.TEXTAFTER(CantoralDB[[#This Row],[index.html]],"&gt;"),"&gt;")&amp;"&gt;"</f>
        <v>&lt;a href="canciones/nsb/ayudame_a_caminar.html"&gt;</v>
      </c>
      <c r="Y1721"/>
      <c r="AC1721" s="1"/>
    </row>
    <row r="1722" spans="1:29" x14ac:dyDescent="0.3">
      <c r="A1722" s="1">
        <f>ROW(CantoralDB[[#This Row],[Título]])-1</f>
        <v>1721</v>
      </c>
      <c r="B1722" s="1" t="s">
        <v>1269</v>
      </c>
      <c r="C1722" s="1"/>
      <c r="E1722" s="1">
        <v>153</v>
      </c>
      <c r="H1722" s="1" t="s">
        <v>529</v>
      </c>
      <c r="J1722" s="1" t="s">
        <v>605</v>
      </c>
      <c r="M1722" s="15" t="s">
        <v>2942</v>
      </c>
      <c r="O1722" s="15"/>
      <c r="P1722" s="15"/>
      <c r="Q1722" s="15" t="str" cm="1">
        <f t="array" ref="Q17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2" s="15" t="str" cm="1">
        <f t="array" ref="R17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canciones/nsb/la_palabra_nos_la_dio_el_señor.html</v>
      </c>
      <c r="T1722" s="1"/>
      <c r="U1722" s="1"/>
      <c r="V1722" s="32" t="s">
        <v>4888</v>
      </c>
      <c r="W17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Erasmo Mochi" data-nold="153"&gt;&lt;a href="canciones/nsb/la_palabra_nos_la_dio_el_señor.html"&gt;La palabra nos la dio el Señor&lt;/a&gt;&lt;/li&gt;</v>
      </c>
      <c r="X1722" s="15" t="str">
        <f>_xlfn.TEXTBEFORE(_xlfn.TEXTAFTER(CantoralDB[[#This Row],[index.html]],"&gt;"),"&gt;")&amp;"&gt;"</f>
        <v>&lt;a href="canciones/nsb/la_palabra_nos_la_dio_el_señor.html"&gt;</v>
      </c>
      <c r="Y1722"/>
      <c r="AC1722" s="1"/>
    </row>
    <row r="1723" spans="1:29" x14ac:dyDescent="0.3">
      <c r="A1723" s="1">
        <f>ROW(CantoralDB[[#This Row],[Título]])-1</f>
        <v>1722</v>
      </c>
      <c r="B1723" s="1" t="s">
        <v>1157</v>
      </c>
      <c r="C1723" s="1"/>
      <c r="E1723" s="1">
        <v>15</v>
      </c>
      <c r="H1723" s="1" t="s">
        <v>1024</v>
      </c>
      <c r="J1723" s="1" t="s">
        <v>605</v>
      </c>
      <c r="M1723" s="15" t="s">
        <v>2862</v>
      </c>
      <c r="O1723" s="15"/>
      <c r="P1723" s="15"/>
      <c r="Q1723" s="15" t="str" cm="1">
        <f t="array" ref="Q17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3" s="15" t="str" cm="1">
        <f t="array" ref="R17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canciones/nsb/alabad_al_señor_en_su_templo.html</v>
      </c>
      <c r="T1723" s="1"/>
      <c r="U1723" s="1"/>
      <c r="V1723" s="32" t="s">
        <v>4889</v>
      </c>
      <c r="W17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Jáuregui" data-nold="15"&gt;&lt;a href="canciones/nsb/alabad_al_señor_en_su_templo.html"&gt;Alabad al Señor en su templo&lt;/a&gt;&lt;/li&gt;</v>
      </c>
      <c r="X1723" s="15" t="str">
        <f>_xlfn.TEXTBEFORE(_xlfn.TEXTAFTER(CantoralDB[[#This Row],[index.html]],"&gt;"),"&gt;")&amp;"&gt;"</f>
        <v>&lt;a href="canciones/nsb/alabad_al_señor_en_su_templo.html"&gt;</v>
      </c>
      <c r="Y1723"/>
      <c r="AC1723" s="1"/>
    </row>
    <row r="1724" spans="1:29" x14ac:dyDescent="0.3">
      <c r="A1724" s="1">
        <f>ROW(CantoralDB[[#This Row],[Título]])-1</f>
        <v>1723</v>
      </c>
      <c r="B1724" s="1" t="s">
        <v>3010</v>
      </c>
      <c r="C1724" s="1"/>
      <c r="E1724" s="1">
        <v>119</v>
      </c>
      <c r="H1724" s="1" t="s">
        <v>529</v>
      </c>
      <c r="J1724" s="1" t="s">
        <v>605</v>
      </c>
      <c r="M1724" s="15" t="s">
        <v>2862</v>
      </c>
      <c r="O1724" s="15"/>
      <c r="P1724" s="15"/>
      <c r="Q1724" s="15" t="str" cm="1">
        <f t="array" ref="Q17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4" s="15" t="str" cm="1">
        <f t="array" ref="R17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canciones/nsb/el_señor_es_nuestra_alegria_(este_es_el_dia).html</v>
      </c>
      <c r="T1724" s="1"/>
      <c r="U1724" s="1"/>
      <c r="V1724" s="32" t="s">
        <v>3011</v>
      </c>
      <c r="W17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Jáuregui" data-nold="119"&gt;&lt;a href="canciones/nsb/el_señor_es_nuestra_alegria_(este_es_el_dia).html"&gt;El Señor es nuestra alegría (Este es el día)&lt;/a&gt;&lt;/li&gt;</v>
      </c>
      <c r="X1724" s="15" t="str">
        <f>_xlfn.TEXTBEFORE(_xlfn.TEXTAFTER(CantoralDB[[#This Row],[index.html]],"&gt;"),"&gt;")&amp;"&gt;"</f>
        <v>&lt;a href="canciones/nsb/el_señor_es_nuestra_alegria_(este_es_el_dia).html"&gt;</v>
      </c>
      <c r="Y1724"/>
      <c r="AC1724" s="1"/>
    </row>
    <row r="1725" spans="1:29" x14ac:dyDescent="0.3">
      <c r="A1725" s="1">
        <f>ROW(CantoralDB[[#This Row],[Título]])-1</f>
        <v>1724</v>
      </c>
      <c r="B1725" s="1" t="s">
        <v>598</v>
      </c>
      <c r="C1725" s="1"/>
      <c r="E1725" s="1">
        <v>148</v>
      </c>
      <c r="J1725" s="1" t="s">
        <v>605</v>
      </c>
      <c r="L1725" s="1" t="s">
        <v>2955</v>
      </c>
      <c r="M1725" s="15" t="s">
        <v>2862</v>
      </c>
      <c r="O1725" s="15"/>
      <c r="P1725" s="15"/>
      <c r="Q1725" s="15" t="str" cm="1">
        <f t="array" ref="Q17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5" s="15" t="str" cm="1">
        <f t="array" ref="R17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canciones/nsb/lampara_es_tu_palabra.html</v>
      </c>
      <c r="T1725" s="1"/>
      <c r="U1725" s="1"/>
      <c r="V1725" s="32" t="s">
        <v>2977</v>
      </c>
      <c r="W17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Jáuregui" data-nold="148"&gt;&lt;a href="canciones/nsb/lampara_es_tu_palabra.html"&gt;Lámpara es tu palabra&lt;/a&gt;&lt;/li&gt;</v>
      </c>
      <c r="X1725" s="15" t="str">
        <f>_xlfn.TEXTBEFORE(_xlfn.TEXTAFTER(CantoralDB[[#This Row],[index.html]],"&gt;"),"&gt;")&amp;"&gt;"</f>
        <v>&lt;a href="canciones/nsb/lampara_es_tu_palabra.html"&gt;</v>
      </c>
      <c r="Y1725"/>
      <c r="AC1725" s="1"/>
    </row>
    <row r="1726" spans="1:29" x14ac:dyDescent="0.3">
      <c r="A1726" s="1">
        <f>ROW(CantoralDB[[#This Row],[Título]])-1</f>
        <v>1725</v>
      </c>
      <c r="B1726" s="1" t="s">
        <v>511</v>
      </c>
      <c r="C1726" s="1" t="s">
        <v>200</v>
      </c>
      <c r="D1726" s="1" t="s">
        <v>664</v>
      </c>
      <c r="E1726" s="1">
        <v>190</v>
      </c>
      <c r="G1726" s="1" t="s">
        <v>208</v>
      </c>
      <c r="H1726" s="1" t="s">
        <v>1027</v>
      </c>
      <c r="J1726" s="1" t="s">
        <v>605</v>
      </c>
      <c r="M1726" s="15" t="s">
        <v>2862</v>
      </c>
      <c r="O1726" s="15"/>
      <c r="P1726" s="15"/>
      <c r="Q1726" s="15" t="str" cm="1">
        <f t="array" ref="Q17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6" s="15" t="str" cm="1">
        <f t="array" ref="R17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canciones/nsb/oh_dios_tu_eres_mi_dios_(sed_de_dios).html</v>
      </c>
      <c r="T1726" s="1" t="s">
        <v>846</v>
      </c>
      <c r="U1726" s="1"/>
      <c r="V1726" s="32" t="s">
        <v>4881</v>
      </c>
      <c r="W17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Jáuregui" data-momento="Antífonas" data-nnew="D29" data-nold="190"&gt;&lt;a href="canciones/nsb/oh_dios_tu_eres_mi_dios_(sed_de_dios).html"&gt;Oh, Dios, tú eres mi Dios (Sed de Dios)&lt;/a&gt;&lt;/li&gt;</v>
      </c>
      <c r="X1726" s="15" t="str">
        <f>_xlfn.TEXTBEFORE(_xlfn.TEXTAFTER(CantoralDB[[#This Row],[index.html]],"&gt;"),"&gt;")&amp;"&gt;"</f>
        <v>&lt;a href="canciones/nsb/oh_dios_tu_eres_mi_dios_(sed_de_dios).html"&gt;</v>
      </c>
      <c r="Y1726"/>
      <c r="AC1726" s="1"/>
    </row>
    <row r="1727" spans="1:29" x14ac:dyDescent="0.3">
      <c r="A1727" s="1">
        <f>ROW(CantoralDB[[#This Row],[Título]])-1</f>
        <v>1726</v>
      </c>
      <c r="B1727" s="1" t="s">
        <v>13</v>
      </c>
      <c r="C1727" s="1" t="s">
        <v>193</v>
      </c>
      <c r="D1727" s="1" t="s">
        <v>1368</v>
      </c>
      <c r="F1727" s="1">
        <v>293</v>
      </c>
      <c r="G1727" s="1" t="s">
        <v>208</v>
      </c>
      <c r="H1727" s="1" t="s">
        <v>529</v>
      </c>
      <c r="J1727" s="1" t="s">
        <v>605</v>
      </c>
      <c r="M1727" s="15" t="s">
        <v>4594</v>
      </c>
      <c r="O1727" s="15"/>
      <c r="P1727" s="15"/>
      <c r="Q1727" s="15" t="str" cm="1">
        <f t="array" ref="Q17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7" s="15" t="str" cm="1">
        <f t="array" ref="R17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canciones/nsb/alelu-aleluya.html</v>
      </c>
      <c r="T1727" s="1"/>
      <c r="U1727" s="1"/>
      <c r="V1727" s="32" t="s">
        <v>4882</v>
      </c>
      <c r="W17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data-author="Karen Lafferty" data-momento="Aleluya" data-nnew="E01" data-nrcc="293"&gt;&lt;a href="canciones/nsb/alelu-aleluya.html"&gt;Alelu-aleluya&lt;/a&gt;&lt;/li&gt;</v>
      </c>
      <c r="X1727" s="15" t="str">
        <f>_xlfn.TEXTBEFORE(_xlfn.TEXTAFTER(CantoralDB[[#This Row],[index.html]],"&gt;"),"&gt;")&amp;"&gt;"</f>
        <v>&lt;a href="canciones/nsb/alelu-aleluya.html"&gt;</v>
      </c>
      <c r="Y1727"/>
      <c r="AC1727" s="1"/>
    </row>
    <row r="1728" spans="1:29" x14ac:dyDescent="0.3">
      <c r="A1728" s="1">
        <f>ROW(CantoralDB[[#This Row],[Título]])-1</f>
        <v>1727</v>
      </c>
      <c r="B1728" s="1" t="s">
        <v>126</v>
      </c>
      <c r="C1728" s="1" t="s">
        <v>990</v>
      </c>
      <c r="D1728" s="1" t="s">
        <v>998</v>
      </c>
      <c r="E1728" s="1">
        <v>225</v>
      </c>
      <c r="G1728" s="1" t="s">
        <v>208</v>
      </c>
      <c r="H1728" s="1" t="s">
        <v>1027</v>
      </c>
      <c r="J1728" s="1" t="s">
        <v>605</v>
      </c>
      <c r="M1728" s="15" t="s">
        <v>576</v>
      </c>
      <c r="O1728" s="15"/>
      <c r="P1728" s="15"/>
      <c r="Q1728" s="15" t="str" cm="1">
        <f t="array" ref="Q17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8" s="15" t="str" cm="1">
        <f t="array" ref="R17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canciones/nsb/resucito_aleluya.html</v>
      </c>
      <c r="T1728" s="1"/>
      <c r="U1728" s="1"/>
      <c r="V1728" s="32" t="s">
        <v>4880</v>
      </c>
      <c r="W17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data-author="Kiko Argüello" data-momento="Comunión" data-nnew="K64" data-nold="225"&gt;&lt;a href="canciones/nsb/resucito_aleluya.html"&gt;Resucitó, aleluya&lt;/a&gt;&lt;/li&gt;</v>
      </c>
      <c r="X1728" s="15" t="str">
        <f>_xlfn.TEXTBEFORE(_xlfn.TEXTAFTER(CantoralDB[[#This Row],[index.html]],"&gt;"),"&gt;")&amp;"&gt;"</f>
        <v>&lt;a href="canciones/nsb/resucito_aleluya.html"&gt;</v>
      </c>
      <c r="Y1728"/>
      <c r="AC1728" s="1"/>
    </row>
    <row r="1729" spans="1:29" x14ac:dyDescent="0.3">
      <c r="A1729" s="1">
        <f>ROW(CantoralDB[[#This Row],[Título]])-1</f>
        <v>1728</v>
      </c>
      <c r="B1729" s="1" t="s">
        <v>216</v>
      </c>
      <c r="C1729" s="1" t="s">
        <v>218</v>
      </c>
      <c r="D1729" s="1" t="s">
        <v>1472</v>
      </c>
      <c r="G1729" s="1" t="s">
        <v>208</v>
      </c>
      <c r="H1729" s="1" t="s">
        <v>1025</v>
      </c>
      <c r="J1729" s="1" t="s">
        <v>605</v>
      </c>
      <c r="M1729" s="15" t="s">
        <v>5336</v>
      </c>
      <c r="N1729" s="1" t="s">
        <v>5335</v>
      </c>
      <c r="O1729" s="15">
        <v>2014</v>
      </c>
      <c r="P1729" s="15"/>
      <c r="Q1729" s="15" t="str" cm="1">
        <f t="array" ref="Q17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29" s="15" t="str" cm="1">
        <f t="array" ref="R17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canciones/nsb/ven_espiritu_de_dios_(esprit_createur).html</v>
      </c>
      <c r="T1729" s="1"/>
      <c r="U1729" s="1" t="s">
        <v>2117</v>
      </c>
      <c r="V1729" s="32" t="s">
        <v>5334</v>
      </c>
      <c r="W17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data-author="Léah Pavageau" data-momento="Espíritu" data-nnew="N04"&gt;&lt;a href="canciones/nsb/ven_espiritu_de_dios_(esprit_createur).html"&gt;Ven, Espíritu de Dios (Esprit createur)&lt;/a&gt;&lt;/li&gt;</v>
      </c>
      <c r="X1729" s="15" t="str">
        <f>_xlfn.TEXTBEFORE(_xlfn.TEXTAFTER(CantoralDB[[#This Row],[index.html]],"&gt;"),"&gt;")&amp;"&gt;"</f>
        <v>&lt;a href="canciones/nsb/ven_espiritu_de_dios_(esprit_createur).html"&gt;</v>
      </c>
      <c r="Y1729"/>
      <c r="AC1729" s="1"/>
    </row>
    <row r="1730" spans="1:29" x14ac:dyDescent="0.3">
      <c r="A1730" s="1">
        <f>ROW(CantoralDB[[#This Row],[Título]])-1</f>
        <v>1729</v>
      </c>
      <c r="B1730" s="1" t="s">
        <v>167</v>
      </c>
      <c r="C1730" s="1" t="s">
        <v>200</v>
      </c>
      <c r="D1730" s="1" t="s">
        <v>679</v>
      </c>
      <c r="E1730" s="1">
        <v>475</v>
      </c>
      <c r="F1730" s="1">
        <v>287</v>
      </c>
      <c r="G1730" s="1" t="s">
        <v>208</v>
      </c>
      <c r="H1730" s="1" t="s">
        <v>1027</v>
      </c>
      <c r="J1730" s="1" t="s">
        <v>605</v>
      </c>
      <c r="M1730" s="15" t="s">
        <v>585</v>
      </c>
      <c r="O1730" s="15"/>
      <c r="P1730" s="15"/>
      <c r="Q1730" s="15" t="str" cm="1">
        <f t="array" ref="Q17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0" s="15" t="str" cm="1">
        <f t="array" ref="R17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canciones/nsb/yo_celebrare.html</v>
      </c>
      <c r="T1730" s="1"/>
      <c r="U1730" s="1"/>
      <c r="V1730" s="32" t="s">
        <v>4556</v>
      </c>
      <c r="W17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data-author="Linda Duval" data-momento="Antífonas" data-nnew="D44" data-nold="475" data-nrcc="287"&gt;&lt;a href="canciones/nsb/yo_celebrare.html"&gt;Yo celebraré&lt;/a&gt;&lt;/li&gt;</v>
      </c>
      <c r="X1730" s="15" t="str">
        <f>_xlfn.TEXTBEFORE(_xlfn.TEXTAFTER(CantoralDB[[#This Row],[index.html]],"&gt;"),"&gt;")&amp;"&gt;"</f>
        <v>&lt;a href="canciones/nsb/yo_celebrare.html"&gt;</v>
      </c>
      <c r="Y1730"/>
      <c r="AC1730" s="1"/>
    </row>
    <row r="1731" spans="1:29" x14ac:dyDescent="0.3">
      <c r="A1731" s="1">
        <f>ROW(CantoralDB[[#This Row],[Título]])-1</f>
        <v>1730</v>
      </c>
      <c r="B1731" s="1" t="s">
        <v>29</v>
      </c>
      <c r="C1731" s="1" t="s">
        <v>193</v>
      </c>
      <c r="D1731" s="1" t="s">
        <v>987</v>
      </c>
      <c r="E1731" s="1">
        <v>413</v>
      </c>
      <c r="F1731" s="1">
        <v>152</v>
      </c>
      <c r="G1731" s="1" t="s">
        <v>208</v>
      </c>
      <c r="H1731" s="1" t="s">
        <v>529</v>
      </c>
      <c r="I1731" s="1" t="s">
        <v>2948</v>
      </c>
      <c r="J1731" s="1" t="s">
        <v>605</v>
      </c>
      <c r="M1731" s="15" t="s">
        <v>584</v>
      </c>
      <c r="O1731" s="15"/>
      <c r="P1731" s="15"/>
      <c r="Q1731" s="15" t="str" cm="1">
        <f t="array" ref="Q17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1" s="15" t="str" cm="1">
        <f t="array" ref="R17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canciones/nsb/canta_aleluya.html</v>
      </c>
      <c r="T1731" s="1"/>
      <c r="U1731" s="1"/>
      <c r="V1731" s="32" t="s">
        <v>4546</v>
      </c>
      <c r="W17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data-author="Linda Stassen" data-momento="Aleluya" data-nnew="E11" data-nold="413" data-nrcc="152"&gt;&lt;a href="canciones/nsb/canta_aleluya.html"&gt;Canta aleluya&lt;/a&gt;&lt;/li&gt;</v>
      </c>
      <c r="X1731" s="15" t="str">
        <f>_xlfn.TEXTBEFORE(_xlfn.TEXTAFTER(CantoralDB[[#This Row],[index.html]],"&gt;"),"&gt;")&amp;"&gt;"</f>
        <v>&lt;a href="canciones/nsb/canta_aleluya.html"&gt;</v>
      </c>
      <c r="Y1731"/>
      <c r="AC1731" s="1"/>
    </row>
    <row r="1732" spans="1:29" x14ac:dyDescent="0.3">
      <c r="A1732" s="1">
        <f>ROW(CantoralDB[[#This Row],[Título]])-1</f>
        <v>1731</v>
      </c>
      <c r="B1732" s="1" t="s">
        <v>1252</v>
      </c>
      <c r="C1732" s="1"/>
      <c r="E1732" s="1">
        <v>123</v>
      </c>
      <c r="H1732" s="1" t="s">
        <v>1027</v>
      </c>
      <c r="J1732" s="1" t="s">
        <v>605</v>
      </c>
      <c r="M1732" s="15" t="s">
        <v>2865</v>
      </c>
      <c r="O1732" s="15"/>
      <c r="P1732" s="15"/>
      <c r="Q1732" s="15" t="str" cm="1">
        <f t="array" ref="Q17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2" s="15" t="str" cm="1">
        <f t="array" ref="R17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canciones/nsb/fe_no_es_aguardar.html</v>
      </c>
      <c r="T1732" s="1"/>
      <c r="U1732" s="1"/>
      <c r="V1732" s="32" t="s">
        <v>2975</v>
      </c>
      <c r="W17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data-author="Lluís Llach" data-nold="123"&gt;&lt;a href="canciones/nsb/fe_no_es_aguardar.html"&gt;Fe no es aguardar&lt;/a&gt;&lt;/li&gt;</v>
      </c>
      <c r="X1732" s="15" t="str">
        <f>_xlfn.TEXTBEFORE(_xlfn.TEXTAFTER(CantoralDB[[#This Row],[index.html]],"&gt;"),"&gt;")&amp;"&gt;"</f>
        <v>&lt;a href="canciones/nsb/fe_no_es_aguardar.html"&gt;</v>
      </c>
      <c r="Y1732"/>
      <c r="AC1732" s="1"/>
    </row>
    <row r="1733" spans="1:29" x14ac:dyDescent="0.3">
      <c r="A1733" s="1">
        <f>ROW(CantoralDB[[#This Row],[Título]])-1</f>
        <v>1732</v>
      </c>
      <c r="B1733" s="1" t="s">
        <v>1152</v>
      </c>
      <c r="C1733" s="1"/>
      <c r="E1733" s="1">
        <v>3</v>
      </c>
      <c r="H1733" s="1" t="s">
        <v>1024</v>
      </c>
      <c r="J1733" s="1" t="s">
        <v>605</v>
      </c>
      <c r="M1733" s="15" t="s">
        <v>2132</v>
      </c>
      <c r="O1733" s="15"/>
      <c r="P1733" s="15"/>
      <c r="Q1733" s="15" t="str" cm="1">
        <f t="array" ref="Q17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3" s="15" t="str" cm="1">
        <f t="array" ref="R17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canciones/nsb/acuerdate_de_jesucristo.html</v>
      </c>
      <c r="T1733" s="1"/>
      <c r="U1733" s="1"/>
      <c r="V1733" s="32" t="s">
        <v>3027</v>
      </c>
      <c r="W17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data-author="Lucien Deiss" data-nold="3"&gt;&lt;a href="canciones/nsb/acuerdate_de_jesucristo.html"&gt;Acuérdate de Jesucristo&lt;/a&gt;&lt;/li&gt;</v>
      </c>
      <c r="X1733" s="15" t="str">
        <f>_xlfn.TEXTBEFORE(_xlfn.TEXTAFTER(CantoralDB[[#This Row],[index.html]],"&gt;"),"&gt;")&amp;"&gt;"</f>
        <v>&lt;a href="canciones/nsb/acuerdate_de_jesucristo.html"&gt;</v>
      </c>
      <c r="Y1733"/>
      <c r="AC1733" s="1"/>
    </row>
    <row r="1734" spans="1:29" x14ac:dyDescent="0.3">
      <c r="A1734" s="1">
        <f>ROW(CantoralDB[[#This Row],[Título]])-1</f>
        <v>1733</v>
      </c>
      <c r="B1734" s="1" t="s">
        <v>1161</v>
      </c>
      <c r="C1734" s="1" t="s">
        <v>198</v>
      </c>
      <c r="D1734" s="1" t="s">
        <v>1382</v>
      </c>
      <c r="E1734" s="1">
        <v>22</v>
      </c>
      <c r="G1734" s="1" t="s">
        <v>208</v>
      </c>
      <c r="H1734" s="1" t="s">
        <v>1025</v>
      </c>
      <c r="J1734" s="1" t="s">
        <v>605</v>
      </c>
      <c r="M1734" s="15" t="s">
        <v>2132</v>
      </c>
      <c r="O1734" s="15"/>
      <c r="P1734" s="15"/>
      <c r="Q1734" s="15" t="str" cm="1">
        <f t="array" ref="Q17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4" s="15" t="str" cm="1">
        <f t="array" ref="R17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canciones/nsb/anunciaremos_tu_reino_señor.html</v>
      </c>
      <c r="T1734" s="1" t="s">
        <v>803</v>
      </c>
      <c r="U1734" s="1"/>
      <c r="V1734" s="32" t="s">
        <v>4879</v>
      </c>
      <c r="W17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data-author="Lucien Deiss" data-momento="Despedida" data-nnew="L01" data-nold="22"&gt;&lt;a href="canciones/nsb/anunciaremos_tu_reino_señor.html"&gt;Anunciaremos tu Reino, Señor&lt;/a&gt;&lt;/li&gt;</v>
      </c>
      <c r="X1734" s="15" t="str">
        <f>_xlfn.TEXTBEFORE(_xlfn.TEXTAFTER(CantoralDB[[#This Row],[index.html]],"&gt;"),"&gt;")&amp;"&gt;"</f>
        <v>&lt;a href="canciones/nsb/anunciaremos_tu_reino_señor.html"&gt;</v>
      </c>
      <c r="Y1734"/>
      <c r="AC1734" s="1"/>
    </row>
    <row r="1735" spans="1:29" x14ac:dyDescent="0.3">
      <c r="A1735" s="1">
        <f>ROW(CantoralDB[[#This Row],[Título]])-1</f>
        <v>1734</v>
      </c>
      <c r="B1735" s="1" t="s">
        <v>1294</v>
      </c>
      <c r="C1735" s="1"/>
      <c r="E1735" s="1">
        <v>194</v>
      </c>
      <c r="H1735" s="1" t="s">
        <v>529</v>
      </c>
      <c r="J1735" s="1" t="s">
        <v>605</v>
      </c>
      <c r="M1735" s="15" t="s">
        <v>2132</v>
      </c>
      <c r="O1735" s="15"/>
      <c r="P1735" s="15"/>
      <c r="Q1735" s="15" t="str" cm="1">
        <f t="array" ref="Q17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5" s="15" t="str" cm="1">
        <f t="array" ref="R17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canciones/nsb/oh_señor_envia_tu_espiritu.html</v>
      </c>
      <c r="T1735" s="1"/>
      <c r="U1735" s="1"/>
      <c r="V1735" s="32" t="s">
        <v>2980</v>
      </c>
      <c r="W17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data-author="Lucien Deiss" data-nold="194"&gt;&lt;a href="canciones/nsb/oh_señor_envia_tu_espiritu.html"&gt;Oh, Señor, envía tu Espíritu&lt;/a&gt;&lt;/li&gt;</v>
      </c>
      <c r="X1735" s="15" t="str">
        <f>_xlfn.TEXTBEFORE(_xlfn.TEXTAFTER(CantoralDB[[#This Row],[index.html]],"&gt;"),"&gt;")&amp;"&gt;"</f>
        <v>&lt;a href="canciones/nsb/oh_señor_envia_tu_espiritu.html"&gt;</v>
      </c>
      <c r="Y1735"/>
      <c r="AC1735" s="1"/>
    </row>
    <row r="1736" spans="1:29" x14ac:dyDescent="0.3">
      <c r="A1736" s="1">
        <f>ROW(CantoralDB[[#This Row],[Título]])-1</f>
        <v>1735</v>
      </c>
      <c r="B1736" s="1" t="s">
        <v>1334</v>
      </c>
      <c r="C1736" s="1"/>
      <c r="E1736" s="1">
        <v>268</v>
      </c>
      <c r="H1736" s="1" t="s">
        <v>1027</v>
      </c>
      <c r="J1736" s="1" t="s">
        <v>605</v>
      </c>
      <c r="M1736" s="15" t="s">
        <v>2132</v>
      </c>
      <c r="O1736" s="15"/>
      <c r="P1736" s="15"/>
      <c r="Q1736" s="15" t="str" cm="1">
        <f t="array" ref="Q17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6" s="15" t="str" cm="1">
        <f t="array" ref="R17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canciones/nsb/un_solo_señor.html</v>
      </c>
      <c r="T1736" s="1"/>
      <c r="U1736" s="1"/>
      <c r="V1736" s="32" t="s">
        <v>2981</v>
      </c>
      <c r="W17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data-author="Lucien Deiss" data-nold="268"&gt;&lt;a href="canciones/nsb/un_solo_señor.html"&gt;Un solo Señor&lt;/a&gt;&lt;/li&gt;</v>
      </c>
      <c r="X1736" s="15" t="str">
        <f>_xlfn.TEXTBEFORE(_xlfn.TEXTAFTER(CantoralDB[[#This Row],[index.html]],"&gt;"),"&gt;")&amp;"&gt;"</f>
        <v>&lt;a href="canciones/nsb/un_solo_señor.html"&gt;</v>
      </c>
      <c r="Y1736"/>
      <c r="AC1736" s="1"/>
    </row>
    <row r="1737" spans="1:29" x14ac:dyDescent="0.3">
      <c r="A1737" s="1">
        <f>ROW(CantoralDB[[#This Row],[Título]])-1</f>
        <v>1736</v>
      </c>
      <c r="B1737" s="1" t="s">
        <v>136</v>
      </c>
      <c r="C1737" s="1" t="s">
        <v>200</v>
      </c>
      <c r="D1737" s="1" t="s">
        <v>669</v>
      </c>
      <c r="E1737" s="1">
        <v>461</v>
      </c>
      <c r="G1737" s="1" t="s">
        <v>208</v>
      </c>
      <c r="H1737" s="1" t="s">
        <v>529</v>
      </c>
      <c r="I1737" s="1" t="s">
        <v>2948</v>
      </c>
      <c r="J1737" s="1" t="s">
        <v>605</v>
      </c>
      <c r="M1737" s="15" t="s">
        <v>506</v>
      </c>
      <c r="O1737" s="15"/>
      <c r="P1737" s="15"/>
      <c r="Q1737" s="15" t="str" cm="1">
        <f t="array" ref="Q17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7" s="15" t="str" cm="1">
        <f t="array" ref="R17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canciones/nsb/sois_la_sal.html</v>
      </c>
      <c r="T1737" s="1" t="s">
        <v>812</v>
      </c>
      <c r="U1737" s="1"/>
      <c r="V1737" s="32" t="s">
        <v>4878</v>
      </c>
      <c r="W17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Guitarra" data-momento="Antífonas" data-nnew="D34" data-nold="461"&gt;&lt;a href="canciones/nsb/sois_la_sal.html"&gt;Sois la sal&lt;/a&gt;&lt;/li&gt;</v>
      </c>
      <c r="X1737" s="15" t="str">
        <f>_xlfn.TEXTBEFORE(_xlfn.TEXTAFTER(CantoralDB[[#This Row],[index.html]],"&gt;"),"&gt;")&amp;"&gt;"</f>
        <v>&lt;a href="canciones/nsb/sois_la_sal.html"&gt;</v>
      </c>
      <c r="Y1737"/>
      <c r="AC1737" s="1"/>
    </row>
    <row r="1738" spans="1:29" x14ac:dyDescent="0.3">
      <c r="A1738" s="1">
        <f>ROW(CantoralDB[[#This Row],[Título]])-1</f>
        <v>1737</v>
      </c>
      <c r="B1738" s="1" t="s">
        <v>22</v>
      </c>
      <c r="C1738" s="1" t="s">
        <v>990</v>
      </c>
      <c r="D1738" s="1" t="s">
        <v>1037</v>
      </c>
      <c r="E1738" s="1">
        <v>408</v>
      </c>
      <c r="G1738" s="1" t="s">
        <v>208</v>
      </c>
      <c r="H1738" s="1" t="s">
        <v>529</v>
      </c>
      <c r="I1738" s="1" t="s">
        <v>2948</v>
      </c>
      <c r="J1738" s="1" t="s">
        <v>605</v>
      </c>
      <c r="M1738" s="15" t="s">
        <v>540</v>
      </c>
      <c r="O1738" s="15"/>
      <c r="P1738" s="15"/>
      <c r="Q1738" s="15" t="str" cm="1">
        <f t="array" ref="Q17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8" s="15" t="str" cm="1">
        <f t="array" ref="R17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canciones/nsb/amando_hasta_el_extremo.html</v>
      </c>
      <c r="T1738" s="1" t="s">
        <v>801</v>
      </c>
      <c r="U1738" s="1"/>
      <c r="V1738" s="32" t="s">
        <v>4877</v>
      </c>
      <c r="W17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data-author="Maite López" data-momento="Comunión" data-nnew="K09" data-nold="408"&gt;&lt;a href="canciones/nsb/amando_hasta_el_extremo.html"&gt;Amando hasta el extremo&lt;/a&gt;&lt;/li&gt;</v>
      </c>
      <c r="X1738" s="15" t="str">
        <f>_xlfn.TEXTBEFORE(_xlfn.TEXTAFTER(CantoralDB[[#This Row],[index.html]],"&gt;"),"&gt;")&amp;"&gt;"</f>
        <v>&lt;a href="canciones/nsb/amando_hasta_el_extremo.html"&gt;</v>
      </c>
      <c r="Y1738"/>
      <c r="AC1738" s="1"/>
    </row>
    <row r="1739" spans="1:29" x14ac:dyDescent="0.3">
      <c r="A1739" s="1">
        <f>ROW(CantoralDB[[#This Row],[Título]])-1</f>
        <v>1738</v>
      </c>
      <c r="B1739" s="1" t="s">
        <v>124</v>
      </c>
      <c r="C1739" s="1" t="s">
        <v>190</v>
      </c>
      <c r="D1739" s="1" t="s">
        <v>747</v>
      </c>
      <c r="E1739" s="1">
        <v>451</v>
      </c>
      <c r="F1739" s="1">
        <v>299</v>
      </c>
      <c r="G1739" s="1" t="s">
        <v>208</v>
      </c>
      <c r="H1739" s="1" t="s">
        <v>1024</v>
      </c>
      <c r="J1739" s="1" t="s">
        <v>605</v>
      </c>
      <c r="M1739" s="15" t="s">
        <v>489</v>
      </c>
      <c r="O1739" s="15"/>
      <c r="P1739" s="15"/>
      <c r="Q1739" s="15" t="str" cm="1">
        <f t="array" ref="Q17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39" s="15" t="str" cm="1">
        <f t="array" ref="R17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canciones/nsb/quiero_alabarte.html</v>
      </c>
      <c r="T1739" s="1"/>
      <c r="U1739" s="1"/>
      <c r="V1739" s="32" t="s">
        <v>4876</v>
      </c>
      <c r="W17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data-author="Maranatha" data-momento="Entrada" data-nnew="A30" data-nold="451" data-nrcc="299"&gt;&lt;a href="canciones/nsb/quiero_alabarte.html"&gt;Quiero alabarte&lt;/a&gt;&lt;/li&gt;</v>
      </c>
      <c r="X1739" s="15" t="str">
        <f>_xlfn.TEXTBEFORE(_xlfn.TEXTAFTER(CantoralDB[[#This Row],[index.html]],"&gt;"),"&gt;")&amp;"&gt;"</f>
        <v>&lt;a href="canciones/nsb/quiero_alabarte.html"&gt;</v>
      </c>
      <c r="Y1739"/>
      <c r="AC1739" s="1"/>
    </row>
    <row r="1740" spans="1:29" x14ac:dyDescent="0.3">
      <c r="A1740" s="1">
        <f>ROW(CantoralDB[[#This Row],[Título]])-1</f>
        <v>1739</v>
      </c>
      <c r="B1740" s="1" t="s">
        <v>255</v>
      </c>
      <c r="C1740" s="1" t="s">
        <v>990</v>
      </c>
      <c r="D1740" s="1" t="s">
        <v>712</v>
      </c>
      <c r="G1740" s="1" t="s">
        <v>253</v>
      </c>
      <c r="H1740" s="1" t="s">
        <v>529</v>
      </c>
      <c r="I1740" s="1" t="s">
        <v>2948</v>
      </c>
      <c r="J1740" s="1" t="s">
        <v>605</v>
      </c>
      <c r="M1740" s="15" t="s">
        <v>630</v>
      </c>
      <c r="O1740" s="15"/>
      <c r="P1740" s="15"/>
      <c r="Q1740" s="15" t="str" cm="1">
        <f t="array" ref="Q17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0" s="15" t="str" cm="1">
        <f t="array" ref="R17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canciones/nsb/jesus_amigo.html</v>
      </c>
      <c r="T1740" s="1"/>
      <c r="U1740" s="1"/>
      <c r="V1740" s="32" t="s">
        <v>4875</v>
      </c>
      <c r="W17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data-author="Marcela de María" data-momento="Comunión" data-nnew="K42"&gt;&lt;a href="canciones/nsb/jesus_amigo.html"&gt;Jesús, amigo&lt;/a&gt;&lt;/li&gt;</v>
      </c>
      <c r="X1740" s="15" t="str">
        <f>_xlfn.TEXTBEFORE(_xlfn.TEXTAFTER(CantoralDB[[#This Row],[index.html]],"&gt;"),"&gt;")&amp;"&gt;"</f>
        <v>&lt;a href="canciones/nsb/jesus_amigo.html"&gt;</v>
      </c>
      <c r="Y1740"/>
      <c r="AC1740" s="1"/>
    </row>
    <row r="1741" spans="1:29" x14ac:dyDescent="0.3">
      <c r="A1741" s="1">
        <f>ROW(CantoralDB[[#This Row],[Título]])-1</f>
        <v>1740</v>
      </c>
      <c r="B1741" s="1" t="s">
        <v>555</v>
      </c>
      <c r="C1741" s="1" t="s">
        <v>200</v>
      </c>
      <c r="D1741" s="1" t="s">
        <v>670</v>
      </c>
      <c r="G1741" s="1" t="s">
        <v>551</v>
      </c>
      <c r="H1741" s="1" t="s">
        <v>529</v>
      </c>
      <c r="J1741" s="1" t="s">
        <v>605</v>
      </c>
      <c r="M1741" s="15" t="s">
        <v>610</v>
      </c>
      <c r="O1741" s="15"/>
      <c r="P1741" s="15"/>
      <c r="Q1741" s="15" t="str" cm="1">
        <f t="array" ref="Q17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1" s="15" t="str" cm="1">
        <f t="array" ref="R17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canciones/nsb/te_amo_señor.html</v>
      </c>
      <c r="T1741" s="1" t="s">
        <v>858</v>
      </c>
      <c r="U1741" s="1"/>
      <c r="V1741" s="32" t="s">
        <v>4874</v>
      </c>
      <c r="W17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 López" data-momento="Antífonas" data-nnew="D35"&gt;&lt;a href="canciones/nsb/te_amo_señor.html"&gt;Te amo, Señor&lt;/a&gt;&lt;/li&gt;</v>
      </c>
      <c r="X1741" s="15" t="str">
        <f>_xlfn.TEXTBEFORE(_xlfn.TEXTAFTER(CantoralDB[[#This Row],[index.html]],"&gt;"),"&gt;")&amp;"&gt;"</f>
        <v>&lt;a href="canciones/nsb/te_amo_señor.html"&gt;</v>
      </c>
      <c r="Y1741"/>
      <c r="AC1741" s="1"/>
    </row>
    <row r="1742" spans="1:29" x14ac:dyDescent="0.3">
      <c r="A1742" s="1">
        <f>ROW(CantoralDB[[#This Row],[Título]])-1</f>
        <v>1741</v>
      </c>
      <c r="B1742" s="1" t="s">
        <v>229</v>
      </c>
      <c r="C1742" s="1" t="s">
        <v>990</v>
      </c>
      <c r="D1742" s="1" t="s">
        <v>996</v>
      </c>
      <c r="H1742" s="1" t="s">
        <v>1024</v>
      </c>
      <c r="J1742" s="1" t="s">
        <v>605</v>
      </c>
      <c r="M1742" s="15" t="s">
        <v>505</v>
      </c>
      <c r="O1742" s="15"/>
      <c r="P1742" s="15"/>
      <c r="Q1742" s="15" t="str" cm="1">
        <f t="array" ref="Q17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2" s="15" t="str" cm="1">
        <f t="array" ref="R17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canciones/nsb/quien_nos_separara.html</v>
      </c>
      <c r="T1742" s="1"/>
      <c r="U1742" s="1"/>
      <c r="V1742" s="32" t="s">
        <v>4873</v>
      </c>
      <c r="W17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data-author="Marcos Frisina" data-momento="Comunión" data-nnew="K62"&gt;&lt;a href="canciones/nsb/quien_nos_separara.html"&gt;Quién nos separará&lt;/a&gt;&lt;/li&gt;</v>
      </c>
      <c r="X1742" s="15" t="str">
        <f>_xlfn.TEXTBEFORE(_xlfn.TEXTAFTER(CantoralDB[[#This Row],[index.html]],"&gt;"),"&gt;")&amp;"&gt;"</f>
        <v>&lt;a href="canciones/nsb/quien_nos_separara.html"&gt;</v>
      </c>
      <c r="Y1742"/>
      <c r="AC1742" s="1"/>
    </row>
    <row r="1743" spans="1:29" x14ac:dyDescent="0.3">
      <c r="A1743" s="1">
        <f>ROW(CantoralDB[[#This Row],[Título]])-1</f>
        <v>1742</v>
      </c>
      <c r="B1743" s="1" t="s">
        <v>1217</v>
      </c>
      <c r="C1743" s="1"/>
      <c r="E1743" s="1">
        <v>300</v>
      </c>
      <c r="H1743" s="1" t="s">
        <v>1025</v>
      </c>
      <c r="J1743" s="1" t="s">
        <v>605</v>
      </c>
      <c r="M1743" s="15" t="s">
        <v>2902</v>
      </c>
      <c r="O1743" s="15"/>
      <c r="P1743" s="15"/>
      <c r="Q1743" s="15" t="str" cm="1">
        <f t="array" ref="Q17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3" s="15" t="str" cm="1">
        <f t="array" ref="R17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canciones/nsb/adios_adios_amigos.html</v>
      </c>
      <c r="T1743" s="1"/>
      <c r="U1743" s="1"/>
      <c r="V1743" s="32" t="s">
        <v>4890</v>
      </c>
      <c r="W17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data-author="Mariano Fuertes" data-nold="300"&gt;&lt;a href="canciones/nsb/adios_adios_amigos.html"&gt;Adiós, adiós amigos&lt;/a&gt;&lt;/li&gt;</v>
      </c>
      <c r="X1743" s="15" t="str">
        <f>_xlfn.TEXTBEFORE(_xlfn.TEXTAFTER(CantoralDB[[#This Row],[index.html]],"&gt;"),"&gt;")&amp;"&gt;"</f>
        <v>&lt;a href="canciones/nsb/adios_adios_amigos.html"&gt;</v>
      </c>
      <c r="Y1743"/>
      <c r="AC1743" s="1"/>
    </row>
    <row r="1744" spans="1:29" x14ac:dyDescent="0.3">
      <c r="A1744" s="1">
        <f>ROW(CantoralDB[[#This Row],[Título]])-1</f>
        <v>1743</v>
      </c>
      <c r="B1744" s="1" t="s">
        <v>96</v>
      </c>
      <c r="C1744" s="1" t="s">
        <v>990</v>
      </c>
      <c r="D1744" s="1" t="s">
        <v>718</v>
      </c>
      <c r="E1744" s="1">
        <v>439</v>
      </c>
      <c r="F1744" s="1">
        <v>328</v>
      </c>
      <c r="G1744" s="1" t="s">
        <v>208</v>
      </c>
      <c r="H1744" s="1" t="s">
        <v>529</v>
      </c>
      <c r="J1744" s="1" t="s">
        <v>605</v>
      </c>
      <c r="M1744" s="15" t="s">
        <v>573</v>
      </c>
      <c r="O1744" s="15"/>
      <c r="P1744" s="15"/>
      <c r="Q1744" s="15" t="str" cm="1">
        <f t="array" ref="Q17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4" s="15" t="str" cm="1">
        <f t="array" ref="R17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canciones/nsb/nadie_te_ama_como_yo.html</v>
      </c>
      <c r="T1744" s="1" t="s">
        <v>843</v>
      </c>
      <c r="U1744" s="1"/>
      <c r="V1744" s="32" t="s">
        <v>4541</v>
      </c>
      <c r="W17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data-author="Martín Valverde" data-momento="Comunión" data-nnew="K48" data-nold="439" data-nrcc="328"&gt;&lt;a href="canciones/nsb/nadie_te_ama_como_yo.html"&gt;Nadie te ama como Yo&lt;/a&gt;&lt;/li&gt;</v>
      </c>
      <c r="X1744" s="15" t="str">
        <f>_xlfn.TEXTBEFORE(_xlfn.TEXTAFTER(CantoralDB[[#This Row],[index.html]],"&gt;"),"&gt;")&amp;"&gt;"</f>
        <v>&lt;a href="canciones/nsb/nadie_te_ama_como_yo.html"&gt;</v>
      </c>
      <c r="Y1744"/>
      <c r="AC1744" s="1"/>
    </row>
    <row r="1745" spans="1:29" x14ac:dyDescent="0.3">
      <c r="A1745" s="1">
        <f>ROW(CantoralDB[[#This Row],[Título]])-1</f>
        <v>1744</v>
      </c>
      <c r="B1745" s="1" t="s">
        <v>1177</v>
      </c>
      <c r="C1745" s="1"/>
      <c r="E1745" s="1">
        <v>49</v>
      </c>
      <c r="H1745" s="1" t="s">
        <v>1024</v>
      </c>
      <c r="I1745" s="1" t="s">
        <v>5061</v>
      </c>
      <c r="J1745" s="1" t="s">
        <v>605</v>
      </c>
      <c r="M1745" s="15" t="s">
        <v>2873</v>
      </c>
      <c r="O1745" s="15"/>
      <c r="P1745" s="15"/>
      <c r="Q1745" s="15" t="str" cm="1">
        <f t="array" ref="Q17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5" s="15" t="str" cm="1">
        <f t="array" ref="R17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canciones/nsb/cristiano_es_vivir.html</v>
      </c>
      <c r="T1745" s="1"/>
      <c r="U1745" s="1"/>
      <c r="V1745" s="15"/>
      <c r="W17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data-author="Mercedes González" data-nold="49"&gt;&lt;a href="canciones/nsb/cristiano_es_vivir.html"&gt;Cristiano es vivir&lt;/a&gt;&lt;/li&gt;</v>
      </c>
      <c r="X1745" s="15" t="str">
        <f>_xlfn.TEXTBEFORE(_xlfn.TEXTAFTER(CantoralDB[[#This Row],[index.html]],"&gt;"),"&gt;")&amp;"&gt;"</f>
        <v>&lt;a href="canciones/nsb/cristiano_es_vivir.html"&gt;</v>
      </c>
      <c r="Y1745"/>
      <c r="AC1745" s="1"/>
    </row>
    <row r="1746" spans="1:29" x14ac:dyDescent="0.3">
      <c r="A1746" s="1">
        <f>ROW(CantoralDB[[#This Row],[Título]])-1</f>
        <v>1745</v>
      </c>
      <c r="B1746" s="1" t="s">
        <v>1200</v>
      </c>
      <c r="C1746" s="1"/>
      <c r="E1746" s="1">
        <v>80</v>
      </c>
      <c r="H1746" s="1" t="s">
        <v>1024</v>
      </c>
      <c r="J1746" s="1" t="s">
        <v>605</v>
      </c>
      <c r="M1746" s="15" t="s">
        <v>2873</v>
      </c>
      <c r="O1746" s="15"/>
      <c r="P1746" s="15"/>
      <c r="Q1746" s="15" t="str" cm="1">
        <f t="array" ref="Q17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6" s="15" t="str" cm="1">
        <f t="array" ref="R17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canciones/nsb/depende_de_ti_y_de_mi.html</v>
      </c>
      <c r="T1746" s="1"/>
      <c r="U1746" s="1"/>
      <c r="V1746" s="15"/>
      <c r="W17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data-author="Mercedes González" data-nold="80"&gt;&lt;a href="canciones/nsb/depende_de_ti_y_de_mi.html"&gt;Depende de ti y de mí&lt;/a&gt;&lt;/li&gt;</v>
      </c>
      <c r="X1746" s="15" t="str">
        <f>_xlfn.TEXTBEFORE(_xlfn.TEXTAFTER(CantoralDB[[#This Row],[index.html]],"&gt;"),"&gt;")&amp;"&gt;"</f>
        <v>&lt;a href="canciones/nsb/depende_de_ti_y_de_mi.html"&gt;</v>
      </c>
      <c r="Y1746"/>
      <c r="AC1746" s="1"/>
    </row>
    <row r="1747" spans="1:29" x14ac:dyDescent="0.3">
      <c r="A1747" s="1">
        <f>ROW(CantoralDB[[#This Row],[Título]])-1</f>
        <v>1746</v>
      </c>
      <c r="B1747" s="1" t="s">
        <v>1305</v>
      </c>
      <c r="C1747" s="1"/>
      <c r="E1747" s="1">
        <v>218</v>
      </c>
      <c r="I1747" s="1" t="s">
        <v>5061</v>
      </c>
      <c r="J1747" s="1" t="s">
        <v>605</v>
      </c>
      <c r="M1747" s="15" t="s">
        <v>2873</v>
      </c>
      <c r="O1747" s="15"/>
      <c r="P1747" s="15"/>
      <c r="Q1747" s="15" t="str" cm="1">
        <f t="array" ref="Q17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7" s="15" t="str" cm="1">
        <f t="array" ref="R17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canciones/nsb/quien_mas_amigo_que_tu.html</v>
      </c>
      <c r="T1747" s="1"/>
      <c r="U1747" s="1"/>
      <c r="V1747" s="15"/>
      <c r="W17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data-author="Mercedes González" data-nold="218"&gt;&lt;a href="canciones/nsb/quien_mas_amigo_que_tu.html"&gt;Quién más amigo que tú&lt;/a&gt;&lt;/li&gt;</v>
      </c>
      <c r="X1747" s="15" t="str">
        <f>_xlfn.TEXTBEFORE(_xlfn.TEXTAFTER(CantoralDB[[#This Row],[index.html]],"&gt;"),"&gt;")&amp;"&gt;"</f>
        <v>&lt;a href="canciones/nsb/quien_mas_amigo_que_tu.html"&gt;</v>
      </c>
      <c r="Y1747"/>
      <c r="AC1747" s="1"/>
    </row>
    <row r="1748" spans="1:29" x14ac:dyDescent="0.3">
      <c r="A1748" s="1">
        <f>ROW(CantoralDB[[#This Row],[Título]])-1</f>
        <v>1747</v>
      </c>
      <c r="B1748" s="1" t="s">
        <v>72</v>
      </c>
      <c r="C1748" s="1" t="s">
        <v>199</v>
      </c>
      <c r="D1748" s="1" t="s">
        <v>1425</v>
      </c>
      <c r="E1748" s="1">
        <v>428</v>
      </c>
      <c r="G1748" s="1" t="s">
        <v>208</v>
      </c>
      <c r="H1748" s="1" t="s">
        <v>529</v>
      </c>
      <c r="I1748" s="1" t="s">
        <v>2948</v>
      </c>
      <c r="J1748" s="1" t="s">
        <v>605</v>
      </c>
      <c r="M1748" s="15" t="s">
        <v>257</v>
      </c>
      <c r="O1748" s="15"/>
      <c r="P1748" s="15"/>
      <c r="Q1748" s="15" t="str" cm="1">
        <f t="array" ref="Q17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8" s="15" t="str" cm="1">
        <f t="array" ref="R17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canciones/nsb/hagase.html</v>
      </c>
      <c r="T1748" s="1" t="s">
        <v>833</v>
      </c>
      <c r="U1748" s="1"/>
      <c r="V1748" s="32" t="s">
        <v>4869</v>
      </c>
      <c r="W17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data-author="Migueli" data-momento="María" data-nnew="M05" data-nold="428"&gt;&lt;a href="canciones/nsb/hagase.html"&gt;Hágase&lt;/a&gt;&lt;/li&gt;</v>
      </c>
      <c r="X1748" s="15" t="str">
        <f>_xlfn.TEXTBEFORE(_xlfn.TEXTAFTER(CantoralDB[[#This Row],[index.html]],"&gt;"),"&gt;")&amp;"&gt;"</f>
        <v>&lt;a href="canciones/nsb/hagase.html"&gt;</v>
      </c>
      <c r="Y1748"/>
      <c r="AC1748" s="1"/>
    </row>
    <row r="1749" spans="1:29" x14ac:dyDescent="0.3">
      <c r="A1749" s="1">
        <f>ROW(CantoralDB[[#This Row],[Título]])-1</f>
        <v>1748</v>
      </c>
      <c r="B1749" s="1" t="s">
        <v>532</v>
      </c>
      <c r="C1749" s="1" t="s">
        <v>199</v>
      </c>
      <c r="D1749" s="1" t="s">
        <v>1041</v>
      </c>
      <c r="G1749" s="1" t="s">
        <v>257</v>
      </c>
      <c r="H1749" s="1" t="s">
        <v>529</v>
      </c>
      <c r="I1749" s="1" t="s">
        <v>2946</v>
      </c>
      <c r="J1749" s="1" t="s">
        <v>605</v>
      </c>
      <c r="M1749" s="15" t="s">
        <v>257</v>
      </c>
      <c r="O1749" s="15"/>
      <c r="P1749" s="15"/>
      <c r="Q1749" s="15" t="str" cm="1">
        <f t="array" ref="Q17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49" s="15" t="str" cm="1">
        <f t="array" ref="R17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canciones/nsb/maria_de_nazaret.html</v>
      </c>
      <c r="T1749" s="1"/>
      <c r="U1749" s="1"/>
      <c r="V1749" s="32" t="s">
        <v>4870</v>
      </c>
      <c r="W17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data-author="Migueli" data-momento="María" data-nnew="M10"&gt;&lt;a href="canciones/nsb/maria_de_nazaret.html"&gt;María de Nazaret&lt;/a&gt;&lt;/li&gt;</v>
      </c>
      <c r="X1749" s="15" t="str">
        <f>_xlfn.TEXTBEFORE(_xlfn.TEXTAFTER(CantoralDB[[#This Row],[index.html]],"&gt;"),"&gt;")&amp;"&gt;"</f>
        <v>&lt;a href="canciones/nsb/maria_de_nazaret.html"&gt;</v>
      </c>
      <c r="Y1749"/>
      <c r="AC1749" s="1"/>
    </row>
    <row r="1750" spans="1:29" x14ac:dyDescent="0.3">
      <c r="A1750" s="1">
        <f>ROW(CantoralDB[[#This Row],[Título]])-1</f>
        <v>1749</v>
      </c>
      <c r="B1750" s="1" t="s">
        <v>99</v>
      </c>
      <c r="C1750" s="1" t="s">
        <v>197</v>
      </c>
      <c r="D1750" s="1" t="s">
        <v>1439</v>
      </c>
      <c r="E1750" s="1">
        <v>442</v>
      </c>
      <c r="G1750" s="1" t="s">
        <v>208</v>
      </c>
      <c r="H1750" s="1" t="s">
        <v>1026</v>
      </c>
      <c r="J1750" s="1" t="s">
        <v>605</v>
      </c>
      <c r="M1750" s="15" t="s">
        <v>257</v>
      </c>
      <c r="O1750" s="15"/>
      <c r="P1750" s="15"/>
      <c r="Q1750" s="15" t="str" cm="1">
        <f t="array" ref="Q17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0" s="15" t="str" cm="1">
        <f t="array" ref="R17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canciones/nsb/no_se_canso_de_hacer_el_bien.html</v>
      </c>
      <c r="T1750" s="1"/>
      <c r="U1750" s="1"/>
      <c r="V1750" s="32" t="s">
        <v>4871</v>
      </c>
      <c r="W17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data-author="Migueli" data-momento="Paz" data-nnew="I04" data-nold="442"&gt;&lt;a href="canciones/nsb/no_se_canso_de_hacer_el_bien.html"&gt;No se cansó de hacer el bien&lt;/a&gt;&lt;/li&gt;</v>
      </c>
      <c r="X1750" s="15" t="str">
        <f>_xlfn.TEXTBEFORE(_xlfn.TEXTAFTER(CantoralDB[[#This Row],[index.html]],"&gt;"),"&gt;")&amp;"&gt;"</f>
        <v>&lt;a href="canciones/nsb/no_se_canso_de_hacer_el_bien.html"&gt;</v>
      </c>
      <c r="Y1750"/>
      <c r="AC1750" s="1"/>
    </row>
    <row r="1751" spans="1:29" x14ac:dyDescent="0.3">
      <c r="A1751" s="1">
        <f>ROW(CantoralDB[[#This Row],[Título]])-1</f>
        <v>1750</v>
      </c>
      <c r="B1751" s="1" t="s">
        <v>256</v>
      </c>
      <c r="C1751" s="1" t="s">
        <v>200</v>
      </c>
      <c r="D1751" s="1" t="s">
        <v>678</v>
      </c>
      <c r="G1751" s="1" t="s">
        <v>257</v>
      </c>
      <c r="H1751" s="1" t="s">
        <v>1024</v>
      </c>
      <c r="J1751" s="1" t="s">
        <v>605</v>
      </c>
      <c r="M1751" s="15" t="s">
        <v>257</v>
      </c>
      <c r="O1751" s="15"/>
      <c r="P1751" s="15"/>
      <c r="Q1751" s="15" t="str" cm="1">
        <f t="array" ref="Q17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1" s="15" t="str" cm="1">
        <f t="array" ref="R17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canciones/nsb/yendo_contigo.html</v>
      </c>
      <c r="T1751" s="1"/>
      <c r="U1751" s="1"/>
      <c r="V1751" s="32" t="s">
        <v>4872</v>
      </c>
      <c r="W17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data-author="Migueli" data-momento="Antífonas" data-nnew="D43"&gt;&lt;a href="canciones/nsb/yendo_contigo.html"&gt;Yendo contigo&lt;/a&gt;&lt;/li&gt;</v>
      </c>
      <c r="X1751" s="15" t="str">
        <f>_xlfn.TEXTBEFORE(_xlfn.TEXTAFTER(CantoralDB[[#This Row],[index.html]],"&gt;"),"&gt;")&amp;"&gt;"</f>
        <v>&lt;a href="canciones/nsb/yendo_contigo.html"&gt;</v>
      </c>
      <c r="Y1751"/>
      <c r="AC1751" s="1"/>
    </row>
    <row r="1752" spans="1:29" x14ac:dyDescent="0.3">
      <c r="A1752" s="1">
        <f>ROW(CantoralDB[[#This Row],[Título]])-1</f>
        <v>1751</v>
      </c>
      <c r="B1752" s="1" t="s">
        <v>1186</v>
      </c>
      <c r="C1752" s="1"/>
      <c r="E1752" s="1">
        <v>61</v>
      </c>
      <c r="H1752" s="1" t="s">
        <v>529</v>
      </c>
      <c r="J1752" s="1" t="s">
        <v>605</v>
      </c>
      <c r="M1752" s="15" t="s">
        <v>2077</v>
      </c>
      <c r="O1752" s="15"/>
      <c r="P1752" s="15"/>
      <c r="Q1752" s="15" t="str" cm="1">
        <f t="array" ref="Q17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2" s="15" t="str" cm="1">
        <f t="array" ref="R17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canciones/nsb/creo_señor_firmemente.html</v>
      </c>
      <c r="T1752" s="1"/>
      <c r="U1752" s="1"/>
      <c r="V1752" s="32" t="s">
        <v>4891</v>
      </c>
      <c r="W17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data-author="Misa nicaragüense" data-nold="61"&gt;&lt;a href="canciones/nsb/creo_señor_firmemente.html"&gt;Creo, Señor, firmemente&lt;/a&gt;&lt;/li&gt;</v>
      </c>
      <c r="X1752" s="15" t="str">
        <f>_xlfn.TEXTBEFORE(_xlfn.TEXTAFTER(CantoralDB[[#This Row],[index.html]],"&gt;"),"&gt;")&amp;"&gt;"</f>
        <v>&lt;a href="canciones/nsb/creo_señor_firmemente.html"&gt;</v>
      </c>
      <c r="Y1752"/>
      <c r="AC1752" s="1"/>
    </row>
    <row r="1753" spans="1:29" x14ac:dyDescent="0.3">
      <c r="A1753" s="1">
        <f>ROW(CantoralDB[[#This Row],[Título]])-1</f>
        <v>1752</v>
      </c>
      <c r="B1753" s="1" t="s">
        <v>1283</v>
      </c>
      <c r="C1753" s="1"/>
      <c r="E1753" s="1">
        <v>176</v>
      </c>
      <c r="H1753" s="1" t="s">
        <v>472</v>
      </c>
      <c r="J1753" s="1" t="s">
        <v>605</v>
      </c>
      <c r="M1753" s="15" t="s">
        <v>2077</v>
      </c>
      <c r="O1753" s="15"/>
      <c r="P1753" s="15"/>
      <c r="Q1753" s="15" t="str" cm="1">
        <f t="array" ref="Q17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3" s="15" t="str" cm="1">
        <f t="array" ref="R17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canciones/nsb/no_hay_cosa_mas_bonita_que_mirar.html</v>
      </c>
      <c r="T1753" s="1"/>
      <c r="U1753" s="1"/>
      <c r="V1753" s="32" t="s">
        <v>4892</v>
      </c>
      <c r="W17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data-author="Misa nicaragüense" data-nold="176"&gt;&lt;a href="canciones/nsb/no_hay_cosa_mas_bonita_que_mirar.html"&gt;No hay cosa más bonita que mirar&lt;/a&gt;&lt;/li&gt;</v>
      </c>
      <c r="X1753" s="15" t="str">
        <f>_xlfn.TEXTBEFORE(_xlfn.TEXTAFTER(CantoralDB[[#This Row],[index.html]],"&gt;"),"&gt;")&amp;"&gt;"</f>
        <v>&lt;a href="canciones/nsb/no_hay_cosa_mas_bonita_que_mirar.html"&gt;</v>
      </c>
      <c r="Y1753"/>
      <c r="AC1753" s="1"/>
    </row>
    <row r="1754" spans="1:29" x14ac:dyDescent="0.3">
      <c r="A1754" s="1">
        <f>ROW(CantoralDB[[#This Row],[Título]])-1</f>
        <v>1753</v>
      </c>
      <c r="B1754" s="1" t="s">
        <v>1338</v>
      </c>
      <c r="C1754" s="1"/>
      <c r="E1754" s="1">
        <v>279</v>
      </c>
      <c r="J1754" s="1"/>
      <c r="M1754" s="15" t="s">
        <v>2077</v>
      </c>
      <c r="O1754" s="15"/>
      <c r="P1754" s="15"/>
      <c r="Q1754" s="15" t="str" cm="1">
        <f t="array" ref="Q17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4" s="15" t="str" cm="1">
        <f t="array" ref="R17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canciones/nsb/vamos_a_la_cena.html</v>
      </c>
      <c r="T1754" s="1"/>
      <c r="U1754" s="1"/>
      <c r="V1754" s="32" t="s">
        <v>4893</v>
      </c>
      <c r="W17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data-author="Misa nicaragüense" data-nold="279"&gt;&lt;a href="canciones/nsb/vamos_a_la_cena.html"&gt;Vamos a la Cena&lt;/a&gt;&lt;/li&gt;</v>
      </c>
      <c r="X1754" s="15" t="str">
        <f>_xlfn.TEXTBEFORE(_xlfn.TEXTAFTER(CantoralDB[[#This Row],[index.html]],"&gt;"),"&gt;")&amp;"&gt;"</f>
        <v>&lt;a href="canciones/nsb/vamos_a_la_cena.html"&gt;</v>
      </c>
      <c r="Y1754"/>
      <c r="AC1754" s="1"/>
    </row>
    <row r="1755" spans="1:29" x14ac:dyDescent="0.3">
      <c r="A1755" s="1">
        <f>ROW(CantoralDB[[#This Row],[Título]])-1</f>
        <v>1754</v>
      </c>
      <c r="B1755" s="1" t="s">
        <v>525</v>
      </c>
      <c r="C1755" s="1" t="s">
        <v>195</v>
      </c>
      <c r="D1755" s="1" t="s">
        <v>774</v>
      </c>
      <c r="E1755" s="1">
        <v>231</v>
      </c>
      <c r="G1755" s="1" t="s">
        <v>208</v>
      </c>
      <c r="H1755" s="1" t="s">
        <v>1024</v>
      </c>
      <c r="I1755" s="1" t="s">
        <v>2948</v>
      </c>
      <c r="J1755" s="1" t="s">
        <v>605</v>
      </c>
      <c r="M1755" s="15" t="s">
        <v>516</v>
      </c>
      <c r="O1755" s="15"/>
      <c r="P1755" s="15"/>
      <c r="Q1755" s="15" t="str" cm="1">
        <f t="array" ref="Q17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5" s="15" t="str" cm="1">
        <f t="array" ref="R17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canciones/nsb/santo_salvadoreño.html</v>
      </c>
      <c r="T1755" s="1"/>
      <c r="U1755" s="1"/>
      <c r="V1755" s="32" t="s">
        <v>4894</v>
      </c>
      <c r="W17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data-author="Misa salvadoreña" data-momento="Santo" data-nnew="G10" data-nold="231"&gt;&lt;a href="canciones/nsb/santo_salvadoreño.html"&gt;Santo salvadoreño&lt;/a&gt;&lt;/li&gt;</v>
      </c>
      <c r="X1755" s="15" t="str">
        <f>_xlfn.TEXTBEFORE(_xlfn.TEXTAFTER(CantoralDB[[#This Row],[index.html]],"&gt;"),"&gt;")&amp;"&gt;"</f>
        <v>&lt;a href="canciones/nsb/santo_salvadoreño.html"&gt;</v>
      </c>
      <c r="Y1755"/>
      <c r="AC1755" s="1"/>
    </row>
    <row r="1756" spans="1:29" x14ac:dyDescent="0.3">
      <c r="A1756" s="1">
        <f>ROW(CantoralDB[[#This Row],[Título]])-1</f>
        <v>1755</v>
      </c>
      <c r="B1756" s="1" t="s">
        <v>158</v>
      </c>
      <c r="C1756" s="1" t="s">
        <v>190</v>
      </c>
      <c r="D1756" s="1" t="s">
        <v>755</v>
      </c>
      <c r="E1756" s="1">
        <v>285</v>
      </c>
      <c r="G1756" s="1" t="s">
        <v>208</v>
      </c>
      <c r="H1756" s="1" t="s">
        <v>1027</v>
      </c>
      <c r="J1756" s="1" t="s">
        <v>605</v>
      </c>
      <c r="M1756" s="15" t="s">
        <v>516</v>
      </c>
      <c r="O1756" s="15"/>
      <c r="P1756" s="15"/>
      <c r="Q1756" s="15" t="str" cm="1">
        <f t="array" ref="Q17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6" s="15" t="str" cm="1">
        <f t="array" ref="R17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canciones/nsb/vamos_todos_al_banquete.html</v>
      </c>
      <c r="T1756" s="1"/>
      <c r="U1756" s="1"/>
      <c r="V1756" s="32" t="s">
        <v>4895</v>
      </c>
      <c r="W17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data-author="Misa salvadoreña" data-momento="Entrada" data-nnew="A38" data-nold="285"&gt;&lt;a href="canciones/nsb/vamos_todos_al_banquete.html"&gt;Vamos todos al banquete&lt;/a&gt;&lt;/li&gt;</v>
      </c>
      <c r="X1756" s="15" t="str">
        <f>_xlfn.TEXTBEFORE(_xlfn.TEXTAFTER(CantoralDB[[#This Row],[index.html]],"&gt;"),"&gt;")&amp;"&gt;"</f>
        <v>&lt;a href="canciones/nsb/vamos_todos_al_banquete.html"&gt;</v>
      </c>
      <c r="Y1756"/>
      <c r="AC1756" s="1"/>
    </row>
    <row r="1757" spans="1:29" x14ac:dyDescent="0.3">
      <c r="A1757" s="1">
        <f>ROW(CantoralDB[[#This Row],[Título]])-1</f>
        <v>1756</v>
      </c>
      <c r="B1757" s="1" t="s">
        <v>619</v>
      </c>
      <c r="C1757" s="1" t="s">
        <v>201</v>
      </c>
      <c r="D1757" s="1" t="s">
        <v>1403</v>
      </c>
      <c r="G1757" s="1" t="s">
        <v>551</v>
      </c>
      <c r="H1757" s="1" t="s">
        <v>529</v>
      </c>
      <c r="J1757" s="1" t="s">
        <v>605</v>
      </c>
      <c r="M1757" s="15" t="s">
        <v>620</v>
      </c>
      <c r="O1757" s="15"/>
      <c r="P1757" s="15"/>
      <c r="Q1757" s="15" t="str" cm="1">
        <f t="array" ref="Q17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7" s="15" t="str" cm="1">
        <f t="array" ref="R17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canciones/nsb/cordero_de_dios_(mies).html</v>
      </c>
      <c r="T1757" s="1"/>
      <c r="U1757" s="1"/>
      <c r="V1757" s="32" t="s">
        <v>4868</v>
      </c>
      <c r="W17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data-author="Misioneros de la Esperanza" data-momento="Cordero de Dios" data-nnew="J06"&gt;&lt;a href="canciones/nsb/cordero_de_dios_(mies).html"&gt;Cordero de Dios (MiEs)&lt;/a&gt;&lt;/li&gt;</v>
      </c>
      <c r="X1757" s="15" t="str">
        <f>_xlfn.TEXTBEFORE(_xlfn.TEXTAFTER(CantoralDB[[#This Row],[index.html]],"&gt;"),"&gt;")&amp;"&gt;"</f>
        <v>&lt;a href="canciones/nsb/cordero_de_dios_(mies).html"&gt;</v>
      </c>
      <c r="Y1757"/>
      <c r="AC1757" s="1"/>
    </row>
    <row r="1758" spans="1:29" x14ac:dyDescent="0.3">
      <c r="A1758" s="1">
        <f>ROW(CantoralDB[[#This Row],[Título]])-1</f>
        <v>1757</v>
      </c>
      <c r="B1758" s="1" t="s">
        <v>231</v>
      </c>
      <c r="C1758" s="1" t="s">
        <v>195</v>
      </c>
      <c r="D1758" s="1" t="s">
        <v>1463</v>
      </c>
      <c r="G1758" s="1" t="s">
        <v>215</v>
      </c>
      <c r="H1758" s="1" t="s">
        <v>529</v>
      </c>
      <c r="J1758" s="1" t="s">
        <v>605</v>
      </c>
      <c r="M1758" s="15" t="s">
        <v>522</v>
      </c>
      <c r="O1758" s="15"/>
      <c r="P1758" s="15"/>
      <c r="Q1758" s="15" t="str" cm="1">
        <f t="array" ref="Q17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8" s="15" t="str" cm="1">
        <f t="array" ref="R17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canciones/nsb/santo_(mocedades).html</v>
      </c>
      <c r="T1758" s="1"/>
      <c r="U1758" s="1"/>
      <c r="V1758" s="32" t="s">
        <v>4896</v>
      </c>
      <c r="W17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data-author="Mocedades" data-momento="Santo" data-nnew="G09"&gt;&lt;a href="canciones/nsb/santo_(mocedades).html"&gt;Santo (Mocedades)&lt;/a&gt;&lt;/li&gt;</v>
      </c>
      <c r="X1758" s="15" t="str">
        <f>_xlfn.TEXTBEFORE(_xlfn.TEXTAFTER(CantoralDB[[#This Row],[index.html]],"&gt;"),"&gt;")&amp;"&gt;"</f>
        <v>&lt;a href="canciones/nsb/santo_(mocedades).html"&gt;</v>
      </c>
      <c r="Y1758"/>
      <c r="AC1758" s="1"/>
    </row>
    <row r="1759" spans="1:29" x14ac:dyDescent="0.3">
      <c r="A1759" s="1">
        <f>ROW(CantoralDB[[#This Row],[Título]])-1</f>
        <v>1758</v>
      </c>
      <c r="B1759" s="1" t="s">
        <v>14</v>
      </c>
      <c r="C1759" s="1" t="s">
        <v>193</v>
      </c>
      <c r="D1759" s="1" t="s">
        <v>1370</v>
      </c>
      <c r="E1759" s="1">
        <v>403</v>
      </c>
      <c r="G1759" s="1" t="s">
        <v>208</v>
      </c>
      <c r="H1759" s="1" t="s">
        <v>1026</v>
      </c>
      <c r="J1759" s="1" t="s">
        <v>605</v>
      </c>
      <c r="M1759" s="15" t="s">
        <v>509</v>
      </c>
      <c r="O1759" s="15"/>
      <c r="P1759" s="15"/>
      <c r="Q1759" s="15" t="str" cm="1">
        <f t="array" ref="Q17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59" s="15" t="str" cm="1">
        <f t="array" ref="R17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canciones/nsb/aleluya_(santiago).html</v>
      </c>
      <c r="T1759" s="1"/>
      <c r="U1759" s="1"/>
      <c r="V1759" s="32" t="s">
        <v>4897</v>
      </c>
      <c r="W17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data-author="Nico Montero" data-momento="Aleluya" data-nnew="E03" data-nold="403"&gt;&lt;a href="canciones/nsb/aleluya_(santiago).html"&gt;Aleluya (Santiago)&lt;/a&gt;&lt;/li&gt;</v>
      </c>
      <c r="X1759" s="15" t="str">
        <f>_xlfn.TEXTBEFORE(_xlfn.TEXTAFTER(CantoralDB[[#This Row],[index.html]],"&gt;"),"&gt;")&amp;"&gt;"</f>
        <v>&lt;a href="canciones/nsb/aleluya_(santiago).html"&gt;</v>
      </c>
      <c r="Y1759"/>
      <c r="AC1759" s="1"/>
    </row>
    <row r="1760" spans="1:29" x14ac:dyDescent="0.3">
      <c r="A1760" s="1">
        <f>ROW(CantoralDB[[#This Row],[Título]])-1</f>
        <v>1759</v>
      </c>
      <c r="B1760" s="1" t="s">
        <v>2376</v>
      </c>
      <c r="C1760" s="1" t="s">
        <v>200</v>
      </c>
      <c r="D1760" s="1" t="s">
        <v>650</v>
      </c>
      <c r="F1760" s="1">
        <v>443</v>
      </c>
      <c r="G1760" s="1" t="s">
        <v>208</v>
      </c>
      <c r="H1760" s="1" t="s">
        <v>529</v>
      </c>
      <c r="J1760" s="1" t="s">
        <v>605</v>
      </c>
      <c r="M1760" s="15" t="s">
        <v>509</v>
      </c>
      <c r="O1760" s="15"/>
      <c r="P1760" s="15"/>
      <c r="Q1760" s="15" t="str" cm="1">
        <f t="array" ref="Q17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0" s="15" t="str" cm="1">
        <f t="array" ref="R17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canciones/nsb/el_señor_es_mi_pastor_(nico_montero).html</v>
      </c>
      <c r="T1760" s="1" t="s">
        <v>824</v>
      </c>
      <c r="U1760" s="1"/>
      <c r="V1760" s="32" t="s">
        <v>4898</v>
      </c>
      <c r="W17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data-author="Nico Montero" data-momento="Antífonas" data-nnew="D15" data-nrcc="443"&gt;&lt;a href="canciones/nsb/el_señor_es_mi_pastor_(nico_montero).html"&gt;El Señor es mi pastor (Nico Montero)&lt;/a&gt;&lt;/li&gt;</v>
      </c>
      <c r="X1760" s="15" t="str">
        <f>_xlfn.TEXTBEFORE(_xlfn.TEXTAFTER(CantoralDB[[#This Row],[index.html]],"&gt;"),"&gt;")&amp;"&gt;"</f>
        <v>&lt;a href="canciones/nsb/el_señor_es_mi_pastor_(nico_montero).html"&gt;</v>
      </c>
      <c r="Y1760"/>
      <c r="AC1760" s="1"/>
    </row>
    <row r="1761" spans="1:29" x14ac:dyDescent="0.3">
      <c r="A1761" s="1">
        <f>ROW(CantoralDB[[#This Row],[Título]])-1</f>
        <v>1760</v>
      </c>
      <c r="B1761" s="1" t="s">
        <v>187</v>
      </c>
      <c r="C1761" s="1" t="s">
        <v>190</v>
      </c>
      <c r="D1761" s="1" t="s">
        <v>751</v>
      </c>
      <c r="G1761" s="1" t="s">
        <v>208</v>
      </c>
      <c r="H1761" s="1" t="s">
        <v>1024</v>
      </c>
      <c r="I1761" s="1" t="s">
        <v>2947</v>
      </c>
      <c r="J1761" s="1" t="s">
        <v>605</v>
      </c>
      <c r="M1761" s="15" t="s">
        <v>491</v>
      </c>
      <c r="O1761" s="15"/>
      <c r="P1761" s="15"/>
      <c r="Q1761" s="15" t="str" cm="1">
        <f t="array" ref="Q17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1" s="15" t="str" cm="1">
        <f t="array" ref="R17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canciones/nsb/una_voz_clama_en_el_desierto.html</v>
      </c>
      <c r="T1761" s="1" t="s">
        <v>864</v>
      </c>
      <c r="U1761" s="1"/>
      <c r="V1761" s="32" t="s">
        <v>4899</v>
      </c>
      <c r="W17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data-author="Oscar Palomares" data-momento="Entrada" data-nnew="A34"&gt;&lt;a href="canciones/nsb/una_voz_clama_en_el_desierto.html"&gt;Una voz clama en el desierto&lt;/a&gt;&lt;/li&gt;</v>
      </c>
      <c r="X1761" s="15" t="str">
        <f>_xlfn.TEXTBEFORE(_xlfn.TEXTAFTER(CantoralDB[[#This Row],[index.html]],"&gt;"),"&gt;")&amp;"&gt;"</f>
        <v>&lt;a href="canciones/nsb/una_voz_clama_en_el_desierto.html"&gt;</v>
      </c>
      <c r="Y1761"/>
      <c r="AC1761" s="1"/>
    </row>
    <row r="1762" spans="1:29" x14ac:dyDescent="0.3">
      <c r="A1762" s="1">
        <f>ROW(CantoralDB[[#This Row],[Título]])-1</f>
        <v>1761</v>
      </c>
      <c r="B1762" s="1" t="s">
        <v>71</v>
      </c>
      <c r="C1762" s="1" t="s">
        <v>200</v>
      </c>
      <c r="D1762" s="1" t="s">
        <v>654</v>
      </c>
      <c r="E1762" s="1">
        <v>124</v>
      </c>
      <c r="G1762" s="1" t="s">
        <v>208</v>
      </c>
      <c r="H1762" s="1" t="s">
        <v>529</v>
      </c>
      <c r="I1762" s="1" t="s">
        <v>2948</v>
      </c>
      <c r="J1762" s="1" t="s">
        <v>605</v>
      </c>
      <c r="M1762" s="15" t="s">
        <v>2085</v>
      </c>
      <c r="O1762" s="15"/>
      <c r="P1762" s="15"/>
      <c r="Q1762" s="15" t="str" cm="1">
        <f t="array" ref="Q17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2" s="15" t="str" cm="1">
        <f t="array" ref="R17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canciones/nsb/gritad_que_dios_es_grande.html</v>
      </c>
      <c r="T1762" s="1" t="s">
        <v>832</v>
      </c>
      <c r="U1762" s="1"/>
      <c r="V1762" s="15"/>
      <c r="W17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 Buen Pastor" data-momento="Antífonas" data-nnew="D19" data-nold="124"&gt;&lt;a href="canciones/nsb/gritad_que_dios_es_grande.html"&gt;Gritad que Dios es grande&lt;/a&gt;&lt;/li&gt;</v>
      </c>
      <c r="X1762" s="15" t="str">
        <f>_xlfn.TEXTBEFORE(_xlfn.TEXTAFTER(CantoralDB[[#This Row],[index.html]],"&gt;"),"&gt;")&amp;"&gt;"</f>
        <v>&lt;a href="canciones/nsb/gritad_que_dios_es_grande.html"&gt;</v>
      </c>
      <c r="Y1762"/>
      <c r="AC1762" s="1"/>
    </row>
    <row r="1763" spans="1:29" x14ac:dyDescent="0.3">
      <c r="A1763" s="1">
        <f>ROW(CantoralDB[[#This Row],[Título]])-1</f>
        <v>1762</v>
      </c>
      <c r="B1763" s="1" t="s">
        <v>1267</v>
      </c>
      <c r="C1763" s="1"/>
      <c r="E1763" s="1">
        <v>150</v>
      </c>
      <c r="H1763" s="1" t="s">
        <v>472</v>
      </c>
      <c r="J1763" s="1" t="s">
        <v>605</v>
      </c>
      <c r="M1763" s="15" t="s">
        <v>2085</v>
      </c>
      <c r="O1763" s="15"/>
      <c r="P1763" s="15"/>
      <c r="Q1763" s="15" t="str" cm="1">
        <f t="array" ref="Q17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3" s="15" t="str" cm="1">
        <f t="array" ref="R17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canciones/nsb/la_noticia_es_amor.html</v>
      </c>
      <c r="T1763" s="1"/>
      <c r="U1763" s="1"/>
      <c r="V1763" s="15"/>
      <c r="W17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 Buen Pastor" data-nold="150"&gt;&lt;a href="canciones/nsb/la_noticia_es_amor.html"&gt;La noticia es amor&lt;/a&gt;&lt;/li&gt;</v>
      </c>
      <c r="X1763" s="15" t="str">
        <f>_xlfn.TEXTBEFORE(_xlfn.TEXTAFTER(CantoralDB[[#This Row],[index.html]],"&gt;"),"&gt;")&amp;"&gt;"</f>
        <v>&lt;a href="canciones/nsb/la_noticia_es_amor.html"&gt;</v>
      </c>
      <c r="Y1763"/>
      <c r="AC1763" s="1"/>
    </row>
    <row r="1764" spans="1:29" x14ac:dyDescent="0.3">
      <c r="A1764" s="1">
        <f>ROW(CantoralDB[[#This Row],[Título]])-1</f>
        <v>1763</v>
      </c>
      <c r="B1764" s="1" t="s">
        <v>566</v>
      </c>
      <c r="C1764" s="1" t="s">
        <v>194</v>
      </c>
      <c r="D1764" s="1" t="s">
        <v>762</v>
      </c>
      <c r="G1764" s="1" t="s">
        <v>551</v>
      </c>
      <c r="H1764" s="1" t="s">
        <v>1027</v>
      </c>
      <c r="I1764" s="1" t="s">
        <v>2949</v>
      </c>
      <c r="J1764" s="1" t="s">
        <v>605</v>
      </c>
      <c r="M1764" s="15" t="s">
        <v>614</v>
      </c>
      <c r="O1764" s="15"/>
      <c r="P1764" s="15"/>
      <c r="Q1764" s="15" t="str" cm="1">
        <f t="array" ref="Q17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4" s="15" t="str" cm="1">
        <f t="array" ref="R17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canciones/nsb/juntos_nos_acercamos.html</v>
      </c>
      <c r="T1764" s="1"/>
      <c r="U1764" s="1"/>
      <c r="V1764" s="32" t="s">
        <v>4900</v>
      </c>
      <c r="W17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data-author="Pablo Coloma" data-momento="Ofertorio" data-nnew="F10"&gt;&lt;a href="canciones/nsb/juntos_nos_acercamos.html"&gt;Juntos nos acercamos&lt;/a&gt;&lt;/li&gt;</v>
      </c>
      <c r="X1764" s="15" t="str">
        <f>_xlfn.TEXTBEFORE(_xlfn.TEXTAFTER(CantoralDB[[#This Row],[index.html]],"&gt;"),"&gt;")&amp;"&gt;"</f>
        <v>&lt;a href="canciones/nsb/juntos_nos_acercamos.html"&gt;</v>
      </c>
      <c r="Y1764"/>
      <c r="AC1764" s="1"/>
    </row>
    <row r="1765" spans="1:29" x14ac:dyDescent="0.3">
      <c r="A1765" s="1">
        <f>ROW(CantoralDB[[#This Row],[Título]])-1</f>
        <v>1764</v>
      </c>
      <c r="B1765" s="1" t="s">
        <v>550</v>
      </c>
      <c r="C1765" s="1" t="s">
        <v>194</v>
      </c>
      <c r="D1765" s="1" t="s">
        <v>1383</v>
      </c>
      <c r="G1765" s="1" t="s">
        <v>551</v>
      </c>
      <c r="H1765" s="1" t="s">
        <v>1027</v>
      </c>
      <c r="J1765" s="1" t="s">
        <v>605</v>
      </c>
      <c r="M1765" s="15" t="s">
        <v>791</v>
      </c>
      <c r="O1765" s="15"/>
      <c r="P1765" s="15"/>
      <c r="Q1765" s="15" t="str" cm="1">
        <f t="array" ref="Q17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5" s="15" t="str" cm="1">
        <f t="array" ref="R17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canciones/nsb/aqui_tienes_el_pan.html</v>
      </c>
      <c r="T1765" s="1"/>
      <c r="U1765" s="1"/>
      <c r="V1765" s="32" t="s">
        <v>4901</v>
      </c>
      <c r="W17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data-author="Padre Ernesto" data-momento="Ofertorio" data-nnew="F04"&gt;&lt;a href="canciones/nsb/aqui_tienes_el_pan.html"&gt;Aquí tienes el Pan&lt;/a&gt;&lt;/li&gt;</v>
      </c>
      <c r="X1765" s="15" t="str">
        <f>_xlfn.TEXTBEFORE(_xlfn.TEXTAFTER(CantoralDB[[#This Row],[index.html]],"&gt;"),"&gt;")&amp;"&gt;"</f>
        <v>&lt;a href="canciones/nsb/aqui_tienes_el_pan.html"&gt;</v>
      </c>
      <c r="Y1765"/>
      <c r="AC1765" s="1"/>
    </row>
    <row r="1766" spans="1:29" x14ac:dyDescent="0.3">
      <c r="A1766" s="1">
        <f>ROW(CantoralDB[[#This Row],[Título]])-1</f>
        <v>1765</v>
      </c>
      <c r="B1766" s="1" t="s">
        <v>73</v>
      </c>
      <c r="C1766" s="1" t="s">
        <v>990</v>
      </c>
      <c r="D1766" s="1" t="s">
        <v>705</v>
      </c>
      <c r="E1766" s="1">
        <v>429</v>
      </c>
      <c r="G1766" s="1" t="s">
        <v>208</v>
      </c>
      <c r="H1766" s="1" t="s">
        <v>1026</v>
      </c>
      <c r="J1766" s="1" t="s">
        <v>605</v>
      </c>
      <c r="M1766" s="15" t="s">
        <v>629</v>
      </c>
      <c r="O1766" s="15"/>
      <c r="P1766" s="15"/>
      <c r="Q1766" s="15" t="str" cm="1">
        <f t="array" ref="Q17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6" s="15" t="str" cm="1">
        <f t="array" ref="R17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canciones/nsb/hay_un_corazon_que_late.html</v>
      </c>
      <c r="T1766" s="1"/>
      <c r="U1766" s="1"/>
      <c r="V1766" s="32" t="s">
        <v>4902</v>
      </c>
      <c r="W17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data-author="Paloma Falconi" data-momento="Comunión" data-nnew="K35" data-nold="429"&gt;&lt;a href="canciones/nsb/hay_un_corazon_que_late.html"&gt;Hay un corazón que late&lt;/a&gt;&lt;/li&gt;</v>
      </c>
      <c r="X1766" s="15" t="str">
        <f>_xlfn.TEXTBEFORE(_xlfn.TEXTAFTER(CantoralDB[[#This Row],[index.html]],"&gt;"),"&gt;")&amp;"&gt;"</f>
        <v>&lt;a href="canciones/nsb/hay_un_corazon_que_late.html"&gt;</v>
      </c>
      <c r="Y1766"/>
      <c r="AC1766" s="1"/>
    </row>
    <row r="1767" spans="1:29" x14ac:dyDescent="0.3">
      <c r="A1767" s="1">
        <f>ROW(CantoralDB[[#This Row],[Título]])-1</f>
        <v>1766</v>
      </c>
      <c r="B1767" s="1" t="s">
        <v>589</v>
      </c>
      <c r="C1767" s="1" t="s">
        <v>990</v>
      </c>
      <c r="D1767" s="1" t="s">
        <v>1031</v>
      </c>
      <c r="G1767" s="1" t="s">
        <v>531</v>
      </c>
      <c r="H1767" s="1" t="s">
        <v>1024</v>
      </c>
      <c r="J1767" s="1" t="s">
        <v>605</v>
      </c>
      <c r="M1767" s="15" t="s">
        <v>621</v>
      </c>
      <c r="O1767" s="15"/>
      <c r="P1767" s="15"/>
      <c r="Q1767" s="15" t="str" cm="1">
        <f t="array" ref="Q17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7" s="15" t="str" cm="1">
        <f t="array" ref="R17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canciones/nsb/adorando.html</v>
      </c>
      <c r="T1767" s="1"/>
      <c r="U1767" s="1"/>
      <c r="V1767" s="32" t="s">
        <v>4903</v>
      </c>
      <c r="W17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data-author="Parroquia San Juan de Ávila" data-momento="Comunión" data-nnew="K03"&gt;&lt;a href="canciones/nsb/adorando.html"&gt;Adorando&lt;/a&gt;&lt;/li&gt;</v>
      </c>
      <c r="X1767" s="15" t="str">
        <f>_xlfn.TEXTBEFORE(_xlfn.TEXTAFTER(CantoralDB[[#This Row],[index.html]],"&gt;"),"&gt;")&amp;"&gt;"</f>
        <v>&lt;a href="canciones/nsb/adorando.html"&gt;</v>
      </c>
      <c r="Y1767"/>
      <c r="AC1767" s="1"/>
    </row>
    <row r="1768" spans="1:29" x14ac:dyDescent="0.3">
      <c r="A1768" s="1">
        <f>ROW(CantoralDB[[#This Row],[Título]])-1</f>
        <v>1767</v>
      </c>
      <c r="B1768" s="1" t="s">
        <v>261</v>
      </c>
      <c r="C1768" s="1" t="s">
        <v>196</v>
      </c>
      <c r="D1768" s="1" t="s">
        <v>1443</v>
      </c>
      <c r="G1768" s="1" t="s">
        <v>262</v>
      </c>
      <c r="H1768" s="1" t="s">
        <v>1027</v>
      </c>
      <c r="J1768" s="1" t="s">
        <v>605</v>
      </c>
      <c r="M1768" s="15" t="s">
        <v>534</v>
      </c>
      <c r="O1768" s="15"/>
      <c r="P1768" s="15"/>
      <c r="Q1768" s="15" t="str" cm="1">
        <f t="array" ref="Q17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8" s="15" t="str" cm="1">
        <f t="array" ref="R17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canciones/nsb/padre_nuestro_zaragozano.html</v>
      </c>
      <c r="T1768" s="1"/>
      <c r="U1768" s="1"/>
      <c r="V1768" s="32" t="s">
        <v>4904</v>
      </c>
      <c r="W17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Antonio Garza" data-momento="Padrenuestro" data-nnew="H04"&gt;&lt;a href="canciones/nsb/padre_nuestro_zaragozano.html"&gt;Padre nuestro zaragozano&lt;/a&gt;&lt;/li&gt;</v>
      </c>
      <c r="X1768" s="15" t="str">
        <f>_xlfn.TEXTBEFORE(_xlfn.TEXTAFTER(CantoralDB[[#This Row],[index.html]],"&gt;"),"&gt;")&amp;"&gt;"</f>
        <v>&lt;a href="canciones/nsb/padre_nuestro_zaragozano.html"&gt;</v>
      </c>
      <c r="Y1768"/>
      <c r="AC1768" s="1"/>
    </row>
    <row r="1769" spans="1:29" x14ac:dyDescent="0.3">
      <c r="A1769" s="1">
        <f>ROW(CantoralDB[[#This Row],[Título]])-1</f>
        <v>1768</v>
      </c>
      <c r="B1769" s="1" t="s">
        <v>3</v>
      </c>
      <c r="C1769" s="1" t="s">
        <v>200</v>
      </c>
      <c r="D1769" s="1" t="s">
        <v>1359</v>
      </c>
      <c r="E1769" s="1">
        <v>28</v>
      </c>
      <c r="G1769" s="1" t="s">
        <v>208</v>
      </c>
      <c r="H1769" s="1" t="s">
        <v>1024</v>
      </c>
      <c r="J1769" s="1" t="s">
        <v>605</v>
      </c>
      <c r="M1769" s="15" t="s">
        <v>497</v>
      </c>
      <c r="O1769" s="15"/>
      <c r="P1769" s="15"/>
      <c r="Q1769" s="15" t="str" cm="1">
        <f t="array" ref="Q17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69" s="15" t="str" cm="1">
        <f t="array" ref="R17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canciones/nsb/a_ti_acudo.html</v>
      </c>
      <c r="T1769" s="1"/>
      <c r="U1769" s="1"/>
      <c r="V1769" s="32" t="s">
        <v>4905</v>
      </c>
      <c r="W17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Núñez" data-momento="Antífonas" data-nnew="D03" data-nold="28"&gt;&lt;a href="canciones/nsb/a_ti_acudo.html"&gt;A ti acudo&lt;/a&gt;&lt;/li&gt;</v>
      </c>
      <c r="X1769" s="15" t="str">
        <f>_xlfn.TEXTBEFORE(_xlfn.TEXTAFTER(CantoralDB[[#This Row],[index.html]],"&gt;"),"&gt;")&amp;"&gt;"</f>
        <v>&lt;a href="canciones/nsb/a_ti_acudo.html"&gt;</v>
      </c>
      <c r="Y1769"/>
      <c r="AC1769" s="1"/>
    </row>
    <row r="1770" spans="1:29" x14ac:dyDescent="0.3">
      <c r="A1770" s="1">
        <f>ROW(CantoralDB[[#This Row],[Título]])-1</f>
        <v>1769</v>
      </c>
      <c r="B1770" s="1" t="s">
        <v>30</v>
      </c>
      <c r="C1770" s="1" t="s">
        <v>200</v>
      </c>
      <c r="D1770" s="1" t="s">
        <v>1392</v>
      </c>
      <c r="E1770" s="1">
        <v>45</v>
      </c>
      <c r="G1770" s="1" t="s">
        <v>208</v>
      </c>
      <c r="H1770" s="1" t="s">
        <v>1027</v>
      </c>
      <c r="J1770" s="1" t="s">
        <v>605</v>
      </c>
      <c r="M1770" s="15" t="s">
        <v>497</v>
      </c>
      <c r="O1770" s="15"/>
      <c r="P1770" s="15"/>
      <c r="Q1770" s="15" t="str" cm="1">
        <f t="array" ref="Q17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0" s="15" t="str" cm="1">
        <f t="array" ref="R17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canciones/nsb/cantad_a_dios.html</v>
      </c>
      <c r="T1770" s="1" t="s">
        <v>809</v>
      </c>
      <c r="U1770" s="1"/>
      <c r="V1770" s="32" t="s">
        <v>4906</v>
      </c>
      <c r="W17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Núñez" data-momento="Antífonas" data-nnew="D07" data-nold="45"&gt;&lt;a href="canciones/nsb/cantad_a_dios.html"&gt;Cantad a Dios&lt;/a&gt;&lt;/li&gt;</v>
      </c>
      <c r="X1770" s="15" t="str">
        <f>_xlfn.TEXTBEFORE(_xlfn.TEXTAFTER(CantoralDB[[#This Row],[index.html]],"&gt;"),"&gt;")&amp;"&gt;"</f>
        <v>&lt;a href="canciones/nsb/cantad_a_dios.html"&gt;</v>
      </c>
      <c r="Y1770"/>
      <c r="AC1770" s="1"/>
    </row>
    <row r="1771" spans="1:29" x14ac:dyDescent="0.3">
      <c r="A1771" s="1">
        <f>ROW(CantoralDB[[#This Row],[Título]])-1</f>
        <v>1770</v>
      </c>
      <c r="B1771" s="1" t="s">
        <v>1255</v>
      </c>
      <c r="C1771" s="1"/>
      <c r="E1771" s="1">
        <v>129</v>
      </c>
      <c r="H1771" s="1" t="s">
        <v>472</v>
      </c>
      <c r="J1771" s="1" t="s">
        <v>605</v>
      </c>
      <c r="M1771" s="15" t="s">
        <v>497</v>
      </c>
      <c r="O1771" s="15"/>
      <c r="P1771" s="15"/>
      <c r="Q1771" s="15" t="str" cm="1">
        <f t="array" ref="Q17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1" s="15" t="str" cm="1">
        <f t="array" ref="R17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canciones/nsb/gracias_señor_por_mis_hermanos.html</v>
      </c>
      <c r="T1771" s="1"/>
      <c r="U1771" s="1"/>
      <c r="V1771" s="32" t="s">
        <v>4907</v>
      </c>
      <c r="W17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Núñez" data-nold="129"&gt;&lt;a href="canciones/nsb/gracias_señor_por_mis_hermanos.html"&gt;Gracias, Señor, por mis hermanos&lt;/a&gt;&lt;/li&gt;</v>
      </c>
      <c r="X1771" s="15" t="str">
        <f>_xlfn.TEXTBEFORE(_xlfn.TEXTAFTER(CantoralDB[[#This Row],[index.html]],"&gt;"),"&gt;")&amp;"&gt;"</f>
        <v>&lt;a href="canciones/nsb/gracias_señor_por_mis_hermanos.html"&gt;</v>
      </c>
      <c r="Y1771"/>
      <c r="AC1771" s="1"/>
    </row>
    <row r="1772" spans="1:29" x14ac:dyDescent="0.3">
      <c r="A1772" s="1">
        <f>ROW(CantoralDB[[#This Row],[Título]])-1</f>
        <v>1771</v>
      </c>
      <c r="B1772" s="1" t="s">
        <v>2112</v>
      </c>
      <c r="C1772" s="1"/>
      <c r="E1772" s="1">
        <v>162</v>
      </c>
      <c r="H1772" s="1" t="s">
        <v>1027</v>
      </c>
      <c r="J1772" s="1" t="s">
        <v>605</v>
      </c>
      <c r="M1772" s="15" t="s">
        <v>497</v>
      </c>
      <c r="O1772" s="15"/>
      <c r="P1772" s="15"/>
      <c r="Q1772" s="15" t="str" cm="1">
        <f t="array" ref="Q17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2" s="15" t="str" cm="1">
        <f t="array" ref="R17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canciones/nsb/maria_fuiste_siempre_pobre_de_yahve.html</v>
      </c>
      <c r="T1772" s="1"/>
      <c r="U1772" s="1"/>
      <c r="V1772" s="32" t="s">
        <v>2978</v>
      </c>
      <c r="W17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Núñez" data-nold="162"&gt;&lt;a href="canciones/nsb/maria_fuiste_siempre_pobre_de_yahve.html"&gt;María, fuiste siempre pobre de Yahvé&lt;/a&gt;&lt;/li&gt;</v>
      </c>
      <c r="X1772" s="15" t="str">
        <f>_xlfn.TEXTBEFORE(_xlfn.TEXTAFTER(CantoralDB[[#This Row],[index.html]],"&gt;"),"&gt;")&amp;"&gt;"</f>
        <v>&lt;a href="canciones/nsb/maria_fuiste_siempre_pobre_de_yahve.html"&gt;</v>
      </c>
      <c r="Y1772"/>
      <c r="AC1772" s="1"/>
    </row>
    <row r="1773" spans="1:29" x14ac:dyDescent="0.3">
      <c r="A1773" s="1">
        <f>ROW(CantoralDB[[#This Row],[Título]])-1</f>
        <v>1772</v>
      </c>
      <c r="B1773" s="1" t="s">
        <v>1278</v>
      </c>
      <c r="C1773" s="1"/>
      <c r="E1773" s="1">
        <v>169</v>
      </c>
      <c r="H1773" s="1" t="s">
        <v>1024</v>
      </c>
      <c r="J1773" s="1" t="s">
        <v>605</v>
      </c>
      <c r="M1773" s="15" t="s">
        <v>497</v>
      </c>
      <c r="O1773" s="15"/>
      <c r="P1773" s="15"/>
      <c r="Q1773" s="15" t="str" cm="1">
        <f t="array" ref="Q17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3" s="15" t="str" cm="1">
        <f t="array" ref="R17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canciones/nsb/nacera_una_nueva_hermandad.html</v>
      </c>
      <c r="T1773" s="1"/>
      <c r="U1773" s="1"/>
      <c r="V1773" s="32" t="s">
        <v>2979</v>
      </c>
      <c r="W17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Núñez" data-nold="169"&gt;&lt;a href="canciones/nsb/nacera_una_nueva_hermandad.html"&gt;Nacerá una nueva hermandad&lt;/a&gt;&lt;/li&gt;</v>
      </c>
      <c r="X1773" s="15" t="str">
        <f>_xlfn.TEXTBEFORE(_xlfn.TEXTAFTER(CantoralDB[[#This Row],[index.html]],"&gt;"),"&gt;")&amp;"&gt;"</f>
        <v>&lt;a href="canciones/nsb/nacera_una_nueva_hermandad.html"&gt;</v>
      </c>
      <c r="Y1773"/>
      <c r="AC1773" s="1"/>
    </row>
    <row r="1774" spans="1:29" x14ac:dyDescent="0.3">
      <c r="A1774" s="1">
        <f>ROW(CantoralDB[[#This Row],[Título]])-1</f>
        <v>1773</v>
      </c>
      <c r="B1774" s="1" t="s">
        <v>144</v>
      </c>
      <c r="C1774" s="1" t="s">
        <v>990</v>
      </c>
      <c r="D1774" s="1" t="s">
        <v>1009</v>
      </c>
      <c r="E1774" s="1">
        <v>310</v>
      </c>
      <c r="F1774" s="1">
        <v>73</v>
      </c>
      <c r="G1774" s="1" t="s">
        <v>208</v>
      </c>
      <c r="H1774" s="1" t="s">
        <v>1027</v>
      </c>
      <c r="J1774" s="1" t="s">
        <v>605</v>
      </c>
      <c r="M1774" s="15" t="s">
        <v>578</v>
      </c>
      <c r="O1774" s="15"/>
      <c r="P1774" s="15"/>
      <c r="Q1774" s="15" t="str" cm="1">
        <f t="array" ref="Q17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4" s="15" t="str" cm="1">
        <f t="array" ref="R17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canciones/nsb/tomado_de_la_mano.html</v>
      </c>
      <c r="T1774" s="1" t="s">
        <v>862</v>
      </c>
      <c r="U1774" s="1"/>
      <c r="V1774" s="32" t="s">
        <v>4908</v>
      </c>
      <c r="W17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data-author="Rafael Espinosa" data-momento="Comunión" data-nnew="K75" data-nold="310" data-nrcc="73"&gt;&lt;a href="canciones/nsb/tomado_de_la_mano.html"&gt;Tomado de la mano&lt;/a&gt;&lt;/li&gt;</v>
      </c>
      <c r="X1774" s="15" t="str">
        <f>_xlfn.TEXTBEFORE(_xlfn.TEXTAFTER(CantoralDB[[#This Row],[index.html]],"&gt;"),"&gt;")&amp;"&gt;"</f>
        <v>&lt;a href="canciones/nsb/tomado_de_la_mano.html"&gt;</v>
      </c>
      <c r="Y1774"/>
      <c r="AC1774" s="1"/>
    </row>
    <row r="1775" spans="1:29" x14ac:dyDescent="0.3">
      <c r="A1775" s="1">
        <f>ROW(CantoralDB[[#This Row],[Título]])-1</f>
        <v>1774</v>
      </c>
      <c r="B1775" s="1" t="s">
        <v>4</v>
      </c>
      <c r="C1775" s="1" t="s">
        <v>199</v>
      </c>
      <c r="D1775" s="1" t="s">
        <v>1360</v>
      </c>
      <c r="E1775" s="1">
        <v>31</v>
      </c>
      <c r="G1775" s="1" t="s">
        <v>208</v>
      </c>
      <c r="H1775" s="1" t="s">
        <v>529</v>
      </c>
      <c r="J1775" s="1" t="s">
        <v>605</v>
      </c>
      <c r="M1775" s="15" t="s">
        <v>567</v>
      </c>
      <c r="N1775" s="1" t="s">
        <v>5380</v>
      </c>
      <c r="O1775" s="15"/>
      <c r="P1775" s="15">
        <v>1995</v>
      </c>
      <c r="Q1775" s="15" t="str" cm="1">
        <f t="array" ref="Q17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5" s="15" t="str" cm="1">
        <f t="array" ref="R17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canciones/nsb/a_ti_que_eres_el_signo.html</v>
      </c>
      <c r="T1775" s="1"/>
      <c r="U1775" s="1"/>
      <c r="V1775" s="15"/>
      <c r="W17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data-author="Ramón Capilla" data-momento="María" data-nnew="M01" data-nold="31"&gt;&lt;a href="canciones/nsb/a_ti_que_eres_el_signo.html"&gt;A ti que eres el signo&lt;/a&gt;&lt;/li&gt;</v>
      </c>
      <c r="X1775" s="15" t="str">
        <f>_xlfn.TEXTBEFORE(_xlfn.TEXTAFTER(CantoralDB[[#This Row],[index.html]],"&gt;"),"&gt;")&amp;"&gt;"</f>
        <v>&lt;a href="canciones/nsb/a_ti_que_eres_el_signo.html"&gt;</v>
      </c>
      <c r="Y1775"/>
      <c r="AC1775" s="1"/>
    </row>
    <row r="1776" spans="1:29" x14ac:dyDescent="0.3">
      <c r="A1776" s="1">
        <f>ROW(CantoralDB[[#This Row],[Título]])-1</f>
        <v>1775</v>
      </c>
      <c r="B1776" s="1" t="s">
        <v>1180</v>
      </c>
      <c r="C1776" s="1"/>
      <c r="E1776" s="1">
        <v>54</v>
      </c>
      <c r="H1776" s="1" t="s">
        <v>529</v>
      </c>
      <c r="J1776" s="1" t="s">
        <v>605</v>
      </c>
      <c r="M1776" s="15" t="s">
        <v>567</v>
      </c>
      <c r="O1776" s="15"/>
      <c r="P1776" s="15"/>
      <c r="Q1776" s="15" t="str" cm="1">
        <f t="array" ref="Q17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6" s="15" t="str" cm="1">
        <f t="array" ref="R17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canciones/nsb/como_lo_habia_anunciado.html</v>
      </c>
      <c r="T1776" s="1"/>
      <c r="U1776" s="1"/>
      <c r="V1776" s="15"/>
      <c r="W17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data-author="Ramón Capilla" data-nold="54"&gt;&lt;a href="canciones/nsb/como_lo_habia_anunciado.html"&gt;Como lo había anunciado&lt;/a&gt;&lt;/li&gt;</v>
      </c>
      <c r="X1776" s="15" t="str">
        <f>_xlfn.TEXTBEFORE(_xlfn.TEXTAFTER(CantoralDB[[#This Row],[index.html]],"&gt;"),"&gt;")&amp;"&gt;"</f>
        <v>&lt;a href="canciones/nsb/como_lo_habia_anunciado.html"&gt;</v>
      </c>
      <c r="Y1776"/>
      <c r="AC1776" s="1"/>
    </row>
    <row r="1777" spans="1:29" x14ac:dyDescent="0.3">
      <c r="A1777" s="1">
        <f>ROW(CantoralDB[[#This Row],[Título]])-1</f>
        <v>1776</v>
      </c>
      <c r="B1777" s="1" t="s">
        <v>1276</v>
      </c>
      <c r="C1777" s="1"/>
      <c r="E1777" s="1">
        <v>165</v>
      </c>
      <c r="J1777" s="1" t="s">
        <v>605</v>
      </c>
      <c r="L1777" s="1" t="s">
        <v>2955</v>
      </c>
      <c r="M1777" s="15" t="s">
        <v>567</v>
      </c>
      <c r="O1777" s="15"/>
      <c r="P1777" s="15"/>
      <c r="Q1777" s="15" t="str" cm="1">
        <f t="array" ref="Q17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7" s="15" t="str" cm="1">
        <f t="array" ref="R17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canciones/nsb/maria_guardabas_todo.html</v>
      </c>
      <c r="T1777" s="1"/>
      <c r="U1777" s="1"/>
      <c r="V1777" s="15"/>
      <c r="W17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data-author="Ramón Capilla" data-nold="165"&gt;&lt;a href="canciones/nsb/maria_guardabas_todo.html"&gt;María, guardabas todo&lt;/a&gt;&lt;/li&gt;</v>
      </c>
      <c r="X1777" s="15" t="str">
        <f>_xlfn.TEXTBEFORE(_xlfn.TEXTAFTER(CantoralDB[[#This Row],[index.html]],"&gt;"),"&gt;")&amp;"&gt;"</f>
        <v>&lt;a href="canciones/nsb/maria_guardabas_todo.html"&gt;</v>
      </c>
      <c r="Y1777"/>
      <c r="AC1777" s="1"/>
    </row>
    <row r="1778" spans="1:29" x14ac:dyDescent="0.3">
      <c r="A1778" s="1">
        <f>ROW(CantoralDB[[#This Row],[Título]])-1</f>
        <v>1777</v>
      </c>
      <c r="B1778" s="1" t="s">
        <v>1342</v>
      </c>
      <c r="C1778" s="1"/>
      <c r="E1778" s="1">
        <v>288</v>
      </c>
      <c r="J1778" s="1"/>
      <c r="M1778" s="15" t="s">
        <v>567</v>
      </c>
      <c r="O1778" s="15"/>
      <c r="P1778" s="15"/>
      <c r="Q1778" s="15" t="str" cm="1">
        <f t="array" ref="Q17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8" s="15" t="str" cm="1">
        <f t="array" ref="R17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canciones/nsb/veo_en_tus_ojos_maria.html</v>
      </c>
      <c r="T1778" s="1"/>
      <c r="U1778" s="1"/>
      <c r="V1778" s="15"/>
      <c r="W17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data-author="Ramón Capilla" data-nold="288"&gt;&lt;a href="canciones/nsb/veo_en_tus_ojos_maria.html"&gt;Veo en tus ojos, María&lt;/a&gt;&lt;/li&gt;</v>
      </c>
      <c r="X1778" s="15" t="str">
        <f>_xlfn.TEXTBEFORE(_xlfn.TEXTAFTER(CantoralDB[[#This Row],[index.html]],"&gt;"),"&gt;")&amp;"&gt;"</f>
        <v>&lt;a href="canciones/nsb/veo_en_tus_ojos_maria.html"&gt;</v>
      </c>
      <c r="Y1778"/>
      <c r="AC1778" s="1"/>
    </row>
    <row r="1779" spans="1:29" x14ac:dyDescent="0.3">
      <c r="A1779" s="1">
        <f>ROW(CantoralDB[[#This Row],[Título]])-1</f>
        <v>1778</v>
      </c>
      <c r="B1779" s="1" t="s">
        <v>80</v>
      </c>
      <c r="C1779" s="1" t="s">
        <v>990</v>
      </c>
      <c r="D1779" s="1" t="s">
        <v>711</v>
      </c>
      <c r="E1779" s="1">
        <v>141</v>
      </c>
      <c r="F1779" s="1">
        <v>112</v>
      </c>
      <c r="G1779" s="1" t="s">
        <v>208</v>
      </c>
      <c r="H1779" s="1" t="s">
        <v>1025</v>
      </c>
      <c r="J1779" s="1" t="s">
        <v>605</v>
      </c>
      <c r="M1779" s="15" t="s">
        <v>2166</v>
      </c>
      <c r="N1779" s="1" t="s">
        <v>159</v>
      </c>
      <c r="O1779" s="15"/>
      <c r="P1779" s="15">
        <v>1984</v>
      </c>
      <c r="Q1779" s="15" t="str" cm="1">
        <f t="array" ref="Q17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79" s="15" t="str" cm="1">
        <f t="array" ref="R17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canciones/nsb/iluminame_señor.html</v>
      </c>
      <c r="T1779" s="1"/>
      <c r="U1779" s="1"/>
      <c r="V1779" s="32" t="s">
        <v>5381</v>
      </c>
      <c r="W17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data-author="RCCE" data-momento="Comunión" data-nnew="K41" data-nold="141" data-nrcc="112"&gt;&lt;a href="canciones/nsb/iluminame_señor.html"&gt;Ilumíname, Señor&lt;/a&gt;&lt;/li&gt;</v>
      </c>
      <c r="X1779" s="15" t="str">
        <f>_xlfn.TEXTBEFORE(_xlfn.TEXTAFTER(CantoralDB[[#This Row],[index.html]],"&gt;"),"&gt;")&amp;"&gt;"</f>
        <v>&lt;a href="canciones/nsb/iluminame_señor.html"&gt;</v>
      </c>
      <c r="Y1779"/>
      <c r="AC1779" s="1"/>
    </row>
    <row r="1780" spans="1:29" x14ac:dyDescent="0.3">
      <c r="A1780" s="1">
        <f>ROW(CantoralDB[[#This Row],[Título]])-1</f>
        <v>1779</v>
      </c>
      <c r="B1780" s="1" t="s">
        <v>93</v>
      </c>
      <c r="C1780" s="1" t="s">
        <v>191</v>
      </c>
      <c r="D1780" s="1" t="s">
        <v>1438</v>
      </c>
      <c r="E1780" s="1">
        <v>168</v>
      </c>
      <c r="F1780" s="1" t="s">
        <v>2483</v>
      </c>
      <c r="G1780" s="1" t="s">
        <v>208</v>
      </c>
      <c r="H1780" s="1" t="s">
        <v>1024</v>
      </c>
      <c r="J1780" s="1" t="s">
        <v>605</v>
      </c>
      <c r="M1780" s="15" t="s">
        <v>2166</v>
      </c>
      <c r="O1780" s="15"/>
      <c r="P1780" s="15"/>
      <c r="Q1780" s="15" t="str" cm="1">
        <f t="array" ref="Q17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0" s="15" t="str" cm="1">
        <f t="array" ref="R17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canciones/nsb/mi_dios_esta_vivo.html</v>
      </c>
      <c r="T1780" s="1"/>
      <c r="U1780" s="1"/>
      <c r="V1780" s="32" t="s">
        <v>4429</v>
      </c>
      <c r="W17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data-author="RCCE" data-momento="Perdón - Agua" data-nnew="B03" data-nold="168" data-nrcc="104/105"&gt;&lt;a href="canciones/nsb/mi_dios_esta_vivo.html"&gt;Mi Dios está vivo&lt;/a&gt;&lt;/li&gt;</v>
      </c>
      <c r="X1780" s="15" t="str">
        <f>_xlfn.TEXTBEFORE(_xlfn.TEXTAFTER(CantoralDB[[#This Row],[index.html]],"&gt;"),"&gt;")&amp;"&gt;"</f>
        <v>&lt;a href="canciones/nsb/mi_dios_esta_vivo.html"&gt;</v>
      </c>
      <c r="Y1780"/>
      <c r="AC1780" s="1"/>
    </row>
    <row r="1781" spans="1:29" x14ac:dyDescent="0.3">
      <c r="A1781" s="1">
        <f>ROW(CantoralDB[[#This Row],[Título]])-1</f>
        <v>1780</v>
      </c>
      <c r="B1781" s="1" t="s">
        <v>70</v>
      </c>
      <c r="C1781" s="1" t="s">
        <v>198</v>
      </c>
      <c r="D1781" s="1" t="s">
        <v>1424</v>
      </c>
      <c r="E1781" s="1">
        <v>427</v>
      </c>
      <c r="G1781" s="1" t="s">
        <v>212</v>
      </c>
      <c r="H1781" s="1" t="s">
        <v>529</v>
      </c>
      <c r="J1781" s="1" t="s">
        <v>605</v>
      </c>
      <c r="M1781" s="15" t="s">
        <v>631</v>
      </c>
      <c r="O1781" s="15"/>
      <c r="P1781" s="15"/>
      <c r="Q1781" s="15" t="str" cm="1">
        <f t="array" ref="Q17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1" s="15" t="str" cm="1">
        <f t="array" ref="R17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canciones/nsb/gracias_señor.html</v>
      </c>
      <c r="T1781" s="1"/>
      <c r="U1781" s="1"/>
      <c r="V1781" s="32" t="s">
        <v>5382</v>
      </c>
      <c r="W17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de la Fuente" data-momento="Despedida" data-nnew="L02" data-nold="427"&gt;&lt;a href="canciones/nsb/gracias_señor.html"&gt;Gracias, Señor&lt;/a&gt;&lt;/li&gt;</v>
      </c>
      <c r="X1781" s="15" t="str">
        <f>_xlfn.TEXTBEFORE(_xlfn.TEXTAFTER(CantoralDB[[#This Row],[index.html]],"&gt;"),"&gt;")&amp;"&gt;"</f>
        <v>&lt;a href="canciones/nsb/gracias_señor.html"&gt;</v>
      </c>
      <c r="Y1781"/>
      <c r="AC1781" s="1"/>
    </row>
    <row r="1782" spans="1:29" x14ac:dyDescent="0.3">
      <c r="A1782" s="1">
        <f>ROW(CantoralDB[[#This Row],[Título]])-1</f>
        <v>1781</v>
      </c>
      <c r="B1782" s="1" t="s">
        <v>176</v>
      </c>
      <c r="C1782" s="1" t="s">
        <v>990</v>
      </c>
      <c r="D1782" s="1" t="s">
        <v>690</v>
      </c>
      <c r="G1782" s="1" t="s">
        <v>208</v>
      </c>
      <c r="H1782" s="1" t="s">
        <v>472</v>
      </c>
      <c r="J1782" s="1" t="s">
        <v>605</v>
      </c>
      <c r="M1782" s="15" t="s">
        <v>571</v>
      </c>
      <c r="O1782" s="15"/>
      <c r="P1782" s="15"/>
      <c r="Q1782" s="15" t="str" cm="1">
        <f t="array" ref="Q17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2" s="15" t="str" cm="1">
        <f t="array" ref="R17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canciones/nsb/dime_como_ser_pan.html</v>
      </c>
      <c r="T1782" s="1"/>
      <c r="U1782" s="1"/>
      <c r="V1782" s="32" t="s">
        <v>4909</v>
      </c>
      <c r="W17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data-author="Salomé Arricibita" data-momento="Comunión" data-nnew="K20"&gt;&lt;a href="canciones/nsb/dime_como_ser_pan.html"&gt;Dime cómo ser pan&lt;/a&gt;&lt;/li&gt;</v>
      </c>
      <c r="X1782" s="15" t="str">
        <f>_xlfn.TEXTBEFORE(_xlfn.TEXTAFTER(CantoralDB[[#This Row],[index.html]],"&gt;"),"&gt;")&amp;"&gt;"</f>
        <v>&lt;a href="canciones/nsb/dime_como_ser_pan.html"&gt;</v>
      </c>
      <c r="Y1782"/>
      <c r="AC1782" s="1"/>
    </row>
    <row r="1783" spans="1:29" x14ac:dyDescent="0.3">
      <c r="A1783" s="1">
        <f>ROW(CantoralDB[[#This Row],[Título]])-1</f>
        <v>1782</v>
      </c>
      <c r="B1783" s="1" t="s">
        <v>175</v>
      </c>
      <c r="C1783" s="1" t="s">
        <v>990</v>
      </c>
      <c r="D1783" s="1" t="s">
        <v>684</v>
      </c>
      <c r="G1783" s="1" t="s">
        <v>208</v>
      </c>
      <c r="H1783" s="1" t="s">
        <v>1024</v>
      </c>
      <c r="J1783" s="1" t="s">
        <v>605</v>
      </c>
      <c r="M1783" s="15" t="s">
        <v>569</v>
      </c>
      <c r="O1783" s="15"/>
      <c r="P1783" s="15"/>
      <c r="Q1783" s="15" t="str" cm="1">
        <f t="array" ref="Q17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3" s="15" t="str" cm="1">
        <f t="array" ref="R17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canciones/nsb/cerca_de_ti_señor.html</v>
      </c>
      <c r="T1783" s="1"/>
      <c r="U1783" s="1"/>
      <c r="V1783" s="32" t="s">
        <v>4910</v>
      </c>
      <c r="W17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data-author="Sarah Flower Adams" data-momento="Comunión" data-nnew="K14"&gt;&lt;a href="canciones/nsb/cerca_de_ti_señor.html"&gt;Cerca de Ti, Señor&lt;/a&gt;&lt;/li&gt;</v>
      </c>
      <c r="X1783" s="15" t="str">
        <f>_xlfn.TEXTBEFORE(_xlfn.TEXTAFTER(CantoralDB[[#This Row],[index.html]],"&gt;"),"&gt;")&amp;"&gt;"</f>
        <v>&lt;a href="canciones/nsb/cerca_de_ti_señor.html"&gt;</v>
      </c>
      <c r="Y1783"/>
      <c r="AC1783" s="1"/>
    </row>
    <row r="1784" spans="1:29" x14ac:dyDescent="0.3">
      <c r="A1784" s="1">
        <f>ROW(CantoralDB[[#This Row],[Título]])-1</f>
        <v>1783</v>
      </c>
      <c r="B1784" s="1" t="s">
        <v>106</v>
      </c>
      <c r="C1784" s="1" t="s">
        <v>196</v>
      </c>
      <c r="D1784" s="1" t="s">
        <v>1445</v>
      </c>
      <c r="E1784" s="1">
        <v>198</v>
      </c>
      <c r="F1784" s="1">
        <v>203</v>
      </c>
      <c r="G1784" s="1" t="s">
        <v>208</v>
      </c>
      <c r="H1784" s="1" t="s">
        <v>529</v>
      </c>
      <c r="I1784" s="1" t="s">
        <v>2948</v>
      </c>
      <c r="J1784" s="1" t="s">
        <v>605</v>
      </c>
      <c r="M1784" s="15" t="s">
        <v>2864</v>
      </c>
      <c r="O1784" s="15"/>
      <c r="P1784" s="15"/>
      <c r="Q1784" s="15" t="str" cm="1">
        <f t="array" ref="Q17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4" s="15" t="str" cm="1">
        <f t="array" ref="R17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canciones/nsb/padre_nuestro_tu_que_estas.html</v>
      </c>
      <c r="T1784" s="1"/>
      <c r="U1784" s="1"/>
      <c r="V1784" s="32" t="s">
        <v>4440</v>
      </c>
      <c r="W17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data-author="Simon y Garfunkel" data-momento="Padrenuestro" data-nnew="H06" data-nold="198" data-nrcc="203"&gt;&lt;a href="canciones/nsb/padre_nuestro_tu_que_estas.html"&gt;Padre nuestro, tú que estás&lt;/a&gt;&lt;/li&gt;</v>
      </c>
      <c r="X1784" s="15" t="str">
        <f>_xlfn.TEXTBEFORE(_xlfn.TEXTAFTER(CantoralDB[[#This Row],[index.html]],"&gt;"),"&gt;")&amp;"&gt;"</f>
        <v>&lt;a href="canciones/nsb/padre_nuestro_tu_que_estas.html"&gt;</v>
      </c>
      <c r="Y1784"/>
      <c r="AC1784" s="1"/>
    </row>
    <row r="1785" spans="1:29" x14ac:dyDescent="0.3">
      <c r="A1785" s="1">
        <f>ROW(CantoralDB[[#This Row],[Título]])-1</f>
        <v>1784</v>
      </c>
      <c r="B1785" s="1" t="s">
        <v>554</v>
      </c>
      <c r="C1785" s="1" t="s">
        <v>200</v>
      </c>
      <c r="D1785" s="1" t="s">
        <v>668</v>
      </c>
      <c r="G1785" s="1" t="s">
        <v>551</v>
      </c>
      <c r="H1785" s="1" t="s">
        <v>1024</v>
      </c>
      <c r="J1785" s="1" t="s">
        <v>605</v>
      </c>
      <c r="M1785" s="15" t="s">
        <v>609</v>
      </c>
      <c r="O1785" s="15"/>
      <c r="P1785" s="15"/>
      <c r="Q1785" s="15" t="str" cm="1">
        <f t="array" ref="Q17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5" s="15" t="str" cm="1">
        <f t="array" ref="R17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canciones/nsb/quiero_caminar.html</v>
      </c>
      <c r="T1785" s="1"/>
      <c r="U1785" s="1"/>
      <c r="V1785" s="32" t="s">
        <v>4911</v>
      </c>
      <c r="W17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data-author="Sor Trini - Hijas de la Caridad" data-momento="Antífonas" data-nnew="D33"&gt;&lt;a href="canciones/nsb/quiero_caminar.html"&gt;Quiero caminar&lt;/a&gt;&lt;/li&gt;</v>
      </c>
      <c r="X1785" s="15" t="str">
        <f>_xlfn.TEXTBEFORE(_xlfn.TEXTAFTER(CantoralDB[[#This Row],[index.html]],"&gt;"),"&gt;")&amp;"&gt;"</f>
        <v>&lt;a href="canciones/nsb/quiero_caminar.html"&gt;</v>
      </c>
      <c r="Y1785"/>
      <c r="AC1785" s="1"/>
    </row>
    <row r="1786" spans="1:29" x14ac:dyDescent="0.3">
      <c r="A1786" s="1">
        <f>ROW(CantoralDB[[#This Row],[Título]])-1</f>
        <v>1785</v>
      </c>
      <c r="B1786" s="1" t="s">
        <v>168</v>
      </c>
      <c r="C1786" s="1" t="s">
        <v>990</v>
      </c>
      <c r="D1786" s="1" t="s">
        <v>1016</v>
      </c>
      <c r="E1786" s="1">
        <v>477</v>
      </c>
      <c r="F1786" s="1">
        <v>57</v>
      </c>
      <c r="G1786" s="1" t="s">
        <v>208</v>
      </c>
      <c r="H1786" s="1" t="s">
        <v>1027</v>
      </c>
      <c r="J1786" s="1" t="s">
        <v>605</v>
      </c>
      <c r="M1786" s="15" t="s">
        <v>579</v>
      </c>
      <c r="O1786" s="15"/>
      <c r="P1786" s="15"/>
      <c r="Q1786" s="15" t="str" cm="1">
        <f t="array" ref="Q17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6" s="15" t="str" cm="1">
        <f t="array" ref="R17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canciones/nsb/yo_soy_el_pan_de_vida.html</v>
      </c>
      <c r="T1786" s="1" t="s">
        <v>866</v>
      </c>
      <c r="U1786" s="1"/>
      <c r="V1786" s="32" t="s">
        <v>4912</v>
      </c>
      <c r="W17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data-author="Suzanne Toolan" data-momento="Comunión" data-nnew="K82" data-nold="477" data-nrcc="57"&gt;&lt;a href="canciones/nsb/yo_soy_el_pan_de_vida.html"&gt;Yo soy el Pan de Vida&lt;/a&gt;&lt;/li&gt;</v>
      </c>
      <c r="X1786" s="15" t="str">
        <f>_xlfn.TEXTBEFORE(_xlfn.TEXTAFTER(CantoralDB[[#This Row],[index.html]],"&gt;"),"&gt;")&amp;"&gt;"</f>
        <v>&lt;a href="canciones/nsb/yo_soy_el_pan_de_vida.html"&gt;</v>
      </c>
      <c r="Y1786"/>
      <c r="AC1786" s="1"/>
    </row>
    <row r="1787" spans="1:29" x14ac:dyDescent="0.3">
      <c r="A1787" s="1">
        <f>ROW(CantoralDB[[#This Row],[Título]])-1</f>
        <v>1786</v>
      </c>
      <c r="B1787" s="1" t="s">
        <v>130</v>
      </c>
      <c r="C1787" s="1" t="s">
        <v>195</v>
      </c>
      <c r="D1787" s="1" t="s">
        <v>1459</v>
      </c>
      <c r="E1787" s="1">
        <v>457</v>
      </c>
      <c r="G1787" s="1" t="s">
        <v>208</v>
      </c>
      <c r="H1787" s="1" t="s">
        <v>529</v>
      </c>
      <c r="I1787" s="1" t="s">
        <v>2948</v>
      </c>
      <c r="J1787" s="1" t="s">
        <v>605</v>
      </c>
      <c r="M1787" s="15" t="s">
        <v>523</v>
      </c>
      <c r="O1787" s="15"/>
      <c r="P1787" s="15"/>
      <c r="Q1787" s="15" t="str" cm="1">
        <f t="array" ref="Q17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7" s="15" t="str" cm="1">
        <f t="array" ref="R17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canciones/nsb/santo_(the_beatles).html</v>
      </c>
      <c r="T1787" s="1"/>
      <c r="U1787" s="1"/>
      <c r="V1787" s="32" t="s">
        <v>4913</v>
      </c>
      <c r="W17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data-author="The Beatles" data-momento="Santo" data-nnew="G06" data-nold="457"&gt;&lt;a href="canciones/nsb/santo_(the_beatles).html"&gt;Santo (The Beatles)&lt;/a&gt;&lt;/li&gt;</v>
      </c>
      <c r="X1787" s="15" t="str">
        <f>_xlfn.TEXTBEFORE(_xlfn.TEXTAFTER(CantoralDB[[#This Row],[index.html]],"&gt;"),"&gt;")&amp;"&gt;"</f>
        <v>&lt;a href="canciones/nsb/santo_(the_beatles).html"&gt;</v>
      </c>
      <c r="Y1787"/>
      <c r="AC1787" s="1"/>
    </row>
    <row r="1788" spans="1:29" x14ac:dyDescent="0.3">
      <c r="A1788" s="1">
        <f>ROW(CantoralDB[[#This Row],[Título]])-1</f>
        <v>1787</v>
      </c>
      <c r="B1788" s="1" t="s">
        <v>248</v>
      </c>
      <c r="C1788" s="1" t="s">
        <v>201</v>
      </c>
      <c r="D1788" s="1" t="s">
        <v>1399</v>
      </c>
      <c r="G1788" s="1" t="s">
        <v>247</v>
      </c>
      <c r="H1788" s="1" t="s">
        <v>1027</v>
      </c>
      <c r="I1788" s="1" t="s">
        <v>2946</v>
      </c>
      <c r="J1788" s="1" t="s">
        <v>605</v>
      </c>
      <c r="M1788" s="15" t="s">
        <v>536</v>
      </c>
      <c r="O1788" s="15"/>
      <c r="P1788" s="15"/>
      <c r="Q1788" s="15" t="str" cm="1">
        <f t="array" ref="Q17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8" s="15" t="str" cm="1">
        <f t="array" ref="R17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canciones/nsb/cordero_de_dios_(aragües).html</v>
      </c>
      <c r="T1788" s="1"/>
      <c r="U1788" s="1"/>
      <c r="V1788" s="32" t="s">
        <v>4914</v>
      </c>
      <c r="W17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data-author="Tomás Aragüés" data-momento="Cordero de Dios" data-nnew="J02"&gt;&lt;a href="canciones/nsb/cordero_de_dios_(aragües).html"&gt;Cordero de Dios (Aragüés)&lt;/a&gt;&lt;/li&gt;</v>
      </c>
      <c r="X1788" s="15" t="str">
        <f>_xlfn.TEXTBEFORE(_xlfn.TEXTAFTER(CantoralDB[[#This Row],[index.html]],"&gt;"),"&gt;")&amp;"&gt;"</f>
        <v>&lt;a href="canciones/nsb/cordero_de_dios_(aragües).html"&gt;</v>
      </c>
      <c r="Y1788"/>
      <c r="AC1788" s="1"/>
    </row>
    <row r="1789" spans="1:29" x14ac:dyDescent="0.3">
      <c r="A1789" s="1">
        <f>ROW(CantoralDB[[#This Row],[Título]])-1</f>
        <v>1788</v>
      </c>
      <c r="B1789" s="1" t="s">
        <v>1263</v>
      </c>
      <c r="C1789" s="1"/>
      <c r="E1789" s="1">
        <v>146</v>
      </c>
      <c r="H1789" s="1" t="s">
        <v>1024</v>
      </c>
      <c r="J1789" s="1" t="s">
        <v>605</v>
      </c>
      <c r="M1789" s="15" t="s">
        <v>536</v>
      </c>
      <c r="O1789" s="15"/>
      <c r="P1789" s="15"/>
      <c r="Q1789" s="15" t="str" cm="1">
        <f t="array" ref="Q17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89" s="15" t="str" cm="1">
        <f t="array" ref="R17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canciones/nsb/junto_a_ti_al_caer_de_la_tarde.html</v>
      </c>
      <c r="T1789" s="1"/>
      <c r="U1789" s="1"/>
      <c r="V1789" s="32" t="s">
        <v>4915</v>
      </c>
      <c r="W17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data-author="Tomás Aragüés" data-nold="146"&gt;&lt;a href="canciones/nsb/junto_a_ti_al_caer_de_la_tarde.html"&gt;Junto a ti al caer de la tarde&lt;/a&gt;&lt;/li&gt;</v>
      </c>
      <c r="X1789" s="15" t="str">
        <f>_xlfn.TEXTBEFORE(_xlfn.TEXTAFTER(CantoralDB[[#This Row],[index.html]],"&gt;"),"&gt;")&amp;"&gt;"</f>
        <v>&lt;a href="canciones/nsb/junto_a_ti_al_caer_de_la_tarde.html"&gt;</v>
      </c>
      <c r="Y1789"/>
      <c r="AC1789" s="1"/>
    </row>
    <row r="1790" spans="1:29" x14ac:dyDescent="0.3">
      <c r="A1790" s="1">
        <f>ROW(CantoralDB[[#This Row],[Título]])-1</f>
        <v>1789</v>
      </c>
      <c r="B1790" s="1" t="s">
        <v>636</v>
      </c>
      <c r="C1790" s="1" t="s">
        <v>200</v>
      </c>
      <c r="D1790" s="1" t="s">
        <v>1357</v>
      </c>
      <c r="G1790" s="1" t="s">
        <v>637</v>
      </c>
      <c r="H1790" s="1" t="s">
        <v>529</v>
      </c>
      <c r="J1790" s="1" t="s">
        <v>605</v>
      </c>
      <c r="M1790" s="15" t="s">
        <v>564</v>
      </c>
      <c r="O1790" s="15"/>
      <c r="P1790" s="15"/>
      <c r="Q1790" s="15" t="str" cm="1">
        <f t="array" ref="Q17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0" s="15" t="str" cm="1">
        <f t="array" ref="R17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canciones/nsb/a_donde_me_quereis_llevar.html</v>
      </c>
      <c r="T1790" s="1" t="s">
        <v>794</v>
      </c>
      <c r="U1790" s="1"/>
      <c r="V1790" s="32" t="s">
        <v>2958</v>
      </c>
      <c r="W17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data-author="TSNC" data-momento="Antífonas" data-nnew="D02"&gt;&lt;a href="canciones/nsb/a_donde_me_quereis_llevar.html"&gt;A dónde me queréis llevar&lt;/a&gt;&lt;/li&gt;</v>
      </c>
      <c r="X1790" s="15" t="str">
        <f>_xlfn.TEXTBEFORE(_xlfn.TEXTAFTER(CantoralDB[[#This Row],[index.html]],"&gt;"),"&gt;")&amp;"&gt;"</f>
        <v>&lt;a href="canciones/nsb/a_donde_me_quereis_llevar.html"&gt;</v>
      </c>
      <c r="Y1790"/>
      <c r="AC1790" s="1"/>
    </row>
    <row r="1791" spans="1:29" x14ac:dyDescent="0.3">
      <c r="A1791" s="1">
        <f>ROW(CantoralDB[[#This Row],[Título]])-1</f>
        <v>1790</v>
      </c>
      <c r="B1791" s="1" t="s">
        <v>583</v>
      </c>
      <c r="C1791" s="1" t="s">
        <v>200</v>
      </c>
      <c r="D1791" s="1" t="s">
        <v>1377</v>
      </c>
      <c r="G1791" s="1" t="s">
        <v>564</v>
      </c>
      <c r="H1791" s="1" t="s">
        <v>529</v>
      </c>
      <c r="I1791" s="1" t="s">
        <v>2947</v>
      </c>
      <c r="J1791" s="1" t="s">
        <v>605</v>
      </c>
      <c r="M1791" s="15" t="s">
        <v>564</v>
      </c>
      <c r="O1791" s="15"/>
      <c r="P1791" s="15"/>
      <c r="Q1791" s="15" t="str" cm="1">
        <f t="array" ref="Q17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1" s="15" t="str" cm="1">
        <f t="array" ref="R17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canciones/nsb/algo_nuevo.html</v>
      </c>
      <c r="T1791" s="1" t="s">
        <v>799</v>
      </c>
      <c r="U1791" s="1"/>
      <c r="V1791" s="32" t="s">
        <v>4916</v>
      </c>
      <c r="W17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data-author="TSNC" data-momento="Antífonas" data-nnew="D04"&gt;&lt;a href="canciones/nsb/algo_nuevo.html"&gt;Algo nuevo&lt;/a&gt;&lt;/li&gt;</v>
      </c>
      <c r="X1791" s="15" t="str">
        <f>_xlfn.TEXTBEFORE(_xlfn.TEXTAFTER(CantoralDB[[#This Row],[index.html]],"&gt;"),"&gt;")&amp;"&gt;"</f>
        <v>&lt;a href="canciones/nsb/algo_nuevo.html"&gt;</v>
      </c>
      <c r="Y1791"/>
      <c r="AC1791" s="1"/>
    </row>
    <row r="1792" spans="1:29" x14ac:dyDescent="0.3">
      <c r="A1792" s="1">
        <f>ROW(CantoralDB[[#This Row],[Título]])-1</f>
        <v>1791</v>
      </c>
      <c r="B1792" s="1" t="s">
        <v>563</v>
      </c>
      <c r="C1792" s="1" t="s">
        <v>195</v>
      </c>
      <c r="D1792" s="1" t="s">
        <v>778</v>
      </c>
      <c r="G1792" s="1" t="s">
        <v>551</v>
      </c>
      <c r="H1792" s="1" t="s">
        <v>529</v>
      </c>
      <c r="J1792" s="1" t="s">
        <v>605</v>
      </c>
      <c r="M1792" s="15" t="s">
        <v>564</v>
      </c>
      <c r="O1792" s="15"/>
      <c r="P1792" s="15"/>
      <c r="Q1792" s="15" t="str" cm="1">
        <f t="array" ref="Q17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2" s="15" t="str" cm="1">
        <f t="array" ref="R17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canciones/nsb/santo_santo_santo.html</v>
      </c>
      <c r="T1792" s="1"/>
      <c r="U1792" s="1"/>
      <c r="V1792" s="32" t="s">
        <v>4917</v>
      </c>
      <c r="W17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data-author="TSNC" data-momento="Santo" data-nnew="G14"&gt;&lt;a href="canciones/nsb/santo_santo_santo.html"&gt;Santo, Santo, Santo&lt;/a&gt;&lt;/li&gt;</v>
      </c>
      <c r="X1792" s="15" t="str">
        <f>_xlfn.TEXTBEFORE(_xlfn.TEXTAFTER(CantoralDB[[#This Row],[index.html]],"&gt;"),"&gt;")&amp;"&gt;"</f>
        <v>&lt;a href="canciones/nsb/santo_santo_santo.html"&gt;</v>
      </c>
      <c r="Y1792"/>
      <c r="AC1792" s="1"/>
    </row>
    <row r="1793" spans="1:29" x14ac:dyDescent="0.3">
      <c r="A1793" s="1">
        <f>ROW(CantoralDB[[#This Row],[Título]])-1</f>
        <v>1792</v>
      </c>
      <c r="B1793" s="1" t="s">
        <v>1284</v>
      </c>
      <c r="C1793" s="1"/>
      <c r="E1793" s="1">
        <v>177</v>
      </c>
      <c r="I1793" s="1" t="s">
        <v>5061</v>
      </c>
      <c r="J1793" s="1" t="s">
        <v>605</v>
      </c>
      <c r="M1793" s="15" t="s">
        <v>2869</v>
      </c>
      <c r="O1793" s="15"/>
      <c r="P1793" s="15"/>
      <c r="Q1793" s="15" t="str" cm="1">
        <f t="array" ref="Q17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3" s="15" t="str" cm="1">
        <f t="array" ref="R17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canciones/nsb/navidad_es_amar_romper_toda_frontera.html</v>
      </c>
      <c r="T1793" s="1"/>
      <c r="U1793" s="1"/>
      <c r="V1793" s="15"/>
      <c r="W17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data-author="Valentín Elizalde" data-nold="177"&gt;&lt;a href="canciones/nsb/navidad_es_amar_romper_toda_frontera.html"&gt;Navidad es amar, romper toda frontera&lt;/a&gt;&lt;/li&gt;</v>
      </c>
      <c r="X1793" s="15" t="str">
        <f>_xlfn.TEXTBEFORE(_xlfn.TEXTAFTER(CantoralDB[[#This Row],[index.html]],"&gt;"),"&gt;")&amp;"&gt;"</f>
        <v>&lt;a href="canciones/nsb/navidad_es_amar_romper_toda_frontera.html"&gt;</v>
      </c>
      <c r="Y1793"/>
      <c r="AC1793" s="1"/>
    </row>
    <row r="1794" spans="1:29" x14ac:dyDescent="0.3">
      <c r="A1794" s="1">
        <f>ROW(CantoralDB[[#This Row],[Título]])-1</f>
        <v>1793</v>
      </c>
      <c r="B1794" s="1" t="s">
        <v>1308</v>
      </c>
      <c r="C1794" s="1"/>
      <c r="E1794" s="1">
        <v>224</v>
      </c>
      <c r="I1794" s="1" t="s">
        <v>5061</v>
      </c>
      <c r="J1794" s="1" t="s">
        <v>605</v>
      </c>
      <c r="M1794" s="15" t="s">
        <v>2090</v>
      </c>
      <c r="O1794" s="15"/>
      <c r="P1794" s="15"/>
      <c r="Q1794" s="15" t="str" cm="1">
        <f t="array" ref="Q17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4" s="15" t="str" cm="1">
        <f t="array" ref="R17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canciones/nsb/que_facil_es_decir_si.html</v>
      </c>
      <c r="T1794" s="1"/>
      <c r="U1794" s="1"/>
      <c r="V1794" s="15"/>
      <c r="W17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data-author="Valmaseda" data-nold="224"&gt;&lt;a href="canciones/nsb/que_facil_es_decir_si.html"&gt;Qué fácil es decir sí&lt;/a&gt;&lt;/li&gt;</v>
      </c>
      <c r="X1794" s="15" t="str">
        <f>_xlfn.TEXTBEFORE(_xlfn.TEXTAFTER(CantoralDB[[#This Row],[index.html]],"&gt;"),"&gt;")&amp;"&gt;"</f>
        <v>&lt;a href="canciones/nsb/que_facil_es_decir_si.html"&gt;</v>
      </c>
      <c r="Y1794"/>
      <c r="AC1794" s="1"/>
    </row>
    <row r="1795" spans="1:29" x14ac:dyDescent="0.3">
      <c r="A1795" s="1">
        <f>ROW(CantoralDB[[#This Row],[Título]])-1</f>
        <v>1794</v>
      </c>
      <c r="B1795" s="1" t="s">
        <v>1327</v>
      </c>
      <c r="C1795" s="1"/>
      <c r="E1795" s="1">
        <v>253</v>
      </c>
      <c r="J1795" s="1"/>
      <c r="M1795" s="15" t="s">
        <v>2090</v>
      </c>
      <c r="O1795" s="15"/>
      <c r="P1795" s="15"/>
      <c r="Q1795" s="15" t="str" cm="1">
        <f t="array" ref="Q17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5" s="15" t="str" cm="1">
        <f t="array" ref="R17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canciones/nsb/tiendeme_tu_mano.html</v>
      </c>
      <c r="T1795" s="1"/>
      <c r="U1795" s="1"/>
      <c r="V1795" s="15"/>
      <c r="W17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data-author="Valmaseda" data-nold="253"&gt;&lt;a href="canciones/nsb/tiendeme_tu_mano.html"&gt;Tiéndeme tu mano&lt;/a&gt;&lt;/li&gt;</v>
      </c>
      <c r="X1795" s="15" t="str">
        <f>_xlfn.TEXTBEFORE(_xlfn.TEXTAFTER(CantoralDB[[#This Row],[index.html]],"&gt;"),"&gt;")&amp;"&gt;"</f>
        <v>&lt;a href="canciones/nsb/tiendeme_tu_mano.html"&gt;</v>
      </c>
      <c r="Y1795"/>
      <c r="AC1795" s="1"/>
    </row>
    <row r="1796" spans="1:29" x14ac:dyDescent="0.3">
      <c r="A1796" s="1">
        <f>ROW(CantoralDB[[#This Row],[Título]])-1</f>
        <v>1795</v>
      </c>
      <c r="B1796" s="1" t="s">
        <v>1213</v>
      </c>
      <c r="C1796" s="1"/>
      <c r="E1796" s="1">
        <v>97</v>
      </c>
      <c r="I1796" s="1" t="s">
        <v>5061</v>
      </c>
      <c r="J1796" s="1" t="s">
        <v>605</v>
      </c>
      <c r="M1796" s="15" t="s">
        <v>2082</v>
      </c>
      <c r="O1796" s="15"/>
      <c r="P1796" s="15"/>
      <c r="Q1796" s="15" t="str" cm="1">
        <f t="array" ref="Q17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nsb</v>
      </c>
      <c r="R1796" s="15" t="str" cm="1">
        <f t="array" ref="R17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17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canciones/nsb/el_esta_vivo_tu_lo_has_visto.html</v>
      </c>
      <c r="T1796" s="1"/>
      <c r="U1796" s="1"/>
      <c r="V1796" s="15"/>
      <c r="W17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data-author="Vincent" data-nold="97"&gt;&lt;a href="canciones/nsb/el_esta_vivo_tu_lo_has_visto.html"&gt;Él está vivo, tú lo has visto&lt;/a&gt;&lt;/li&gt;</v>
      </c>
      <c r="X1796" s="15" t="str">
        <f>_xlfn.TEXTBEFORE(_xlfn.TEXTAFTER(CantoralDB[[#This Row],[index.html]],"&gt;"),"&gt;")&amp;"&gt;"</f>
        <v>&lt;a href="canciones/nsb/el_esta_vivo_tu_lo_has_visto.html"&gt;</v>
      </c>
      <c r="Y1796"/>
      <c r="AC1796" s="1"/>
    </row>
    <row r="1797" spans="1:29" x14ac:dyDescent="0.3">
      <c r="A1797" s="1">
        <f>ROW(CantoralDB[[#This Row],[Título]])-1</f>
        <v>1796</v>
      </c>
      <c r="B1797" s="1" t="s">
        <v>2581</v>
      </c>
      <c r="C1797" s="1"/>
      <c r="F1797" s="1">
        <v>196</v>
      </c>
      <c r="J1797" s="1"/>
      <c r="M1797" s="15" t="s">
        <v>792</v>
      </c>
      <c r="O1797" s="15"/>
      <c r="P1797" s="15"/>
      <c r="Q1797" s="15" t="str" cm="1">
        <f t="array" ref="Q17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797" s="15" t="str" cm="1">
        <f t="array" ref="R17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7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canciones/nuevas/a_que_tu_no_sabes.html</v>
      </c>
      <c r="T1797" s="1"/>
      <c r="U1797" s="1"/>
      <c r="V1797" s="32" t="s">
        <v>4501</v>
      </c>
      <c r="W17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data-nrcc="196"&gt;&lt;a href="canciones/nuevas/a_que_tu_no_sabes.html"&gt;A que tú no sabes&lt;/a&gt;&lt;/li&gt;</v>
      </c>
      <c r="X1797" s="15" t="str">
        <f>_xlfn.TEXTBEFORE(_xlfn.TEXTAFTER(CantoralDB[[#This Row],[index.html]],"&gt;"),"&gt;")&amp;"&gt;"</f>
        <v>&lt;a href="canciones/nuevas/a_que_tu_no_sabes.html"&gt;</v>
      </c>
      <c r="Y1797"/>
      <c r="AC1797" s="1"/>
    </row>
    <row r="1798" spans="1:29" x14ac:dyDescent="0.3">
      <c r="A1798" s="1">
        <f>ROW(CantoralDB[[#This Row],[Título]])-1</f>
        <v>1797</v>
      </c>
      <c r="B1798" s="1" t="s">
        <v>2562</v>
      </c>
      <c r="C1798" s="1"/>
      <c r="F1798" s="1">
        <v>177</v>
      </c>
      <c r="J1798" s="1"/>
      <c r="M1798" s="15" t="s">
        <v>792</v>
      </c>
      <c r="O1798" s="15"/>
      <c r="P1798" s="15"/>
      <c r="Q1798" s="15" t="str" cm="1">
        <f t="array" ref="Q17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798" s="15" t="str" cm="1">
        <f t="array" ref="R17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7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canciones/nuevas/abba.html</v>
      </c>
      <c r="T1798" s="1"/>
      <c r="U1798" s="1"/>
      <c r="V1798" s="32" t="s">
        <v>4528</v>
      </c>
      <c r="W17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data-nrcc="177"&gt;&lt;a href="canciones/nuevas/abba.html"&gt;Abbá&lt;/a&gt;&lt;/li&gt;</v>
      </c>
      <c r="X1798" s="15" t="str">
        <f>_xlfn.TEXTBEFORE(_xlfn.TEXTAFTER(CantoralDB[[#This Row],[index.html]],"&gt;"),"&gt;")&amp;"&gt;"</f>
        <v>&lt;a href="canciones/nuevas/abba.html"&gt;</v>
      </c>
      <c r="Y1798"/>
      <c r="AC1798" s="1"/>
    </row>
    <row r="1799" spans="1:29" x14ac:dyDescent="0.3">
      <c r="A1799" s="1">
        <f>ROW(CantoralDB[[#This Row],[Título]])-1</f>
        <v>1798</v>
      </c>
      <c r="B1799" s="1" t="s">
        <v>2533</v>
      </c>
      <c r="C1799" s="1"/>
      <c r="F1799" s="1">
        <v>150</v>
      </c>
      <c r="J1799" s="1"/>
      <c r="M1799" s="15" t="s">
        <v>792</v>
      </c>
      <c r="O1799" s="15"/>
      <c r="P1799" s="15"/>
      <c r="Q1799" s="15" t="str" cm="1">
        <f t="array" ref="Q17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799" s="15" t="str" cm="1">
        <f t="array" ref="R17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7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canciones/nuevas/abre_mis_labios.html</v>
      </c>
      <c r="T1799" s="1"/>
      <c r="U1799" s="1"/>
      <c r="V1799" s="32" t="s">
        <v>4435</v>
      </c>
      <c r="W17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data-nrcc="150"&gt;&lt;a href="canciones/nuevas/abre_mis_labios.html"&gt;Abre mis labios&lt;/a&gt;&lt;/li&gt;</v>
      </c>
      <c r="X1799" s="15" t="str">
        <f>_xlfn.TEXTBEFORE(_xlfn.TEXTAFTER(CantoralDB[[#This Row],[index.html]],"&gt;"),"&gt;")&amp;"&gt;"</f>
        <v>&lt;a href="canciones/nuevas/abre_mis_labios.html"&gt;</v>
      </c>
      <c r="Y1799"/>
      <c r="AC1799" s="1"/>
    </row>
    <row r="1800" spans="1:29" x14ac:dyDescent="0.3">
      <c r="A1800" s="1">
        <f>ROW(CantoralDB[[#This Row],[Título]])-1</f>
        <v>1799</v>
      </c>
      <c r="B1800" s="1" t="s">
        <v>2486</v>
      </c>
      <c r="C1800" s="1"/>
      <c r="F1800" s="1">
        <v>109</v>
      </c>
      <c r="J1800" s="1"/>
      <c r="M1800" s="15" t="s">
        <v>792</v>
      </c>
      <c r="O1800" s="15"/>
      <c r="P1800" s="15"/>
      <c r="Q1800" s="15" t="str" cm="1">
        <f t="array" ref="Q18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0" s="15" t="str" cm="1">
        <f t="array" ref="R18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canciones/nuevas/aclamad.html</v>
      </c>
      <c r="T1800" s="1"/>
      <c r="U1800" s="1"/>
      <c r="V1800" s="32" t="s">
        <v>4543</v>
      </c>
      <c r="W18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data-nrcc="109"&gt;&lt;a href="canciones/nuevas/aclamad.html"&gt;Aclamad&lt;/a&gt;&lt;/li&gt;</v>
      </c>
      <c r="X1800" s="15" t="str">
        <f>_xlfn.TEXTBEFORE(_xlfn.TEXTAFTER(CantoralDB[[#This Row],[index.html]],"&gt;"),"&gt;")&amp;"&gt;"</f>
        <v>&lt;a href="canciones/nuevas/aclamad.html"&gt;</v>
      </c>
      <c r="Y1800"/>
      <c r="AC1800" s="1"/>
    </row>
    <row r="1801" spans="1:29" x14ac:dyDescent="0.3">
      <c r="A1801" s="1">
        <f>ROW(CantoralDB[[#This Row],[Título]])-1</f>
        <v>1800</v>
      </c>
      <c r="B1801" s="1" t="s">
        <v>2731</v>
      </c>
      <c r="C1801" s="1"/>
      <c r="F1801" s="1">
        <v>360</v>
      </c>
      <c r="J1801" s="1"/>
      <c r="M1801" s="15" t="s">
        <v>792</v>
      </c>
      <c r="O1801" s="15"/>
      <c r="P1801" s="15"/>
      <c r="Q1801" s="15" t="str" cm="1">
        <f t="array" ref="Q18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1" s="15" t="str" cm="1">
        <f t="array" ref="R18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canciones/nuevas/adonai.html</v>
      </c>
      <c r="T1801" s="1"/>
      <c r="U1801" s="1"/>
      <c r="V1801" s="15"/>
      <c r="W18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data-nrcc="360"&gt;&lt;a href="canciones/nuevas/adonai.html"&gt;Adonai&lt;/a&gt;&lt;/li&gt;</v>
      </c>
      <c r="X1801" s="15" t="str">
        <f>_xlfn.TEXTBEFORE(_xlfn.TEXTAFTER(CantoralDB[[#This Row],[index.html]],"&gt;"),"&gt;")&amp;"&gt;"</f>
        <v>&lt;a href="canciones/nuevas/adonai.html"&gt;</v>
      </c>
      <c r="Y1801"/>
      <c r="AC1801" s="1"/>
    </row>
    <row r="1802" spans="1:29" x14ac:dyDescent="0.3">
      <c r="A1802" s="1">
        <f>ROW(CantoralDB[[#This Row],[Título]])-1</f>
        <v>1801</v>
      </c>
      <c r="B1802" s="1" t="s">
        <v>2577</v>
      </c>
      <c r="C1802" s="1"/>
      <c r="F1802" s="1">
        <v>190</v>
      </c>
      <c r="J1802" s="1"/>
      <c r="M1802" s="15" t="s">
        <v>792</v>
      </c>
      <c r="O1802" s="15"/>
      <c r="P1802" s="15"/>
      <c r="Q1802" s="15" t="str" cm="1">
        <f t="array" ref="Q18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2" s="15" t="str" cm="1">
        <f t="array" ref="R18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canciones/nuevas/al_estar_aqui.html</v>
      </c>
      <c r="T1802" s="1"/>
      <c r="U1802" s="1"/>
      <c r="V1802" s="15"/>
      <c r="W18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data-nrcc="190"&gt;&lt;a href="canciones/nuevas/al_estar_aqui.html"&gt;Al estar aquí&lt;/a&gt;&lt;/li&gt;</v>
      </c>
      <c r="X1802" s="15" t="str">
        <f>_xlfn.TEXTBEFORE(_xlfn.TEXTAFTER(CantoralDB[[#This Row],[index.html]],"&gt;"),"&gt;")&amp;"&gt;"</f>
        <v>&lt;a href="canciones/nuevas/al_estar_aqui.html"&gt;</v>
      </c>
      <c r="Y1802"/>
      <c r="AC1802" s="1"/>
    </row>
    <row r="1803" spans="1:29" x14ac:dyDescent="0.3">
      <c r="A1803" s="1">
        <f>ROW(CantoralDB[[#This Row],[Título]])-1</f>
        <v>1802</v>
      </c>
      <c r="B1803" s="1" t="s">
        <v>1157</v>
      </c>
      <c r="C1803" s="1"/>
      <c r="F1803" s="1">
        <v>253</v>
      </c>
      <c r="J1803" s="1"/>
      <c r="M1803" s="15" t="s">
        <v>792</v>
      </c>
      <c r="O1803" s="15"/>
      <c r="P1803" s="15"/>
      <c r="Q1803" s="15" t="str" cm="1">
        <f t="array" ref="Q18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3" s="15" t="str" cm="1">
        <f t="array" ref="R18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canciones/nuevas/alabad_al_señor_en_su_templo.html</v>
      </c>
      <c r="T1803" s="1"/>
      <c r="U1803" s="1"/>
      <c r="V1803" s="15"/>
      <c r="W18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data-nrcc="253"&gt;&lt;a href="canciones/nuevas/alabad_al_señor_en_su_templo.html"&gt;Alabad al Señor en su templo&lt;/a&gt;&lt;/li&gt;</v>
      </c>
      <c r="X1803" s="15" t="str">
        <f>_xlfn.TEXTBEFORE(_xlfn.TEXTAFTER(CantoralDB[[#This Row],[index.html]],"&gt;"),"&gt;")&amp;"&gt;"</f>
        <v>&lt;a href="canciones/nuevas/alabad_al_señor_en_su_templo.html"&gt;</v>
      </c>
      <c r="Y1803"/>
      <c r="AC1803" s="1"/>
    </row>
    <row r="1804" spans="1:29" x14ac:dyDescent="0.3">
      <c r="A1804" s="1">
        <f>ROW(CantoralDB[[#This Row],[Título]])-1</f>
        <v>1803</v>
      </c>
      <c r="B1804" s="1" t="s">
        <v>2564</v>
      </c>
      <c r="C1804" s="1"/>
      <c r="F1804" s="1">
        <v>179</v>
      </c>
      <c r="J1804" s="1"/>
      <c r="M1804" s="15" t="s">
        <v>792</v>
      </c>
      <c r="O1804" s="15"/>
      <c r="P1804" s="15"/>
      <c r="Q1804" s="15" t="str" cm="1">
        <f t="array" ref="Q18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4" s="15" t="str" cm="1">
        <f t="array" ref="R18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canciones/nuevas/alabare.html</v>
      </c>
      <c r="T1804" s="1"/>
      <c r="U1804" s="1"/>
      <c r="V1804" s="32" t="s">
        <v>4517</v>
      </c>
      <c r="W18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data-nrcc="179"&gt;&lt;a href="canciones/nuevas/alabare.html"&gt;Alabaré&lt;/a&gt;&lt;/li&gt;</v>
      </c>
      <c r="X1804" s="15" t="str">
        <f>_xlfn.TEXTBEFORE(_xlfn.TEXTAFTER(CantoralDB[[#This Row],[index.html]],"&gt;"),"&gt;")&amp;"&gt;"</f>
        <v>&lt;a href="canciones/nuevas/alabare.html"&gt;</v>
      </c>
      <c r="Y1804"/>
      <c r="AC1804" s="1"/>
    </row>
    <row r="1805" spans="1:29" x14ac:dyDescent="0.3">
      <c r="A1805" s="1">
        <f>ROW(CantoralDB[[#This Row],[Título]])-1</f>
        <v>1804</v>
      </c>
      <c r="B1805" s="1" t="s">
        <v>2443</v>
      </c>
      <c r="C1805" s="1"/>
      <c r="F1805" s="1">
        <v>64</v>
      </c>
      <c r="J1805" s="1"/>
      <c r="M1805" s="15" t="s">
        <v>792</v>
      </c>
      <c r="O1805" s="15"/>
      <c r="P1805" s="15"/>
      <c r="Q1805" s="15" t="str" cm="1">
        <f t="array" ref="Q18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5" s="15" t="str" cm="1">
        <f t="array" ref="R18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canciones/nuevas/aleluya_alabad_a_dios.html</v>
      </c>
      <c r="T1805" s="1"/>
      <c r="U1805" s="1"/>
      <c r="V1805" s="32" t="s">
        <v>4531</v>
      </c>
      <c r="W18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data-nrcc="64"&gt;&lt;a href="canciones/nuevas/aleluya_alabad_a_dios.html"&gt;Aleluya, alabad a Dios&lt;/a&gt;&lt;/li&gt;</v>
      </c>
      <c r="X1805" s="15" t="str">
        <f>_xlfn.TEXTBEFORE(_xlfn.TEXTAFTER(CantoralDB[[#This Row],[index.html]],"&gt;"),"&gt;")&amp;"&gt;"</f>
        <v>&lt;a href="canciones/nuevas/aleluya_alabad_a_dios.html"&gt;</v>
      </c>
      <c r="Y1805"/>
      <c r="AC1805" s="1"/>
    </row>
    <row r="1806" spans="1:29" x14ac:dyDescent="0.3">
      <c r="A1806" s="1">
        <f>ROW(CantoralDB[[#This Row],[Título]])-1</f>
        <v>1805</v>
      </c>
      <c r="B1806" s="1" t="s">
        <v>2603</v>
      </c>
      <c r="C1806" s="1"/>
      <c r="F1806" s="1">
        <v>223</v>
      </c>
      <c r="J1806" s="1"/>
      <c r="M1806" s="15" t="s">
        <v>792</v>
      </c>
      <c r="O1806" s="15"/>
      <c r="P1806" s="15"/>
      <c r="Q1806" s="15" t="str" cm="1">
        <f t="array" ref="Q18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6" s="15" t="str" cm="1">
        <f t="array" ref="R18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canciones/nuevas/algo_esta_descendiendo.html</v>
      </c>
      <c r="T1806" s="1"/>
      <c r="U1806" s="1"/>
      <c r="V1806" s="15"/>
      <c r="W18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data-nrcc="223"&gt;&lt;a href="canciones/nuevas/algo_esta_descendiendo.html"&gt;Algo está descendiendo&lt;/a&gt;&lt;/li&gt;</v>
      </c>
      <c r="X1806" s="15" t="str">
        <f>_xlfn.TEXTBEFORE(_xlfn.TEXTAFTER(CantoralDB[[#This Row],[index.html]],"&gt;"),"&gt;")&amp;"&gt;"</f>
        <v>&lt;a href="canciones/nuevas/algo_esta_descendiendo.html"&gt;</v>
      </c>
      <c r="Y1806"/>
      <c r="AC1806" s="1"/>
    </row>
    <row r="1807" spans="1:29" x14ac:dyDescent="0.3">
      <c r="A1807" s="1">
        <f>ROW(CantoralDB[[#This Row],[Título]])-1</f>
        <v>1806</v>
      </c>
      <c r="B1807" s="1" t="s">
        <v>2149</v>
      </c>
      <c r="C1807" s="15"/>
      <c r="H1807" s="1" t="s">
        <v>1024</v>
      </c>
      <c r="J1807" s="1" t="s">
        <v>605</v>
      </c>
      <c r="M1807" s="15" t="s">
        <v>792</v>
      </c>
      <c r="O1807" s="15"/>
      <c r="P1807" s="15"/>
      <c r="Q1807" s="15" t="str" cm="1">
        <f t="array" ref="Q18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7" s="15" t="str" cm="1">
        <f t="array" ref="R18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8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canciones/nuevas/alma_de_cristo.html</v>
      </c>
      <c r="T1807" s="1"/>
      <c r="U1807" s="1"/>
      <c r="V1807" s="32" t="s">
        <v>2987</v>
      </c>
      <c r="W18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&lt;li&gt;&lt;a href="canciones/nuevas/alma_de_cristo.html"&gt;Alma de Cristo&lt;/a&gt;&lt;/li&gt;</v>
      </c>
      <c r="X1807" s="15" t="str">
        <f>_xlfn.TEXTBEFORE(_xlfn.TEXTAFTER(CantoralDB[[#This Row],[index.html]],"&gt;"),"&gt;")&amp;"&gt;"</f>
        <v>&lt;a href="canciones/nuevas/alma_de_cristo.html"&gt;</v>
      </c>
      <c r="Y1807"/>
      <c r="AC1807" s="1"/>
    </row>
    <row r="1808" spans="1:29" x14ac:dyDescent="0.3">
      <c r="A1808" s="1">
        <f>ROW(CantoralDB[[#This Row],[Título]])-1</f>
        <v>1807</v>
      </c>
      <c r="B1808" s="1" t="s">
        <v>2538</v>
      </c>
      <c r="C1808" s="1"/>
      <c r="F1808" s="1">
        <v>155</v>
      </c>
      <c r="J1808" s="1"/>
      <c r="M1808" s="15" t="s">
        <v>792</v>
      </c>
      <c r="O1808" s="15"/>
      <c r="P1808" s="15"/>
      <c r="Q1808" s="15" t="str" cm="1">
        <f t="array" ref="Q18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8" s="15" t="str" cm="1">
        <f t="array" ref="R18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canciones/nuevas/amor_tan_grande.html</v>
      </c>
      <c r="T1808" s="1"/>
      <c r="U1808" s="1"/>
      <c r="V1808" s="15"/>
      <c r="W18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data-nrcc="155"&gt;&lt;a href="canciones/nuevas/amor_tan_grande.html"&gt;Amor tan grande&lt;/a&gt;&lt;/li&gt;</v>
      </c>
      <c r="X1808" s="15" t="str">
        <f>_xlfn.TEXTBEFORE(_xlfn.TEXTAFTER(CantoralDB[[#This Row],[index.html]],"&gt;"),"&gt;")&amp;"&gt;"</f>
        <v>&lt;a href="canciones/nuevas/amor_tan_grande.html"&gt;</v>
      </c>
      <c r="Y1808"/>
      <c r="AC1808" s="1"/>
    </row>
    <row r="1809" spans="1:29" x14ac:dyDescent="0.3">
      <c r="A1809" s="1">
        <f>ROW(CantoralDB[[#This Row],[Título]])-1</f>
        <v>1808</v>
      </c>
      <c r="B1809" s="1" t="s">
        <v>2734</v>
      </c>
      <c r="C1809" s="1"/>
      <c r="F1809" s="1">
        <v>363</v>
      </c>
      <c r="J1809" s="1"/>
      <c r="M1809" s="15" t="s">
        <v>792</v>
      </c>
      <c r="O1809" s="15"/>
      <c r="P1809" s="15"/>
      <c r="Q1809" s="15" t="str" cm="1">
        <f t="array" ref="Q18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09" s="15" t="str" cm="1">
        <f t="array" ref="R18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canciones/nuevas/ante_su_nombre_todo_caera.html</v>
      </c>
      <c r="T1809" s="1"/>
      <c r="U1809" s="1"/>
      <c r="V1809" s="15"/>
      <c r="W18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data-nrcc="363"&gt;&lt;a href="canciones/nuevas/ante_su_nombre_todo_caera.html"&gt;Ante su nombre todo caerá&lt;/a&gt;&lt;/li&gt;</v>
      </c>
      <c r="X1809" s="15" t="str">
        <f>_xlfn.TEXTBEFORE(_xlfn.TEXTAFTER(CantoralDB[[#This Row],[index.html]],"&gt;"),"&gt;")&amp;"&gt;"</f>
        <v>&lt;a href="canciones/nuevas/ante_su_nombre_todo_caera.html"&gt;</v>
      </c>
      <c r="Y1809"/>
      <c r="AC1809" s="1"/>
    </row>
    <row r="1810" spans="1:29" x14ac:dyDescent="0.3">
      <c r="A1810" s="1">
        <f>ROW(CantoralDB[[#This Row],[Título]])-1</f>
        <v>1809</v>
      </c>
      <c r="B1810" s="1" t="s">
        <v>2608</v>
      </c>
      <c r="C1810" s="1"/>
      <c r="F1810" s="1">
        <v>231</v>
      </c>
      <c r="J1810" s="1"/>
      <c r="M1810" s="15" t="s">
        <v>792</v>
      </c>
      <c r="O1810" s="15"/>
      <c r="P1810" s="15"/>
      <c r="Q1810" s="15" t="str" cm="1">
        <f t="array" ref="Q18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0" s="15" t="str" cm="1">
        <f t="array" ref="R18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canciones/nuevas/aqui_se_alaba.html</v>
      </c>
      <c r="T1810" s="1"/>
      <c r="U1810" s="1"/>
      <c r="V1810" s="15"/>
      <c r="W18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data-nrcc="231"&gt;&lt;a href="canciones/nuevas/aqui_se_alaba.html"&gt;Aquí se alaba&lt;/a&gt;&lt;/li&gt;</v>
      </c>
      <c r="X1810" s="15" t="str">
        <f>_xlfn.TEXTBEFORE(_xlfn.TEXTAFTER(CantoralDB[[#This Row],[index.html]],"&gt;"),"&gt;")&amp;"&gt;"</f>
        <v>&lt;a href="canciones/nuevas/aqui_se_alaba.html"&gt;</v>
      </c>
      <c r="Y1810"/>
      <c r="AC1810" s="1"/>
    </row>
    <row r="1811" spans="1:29" x14ac:dyDescent="0.3">
      <c r="A1811" s="1">
        <f>ROW(CantoralDB[[#This Row],[Título]])-1</f>
        <v>1810</v>
      </c>
      <c r="B1811" s="1" t="s">
        <v>2594</v>
      </c>
      <c r="C1811" s="1"/>
      <c r="F1811" s="1">
        <v>213</v>
      </c>
      <c r="J1811" s="1"/>
      <c r="M1811" s="15" t="s">
        <v>792</v>
      </c>
      <c r="O1811" s="15"/>
      <c r="P1811" s="15"/>
      <c r="Q1811" s="15" t="str" cm="1">
        <f t="array" ref="Q18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1" s="15" t="str" cm="1">
        <f t="array" ref="R18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canciones/nuevas/ay_de_mi_si_no_evangelizara.html</v>
      </c>
      <c r="T1811" s="1"/>
      <c r="U1811" s="1"/>
      <c r="V1811" s="32" t="s">
        <v>4590</v>
      </c>
      <c r="W18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data-nrcc="213"&gt;&lt;a href="canciones/nuevas/ay_de_mi_si_no_evangelizara.html"&gt;Ay de mí, si no evangelizara&lt;/a&gt;&lt;/li&gt;</v>
      </c>
      <c r="X1811" s="15" t="str">
        <f>_xlfn.TEXTBEFORE(_xlfn.TEXTAFTER(CantoralDB[[#This Row],[index.html]],"&gt;"),"&gt;")&amp;"&gt;"</f>
        <v>&lt;a href="canciones/nuevas/ay_de_mi_si_no_evangelizara.html"&gt;</v>
      </c>
      <c r="Y1811"/>
      <c r="AC1811" s="1"/>
    </row>
    <row r="1812" spans="1:29" x14ac:dyDescent="0.3">
      <c r="A1812" s="1">
        <f>ROW(CantoralDB[[#This Row],[Título]])-1</f>
        <v>1811</v>
      </c>
      <c r="B1812" s="1" t="s">
        <v>882</v>
      </c>
      <c r="C1812" s="1"/>
      <c r="F1812" s="1">
        <v>53</v>
      </c>
      <c r="J1812" s="1"/>
      <c r="M1812" s="15" t="s">
        <v>792</v>
      </c>
      <c r="O1812" s="15"/>
      <c r="P1812" s="15"/>
      <c r="Q1812" s="15" t="str" cm="1">
        <f t="array" ref="Q18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2" s="15" t="str" cm="1">
        <f t="array" ref="R18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canciones/nuevas/bendecid_al_señor.html</v>
      </c>
      <c r="T1812" s="1"/>
      <c r="U1812" s="1"/>
      <c r="V1812" s="32" t="s">
        <v>4424</v>
      </c>
      <c r="W18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data-nrcc="53"&gt;&lt;a href="canciones/nuevas/bendecid_al_señor.html"&gt;Bendecid al Señor&lt;/a&gt;&lt;/li&gt;</v>
      </c>
      <c r="X1812" s="15" t="str">
        <f>_xlfn.TEXTBEFORE(_xlfn.TEXTAFTER(CantoralDB[[#This Row],[index.html]],"&gt;"),"&gt;")&amp;"&gt;"</f>
        <v>&lt;a href="canciones/nuevas/bendecid_al_señor.html"&gt;</v>
      </c>
      <c r="Y1812"/>
      <c r="AC1812" s="1"/>
    </row>
    <row r="1813" spans="1:29" x14ac:dyDescent="0.3">
      <c r="A1813" s="1">
        <f>ROW(CantoralDB[[#This Row],[Título]])-1</f>
        <v>1812</v>
      </c>
      <c r="B1813" s="1" t="s">
        <v>882</v>
      </c>
      <c r="C1813" s="1"/>
      <c r="F1813" s="1">
        <v>364</v>
      </c>
      <c r="J1813" s="1"/>
      <c r="M1813" s="15" t="s">
        <v>792</v>
      </c>
      <c r="O1813" s="15"/>
      <c r="P1813" s="15"/>
      <c r="Q1813" s="15" t="str" cm="1">
        <f t="array" ref="Q18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3" s="15" t="str" cm="1">
        <f t="array" ref="R18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canciones/nuevas/bendecid_al_señor.html</v>
      </c>
      <c r="T1813" s="1"/>
      <c r="U1813" s="1"/>
      <c r="V1813" s="15"/>
      <c r="W18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data-nrcc="364"&gt;&lt;a href="canciones/nuevas/bendecid_al_señor.html"&gt;Bendecid al Señor&lt;/a&gt;&lt;/li&gt;</v>
      </c>
      <c r="X1813" s="15" t="str">
        <f>_xlfn.TEXTBEFORE(_xlfn.TEXTAFTER(CantoralDB[[#This Row],[index.html]],"&gt;"),"&gt;")&amp;"&gt;"</f>
        <v>&lt;a href="canciones/nuevas/bendecid_al_señor.html"&gt;</v>
      </c>
      <c r="Y1813"/>
      <c r="AC1813" s="1"/>
    </row>
    <row r="1814" spans="1:29" x14ac:dyDescent="0.3">
      <c r="A1814" s="1">
        <f>ROW(CantoralDB[[#This Row],[Título]])-1</f>
        <v>1813</v>
      </c>
      <c r="B1814" s="1" t="s">
        <v>2440</v>
      </c>
      <c r="C1814" s="1"/>
      <c r="F1814" s="1">
        <v>62</v>
      </c>
      <c r="J1814" s="1"/>
      <c r="M1814" s="15" t="s">
        <v>792</v>
      </c>
      <c r="O1814" s="15"/>
      <c r="P1814" s="15"/>
      <c r="Q1814" s="15" t="str" cm="1">
        <f t="array" ref="Q18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4" s="15" t="str" cm="1">
        <f t="array" ref="R18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canciones/nuevas/bendita_entre_las_mujeres.html</v>
      </c>
      <c r="T1814" s="1"/>
      <c r="U1814" s="1"/>
      <c r="V1814" s="32" t="s">
        <v>4465</v>
      </c>
      <c r="W18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data-nrcc="62"&gt;&lt;a href="canciones/nuevas/bendita_entre_las_mujeres.html"&gt;Bendita entre las mujeres&lt;/a&gt;&lt;/li&gt;</v>
      </c>
      <c r="X1814" s="15" t="str">
        <f>_xlfn.TEXTBEFORE(_xlfn.TEXTAFTER(CantoralDB[[#This Row],[index.html]],"&gt;"),"&gt;")&amp;"&gt;"</f>
        <v>&lt;a href="canciones/nuevas/bendita_entre_las_mujeres.html"&gt;</v>
      </c>
      <c r="Y1814"/>
      <c r="AC1814" s="1"/>
    </row>
    <row r="1815" spans="1:29" x14ac:dyDescent="0.3">
      <c r="A1815" s="1">
        <f>ROW(CantoralDB[[#This Row],[Título]])-1</f>
        <v>1814</v>
      </c>
      <c r="B1815" s="1" t="s">
        <v>2571</v>
      </c>
      <c r="C1815" s="1"/>
      <c r="F1815" s="1">
        <v>185</v>
      </c>
      <c r="J1815" s="1"/>
      <c r="M1815" s="15" t="s">
        <v>792</v>
      </c>
      <c r="O1815" s="15"/>
      <c r="P1815" s="15"/>
      <c r="Q1815" s="15" t="str" cm="1">
        <f t="array" ref="Q18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5" s="15" t="str" cm="1">
        <f t="array" ref="R18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canciones/nuevas/bendita_la_nacion.html</v>
      </c>
      <c r="T1815" s="1"/>
      <c r="U1815" s="1"/>
      <c r="V1815" s="32" t="s">
        <v>4372</v>
      </c>
      <c r="W18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data-nrcc="185"&gt;&lt;a href="canciones/nuevas/bendita_la_nacion.html"&gt;Bendita la nación&lt;/a&gt;&lt;/li&gt;</v>
      </c>
      <c r="X1815" s="15" t="str">
        <f>_xlfn.TEXTBEFORE(_xlfn.TEXTAFTER(CantoralDB[[#This Row],[index.html]],"&gt;"),"&gt;")&amp;"&gt;"</f>
        <v>&lt;a href="canciones/nuevas/bendita_la_nacion.html"&gt;</v>
      </c>
      <c r="Y1815"/>
      <c r="AC1815" s="1"/>
    </row>
    <row r="1816" spans="1:29" x14ac:dyDescent="0.3">
      <c r="A1816" s="1">
        <f>ROW(CantoralDB[[#This Row],[Título]])-1</f>
        <v>1815</v>
      </c>
      <c r="B1816" s="1" t="s">
        <v>2492</v>
      </c>
      <c r="C1816" s="1"/>
      <c r="F1816" s="1">
        <v>116</v>
      </c>
      <c r="J1816" s="1"/>
      <c r="M1816" s="15" t="s">
        <v>792</v>
      </c>
      <c r="O1816" s="15"/>
      <c r="P1816" s="15"/>
      <c r="Q1816" s="15" t="str" cm="1">
        <f t="array" ref="Q18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6" s="15" t="str" cm="1">
        <f t="array" ref="R18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canciones/nuevas/bendito_sea_tu_nombre.html</v>
      </c>
      <c r="T1816" s="1"/>
      <c r="U1816" s="1"/>
      <c r="V1816" s="32" t="s">
        <v>4481</v>
      </c>
      <c r="W18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data-nrcc="116"&gt;&lt;a href="canciones/nuevas/bendito_sea_tu_nombre.html"&gt;Bendito sea tu nombre&lt;/a&gt;&lt;/li&gt;</v>
      </c>
      <c r="X1816" s="15" t="str">
        <f>_xlfn.TEXTBEFORE(_xlfn.TEXTAFTER(CantoralDB[[#This Row],[index.html]],"&gt;"),"&gt;")&amp;"&gt;"</f>
        <v>&lt;a href="canciones/nuevas/bendito_sea_tu_nombre.html"&gt;</v>
      </c>
      <c r="Y1816"/>
      <c r="AC1816" s="1"/>
    </row>
    <row r="1817" spans="1:29" x14ac:dyDescent="0.3">
      <c r="A1817" s="1">
        <f>ROW(CantoralDB[[#This Row],[Título]])-1</f>
        <v>1816</v>
      </c>
      <c r="B1817" s="1" t="s">
        <v>244</v>
      </c>
      <c r="C1817" s="1"/>
      <c r="F1817" s="1">
        <v>252</v>
      </c>
      <c r="J1817" s="1"/>
      <c r="M1817" s="15" t="s">
        <v>792</v>
      </c>
      <c r="O1817" s="15"/>
      <c r="P1817" s="15"/>
      <c r="Q1817" s="15" t="str" cm="1">
        <f t="array" ref="Q18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7" s="15" t="str" cm="1">
        <f t="array" ref="R18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canciones/nuevas/bienvenidos.html</v>
      </c>
      <c r="T1817" s="1"/>
      <c r="U1817" s="1"/>
      <c r="V1817" s="15"/>
      <c r="W18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data-nrcc="252"&gt;&lt;a href="canciones/nuevas/bienvenidos.html"&gt;Bienvenidos&lt;/a&gt;&lt;/li&gt;</v>
      </c>
      <c r="X1817" s="15" t="str">
        <f>_xlfn.TEXTBEFORE(_xlfn.TEXTAFTER(CantoralDB[[#This Row],[index.html]],"&gt;"),"&gt;")&amp;"&gt;"</f>
        <v>&lt;a href="canciones/nuevas/bienvenidos.html"&gt;</v>
      </c>
      <c r="Y1817"/>
      <c r="AC1817" s="1"/>
    </row>
    <row r="1818" spans="1:29" x14ac:dyDescent="0.3">
      <c r="A1818" s="1">
        <f>ROW(CantoralDB[[#This Row],[Título]])-1</f>
        <v>1817</v>
      </c>
      <c r="B1818" s="1" t="s">
        <v>2816</v>
      </c>
      <c r="C1818" s="1"/>
      <c r="F1818" s="1">
        <v>428</v>
      </c>
      <c r="J1818" s="1"/>
      <c r="M1818" s="15" t="s">
        <v>792</v>
      </c>
      <c r="O1818" s="15"/>
      <c r="P1818" s="15"/>
      <c r="Q1818" s="15" t="str" cm="1">
        <f t="array" ref="Q18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8" s="15" t="str" cm="1">
        <f t="array" ref="R18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canciones/nuevas/buenas_noches_maria.html</v>
      </c>
      <c r="T1818" s="1"/>
      <c r="U1818" s="1"/>
      <c r="V1818" s="15"/>
      <c r="W18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data-nrcc="428"&gt;&lt;a href="canciones/nuevas/buenas_noches_maria.html"&gt;Buenas noches, María&lt;/a&gt;&lt;/li&gt;</v>
      </c>
      <c r="X1818" s="15" t="str">
        <f>_xlfn.TEXTBEFORE(_xlfn.TEXTAFTER(CantoralDB[[#This Row],[index.html]],"&gt;"),"&gt;")&amp;"&gt;"</f>
        <v>&lt;a href="canciones/nuevas/buenas_noches_maria.html"&gt;</v>
      </c>
      <c r="Y1818"/>
      <c r="AC1818" s="1"/>
    </row>
    <row r="1819" spans="1:29" x14ac:dyDescent="0.3">
      <c r="A1819" s="1">
        <f>ROW(CantoralDB[[#This Row],[Título]])-1</f>
        <v>1818</v>
      </c>
      <c r="B1819" s="1" t="s">
        <v>2697</v>
      </c>
      <c r="C1819" s="1"/>
      <c r="F1819" s="1">
        <v>331</v>
      </c>
      <c r="J1819" s="1"/>
      <c r="M1819" s="15" t="s">
        <v>792</v>
      </c>
      <c r="O1819" s="15"/>
      <c r="P1819" s="15"/>
      <c r="Q1819" s="15" t="str" cm="1">
        <f t="array" ref="Q18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19" s="15" t="str" cm="1">
        <f t="array" ref="R18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canciones/nuevas/cantemos_al_señor.html</v>
      </c>
      <c r="T1819" s="1"/>
      <c r="U1819" s="1"/>
      <c r="V1819" s="32" t="s">
        <v>4426</v>
      </c>
      <c r="W18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data-nrcc="331"&gt;&lt;a href="canciones/nuevas/cantemos_al_señor.html"&gt;Cantemos al Señor&lt;/a&gt;&lt;/li&gt;</v>
      </c>
      <c r="X1819" s="15" t="str">
        <f>_xlfn.TEXTBEFORE(_xlfn.TEXTAFTER(CantoralDB[[#This Row],[index.html]],"&gt;"),"&gt;")&amp;"&gt;"</f>
        <v>&lt;a href="canciones/nuevas/cantemos_al_señor.html"&gt;</v>
      </c>
      <c r="Y1819"/>
      <c r="AC1819" s="1"/>
    </row>
    <row r="1820" spans="1:29" x14ac:dyDescent="0.3">
      <c r="A1820" s="1">
        <f>ROW(CantoralDB[[#This Row],[Título]])-1</f>
        <v>1819</v>
      </c>
      <c r="B1820" s="1" t="s">
        <v>2612</v>
      </c>
      <c r="C1820" s="1"/>
      <c r="F1820" s="1">
        <v>236</v>
      </c>
      <c r="J1820" s="1"/>
      <c r="M1820" s="15" t="s">
        <v>792</v>
      </c>
      <c r="O1820" s="15"/>
      <c r="P1820" s="15"/>
      <c r="Q1820" s="15" t="str" cm="1">
        <f t="array" ref="Q18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0" s="15" t="str" cm="1">
        <f t="array" ref="R18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canciones/nuevas/como_corre_un_rio.html</v>
      </c>
      <c r="T1820" s="1"/>
      <c r="U1820" s="1"/>
      <c r="V1820" s="32" t="s">
        <v>4568</v>
      </c>
      <c r="W18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data-nrcc="236"&gt;&lt;a href="canciones/nuevas/como_corre_un_rio.html"&gt;Como corre un río&lt;/a&gt;&lt;/li&gt;</v>
      </c>
      <c r="X1820" s="15" t="str">
        <f>_xlfn.TEXTBEFORE(_xlfn.TEXTAFTER(CantoralDB[[#This Row],[index.html]],"&gt;"),"&gt;")&amp;"&gt;"</f>
        <v>&lt;a href="canciones/nuevas/como_corre_un_rio.html"&gt;</v>
      </c>
      <c r="Y1820"/>
      <c r="AC1820" s="1"/>
    </row>
    <row r="1821" spans="1:29" x14ac:dyDescent="0.3">
      <c r="A1821" s="1">
        <f>ROW(CantoralDB[[#This Row],[Título]])-1</f>
        <v>1820</v>
      </c>
      <c r="B1821" s="1" t="s">
        <v>2632</v>
      </c>
      <c r="C1821" s="1"/>
      <c r="F1821" s="1">
        <v>260</v>
      </c>
      <c r="J1821" s="1"/>
      <c r="M1821" s="15" t="s">
        <v>792</v>
      </c>
      <c r="O1821" s="15"/>
      <c r="P1821" s="15"/>
      <c r="Q1821" s="15" t="str" cm="1">
        <f t="array" ref="Q18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1" s="15" t="str" cm="1">
        <f t="array" ref="R18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canciones/nuevas/conviene_que_cristo_crezca.html</v>
      </c>
      <c r="T1821" s="1"/>
      <c r="U1821" s="1"/>
      <c r="V1821" s="15"/>
      <c r="W18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data-nrcc="260"&gt;&lt;a href="canciones/nuevas/conviene_que_cristo_crezca.html"&gt;Conviene que Cristo crezca&lt;/a&gt;&lt;/li&gt;</v>
      </c>
      <c r="X1821" s="15" t="str">
        <f>_xlfn.TEXTBEFORE(_xlfn.TEXTAFTER(CantoralDB[[#This Row],[index.html]],"&gt;"),"&gt;")&amp;"&gt;"</f>
        <v>&lt;a href="canciones/nuevas/conviene_que_cristo_crezca.html"&gt;</v>
      </c>
      <c r="Y1821"/>
      <c r="AC1821" s="1"/>
    </row>
    <row r="1822" spans="1:29" x14ac:dyDescent="0.3">
      <c r="A1822" s="1">
        <f>ROW(CantoralDB[[#This Row],[Título]])-1</f>
        <v>1821</v>
      </c>
      <c r="B1822" s="1" t="s">
        <v>1187</v>
      </c>
      <c r="C1822" s="1"/>
      <c r="F1822" s="1">
        <v>268</v>
      </c>
      <c r="J1822" s="1"/>
      <c r="M1822" s="15" t="s">
        <v>792</v>
      </c>
      <c r="O1822" s="15"/>
      <c r="P1822" s="15"/>
      <c r="Q1822" s="15" t="str" cm="1">
        <f t="array" ref="Q18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2" s="15" t="str" cm="1">
        <f t="array" ref="R18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canciones/nuevas/criaturas_del_señor.html</v>
      </c>
      <c r="T1822" s="1"/>
      <c r="U1822" s="1"/>
      <c r="V1822" s="32" t="s">
        <v>4445</v>
      </c>
      <c r="W18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data-nrcc="268"&gt;&lt;a href="canciones/nuevas/criaturas_del_señor.html"&gt;Criaturas del Señor&lt;/a&gt;&lt;/li&gt;</v>
      </c>
      <c r="X1822" s="15" t="str">
        <f>_xlfn.TEXTBEFORE(_xlfn.TEXTAFTER(CantoralDB[[#This Row],[index.html]],"&gt;"),"&gt;")&amp;"&gt;"</f>
        <v>&lt;a href="canciones/nuevas/criaturas_del_señor.html"&gt;</v>
      </c>
      <c r="Y1822"/>
      <c r="AC1822" s="1"/>
    </row>
    <row r="1823" spans="1:29" x14ac:dyDescent="0.3">
      <c r="A1823" s="1">
        <f>ROW(CantoralDB[[#This Row],[Título]])-1</f>
        <v>1822</v>
      </c>
      <c r="B1823" s="1" t="s">
        <v>2241</v>
      </c>
      <c r="C1823" s="1"/>
      <c r="F1823" s="1">
        <v>261</v>
      </c>
      <c r="J1823" s="1"/>
      <c r="M1823" s="15" t="s">
        <v>792</v>
      </c>
      <c r="O1823" s="15"/>
      <c r="P1823" s="15"/>
      <c r="Q1823" s="15" t="str" cm="1">
        <f t="array" ref="Q18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3" s="15" t="str" cm="1">
        <f t="array" ref="R18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canciones/nuevas/cristo_vive_en_mi.html</v>
      </c>
      <c r="T1823" s="1"/>
      <c r="U1823" s="1"/>
      <c r="V1823" s="32" t="s">
        <v>4565</v>
      </c>
      <c r="W18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data-nrcc="261"&gt;&lt;a href="canciones/nuevas/cristo_vive_en_mi.html"&gt;Cristo vive en mí&lt;/a&gt;&lt;/li&gt;</v>
      </c>
      <c r="X1823" s="15" t="str">
        <f>_xlfn.TEXTBEFORE(_xlfn.TEXTAFTER(CantoralDB[[#This Row],[index.html]],"&gt;"),"&gt;")&amp;"&gt;"</f>
        <v>&lt;a href="canciones/nuevas/cristo_vive_en_mi.html"&gt;</v>
      </c>
      <c r="Y1823"/>
      <c r="AC1823" s="1"/>
    </row>
    <row r="1824" spans="1:29" x14ac:dyDescent="0.3">
      <c r="A1824" s="1">
        <f>ROW(CantoralDB[[#This Row],[Título]])-1</f>
        <v>1823</v>
      </c>
      <c r="B1824" s="1" t="s">
        <v>2696</v>
      </c>
      <c r="C1824" s="1"/>
      <c r="F1824" s="1">
        <v>330</v>
      </c>
      <c r="J1824" s="1"/>
      <c r="M1824" s="15" t="s">
        <v>792</v>
      </c>
      <c r="O1824" s="15"/>
      <c r="P1824" s="15"/>
      <c r="Q1824" s="15" t="str" cm="1">
        <f t="array" ref="Q18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4" s="15" t="str" cm="1">
        <f t="array" ref="R18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canciones/nuevas/cristo_maravilloso_eres_tu.html</v>
      </c>
      <c r="T1824" s="1"/>
      <c r="U1824" s="1"/>
      <c r="V1824" s="15"/>
      <c r="W18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data-nrcc="330"&gt;&lt;a href="canciones/nuevas/cristo_maravilloso_eres_tu.html"&gt;Cristo, maravilloso eres tú&lt;/a&gt;&lt;/li&gt;</v>
      </c>
      <c r="X1824" s="15" t="str">
        <f>_xlfn.TEXTBEFORE(_xlfn.TEXTAFTER(CantoralDB[[#This Row],[index.html]],"&gt;"),"&gt;")&amp;"&gt;"</f>
        <v>&lt;a href="canciones/nuevas/cristo_maravilloso_eres_tu.html"&gt;</v>
      </c>
      <c r="Y1824"/>
      <c r="AC1824" s="1"/>
    </row>
    <row r="1825" spans="1:29" x14ac:dyDescent="0.3">
      <c r="A1825" s="1">
        <f>ROW(CantoralDB[[#This Row],[Título]])-1</f>
        <v>1824</v>
      </c>
      <c r="B1825" s="1" t="s">
        <v>2551</v>
      </c>
      <c r="C1825" s="1"/>
      <c r="F1825" s="1">
        <v>166</v>
      </c>
      <c r="J1825" s="1"/>
      <c r="M1825" s="15" t="s">
        <v>792</v>
      </c>
      <c r="O1825" s="15"/>
      <c r="P1825" s="15"/>
      <c r="Q1825" s="15" t="str" cm="1">
        <f t="array" ref="Q18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5" s="15" t="str" cm="1">
        <f t="array" ref="R18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canciones/nuevas/cuando_con_el_corazon.html</v>
      </c>
      <c r="T1825" s="1"/>
      <c r="U1825" s="1"/>
      <c r="V1825" s="32" t="s">
        <v>4516</v>
      </c>
      <c r="W18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data-nrcc="166"&gt;&lt;a href="canciones/nuevas/cuando_con_el_corazon.html"&gt;Cuando con el corazón&lt;/a&gt;&lt;/li&gt;</v>
      </c>
      <c r="X1825" s="15" t="str">
        <f>_xlfn.TEXTBEFORE(_xlfn.TEXTAFTER(CantoralDB[[#This Row],[index.html]],"&gt;"),"&gt;")&amp;"&gt;"</f>
        <v>&lt;a href="canciones/nuevas/cuando_con_el_corazon.html"&gt;</v>
      </c>
      <c r="Y1825"/>
      <c r="AC1825" s="1"/>
    </row>
    <row r="1826" spans="1:29" x14ac:dyDescent="0.3">
      <c r="A1826" s="1">
        <f>ROW(CantoralDB[[#This Row],[Título]])-1</f>
        <v>1825</v>
      </c>
      <c r="B1826" s="1" t="s">
        <v>2768</v>
      </c>
      <c r="C1826" s="1"/>
      <c r="F1826" s="1">
        <v>391</v>
      </c>
      <c r="J1826" s="1"/>
      <c r="M1826" s="15" t="s">
        <v>792</v>
      </c>
      <c r="O1826" s="15"/>
      <c r="P1826" s="15"/>
      <c r="Q1826" s="15" t="str" cm="1">
        <f t="array" ref="Q18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6" s="15" t="str" cm="1">
        <f t="array" ref="R18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canciones/nuevas/cuando_cristo_venga_en_gloria.html</v>
      </c>
      <c r="T1826" s="1"/>
      <c r="U1826" s="1"/>
      <c r="V1826" s="15"/>
      <c r="W18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data-nrcc="391"&gt;&lt;a href="canciones/nuevas/cuando_cristo_venga_en_gloria.html"&gt;Cuando Cristo venga en gloria&lt;/a&gt;&lt;/li&gt;</v>
      </c>
      <c r="X1826" s="15" t="str">
        <f>_xlfn.TEXTBEFORE(_xlfn.TEXTAFTER(CantoralDB[[#This Row],[index.html]],"&gt;"),"&gt;")&amp;"&gt;"</f>
        <v>&lt;a href="canciones/nuevas/cuando_cristo_venga_en_gloria.html"&gt;</v>
      </c>
      <c r="Y1826"/>
      <c r="AC1826" s="1"/>
    </row>
    <row r="1827" spans="1:29" x14ac:dyDescent="0.3">
      <c r="A1827" s="1">
        <f>ROW(CantoralDB[[#This Row],[Título]])-1</f>
        <v>1826</v>
      </c>
      <c r="B1827" s="1" t="s">
        <v>2715</v>
      </c>
      <c r="C1827" s="1"/>
      <c r="F1827" s="1">
        <v>347</v>
      </c>
      <c r="J1827" s="1"/>
      <c r="M1827" s="15" t="s">
        <v>792</v>
      </c>
      <c r="O1827" s="15"/>
      <c r="P1827" s="15"/>
      <c r="Q1827" s="15" t="str" cm="1">
        <f t="array" ref="Q18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7" s="15" t="str" cm="1">
        <f t="array" ref="R18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canciones/nuevas/dios_me_ama_y_yo_le_amo.html</v>
      </c>
      <c r="T1827" s="1"/>
      <c r="U1827" s="1"/>
      <c r="V1827" s="15"/>
      <c r="W18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data-nrcc="347"&gt;&lt;a href="canciones/nuevas/dios_me_ama_y_yo_le_amo.html"&gt;Dios me ama y yo le amo&lt;/a&gt;&lt;/li&gt;</v>
      </c>
      <c r="X1827" s="15" t="str">
        <f>_xlfn.TEXTBEFORE(_xlfn.TEXTAFTER(CantoralDB[[#This Row],[index.html]],"&gt;"),"&gt;")&amp;"&gt;"</f>
        <v>&lt;a href="canciones/nuevas/dios_me_ama_y_yo_le_amo.html"&gt;</v>
      </c>
      <c r="Y1827"/>
      <c r="AC1827" s="1"/>
    </row>
    <row r="1828" spans="1:29" x14ac:dyDescent="0.3">
      <c r="A1828" s="1">
        <f>ROW(CantoralDB[[#This Row],[Título]])-1</f>
        <v>1827</v>
      </c>
      <c r="B1828" s="1" t="s">
        <v>2569</v>
      </c>
      <c r="C1828" s="1"/>
      <c r="F1828" s="1">
        <v>183</v>
      </c>
      <c r="J1828" s="1"/>
      <c r="M1828" s="15" t="s">
        <v>792</v>
      </c>
      <c r="O1828" s="15"/>
      <c r="P1828" s="15"/>
      <c r="Q1828" s="15" t="str" cm="1">
        <f t="array" ref="Q18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8" s="15" t="str" cm="1">
        <f t="array" ref="R18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canciones/nuevas/el_amor_de_dios_ha_sido_derramado.html</v>
      </c>
      <c r="T1828" s="1"/>
      <c r="U1828" s="1"/>
      <c r="V1828" s="15"/>
      <c r="W18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data-nrcc="183"&gt;&lt;a href="canciones/nuevas/el_amor_de_dios_ha_sido_derramado.html"&gt;El amor de Dios ha sido derramado&lt;/a&gt;&lt;/li&gt;</v>
      </c>
      <c r="X1828" s="15" t="str">
        <f>_xlfn.TEXTBEFORE(_xlfn.TEXTAFTER(CantoralDB[[#This Row],[index.html]],"&gt;"),"&gt;")&amp;"&gt;"</f>
        <v>&lt;a href="canciones/nuevas/el_amor_de_dios_ha_sido_derramado.html"&gt;</v>
      </c>
      <c r="Y1828"/>
      <c r="AC1828" s="1"/>
    </row>
    <row r="1829" spans="1:29" x14ac:dyDescent="0.3">
      <c r="A1829" s="1">
        <f>ROW(CantoralDB[[#This Row],[Título]])-1</f>
        <v>1828</v>
      </c>
      <c r="B1829" s="1" t="s">
        <v>2653</v>
      </c>
      <c r="C1829" s="1"/>
      <c r="F1829" s="1">
        <v>281</v>
      </c>
      <c r="J1829" s="1"/>
      <c r="M1829" s="15" t="s">
        <v>792</v>
      </c>
      <c r="O1829" s="15"/>
      <c r="P1829" s="15"/>
      <c r="Q1829" s="15" t="str" cm="1">
        <f t="array" ref="Q18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29" s="15" t="str" cm="1">
        <f t="array" ref="R18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canciones/nuevas/el_amor_del_señor.html</v>
      </c>
      <c r="T1829" s="1"/>
      <c r="U1829" s="1"/>
      <c r="V1829" s="15"/>
      <c r="W18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data-nrcc="281"&gt;&lt;a href="canciones/nuevas/el_amor_del_señor.html"&gt;El amor del Señor&lt;/a&gt;&lt;/li&gt;</v>
      </c>
      <c r="X1829" s="15" t="str">
        <f>_xlfn.TEXTBEFORE(_xlfn.TEXTAFTER(CantoralDB[[#This Row],[index.html]],"&gt;"),"&gt;")&amp;"&gt;"</f>
        <v>&lt;a href="canciones/nuevas/el_amor_del_señor.html"&gt;</v>
      </c>
      <c r="Y1829"/>
      <c r="AC1829" s="1"/>
    </row>
    <row r="1830" spans="1:29" x14ac:dyDescent="0.3">
      <c r="A1830" s="1">
        <f>ROW(CantoralDB[[#This Row],[Título]])-1</f>
        <v>1829</v>
      </c>
      <c r="B1830" s="1" t="s">
        <v>2526</v>
      </c>
      <c r="C1830" s="1"/>
      <c r="F1830" s="1">
        <v>143</v>
      </c>
      <c r="J1830" s="1"/>
      <c r="M1830" s="15" t="s">
        <v>792</v>
      </c>
      <c r="O1830" s="15"/>
      <c r="P1830" s="15"/>
      <c r="Q1830" s="15" t="str" cm="1">
        <f t="array" ref="Q18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0" s="15" t="str" cm="1">
        <f t="array" ref="R18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canciones/nuevas/el_diario_de_maria.html</v>
      </c>
      <c r="T1830" s="1"/>
      <c r="U1830" s="1"/>
      <c r="V1830" s="15"/>
      <c r="W18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data-nrcc="143"&gt;&lt;a href="canciones/nuevas/el_diario_de_maria.html"&gt;El diario de María&lt;/a&gt;&lt;/li&gt;</v>
      </c>
      <c r="X1830" s="15" t="str">
        <f>_xlfn.TEXTBEFORE(_xlfn.TEXTAFTER(CantoralDB[[#This Row],[index.html]],"&gt;"),"&gt;")&amp;"&gt;"</f>
        <v>&lt;a href="canciones/nuevas/el_diario_de_maria.html"&gt;</v>
      </c>
      <c r="Y1830"/>
      <c r="AC1830" s="1"/>
    </row>
    <row r="1831" spans="1:29" x14ac:dyDescent="0.3">
      <c r="A1831" s="1">
        <f>ROW(CantoralDB[[#This Row],[Título]])-1</f>
        <v>1830</v>
      </c>
      <c r="B1831" s="1" t="s">
        <v>2579</v>
      </c>
      <c r="C1831" s="1"/>
      <c r="F1831" s="1">
        <v>194</v>
      </c>
      <c r="J1831" s="1"/>
      <c r="M1831" s="15" t="s">
        <v>792</v>
      </c>
      <c r="O1831" s="15"/>
      <c r="P1831" s="15"/>
      <c r="Q1831" s="15" t="str" cm="1">
        <f t="array" ref="Q18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1" s="15" t="str" cm="1">
        <f t="array" ref="R18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canciones/nuevas/el_espiritu_de_dios_esta_en_este_lugar.html</v>
      </c>
      <c r="T1831" s="1"/>
      <c r="U1831" s="1"/>
      <c r="V1831" s="15"/>
      <c r="W18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data-nrcc="194"&gt;&lt;a href="canciones/nuevas/el_espiritu_de_dios_esta_en_este_lugar.html"&gt;El Espíritu de Dios está en este lugar&lt;/a&gt;&lt;/li&gt;</v>
      </c>
      <c r="X1831" s="15" t="str">
        <f>_xlfn.TEXTBEFORE(_xlfn.TEXTAFTER(CantoralDB[[#This Row],[index.html]],"&gt;"),"&gt;")&amp;"&gt;"</f>
        <v>&lt;a href="canciones/nuevas/el_espiritu_de_dios_esta_en_este_lugar.html"&gt;</v>
      </c>
      <c r="Y1831"/>
      <c r="AC1831" s="1"/>
    </row>
    <row r="1832" spans="1:29" x14ac:dyDescent="0.3">
      <c r="A1832" s="1">
        <f>ROW(CantoralDB[[#This Row],[Título]])-1</f>
        <v>1831</v>
      </c>
      <c r="B1832" s="1" t="s">
        <v>2805</v>
      </c>
      <c r="C1832" s="1"/>
      <c r="F1832" s="1">
        <v>419</v>
      </c>
      <c r="J1832" s="1"/>
      <c r="M1832" s="15" t="s">
        <v>792</v>
      </c>
      <c r="O1832" s="15"/>
      <c r="P1832" s="15"/>
      <c r="Q1832" s="15" t="str" cm="1">
        <f t="array" ref="Q18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2" s="15" t="str" cm="1">
        <f t="array" ref="R18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canciones/nuevas/el_leon_de_la_tribu_de_juda.html</v>
      </c>
      <c r="T1832" s="1"/>
      <c r="U1832" s="1"/>
      <c r="V1832" s="32" t="s">
        <v>4544</v>
      </c>
      <c r="W18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data-nrcc="419"&gt;&lt;a href="canciones/nuevas/el_leon_de_la_tribu_de_juda.html"&gt;El león de la tribu de Judá&lt;/a&gt;&lt;/li&gt;</v>
      </c>
      <c r="X1832" s="15" t="str">
        <f>_xlfn.TEXTBEFORE(_xlfn.TEXTAFTER(CantoralDB[[#This Row],[index.html]],"&gt;"),"&gt;")&amp;"&gt;"</f>
        <v>&lt;a href="canciones/nuevas/el_leon_de_la_tribu_de_juda.html"&gt;</v>
      </c>
      <c r="Y1832"/>
      <c r="AC1832" s="1"/>
    </row>
    <row r="1833" spans="1:29" x14ac:dyDescent="0.3">
      <c r="A1833" s="1">
        <f>ROW(CantoralDB[[#This Row],[Título]])-1</f>
        <v>1832</v>
      </c>
      <c r="B1833" s="1" t="s">
        <v>2423</v>
      </c>
      <c r="C1833" s="1"/>
      <c r="F1833" s="1">
        <v>48</v>
      </c>
      <c r="J1833" s="1"/>
      <c r="M1833" s="15" t="s">
        <v>792</v>
      </c>
      <c r="O1833" s="15"/>
      <c r="P1833" s="15"/>
      <c r="Q1833" s="15" t="str" cm="1">
        <f t="array" ref="Q18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3" s="15" t="str" cm="1">
        <f t="array" ref="R18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canciones/nuevas/el_nos_ha_elegido.html</v>
      </c>
      <c r="T1833" s="1"/>
      <c r="U1833" s="1"/>
      <c r="V1833" s="15"/>
      <c r="W18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data-nrcc="48"&gt;&lt;a href="canciones/nuevas/el_nos_ha_elegido.html"&gt;Él nos ha elegido&lt;/a&gt;&lt;/li&gt;</v>
      </c>
      <c r="X1833" s="15" t="str">
        <f>_xlfn.TEXTBEFORE(_xlfn.TEXTAFTER(CantoralDB[[#This Row],[index.html]],"&gt;"),"&gt;")&amp;"&gt;"</f>
        <v>&lt;a href="canciones/nuevas/el_nos_ha_elegido.html"&gt;</v>
      </c>
      <c r="Y1833"/>
      <c r="AC1833" s="1"/>
    </row>
    <row r="1834" spans="1:29" x14ac:dyDescent="0.3">
      <c r="A1834" s="1">
        <f>ROW(CantoralDB[[#This Row],[Título]])-1</f>
        <v>1833</v>
      </c>
      <c r="B1834" s="1" t="s">
        <v>2478</v>
      </c>
      <c r="C1834" s="1"/>
      <c r="F1834" s="1">
        <v>99</v>
      </c>
      <c r="J1834" s="1"/>
      <c r="M1834" s="15" t="s">
        <v>792</v>
      </c>
      <c r="O1834" s="15"/>
      <c r="P1834" s="15"/>
      <c r="Q1834" s="15" t="str" cm="1">
        <f t="array" ref="Q18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4" s="15" t="str" cm="1">
        <f t="array" ref="R18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canciones/nuevas/el_señor_esta_en_medio_de_ti.html</v>
      </c>
      <c r="T1834" s="1"/>
      <c r="U1834" s="1"/>
      <c r="V1834" s="15"/>
      <c r="W18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data-nrcc="99"&gt;&lt;a href="canciones/nuevas/el_señor_esta_en_medio_de_ti.html"&gt;El Señor está en medio de ti&lt;/a&gt;&lt;/li&gt;</v>
      </c>
      <c r="X1834" s="15" t="str">
        <f>_xlfn.TEXTBEFORE(_xlfn.TEXTAFTER(CantoralDB[[#This Row],[index.html]],"&gt;"),"&gt;")&amp;"&gt;"</f>
        <v>&lt;a href="canciones/nuevas/el_señor_esta_en_medio_de_ti.html"&gt;</v>
      </c>
      <c r="Y1834"/>
      <c r="AC1834" s="1"/>
    </row>
    <row r="1835" spans="1:29" x14ac:dyDescent="0.3">
      <c r="A1835" s="1">
        <f>ROW(CantoralDB[[#This Row],[Título]])-1</f>
        <v>1834</v>
      </c>
      <c r="B1835" s="1" t="s">
        <v>2746</v>
      </c>
      <c r="C1835" s="1"/>
      <c r="F1835" s="1">
        <v>374</v>
      </c>
      <c r="J1835" s="1"/>
      <c r="M1835" s="15" t="s">
        <v>792</v>
      </c>
      <c r="O1835" s="15"/>
      <c r="P1835" s="15"/>
      <c r="Q1835" s="15" t="str" cm="1">
        <f t="array" ref="Q18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5" s="15" t="str" cm="1">
        <f t="array" ref="R18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canciones/nuevas/en_el_cielo_se_oye.html</v>
      </c>
      <c r="T1835" s="1"/>
      <c r="U1835" s="1"/>
      <c r="V1835" s="15"/>
      <c r="W18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data-nrcc="374"&gt;&lt;a href="canciones/nuevas/en_el_cielo_se_oye.html"&gt;En el cielo se oye&lt;/a&gt;&lt;/li&gt;</v>
      </c>
      <c r="X1835" s="15" t="str">
        <f>_xlfn.TEXTBEFORE(_xlfn.TEXTAFTER(CantoralDB[[#This Row],[index.html]],"&gt;"),"&gt;")&amp;"&gt;"</f>
        <v>&lt;a href="canciones/nuevas/en_el_cielo_se_oye.html"&gt;</v>
      </c>
      <c r="Y1835"/>
      <c r="AC1835" s="1"/>
    </row>
    <row r="1836" spans="1:29" x14ac:dyDescent="0.3">
      <c r="A1836" s="1">
        <f>ROW(CantoralDB[[#This Row],[Título]])-1</f>
        <v>1835</v>
      </c>
      <c r="B1836" s="1" t="s">
        <v>2152</v>
      </c>
      <c r="C1836" s="15"/>
      <c r="H1836" s="1" t="s">
        <v>529</v>
      </c>
      <c r="J1836" s="1" t="s">
        <v>605</v>
      </c>
      <c r="M1836" s="15" t="s">
        <v>792</v>
      </c>
      <c r="O1836" s="15"/>
      <c r="P1836" s="15"/>
      <c r="Q1836" s="15" t="str" cm="1">
        <f t="array" ref="Q18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6" s="15" t="str" cm="1">
        <f t="array" ref="R18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8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canciones/nuevas/en_los_brazos_de_una_virgen.html</v>
      </c>
      <c r="T1836" s="1"/>
      <c r="U1836" s="1"/>
      <c r="V1836" s="15"/>
      <c r="W18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&lt;li&gt;&lt;a href="canciones/nuevas/en_los_brazos_de_una_virgen.html"&gt;En los brazos de una virgen&lt;/a&gt;&lt;/li&gt;</v>
      </c>
      <c r="X1836" s="15" t="str">
        <f>_xlfn.TEXTBEFORE(_xlfn.TEXTAFTER(CantoralDB[[#This Row],[index.html]],"&gt;"),"&gt;")&amp;"&gt;"</f>
        <v>&lt;a href="canciones/nuevas/en_los_brazos_de_una_virgen.html"&gt;</v>
      </c>
      <c r="Y1836"/>
      <c r="AC1836" s="1"/>
    </row>
    <row r="1837" spans="1:29" x14ac:dyDescent="0.3">
      <c r="A1837" s="1">
        <f>ROW(CantoralDB[[#This Row],[Título]])-1</f>
        <v>1836</v>
      </c>
      <c r="B1837" s="1" t="s">
        <v>2447</v>
      </c>
      <c r="C1837" s="1"/>
      <c r="F1837" s="1">
        <v>69</v>
      </c>
      <c r="J1837" s="1"/>
      <c r="M1837" s="15" t="s">
        <v>792</v>
      </c>
      <c r="O1837" s="15"/>
      <c r="P1837" s="15"/>
      <c r="Q1837" s="15" t="str" cm="1">
        <f t="array" ref="Q18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7" s="15" t="str" cm="1">
        <f t="array" ref="R18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canciones/nuevas/entregame.html</v>
      </c>
      <c r="T1837" s="1"/>
      <c r="U1837" s="1"/>
      <c r="V1837" s="15"/>
      <c r="W18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data-nrcc="69"&gt;&lt;a href="canciones/nuevas/entregame.html"&gt;Entrégame&lt;/a&gt;&lt;/li&gt;</v>
      </c>
      <c r="X1837" s="15" t="str">
        <f>_xlfn.TEXTBEFORE(_xlfn.TEXTAFTER(CantoralDB[[#This Row],[index.html]],"&gt;"),"&gt;")&amp;"&gt;"</f>
        <v>&lt;a href="canciones/nuevas/entregame.html"&gt;</v>
      </c>
      <c r="Y1837"/>
      <c r="AC1837" s="1"/>
    </row>
    <row r="1838" spans="1:29" x14ac:dyDescent="0.3">
      <c r="A1838" s="1">
        <f>ROW(CantoralDB[[#This Row],[Título]])-1</f>
        <v>1837</v>
      </c>
      <c r="B1838" s="1" t="s">
        <v>2796</v>
      </c>
      <c r="C1838" s="1"/>
      <c r="F1838" s="1">
        <v>413</v>
      </c>
      <c r="J1838" s="1"/>
      <c r="M1838" s="15" t="s">
        <v>792</v>
      </c>
      <c r="O1838" s="15"/>
      <c r="P1838" s="15"/>
      <c r="Q1838" s="15" t="str" cm="1">
        <f t="array" ref="Q18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8" s="15" t="str" cm="1">
        <f t="array" ref="R18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canciones/nuevas/es_la_confianza.html</v>
      </c>
      <c r="T1838" s="1"/>
      <c r="U1838" s="1"/>
      <c r="V1838" s="32" t="s">
        <v>4575</v>
      </c>
      <c r="W18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data-nrcc="413"&gt;&lt;a href="canciones/nuevas/es_la_confianza.html"&gt;Es la confianza&lt;/a&gt;&lt;/li&gt;</v>
      </c>
      <c r="X1838" s="15" t="str">
        <f>_xlfn.TEXTBEFORE(_xlfn.TEXTAFTER(CantoralDB[[#This Row],[index.html]],"&gt;"),"&gt;")&amp;"&gt;"</f>
        <v>&lt;a href="canciones/nuevas/es_la_confianza.html"&gt;</v>
      </c>
      <c r="Y1838"/>
      <c r="AC1838" s="1"/>
    </row>
    <row r="1839" spans="1:29" x14ac:dyDescent="0.3">
      <c r="A1839" s="1">
        <f>ROW(CantoralDB[[#This Row],[Título]])-1</f>
        <v>1838</v>
      </c>
      <c r="B1839" s="1" t="s">
        <v>2155</v>
      </c>
      <c r="C1839" s="15"/>
      <c r="H1839" s="1" t="s">
        <v>529</v>
      </c>
      <c r="J1839" s="1" t="s">
        <v>605</v>
      </c>
      <c r="M1839" s="15" t="s">
        <v>792</v>
      </c>
      <c r="O1839" s="15"/>
      <c r="P1839" s="15"/>
      <c r="Q1839" s="15" t="str" cm="1">
        <f t="array" ref="Q18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39" s="15" t="str" cm="1">
        <f t="array" ref="R18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8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canciones/nuevas/es_maria_la_blanca_paloma.html</v>
      </c>
      <c r="T1839" s="1"/>
      <c r="U1839" s="1"/>
      <c r="V1839" s="32" t="s">
        <v>2991</v>
      </c>
      <c r="W18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&lt;li&gt;&lt;a href="canciones/nuevas/es_maria_la_blanca_paloma.html"&gt;Es María la blanca paloma&lt;/a&gt;&lt;/li&gt;</v>
      </c>
      <c r="X1839" s="15" t="str">
        <f>_xlfn.TEXTBEFORE(_xlfn.TEXTAFTER(CantoralDB[[#This Row],[index.html]],"&gt;"),"&gt;")&amp;"&gt;"</f>
        <v>&lt;a href="canciones/nuevas/es_maria_la_blanca_paloma.html"&gt;</v>
      </c>
      <c r="Y1839"/>
      <c r="AC1839" s="1"/>
    </row>
    <row r="1840" spans="1:29" x14ac:dyDescent="0.3">
      <c r="A1840" s="1">
        <f>ROW(CantoralDB[[#This Row],[Título]])-1</f>
        <v>1839</v>
      </c>
      <c r="B1840" s="1" t="s">
        <v>2652</v>
      </c>
      <c r="C1840" s="1"/>
      <c r="F1840" s="1">
        <v>279</v>
      </c>
      <c r="J1840" s="1"/>
      <c r="M1840" s="15" t="s">
        <v>792</v>
      </c>
      <c r="O1840" s="15"/>
      <c r="P1840" s="15"/>
      <c r="Q1840" s="15" t="str" cm="1">
        <f t="array" ref="Q18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0" s="15" t="str" cm="1">
        <f t="array" ref="R18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canciones/nuevas/es_necesario_morir.html</v>
      </c>
      <c r="T1840" s="1"/>
      <c r="U1840" s="1"/>
      <c r="V1840" s="15"/>
      <c r="W18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data-nrcc="279"&gt;&lt;a href="canciones/nuevas/es_necesario_morir.html"&gt;Es necesario morir&lt;/a&gt;&lt;/li&gt;</v>
      </c>
      <c r="X1840" s="15" t="str">
        <f>_xlfn.TEXTBEFORE(_xlfn.TEXTAFTER(CantoralDB[[#This Row],[index.html]],"&gt;"),"&gt;")&amp;"&gt;"</f>
        <v>&lt;a href="canciones/nuevas/es_necesario_morir.html"&gt;</v>
      </c>
      <c r="Y1840"/>
      <c r="AC1840" s="1"/>
    </row>
    <row r="1841" spans="1:29" x14ac:dyDescent="0.3">
      <c r="A1841" s="1">
        <f>ROW(CantoralDB[[#This Row],[Título]])-1</f>
        <v>1840</v>
      </c>
      <c r="B1841" s="1" t="s">
        <v>2418</v>
      </c>
      <c r="C1841" s="1"/>
      <c r="F1841" s="1">
        <v>44</v>
      </c>
      <c r="J1841" s="1"/>
      <c r="M1841" s="15" t="s">
        <v>792</v>
      </c>
      <c r="O1841" s="15"/>
      <c r="P1841" s="15"/>
      <c r="Q1841" s="15" t="str" cm="1">
        <f t="array" ref="Q18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1" s="15" t="str" cm="1">
        <f t="array" ref="R18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canciones/nuevas/espiritu_santo_ven.html</v>
      </c>
      <c r="T1841" s="1"/>
      <c r="U1841" s="1"/>
      <c r="V1841" s="32" t="s">
        <v>4463</v>
      </c>
      <c r="W18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data-nrcc="44"&gt;&lt;a href="canciones/nuevas/espiritu_santo_ven.html"&gt;Espíritu Santo, ven&lt;/a&gt;&lt;/li&gt;</v>
      </c>
      <c r="X1841" s="15" t="str">
        <f>_xlfn.TEXTBEFORE(_xlfn.TEXTAFTER(CantoralDB[[#This Row],[index.html]],"&gt;"),"&gt;")&amp;"&gt;"</f>
        <v>&lt;a href="canciones/nuevas/espiritu_santo_ven.html"&gt;</v>
      </c>
      <c r="Y1841"/>
      <c r="AC1841" s="1"/>
    </row>
    <row r="1842" spans="1:29" x14ac:dyDescent="0.3">
      <c r="A1842" s="1">
        <f>ROW(CantoralDB[[#This Row],[Título]])-1</f>
        <v>1841</v>
      </c>
      <c r="B1842" s="1" t="s">
        <v>2530</v>
      </c>
      <c r="C1842" s="1"/>
      <c r="F1842" s="1">
        <v>147</v>
      </c>
      <c r="J1842" s="1"/>
      <c r="M1842" s="15" t="s">
        <v>792</v>
      </c>
      <c r="O1842" s="15"/>
      <c r="P1842" s="15"/>
      <c r="Q1842" s="15" t="str" cm="1">
        <f t="array" ref="Q18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2" s="15" t="str" cm="1">
        <f t="array" ref="R18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canciones/nuevas/esta_alegria_no_va_a_pasar.html</v>
      </c>
      <c r="T1842" s="1"/>
      <c r="U1842" s="1"/>
      <c r="V1842" s="15"/>
      <c r="W18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data-nrcc="147"&gt;&lt;a href="canciones/nuevas/esta_alegria_no_va_a_pasar.html"&gt;Esta alegría no va a pasar&lt;/a&gt;&lt;/li&gt;</v>
      </c>
      <c r="X1842" s="15" t="str">
        <f>_xlfn.TEXTBEFORE(_xlfn.TEXTAFTER(CantoralDB[[#This Row],[index.html]],"&gt;"),"&gt;")&amp;"&gt;"</f>
        <v>&lt;a href="canciones/nuevas/esta_alegria_no_va_a_pasar.html"&gt;</v>
      </c>
      <c r="Y1842"/>
      <c r="AC1842" s="1"/>
    </row>
    <row r="1843" spans="1:29" x14ac:dyDescent="0.3">
      <c r="A1843" s="1">
        <f>ROW(CantoralDB[[#This Row],[Título]])-1</f>
        <v>1842</v>
      </c>
      <c r="B1843" s="1" t="s">
        <v>2384</v>
      </c>
      <c r="C1843" s="1"/>
      <c r="F1843" s="1">
        <v>8</v>
      </c>
      <c r="H1843" s="1" t="s">
        <v>1024</v>
      </c>
      <c r="J1843" s="1" t="s">
        <v>605</v>
      </c>
      <c r="M1843" s="15" t="s">
        <v>792</v>
      </c>
      <c r="O1843" s="15"/>
      <c r="P1843" s="15"/>
      <c r="Q1843" s="15" t="str" cm="1">
        <f t="array" ref="Q18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3" s="15" t="str" cm="1">
        <f t="array" ref="R18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canciones/nuevas/estamos_de_fiesta.html</v>
      </c>
      <c r="T1843" s="1"/>
      <c r="U1843" s="1"/>
      <c r="V1843" s="32" t="s">
        <v>4500</v>
      </c>
      <c r="W18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data-nrcc="8"&gt;&lt;a href="canciones/nuevas/estamos_de_fiesta.html"&gt;Estamos de fiesta&lt;/a&gt;&lt;/li&gt;</v>
      </c>
      <c r="X1843" s="15" t="str">
        <f>_xlfn.TEXTBEFORE(_xlfn.TEXTAFTER(CantoralDB[[#This Row],[index.html]],"&gt;"),"&gt;")&amp;"&gt;"</f>
        <v>&lt;a href="canciones/nuevas/estamos_de_fiesta.html"&gt;</v>
      </c>
      <c r="Y1843"/>
      <c r="AC1843" s="1"/>
    </row>
    <row r="1844" spans="1:29" x14ac:dyDescent="0.3">
      <c r="A1844" s="1">
        <f>ROW(CantoralDB[[#This Row],[Título]])-1</f>
        <v>1843</v>
      </c>
      <c r="B1844" s="1" t="s">
        <v>2574</v>
      </c>
      <c r="C1844" s="1"/>
      <c r="F1844" s="1">
        <v>188</v>
      </c>
      <c r="J1844" s="1"/>
      <c r="M1844" s="15" t="s">
        <v>792</v>
      </c>
      <c r="O1844" s="15"/>
      <c r="P1844" s="15"/>
      <c r="Q1844" s="15" t="str" cm="1">
        <f t="array" ref="Q18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4" s="15" t="str" cm="1">
        <f t="array" ref="R18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canciones/nuevas/estoy_alegre_porque_soy_de_cristo.html</v>
      </c>
      <c r="T1844" s="1"/>
      <c r="U1844" s="1"/>
      <c r="V1844" s="15"/>
      <c r="W18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data-nrcc="188"&gt;&lt;a href="canciones/nuevas/estoy_alegre_porque_soy_de_cristo.html"&gt;Estoy alegre porque soy de Cristo&lt;/a&gt;&lt;/li&gt;</v>
      </c>
      <c r="X1844" s="15" t="str">
        <f>_xlfn.TEXTBEFORE(_xlfn.TEXTAFTER(CantoralDB[[#This Row],[index.html]],"&gt;"),"&gt;")&amp;"&gt;"</f>
        <v>&lt;a href="canciones/nuevas/estoy_alegre_porque_soy_de_cristo.html"&gt;</v>
      </c>
      <c r="Y1844"/>
      <c r="AC1844" s="1"/>
    </row>
    <row r="1845" spans="1:29" x14ac:dyDescent="0.3">
      <c r="A1845" s="1">
        <f>ROW(CantoralDB[[#This Row],[Título]])-1</f>
        <v>1844</v>
      </c>
      <c r="B1845" s="1" t="s">
        <v>2552</v>
      </c>
      <c r="C1845" s="1"/>
      <c r="F1845" s="1">
        <v>167</v>
      </c>
      <c r="J1845" s="1"/>
      <c r="M1845" s="15" t="s">
        <v>792</v>
      </c>
      <c r="O1845" s="15"/>
      <c r="P1845" s="15"/>
      <c r="Q1845" s="15" t="str" cm="1">
        <f t="array" ref="Q18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5" s="15" t="str" cm="1">
        <f t="array" ref="R18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canciones/nuevas/estoy_cantando_alegre.html</v>
      </c>
      <c r="T1845" s="1"/>
      <c r="U1845" s="1"/>
      <c r="V1845" s="32" t="s">
        <v>4530</v>
      </c>
      <c r="W18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data-nrcc="167"&gt;&lt;a href="canciones/nuevas/estoy_cantando_alegre.html"&gt;Estoy cantando alegre&lt;/a&gt;&lt;/li&gt;</v>
      </c>
      <c r="X1845" s="15" t="str">
        <f>_xlfn.TEXTBEFORE(_xlfn.TEXTAFTER(CantoralDB[[#This Row],[index.html]],"&gt;"),"&gt;")&amp;"&gt;"</f>
        <v>&lt;a href="canciones/nuevas/estoy_cantando_alegre.html"&gt;</v>
      </c>
      <c r="Y1845"/>
      <c r="AC1845" s="1"/>
    </row>
    <row r="1846" spans="1:29" x14ac:dyDescent="0.3">
      <c r="A1846" s="1">
        <f>ROW(CantoralDB[[#This Row],[Título]])-1</f>
        <v>1845</v>
      </c>
      <c r="B1846" s="1" t="s">
        <v>2157</v>
      </c>
      <c r="C1846" s="15"/>
      <c r="J1846" s="1" t="s">
        <v>605</v>
      </c>
      <c r="L1846" s="1" t="s">
        <v>2955</v>
      </c>
      <c r="M1846" s="15" t="s">
        <v>792</v>
      </c>
      <c r="O1846" s="15"/>
      <c r="P1846" s="15"/>
      <c r="Q1846" s="15" t="str" cm="1">
        <f t="array" ref="Q18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6" s="15" t="str" cm="1">
        <f t="array" ref="R18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8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canciones/nuevas/evenu_shalom_alejem.html</v>
      </c>
      <c r="T1846" s="1"/>
      <c r="U1846" s="1"/>
      <c r="V1846" s="32" t="s">
        <v>2992</v>
      </c>
      <c r="W18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&lt;li&gt;&lt;a href="canciones/nuevas/evenu_shalom_alejem.html"&gt;Evenu shalom alejem&lt;/a&gt;&lt;/li&gt;</v>
      </c>
      <c r="X1846" s="15" t="str">
        <f>_xlfn.TEXTBEFORE(_xlfn.TEXTAFTER(CantoralDB[[#This Row],[index.html]],"&gt;"),"&gt;")&amp;"&gt;"</f>
        <v>&lt;a href="canciones/nuevas/evenu_shalom_alejem.html"&gt;</v>
      </c>
      <c r="Y1846"/>
      <c r="AC1846" s="1"/>
    </row>
    <row r="1847" spans="1:29" x14ac:dyDescent="0.3">
      <c r="A1847" s="1">
        <f>ROW(CantoralDB[[#This Row],[Título]])-1</f>
        <v>1846</v>
      </c>
      <c r="B1847" s="1" t="s">
        <v>2733</v>
      </c>
      <c r="C1847" s="1"/>
      <c r="F1847" s="1">
        <v>362</v>
      </c>
      <c r="J1847" s="1"/>
      <c r="M1847" s="15" t="s">
        <v>792</v>
      </c>
      <c r="O1847" s="15"/>
      <c r="P1847" s="15"/>
      <c r="Q1847" s="15" t="str" cm="1">
        <f t="array" ref="Q18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7" s="15" t="str" cm="1">
        <f t="array" ref="R18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canciones/nuevas/exaltando_a_jesus.html</v>
      </c>
      <c r="T1847" s="1"/>
      <c r="U1847" s="1"/>
      <c r="V1847" s="32" t="s">
        <v>4460</v>
      </c>
      <c r="W18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data-nrcc="362"&gt;&lt;a href="canciones/nuevas/exaltando_a_jesus.html"&gt;Exaltando a Jesús&lt;/a&gt;&lt;/li&gt;</v>
      </c>
      <c r="X1847" s="15" t="str">
        <f>_xlfn.TEXTBEFORE(_xlfn.TEXTAFTER(CantoralDB[[#This Row],[index.html]],"&gt;"),"&gt;")&amp;"&gt;"</f>
        <v>&lt;a href="canciones/nuevas/exaltando_a_jesus.html"&gt;</v>
      </c>
      <c r="Y1847"/>
      <c r="AC1847" s="1"/>
    </row>
    <row r="1848" spans="1:29" x14ac:dyDescent="0.3">
      <c r="A1848" s="1">
        <f>ROW(CantoralDB[[#This Row],[Título]])-1</f>
        <v>1847</v>
      </c>
      <c r="B1848" s="1" t="s">
        <v>2606</v>
      </c>
      <c r="C1848" s="1"/>
      <c r="F1848" s="1">
        <v>227</v>
      </c>
      <c r="J1848" s="1"/>
      <c r="M1848" s="15" t="s">
        <v>792</v>
      </c>
      <c r="O1848" s="15"/>
      <c r="P1848" s="15"/>
      <c r="Q1848" s="15" t="str" cm="1">
        <f t="array" ref="Q18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8" s="15" t="str" cm="1">
        <f t="array" ref="R18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canciones/nuevas/gloria_a_ti_por_siempre.html</v>
      </c>
      <c r="T1848" s="1"/>
      <c r="U1848" s="1"/>
      <c r="V1848" s="32" t="s">
        <v>4591</v>
      </c>
      <c r="W18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data-nrcc="227"&gt;&lt;a href="canciones/nuevas/gloria_a_ti_por_siempre.html"&gt;Gloria a ti por siempre&lt;/a&gt;&lt;/li&gt;</v>
      </c>
      <c r="X1848" s="15" t="str">
        <f>_xlfn.TEXTBEFORE(_xlfn.TEXTAFTER(CantoralDB[[#This Row],[index.html]],"&gt;"),"&gt;")&amp;"&gt;"</f>
        <v>&lt;a href="canciones/nuevas/gloria_a_ti_por_siempre.html"&gt;</v>
      </c>
      <c r="Y1848"/>
      <c r="AC1848" s="1"/>
    </row>
    <row r="1849" spans="1:29" x14ac:dyDescent="0.3">
      <c r="A1849" s="1">
        <f>ROW(CantoralDB[[#This Row],[Título]])-1</f>
        <v>1848</v>
      </c>
      <c r="B1849" s="1" t="s">
        <v>2684</v>
      </c>
      <c r="C1849" s="1"/>
      <c r="F1849" s="1">
        <v>314</v>
      </c>
      <c r="J1849" s="1"/>
      <c r="M1849" s="15" t="s">
        <v>792</v>
      </c>
      <c r="O1849" s="15"/>
      <c r="P1849" s="15"/>
      <c r="Q1849" s="15" t="str" cm="1">
        <f t="array" ref="Q18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49" s="15" t="str" cm="1">
        <f t="array" ref="R18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canciones/nuevas/gracias_por_lo_que_haces_por_mi.html</v>
      </c>
      <c r="T1849" s="1"/>
      <c r="U1849" s="1"/>
      <c r="V1849" s="32" t="s">
        <v>4439</v>
      </c>
      <c r="W18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data-nrcc="314"&gt;&lt;a href="canciones/nuevas/gracias_por_lo_que_haces_por_mi.html"&gt;Gracias por lo que haces por mí&lt;/a&gt;&lt;/li&gt;</v>
      </c>
      <c r="X1849" s="15" t="str">
        <f>_xlfn.TEXTBEFORE(_xlfn.TEXTAFTER(CantoralDB[[#This Row],[index.html]],"&gt;"),"&gt;")&amp;"&gt;"</f>
        <v>&lt;a href="canciones/nuevas/gracias_por_lo_que_haces_por_mi.html"&gt;</v>
      </c>
      <c r="Y1849"/>
      <c r="AC1849" s="1"/>
    </row>
    <row r="1850" spans="1:29" x14ac:dyDescent="0.3">
      <c r="A1850" s="1">
        <f>ROW(CantoralDB[[#This Row],[Título]])-1</f>
        <v>1849</v>
      </c>
      <c r="B1850" s="1" t="s">
        <v>2568</v>
      </c>
      <c r="C1850" s="1"/>
      <c r="F1850" s="1">
        <v>182</v>
      </c>
      <c r="J1850" s="1"/>
      <c r="M1850" s="15" t="s">
        <v>792</v>
      </c>
      <c r="O1850" s="15"/>
      <c r="P1850" s="15"/>
      <c r="Q1850" s="15" t="str" cm="1">
        <f t="array" ref="Q18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0" s="15" t="str" cm="1">
        <f t="array" ref="R18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canciones/nuevas/hay_momentos.html</v>
      </c>
      <c r="T1850" s="1"/>
      <c r="U1850" s="1"/>
      <c r="V1850" s="15"/>
      <c r="W18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data-nrcc="182"&gt;&lt;a href="canciones/nuevas/hay_momentos.html"&gt;Hay momentos&lt;/a&gt;&lt;/li&gt;</v>
      </c>
      <c r="X1850" s="15" t="str">
        <f>_xlfn.TEXTBEFORE(_xlfn.TEXTAFTER(CantoralDB[[#This Row],[index.html]],"&gt;"),"&gt;")&amp;"&gt;"</f>
        <v>&lt;a href="canciones/nuevas/hay_momentos.html"&gt;</v>
      </c>
      <c r="Y1850"/>
      <c r="AC1850" s="1"/>
    </row>
    <row r="1851" spans="1:29" x14ac:dyDescent="0.3">
      <c r="A1851" s="1">
        <f>ROW(CantoralDB[[#This Row],[Título]])-1</f>
        <v>1850</v>
      </c>
      <c r="B1851" s="1" t="s">
        <v>2831</v>
      </c>
      <c r="C1851" s="1"/>
      <c r="F1851" s="1">
        <v>444</v>
      </c>
      <c r="J1851" s="1"/>
      <c r="M1851" s="15" t="s">
        <v>792</v>
      </c>
      <c r="O1851" s="15"/>
      <c r="P1851" s="15"/>
      <c r="Q1851" s="15" t="str" cm="1">
        <f t="array" ref="Q18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1" s="15" t="str" cm="1">
        <f t="array" ref="R18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canciones/nuevas/hay_que_volver_a_nacer_de_nuevo.html</v>
      </c>
      <c r="T1851" s="1"/>
      <c r="U1851" s="1"/>
      <c r="V1851" s="15"/>
      <c r="W18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data-nrcc="444"&gt;&lt;a href="canciones/nuevas/hay_que_volver_a_nacer_de_nuevo.html"&gt;Hay que volver a nacer de nuevo&lt;/a&gt;&lt;/li&gt;</v>
      </c>
      <c r="X1851" s="15" t="str">
        <f>_xlfn.TEXTBEFORE(_xlfn.TEXTAFTER(CantoralDB[[#This Row],[index.html]],"&gt;"),"&gt;")&amp;"&gt;"</f>
        <v>&lt;a href="canciones/nuevas/hay_que_volver_a_nacer_de_nuevo.html"&gt;</v>
      </c>
      <c r="Y1851"/>
      <c r="AC1851" s="1"/>
    </row>
    <row r="1852" spans="1:29" x14ac:dyDescent="0.3">
      <c r="A1852" s="1">
        <f>ROW(CantoralDB[[#This Row],[Título]])-1</f>
        <v>1851</v>
      </c>
      <c r="B1852" s="1" t="s">
        <v>2722</v>
      </c>
      <c r="C1852" s="1"/>
      <c r="F1852" s="1">
        <v>352</v>
      </c>
      <c r="J1852" s="1"/>
      <c r="M1852" s="15" t="s">
        <v>792</v>
      </c>
      <c r="O1852" s="15"/>
      <c r="P1852" s="15"/>
      <c r="Q1852" s="15" t="str" cm="1">
        <f t="array" ref="Q18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2" s="15" t="str" cm="1">
        <f t="array" ref="R18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canciones/nuevas/hay_una_fuente_en_mi.html</v>
      </c>
      <c r="T1852" s="1"/>
      <c r="U1852" s="1"/>
      <c r="V1852" s="32" t="s">
        <v>4548</v>
      </c>
      <c r="W18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data-nrcc="352"&gt;&lt;a href="canciones/nuevas/hay_una_fuente_en_mi.html"&gt;Hay una fuente en mí&lt;/a&gt;&lt;/li&gt;</v>
      </c>
      <c r="X1852" s="15" t="str">
        <f>_xlfn.TEXTBEFORE(_xlfn.TEXTAFTER(CantoralDB[[#This Row],[index.html]],"&gt;"),"&gt;")&amp;"&gt;"</f>
        <v>&lt;a href="canciones/nuevas/hay_una_fuente_en_mi.html"&gt;</v>
      </c>
      <c r="Y1852"/>
      <c r="AC1852" s="1"/>
    </row>
    <row r="1853" spans="1:29" x14ac:dyDescent="0.3">
      <c r="A1853" s="1">
        <f>ROW(CantoralDB[[#This Row],[Título]])-1</f>
        <v>1852</v>
      </c>
      <c r="B1853" s="1" t="s">
        <v>2695</v>
      </c>
      <c r="C1853" s="1"/>
      <c r="F1853" s="1">
        <v>327</v>
      </c>
      <c r="J1853" s="1"/>
      <c r="M1853" s="15" t="s">
        <v>792</v>
      </c>
      <c r="O1853" s="15"/>
      <c r="P1853" s="15"/>
      <c r="Q1853" s="15" t="str" cm="1">
        <f t="array" ref="Q18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3" s="15" t="str" cm="1">
        <f t="array" ref="R18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canciones/nuevas/haz_de_mi_una_ofrenda.html</v>
      </c>
      <c r="T1853" s="1"/>
      <c r="U1853" s="1"/>
      <c r="V1853" s="15"/>
      <c r="W18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data-nrcc="327"&gt;&lt;a href="canciones/nuevas/haz_de_mi_una_ofrenda.html"&gt;Haz de mí una ofrenda&lt;/a&gt;&lt;/li&gt;</v>
      </c>
      <c r="X1853" s="15" t="str">
        <f>_xlfn.TEXTBEFORE(_xlfn.TEXTAFTER(CantoralDB[[#This Row],[index.html]],"&gt;"),"&gt;")&amp;"&gt;"</f>
        <v>&lt;a href="canciones/nuevas/haz_de_mi_una_ofrenda.html"&gt;</v>
      </c>
      <c r="Y1853"/>
      <c r="AC1853" s="1"/>
    </row>
    <row r="1854" spans="1:29" x14ac:dyDescent="0.3">
      <c r="A1854" s="1">
        <f>ROW(CantoralDB[[#This Row],[Título]])-1</f>
        <v>1853</v>
      </c>
      <c r="B1854" s="1" t="s">
        <v>2636</v>
      </c>
      <c r="C1854" s="1"/>
      <c r="F1854" s="1">
        <v>264</v>
      </c>
      <c r="J1854" s="1"/>
      <c r="M1854" s="15" t="s">
        <v>792</v>
      </c>
      <c r="O1854" s="15"/>
      <c r="P1854" s="15"/>
      <c r="Q1854" s="15" t="str" cm="1">
        <f t="array" ref="Q18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4" s="15" t="str" cm="1">
        <f t="array" ref="R18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canciones/nuevas/honor_y_gloria_a_tu_nombre.html</v>
      </c>
      <c r="T1854" s="1"/>
      <c r="U1854" s="1"/>
      <c r="V1854" s="15"/>
      <c r="W18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data-nrcc="264"&gt;&lt;a href="canciones/nuevas/honor_y_gloria_a_tu_nombre.html"&gt;Honor y gloria a tu nombre&lt;/a&gt;&lt;/li&gt;</v>
      </c>
      <c r="X1854" s="15" t="str">
        <f>_xlfn.TEXTBEFORE(_xlfn.TEXTAFTER(CantoralDB[[#This Row],[index.html]],"&gt;"),"&gt;")&amp;"&gt;"</f>
        <v>&lt;a href="canciones/nuevas/honor_y_gloria_a_tu_nombre.html"&gt;</v>
      </c>
      <c r="Y1854"/>
      <c r="AC1854" s="1"/>
    </row>
    <row r="1855" spans="1:29" x14ac:dyDescent="0.3">
      <c r="A1855" s="1">
        <f>ROW(CantoralDB[[#This Row],[Título]])-1</f>
        <v>1854</v>
      </c>
      <c r="B1855" s="1" t="s">
        <v>2445</v>
      </c>
      <c r="C1855" s="1"/>
      <c r="F1855" s="1">
        <v>66</v>
      </c>
      <c r="J1855" s="1"/>
      <c r="M1855" s="15" t="s">
        <v>792</v>
      </c>
      <c r="O1855" s="15"/>
      <c r="P1855" s="15"/>
      <c r="Q1855" s="15" t="str" cm="1">
        <f t="array" ref="Q18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5" s="15" t="str" cm="1">
        <f t="array" ref="R18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canciones/nuevas/hoy_el_señor_me_llamo.html</v>
      </c>
      <c r="T1855" s="1"/>
      <c r="U1855" s="1"/>
      <c r="V1855" s="15"/>
      <c r="W18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data-nrcc="66"&gt;&lt;a href="canciones/nuevas/hoy_el_señor_me_llamo.html"&gt;Hoy el Señor me llamó&lt;/a&gt;&lt;/li&gt;</v>
      </c>
      <c r="X1855" s="15" t="str">
        <f>_xlfn.TEXTBEFORE(_xlfn.TEXTAFTER(CantoralDB[[#This Row],[index.html]],"&gt;"),"&gt;")&amp;"&gt;"</f>
        <v>&lt;a href="canciones/nuevas/hoy_el_señor_me_llamo.html"&gt;</v>
      </c>
      <c r="Y1855"/>
      <c r="AC1855" s="1"/>
    </row>
    <row r="1856" spans="1:29" x14ac:dyDescent="0.3">
      <c r="A1856" s="1">
        <f>ROW(CantoralDB[[#This Row],[Título]])-1</f>
        <v>1855</v>
      </c>
      <c r="B1856" s="1" t="s">
        <v>2431</v>
      </c>
      <c r="C1856" s="1"/>
      <c r="F1856" s="1">
        <v>54</v>
      </c>
      <c r="J1856" s="1"/>
      <c r="M1856" s="15" t="s">
        <v>792</v>
      </c>
      <c r="O1856" s="15"/>
      <c r="P1856" s="15"/>
      <c r="Q1856" s="15" t="str" cm="1">
        <f t="array" ref="Q18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6" s="15" t="str" cm="1">
        <f t="array" ref="R18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canciones/nuevas/hoy_perdoname.html</v>
      </c>
      <c r="T1856" s="1"/>
      <c r="U1856" s="1"/>
      <c r="V1856" s="32" t="s">
        <v>4483</v>
      </c>
      <c r="W18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data-nrcc="54"&gt;&lt;a href="canciones/nuevas/hoy_perdoname.html"&gt;Hoy perdóname&lt;/a&gt;&lt;/li&gt;</v>
      </c>
      <c r="X1856" s="15" t="str">
        <f>_xlfn.TEXTBEFORE(_xlfn.TEXTAFTER(CantoralDB[[#This Row],[index.html]],"&gt;"),"&gt;")&amp;"&gt;"</f>
        <v>&lt;a href="canciones/nuevas/hoy_perdoname.html"&gt;</v>
      </c>
      <c r="Y1856"/>
      <c r="AC1856" s="1"/>
    </row>
    <row r="1857" spans="1:29" x14ac:dyDescent="0.3">
      <c r="A1857" s="1">
        <f>ROW(CantoralDB[[#This Row],[Título]])-1</f>
        <v>1856</v>
      </c>
      <c r="B1857" s="1" t="s">
        <v>2398</v>
      </c>
      <c r="C1857" s="1"/>
      <c r="F1857" s="1">
        <v>23</v>
      </c>
      <c r="J1857" s="1"/>
      <c r="M1857" s="15" t="s">
        <v>792</v>
      </c>
      <c r="O1857" s="15"/>
      <c r="P1857" s="15"/>
      <c r="Q1857" s="15" t="str" cm="1">
        <f t="array" ref="Q18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7" s="15" t="str" cm="1">
        <f t="array" ref="R18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canciones/nuevas/inunda_mi_ser.html</v>
      </c>
      <c r="T1857" s="1"/>
      <c r="U1857" s="1"/>
      <c r="V1857" s="15"/>
      <c r="W18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data-nrcc="23"&gt;&lt;a href="canciones/nuevas/inunda_mi_ser.html"&gt;Inunda mi ser&lt;/a&gt;&lt;/li&gt;</v>
      </c>
      <c r="X1857" s="15" t="str">
        <f>_xlfn.TEXTBEFORE(_xlfn.TEXTAFTER(CantoralDB[[#This Row],[index.html]],"&gt;"),"&gt;")&amp;"&gt;"</f>
        <v>&lt;a href="canciones/nuevas/inunda_mi_ser.html"&gt;</v>
      </c>
      <c r="Y1857"/>
      <c r="AC1857" s="1"/>
    </row>
    <row r="1858" spans="1:29" x14ac:dyDescent="0.3">
      <c r="A1858" s="1">
        <f>ROW(CantoralDB[[#This Row],[Título]])-1</f>
        <v>1857</v>
      </c>
      <c r="B1858" s="1" t="s">
        <v>2563</v>
      </c>
      <c r="C1858" s="1"/>
      <c r="F1858" s="1">
        <v>178</v>
      </c>
      <c r="J1858" s="1"/>
      <c r="M1858" s="15" t="s">
        <v>792</v>
      </c>
      <c r="O1858" s="15"/>
      <c r="P1858" s="15"/>
      <c r="Q1858" s="15" t="str" cm="1">
        <f t="array" ref="Q18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8" s="15" t="str" cm="1">
        <f t="array" ref="R18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canciones/nuevas/jesucristo_es_tan_grande.html</v>
      </c>
      <c r="T1858" s="1"/>
      <c r="U1858" s="1"/>
      <c r="V1858" s="15"/>
      <c r="W18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data-nrcc="178"&gt;&lt;a href="canciones/nuevas/jesucristo_es_tan_grande.html"&gt;Jesucristo es tan grande&lt;/a&gt;&lt;/li&gt;</v>
      </c>
      <c r="X1858" s="15" t="str">
        <f>_xlfn.TEXTBEFORE(_xlfn.TEXTAFTER(CantoralDB[[#This Row],[index.html]],"&gt;"),"&gt;")&amp;"&gt;"</f>
        <v>&lt;a href="canciones/nuevas/jesucristo_es_tan_grande.html"&gt;</v>
      </c>
      <c r="Y1858"/>
      <c r="AC1858" s="1"/>
    </row>
    <row r="1859" spans="1:29" x14ac:dyDescent="0.3">
      <c r="A1859" s="1">
        <f>ROW(CantoralDB[[#This Row],[Título]])-1</f>
        <v>1858</v>
      </c>
      <c r="B1859" s="1" t="s">
        <v>2675</v>
      </c>
      <c r="C1859" s="1"/>
      <c r="F1859" s="1">
        <v>304</v>
      </c>
      <c r="J1859" s="1"/>
      <c r="M1859" s="15" t="s">
        <v>792</v>
      </c>
      <c r="O1859" s="15"/>
      <c r="P1859" s="15"/>
      <c r="Q1859" s="15" t="str" cm="1">
        <f t="array" ref="Q18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59" s="15" t="str" cm="1">
        <f t="array" ref="R18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canciones/nuevas/jesus_(asis).html</v>
      </c>
      <c r="T1859" s="1"/>
      <c r="U1859" s="1"/>
      <c r="V1859" s="15"/>
      <c r="W18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data-nrcc="304"&gt;&lt;a href="canciones/nuevas/jesus_(asis).html"&gt;Jesús (Asís)&lt;/a&gt;&lt;/li&gt;</v>
      </c>
      <c r="X1859" s="15" t="str">
        <f>_xlfn.TEXTBEFORE(_xlfn.TEXTAFTER(CantoralDB[[#This Row],[index.html]],"&gt;"),"&gt;")&amp;"&gt;"</f>
        <v>&lt;a href="canciones/nuevas/jesus_(asis).html"&gt;</v>
      </c>
      <c r="Y1859"/>
      <c r="AC1859" s="1"/>
    </row>
    <row r="1860" spans="1:29" x14ac:dyDescent="0.3">
      <c r="A1860" s="1">
        <f>ROW(CantoralDB[[#This Row],[Título]])-1</f>
        <v>1859</v>
      </c>
      <c r="B1860" s="1" t="s">
        <v>2780</v>
      </c>
      <c r="C1860" s="1"/>
      <c r="F1860" s="1">
        <v>403</v>
      </c>
      <c r="J1860" s="1"/>
      <c r="M1860" s="15" t="s">
        <v>792</v>
      </c>
      <c r="O1860" s="15"/>
      <c r="P1860" s="15"/>
      <c r="Q1860" s="15" t="str" cm="1">
        <f t="array" ref="Q18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0" s="15" t="str" cm="1">
        <f t="array" ref="R18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canciones/nuevas/la_paz_este_con_nosotros.html</v>
      </c>
      <c r="T1860" s="1"/>
      <c r="U1860" s="1"/>
      <c r="V1860" s="32" t="s">
        <v>4589</v>
      </c>
      <c r="W18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data-nrcc="403"&gt;&lt;a href="canciones/nuevas/la_paz_este_con_nosotros.html"&gt;La paz esté con nosotros&lt;/a&gt;&lt;/li&gt;</v>
      </c>
      <c r="X1860" s="15" t="str">
        <f>_xlfn.TEXTBEFORE(_xlfn.TEXTAFTER(CantoralDB[[#This Row],[index.html]],"&gt;"),"&gt;")&amp;"&gt;"</f>
        <v>&lt;a href="canciones/nuevas/la_paz_este_con_nosotros.html"&gt;</v>
      </c>
      <c r="Y1860"/>
      <c r="AC1860" s="1"/>
    </row>
    <row r="1861" spans="1:29" x14ac:dyDescent="0.3">
      <c r="A1861" s="1">
        <f>ROW(CantoralDB[[#This Row],[Título]])-1</f>
        <v>1860</v>
      </c>
      <c r="B1861" s="1" t="s">
        <v>2588</v>
      </c>
      <c r="C1861" s="1"/>
      <c r="F1861" s="1">
        <v>204</v>
      </c>
      <c r="J1861" s="1"/>
      <c r="M1861" s="15" t="s">
        <v>792</v>
      </c>
      <c r="O1861" s="15"/>
      <c r="P1861" s="15"/>
      <c r="Q1861" s="15" t="str" cm="1">
        <f t="array" ref="Q18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1" s="15" t="str" cm="1">
        <f t="array" ref="R18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canciones/nuevas/laudato_sii_o_mi_signore.html</v>
      </c>
      <c r="T1861" s="1"/>
      <c r="U1861" s="1"/>
      <c r="V1861" s="32" t="s">
        <v>4576</v>
      </c>
      <c r="W18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data-nrcc="204"&gt;&lt;a href="canciones/nuevas/laudato_sii_o_mi_signore.html"&gt;Laudato sii, o, mi Signore&lt;/a&gt;&lt;/li&gt;</v>
      </c>
      <c r="X1861" s="15" t="str">
        <f>_xlfn.TEXTBEFORE(_xlfn.TEXTAFTER(CantoralDB[[#This Row],[index.html]],"&gt;"),"&gt;")&amp;"&gt;"</f>
        <v>&lt;a href="canciones/nuevas/laudato_sii_o_mi_signore.html"&gt;</v>
      </c>
      <c r="Y1861"/>
      <c r="AC1861" s="1"/>
    </row>
    <row r="1862" spans="1:29" x14ac:dyDescent="0.3">
      <c r="A1862" s="1">
        <f>ROW(CantoralDB[[#This Row],[Título]])-1</f>
        <v>1861</v>
      </c>
      <c r="B1862" s="1" t="s">
        <v>2597</v>
      </c>
      <c r="C1862" s="1"/>
      <c r="F1862" s="1">
        <v>217</v>
      </c>
      <c r="J1862" s="1"/>
      <c r="M1862" s="15" t="s">
        <v>792</v>
      </c>
      <c r="O1862" s="15"/>
      <c r="P1862" s="15"/>
      <c r="Q1862" s="15" t="str" cm="1">
        <f t="array" ref="Q18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2" s="15" t="str" cm="1">
        <f t="array" ref="R18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canciones/nuevas/levantare_mis_manos.html</v>
      </c>
      <c r="T1862" s="1"/>
      <c r="U1862" s="1"/>
      <c r="V1862" s="15"/>
      <c r="W18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data-nrcc="217"&gt;&lt;a href="canciones/nuevas/levantare_mis_manos.html"&gt;Levantaré mis manos&lt;/a&gt;&lt;/li&gt;</v>
      </c>
      <c r="X1862" s="15" t="str">
        <f>_xlfn.TEXTBEFORE(_xlfn.TEXTAFTER(CantoralDB[[#This Row],[index.html]],"&gt;"),"&gt;")&amp;"&gt;"</f>
        <v>&lt;a href="canciones/nuevas/levantare_mis_manos.html"&gt;</v>
      </c>
      <c r="Y1862"/>
      <c r="AC1862" s="1"/>
    </row>
    <row r="1863" spans="1:29" x14ac:dyDescent="0.3">
      <c r="A1863" s="1">
        <f>ROW(CantoralDB[[#This Row],[Título]])-1</f>
        <v>1862</v>
      </c>
      <c r="B1863" s="1" t="s">
        <v>2382</v>
      </c>
      <c r="C1863" s="1"/>
      <c r="F1863" s="1">
        <v>6</v>
      </c>
      <c r="H1863" s="1" t="s">
        <v>1027</v>
      </c>
      <c r="J1863" s="1" t="s">
        <v>605</v>
      </c>
      <c r="M1863" s="15" t="s">
        <v>792</v>
      </c>
      <c r="O1863" s="15"/>
      <c r="P1863" s="15"/>
      <c r="Q1863" s="15" t="str" cm="1">
        <f t="array" ref="Q18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3" s="15" t="str" cm="1">
        <f t="array" ref="R18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canciones/nuevas/llename_señor.html</v>
      </c>
      <c r="T1863" s="1"/>
      <c r="U1863" s="1"/>
      <c r="V1863" s="32" t="s">
        <v>3001</v>
      </c>
      <c r="W18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data-nrcc="6"&gt;&lt;a href="canciones/nuevas/llename_señor.html"&gt;Lléname, Señor&lt;/a&gt;&lt;/li&gt;</v>
      </c>
      <c r="X1863" s="15" t="str">
        <f>_xlfn.TEXTBEFORE(_xlfn.TEXTAFTER(CantoralDB[[#This Row],[index.html]],"&gt;"),"&gt;")&amp;"&gt;"</f>
        <v>&lt;a href="canciones/nuevas/llename_señor.html"&gt;</v>
      </c>
      <c r="Y1863"/>
      <c r="AC1863" s="1"/>
    </row>
    <row r="1864" spans="1:29" x14ac:dyDescent="0.3">
      <c r="A1864" s="1">
        <f>ROW(CantoralDB[[#This Row],[Título]])-1</f>
        <v>1863</v>
      </c>
      <c r="B1864" s="1" t="s">
        <v>2582</v>
      </c>
      <c r="C1864" s="1"/>
      <c r="F1864" s="1">
        <v>197</v>
      </c>
      <c r="J1864" s="1"/>
      <c r="M1864" s="15" t="s">
        <v>792</v>
      </c>
      <c r="O1864" s="15"/>
      <c r="P1864" s="15"/>
      <c r="Q1864" s="15" t="str" cm="1">
        <f t="array" ref="Q18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4" s="15" t="str" cm="1">
        <f t="array" ref="R18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canciones/nuevas/los_que_esperan.html</v>
      </c>
      <c r="T1864" s="1"/>
      <c r="U1864" s="1"/>
      <c r="V1864" s="32" t="s">
        <v>4547</v>
      </c>
      <c r="W18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data-nrcc="197"&gt;&lt;a href="canciones/nuevas/los_que_esperan.html"&gt;Los que esperan&lt;/a&gt;&lt;/li&gt;</v>
      </c>
      <c r="X1864" s="15" t="str">
        <f>_xlfn.TEXTBEFORE(_xlfn.TEXTAFTER(CantoralDB[[#This Row],[index.html]],"&gt;"),"&gt;")&amp;"&gt;"</f>
        <v>&lt;a href="canciones/nuevas/los_que_esperan.html"&gt;</v>
      </c>
      <c r="Y1864"/>
      <c r="AC1864" s="1"/>
    </row>
    <row r="1865" spans="1:29" x14ac:dyDescent="0.3">
      <c r="A1865" s="1">
        <f>ROW(CantoralDB[[#This Row],[Título]])-1</f>
        <v>1864</v>
      </c>
      <c r="B1865" s="1" t="s">
        <v>2592</v>
      </c>
      <c r="C1865" s="1"/>
      <c r="F1865" s="1">
        <v>211</v>
      </c>
      <c r="J1865" s="1"/>
      <c r="M1865" s="15" t="s">
        <v>792</v>
      </c>
      <c r="O1865" s="15"/>
      <c r="P1865" s="15"/>
      <c r="Q1865" s="15" t="str" cm="1">
        <f t="array" ref="Q18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5" s="15" t="str" cm="1">
        <f t="array" ref="R18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canciones/nuevas/manos_abiertas_ante_ti.html</v>
      </c>
      <c r="T1865" s="1"/>
      <c r="U1865" s="1"/>
      <c r="V1865" s="32" t="s">
        <v>4533</v>
      </c>
      <c r="W18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data-nrcc="211"&gt;&lt;a href="canciones/nuevas/manos_abiertas_ante_ti.html"&gt;Manos abiertas ante ti&lt;/a&gt;&lt;/li&gt;</v>
      </c>
      <c r="X1865" s="15" t="str">
        <f>_xlfn.TEXTBEFORE(_xlfn.TEXTAFTER(CantoralDB[[#This Row],[index.html]],"&gt;"),"&gt;")&amp;"&gt;"</f>
        <v>&lt;a href="canciones/nuevas/manos_abiertas_ante_ti.html"&gt;</v>
      </c>
      <c r="Y1865"/>
      <c r="AC1865" s="1"/>
    </row>
    <row r="1866" spans="1:29" x14ac:dyDescent="0.3">
      <c r="A1866" s="1">
        <f>ROW(CantoralDB[[#This Row],[Título]])-1</f>
        <v>1865</v>
      </c>
      <c r="B1866" s="1" t="s">
        <v>2602</v>
      </c>
      <c r="C1866" s="1"/>
      <c r="F1866" s="1">
        <v>222</v>
      </c>
      <c r="J1866" s="1"/>
      <c r="M1866" s="15" t="s">
        <v>792</v>
      </c>
      <c r="O1866" s="15"/>
      <c r="P1866" s="15"/>
      <c r="Q1866" s="15" t="str" cm="1">
        <f t="array" ref="Q18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6" s="15" t="str" cm="1">
        <f t="array" ref="R18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canciones/nuevas/manos_vacias.html</v>
      </c>
      <c r="T1866" s="1"/>
      <c r="U1866" s="1"/>
      <c r="V1866" s="32" t="s">
        <v>4535</v>
      </c>
      <c r="W18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data-nrcc="222"&gt;&lt;a href="canciones/nuevas/manos_vacias.html"&gt;Manos vacías&lt;/a&gt;&lt;/li&gt;</v>
      </c>
      <c r="X1866" s="15" t="str">
        <f>_xlfn.TEXTBEFORE(_xlfn.TEXTAFTER(CantoralDB[[#This Row],[index.html]],"&gt;"),"&gt;")&amp;"&gt;"</f>
        <v>&lt;a href="canciones/nuevas/manos_vacias.html"&gt;</v>
      </c>
      <c r="Y1866"/>
      <c r="AC1866" s="1"/>
    </row>
    <row r="1867" spans="1:29" x14ac:dyDescent="0.3">
      <c r="A1867" s="1">
        <f>ROW(CantoralDB[[#This Row],[Título]])-1</f>
        <v>1866</v>
      </c>
      <c r="B1867" s="1" t="s">
        <v>2444</v>
      </c>
      <c r="C1867" s="1"/>
      <c r="F1867" s="1">
        <v>65</v>
      </c>
      <c r="J1867" s="1"/>
      <c r="M1867" s="15" t="s">
        <v>792</v>
      </c>
      <c r="O1867" s="15"/>
      <c r="P1867" s="15"/>
      <c r="Q1867" s="15" t="str" cm="1">
        <f t="array" ref="Q18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7" s="15" t="str" cm="1">
        <f t="array" ref="R18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canciones/nuevas/maravilloso.html</v>
      </c>
      <c r="T1867" s="1"/>
      <c r="U1867" s="1"/>
      <c r="V1867" s="15"/>
      <c r="W18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data-nrcc="65"&gt;&lt;a href="canciones/nuevas/maravilloso.html"&gt;Maravilloso&lt;/a&gt;&lt;/li&gt;</v>
      </c>
      <c r="X1867" s="15" t="str">
        <f>_xlfn.TEXTBEFORE(_xlfn.TEXTAFTER(CantoralDB[[#This Row],[index.html]],"&gt;"),"&gt;")&amp;"&gt;"</f>
        <v>&lt;a href="canciones/nuevas/maravilloso.html"&gt;</v>
      </c>
      <c r="Y1867"/>
      <c r="AC1867" s="1"/>
    </row>
    <row r="1868" spans="1:29" x14ac:dyDescent="0.3">
      <c r="A1868" s="1">
        <f>ROW(CantoralDB[[#This Row],[Título]])-1</f>
        <v>1867</v>
      </c>
      <c r="B1868" s="1" t="s">
        <v>2437</v>
      </c>
      <c r="C1868" s="1"/>
      <c r="F1868" s="1">
        <v>59</v>
      </c>
      <c r="J1868" s="1"/>
      <c r="M1868" s="15" t="s">
        <v>792</v>
      </c>
      <c r="O1868" s="15"/>
      <c r="P1868" s="15"/>
      <c r="Q1868" s="15" t="str" cm="1">
        <f t="array" ref="Q18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8" s="15" t="str" cm="1">
        <f t="array" ref="R18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canciones/nuevas/maravilloso_jesus_es_para_mi.html</v>
      </c>
      <c r="T1868" s="1"/>
      <c r="U1868" s="1"/>
      <c r="V1868" s="15"/>
      <c r="W18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data-nrcc="59"&gt;&lt;a href="canciones/nuevas/maravilloso_jesus_es_para_mi.html"&gt;Maravilloso Jesús es para mí&lt;/a&gt;&lt;/li&gt;</v>
      </c>
      <c r="X1868" s="15" t="str">
        <f>_xlfn.TEXTBEFORE(_xlfn.TEXTAFTER(CantoralDB[[#This Row],[index.html]],"&gt;"),"&gt;")&amp;"&gt;"</f>
        <v>&lt;a href="canciones/nuevas/maravilloso_jesus_es_para_mi.html"&gt;</v>
      </c>
      <c r="Y1868"/>
      <c r="AC1868" s="1"/>
    </row>
    <row r="1869" spans="1:29" x14ac:dyDescent="0.3">
      <c r="A1869" s="1">
        <f>ROW(CantoralDB[[#This Row],[Título]])-1</f>
        <v>1868</v>
      </c>
      <c r="B1869" s="1" t="s">
        <v>2417</v>
      </c>
      <c r="C1869" s="1"/>
      <c r="F1869" s="1">
        <v>43</v>
      </c>
      <c r="J1869" s="1"/>
      <c r="M1869" s="15" t="s">
        <v>792</v>
      </c>
      <c r="O1869" s="15"/>
      <c r="P1869" s="15"/>
      <c r="Q1869" s="15" t="str" cm="1">
        <f t="array" ref="Q18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69" s="15" t="str" cm="1">
        <f t="array" ref="R18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canciones/nuevas/me_alegrare.html</v>
      </c>
      <c r="T1869" s="1"/>
      <c r="U1869" s="1"/>
      <c r="V1869" s="15"/>
      <c r="W18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data-nrcc="43"&gt;&lt;a href="canciones/nuevas/me_alegrare.html"&gt;Me alegraré&lt;/a&gt;&lt;/li&gt;</v>
      </c>
      <c r="X1869" s="15" t="str">
        <f>_xlfn.TEXTBEFORE(_xlfn.TEXTAFTER(CantoralDB[[#This Row],[index.html]],"&gt;"),"&gt;")&amp;"&gt;"</f>
        <v>&lt;a href="canciones/nuevas/me_alegrare.html"&gt;</v>
      </c>
      <c r="Y1869"/>
      <c r="AC1869" s="1"/>
    </row>
    <row r="1870" spans="1:29" x14ac:dyDescent="0.3">
      <c r="A1870" s="1">
        <f>ROW(CantoralDB[[#This Row],[Título]])-1</f>
        <v>1869</v>
      </c>
      <c r="B1870" s="1" t="s">
        <v>2659</v>
      </c>
      <c r="C1870" s="1"/>
      <c r="F1870" s="1">
        <v>289</v>
      </c>
      <c r="J1870" s="1"/>
      <c r="M1870" s="15" t="s">
        <v>792</v>
      </c>
      <c r="O1870" s="15"/>
      <c r="P1870" s="15"/>
      <c r="Q1870" s="15" t="str" cm="1">
        <f t="array" ref="Q18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0" s="15" t="str" cm="1">
        <f t="array" ref="R18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canciones/nuevas/me_gozare_me_alegrare.html</v>
      </c>
      <c r="T1870" s="1"/>
      <c r="U1870" s="1"/>
      <c r="V1870" s="15"/>
      <c r="W18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data-nrcc="289"&gt;&lt;a href="canciones/nuevas/me_gozare_me_alegrare.html"&gt;Me gozaré, me alegraré&lt;/a&gt;&lt;/li&gt;</v>
      </c>
      <c r="X1870" s="15" t="str">
        <f>_xlfn.TEXTBEFORE(_xlfn.TEXTAFTER(CantoralDB[[#This Row],[index.html]],"&gt;"),"&gt;")&amp;"&gt;"</f>
        <v>&lt;a href="canciones/nuevas/me_gozare_me_alegrare.html"&gt;</v>
      </c>
      <c r="Y1870"/>
      <c r="AC1870" s="1"/>
    </row>
    <row r="1871" spans="1:29" x14ac:dyDescent="0.3">
      <c r="A1871" s="1">
        <f>ROW(CantoralDB[[#This Row],[Título]])-1</f>
        <v>1870</v>
      </c>
      <c r="B1871" s="1" t="s">
        <v>2769</v>
      </c>
      <c r="C1871" s="1"/>
      <c r="F1871" s="1">
        <v>392</v>
      </c>
      <c r="J1871" s="1"/>
      <c r="M1871" s="15" t="s">
        <v>792</v>
      </c>
      <c r="O1871" s="15"/>
      <c r="P1871" s="15"/>
      <c r="Q1871" s="15" t="str" cm="1">
        <f t="array" ref="Q18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1" s="15" t="str" cm="1">
        <f t="array" ref="R18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canciones/nuevas/me_llaman_aleluya.html</v>
      </c>
      <c r="T1871" s="1"/>
      <c r="U1871" s="1"/>
      <c r="V1871" s="15"/>
      <c r="W18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data-nrcc="392"&gt;&lt;a href="canciones/nuevas/me_llaman_aleluya.html"&gt;Me llaman aleluya&lt;/a&gt;&lt;/li&gt;</v>
      </c>
      <c r="X1871" s="15" t="str">
        <f>_xlfn.TEXTBEFORE(_xlfn.TEXTAFTER(CantoralDB[[#This Row],[index.html]],"&gt;"),"&gt;")&amp;"&gt;"</f>
        <v>&lt;a href="canciones/nuevas/me_llaman_aleluya.html"&gt;</v>
      </c>
      <c r="Y1871"/>
      <c r="AC1871" s="1"/>
    </row>
    <row r="1872" spans="1:29" x14ac:dyDescent="0.3">
      <c r="A1872" s="1">
        <f>ROW(CantoralDB[[#This Row],[Título]])-1</f>
        <v>1871</v>
      </c>
      <c r="B1872" s="1" t="s">
        <v>2627</v>
      </c>
      <c r="C1872" s="1"/>
      <c r="F1872" s="1">
        <v>256</v>
      </c>
      <c r="J1872" s="1"/>
      <c r="M1872" s="15" t="s">
        <v>792</v>
      </c>
      <c r="O1872" s="15"/>
      <c r="P1872" s="15"/>
      <c r="Q1872" s="15" t="str" cm="1">
        <f t="array" ref="Q18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2" s="15" t="str" cm="1">
        <f t="array" ref="R18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canciones/nuevas/me_sedujiste_señor.html</v>
      </c>
      <c r="T1872" s="1"/>
      <c r="U1872" s="1"/>
      <c r="V1872" s="15"/>
      <c r="W18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data-nrcc="256"&gt;&lt;a href="canciones/nuevas/me_sedujiste_señor.html"&gt;Me sedujiste, Señor&lt;/a&gt;&lt;/li&gt;</v>
      </c>
      <c r="X1872" s="15" t="str">
        <f>_xlfn.TEXTBEFORE(_xlfn.TEXTAFTER(CantoralDB[[#This Row],[index.html]],"&gt;"),"&gt;")&amp;"&gt;"</f>
        <v>&lt;a href="canciones/nuevas/me_sedujiste_señor.html"&gt;</v>
      </c>
      <c r="Y1872"/>
      <c r="AC1872" s="1"/>
    </row>
    <row r="1873" spans="1:29" x14ac:dyDescent="0.3">
      <c r="A1873" s="1">
        <f>ROW(CantoralDB[[#This Row],[Título]])-1</f>
        <v>1872</v>
      </c>
      <c r="B1873" s="1" t="s">
        <v>2517</v>
      </c>
      <c r="C1873" s="1"/>
      <c r="F1873" s="1">
        <v>132</v>
      </c>
      <c r="J1873" s="1"/>
      <c r="M1873" s="15" t="s">
        <v>792</v>
      </c>
      <c r="O1873" s="15"/>
      <c r="P1873" s="15"/>
      <c r="Q1873" s="15" t="str" cm="1">
        <f t="array" ref="Q18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3" s="15" t="str" cm="1">
        <f t="array" ref="R18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canciones/nuevas/mi_alma_alaba_al_señor.html</v>
      </c>
      <c r="T1873" s="1"/>
      <c r="U1873" s="1"/>
      <c r="V1873" s="32" t="s">
        <v>4454</v>
      </c>
      <c r="W18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data-nrcc="132"&gt;&lt;a href="canciones/nuevas/mi_alma_alaba_al_señor.html"&gt;Mi alma alaba al Señor&lt;/a&gt;&lt;/li&gt;</v>
      </c>
      <c r="X1873" s="15" t="str">
        <f>_xlfn.TEXTBEFORE(_xlfn.TEXTAFTER(CantoralDB[[#This Row],[index.html]],"&gt;"),"&gt;")&amp;"&gt;"</f>
        <v>&lt;a href="canciones/nuevas/mi_alma_alaba_al_señor.html"&gt;</v>
      </c>
      <c r="Y1873"/>
      <c r="AC1873" s="1"/>
    </row>
    <row r="1874" spans="1:29" x14ac:dyDescent="0.3">
      <c r="A1874" s="1">
        <f>ROW(CantoralDB[[#This Row],[Título]])-1</f>
        <v>1873</v>
      </c>
      <c r="B1874" s="1" t="s">
        <v>2751</v>
      </c>
      <c r="C1874" s="1"/>
      <c r="F1874" s="1">
        <v>378</v>
      </c>
      <c r="J1874" s="1"/>
      <c r="M1874" s="15" t="s">
        <v>792</v>
      </c>
      <c r="O1874" s="15"/>
      <c r="P1874" s="15"/>
      <c r="Q1874" s="15" t="str" cm="1">
        <f t="array" ref="Q18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4" s="15" t="str" cm="1">
        <f t="array" ref="R18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canciones/nuevas/mi_pensamiento_eres_tu.html</v>
      </c>
      <c r="T1874" s="1"/>
      <c r="U1874" s="1"/>
      <c r="V1874" s="15"/>
      <c r="W18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data-nrcc="378"&gt;&lt;a href="canciones/nuevas/mi_pensamiento_eres_tu.html"&gt;Mi pensamiento eres tú&lt;/a&gt;&lt;/li&gt;</v>
      </c>
      <c r="X1874" s="15" t="str">
        <f>_xlfn.TEXTBEFORE(_xlfn.TEXTAFTER(CantoralDB[[#This Row],[index.html]],"&gt;"),"&gt;")&amp;"&gt;"</f>
        <v>&lt;a href="canciones/nuevas/mi_pensamiento_eres_tu.html"&gt;</v>
      </c>
      <c r="Y1874"/>
      <c r="AC1874" s="1"/>
    </row>
    <row r="1875" spans="1:29" x14ac:dyDescent="0.3">
      <c r="A1875" s="1">
        <f>ROW(CantoralDB[[#This Row],[Título]])-1</f>
        <v>1874</v>
      </c>
      <c r="B1875" s="1" t="s">
        <v>2457</v>
      </c>
      <c r="C1875" s="1"/>
      <c r="F1875" s="1">
        <v>79</v>
      </c>
      <c r="J1875" s="1"/>
      <c r="M1875" s="15" t="s">
        <v>792</v>
      </c>
      <c r="O1875" s="15"/>
      <c r="P1875" s="15"/>
      <c r="Q1875" s="15" t="str" cm="1">
        <f t="array" ref="Q18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5" s="15" t="str" cm="1">
        <f t="array" ref="R18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canciones/nuevas/moviste_mi_corazon.html</v>
      </c>
      <c r="T1875" s="1"/>
      <c r="U1875" s="1"/>
      <c r="V1875" s="15"/>
      <c r="W18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data-nrcc="79"&gt;&lt;a href="canciones/nuevas/moviste_mi_corazon.html"&gt;Moviste mi corazón&lt;/a&gt;&lt;/li&gt;</v>
      </c>
      <c r="X1875" s="15" t="str">
        <f>_xlfn.TEXTBEFORE(_xlfn.TEXTAFTER(CantoralDB[[#This Row],[index.html]],"&gt;"),"&gt;")&amp;"&gt;"</f>
        <v>&lt;a href="canciones/nuevas/moviste_mi_corazon.html"&gt;</v>
      </c>
      <c r="Y1875"/>
      <c r="AC1875" s="1"/>
    </row>
    <row r="1876" spans="1:29" x14ac:dyDescent="0.3">
      <c r="A1876" s="1">
        <f>ROW(CantoralDB[[#This Row],[Título]])-1</f>
        <v>1875</v>
      </c>
      <c r="B1876" s="1" t="s">
        <v>2474</v>
      </c>
      <c r="C1876" s="1"/>
      <c r="F1876" s="1">
        <v>95</v>
      </c>
      <c r="J1876" s="1"/>
      <c r="M1876" s="15" t="s">
        <v>792</v>
      </c>
      <c r="O1876" s="15"/>
      <c r="P1876" s="15"/>
      <c r="Q1876" s="15" t="str" cm="1">
        <f t="array" ref="Q18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6" s="15" t="str" cm="1">
        <f t="array" ref="R18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canciones/nuevas/muchos_hermanos_aqui.html</v>
      </c>
      <c r="T1876" s="1"/>
      <c r="U1876" s="1"/>
      <c r="V1876" s="32" t="s">
        <v>4536</v>
      </c>
      <c r="W18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data-nrcc="95"&gt;&lt;a href="canciones/nuevas/muchos_hermanos_aqui.html"&gt;Muchos hermanos aquí&lt;/a&gt;&lt;/li&gt;</v>
      </c>
      <c r="X1876" s="15" t="str">
        <f>_xlfn.TEXTBEFORE(_xlfn.TEXTAFTER(CantoralDB[[#This Row],[index.html]],"&gt;"),"&gt;")&amp;"&gt;"</f>
        <v>&lt;a href="canciones/nuevas/muchos_hermanos_aqui.html"&gt;</v>
      </c>
      <c r="Y1876"/>
      <c r="AC1876" s="1"/>
    </row>
    <row r="1877" spans="1:29" x14ac:dyDescent="0.3">
      <c r="A1877" s="1">
        <f>ROW(CantoralDB[[#This Row],[Título]])-1</f>
        <v>1876</v>
      </c>
      <c r="B1877" s="1" t="s">
        <v>2701</v>
      </c>
      <c r="C1877" s="1"/>
      <c r="F1877" s="1">
        <v>335</v>
      </c>
      <c r="J1877" s="1"/>
      <c r="M1877" s="15" t="s">
        <v>792</v>
      </c>
      <c r="O1877" s="15"/>
      <c r="P1877" s="15"/>
      <c r="Q1877" s="15" t="str" cm="1">
        <f t="array" ref="Q18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7" s="15" t="str" cm="1">
        <f t="array" ref="R18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canciones/nuevas/no_hay_nadie_como_mi_dios.html</v>
      </c>
      <c r="T1877" s="1"/>
      <c r="U1877" s="1"/>
      <c r="V1877" s="15"/>
      <c r="W18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data-nrcc="335"&gt;&lt;a href="canciones/nuevas/no_hay_nadie_como_mi_dios.html"&gt;No hay nadie como mi Dios&lt;/a&gt;&lt;/li&gt;</v>
      </c>
      <c r="X1877" s="15" t="str">
        <f>_xlfn.TEXTBEFORE(_xlfn.TEXTAFTER(CantoralDB[[#This Row],[index.html]],"&gt;"),"&gt;")&amp;"&gt;"</f>
        <v>&lt;a href="canciones/nuevas/no_hay_nadie_como_mi_dios.html"&gt;</v>
      </c>
      <c r="Y1877"/>
      <c r="AC1877" s="1"/>
    </row>
    <row r="1878" spans="1:29" x14ac:dyDescent="0.3">
      <c r="A1878" s="1">
        <f>ROW(CantoralDB[[#This Row],[Título]])-1</f>
        <v>1877</v>
      </c>
      <c r="B1878" s="1" t="s">
        <v>2646</v>
      </c>
      <c r="C1878" s="1"/>
      <c r="F1878" s="1">
        <v>274</v>
      </c>
      <c r="J1878" s="1"/>
      <c r="M1878" s="15" t="s">
        <v>792</v>
      </c>
      <c r="O1878" s="15"/>
      <c r="P1878" s="15"/>
      <c r="Q1878" s="15" t="str" cm="1">
        <f t="array" ref="Q18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8" s="15" t="str" cm="1">
        <f t="array" ref="R18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canciones/nuevas/no_puede_estar_triste.html</v>
      </c>
      <c r="T1878" s="1"/>
      <c r="U1878" s="1"/>
      <c r="V1878" s="32" t="s">
        <v>4436</v>
      </c>
      <c r="W18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data-nrcc="274"&gt;&lt;a href="canciones/nuevas/no_puede_estar_triste.html"&gt;No puede estar triste&lt;/a&gt;&lt;/li&gt;</v>
      </c>
      <c r="X1878" s="15" t="str">
        <f>_xlfn.TEXTBEFORE(_xlfn.TEXTAFTER(CantoralDB[[#This Row],[index.html]],"&gt;"),"&gt;")&amp;"&gt;"</f>
        <v>&lt;a href="canciones/nuevas/no_puede_estar_triste.html"&gt;</v>
      </c>
      <c r="Y1878"/>
      <c r="AC1878" s="1"/>
    </row>
    <row r="1879" spans="1:29" x14ac:dyDescent="0.3">
      <c r="A1879" s="1">
        <f>ROW(CantoralDB[[#This Row],[Título]])-1</f>
        <v>1878</v>
      </c>
      <c r="B1879" s="1" t="s">
        <v>2467</v>
      </c>
      <c r="C1879" s="1"/>
      <c r="F1879" s="1">
        <v>88</v>
      </c>
      <c r="J1879" s="1"/>
      <c r="M1879" s="15" t="s">
        <v>792</v>
      </c>
      <c r="O1879" s="15"/>
      <c r="P1879" s="15"/>
      <c r="Q1879" s="15" t="str" cm="1">
        <f t="array" ref="Q18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79" s="15" t="str" cm="1">
        <f t="array" ref="R18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canciones/nuevas/nombra_a_jesus.html</v>
      </c>
      <c r="T1879" s="1"/>
      <c r="U1879" s="1"/>
      <c r="V1879" s="15"/>
      <c r="W18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data-nrcc="88"&gt;&lt;a href="canciones/nuevas/nombra_a_jesus.html"&gt;Nombra a Jesús&lt;/a&gt;&lt;/li&gt;</v>
      </c>
      <c r="X1879" s="15" t="str">
        <f>_xlfn.TEXTBEFORE(_xlfn.TEXTAFTER(CantoralDB[[#This Row],[index.html]],"&gt;"),"&gt;")&amp;"&gt;"</f>
        <v>&lt;a href="canciones/nuevas/nombra_a_jesus.html"&gt;</v>
      </c>
      <c r="Y1879"/>
      <c r="AC1879" s="1"/>
    </row>
    <row r="1880" spans="1:29" x14ac:dyDescent="0.3">
      <c r="A1880" s="1">
        <f>ROW(CantoralDB[[#This Row],[Título]])-1</f>
        <v>1879</v>
      </c>
      <c r="B1880" s="1" t="s">
        <v>2615</v>
      </c>
      <c r="C1880" s="1"/>
      <c r="F1880" s="1">
        <v>240</v>
      </c>
      <c r="J1880" s="1"/>
      <c r="M1880" s="15" t="s">
        <v>792</v>
      </c>
      <c r="O1880" s="15"/>
      <c r="P1880" s="15"/>
      <c r="Q1880" s="15" t="str" cm="1">
        <f t="array" ref="Q18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0" s="15" t="str" cm="1">
        <f t="array" ref="R18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canciones/nuevas/oh_aleluya.html</v>
      </c>
      <c r="T1880" s="1"/>
      <c r="U1880" s="1"/>
      <c r="V1880" s="15"/>
      <c r="W18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data-nrcc="240"&gt;&lt;a href="canciones/nuevas/oh_aleluya.html"&gt;Oh, aleluya&lt;/a&gt;&lt;/li&gt;</v>
      </c>
      <c r="X1880" s="15" t="str">
        <f>_xlfn.TEXTBEFORE(_xlfn.TEXTAFTER(CantoralDB[[#This Row],[index.html]],"&gt;"),"&gt;")&amp;"&gt;"</f>
        <v>&lt;a href="canciones/nuevas/oh_aleluya.html"&gt;</v>
      </c>
      <c r="Y1880"/>
      <c r="AC1880" s="1"/>
    </row>
    <row r="1881" spans="1:29" x14ac:dyDescent="0.3">
      <c r="A1881" s="1">
        <f>ROW(CantoralDB[[#This Row],[Título]])-1</f>
        <v>1880</v>
      </c>
      <c r="B1881" s="1" t="s">
        <v>2462</v>
      </c>
      <c r="C1881" s="1"/>
      <c r="F1881" s="1">
        <v>83</v>
      </c>
      <c r="J1881" s="1"/>
      <c r="M1881" s="15" t="s">
        <v>792</v>
      </c>
      <c r="O1881" s="15"/>
      <c r="P1881" s="15"/>
      <c r="Q1881" s="15" t="str" cm="1">
        <f t="array" ref="Q18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1" s="15" t="str" cm="1">
        <f t="array" ref="R18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canciones/nuevas/oh_oh_oh_padre.html</v>
      </c>
      <c r="T1881" s="1"/>
      <c r="U1881" s="1"/>
      <c r="V1881" s="15"/>
      <c r="W18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data-nrcc="83"&gt;&lt;a href="canciones/nuevas/oh_oh_oh_padre.html"&gt;Oh, oh, oh, Padre&lt;/a&gt;&lt;/li&gt;</v>
      </c>
      <c r="X1881" s="15" t="str">
        <f>_xlfn.TEXTBEFORE(_xlfn.TEXTAFTER(CantoralDB[[#This Row],[index.html]],"&gt;"),"&gt;")&amp;"&gt;"</f>
        <v>&lt;a href="canciones/nuevas/oh_oh_oh_padre.html"&gt;</v>
      </c>
      <c r="Y1881"/>
      <c r="AC1881" s="1"/>
    </row>
    <row r="1882" spans="1:29" x14ac:dyDescent="0.3">
      <c r="A1882" s="1">
        <f>ROW(CantoralDB[[#This Row],[Título]])-1</f>
        <v>1881</v>
      </c>
      <c r="B1882" s="1" t="s">
        <v>2400</v>
      </c>
      <c r="C1882" s="1"/>
      <c r="F1882" s="1">
        <v>25</v>
      </c>
      <c r="J1882" s="1"/>
      <c r="M1882" s="15" t="s">
        <v>792</v>
      </c>
      <c r="O1882" s="15"/>
      <c r="P1882" s="15"/>
      <c r="Q1882" s="15" t="str" cm="1">
        <f t="array" ref="Q18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2" s="15" t="str" cm="1">
        <f t="array" ref="R18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canciones/nuevas/oh_padre_yo_te_amo.html</v>
      </c>
      <c r="T1882" s="1"/>
      <c r="U1882" s="1"/>
      <c r="V1882" s="32" t="s">
        <v>4573</v>
      </c>
      <c r="W18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data-nrcc="25"&gt;&lt;a href="canciones/nuevas/oh_padre_yo_te_amo.html"&gt;Oh, Padre, yo te amo&lt;/a&gt;&lt;/li&gt;</v>
      </c>
      <c r="X1882" s="15" t="str">
        <f>_xlfn.TEXTBEFORE(_xlfn.TEXTAFTER(CantoralDB[[#This Row],[index.html]],"&gt;"),"&gt;")&amp;"&gt;"</f>
        <v>&lt;a href="canciones/nuevas/oh_padre_yo_te_amo.html"&gt;</v>
      </c>
      <c r="Y1882"/>
      <c r="AC1882" s="1"/>
    </row>
    <row r="1883" spans="1:29" x14ac:dyDescent="0.3">
      <c r="A1883" s="1">
        <f>ROW(CantoralDB[[#This Row],[Título]])-1</f>
        <v>1882</v>
      </c>
      <c r="B1883" s="1" t="s">
        <v>2456</v>
      </c>
      <c r="C1883" s="1"/>
      <c r="F1883" s="1">
        <v>78</v>
      </c>
      <c r="J1883" s="1"/>
      <c r="M1883" s="15" t="s">
        <v>792</v>
      </c>
      <c r="O1883" s="15"/>
      <c r="P1883" s="15"/>
      <c r="Q1883" s="15" t="str" cm="1">
        <f t="array" ref="Q18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3" s="15" t="str" cm="1">
        <f t="array" ref="R18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canciones/nuevas/oh_ven_ven_y_deleitate.html</v>
      </c>
      <c r="T1883" s="1"/>
      <c r="U1883" s="1"/>
      <c r="V1883" s="15"/>
      <c r="W18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data-nrcc="78"&gt;&lt;a href="canciones/nuevas/oh_ven_ven_y_deleitate.html"&gt;Oh, ven, ven y deléitate&lt;/a&gt;&lt;/li&gt;</v>
      </c>
      <c r="X1883" s="15" t="str">
        <f>_xlfn.TEXTBEFORE(_xlfn.TEXTAFTER(CantoralDB[[#This Row],[index.html]],"&gt;"),"&gt;")&amp;"&gt;"</f>
        <v>&lt;a href="canciones/nuevas/oh_ven_ven_y_deleitate.html"&gt;</v>
      </c>
      <c r="Y1883"/>
      <c r="AC1883" s="1"/>
    </row>
    <row r="1884" spans="1:29" x14ac:dyDescent="0.3">
      <c r="A1884" s="1">
        <f>ROW(CantoralDB[[#This Row],[Título]])-1</f>
        <v>1883</v>
      </c>
      <c r="B1884" s="1" t="s">
        <v>2832</v>
      </c>
      <c r="C1884" s="1"/>
      <c r="F1884" s="1">
        <v>445</v>
      </c>
      <c r="J1884" s="1"/>
      <c r="M1884" s="15" t="s">
        <v>792</v>
      </c>
      <c r="O1884" s="15"/>
      <c r="P1884" s="15"/>
      <c r="Q1884" s="15" t="str" cm="1">
        <f t="array" ref="Q18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4" s="15" t="str" cm="1">
        <f t="array" ref="R18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canciones/nuevas/pa_arriba.html</v>
      </c>
      <c r="T1884" s="1"/>
      <c r="U1884" s="1"/>
      <c r="V1884" s="15"/>
      <c r="W18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data-nrcc="445"&gt;&lt;a href="canciones/nuevas/pa_arriba.html"&gt;Pa arriba&lt;/a&gt;&lt;/li&gt;</v>
      </c>
      <c r="X1884" s="15" t="str">
        <f>_xlfn.TEXTBEFORE(_xlfn.TEXTAFTER(CantoralDB[[#This Row],[index.html]],"&gt;"),"&gt;")&amp;"&gt;"</f>
        <v>&lt;a href="canciones/nuevas/pa_arriba.html"&gt;</v>
      </c>
      <c r="Y1884"/>
      <c r="AC1884" s="1"/>
    </row>
    <row r="1885" spans="1:29" x14ac:dyDescent="0.3">
      <c r="A1885" s="1">
        <f>ROW(CantoralDB[[#This Row],[Título]])-1</f>
        <v>1884</v>
      </c>
      <c r="B1885" s="1" t="s">
        <v>196</v>
      </c>
      <c r="C1885" s="1"/>
      <c r="F1885" s="1">
        <v>114</v>
      </c>
      <c r="J1885" s="1"/>
      <c r="M1885" s="15" t="s">
        <v>792</v>
      </c>
      <c r="O1885" s="15"/>
      <c r="P1885" s="15"/>
      <c r="Q1885" s="15" t="str" cm="1">
        <f t="array" ref="Q18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5" s="15" t="str" cm="1">
        <f t="array" ref="R18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canciones/nuevas/padrenuestro.html</v>
      </c>
      <c r="T1885" s="1"/>
      <c r="U1885" s="1"/>
      <c r="V1885" s="32" t="s">
        <v>4480</v>
      </c>
      <c r="W18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data-nrcc="114"&gt;&lt;a href="canciones/nuevas/padrenuestro.html"&gt;Padrenuestro&lt;/a&gt;&lt;/li&gt;</v>
      </c>
      <c r="X1885" s="15" t="str">
        <f>_xlfn.TEXTBEFORE(_xlfn.TEXTAFTER(CantoralDB[[#This Row],[index.html]],"&gt;"),"&gt;")&amp;"&gt;"</f>
        <v>&lt;a href="canciones/nuevas/padrenuestro.html"&gt;</v>
      </c>
      <c r="Y1885"/>
      <c r="AC1885" s="1"/>
    </row>
    <row r="1886" spans="1:29" x14ac:dyDescent="0.3">
      <c r="A1886" s="1">
        <f>ROW(CantoralDB[[#This Row],[Título]])-1</f>
        <v>1885</v>
      </c>
      <c r="B1886" s="1" t="s">
        <v>2605</v>
      </c>
      <c r="C1886" s="1"/>
      <c r="F1886" s="1">
        <v>225</v>
      </c>
      <c r="J1886" s="1"/>
      <c r="M1886" s="15" t="s">
        <v>792</v>
      </c>
      <c r="O1886" s="15"/>
      <c r="P1886" s="15"/>
      <c r="Q1886" s="15" t="str" cm="1">
        <f t="array" ref="Q18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6" s="15" t="str" cm="1">
        <f t="array" ref="R18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canciones/nuevas/pequeño_como_una_brisa.html</v>
      </c>
      <c r="T1886" s="1"/>
      <c r="U1886" s="1"/>
      <c r="V1886" s="15"/>
      <c r="W18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data-nrcc="225"&gt;&lt;a href="canciones/nuevas/pequeño_como_una_brisa.html"&gt;Pequeño como una brisa&lt;/a&gt;&lt;/li&gt;</v>
      </c>
      <c r="X1886" s="15" t="str">
        <f>_xlfn.TEXTBEFORE(_xlfn.TEXTAFTER(CantoralDB[[#This Row],[index.html]],"&gt;"),"&gt;")&amp;"&gt;"</f>
        <v>&lt;a href="canciones/nuevas/pequeño_como_una_brisa.html"&gt;</v>
      </c>
      <c r="Y1886"/>
      <c r="AC1886" s="1"/>
    </row>
    <row r="1887" spans="1:29" x14ac:dyDescent="0.3">
      <c r="A1887" s="1">
        <f>ROW(CantoralDB[[#This Row],[Título]])-1</f>
        <v>1886</v>
      </c>
      <c r="B1887" s="1" t="s">
        <v>2635</v>
      </c>
      <c r="C1887" s="1"/>
      <c r="F1887" s="1">
        <v>263</v>
      </c>
      <c r="J1887" s="1"/>
      <c r="M1887" s="15" t="s">
        <v>792</v>
      </c>
      <c r="O1887" s="15"/>
      <c r="P1887" s="15"/>
      <c r="Q1887" s="15" t="str" cm="1">
        <f t="array" ref="Q18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7" s="15" t="str" cm="1">
        <f t="array" ref="R18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canciones/nuevas/pon_hoy_la_llama_de_amor.html</v>
      </c>
      <c r="T1887" s="1"/>
      <c r="U1887" s="1"/>
      <c r="V1887" s="15"/>
      <c r="W18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data-nrcc="263"&gt;&lt;a href="canciones/nuevas/pon_hoy_la_llama_de_amor.html"&gt;Pon hoy la llama de amor&lt;/a&gt;&lt;/li&gt;</v>
      </c>
      <c r="X1887" s="15" t="str">
        <f>_xlfn.TEXTBEFORE(_xlfn.TEXTAFTER(CantoralDB[[#This Row],[index.html]],"&gt;"),"&gt;")&amp;"&gt;"</f>
        <v>&lt;a href="canciones/nuevas/pon_hoy_la_llama_de_amor.html"&gt;</v>
      </c>
      <c r="Y1887"/>
      <c r="AC1887" s="1"/>
    </row>
    <row r="1888" spans="1:29" x14ac:dyDescent="0.3">
      <c r="A1888" s="1">
        <f>ROW(CantoralDB[[#This Row],[Título]])-1</f>
        <v>1887</v>
      </c>
      <c r="B1888" s="1" t="s">
        <v>2607</v>
      </c>
      <c r="C1888" s="1"/>
      <c r="F1888" s="1">
        <v>230</v>
      </c>
      <c r="J1888" s="1"/>
      <c r="M1888" s="15" t="s">
        <v>792</v>
      </c>
      <c r="O1888" s="15"/>
      <c r="P1888" s="15"/>
      <c r="Q1888" s="15" t="str" cm="1">
        <f t="array" ref="Q18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8" s="15" t="str" cm="1">
        <f t="array" ref="R18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canciones/nuevas/porque_para_siempre_dios.html</v>
      </c>
      <c r="T1888" s="1"/>
      <c r="U1888" s="1"/>
      <c r="V1888" s="15"/>
      <c r="W18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data-nrcc="230"&gt;&lt;a href="canciones/nuevas/porque_para_siempre_dios.html"&gt;Porque para siempre, Dios&lt;/a&gt;&lt;/li&gt;</v>
      </c>
      <c r="X1888" s="15" t="str">
        <f>_xlfn.TEXTBEFORE(_xlfn.TEXTAFTER(CantoralDB[[#This Row],[index.html]],"&gt;"),"&gt;")&amp;"&gt;"</f>
        <v>&lt;a href="canciones/nuevas/porque_para_siempre_dios.html"&gt;</v>
      </c>
      <c r="Y1888"/>
      <c r="AC1888" s="1"/>
    </row>
    <row r="1889" spans="1:29" x14ac:dyDescent="0.3">
      <c r="A1889" s="1">
        <f>ROW(CantoralDB[[#This Row],[Título]])-1</f>
        <v>1888</v>
      </c>
      <c r="B1889" s="1" t="s">
        <v>2778</v>
      </c>
      <c r="C1889" s="1"/>
      <c r="F1889" s="1">
        <v>399</v>
      </c>
      <c r="J1889" s="1"/>
      <c r="M1889" s="15" t="s">
        <v>792</v>
      </c>
      <c r="O1889" s="15"/>
      <c r="P1889" s="15"/>
      <c r="Q1889" s="15" t="str" cm="1">
        <f t="array" ref="Q18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89" s="15" t="str" cm="1">
        <f t="array" ref="R18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canciones/nuevas/porque_tu_eres_bueno.html</v>
      </c>
      <c r="T1889" s="1"/>
      <c r="U1889" s="1"/>
      <c r="V1889" s="15"/>
      <c r="W18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data-nrcc="399"&gt;&lt;a href="canciones/nuevas/porque_tu_eres_bueno.html"&gt;Porque tú eres bueno&lt;/a&gt;&lt;/li&gt;</v>
      </c>
      <c r="X1889" s="15" t="str">
        <f>_xlfn.TEXTBEFORE(_xlfn.TEXTAFTER(CantoralDB[[#This Row],[index.html]],"&gt;"),"&gt;")&amp;"&gt;"</f>
        <v>&lt;a href="canciones/nuevas/porque_tu_eres_bueno.html"&gt;</v>
      </c>
      <c r="Y1889"/>
      <c r="AC1889" s="1"/>
    </row>
    <row r="1890" spans="1:29" x14ac:dyDescent="0.3">
      <c r="A1890" s="1">
        <f>ROW(CantoralDB[[#This Row],[Título]])-1</f>
        <v>1889</v>
      </c>
      <c r="B1890" s="1" t="s">
        <v>2459</v>
      </c>
      <c r="C1890" s="1"/>
      <c r="F1890" s="1">
        <v>81</v>
      </c>
      <c r="J1890" s="1"/>
      <c r="M1890" s="15" t="s">
        <v>792</v>
      </c>
      <c r="O1890" s="15"/>
      <c r="P1890" s="15"/>
      <c r="Q1890" s="15" t="str" cm="1">
        <f t="array" ref="Q18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0" s="15" t="str" cm="1">
        <f t="array" ref="R18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canciones/nuevas/pueblo_de_dios.html</v>
      </c>
      <c r="T1890" s="1"/>
      <c r="U1890" s="1"/>
      <c r="V1890" s="15"/>
      <c r="W18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data-nrcc="81"&gt;&lt;a href="canciones/nuevas/pueblo_de_dios.html"&gt;Pueblo de Dios&lt;/a&gt;&lt;/li&gt;</v>
      </c>
      <c r="X1890" s="15" t="str">
        <f>_xlfn.TEXTBEFORE(_xlfn.TEXTAFTER(CantoralDB[[#This Row],[index.html]],"&gt;"),"&gt;")&amp;"&gt;"</f>
        <v>&lt;a href="canciones/nuevas/pueblo_de_dios.html"&gt;</v>
      </c>
      <c r="Y1890"/>
      <c r="AC1890" s="1"/>
    </row>
    <row r="1891" spans="1:29" x14ac:dyDescent="0.3">
      <c r="A1891" s="1">
        <f>ROW(CantoralDB[[#This Row],[Título]])-1</f>
        <v>1890</v>
      </c>
      <c r="B1891" s="1" t="s">
        <v>2708</v>
      </c>
      <c r="C1891" s="1"/>
      <c r="F1891" s="1">
        <v>342</v>
      </c>
      <c r="J1891" s="1"/>
      <c r="M1891" s="15" t="s">
        <v>792</v>
      </c>
      <c r="O1891" s="15"/>
      <c r="P1891" s="15"/>
      <c r="Q1891" s="15" t="str" cm="1">
        <f t="array" ref="Q18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1" s="15" t="str" cm="1">
        <f t="array" ref="R18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canciones/nuevas/queremos_ser.html</v>
      </c>
      <c r="T1891" s="1"/>
      <c r="U1891" s="1"/>
      <c r="V1891" s="15"/>
      <c r="W18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data-nrcc="342"&gt;&lt;a href="canciones/nuevas/queremos_ser.html"&gt;Queremos ser&lt;/a&gt;&lt;/li&gt;</v>
      </c>
      <c r="X1891" s="15" t="str">
        <f>_xlfn.TEXTBEFORE(_xlfn.TEXTAFTER(CantoralDB[[#This Row],[index.html]],"&gt;"),"&gt;")&amp;"&gt;"</f>
        <v>&lt;a href="canciones/nuevas/queremos_ser.html"&gt;</v>
      </c>
      <c r="Y1891"/>
      <c r="AC1891" s="1"/>
    </row>
    <row r="1892" spans="1:29" x14ac:dyDescent="0.3">
      <c r="A1892" s="1">
        <f>ROW(CantoralDB[[#This Row],[Título]])-1</f>
        <v>1891</v>
      </c>
      <c r="B1892" s="1" t="s">
        <v>2610</v>
      </c>
      <c r="C1892" s="1"/>
      <c r="F1892" s="1">
        <v>234</v>
      </c>
      <c r="J1892" s="1"/>
      <c r="M1892" s="15" t="s">
        <v>792</v>
      </c>
      <c r="O1892" s="15"/>
      <c r="P1892" s="15"/>
      <c r="Q1892" s="15" t="str" cm="1">
        <f t="array" ref="Q18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2" s="15" t="str" cm="1">
        <f t="array" ref="R18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canciones/nuevas/quiero_levantar_mis_manos.html</v>
      </c>
      <c r="T1892" s="1"/>
      <c r="U1892" s="1"/>
      <c r="V1892" s="32" t="s">
        <v>4515</v>
      </c>
      <c r="W18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data-nrcc="234"&gt;&lt;a href="canciones/nuevas/quiero_levantar_mis_manos.html"&gt;Quiero levantar mis manos&lt;/a&gt;&lt;/li&gt;</v>
      </c>
      <c r="X1892" s="15" t="str">
        <f>_xlfn.TEXTBEFORE(_xlfn.TEXTAFTER(CantoralDB[[#This Row],[index.html]],"&gt;"),"&gt;")&amp;"&gt;"</f>
        <v>&lt;a href="canciones/nuevas/quiero_levantar_mis_manos.html"&gt;</v>
      </c>
      <c r="Y1892"/>
      <c r="AC1892" s="1"/>
    </row>
    <row r="1893" spans="1:29" x14ac:dyDescent="0.3">
      <c r="A1893" s="1">
        <f>ROW(CantoralDB[[#This Row],[Título]])-1</f>
        <v>1892</v>
      </c>
      <c r="B1893" s="1" t="s">
        <v>2709</v>
      </c>
      <c r="C1893" s="1"/>
      <c r="F1893" s="1">
        <v>343</v>
      </c>
      <c r="J1893" s="1"/>
      <c r="M1893" s="15" t="s">
        <v>792</v>
      </c>
      <c r="O1893" s="15"/>
      <c r="P1893" s="15"/>
      <c r="Q1893" s="15" t="str" cm="1">
        <f t="array" ref="Q18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3" s="15" t="str" cm="1">
        <f t="array" ref="R18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canciones/nuevas/quiero_llenar_tu_trono_de_alabanza.html</v>
      </c>
      <c r="T1893" s="1"/>
      <c r="U1893" s="1"/>
      <c r="V1893" s="15"/>
      <c r="W18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data-nrcc="343"&gt;&lt;a href="canciones/nuevas/quiero_llenar_tu_trono_de_alabanza.html"&gt;Quiero llenar tu trono de alabanza&lt;/a&gt;&lt;/li&gt;</v>
      </c>
      <c r="X1893" s="15" t="str">
        <f>_xlfn.TEXTBEFORE(_xlfn.TEXTAFTER(CantoralDB[[#This Row],[index.html]],"&gt;"),"&gt;")&amp;"&gt;"</f>
        <v>&lt;a href="canciones/nuevas/quiero_llenar_tu_trono_de_alabanza.html"&gt;</v>
      </c>
      <c r="Y1893"/>
      <c r="AC1893" s="1"/>
    </row>
    <row r="1894" spans="1:29" x14ac:dyDescent="0.3">
      <c r="A1894" s="1">
        <f>ROW(CantoralDB[[#This Row],[Título]])-1</f>
        <v>1893</v>
      </c>
      <c r="B1894" s="1" t="s">
        <v>2726</v>
      </c>
      <c r="C1894" s="1"/>
      <c r="F1894" s="1">
        <v>356</v>
      </c>
      <c r="J1894" s="1"/>
      <c r="M1894" s="15" t="s">
        <v>792</v>
      </c>
      <c r="O1894" s="15"/>
      <c r="P1894" s="15"/>
      <c r="Q1894" s="15" t="str" cm="1">
        <f t="array" ref="Q18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4" s="15" t="str" cm="1">
        <f t="array" ref="R18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canciones/nuevas/reina_en_mi.html</v>
      </c>
      <c r="T1894" s="1"/>
      <c r="U1894" s="1"/>
      <c r="V1894" s="15"/>
      <c r="W18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data-nrcc="356"&gt;&lt;a href="canciones/nuevas/reina_en_mi.html"&gt;Reina en mí&lt;/a&gt;&lt;/li&gt;</v>
      </c>
      <c r="X1894" s="15" t="str">
        <f>_xlfn.TEXTBEFORE(_xlfn.TEXTAFTER(CantoralDB[[#This Row],[index.html]],"&gt;"),"&gt;")&amp;"&gt;"</f>
        <v>&lt;a href="canciones/nuevas/reina_en_mi.html"&gt;</v>
      </c>
      <c r="Y1894"/>
      <c r="AC1894" s="1"/>
    </row>
    <row r="1895" spans="1:29" x14ac:dyDescent="0.3">
      <c r="A1895" s="1">
        <f>ROW(CantoralDB[[#This Row],[Título]])-1</f>
        <v>1894</v>
      </c>
      <c r="B1895" s="1" t="s">
        <v>2402</v>
      </c>
      <c r="C1895" s="1"/>
      <c r="F1895" s="1">
        <v>28</v>
      </c>
      <c r="J1895" s="1"/>
      <c r="M1895" s="15" t="s">
        <v>792</v>
      </c>
      <c r="O1895" s="15"/>
      <c r="P1895" s="15"/>
      <c r="Q1895" s="15" t="str" cm="1">
        <f t="array" ref="Q18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5" s="15" t="str" cm="1">
        <f t="array" ref="R18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canciones/nuevas/rey_de_reyes.html</v>
      </c>
      <c r="T1895" s="1"/>
      <c r="U1895" s="1"/>
      <c r="V1895" s="15"/>
      <c r="W18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data-nrcc="28"&gt;&lt;a href="canciones/nuevas/rey_de_reyes.html"&gt;Rey de reyes&lt;/a&gt;&lt;/li&gt;</v>
      </c>
      <c r="X1895" s="15" t="str">
        <f>_xlfn.TEXTBEFORE(_xlfn.TEXTAFTER(CantoralDB[[#This Row],[index.html]],"&gt;"),"&gt;")&amp;"&gt;"</f>
        <v>&lt;a href="canciones/nuevas/rey_de_reyes.html"&gt;</v>
      </c>
      <c r="Y1895"/>
      <c r="AC1895" s="1"/>
    </row>
    <row r="1896" spans="1:29" x14ac:dyDescent="0.3">
      <c r="A1896" s="1">
        <f>ROW(CantoralDB[[#This Row],[Título]])-1</f>
        <v>1895</v>
      </c>
      <c r="B1896" s="1" t="s">
        <v>2402</v>
      </c>
      <c r="C1896" s="1"/>
      <c r="F1896" s="1">
        <v>138</v>
      </c>
      <c r="J1896" s="1"/>
      <c r="M1896" s="15" t="s">
        <v>792</v>
      </c>
      <c r="O1896" s="15"/>
      <c r="P1896" s="15"/>
      <c r="Q1896" s="15" t="str" cm="1">
        <f t="array" ref="Q18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6" s="15" t="str" cm="1">
        <f t="array" ref="R18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canciones/nuevas/rey_de_reyes.html</v>
      </c>
      <c r="T1896" s="1"/>
      <c r="U1896" s="1"/>
      <c r="V1896" s="32" t="s">
        <v>4427</v>
      </c>
      <c r="W18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data-nrcc="138"&gt;&lt;a href="canciones/nuevas/rey_de_reyes.html"&gt;Rey de reyes&lt;/a&gt;&lt;/li&gt;</v>
      </c>
      <c r="X1896" s="15" t="str">
        <f>_xlfn.TEXTBEFORE(_xlfn.TEXTAFTER(CantoralDB[[#This Row],[index.html]],"&gt;"),"&gt;")&amp;"&gt;"</f>
        <v>&lt;a href="canciones/nuevas/rey_de_reyes.html"&gt;</v>
      </c>
      <c r="Y1896"/>
      <c r="AC1896" s="1"/>
    </row>
    <row r="1897" spans="1:29" x14ac:dyDescent="0.3">
      <c r="A1897" s="1">
        <f>ROW(CantoralDB[[#This Row],[Título]])-1</f>
        <v>1896</v>
      </c>
      <c r="B1897" s="1" t="s">
        <v>1754</v>
      </c>
      <c r="C1897" s="1"/>
      <c r="F1897" s="1">
        <v>86</v>
      </c>
      <c r="J1897" s="1"/>
      <c r="M1897" s="15" t="s">
        <v>792</v>
      </c>
      <c r="O1897" s="15"/>
      <c r="P1897" s="15"/>
      <c r="Q1897" s="15" t="str" cm="1">
        <f t="array" ref="Q18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7" s="15" t="str" cm="1">
        <f t="array" ref="R18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canciones/nuevas/ruah.html</v>
      </c>
      <c r="T1897" s="1"/>
      <c r="U1897" s="1"/>
      <c r="V1897" s="32" t="s">
        <v>4457</v>
      </c>
      <c r="W18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data-nrcc="86"&gt;&lt;a href="canciones/nuevas/ruah.html"&gt;Ruah&lt;/a&gt;&lt;/li&gt;</v>
      </c>
      <c r="X1897" s="15" t="str">
        <f>_xlfn.TEXTBEFORE(_xlfn.TEXTAFTER(CantoralDB[[#This Row],[index.html]],"&gt;"),"&gt;")&amp;"&gt;"</f>
        <v>&lt;a href="canciones/nuevas/ruah.html"&gt;</v>
      </c>
      <c r="Y1897"/>
      <c r="AC1897" s="1"/>
    </row>
    <row r="1898" spans="1:29" x14ac:dyDescent="0.3">
      <c r="A1898" s="1">
        <f>ROW(CantoralDB[[#This Row],[Título]])-1</f>
        <v>1897</v>
      </c>
      <c r="B1898" s="1" t="s">
        <v>2620</v>
      </c>
      <c r="C1898" s="1"/>
      <c r="F1898" s="1">
        <v>245</v>
      </c>
      <c r="J1898" s="1"/>
      <c r="M1898" s="15" t="s">
        <v>792</v>
      </c>
      <c r="O1898" s="15"/>
      <c r="P1898" s="15"/>
      <c r="Q1898" s="15" t="str" cm="1">
        <f t="array" ref="Q18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8" s="15" t="str" cm="1">
        <f t="array" ref="R18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canciones/nuevas/salvador_para_todos.html</v>
      </c>
      <c r="T1898" s="1"/>
      <c r="U1898" s="1"/>
      <c r="V1898" s="15"/>
      <c r="W18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data-nrcc="245"&gt;&lt;a href="canciones/nuevas/salvador_para_todos.html"&gt;Salvador para todos&lt;/a&gt;&lt;/li&gt;</v>
      </c>
      <c r="X1898" s="15" t="str">
        <f>_xlfn.TEXTBEFORE(_xlfn.TEXTAFTER(CantoralDB[[#This Row],[index.html]],"&gt;"),"&gt;")&amp;"&gt;"</f>
        <v>&lt;a href="canciones/nuevas/salvador_para_todos.html"&gt;</v>
      </c>
      <c r="Y1898"/>
      <c r="AC1898" s="1"/>
    </row>
    <row r="1899" spans="1:29" x14ac:dyDescent="0.3">
      <c r="A1899" s="1">
        <f>ROW(CantoralDB[[#This Row],[Título]])-1</f>
        <v>1898</v>
      </c>
      <c r="B1899" s="1" t="s">
        <v>558</v>
      </c>
      <c r="C1899" s="1"/>
      <c r="F1899" s="1">
        <v>161</v>
      </c>
      <c r="J1899" s="1"/>
      <c r="M1899" s="15" t="s">
        <v>792</v>
      </c>
      <c r="O1899" s="15"/>
      <c r="P1899" s="15"/>
      <c r="Q1899" s="15" t="str" cm="1">
        <f t="array" ref="Q18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899" s="15" t="str" cm="1">
        <f t="array" ref="R18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8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canciones/nuevas/santo_es_el_señor.html</v>
      </c>
      <c r="T1899" s="1"/>
      <c r="U1899" s="1"/>
      <c r="V1899" s="32" t="s">
        <v>4455</v>
      </c>
      <c r="W18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data-nrcc="161"&gt;&lt;a href="canciones/nuevas/santo_es_el_señor.html"&gt;Santo es el Señor&lt;/a&gt;&lt;/li&gt;</v>
      </c>
      <c r="X1899" s="15" t="str">
        <f>_xlfn.TEXTBEFORE(_xlfn.TEXTAFTER(CantoralDB[[#This Row],[index.html]],"&gt;"),"&gt;")&amp;"&gt;"</f>
        <v>&lt;a href="canciones/nuevas/santo_es_el_señor.html"&gt;</v>
      </c>
      <c r="Y1899"/>
      <c r="AC1899" s="1"/>
    </row>
    <row r="1900" spans="1:29" x14ac:dyDescent="0.3">
      <c r="A1900" s="1">
        <f>ROW(CantoralDB[[#This Row],[Título]])-1</f>
        <v>1899</v>
      </c>
      <c r="B1900" s="1" t="s">
        <v>2450</v>
      </c>
      <c r="C1900" s="1"/>
      <c r="F1900" s="1">
        <v>71</v>
      </c>
      <c r="J1900" s="1"/>
      <c r="M1900" s="15" t="s">
        <v>792</v>
      </c>
      <c r="O1900" s="15"/>
      <c r="P1900" s="15"/>
      <c r="Q1900" s="15" t="str" cm="1">
        <f t="array" ref="Q19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0" s="15" t="str" cm="1">
        <f t="array" ref="R19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canciones/nuevas/santo_dios_de_fuerza_y_poder.html</v>
      </c>
      <c r="T1900" s="1"/>
      <c r="U1900" s="1"/>
      <c r="V1900" s="15"/>
      <c r="W19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data-nrcc="71"&gt;&lt;a href="canciones/nuevas/santo_dios_de_fuerza_y_poder.html"&gt;Santo, Dios de fuerza y poder&lt;/a&gt;&lt;/li&gt;</v>
      </c>
      <c r="X1900" s="15" t="str">
        <f>_xlfn.TEXTBEFORE(_xlfn.TEXTAFTER(CantoralDB[[#This Row],[index.html]],"&gt;"),"&gt;")&amp;"&gt;"</f>
        <v>&lt;a href="canciones/nuevas/santo_dios_de_fuerza_y_poder.html"&gt;</v>
      </c>
      <c r="Y1900"/>
      <c r="AC1900" s="1"/>
    </row>
    <row r="1901" spans="1:29" x14ac:dyDescent="0.3">
      <c r="A1901" s="1">
        <f>ROW(CantoralDB[[#This Row],[Título]])-1</f>
        <v>1900</v>
      </c>
      <c r="B1901" s="1" t="s">
        <v>2451</v>
      </c>
      <c r="C1901" s="1"/>
      <c r="F1901" s="1">
        <v>72</v>
      </c>
      <c r="J1901" s="1"/>
      <c r="M1901" s="15" t="s">
        <v>792</v>
      </c>
      <c r="O1901" s="15"/>
      <c r="P1901" s="15"/>
      <c r="Q1901" s="15" t="str" cm="1">
        <f t="array" ref="Q19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1" s="15" t="str" cm="1">
        <f t="array" ref="R19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canciones/nuevas/santo_dios_de_los_hombres.html</v>
      </c>
      <c r="T1901" s="1"/>
      <c r="U1901" s="1"/>
      <c r="V1901" s="32" t="s">
        <v>4502</v>
      </c>
      <c r="W19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data-nrcc="72"&gt;&lt;a href="canciones/nuevas/santo_dios_de_los_hombres.html"&gt;Santo, Dios de los hombres&lt;/a&gt;&lt;/li&gt;</v>
      </c>
      <c r="X1901" s="15" t="str">
        <f>_xlfn.TEXTBEFORE(_xlfn.TEXTAFTER(CantoralDB[[#This Row],[index.html]],"&gt;"),"&gt;")&amp;"&gt;"</f>
        <v>&lt;a href="canciones/nuevas/santo_dios_de_los_hombres.html"&gt;</v>
      </c>
      <c r="Y1901"/>
      <c r="AC1901" s="1"/>
    </row>
    <row r="1902" spans="1:29" x14ac:dyDescent="0.3">
      <c r="A1902" s="1">
        <f>ROW(CantoralDB[[#This Row],[Título]])-1</f>
        <v>1901</v>
      </c>
      <c r="B1902" s="1" t="s">
        <v>2762</v>
      </c>
      <c r="C1902" s="1"/>
      <c r="F1902" s="1">
        <v>388</v>
      </c>
      <c r="J1902" s="1"/>
      <c r="M1902" s="15" t="s">
        <v>792</v>
      </c>
      <c r="O1902" s="15"/>
      <c r="P1902" s="15"/>
      <c r="Q1902" s="15" t="str" cm="1">
        <f t="array" ref="Q19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2" s="15" t="str" cm="1">
        <f t="array" ref="R19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canciones/nuevas/se_encienden_las_velas.html</v>
      </c>
      <c r="T1902" s="1"/>
      <c r="U1902" s="1"/>
      <c r="V1902" s="32" t="s">
        <v>4486</v>
      </c>
      <c r="W19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data-nrcc="388"&gt;&lt;a href="canciones/nuevas/se_encienden_las_velas.html"&gt;Se encienden las velas&lt;/a&gt;&lt;/li&gt;</v>
      </c>
      <c r="X1902" s="15" t="str">
        <f>_xlfn.TEXTBEFORE(_xlfn.TEXTAFTER(CantoralDB[[#This Row],[index.html]],"&gt;"),"&gt;")&amp;"&gt;"</f>
        <v>&lt;a href="canciones/nuevas/se_encienden_las_velas.html"&gt;</v>
      </c>
      <c r="Y1902"/>
      <c r="AC1902" s="1"/>
    </row>
    <row r="1903" spans="1:29" x14ac:dyDescent="0.3">
      <c r="A1903" s="1">
        <f>ROW(CantoralDB[[#This Row],[Título]])-1</f>
        <v>1902</v>
      </c>
      <c r="B1903" s="1" t="s">
        <v>2407</v>
      </c>
      <c r="C1903" s="1"/>
      <c r="F1903" s="1">
        <v>33</v>
      </c>
      <c r="J1903" s="1"/>
      <c r="M1903" s="15" t="s">
        <v>792</v>
      </c>
      <c r="O1903" s="15"/>
      <c r="P1903" s="15"/>
      <c r="Q1903" s="15" t="str" cm="1">
        <f t="array" ref="Q19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3" s="15" t="str" cm="1">
        <f t="array" ref="R19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canciones/nuevas/sea_la_gloria.html</v>
      </c>
      <c r="T1903" s="1"/>
      <c r="U1903" s="1"/>
      <c r="V1903" s="15"/>
      <c r="W19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data-nrcc="33"&gt;&lt;a href="canciones/nuevas/sea_la_gloria.html"&gt;Sea la gloria&lt;/a&gt;&lt;/li&gt;</v>
      </c>
      <c r="X1903" s="15" t="str">
        <f>_xlfn.TEXTBEFORE(_xlfn.TEXTAFTER(CantoralDB[[#This Row],[index.html]],"&gt;"),"&gt;")&amp;"&gt;"</f>
        <v>&lt;a href="canciones/nuevas/sea_la_gloria.html"&gt;</v>
      </c>
      <c r="Y1903"/>
      <c r="AC1903" s="1"/>
    </row>
    <row r="1904" spans="1:29" x14ac:dyDescent="0.3">
      <c r="A1904" s="1">
        <f>ROW(CantoralDB[[#This Row],[Título]])-1</f>
        <v>1903</v>
      </c>
      <c r="B1904" s="1" t="s">
        <v>2403</v>
      </c>
      <c r="C1904" s="1"/>
      <c r="F1904" s="1">
        <v>29</v>
      </c>
      <c r="J1904" s="1"/>
      <c r="M1904" s="15" t="s">
        <v>792</v>
      </c>
      <c r="O1904" s="15"/>
      <c r="P1904" s="15"/>
      <c r="Q1904" s="15" t="str" cm="1">
        <f t="array" ref="Q19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4" s="15" t="str" cm="1">
        <f t="array" ref="R19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canciones/nuevas/seguid_unidos_a_mi.html</v>
      </c>
      <c r="T1904" s="1"/>
      <c r="U1904" s="1"/>
      <c r="V1904" s="15"/>
      <c r="W19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data-nrcc="29"&gt;&lt;a href="canciones/nuevas/seguid_unidos_a_mi.html"&gt;Seguid unidos a mí&lt;/a&gt;&lt;/li&gt;</v>
      </c>
      <c r="X1904" s="15" t="str">
        <f>_xlfn.TEXTBEFORE(_xlfn.TEXTAFTER(CantoralDB[[#This Row],[index.html]],"&gt;"),"&gt;")&amp;"&gt;"</f>
        <v>&lt;a href="canciones/nuevas/seguid_unidos_a_mi.html"&gt;</v>
      </c>
      <c r="Y1904"/>
      <c r="AC1904" s="1"/>
    </row>
    <row r="1905" spans="1:29" x14ac:dyDescent="0.3">
      <c r="A1905" s="1">
        <f>ROW(CantoralDB[[#This Row],[Título]])-1</f>
        <v>1904</v>
      </c>
      <c r="B1905" s="1" t="s">
        <v>2777</v>
      </c>
      <c r="C1905" s="1"/>
      <c r="F1905" s="1">
        <v>398</v>
      </c>
      <c r="J1905" s="1"/>
      <c r="M1905" s="15" t="s">
        <v>792</v>
      </c>
      <c r="O1905" s="15"/>
      <c r="P1905" s="15"/>
      <c r="Q1905" s="15" t="str" cm="1">
        <f t="array" ref="Q19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5" s="15" t="str" cm="1">
        <f t="array" ref="R19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canciones/nuevas/señor_llevame_a_tus_atrios.html</v>
      </c>
      <c r="T1905" s="1"/>
      <c r="U1905" s="1"/>
      <c r="V1905" s="32" t="s">
        <v>4549</v>
      </c>
      <c r="W19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data-nrcc="398"&gt;&lt;a href="canciones/nuevas/señor_llevame_a_tus_atrios.html"&gt;Señor, llévame a tus atrios&lt;/a&gt;&lt;/li&gt;</v>
      </c>
      <c r="X1905" s="15" t="str">
        <f>_xlfn.TEXTBEFORE(_xlfn.TEXTAFTER(CantoralDB[[#This Row],[index.html]],"&gt;"),"&gt;")&amp;"&gt;"</f>
        <v>&lt;a href="canciones/nuevas/señor_llevame_a_tus_atrios.html"&gt;</v>
      </c>
      <c r="Y1905"/>
      <c r="AC1905" s="1"/>
    </row>
    <row r="1906" spans="1:29" x14ac:dyDescent="0.3">
      <c r="A1906" s="1">
        <f>ROW(CantoralDB[[#This Row],[Título]])-1</f>
        <v>1905</v>
      </c>
      <c r="B1906" s="1" t="s">
        <v>2397</v>
      </c>
      <c r="C1906" s="1"/>
      <c r="F1906" s="1">
        <v>21</v>
      </c>
      <c r="J1906" s="1"/>
      <c r="M1906" s="15" t="s">
        <v>792</v>
      </c>
      <c r="O1906" s="15"/>
      <c r="P1906" s="15"/>
      <c r="Q1906" s="15" t="str" cm="1">
        <f t="array" ref="Q19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6" s="15" t="str" cm="1">
        <f t="array" ref="R19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canciones/nuevas/shema_israel.html</v>
      </c>
      <c r="T1906" s="1"/>
      <c r="U1906" s="1"/>
      <c r="V1906" s="15"/>
      <c r="W19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data-nrcc="21"&gt;&lt;a href="canciones/nuevas/shema_israel.html"&gt;Shemá, Israel&lt;/a&gt;&lt;/li&gt;</v>
      </c>
      <c r="X1906" s="15" t="str">
        <f>_xlfn.TEXTBEFORE(_xlfn.TEXTAFTER(CantoralDB[[#This Row],[index.html]],"&gt;"),"&gt;")&amp;"&gt;"</f>
        <v>&lt;a href="canciones/nuevas/shema_israel.html"&gt;</v>
      </c>
      <c r="Y1906"/>
      <c r="AC1906" s="1"/>
    </row>
    <row r="1907" spans="1:29" x14ac:dyDescent="0.3">
      <c r="A1907" s="1">
        <f>ROW(CantoralDB[[#This Row],[Título]])-1</f>
        <v>1906</v>
      </c>
      <c r="B1907" s="1" t="s">
        <v>2539</v>
      </c>
      <c r="C1907" s="1"/>
      <c r="F1907" s="1">
        <v>156</v>
      </c>
      <c r="J1907" s="1"/>
      <c r="M1907" s="15" t="s">
        <v>792</v>
      </c>
      <c r="O1907" s="15"/>
      <c r="P1907" s="15"/>
      <c r="Q1907" s="15" t="str" cm="1">
        <f t="array" ref="Q19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7" s="15" t="str" cm="1">
        <f t="array" ref="R19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canciones/nuevas/si_el_espiritu_de_dios.html</v>
      </c>
      <c r="T1907" s="1"/>
      <c r="U1907" s="1"/>
      <c r="V1907" s="32" t="s">
        <v>4510</v>
      </c>
      <c r="W19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data-nrcc="156"&gt;&lt;a href="canciones/nuevas/si_el_espiritu_de_dios.html"&gt;Si el Espíritu de Dios&lt;/a&gt;&lt;/li&gt;</v>
      </c>
      <c r="X1907" s="15" t="str">
        <f>_xlfn.TEXTBEFORE(_xlfn.TEXTAFTER(CantoralDB[[#This Row],[index.html]],"&gt;"),"&gt;")&amp;"&gt;"</f>
        <v>&lt;a href="canciones/nuevas/si_el_espiritu_de_dios.html"&gt;</v>
      </c>
      <c r="Y1907"/>
      <c r="AC1907" s="1"/>
    </row>
    <row r="1908" spans="1:29" x14ac:dyDescent="0.3">
      <c r="A1908" s="1">
        <f>ROW(CantoralDB[[#This Row],[Título]])-1</f>
        <v>1907</v>
      </c>
      <c r="B1908" s="1" t="s">
        <v>2560</v>
      </c>
      <c r="C1908" s="1"/>
      <c r="F1908" s="1">
        <v>174</v>
      </c>
      <c r="J1908" s="1"/>
      <c r="M1908" s="15" t="s">
        <v>792</v>
      </c>
      <c r="O1908" s="15"/>
      <c r="P1908" s="15"/>
      <c r="Q1908" s="15" t="str" cm="1">
        <f t="array" ref="Q19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8" s="15" t="str" cm="1">
        <f t="array" ref="R19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canciones/nuevas/si_es_verdad_que_dios_te_quiere.html</v>
      </c>
      <c r="T1908" s="1"/>
      <c r="U1908" s="1"/>
      <c r="V1908" s="15"/>
      <c r="W19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data-nrcc="174"&gt;&lt;a href="canciones/nuevas/si_es_verdad_que_dios_te_quiere.html"&gt;Si es verdad que Dios te quiere&lt;/a&gt;&lt;/li&gt;</v>
      </c>
      <c r="X1908" s="15" t="str">
        <f>_xlfn.TEXTBEFORE(_xlfn.TEXTAFTER(CantoralDB[[#This Row],[index.html]],"&gt;"),"&gt;")&amp;"&gt;"</f>
        <v>&lt;a href="canciones/nuevas/si_es_verdad_que_dios_te_quiere.html"&gt;</v>
      </c>
      <c r="Y1908"/>
      <c r="AC1908" s="1"/>
    </row>
    <row r="1909" spans="1:29" x14ac:dyDescent="0.3">
      <c r="A1909" s="1">
        <f>ROW(CantoralDB[[#This Row],[Título]])-1</f>
        <v>1908</v>
      </c>
      <c r="B1909" s="1" t="s">
        <v>2399</v>
      </c>
      <c r="C1909" s="1"/>
      <c r="F1909" s="1">
        <v>24</v>
      </c>
      <c r="J1909" s="1"/>
      <c r="M1909" s="15" t="s">
        <v>792</v>
      </c>
      <c r="O1909" s="15"/>
      <c r="P1909" s="15"/>
      <c r="Q1909" s="15" t="str" cm="1">
        <f t="array" ref="Q19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09" s="15" t="str" cm="1">
        <f t="array" ref="R19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canciones/nuevas/si_tuvieras_fe_como_un_granito_de_mostaza.html</v>
      </c>
      <c r="T1909" s="1"/>
      <c r="U1909" s="1"/>
      <c r="V1909" s="15"/>
      <c r="W19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data-nrcc="24"&gt;&lt;a href="canciones/nuevas/si_tuvieras_fe_como_un_granito_de_mostaza.html"&gt;Si tuvieras fe como un granito de mostaza&lt;/a&gt;&lt;/li&gt;</v>
      </c>
      <c r="X1909" s="15" t="str">
        <f>_xlfn.TEXTBEFORE(_xlfn.TEXTAFTER(CantoralDB[[#This Row],[index.html]],"&gt;"),"&gt;")&amp;"&gt;"</f>
        <v>&lt;a href="canciones/nuevas/si_tuvieras_fe_como_un_granito_de_mostaza.html"&gt;</v>
      </c>
      <c r="Y1909"/>
      <c r="AC1909" s="1"/>
    </row>
    <row r="1910" spans="1:29" x14ac:dyDescent="0.3">
      <c r="A1910" s="1">
        <f>ROW(CantoralDB[[#This Row],[Título]])-1</f>
        <v>1909</v>
      </c>
      <c r="B1910" s="1" t="s">
        <v>2416</v>
      </c>
      <c r="C1910" s="1"/>
      <c r="F1910" s="1">
        <v>42</v>
      </c>
      <c r="J1910" s="1"/>
      <c r="M1910" s="15" t="s">
        <v>792</v>
      </c>
      <c r="O1910" s="15"/>
      <c r="P1910" s="15"/>
      <c r="Q1910" s="15" t="str" cm="1">
        <f t="array" ref="Q19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0" s="15" t="str" cm="1">
        <f t="array" ref="R19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canciones/nuevas/si_yo_confio_en_el_señor.html</v>
      </c>
      <c r="T1910" s="1"/>
      <c r="U1910" s="1"/>
      <c r="V1910" s="15"/>
      <c r="W19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data-nrcc="42"&gt;&lt;a href="canciones/nuevas/si_yo_confio_en_el_señor.html"&gt;Si yo confío en el Señor&lt;/a&gt;&lt;/li&gt;</v>
      </c>
      <c r="X1910" s="15" t="str">
        <f>_xlfn.TEXTBEFORE(_xlfn.TEXTAFTER(CantoralDB[[#This Row],[index.html]],"&gt;"),"&gt;")&amp;"&gt;"</f>
        <v>&lt;a href="canciones/nuevas/si_yo_confio_en_el_señor.html"&gt;</v>
      </c>
      <c r="Y1910"/>
      <c r="AC1910" s="1"/>
    </row>
    <row r="1911" spans="1:29" x14ac:dyDescent="0.3">
      <c r="A1911" s="1">
        <f>ROW(CantoralDB[[#This Row],[Título]])-1</f>
        <v>1910</v>
      </c>
      <c r="B1911" s="1" t="s">
        <v>2775</v>
      </c>
      <c r="C1911" s="1"/>
      <c r="F1911" s="1">
        <v>397</v>
      </c>
      <c r="J1911" s="1"/>
      <c r="M1911" s="15" t="s">
        <v>792</v>
      </c>
      <c r="O1911" s="15"/>
      <c r="P1911" s="15"/>
      <c r="Q1911" s="15" t="str" cm="1">
        <f t="array" ref="Q19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1" s="15" t="str" cm="1">
        <f t="array" ref="R19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canciones/nuevas/siento_que_tus_ojos_me_miran.html</v>
      </c>
      <c r="T1911" s="1"/>
      <c r="U1911" s="1"/>
      <c r="V1911" s="15"/>
      <c r="W19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data-nrcc="397"&gt;&lt;a href="canciones/nuevas/siento_que_tus_ojos_me_miran.html"&gt;Siento que tus ojos me miran&lt;/a&gt;&lt;/li&gt;</v>
      </c>
      <c r="X1911" s="15" t="str">
        <f>_xlfn.TEXTBEFORE(_xlfn.TEXTAFTER(CantoralDB[[#This Row],[index.html]],"&gt;"),"&gt;")&amp;"&gt;"</f>
        <v>&lt;a href="canciones/nuevas/siento_que_tus_ojos_me_miran.html"&gt;</v>
      </c>
      <c r="Y1911"/>
      <c r="AC1911" s="1"/>
    </row>
    <row r="1912" spans="1:29" x14ac:dyDescent="0.3">
      <c r="A1912" s="1">
        <f>ROW(CantoralDB[[#This Row],[Título]])-1</f>
        <v>1911</v>
      </c>
      <c r="B1912" s="1" t="s">
        <v>2702</v>
      </c>
      <c r="C1912" s="1"/>
      <c r="F1912" s="1">
        <v>336</v>
      </c>
      <c r="J1912" s="1"/>
      <c r="M1912" s="15" t="s">
        <v>792</v>
      </c>
      <c r="O1912" s="15"/>
      <c r="P1912" s="15"/>
      <c r="Q1912" s="15" t="str" cm="1">
        <f t="array" ref="Q19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2" s="15" t="str" cm="1">
        <f t="array" ref="R19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canciones/nuevas/te_alabaran_oh_señor.html</v>
      </c>
      <c r="T1912" s="1"/>
      <c r="U1912" s="1"/>
      <c r="V1912" s="15"/>
      <c r="W19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data-nrcc="336"&gt;&lt;a href="canciones/nuevas/te_alabaran_oh_señor.html"&gt;Te alabarán, oh, Señor&lt;/a&gt;&lt;/li&gt;</v>
      </c>
      <c r="X1912" s="15" t="str">
        <f>_xlfn.TEXTBEFORE(_xlfn.TEXTAFTER(CantoralDB[[#This Row],[index.html]],"&gt;"),"&gt;")&amp;"&gt;"</f>
        <v>&lt;a href="canciones/nuevas/te_alabaran_oh_señor.html"&gt;</v>
      </c>
      <c r="Y1912"/>
      <c r="AC1912" s="1"/>
    </row>
    <row r="1913" spans="1:29" x14ac:dyDescent="0.3">
      <c r="A1913" s="1">
        <f>ROW(CantoralDB[[#This Row],[Título]])-1</f>
        <v>1912</v>
      </c>
      <c r="B1913" s="1" t="s">
        <v>2741</v>
      </c>
      <c r="C1913" s="1"/>
      <c r="F1913" s="1">
        <v>371</v>
      </c>
      <c r="J1913" s="1"/>
      <c r="M1913" s="15" t="s">
        <v>792</v>
      </c>
      <c r="O1913" s="15"/>
      <c r="P1913" s="15"/>
      <c r="Q1913" s="15" t="str" cm="1">
        <f t="array" ref="Q19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3" s="15" t="str" cm="1">
        <f t="array" ref="R19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canciones/nuevas/te_damos_gloria.html</v>
      </c>
      <c r="T1913" s="1"/>
      <c r="U1913" s="1"/>
      <c r="V1913" s="15"/>
      <c r="W19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data-nrcc="371"&gt;&lt;a href="canciones/nuevas/te_damos_gloria.html"&gt;Te damos gloria&lt;/a&gt;&lt;/li&gt;</v>
      </c>
      <c r="X1913" s="15" t="str">
        <f>_xlfn.TEXTBEFORE(_xlfn.TEXTAFTER(CantoralDB[[#This Row],[index.html]],"&gt;"),"&gt;")&amp;"&gt;"</f>
        <v>&lt;a href="canciones/nuevas/te_damos_gloria.html"&gt;</v>
      </c>
      <c r="Y1913"/>
      <c r="AC1913" s="1"/>
    </row>
    <row r="1914" spans="1:29" x14ac:dyDescent="0.3">
      <c r="A1914" s="1">
        <f>ROW(CantoralDB[[#This Row],[Título]])-1</f>
        <v>1913</v>
      </c>
      <c r="B1914" s="1" t="s">
        <v>2463</v>
      </c>
      <c r="C1914" s="1"/>
      <c r="F1914" s="1">
        <v>84</v>
      </c>
      <c r="J1914" s="1"/>
      <c r="M1914" s="15" t="s">
        <v>792</v>
      </c>
      <c r="O1914" s="15"/>
      <c r="P1914" s="15"/>
      <c r="Q1914" s="15" t="str" cm="1">
        <f t="array" ref="Q19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4" s="15" t="str" cm="1">
        <f t="array" ref="R19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canciones/nuevas/te_ensalzamos.html</v>
      </c>
      <c r="T1914" s="1"/>
      <c r="U1914" s="1"/>
      <c r="V1914" s="15"/>
      <c r="W19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data-nrcc="84"&gt;&lt;a href="canciones/nuevas/te_ensalzamos.html"&gt;Te ensalzamos&lt;/a&gt;&lt;/li&gt;</v>
      </c>
      <c r="X1914" s="15" t="str">
        <f>_xlfn.TEXTBEFORE(_xlfn.TEXTAFTER(CantoralDB[[#This Row],[index.html]],"&gt;"),"&gt;")&amp;"&gt;"</f>
        <v>&lt;a href="canciones/nuevas/te_ensalzamos.html"&gt;</v>
      </c>
      <c r="Y1914"/>
      <c r="AC1914" s="1"/>
    </row>
    <row r="1915" spans="1:29" x14ac:dyDescent="0.3">
      <c r="A1915" s="1">
        <f>ROW(CantoralDB[[#This Row],[Título]])-1</f>
        <v>1914</v>
      </c>
      <c r="B1915" s="1" t="s">
        <v>2401</v>
      </c>
      <c r="C1915" s="1"/>
      <c r="F1915" s="1">
        <v>27</v>
      </c>
      <c r="J1915" s="1"/>
      <c r="M1915" s="15" t="s">
        <v>792</v>
      </c>
      <c r="O1915" s="15"/>
      <c r="P1915" s="15"/>
      <c r="Q1915" s="15" t="str" cm="1">
        <f t="array" ref="Q19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5" s="15" t="str" cm="1">
        <f t="array" ref="R19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canciones/nuevas/tenemos_tanto.html</v>
      </c>
      <c r="T1915" s="1"/>
      <c r="U1915" s="1"/>
      <c r="V1915" s="15"/>
      <c r="W19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data-nrcc="27"&gt;&lt;a href="canciones/nuevas/tenemos_tanto.html"&gt;Tenemos tanto&lt;/a&gt;&lt;/li&gt;</v>
      </c>
      <c r="X1915" s="15" t="str">
        <f>_xlfn.TEXTBEFORE(_xlfn.TEXTAFTER(CantoralDB[[#This Row],[index.html]],"&gt;"),"&gt;")&amp;"&gt;"</f>
        <v>&lt;a href="canciones/nuevas/tenemos_tanto.html"&gt;</v>
      </c>
      <c r="Y1915"/>
      <c r="AC1915" s="1"/>
    </row>
    <row r="1916" spans="1:29" x14ac:dyDescent="0.3">
      <c r="A1916" s="1">
        <f>ROW(CantoralDB[[#This Row],[Título]])-1</f>
        <v>1915</v>
      </c>
      <c r="B1916" s="1" t="s">
        <v>2642</v>
      </c>
      <c r="C1916" s="1"/>
      <c r="F1916" s="1">
        <v>270</v>
      </c>
      <c r="J1916" s="1"/>
      <c r="M1916" s="15" t="s">
        <v>792</v>
      </c>
      <c r="O1916" s="15"/>
      <c r="P1916" s="15"/>
      <c r="Q1916" s="15" t="str" cm="1">
        <f t="array" ref="Q19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6" s="15" t="str" cm="1">
        <f t="array" ref="R19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canciones/nuevas/tomame.html</v>
      </c>
      <c r="T1916" s="1"/>
      <c r="U1916" s="1"/>
      <c r="V1916" s="15"/>
      <c r="W19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data-nrcc="270"&gt;&lt;a href="canciones/nuevas/tomame.html"&gt;Tómame&lt;/a&gt;&lt;/li&gt;</v>
      </c>
      <c r="X1916" s="15" t="str">
        <f>_xlfn.TEXTBEFORE(_xlfn.TEXTAFTER(CantoralDB[[#This Row],[index.html]],"&gt;"),"&gt;")&amp;"&gt;"</f>
        <v>&lt;a href="canciones/nuevas/tomame.html"&gt;</v>
      </c>
      <c r="Y1916"/>
      <c r="AC1916" s="1"/>
    </row>
    <row r="1917" spans="1:29" x14ac:dyDescent="0.3">
      <c r="A1917" s="1">
        <f>ROW(CantoralDB[[#This Row],[Título]])-1</f>
        <v>1916</v>
      </c>
      <c r="B1917" s="1" t="s">
        <v>2415</v>
      </c>
      <c r="C1917" s="1"/>
      <c r="F1917" s="1">
        <v>40</v>
      </c>
      <c r="J1917" s="1"/>
      <c r="M1917" s="15" t="s">
        <v>792</v>
      </c>
      <c r="O1917" s="15"/>
      <c r="P1917" s="15"/>
      <c r="Q1917" s="15" t="str" cm="1">
        <f t="array" ref="Q19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7" s="15" t="str" cm="1">
        <f t="array" ref="R19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canciones/nuevas/tu_amor_sublime.html</v>
      </c>
      <c r="T1917" s="1"/>
      <c r="U1917" s="1"/>
      <c r="V1917" s="15"/>
      <c r="W19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data-nrcc="40"&gt;&lt;a href="canciones/nuevas/tu_amor_sublime.html"&gt;Tu amor sublime&lt;/a&gt;&lt;/li&gt;</v>
      </c>
      <c r="X1917" s="15" t="str">
        <f>_xlfn.TEXTBEFORE(_xlfn.TEXTAFTER(CantoralDB[[#This Row],[index.html]],"&gt;"),"&gt;")&amp;"&gt;"</f>
        <v>&lt;a href="canciones/nuevas/tu_amor_sublime.html"&gt;</v>
      </c>
      <c r="Y1917"/>
      <c r="AC1917" s="1"/>
    </row>
    <row r="1918" spans="1:29" x14ac:dyDescent="0.3">
      <c r="A1918" s="1">
        <f>ROW(CantoralDB[[#This Row],[Título]])-1</f>
        <v>1917</v>
      </c>
      <c r="B1918" s="1" t="s">
        <v>2446</v>
      </c>
      <c r="C1918" s="1"/>
      <c r="F1918" s="1">
        <v>67</v>
      </c>
      <c r="J1918" s="1"/>
      <c r="M1918" s="15" t="s">
        <v>792</v>
      </c>
      <c r="O1918" s="15"/>
      <c r="P1918" s="15"/>
      <c r="Q1918" s="15" t="str" cm="1">
        <f t="array" ref="Q19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8" s="15" t="str" cm="1">
        <f t="array" ref="R19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canciones/nuevas/tuya_es_la_gloria.html</v>
      </c>
      <c r="T1918" s="1"/>
      <c r="U1918" s="1"/>
      <c r="V1918" s="15"/>
      <c r="W19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data-nrcc="67"&gt;&lt;a href="canciones/nuevas/tuya_es_la_gloria.html"&gt;Tuya es la gloria&lt;/a&gt;&lt;/li&gt;</v>
      </c>
      <c r="X1918" s="15" t="str">
        <f>_xlfn.TEXTBEFORE(_xlfn.TEXTAFTER(CantoralDB[[#This Row],[index.html]],"&gt;"),"&gt;")&amp;"&gt;"</f>
        <v>&lt;a href="canciones/nuevas/tuya_es_la_gloria.html"&gt;</v>
      </c>
      <c r="Y1918"/>
      <c r="AC1918" s="1"/>
    </row>
    <row r="1919" spans="1:29" x14ac:dyDescent="0.3">
      <c r="A1919" s="1">
        <f>ROW(CantoralDB[[#This Row],[Título]])-1</f>
        <v>1918</v>
      </c>
      <c r="B1919" s="1" t="s">
        <v>2484</v>
      </c>
      <c r="C1919" s="1"/>
      <c r="F1919" s="1">
        <v>106</v>
      </c>
      <c r="J1919" s="1"/>
      <c r="M1919" s="15" t="s">
        <v>792</v>
      </c>
      <c r="O1919" s="15"/>
      <c r="P1919" s="15"/>
      <c r="Q1919" s="15" t="str" cm="1">
        <f t="array" ref="Q19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19" s="15" t="str" cm="1">
        <f t="array" ref="R19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canciones/nuevas/va_bajando_ya.html</v>
      </c>
      <c r="T1919" s="1"/>
      <c r="U1919" s="1"/>
      <c r="V1919" s="15"/>
      <c r="W19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data-nrcc="106"&gt;&lt;a href="canciones/nuevas/va_bajando_ya.html"&gt;Va bajando ya&lt;/a&gt;&lt;/li&gt;</v>
      </c>
      <c r="X1919" s="15" t="str">
        <f>_xlfn.TEXTBEFORE(_xlfn.TEXTAFTER(CantoralDB[[#This Row],[index.html]],"&gt;"),"&gt;")&amp;"&gt;"</f>
        <v>&lt;a href="canciones/nuevas/va_bajando_ya.html"&gt;</v>
      </c>
      <c r="Y1919"/>
      <c r="AC1919" s="1"/>
    </row>
    <row r="1920" spans="1:29" x14ac:dyDescent="0.3">
      <c r="A1920" s="1">
        <f>ROW(CantoralDB[[#This Row],[Título]])-1</f>
        <v>1919</v>
      </c>
      <c r="B1920" s="1" t="s">
        <v>2718</v>
      </c>
      <c r="C1920" s="1"/>
      <c r="F1920" s="1">
        <v>349</v>
      </c>
      <c r="J1920" s="1"/>
      <c r="M1920" s="15" t="s">
        <v>792</v>
      </c>
      <c r="O1920" s="15"/>
      <c r="P1920" s="15"/>
      <c r="Q1920" s="15" t="str" cm="1">
        <f t="array" ref="Q19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0" s="15" t="str" cm="1">
        <f t="array" ref="R19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canciones/nuevas/vamos_a_bendecir_al_señor.html</v>
      </c>
      <c r="T1920" s="1"/>
      <c r="U1920" s="1"/>
      <c r="V1920" s="32" t="s">
        <v>4484</v>
      </c>
      <c r="W19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data-nrcc="349"&gt;&lt;a href="canciones/nuevas/vamos_a_bendecir_al_señor.html"&gt;Vamos a bendecir al Señor&lt;/a&gt;&lt;/li&gt;</v>
      </c>
      <c r="X1920" s="15" t="str">
        <f>_xlfn.TEXTBEFORE(_xlfn.TEXTAFTER(CantoralDB[[#This Row],[index.html]],"&gt;"),"&gt;")&amp;"&gt;"</f>
        <v>&lt;a href="canciones/nuevas/vamos_a_bendecir_al_señor.html"&gt;</v>
      </c>
      <c r="Y1920"/>
      <c r="AC1920" s="1"/>
    </row>
    <row r="1921" spans="1:29" x14ac:dyDescent="0.3">
      <c r="A1921" s="1">
        <f>ROW(CantoralDB[[#This Row],[Título]])-1</f>
        <v>1920</v>
      </c>
      <c r="B1921" s="1" t="s">
        <v>2436</v>
      </c>
      <c r="C1921" s="1"/>
      <c r="F1921" s="1">
        <v>58</v>
      </c>
      <c r="J1921" s="1"/>
      <c r="M1921" s="15" t="s">
        <v>792</v>
      </c>
      <c r="O1921" s="15"/>
      <c r="P1921" s="15"/>
      <c r="Q1921" s="15" t="str" cm="1">
        <f t="array" ref="Q19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1" s="15" t="str" cm="1">
        <f t="array" ref="R19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canciones/nuevas/vamos_a_cantar.html</v>
      </c>
      <c r="T1921" s="1"/>
      <c r="U1921" s="1"/>
      <c r="V1921" s="15"/>
      <c r="W19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data-nrcc="58"&gt;&lt;a href="canciones/nuevas/vamos_a_cantar.html"&gt;Vamos a cantar&lt;/a&gt;&lt;/li&gt;</v>
      </c>
      <c r="X1921" s="15" t="str">
        <f>_xlfn.TEXTBEFORE(_xlfn.TEXTAFTER(CantoralDB[[#This Row],[index.html]],"&gt;"),"&gt;")&amp;"&gt;"</f>
        <v>&lt;a href="canciones/nuevas/vamos_a_cantar.html"&gt;</v>
      </c>
      <c r="Y1921"/>
      <c r="AC1921" s="1"/>
    </row>
    <row r="1922" spans="1:29" x14ac:dyDescent="0.3">
      <c r="A1922" s="1">
        <f>ROW(CantoralDB[[#This Row],[Título]])-1</f>
        <v>1921</v>
      </c>
      <c r="B1922" s="1" t="s">
        <v>2406</v>
      </c>
      <c r="C1922" s="1"/>
      <c r="F1922" s="1">
        <v>32</v>
      </c>
      <c r="J1922" s="1"/>
      <c r="M1922" s="15" t="s">
        <v>792</v>
      </c>
      <c r="O1922" s="15"/>
      <c r="P1922" s="15"/>
      <c r="Q1922" s="15" t="str" cm="1">
        <f t="array" ref="Q19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2" s="15" t="str" cm="1">
        <f t="array" ref="R19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canciones/nuevas/vamos_a_juntarnos.html</v>
      </c>
      <c r="T1922" s="1"/>
      <c r="U1922" s="1"/>
      <c r="V1922" s="15"/>
      <c r="W19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data-nrcc="32"&gt;&lt;a href="canciones/nuevas/vamos_a_juntarnos.html"&gt;Vamos a juntarnos&lt;/a&gt;&lt;/li&gt;</v>
      </c>
      <c r="X1922" s="15" t="str">
        <f>_xlfn.TEXTBEFORE(_xlfn.TEXTAFTER(CantoralDB[[#This Row],[index.html]],"&gt;"),"&gt;")&amp;"&gt;"</f>
        <v>&lt;a href="canciones/nuevas/vamos_a_juntarnos.html"&gt;</v>
      </c>
      <c r="Y1922"/>
      <c r="AC1922" s="1"/>
    </row>
    <row r="1923" spans="1:29" x14ac:dyDescent="0.3">
      <c r="A1923" s="1">
        <f>ROW(CantoralDB[[#This Row],[Título]])-1</f>
        <v>1922</v>
      </c>
      <c r="B1923" s="1" t="s">
        <v>2546</v>
      </c>
      <c r="C1923" s="1"/>
      <c r="F1923" s="1">
        <v>162</v>
      </c>
      <c r="J1923" s="1"/>
      <c r="M1923" s="15" t="s">
        <v>792</v>
      </c>
      <c r="O1923" s="15"/>
      <c r="P1923" s="15"/>
      <c r="Q1923" s="15" t="str" cm="1">
        <f t="array" ref="Q19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3" s="15" t="str" cm="1">
        <f t="array" ref="R19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canciones/nuevas/vamos_con_gozo.html</v>
      </c>
      <c r="T1923" s="1"/>
      <c r="U1923" s="1"/>
      <c r="V1923" s="32" t="s">
        <v>4553</v>
      </c>
      <c r="W19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data-nrcc="162"&gt;&lt;a href="canciones/nuevas/vamos_con_gozo.html"&gt;Vamos con gozo&lt;/a&gt;&lt;/li&gt;</v>
      </c>
      <c r="X1923" s="15" t="str">
        <f>_xlfn.TEXTBEFORE(_xlfn.TEXTAFTER(CantoralDB[[#This Row],[index.html]],"&gt;"),"&gt;")&amp;"&gt;"</f>
        <v>&lt;a href="canciones/nuevas/vamos_con_gozo.html"&gt;</v>
      </c>
      <c r="Y1923"/>
      <c r="AC1923" s="1"/>
    </row>
    <row r="1924" spans="1:29" x14ac:dyDescent="0.3">
      <c r="A1924" s="1">
        <f>ROW(CantoralDB[[#This Row],[Título]])-1</f>
        <v>1923</v>
      </c>
      <c r="B1924" s="1" t="s">
        <v>2164</v>
      </c>
      <c r="C1924" s="15"/>
      <c r="H1924" s="1" t="s">
        <v>1024</v>
      </c>
      <c r="J1924" s="1" t="s">
        <v>605</v>
      </c>
      <c r="M1924" s="15" t="s">
        <v>792</v>
      </c>
      <c r="O1924" s="15"/>
      <c r="P1924" s="15"/>
      <c r="Q1924" s="15" t="str" cm="1">
        <f t="array" ref="Q19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4" s="15" t="str" cm="1">
        <f t="array" ref="R19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canciones/nuevas/vamos_amigos.html</v>
      </c>
      <c r="T1924" s="1"/>
      <c r="U1924" s="1"/>
      <c r="V1924" s="15"/>
      <c r="W19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&lt;li&gt;&lt;a href="canciones/nuevas/vamos_amigos.html"&gt;Vamos, amigos&lt;/a&gt;&lt;/li&gt;</v>
      </c>
      <c r="X1924" s="15" t="str">
        <f>_xlfn.TEXTBEFORE(_xlfn.TEXTAFTER(CantoralDB[[#This Row],[index.html]],"&gt;"),"&gt;")&amp;"&gt;"</f>
        <v>&lt;a href="canciones/nuevas/vamos_amigos.html"&gt;</v>
      </c>
      <c r="Y1924"/>
      <c r="AC1924" s="1"/>
    </row>
    <row r="1925" spans="1:29" x14ac:dyDescent="0.3">
      <c r="A1925" s="1">
        <f>ROW(CantoralDB[[#This Row],[Título]])-1</f>
        <v>1924</v>
      </c>
      <c r="B1925" s="1" t="s">
        <v>2604</v>
      </c>
      <c r="C1925" s="1"/>
      <c r="F1925" s="1">
        <v>224</v>
      </c>
      <c r="J1925" s="1"/>
      <c r="M1925" s="15" t="s">
        <v>792</v>
      </c>
      <c r="O1925" s="15"/>
      <c r="P1925" s="15"/>
      <c r="Q1925" s="15" t="str" cm="1">
        <f t="array" ref="Q19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5" s="15" t="str" cm="1">
        <f t="array" ref="R19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canciones/nuevas/ven_a_conocer.html</v>
      </c>
      <c r="T1925" s="1"/>
      <c r="U1925" s="1"/>
      <c r="V1925" s="15"/>
      <c r="W19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data-nrcc="224"&gt;&lt;a href="canciones/nuevas/ven_a_conocer.html"&gt;Ven a conocer&lt;/a&gt;&lt;/li&gt;</v>
      </c>
      <c r="X1925" s="15" t="str">
        <f>_xlfn.TEXTBEFORE(_xlfn.TEXTAFTER(CantoralDB[[#This Row],[index.html]],"&gt;"),"&gt;")&amp;"&gt;"</f>
        <v>&lt;a href="canciones/nuevas/ven_a_conocer.html"&gt;</v>
      </c>
      <c r="Y1925"/>
      <c r="AC1925" s="1"/>
    </row>
    <row r="1926" spans="1:29" x14ac:dyDescent="0.3">
      <c r="A1926" s="1">
        <f>ROW(CantoralDB[[#This Row],[Título]])-1</f>
        <v>1925</v>
      </c>
      <c r="B1926" s="1" t="s">
        <v>2651</v>
      </c>
      <c r="C1926" s="1"/>
      <c r="F1926" s="1">
        <v>278</v>
      </c>
      <c r="J1926" s="1"/>
      <c r="M1926" s="15" t="s">
        <v>792</v>
      </c>
      <c r="O1926" s="15"/>
      <c r="P1926" s="15"/>
      <c r="Q1926" s="15" t="str" cm="1">
        <f t="array" ref="Q19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6" s="15" t="str" cm="1">
        <f t="array" ref="R19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canciones/nuevas/ven_ahora.html</v>
      </c>
      <c r="T1926" s="1"/>
      <c r="U1926" s="1"/>
      <c r="V1926" s="15"/>
      <c r="W19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data-nrcc="278"&gt;&lt;a href="canciones/nuevas/ven_ahora.html"&gt;Ven ahora&lt;/a&gt;&lt;/li&gt;</v>
      </c>
      <c r="X1926" s="15" t="str">
        <f>_xlfn.TEXTBEFORE(_xlfn.TEXTAFTER(CantoralDB[[#This Row],[index.html]],"&gt;"),"&gt;")&amp;"&gt;"</f>
        <v>&lt;a href="canciones/nuevas/ven_ahora.html"&gt;</v>
      </c>
      <c r="Y1926"/>
      <c r="AC1926" s="1"/>
    </row>
    <row r="1927" spans="1:29" x14ac:dyDescent="0.3">
      <c r="A1927" s="1">
        <f>ROW(CantoralDB[[#This Row],[Título]])-1</f>
        <v>1926</v>
      </c>
      <c r="B1927" s="1" t="s">
        <v>2802</v>
      </c>
      <c r="C1927" s="1"/>
      <c r="F1927" s="1">
        <v>418</v>
      </c>
      <c r="J1927" s="1"/>
      <c r="M1927" s="15" t="s">
        <v>792</v>
      </c>
      <c r="O1927" s="15"/>
      <c r="P1927" s="15"/>
      <c r="Q1927" s="15" t="str" cm="1">
        <f t="array" ref="Q19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7" s="15" t="str" cm="1">
        <f t="array" ref="R19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canciones/nuevas/ven_al_corazon.html</v>
      </c>
      <c r="T1927" s="1"/>
      <c r="U1927" s="1"/>
      <c r="V1927" s="15"/>
      <c r="W19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data-nrcc="418"&gt;&lt;a href="canciones/nuevas/ven_al_corazon.html"&gt;Ven al corazón&lt;/a&gt;&lt;/li&gt;</v>
      </c>
      <c r="X1927" s="15" t="str">
        <f>_xlfn.TEXTBEFORE(_xlfn.TEXTAFTER(CantoralDB[[#This Row],[index.html]],"&gt;"),"&gt;")&amp;"&gt;"</f>
        <v>&lt;a href="canciones/nuevas/ven_al_corazon.html"&gt;</v>
      </c>
      <c r="Y1927"/>
      <c r="AC1927" s="1"/>
    </row>
    <row r="1928" spans="1:29" x14ac:dyDescent="0.3">
      <c r="A1928" s="1">
        <f>ROW(CantoralDB[[#This Row],[Título]])-1</f>
        <v>1927</v>
      </c>
      <c r="B1928" s="1" t="s">
        <v>2655</v>
      </c>
      <c r="C1928" s="1"/>
      <c r="F1928" s="1">
        <v>283</v>
      </c>
      <c r="J1928" s="1"/>
      <c r="M1928" s="15" t="s">
        <v>792</v>
      </c>
      <c r="O1928" s="15"/>
      <c r="P1928" s="15"/>
      <c r="Q1928" s="15" t="str" cm="1">
        <f t="array" ref="Q19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8" s="15" t="str" cm="1">
        <f t="array" ref="R19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canciones/nuevas/ven_amor_de_dios.html</v>
      </c>
      <c r="T1928" s="1"/>
      <c r="U1928" s="1"/>
      <c r="V1928" s="15"/>
      <c r="W19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data-nrcc="283"&gt;&lt;a href="canciones/nuevas/ven_amor_de_dios.html"&gt;Ven, Amor de Dios&lt;/a&gt;&lt;/li&gt;</v>
      </c>
      <c r="X1928" s="15" t="str">
        <f>_xlfn.TEXTBEFORE(_xlfn.TEXTAFTER(CantoralDB[[#This Row],[index.html]],"&gt;"),"&gt;")&amp;"&gt;"</f>
        <v>&lt;a href="canciones/nuevas/ven_amor_de_dios.html"&gt;</v>
      </c>
      <c r="Y1928"/>
      <c r="AC1928" s="1"/>
    </row>
    <row r="1929" spans="1:29" x14ac:dyDescent="0.3">
      <c r="A1929" s="1">
        <f>ROW(CantoralDB[[#This Row],[Título]])-1</f>
        <v>1928</v>
      </c>
      <c r="B1929" s="1" t="s">
        <v>2433</v>
      </c>
      <c r="C1929" s="1"/>
      <c r="F1929" s="1">
        <v>55</v>
      </c>
      <c r="J1929" s="1"/>
      <c r="M1929" s="15" t="s">
        <v>792</v>
      </c>
      <c r="O1929" s="15"/>
      <c r="P1929" s="15"/>
      <c r="Q1929" s="15" t="str" cm="1">
        <f t="array" ref="Q19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29" s="15" t="str" cm="1">
        <f t="array" ref="R19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canciones/nuevas/ven_espiritu_divino.html</v>
      </c>
      <c r="T1929" s="1"/>
      <c r="U1929" s="1"/>
      <c r="V1929" s="15"/>
      <c r="W19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data-nrcc="55"&gt;&lt;a href="canciones/nuevas/ven_espiritu_divino.html"&gt;Ven, Espíritu divino&lt;/a&gt;&lt;/li&gt;</v>
      </c>
      <c r="X1929" s="15" t="str">
        <f>_xlfn.TEXTBEFORE(_xlfn.TEXTAFTER(CantoralDB[[#This Row],[index.html]],"&gt;"),"&gt;")&amp;"&gt;"</f>
        <v>&lt;a href="canciones/nuevas/ven_espiritu_divino.html"&gt;</v>
      </c>
      <c r="Y1929"/>
      <c r="AC1929" s="1"/>
    </row>
    <row r="1930" spans="1:29" x14ac:dyDescent="0.3">
      <c r="A1930" s="1">
        <f>ROW(CantoralDB[[#This Row],[Título]])-1</f>
        <v>1929</v>
      </c>
      <c r="B1930" s="1" t="s">
        <v>2353</v>
      </c>
      <c r="C1930" s="1"/>
      <c r="F1930" s="1">
        <v>259</v>
      </c>
      <c r="J1930" s="1"/>
      <c r="M1930" s="15" t="s">
        <v>792</v>
      </c>
      <c r="O1930" s="15"/>
      <c r="P1930" s="15"/>
      <c r="Q1930" s="15" t="str" cm="1">
        <f t="array" ref="Q19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0" s="15" t="str" cm="1">
        <f t="array" ref="R19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canciones/nuevas/venid_a_mi.html</v>
      </c>
      <c r="T1930" s="1"/>
      <c r="U1930" s="1"/>
      <c r="V1930" s="32" t="s">
        <v>4499</v>
      </c>
      <c r="W19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data-nrcc="259"&gt;&lt;a href="canciones/nuevas/venid_a_mi.html"&gt;Venid a mí&lt;/a&gt;&lt;/li&gt;</v>
      </c>
      <c r="X1930" s="15" t="str">
        <f>_xlfn.TEXTBEFORE(_xlfn.TEXTAFTER(CantoralDB[[#This Row],[index.html]],"&gt;"),"&gt;")&amp;"&gt;"</f>
        <v>&lt;a href="canciones/nuevas/venid_a_mi.html"&gt;</v>
      </c>
      <c r="Y1930"/>
      <c r="AC1930" s="1"/>
    </row>
    <row r="1931" spans="1:29" x14ac:dyDescent="0.3">
      <c r="A1931" s="1">
        <f>ROW(CantoralDB[[#This Row],[Título]])-1</f>
        <v>1930</v>
      </c>
      <c r="B1931" s="1" t="s">
        <v>2649</v>
      </c>
      <c r="C1931" s="1"/>
      <c r="F1931" s="1">
        <v>276</v>
      </c>
      <c r="J1931" s="1"/>
      <c r="M1931" s="15" t="s">
        <v>792</v>
      </c>
      <c r="O1931" s="15"/>
      <c r="P1931" s="15"/>
      <c r="Q1931" s="15" t="str" cm="1">
        <f t="array" ref="Q19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1" s="15" t="str" cm="1">
        <f t="array" ref="R19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canciones/nuevas/venid_alabad.html</v>
      </c>
      <c r="T1931" s="1"/>
      <c r="U1931" s="1"/>
      <c r="V1931" s="15"/>
      <c r="W19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data-nrcc="276"&gt;&lt;a href="canciones/nuevas/venid_alabad.html"&gt;Venid, alabad&lt;/a&gt;&lt;/li&gt;</v>
      </c>
      <c r="X1931" s="15" t="str">
        <f>_xlfn.TEXTBEFORE(_xlfn.TEXTAFTER(CantoralDB[[#This Row],[index.html]],"&gt;"),"&gt;")&amp;"&gt;"</f>
        <v>&lt;a href="canciones/nuevas/venid_alabad.html"&gt;</v>
      </c>
      <c r="Y1931"/>
      <c r="AC1931" s="1"/>
    </row>
    <row r="1932" spans="1:29" x14ac:dyDescent="0.3">
      <c r="A1932" s="1">
        <f>ROW(CantoralDB[[#This Row],[Título]])-1</f>
        <v>1931</v>
      </c>
      <c r="B1932" s="1" t="s">
        <v>1712</v>
      </c>
      <c r="C1932" s="1"/>
      <c r="F1932" s="1">
        <v>41</v>
      </c>
      <c r="J1932" s="1"/>
      <c r="M1932" s="15" t="s">
        <v>792</v>
      </c>
      <c r="O1932" s="15"/>
      <c r="P1932" s="15"/>
      <c r="Q1932" s="15" t="str" cm="1">
        <f t="array" ref="Q19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2" s="15" t="str" cm="1">
        <f t="array" ref="R19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canciones/nuevas/venimos_ante_ti.html</v>
      </c>
      <c r="T1932" s="1"/>
      <c r="U1932" s="1"/>
      <c r="V1932" s="15"/>
      <c r="W19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data-nrcc="41"&gt;&lt;a href="canciones/nuevas/venimos_ante_ti.html"&gt;Venimos ante ti&lt;/a&gt;&lt;/li&gt;</v>
      </c>
      <c r="X1932" s="15" t="str">
        <f>_xlfn.TEXTBEFORE(_xlfn.TEXTAFTER(CantoralDB[[#This Row],[index.html]],"&gt;"),"&gt;")&amp;"&gt;"</f>
        <v>&lt;a href="canciones/nuevas/venimos_ante_ti.html"&gt;</v>
      </c>
      <c r="Y1932"/>
      <c r="AC1932" s="1"/>
    </row>
    <row r="1933" spans="1:29" x14ac:dyDescent="0.3">
      <c r="A1933" s="1">
        <f>ROW(CantoralDB[[#This Row],[Título]])-1</f>
        <v>1932</v>
      </c>
      <c r="B1933" s="1" t="s">
        <v>2770</v>
      </c>
      <c r="C1933" s="1"/>
      <c r="F1933" s="1">
        <v>393</v>
      </c>
      <c r="J1933" s="1"/>
      <c r="M1933" s="15" t="s">
        <v>792</v>
      </c>
      <c r="O1933" s="15"/>
      <c r="P1933" s="15"/>
      <c r="Q1933" s="15" t="str" cm="1">
        <f t="array" ref="Q19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3" s="15" t="str" cm="1">
        <f t="array" ref="R19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canciones/nuevas/y_es_que_tengo_un_fuego.html</v>
      </c>
      <c r="T1933" s="1"/>
      <c r="U1933" s="1"/>
      <c r="V1933" s="15"/>
      <c r="W19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data-nrcc="393"&gt;&lt;a href="canciones/nuevas/y_es_que_tengo_un_fuego.html"&gt;Y es que tengo un fuego&lt;/a&gt;&lt;/li&gt;</v>
      </c>
      <c r="X1933" s="15" t="str">
        <f>_xlfn.TEXTBEFORE(_xlfn.TEXTAFTER(CantoralDB[[#This Row],[index.html]],"&gt;"),"&gt;")&amp;"&gt;"</f>
        <v>&lt;a href="canciones/nuevas/y_es_que_tengo_un_fuego.html"&gt;</v>
      </c>
      <c r="Y1933"/>
      <c r="AC1933" s="1"/>
    </row>
    <row r="1934" spans="1:29" x14ac:dyDescent="0.3">
      <c r="A1934" s="1">
        <f>ROW(CantoralDB[[#This Row],[Título]])-1</f>
        <v>1933</v>
      </c>
      <c r="B1934" s="1" t="s">
        <v>2721</v>
      </c>
      <c r="C1934" s="1"/>
      <c r="F1934" s="1">
        <v>351</v>
      </c>
      <c r="J1934" s="1"/>
      <c r="M1934" s="15" t="s">
        <v>792</v>
      </c>
      <c r="O1934" s="15"/>
      <c r="P1934" s="15"/>
      <c r="Q1934" s="15" t="str" cm="1">
        <f t="array" ref="Q19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4" s="15" t="str" cm="1">
        <f t="array" ref="R19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canciones/nuevas/yo_cantare_tus_alabanzas.html</v>
      </c>
      <c r="T1934" s="1"/>
      <c r="U1934" s="1"/>
      <c r="V1934" s="15"/>
      <c r="W19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data-nrcc="351"&gt;&lt;a href="canciones/nuevas/yo_cantare_tus_alabanzas.html"&gt;Yo cantaré tus alabanzas&lt;/a&gt;&lt;/li&gt;</v>
      </c>
      <c r="X1934" s="15" t="str">
        <f>_xlfn.TEXTBEFORE(_xlfn.TEXTAFTER(CantoralDB[[#This Row],[index.html]],"&gt;"),"&gt;")&amp;"&gt;"</f>
        <v>&lt;a href="canciones/nuevas/yo_cantare_tus_alabanzas.html"&gt;</v>
      </c>
      <c r="Y1934"/>
      <c r="AC1934" s="1"/>
    </row>
    <row r="1935" spans="1:29" x14ac:dyDescent="0.3">
      <c r="A1935" s="1">
        <f>ROW(CantoralDB[[#This Row],[Título]])-1</f>
        <v>1934</v>
      </c>
      <c r="B1935" s="1" t="s">
        <v>2396</v>
      </c>
      <c r="C1935" s="1"/>
      <c r="F1935" s="1">
        <v>20</v>
      </c>
      <c r="J1935" s="1"/>
      <c r="M1935" s="15" t="s">
        <v>792</v>
      </c>
      <c r="O1935" s="15"/>
      <c r="P1935" s="15"/>
      <c r="Q1935" s="15" t="str" cm="1">
        <f t="array" ref="Q19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5" s="15" t="str" cm="1">
        <f t="array" ref="R19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canciones/nuevas/yo_soy_testigo.html</v>
      </c>
      <c r="T1935" s="1"/>
      <c r="U1935" s="1"/>
      <c r="V1935" s="15"/>
      <c r="W19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data-nrcc="20"&gt;&lt;a href="canciones/nuevas/yo_soy_testigo.html"&gt;Yo soy testigo&lt;/a&gt;&lt;/li&gt;</v>
      </c>
      <c r="X1935" s="15" t="str">
        <f>_xlfn.TEXTBEFORE(_xlfn.TEXTAFTER(CantoralDB[[#This Row],[index.html]],"&gt;"),"&gt;")&amp;"&gt;"</f>
        <v>&lt;a href="canciones/nuevas/yo_soy_testigo.html"&gt;</v>
      </c>
      <c r="Y1935"/>
      <c r="AC1935" s="1"/>
    </row>
    <row r="1936" spans="1:29" x14ac:dyDescent="0.3">
      <c r="A1936" s="1">
        <f>ROW(CantoralDB[[#This Row],[Título]])-1</f>
        <v>1935</v>
      </c>
      <c r="B1936" s="1" t="s">
        <v>2779</v>
      </c>
      <c r="C1936" s="1"/>
      <c r="F1936" s="1">
        <v>402</v>
      </c>
      <c r="J1936" s="1"/>
      <c r="M1936" s="15" t="s">
        <v>792</v>
      </c>
      <c r="O1936" s="15"/>
      <c r="P1936" s="15"/>
      <c r="Q1936" s="15" t="str" cm="1">
        <f t="array" ref="Q19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6" s="15" t="str" cm="1">
        <f t="array" ref="R19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canciones/nuevas/yo_te_adoro_señor.html</v>
      </c>
      <c r="T1936" s="1"/>
      <c r="U1936" s="1"/>
      <c r="V1936" s="15"/>
      <c r="W19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data-nrcc="402"&gt;&lt;a href="canciones/nuevas/yo_te_adoro_señor.html"&gt;Yo te adoro, Señor&lt;/a&gt;&lt;/li&gt;</v>
      </c>
      <c r="X1936" s="15" t="str">
        <f>_xlfn.TEXTBEFORE(_xlfn.TEXTAFTER(CantoralDB[[#This Row],[index.html]],"&gt;"),"&gt;")&amp;"&gt;"</f>
        <v>&lt;a href="canciones/nuevas/yo_te_adoro_señor.html"&gt;</v>
      </c>
      <c r="Y1936"/>
      <c r="AC1936" s="1"/>
    </row>
    <row r="1937" spans="1:29" x14ac:dyDescent="0.3">
      <c r="A1937" s="1">
        <f>ROW(CantoralDB[[#This Row],[Título]])-1</f>
        <v>1936</v>
      </c>
      <c r="B1937" s="1" t="s">
        <v>2589</v>
      </c>
      <c r="C1937" s="1"/>
      <c r="F1937" s="1">
        <v>207</v>
      </c>
      <c r="J1937" s="1"/>
      <c r="M1937" s="15" t="s">
        <v>792</v>
      </c>
      <c r="O1937" s="15"/>
      <c r="P1937" s="15"/>
      <c r="Q1937" s="15" t="str" cm="1">
        <f t="array" ref="Q19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7" s="15" t="str" cm="1">
        <f t="array" ref="R19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canciones/nuevas/yo_tengo_un_gozo_en_el_alma.html</v>
      </c>
      <c r="T1937" s="1"/>
      <c r="U1937" s="1"/>
      <c r="V1937" s="32" t="s">
        <v>4523</v>
      </c>
      <c r="W19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data-nrcc="207"&gt;&lt;a href="canciones/nuevas/yo_tengo_un_gozo_en_el_alma.html"&gt;Yo tengo un gozo en el alma&lt;/a&gt;&lt;/li&gt;</v>
      </c>
      <c r="X1937" s="15" t="str">
        <f>_xlfn.TEXTBEFORE(_xlfn.TEXTAFTER(CantoralDB[[#This Row],[index.html]],"&gt;"),"&gt;")&amp;"&gt;"</f>
        <v>&lt;a href="canciones/nuevas/yo_tengo_un_gozo_en_el_alma.html"&gt;</v>
      </c>
      <c r="Y1937"/>
      <c r="AC1937" s="1"/>
    </row>
    <row r="1938" spans="1:29" x14ac:dyDescent="0.3">
      <c r="A1938" s="1">
        <f>ROW(CantoralDB[[#This Row],[Título]])-1</f>
        <v>1937</v>
      </c>
      <c r="B1938" s="1" t="s">
        <v>3021</v>
      </c>
      <c r="C1938" s="1"/>
      <c r="H1938" s="1" t="s">
        <v>1024</v>
      </c>
      <c r="I1938" s="1" t="s">
        <v>2948</v>
      </c>
      <c r="J1938" s="1" t="s">
        <v>605</v>
      </c>
      <c r="M1938" s="15" t="s">
        <v>572</v>
      </c>
      <c r="O1938" s="15"/>
      <c r="P1938" s="15"/>
      <c r="Q1938" s="15" t="str" cm="1">
        <f t="array" ref="Q19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8" s="15" t="str" cm="1">
        <f t="array" ref="R19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canciones/nuevas/el_señor_nos_llama_y_nos_reune.html</v>
      </c>
      <c r="T1938" s="1"/>
      <c r="U1938" s="1"/>
      <c r="V1938" s="32" t="s">
        <v>3022</v>
      </c>
      <c r="W19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data-author="Alberto Taulé"&gt;&lt;a href="canciones/nuevas/el_señor_nos_llama_y_nos_reune.html"&gt;El Señor nos llama y nos reúne&lt;/a&gt;&lt;/li&gt;</v>
      </c>
      <c r="X1938" s="15" t="str">
        <f>_xlfn.TEXTBEFORE(_xlfn.TEXTAFTER(CantoralDB[[#This Row],[index.html]],"&gt;"),"&gt;")&amp;"&gt;"</f>
        <v>&lt;a href="canciones/nuevas/el_señor_nos_llama_y_nos_reune.html"&gt;</v>
      </c>
      <c r="Y1938"/>
      <c r="AC1938" s="1"/>
    </row>
    <row r="1939" spans="1:29" x14ac:dyDescent="0.3">
      <c r="A1939" s="1">
        <f>ROW(CantoralDB[[#This Row],[Título]])-1</f>
        <v>1938</v>
      </c>
      <c r="B1939" s="1" t="s">
        <v>1703</v>
      </c>
      <c r="C1939" s="1"/>
      <c r="H1939" s="1" t="s">
        <v>1024</v>
      </c>
      <c r="I1939" s="1" t="s">
        <v>2945</v>
      </c>
      <c r="J1939" s="1" t="s">
        <v>605</v>
      </c>
      <c r="M1939" s="15" t="s">
        <v>5854</v>
      </c>
      <c r="N1939" s="1" t="s">
        <v>5855</v>
      </c>
      <c r="O1939" s="15"/>
      <c r="P1939" s="15">
        <v>2010</v>
      </c>
      <c r="Q1939" s="15" t="str" cm="1">
        <f t="array" ref="Q19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39" s="15" t="str" cm="1">
        <f t="array" ref="R19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canciones/nuevas/te_seguire.html</v>
      </c>
      <c r="T1939" s="1"/>
      <c r="U1939" s="1"/>
      <c r="V1939" s="32" t="s">
        <v>5856</v>
      </c>
      <c r="W19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data-author="Alejandro Labajos"&gt;&lt;a href="canciones/nuevas/te_seguire.html"&gt;Te seguiré&lt;/a&gt;&lt;/li&gt;</v>
      </c>
      <c r="X1939" s="15" t="str">
        <f>_xlfn.TEXTBEFORE(_xlfn.TEXTAFTER(CantoralDB[[#This Row],[index.html]],"&gt;"),"&gt;")&amp;"&gt;"</f>
        <v>&lt;a href="canciones/nuevas/te_seguire.html"&gt;</v>
      </c>
      <c r="Y1939"/>
      <c r="AC1939" s="1"/>
    </row>
    <row r="1940" spans="1:29" x14ac:dyDescent="0.3">
      <c r="A1940" s="1">
        <f>ROW(CantoralDB[[#This Row],[Título]])-1</f>
        <v>1939</v>
      </c>
      <c r="B1940" s="1" t="s">
        <v>2404</v>
      </c>
      <c r="C1940" s="1"/>
      <c r="F1940" s="1">
        <v>30</v>
      </c>
      <c r="J1940" s="1"/>
      <c r="M1940" s="15" t="s">
        <v>2405</v>
      </c>
      <c r="O1940" s="15"/>
      <c r="P1940" s="15"/>
      <c r="Q1940" s="15" t="str" cm="1">
        <f t="array" ref="Q19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0" s="15" t="str" cm="1">
        <f t="array" ref="R19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canciones/nuevas/digo_que_jesus_el_nazareno.html</v>
      </c>
      <c r="T1940" s="1"/>
      <c r="U1940" s="1"/>
      <c r="V1940" s="32" t="s">
        <v>4550</v>
      </c>
      <c r="W19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data-author="Alfredo García" data-nrcc="30"&gt;&lt;a href="canciones/nuevas/digo_que_jesus_el_nazareno.html"&gt;Digo que Jesús, el Nazareno&lt;/a&gt;&lt;/li&gt;</v>
      </c>
      <c r="X1940" s="15" t="str">
        <f>_xlfn.TEXTBEFORE(_xlfn.TEXTAFTER(CantoralDB[[#This Row],[index.html]],"&gt;"),"&gt;")&amp;"&gt;"</f>
        <v>&lt;a href="canciones/nuevas/digo_que_jesus_el_nazareno.html"&gt;</v>
      </c>
      <c r="Y1940"/>
      <c r="AC1940" s="1"/>
    </row>
    <row r="1941" spans="1:29" x14ac:dyDescent="0.3">
      <c r="A1941" s="1">
        <f>ROW(CantoralDB[[#This Row],[Título]])-1</f>
        <v>1940</v>
      </c>
      <c r="B1941" s="1" t="s">
        <v>2150</v>
      </c>
      <c r="C1941" s="15"/>
      <c r="H1941" s="1" t="s">
        <v>529</v>
      </c>
      <c r="J1941" s="1" t="s">
        <v>605</v>
      </c>
      <c r="M1941" s="15" t="s">
        <v>2168</v>
      </c>
      <c r="O1941" s="15"/>
      <c r="P1941" s="15"/>
      <c r="Q1941" s="15" t="str" cm="1">
        <f t="array" ref="Q19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1" s="15" t="str" cm="1">
        <f t="array" ref="R19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canciones/nuevas/contigo_me_la_juego.html</v>
      </c>
      <c r="T1941" s="1"/>
      <c r="U1941" s="1"/>
      <c r="V1941" s="32" t="s">
        <v>4918</v>
      </c>
      <c r="W19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data-author="Álvaro Fraile"&gt;&lt;a href="canciones/nuevas/contigo_me_la_juego.html"&gt;Contigo me la juego&lt;/a&gt;&lt;/li&gt;</v>
      </c>
      <c r="X1941" s="15" t="str">
        <f>_xlfn.TEXTBEFORE(_xlfn.TEXTAFTER(CantoralDB[[#This Row],[index.html]],"&gt;"),"&gt;")&amp;"&gt;"</f>
        <v>&lt;a href="canciones/nuevas/contigo_me_la_juego.html"&gt;</v>
      </c>
      <c r="Y1941"/>
      <c r="AC1941" s="1"/>
    </row>
    <row r="1942" spans="1:29" x14ac:dyDescent="0.3">
      <c r="A1942" s="1">
        <f>ROW(CantoralDB[[#This Row],[Título]])-1</f>
        <v>1941</v>
      </c>
      <c r="B1942" s="1" t="s">
        <v>938</v>
      </c>
      <c r="C1942" s="1"/>
      <c r="F1942" s="1">
        <v>93</v>
      </c>
      <c r="J1942" s="1"/>
      <c r="M1942" s="15" t="s">
        <v>2472</v>
      </c>
      <c r="O1942" s="15"/>
      <c r="P1942" s="15"/>
      <c r="Q1942" s="15" t="str" cm="1">
        <f t="array" ref="Q19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2" s="15" t="str" cm="1">
        <f t="array" ref="R19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canciones/nuevas/ven_espiritu_de_dios.html</v>
      </c>
      <c r="T1942" s="1"/>
      <c r="U1942" s="1"/>
      <c r="V1942" s="15"/>
      <c r="W19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data-author="Andree Gouzes" data-nrcc="93"&gt;&lt;a href="canciones/nuevas/ven_espiritu_de_dios.html"&gt;Ven, Espíritu de Dios&lt;/a&gt;&lt;/li&gt;</v>
      </c>
      <c r="X1942" s="15" t="str">
        <f>_xlfn.TEXTBEFORE(_xlfn.TEXTAFTER(CantoralDB[[#This Row],[index.html]],"&gt;"),"&gt;")&amp;"&gt;"</f>
        <v>&lt;a href="canciones/nuevas/ven_espiritu_de_dios.html"&gt;</v>
      </c>
      <c r="Y1942"/>
      <c r="AC1942" s="1"/>
    </row>
    <row r="1943" spans="1:29" x14ac:dyDescent="0.3">
      <c r="A1943" s="1">
        <f>ROW(CantoralDB[[#This Row],[Título]])-1</f>
        <v>1942</v>
      </c>
      <c r="B1943" s="1" t="s">
        <v>2670</v>
      </c>
      <c r="C1943" s="1"/>
      <c r="F1943" s="1">
        <v>298</v>
      </c>
      <c r="J1943" s="1"/>
      <c r="M1943" s="15" t="s">
        <v>2671</v>
      </c>
      <c r="O1943" s="15"/>
      <c r="P1943" s="15"/>
      <c r="Q1943" s="15" t="str" cm="1">
        <f t="array" ref="Q19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3" s="15" t="str" cm="1">
        <f t="array" ref="R19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canciones/nuevas/jesus_salvador.html</v>
      </c>
      <c r="T1943" s="1"/>
      <c r="U1943" s="1"/>
      <c r="V1943" s="32" t="s">
        <v>4423</v>
      </c>
      <c r="W19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data-author="Andrés Parra" data-nrcc="298"&gt;&lt;a href="canciones/nuevas/jesus_salvador.html"&gt;Jesús Salvador&lt;/a&gt;&lt;/li&gt;</v>
      </c>
      <c r="X1943" s="15" t="str">
        <f>_xlfn.TEXTBEFORE(_xlfn.TEXTAFTER(CantoralDB[[#This Row],[index.html]],"&gt;"),"&gt;")&amp;"&gt;"</f>
        <v>&lt;a href="canciones/nuevas/jesus_salvador.html"&gt;</v>
      </c>
      <c r="Y1943"/>
      <c r="AC1943" s="1"/>
    </row>
    <row r="1944" spans="1:29" x14ac:dyDescent="0.3">
      <c r="A1944" s="1">
        <f>ROW(CantoralDB[[#This Row],[Título]])-1</f>
        <v>1943</v>
      </c>
      <c r="B1944" s="1" t="s">
        <v>2820</v>
      </c>
      <c r="C1944" s="1"/>
      <c r="F1944" s="1">
        <v>434</v>
      </c>
      <c r="J1944" s="1"/>
      <c r="M1944" s="15" t="s">
        <v>2822</v>
      </c>
      <c r="O1944" s="15"/>
      <c r="P1944" s="15"/>
      <c r="Q1944" s="15" t="str" cm="1">
        <f t="array" ref="Q19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4" s="15" t="str" cm="1">
        <f t="array" ref="R19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canciones/nuevas/ven_ven_espiritu_de_dios.html</v>
      </c>
      <c r="T1944" s="1"/>
      <c r="U1944" s="1"/>
      <c r="V1944" s="15"/>
      <c r="W19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data-author="Andrew Cauchi" data-nrcc="434"&gt;&lt;a href="canciones/nuevas/ven_ven_espiritu_de_dios.html"&gt;Ven, ven, Espíritu de Dios&lt;/a&gt;&lt;/li&gt;</v>
      </c>
      <c r="X1944" s="15" t="str">
        <f>_xlfn.TEXTBEFORE(_xlfn.TEXTAFTER(CantoralDB[[#This Row],[index.html]],"&gt;"),"&gt;")&amp;"&gt;"</f>
        <v>&lt;a href="canciones/nuevas/ven_ven_espiritu_de_dios.html"&gt;</v>
      </c>
      <c r="Y1944"/>
      <c r="AC1944" s="1"/>
    </row>
    <row r="1945" spans="1:29" x14ac:dyDescent="0.3">
      <c r="A1945" s="1">
        <f>ROW(CantoralDB[[#This Row],[Título]])-1</f>
        <v>1944</v>
      </c>
      <c r="B1945" s="1" t="s">
        <v>2414</v>
      </c>
      <c r="C1945" s="1"/>
      <c r="F1945" s="1">
        <v>39</v>
      </c>
      <c r="J1945" s="1"/>
      <c r="M1945" s="15" t="s">
        <v>2413</v>
      </c>
      <c r="O1945" s="15"/>
      <c r="P1945" s="15"/>
      <c r="Q1945" s="15" t="str" cm="1">
        <f t="array" ref="Q19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5" s="15" t="str" cm="1">
        <f t="array" ref="R19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canciones/nuevas/ven_y_adorale.html</v>
      </c>
      <c r="T1945" s="1"/>
      <c r="U1945" s="1"/>
      <c r="V1945" s="32" t="s">
        <v>4471</v>
      </c>
      <c r="W19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data-author="Andy Carter" data-nrcc="39"&gt;&lt;a href="canciones/nuevas/ven_y_adorale.html"&gt;Ven y adórale&lt;/a&gt;&lt;/li&gt;</v>
      </c>
      <c r="X1945" s="15" t="str">
        <f>_xlfn.TEXTBEFORE(_xlfn.TEXTAFTER(CantoralDB[[#This Row],[index.html]],"&gt;"),"&gt;")&amp;"&gt;"</f>
        <v>&lt;a href="canciones/nuevas/ven_y_adorale.html"&gt;</v>
      </c>
      <c r="Y1945"/>
      <c r="AC1945" s="1"/>
    </row>
    <row r="1946" spans="1:29" x14ac:dyDescent="0.3">
      <c r="A1946" s="1">
        <f>ROW(CantoralDB[[#This Row],[Título]])-1</f>
        <v>1945</v>
      </c>
      <c r="B1946" s="1" t="s">
        <v>2752</v>
      </c>
      <c r="C1946" s="1"/>
      <c r="F1946" s="1">
        <v>381</v>
      </c>
      <c r="J1946" s="1"/>
      <c r="M1946" s="15" t="s">
        <v>2755</v>
      </c>
      <c r="O1946" s="15"/>
      <c r="P1946" s="15"/>
      <c r="Q1946" s="15" t="str" cm="1">
        <f t="array" ref="Q19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6" s="15" t="str" cm="1">
        <f t="array" ref="R19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canciones/nuevas/mi_ser_alaba_al_señor.html</v>
      </c>
      <c r="T1946" s="1"/>
      <c r="U1946" s="1"/>
      <c r="V1946" s="15"/>
      <c r="W19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data-author="Annemarie Bambino" data-nrcc="381"&gt;&lt;a href="canciones/nuevas/mi_ser_alaba_al_señor.html"&gt;Mi ser alaba al Señor&lt;/a&gt;&lt;/li&gt;</v>
      </c>
      <c r="X1946" s="15" t="str">
        <f>_xlfn.TEXTBEFORE(_xlfn.TEXTAFTER(CantoralDB[[#This Row],[index.html]],"&gt;"),"&gt;")&amp;"&gt;"</f>
        <v>&lt;a href="canciones/nuevas/mi_ser_alaba_al_señor.html"&gt;</v>
      </c>
      <c r="Y1946"/>
      <c r="AC1946" s="1"/>
    </row>
    <row r="1947" spans="1:29" x14ac:dyDescent="0.3">
      <c r="A1947" s="1">
        <f>ROW(CantoralDB[[#This Row],[Título]])-1</f>
        <v>1946</v>
      </c>
      <c r="B1947" s="1" t="s">
        <v>2145</v>
      </c>
      <c r="C1947" s="15"/>
      <c r="H1947" s="1" t="s">
        <v>1027</v>
      </c>
      <c r="J1947" s="1" t="s">
        <v>605</v>
      </c>
      <c r="M1947" s="15" t="s">
        <v>575</v>
      </c>
      <c r="O1947" s="15"/>
      <c r="P1947" s="15"/>
      <c r="Q1947" s="15" t="str" cm="1">
        <f t="array" ref="Q19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7" s="15" t="str" cm="1">
        <f t="array" ref="R19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canciones/nuevas/acaso_no_estoy_yo_aqui_que_soy_tu_madre.html</v>
      </c>
      <c r="T1947" s="1"/>
      <c r="U1947" s="1"/>
      <c r="V1947" s="32" t="s">
        <v>2982</v>
      </c>
      <c r="W19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data-author="Athenas"&gt;&lt;a href="canciones/nuevas/acaso_no_estoy_yo_aqui_que_soy_tu_madre.html"&gt;Acaso no estoy yo aquí que soy tu madre&lt;/a&gt;&lt;/li&gt;</v>
      </c>
      <c r="X1947" s="15" t="str">
        <f>_xlfn.TEXTBEFORE(_xlfn.TEXTAFTER(CantoralDB[[#This Row],[index.html]],"&gt;"),"&gt;")&amp;"&gt;"</f>
        <v>&lt;a href="canciones/nuevas/acaso_no_estoy_yo_aqui_que_soy_tu_madre.html"&gt;</v>
      </c>
      <c r="Y1947"/>
      <c r="AC1947" s="1"/>
    </row>
    <row r="1948" spans="1:29" x14ac:dyDescent="0.3">
      <c r="A1948" s="1">
        <f>ROW(CantoralDB[[#This Row],[Título]])-1</f>
        <v>1947</v>
      </c>
      <c r="B1948" s="1" t="s">
        <v>2163</v>
      </c>
      <c r="C1948" s="15"/>
      <c r="H1948" s="1" t="s">
        <v>529</v>
      </c>
      <c r="J1948" s="1" t="s">
        <v>605</v>
      </c>
      <c r="M1948" s="15" t="s">
        <v>575</v>
      </c>
      <c r="O1948" s="15"/>
      <c r="P1948" s="15"/>
      <c r="Q1948" s="15" t="str" cm="1">
        <f t="array" ref="Q19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8" s="15" t="str" cm="1">
        <f t="array" ref="R19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19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canciones/nuevas/todo_es_tuyo.html</v>
      </c>
      <c r="T1948" s="1"/>
      <c r="U1948" s="1"/>
      <c r="V1948" s="32" t="s">
        <v>2996</v>
      </c>
      <c r="W19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data-author="Athenas"&gt;&lt;a href="canciones/nuevas/todo_es_tuyo.html"&gt;Todo es tuyo&lt;/a&gt;&lt;/li&gt;</v>
      </c>
      <c r="X1948" s="15" t="str">
        <f>_xlfn.TEXTBEFORE(_xlfn.TEXTAFTER(CantoralDB[[#This Row],[index.html]],"&gt;"),"&gt;")&amp;"&gt;"</f>
        <v>&lt;a href="canciones/nuevas/todo_es_tuyo.html"&gt;</v>
      </c>
      <c r="Y1948"/>
      <c r="AC1948" s="1"/>
    </row>
    <row r="1949" spans="1:29" x14ac:dyDescent="0.3">
      <c r="A1949" s="1">
        <f>ROW(CantoralDB[[#This Row],[Título]])-1</f>
        <v>1948</v>
      </c>
      <c r="B1949" s="1" t="s">
        <v>2666</v>
      </c>
      <c r="C1949" s="1"/>
      <c r="F1949" s="1">
        <v>296</v>
      </c>
      <c r="J1949" s="1"/>
      <c r="M1949" s="15" t="s">
        <v>2667</v>
      </c>
      <c r="O1949" s="15"/>
      <c r="P1949" s="15"/>
      <c r="Q1949" s="15" t="str" cm="1">
        <f t="array" ref="Q19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49" s="15" t="str" cm="1">
        <f t="array" ref="R19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canciones/nuevas/jesus_y_la_samaritana.html</v>
      </c>
      <c r="T1949" s="1"/>
      <c r="U1949" s="1"/>
      <c r="V1949" s="32" t="s">
        <v>4458</v>
      </c>
      <c r="W19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data-author="Benedetto Conte" data-nrcc="296"&gt;&lt;a href="canciones/nuevas/jesus_y_la_samaritana.html"&gt;Jesús y la samaritana&lt;/a&gt;&lt;/li&gt;</v>
      </c>
      <c r="X1949" s="15" t="str">
        <f>_xlfn.TEXTBEFORE(_xlfn.TEXTAFTER(CantoralDB[[#This Row],[index.html]],"&gt;"),"&gt;")&amp;"&gt;"</f>
        <v>&lt;a href="canciones/nuevas/jesus_y_la_samaritana.html"&gt;</v>
      </c>
      <c r="Y1949"/>
      <c r="AC1949" s="1"/>
    </row>
    <row r="1950" spans="1:29" x14ac:dyDescent="0.3">
      <c r="A1950" s="1">
        <f>ROW(CantoralDB[[#This Row],[Título]])-1</f>
        <v>1949</v>
      </c>
      <c r="B1950" s="1" t="s">
        <v>2161</v>
      </c>
      <c r="C1950" s="1"/>
      <c r="F1950" s="1">
        <v>380</v>
      </c>
      <c r="H1950" s="1" t="s">
        <v>1025</v>
      </c>
      <c r="J1950" s="1" t="s">
        <v>605</v>
      </c>
      <c r="M1950" s="15" t="s">
        <v>2667</v>
      </c>
      <c r="O1950" s="15"/>
      <c r="P1950" s="15"/>
      <c r="Q1950" s="15" t="str" cm="1">
        <f t="array" ref="Q19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0" s="15" t="str" cm="1">
        <f t="array" ref="R19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canciones/nuevas/shalom_te_doy_la_paz.html</v>
      </c>
      <c r="T1950" s="1"/>
      <c r="U1950" s="1"/>
      <c r="V1950" s="32" t="s">
        <v>2994</v>
      </c>
      <c r="W19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data-author="Benedetto Conte" data-nrcc="380"&gt;&lt;a href="canciones/nuevas/shalom_te_doy_la_paz.html"&gt;Shalom, te doy la paz&lt;/a&gt;&lt;/li&gt;</v>
      </c>
      <c r="X1950" s="15" t="str">
        <f>_xlfn.TEXTBEFORE(_xlfn.TEXTAFTER(CantoralDB[[#This Row],[index.html]],"&gt;"),"&gt;")&amp;"&gt;"</f>
        <v>&lt;a href="canciones/nuevas/shalom_te_doy_la_paz.html"&gt;</v>
      </c>
      <c r="Y1950"/>
      <c r="AC1950" s="1"/>
    </row>
    <row r="1951" spans="1:29" x14ac:dyDescent="0.3">
      <c r="A1951" s="1">
        <f>ROW(CantoralDB[[#This Row],[Título]])-1</f>
        <v>1950</v>
      </c>
      <c r="B1951" s="1" t="s">
        <v>2425</v>
      </c>
      <c r="C1951" s="1"/>
      <c r="F1951" s="1">
        <v>50</v>
      </c>
      <c r="J1951" s="1"/>
      <c r="M1951" s="15" t="s">
        <v>2426</v>
      </c>
      <c r="O1951" s="15"/>
      <c r="P1951" s="15"/>
      <c r="Q1951" s="15" t="str" cm="1">
        <f t="array" ref="Q19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1" s="15" t="str" cm="1">
        <f t="array" ref="R19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canciones/nuevas/escucha_señor_mi_oracion.html</v>
      </c>
      <c r="T1951" s="1"/>
      <c r="U1951" s="1"/>
      <c r="V1951" s="15"/>
      <c r="W19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data-author="Bill Sprouse" data-nrcc="50"&gt;&lt;a href="canciones/nuevas/escucha_señor_mi_oracion.html"&gt;Escucha, Señor, mi oración&lt;/a&gt;&lt;/li&gt;</v>
      </c>
      <c r="X1951" s="15" t="str">
        <f>_xlfn.TEXTBEFORE(_xlfn.TEXTAFTER(CantoralDB[[#This Row],[index.html]],"&gt;"),"&gt;")&amp;"&gt;"</f>
        <v>&lt;a href="canciones/nuevas/escucha_señor_mi_oracion.html"&gt;</v>
      </c>
      <c r="Y1951"/>
      <c r="AC1951" s="1"/>
    </row>
    <row r="1952" spans="1:29" x14ac:dyDescent="0.3">
      <c r="A1952" s="1">
        <f>ROW(CantoralDB[[#This Row],[Título]])-1</f>
        <v>1951</v>
      </c>
      <c r="B1952" s="1" t="s">
        <v>2785</v>
      </c>
      <c r="C1952" s="1"/>
      <c r="F1952" s="1">
        <v>406</v>
      </c>
      <c r="J1952" s="1"/>
      <c r="M1952" s="15" t="s">
        <v>2786</v>
      </c>
      <c r="O1952" s="15"/>
      <c r="P1952" s="15"/>
      <c r="Q1952" s="15" t="str" cm="1">
        <f t="array" ref="Q19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2" s="15" t="str" cm="1">
        <f t="array" ref="R19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canciones/nuevas/imagina.html</v>
      </c>
      <c r="T1952" s="1"/>
      <c r="U1952" s="1"/>
      <c r="V1952" s="15"/>
      <c r="W19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data-author="Blest" data-nrcc="406"&gt;&lt;a href="canciones/nuevas/imagina.html"&gt;Imagina&lt;/a&gt;&lt;/li&gt;</v>
      </c>
      <c r="X1952" s="15" t="str">
        <f>_xlfn.TEXTBEFORE(_xlfn.TEXTAFTER(CantoralDB[[#This Row],[index.html]],"&gt;"),"&gt;")&amp;"&gt;"</f>
        <v>&lt;a href="canciones/nuevas/imagina.html"&gt;</v>
      </c>
      <c r="Y1952"/>
      <c r="AC1952" s="1"/>
    </row>
    <row r="1953" spans="1:29" x14ac:dyDescent="0.3">
      <c r="A1953" s="1">
        <f>ROW(CantoralDB[[#This Row],[Título]])-1</f>
        <v>1952</v>
      </c>
      <c r="B1953" s="1" t="s">
        <v>2767</v>
      </c>
      <c r="C1953" s="1"/>
      <c r="F1953" s="1">
        <v>390</v>
      </c>
      <c r="J1953" s="1"/>
      <c r="M1953" s="15" t="s">
        <v>2766</v>
      </c>
      <c r="O1953" s="15"/>
      <c r="P1953" s="15"/>
      <c r="Q1953" s="15" t="str" cm="1">
        <f t="array" ref="Q19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3" s="15" t="str" cm="1">
        <f t="array" ref="R19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canciones/nuevas/bendito_sea_el_señor.html</v>
      </c>
      <c r="T1953" s="1"/>
      <c r="U1953" s="1"/>
      <c r="V1953" s="32" t="s">
        <v>4508</v>
      </c>
      <c r="W19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data-author="Bob Fitts" data-nrcc="390"&gt;&lt;a href="canciones/nuevas/bendito_sea_el_señor.html"&gt;Bendito sea el Señor&lt;/a&gt;&lt;/li&gt;</v>
      </c>
      <c r="X1953" s="15" t="str">
        <f>_xlfn.TEXTBEFORE(_xlfn.TEXTAFTER(CantoralDB[[#This Row],[index.html]],"&gt;"),"&gt;")&amp;"&gt;"</f>
        <v>&lt;a href="canciones/nuevas/bendito_sea_el_señor.html"&gt;</v>
      </c>
      <c r="Y1953"/>
      <c r="AC1953" s="1"/>
    </row>
    <row r="1954" spans="1:29" x14ac:dyDescent="0.3">
      <c r="A1954" s="1">
        <f>ROW(CantoralDB[[#This Row],[Título]])-1</f>
        <v>1953</v>
      </c>
      <c r="B1954" s="1" t="s">
        <v>882</v>
      </c>
      <c r="C1954" s="1"/>
      <c r="F1954" s="1">
        <v>320</v>
      </c>
      <c r="J1954" s="1"/>
      <c r="M1954" s="15" t="s">
        <v>2686</v>
      </c>
      <c r="O1954" s="15"/>
      <c r="P1954" s="15"/>
      <c r="Q1954" s="15" t="str" cm="1">
        <f t="array" ref="Q19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4" s="15" t="str" cm="1">
        <f t="array" ref="R19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canciones/nuevas/bendecid_al_señor.html</v>
      </c>
      <c r="T1954" s="1"/>
      <c r="U1954" s="1"/>
      <c r="V1954" s="32" t="s">
        <v>4554</v>
      </c>
      <c r="W19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data-author="Bob Probert" data-nrcc="320"&gt;&lt;a href="canciones/nuevas/bendecid_al_señor.html"&gt;Bendecid al Señor&lt;/a&gt;&lt;/li&gt;</v>
      </c>
      <c r="X1954" s="15" t="str">
        <f>_xlfn.TEXTBEFORE(_xlfn.TEXTAFTER(CantoralDB[[#This Row],[index.html]],"&gt;"),"&gt;")&amp;"&gt;"</f>
        <v>&lt;a href="canciones/nuevas/bendecid_al_señor.html"&gt;</v>
      </c>
      <c r="Y1954"/>
      <c r="AC1954" s="1"/>
    </row>
    <row r="1955" spans="1:29" x14ac:dyDescent="0.3">
      <c r="A1955" s="1">
        <f>ROW(CantoralDB[[#This Row],[Título]])-1</f>
        <v>1954</v>
      </c>
      <c r="B1955" s="1" t="s">
        <v>2761</v>
      </c>
      <c r="C1955" s="1"/>
      <c r="F1955" s="1">
        <v>387</v>
      </c>
      <c r="J1955" s="1"/>
      <c r="M1955" s="15" t="s">
        <v>2763</v>
      </c>
      <c r="O1955" s="15"/>
      <c r="P1955" s="15"/>
      <c r="Q1955" s="15" t="str" cm="1">
        <f t="array" ref="Q19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5" s="15" t="str" cm="1">
        <f t="array" ref="R19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canciones/nuevas/gracias_yo_te_dare.html</v>
      </c>
      <c r="T1955" s="1"/>
      <c r="U1955" s="1"/>
      <c r="V1955" s="32" t="s">
        <v>4592</v>
      </c>
      <c r="W19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data-author="Brent Chambers" data-nrcc="387"&gt;&lt;a href="canciones/nuevas/gracias_yo_te_dare.html"&gt;Gracias yo te daré&lt;/a&gt;&lt;/li&gt;</v>
      </c>
      <c r="X1955" s="15" t="str">
        <f>_xlfn.TEXTBEFORE(_xlfn.TEXTAFTER(CantoralDB[[#This Row],[index.html]],"&gt;"),"&gt;")&amp;"&gt;"</f>
        <v>&lt;a href="canciones/nuevas/gracias_yo_te_dare.html"&gt;</v>
      </c>
      <c r="Y1955"/>
      <c r="AC1955" s="1"/>
    </row>
    <row r="1956" spans="1:29" x14ac:dyDescent="0.3">
      <c r="A1956" s="1">
        <f>ROW(CantoralDB[[#This Row],[Título]])-1</f>
        <v>1955</v>
      </c>
      <c r="B1956" s="1" t="s">
        <v>2797</v>
      </c>
      <c r="C1956" s="1"/>
      <c r="F1956" s="1">
        <v>414</v>
      </c>
      <c r="J1956" s="1"/>
      <c r="M1956" s="15" t="s">
        <v>2800</v>
      </c>
      <c r="O1956" s="15"/>
      <c r="P1956" s="15"/>
      <c r="Q1956" s="15" t="str" cm="1">
        <f t="array" ref="Q19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6" s="15" t="str" cm="1">
        <f t="array" ref="R19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canciones/nuevas/ven_es_hora_de_adorarle.html</v>
      </c>
      <c r="T1956" s="1"/>
      <c r="U1956" s="1"/>
      <c r="V1956" s="15"/>
      <c r="W19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data-author="Brian Doerksen" data-nrcc="414"&gt;&lt;a href="canciones/nuevas/ven_es_hora_de_adorarle.html"&gt;Ven, es hora de adorarle&lt;/a&gt;&lt;/li&gt;</v>
      </c>
      <c r="X1956" s="15" t="str">
        <f>_xlfn.TEXTBEFORE(_xlfn.TEXTAFTER(CantoralDB[[#This Row],[index.html]],"&gt;"),"&gt;")&amp;"&gt;"</f>
        <v>&lt;a href="canciones/nuevas/ven_es_hora_de_adorarle.html"&gt;</v>
      </c>
      <c r="Y1956"/>
      <c r="AC1956" s="1"/>
    </row>
    <row r="1957" spans="1:29" x14ac:dyDescent="0.3">
      <c r="A1957" s="1">
        <f>ROW(CantoralDB[[#This Row],[Título]])-1</f>
        <v>1956</v>
      </c>
      <c r="B1957" s="1" t="s">
        <v>2590</v>
      </c>
      <c r="C1957" s="1"/>
      <c r="F1957" s="1">
        <v>209</v>
      </c>
      <c r="J1957" s="1"/>
      <c r="M1957" s="15" t="s">
        <v>2591</v>
      </c>
      <c r="O1957" s="15"/>
      <c r="P1957" s="15"/>
      <c r="Q1957" s="15" t="str" cm="1">
        <f t="array" ref="Q19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7" s="15" t="str" cm="1">
        <f t="array" ref="R19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canciones/nuevas/ahora_es_tiempo.html</v>
      </c>
      <c r="T1957" s="1"/>
      <c r="U1957" s="1"/>
      <c r="V1957" s="15"/>
      <c r="W19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data-author="Bruce y Jude Borneman" data-nrcc="209"&gt;&lt;a href="canciones/nuevas/ahora_es_tiempo.html"&gt;Ahora es tiempo&lt;/a&gt;&lt;/li&gt;</v>
      </c>
      <c r="X1957" s="15" t="str">
        <f>_xlfn.TEXTBEFORE(_xlfn.TEXTAFTER(CantoralDB[[#This Row],[index.html]],"&gt;"),"&gt;")&amp;"&gt;"</f>
        <v>&lt;a href="canciones/nuevas/ahora_es_tiempo.html"&gt;</v>
      </c>
      <c r="Y1957"/>
      <c r="AC1957" s="1"/>
    </row>
    <row r="1958" spans="1:29" x14ac:dyDescent="0.3">
      <c r="A1958" s="1">
        <f>ROW(CantoralDB[[#This Row],[Título]])-1</f>
        <v>1957</v>
      </c>
      <c r="B1958" s="1" t="s">
        <v>2693</v>
      </c>
      <c r="C1958" s="1"/>
      <c r="F1958" s="1">
        <v>326</v>
      </c>
      <c r="J1958" s="1"/>
      <c r="M1958" s="15" t="s">
        <v>2694</v>
      </c>
      <c r="O1958" s="15"/>
      <c r="P1958" s="15"/>
      <c r="Q1958" s="15" t="str" cm="1">
        <f t="array" ref="Q19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8" s="15" t="str" cm="1">
        <f t="array" ref="R19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canciones/nuevas/hosanna.html</v>
      </c>
      <c r="T1958" s="1"/>
      <c r="U1958" s="1"/>
      <c r="V1958" s="32" t="s">
        <v>4422</v>
      </c>
      <c r="W19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data-author="Carl Tuttle" data-nrcc="326"&gt;&lt;a href="canciones/nuevas/hosanna.html"&gt;Hosanna&lt;/a&gt;&lt;/li&gt;</v>
      </c>
      <c r="X1958" s="15" t="str">
        <f>_xlfn.TEXTBEFORE(_xlfn.TEXTAFTER(CantoralDB[[#This Row],[index.html]],"&gt;"),"&gt;")&amp;"&gt;"</f>
        <v>&lt;a href="canciones/nuevas/hosanna.html"&gt;</v>
      </c>
      <c r="Y1958"/>
      <c r="AC1958" s="1"/>
    </row>
    <row r="1959" spans="1:29" x14ac:dyDescent="0.3">
      <c r="A1959" s="1">
        <f>ROW(CantoralDB[[#This Row],[Título]])-1</f>
        <v>1958</v>
      </c>
      <c r="B1959" s="1" t="s">
        <v>2624</v>
      </c>
      <c r="C1959" s="1"/>
      <c r="F1959" s="1">
        <v>254</v>
      </c>
      <c r="J1959" s="1"/>
      <c r="M1959" s="15" t="s">
        <v>2626</v>
      </c>
      <c r="O1959" s="15"/>
      <c r="P1959" s="15"/>
      <c r="Q1959" s="15" t="str" cm="1">
        <f t="array" ref="Q19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59" s="15" t="str" cm="1">
        <f t="array" ref="R19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canciones/nuevas/hoy_canto_para_ti.html</v>
      </c>
      <c r="T1959" s="1"/>
      <c r="U1959" s="1"/>
      <c r="V1959" s="32" t="s">
        <v>4452</v>
      </c>
      <c r="W19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data-author="Carolina Martínez" data-nrcc="254"&gt;&lt;a href="canciones/nuevas/hoy_canto_para_ti.html"&gt;Hoy canto para ti&lt;/a&gt;&lt;/li&gt;</v>
      </c>
      <c r="X1959" s="15" t="str">
        <f>_xlfn.TEXTBEFORE(_xlfn.TEXTAFTER(CantoralDB[[#This Row],[index.html]],"&gt;"),"&gt;")&amp;"&gt;"</f>
        <v>&lt;a href="canciones/nuevas/hoy_canto_para_ti.html"&gt;</v>
      </c>
      <c r="Y1959"/>
      <c r="AC1959" s="1"/>
    </row>
    <row r="1960" spans="1:29" x14ac:dyDescent="0.3">
      <c r="A1960" s="1">
        <f>ROW(CantoralDB[[#This Row],[Título]])-1</f>
        <v>1959</v>
      </c>
      <c r="B1960" s="1" t="s">
        <v>2532</v>
      </c>
      <c r="C1960" s="1"/>
      <c r="F1960" s="1">
        <v>149</v>
      </c>
      <c r="J1960" s="1"/>
      <c r="M1960" s="15" t="s">
        <v>2631</v>
      </c>
      <c r="O1960" s="15"/>
      <c r="P1960" s="15"/>
      <c r="Q1960" s="15" t="str" cm="1">
        <f t="array" ref="Q19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0" s="15" t="str" cm="1">
        <f t="array" ref="R19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canciones/nuevas/dios_tu_mi_dios.html</v>
      </c>
      <c r="T1960" s="1"/>
      <c r="U1960" s="1"/>
      <c r="V1960" s="15"/>
      <c r="W19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data-author="César Nebot" data-nrcc="149"&gt;&lt;a href="canciones/nuevas/dios_tu_mi_dios.html"&gt;Dios, tú, mi Dios&lt;/a&gt;&lt;/li&gt;</v>
      </c>
      <c r="X1960" s="15" t="str">
        <f>_xlfn.TEXTBEFORE(_xlfn.TEXTAFTER(CantoralDB[[#This Row],[index.html]],"&gt;"),"&gt;")&amp;"&gt;"</f>
        <v>&lt;a href="canciones/nuevas/dios_tu_mi_dios.html"&gt;</v>
      </c>
      <c r="Y1960"/>
      <c r="AC1960" s="1"/>
    </row>
    <row r="1961" spans="1:29" x14ac:dyDescent="0.3">
      <c r="A1961" s="1">
        <f>ROW(CantoralDB[[#This Row],[Título]])-1</f>
        <v>1960</v>
      </c>
      <c r="B1961" s="1" t="s">
        <v>2728</v>
      </c>
      <c r="C1961" s="1"/>
      <c r="F1961" s="1">
        <v>357</v>
      </c>
      <c r="J1961" s="1"/>
      <c r="M1961" s="15" t="s">
        <v>2631</v>
      </c>
      <c r="O1961" s="15"/>
      <c r="P1961" s="15"/>
      <c r="Q1961" s="15" t="str" cm="1">
        <f t="array" ref="Q19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1" s="15" t="str" cm="1">
        <f t="array" ref="R19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canciones/nuevas/toma_mi_vida.html</v>
      </c>
      <c r="T1961" s="1"/>
      <c r="U1961" s="1"/>
      <c r="V1961" s="15"/>
      <c r="W19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data-author="César Nebot" data-nrcc="357"&gt;&lt;a href="canciones/nuevas/toma_mi_vida.html"&gt;Toma mi vida&lt;/a&gt;&lt;/li&gt;</v>
      </c>
      <c r="X1961" s="15" t="str">
        <f>_xlfn.TEXTBEFORE(_xlfn.TEXTAFTER(CantoralDB[[#This Row],[index.html]],"&gt;"),"&gt;")&amp;"&gt;"</f>
        <v>&lt;a href="canciones/nuevas/toma_mi_vida.html"&gt;</v>
      </c>
      <c r="Y1961"/>
      <c r="AC1961" s="1"/>
    </row>
    <row r="1962" spans="1:29" x14ac:dyDescent="0.3">
      <c r="A1962" s="1">
        <f>ROW(CantoralDB[[#This Row],[Título]])-1</f>
        <v>1961</v>
      </c>
      <c r="B1962" s="1" t="s">
        <v>2629</v>
      </c>
      <c r="C1962" s="1"/>
      <c r="F1962" s="1">
        <v>258</v>
      </c>
      <c r="J1962" s="1"/>
      <c r="M1962" s="15" t="s">
        <v>2631</v>
      </c>
      <c r="O1962" s="15"/>
      <c r="P1962" s="15"/>
      <c r="Q1962" s="15" t="str" cm="1">
        <f t="array" ref="Q19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2" s="15" t="str" cm="1">
        <f t="array" ref="R19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canciones/nuevas/ven_dios_padre.html</v>
      </c>
      <c r="T1962" s="1"/>
      <c r="U1962" s="1"/>
      <c r="V1962" s="15"/>
      <c r="W19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data-author="César Nebot" data-nrcc="258"&gt;&lt;a href="canciones/nuevas/ven_dios_padre.html"&gt;Ven, Dios Padre&lt;/a&gt;&lt;/li&gt;</v>
      </c>
      <c r="X1962" s="15" t="str">
        <f>_xlfn.TEXTBEFORE(_xlfn.TEXTAFTER(CantoralDB[[#This Row],[index.html]],"&gt;"),"&gt;")&amp;"&gt;"</f>
        <v>&lt;a href="canciones/nuevas/ven_dios_padre.html"&gt;</v>
      </c>
      <c r="Y1962"/>
      <c r="AC1962" s="1"/>
    </row>
    <row r="1963" spans="1:29" x14ac:dyDescent="0.3">
      <c r="A1963" s="1">
        <f>ROW(CantoralDB[[#This Row],[Título]])-1</f>
        <v>1962</v>
      </c>
      <c r="B1963" s="1" t="s">
        <v>2464</v>
      </c>
      <c r="C1963" s="1"/>
      <c r="F1963" s="1">
        <v>85</v>
      </c>
      <c r="J1963" s="1"/>
      <c r="M1963" s="15" t="s">
        <v>2465</v>
      </c>
      <c r="O1963" s="15"/>
      <c r="P1963" s="15"/>
      <c r="Q1963" s="15" t="str" cm="1">
        <f t="array" ref="Q19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3" s="15" t="str" cm="1">
        <f t="array" ref="R19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canciones/nuevas/vuelve_los_ojos_al_señor.html</v>
      </c>
      <c r="T1963" s="1"/>
      <c r="U1963" s="1"/>
      <c r="V1963" s="32" t="s">
        <v>4464</v>
      </c>
      <c r="W19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data-author="Chantal Guerret" data-nrcc="85"&gt;&lt;a href="canciones/nuevas/vuelve_los_ojos_al_señor.html"&gt;Vuelve los ojos al Señor&lt;/a&gt;&lt;/li&gt;</v>
      </c>
      <c r="X1963" s="15" t="str">
        <f>_xlfn.TEXTBEFORE(_xlfn.TEXTAFTER(CantoralDB[[#This Row],[index.html]],"&gt;"),"&gt;")&amp;"&gt;"</f>
        <v>&lt;a href="canciones/nuevas/vuelve_los_ojos_al_señor.html"&gt;</v>
      </c>
      <c r="Y1963"/>
      <c r="AC1963" s="1"/>
    </row>
    <row r="1964" spans="1:29" x14ac:dyDescent="0.3">
      <c r="A1964" s="1">
        <f>ROW(CantoralDB[[#This Row],[Título]])-1</f>
        <v>1963</v>
      </c>
      <c r="B1964" s="1" t="s">
        <v>2643</v>
      </c>
      <c r="C1964" s="1"/>
      <c r="F1964" s="1">
        <v>271</v>
      </c>
      <c r="J1964" s="1"/>
      <c r="M1964" s="15" t="s">
        <v>2644</v>
      </c>
      <c r="O1964" s="15"/>
      <c r="P1964" s="15"/>
      <c r="Q1964" s="15" t="str" cm="1">
        <f t="array" ref="Q19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4" s="15" t="str" cm="1">
        <f t="array" ref="R19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canciones/nuevas/ven_ahora_espiritu_santo.html</v>
      </c>
      <c r="T1964" s="1"/>
      <c r="U1964" s="1"/>
      <c r="V1964" s="15"/>
      <c r="W19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data-author="Charlotte Exon" data-nrcc="271"&gt;&lt;a href="canciones/nuevas/ven_ahora_espiritu_santo.html"&gt;Ven ahora, Espíritu Santo&lt;/a&gt;&lt;/li&gt;</v>
      </c>
      <c r="X1964" s="15" t="str">
        <f>_xlfn.TEXTBEFORE(_xlfn.TEXTAFTER(CantoralDB[[#This Row],[index.html]],"&gt;"),"&gt;")&amp;"&gt;"</f>
        <v>&lt;a href="canciones/nuevas/ven_ahora_espiritu_santo.html"&gt;</v>
      </c>
      <c r="Y1964"/>
      <c r="AC1964" s="1"/>
    </row>
    <row r="1965" spans="1:29" x14ac:dyDescent="0.3">
      <c r="A1965" s="1">
        <f>ROW(CantoralDB[[#This Row],[Título]])-1</f>
        <v>1964</v>
      </c>
      <c r="B1965" s="1" t="s">
        <v>2819</v>
      </c>
      <c r="C1965" s="1"/>
      <c r="F1965" s="1">
        <v>433</v>
      </c>
      <c r="J1965" s="1"/>
      <c r="M1965" s="15" t="s">
        <v>2821</v>
      </c>
      <c r="O1965" s="15"/>
      <c r="P1965" s="15"/>
      <c r="Q1965" s="15" t="str" cm="1">
        <f t="array" ref="Q19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5" s="15" t="str" cm="1">
        <f t="array" ref="R19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canciones/nuevas/cantico_de_victoria.html</v>
      </c>
      <c r="T1965" s="1"/>
      <c r="U1965" s="1"/>
      <c r="V1965" s="32" t="s">
        <v>4437</v>
      </c>
      <c r="W19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data-author="Charo Moreno" data-nrcc="433"&gt;&lt;a href="canciones/nuevas/cantico_de_victoria.html"&gt;Cántico de victoria&lt;/a&gt;&lt;/li&gt;</v>
      </c>
      <c r="X1965" s="15" t="str">
        <f>_xlfn.TEXTBEFORE(_xlfn.TEXTAFTER(CantoralDB[[#This Row],[index.html]],"&gt;"),"&gt;")&amp;"&gt;"</f>
        <v>&lt;a href="canciones/nuevas/cantico_de_victoria.html"&gt;</v>
      </c>
      <c r="Y1965"/>
      <c r="AC1965" s="1"/>
    </row>
    <row r="1966" spans="1:29" x14ac:dyDescent="0.3">
      <c r="A1966" s="1">
        <f>ROW(CantoralDB[[#This Row],[Título]])-1</f>
        <v>1965</v>
      </c>
      <c r="B1966" s="1" t="s">
        <v>2160</v>
      </c>
      <c r="C1966" s="1"/>
      <c r="F1966" s="1">
        <v>244</v>
      </c>
      <c r="H1966" s="1" t="s">
        <v>529</v>
      </c>
      <c r="J1966" s="1" t="s">
        <v>605</v>
      </c>
      <c r="M1966" s="15" t="s">
        <v>2173</v>
      </c>
      <c r="O1966" s="15"/>
      <c r="P1966" s="15"/>
      <c r="Q1966" s="15" t="str" cm="1">
        <f t="array" ref="Q19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6" s="15" t="str" cm="1">
        <f t="array" ref="R19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canciones/nuevas/salvame.html</v>
      </c>
      <c r="T1966" s="1"/>
      <c r="U1966" s="1"/>
      <c r="V1966" s="32" t="s">
        <v>2993</v>
      </c>
      <c r="W19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data-author="Chema" data-nrcc="244"&gt;&lt;a href="canciones/nuevas/salvame.html"&gt;Sálvame&lt;/a&gt;&lt;/li&gt;</v>
      </c>
      <c r="X1966" s="15" t="str">
        <f>_xlfn.TEXTBEFORE(_xlfn.TEXTAFTER(CantoralDB[[#This Row],[index.html]],"&gt;"),"&gt;")&amp;"&gt;"</f>
        <v>&lt;a href="canciones/nuevas/salvame.html"&gt;</v>
      </c>
      <c r="Y1966"/>
      <c r="AC1966" s="1"/>
    </row>
    <row r="1967" spans="1:29" x14ac:dyDescent="0.3">
      <c r="A1967" s="1">
        <f>ROW(CantoralDB[[#This Row],[Título]])-1</f>
        <v>1966</v>
      </c>
      <c r="B1967" s="1" t="s">
        <v>2514</v>
      </c>
      <c r="C1967" s="1"/>
      <c r="F1967" s="1">
        <v>130</v>
      </c>
      <c r="J1967" s="1"/>
      <c r="M1967" s="15" t="s">
        <v>2513</v>
      </c>
      <c r="O1967" s="15"/>
      <c r="P1967" s="15"/>
      <c r="Q1967" s="15" t="str" cm="1">
        <f t="array" ref="Q19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7" s="15" t="str" cm="1">
        <f t="array" ref="R19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canciones/nuevas/pasa_por_aqui_señor.html</v>
      </c>
      <c r="T1967" s="1"/>
      <c r="U1967" s="1"/>
      <c r="V1967" s="15"/>
      <c r="W19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data-author="Chiquito Villalba" data-nrcc="130"&gt;&lt;a href="canciones/nuevas/pasa_por_aqui_señor.html"&gt;Pasa por aquí, Señor&lt;/a&gt;&lt;/li&gt;</v>
      </c>
      <c r="X1967" s="15" t="str">
        <f>_xlfn.TEXTBEFORE(_xlfn.TEXTAFTER(CantoralDB[[#This Row],[index.html]],"&gt;"),"&gt;")&amp;"&gt;"</f>
        <v>&lt;a href="canciones/nuevas/pasa_por_aqui_señor.html"&gt;</v>
      </c>
      <c r="Y1967"/>
      <c r="AC1967" s="1"/>
    </row>
    <row r="1968" spans="1:29" x14ac:dyDescent="0.3">
      <c r="A1968" s="1">
        <f>ROW(CantoralDB[[#This Row],[Título]])-1</f>
        <v>1967</v>
      </c>
      <c r="B1968" s="1" t="s">
        <v>2565</v>
      </c>
      <c r="C1968" s="1"/>
      <c r="F1968" s="1">
        <v>180</v>
      </c>
      <c r="J1968" s="1"/>
      <c r="M1968" s="15" t="s">
        <v>2566</v>
      </c>
      <c r="O1968" s="15"/>
      <c r="P1968" s="15"/>
      <c r="Q1968" s="15" t="str" cm="1">
        <f t="array" ref="Q19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8" s="15" t="str" cm="1">
        <f t="array" ref="R19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canciones/nuevas/yo_canto_a_mi_señor.html</v>
      </c>
      <c r="T1968" s="1"/>
      <c r="U1968" s="1"/>
      <c r="V1968" s="32" t="s">
        <v>4431</v>
      </c>
      <c r="W19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data-author="Claude Fraysse" data-nrcc="180"&gt;&lt;a href="canciones/nuevas/yo_canto_a_mi_señor.html"&gt;Yo canto a mi Señor&lt;/a&gt;&lt;/li&gt;</v>
      </c>
      <c r="X1968" s="15" t="str">
        <f>_xlfn.TEXTBEFORE(_xlfn.TEXTAFTER(CantoralDB[[#This Row],[index.html]],"&gt;"),"&gt;")&amp;"&gt;"</f>
        <v>&lt;a href="canciones/nuevas/yo_canto_a_mi_señor.html"&gt;</v>
      </c>
      <c r="Y1968"/>
      <c r="AC1968" s="1"/>
    </row>
    <row r="1969" spans="1:29" x14ac:dyDescent="0.3">
      <c r="A1969" s="1">
        <f>ROW(CantoralDB[[#This Row],[Título]])-1</f>
        <v>1968</v>
      </c>
      <c r="B1969" s="1" t="s">
        <v>2534</v>
      </c>
      <c r="C1969" s="1"/>
      <c r="F1969" s="1">
        <v>151</v>
      </c>
      <c r="J1969" s="1"/>
      <c r="M1969" s="15" t="s">
        <v>2535</v>
      </c>
      <c r="O1969" s="15"/>
      <c r="P1969" s="15"/>
      <c r="Q1969" s="15" t="str" cm="1">
        <f t="array" ref="Q19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69" s="15" t="str" cm="1">
        <f t="array" ref="R19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canciones/nuevas/yo_quiero_ser_como_tu.html</v>
      </c>
      <c r="T1969" s="1"/>
      <c r="U1969" s="1"/>
      <c r="V1969" s="15"/>
      <c r="W19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data-author="Clint Brown" data-nrcc="151"&gt;&lt;a href="canciones/nuevas/yo_quiero_ser_como_tu.html"&gt;Yo quiero ser como tú&lt;/a&gt;&lt;/li&gt;</v>
      </c>
      <c r="X1969" s="15" t="str">
        <f>_xlfn.TEXTBEFORE(_xlfn.TEXTAFTER(CantoralDB[[#This Row],[index.html]],"&gt;"),"&gt;")&amp;"&gt;"</f>
        <v>&lt;a href="canciones/nuevas/yo_quiero_ser_como_tu.html"&gt;</v>
      </c>
      <c r="Y1969"/>
      <c r="AC1969" s="1"/>
    </row>
    <row r="1970" spans="1:29" x14ac:dyDescent="0.3">
      <c r="A1970" s="1">
        <f>ROW(CantoralDB[[#This Row],[Título]])-1</f>
        <v>1969</v>
      </c>
      <c r="B1970" s="1" t="s">
        <v>2448</v>
      </c>
      <c r="C1970" s="1"/>
      <c r="F1970" s="1">
        <v>70</v>
      </c>
      <c r="J1970" s="1"/>
      <c r="M1970" s="15" t="s">
        <v>2449</v>
      </c>
      <c r="O1970" s="15"/>
      <c r="P1970" s="15"/>
      <c r="Q1970" s="15" t="str" cm="1">
        <f t="array" ref="Q19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0" s="15" t="str" cm="1">
        <f t="array" ref="R19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canciones/nuevas/espiritu_santo_de_dios.html</v>
      </c>
      <c r="T1970" s="1"/>
      <c r="U1970" s="1"/>
      <c r="V1970" s="15"/>
      <c r="W19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data-author="Daniel Iverson" data-nrcc="70"&gt;&lt;a href="canciones/nuevas/espiritu_santo_de_dios.html"&gt;Espíritu Santo de Dios&lt;/a&gt;&lt;/li&gt;</v>
      </c>
      <c r="X1970" s="15" t="str">
        <f>_xlfn.TEXTBEFORE(_xlfn.TEXTAFTER(CantoralDB[[#This Row],[index.html]],"&gt;"),"&gt;")&amp;"&gt;"</f>
        <v>&lt;a href="canciones/nuevas/espiritu_santo_de_dios.html"&gt;</v>
      </c>
      <c r="Y1970"/>
      <c r="AC1970" s="1"/>
    </row>
    <row r="1971" spans="1:29" x14ac:dyDescent="0.3">
      <c r="A1971" s="1">
        <f>ROW(CantoralDB[[#This Row],[Título]])-1</f>
        <v>1970</v>
      </c>
      <c r="B1971" s="1" t="s">
        <v>2745</v>
      </c>
      <c r="C1971" s="1"/>
      <c r="F1971" s="1">
        <v>373</v>
      </c>
      <c r="J1971" s="1"/>
      <c r="M1971" s="15" t="s">
        <v>2744</v>
      </c>
      <c r="O1971" s="15"/>
      <c r="P1971" s="15"/>
      <c r="Q1971" s="15" t="str" cm="1">
        <f t="array" ref="Q19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1" s="15" t="str" cm="1">
        <f t="array" ref="R19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canciones/nuevas/mi_cristo_mi_rey.html</v>
      </c>
      <c r="T1971" s="1"/>
      <c r="U1971" s="1"/>
      <c r="V1971" s="15"/>
      <c r="W19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data-author="Darlene Zschech" data-nrcc="373"&gt;&lt;a href="canciones/nuevas/mi_cristo_mi_rey.html"&gt;Mi Cristo, mi rey&lt;/a&gt;&lt;/li&gt;</v>
      </c>
      <c r="X1971" s="15" t="str">
        <f>_xlfn.TEXTBEFORE(_xlfn.TEXTAFTER(CantoralDB[[#This Row],[index.html]],"&gt;"),"&gt;")&amp;"&gt;"</f>
        <v>&lt;a href="canciones/nuevas/mi_cristo_mi_rey.html"&gt;</v>
      </c>
      <c r="Y1971"/>
      <c r="AC1971" s="1"/>
    </row>
    <row r="1972" spans="1:29" x14ac:dyDescent="0.3">
      <c r="A1972" s="1">
        <f>ROW(CantoralDB[[#This Row],[Título]])-1</f>
        <v>1971</v>
      </c>
      <c r="B1972" s="1" t="s">
        <v>2640</v>
      </c>
      <c r="C1972" s="1"/>
      <c r="F1972" s="1">
        <v>269</v>
      </c>
      <c r="J1972" s="1"/>
      <c r="M1972" s="15" t="s">
        <v>2641</v>
      </c>
      <c r="O1972" s="15"/>
      <c r="P1972" s="15"/>
      <c r="Q1972" s="15" t="str" cm="1">
        <f t="array" ref="Q19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2" s="15" t="str" cm="1">
        <f t="array" ref="R19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canciones/nuevas/en_momentos_asi.html</v>
      </c>
      <c r="T1972" s="1"/>
      <c r="U1972" s="1"/>
      <c r="V1972" s="32" t="s">
        <v>5857</v>
      </c>
      <c r="W19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data-author="David Graham" data-nrcc="269"&gt;&lt;a href="canciones/nuevas/en_momentos_asi.html"&gt;En momentos así&lt;/a&gt;&lt;/li&gt;</v>
      </c>
      <c r="X1972" s="15" t="str">
        <f>_xlfn.TEXTBEFORE(_xlfn.TEXTAFTER(CantoralDB[[#This Row],[index.html]],"&gt;"),"&gt;")&amp;"&gt;"</f>
        <v>&lt;a href="canciones/nuevas/en_momentos_asi.html"&gt;</v>
      </c>
      <c r="Y1972"/>
      <c r="AC1972" s="1"/>
    </row>
    <row r="1973" spans="1:29" x14ac:dyDescent="0.3">
      <c r="A1973" s="1">
        <f>ROW(CantoralDB[[#This Row],[Título]])-1</f>
        <v>1972</v>
      </c>
      <c r="B1973" s="1" t="s">
        <v>2146</v>
      </c>
      <c r="C1973" s="15"/>
      <c r="F1973" s="1">
        <v>205</v>
      </c>
      <c r="H1973" s="1" t="s">
        <v>472</v>
      </c>
      <c r="J1973" s="1" t="s">
        <v>605</v>
      </c>
      <c r="M1973" s="15" t="s">
        <v>2165</v>
      </c>
      <c r="O1973" s="15"/>
      <c r="P1973" s="15"/>
      <c r="Q1973" s="15" t="str" cm="1">
        <f t="array" ref="Q19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3" s="15" t="str" cm="1">
        <f t="array" ref="R19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canciones/nuevas/al_que_esta_sentado_en_el_trono_y_al_cordero.html</v>
      </c>
      <c r="T1973" s="1"/>
      <c r="U1973" s="1"/>
      <c r="V1973" s="32" t="s">
        <v>2983</v>
      </c>
      <c r="W19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data-author="Debbye Graafsma" data-nrcc="205"&gt;&lt;a href="canciones/nuevas/al_que_esta_sentado_en_el_trono_y_al_cordero.html"&gt;Al que está sentado en el trono y al cordero&lt;/a&gt;&lt;/li&gt;</v>
      </c>
      <c r="X1973" s="15" t="str">
        <f>_xlfn.TEXTBEFORE(_xlfn.TEXTAFTER(CantoralDB[[#This Row],[index.html]],"&gt;"),"&gt;")&amp;"&gt;"</f>
        <v>&lt;a href="canciones/nuevas/al_que_esta_sentado_en_el_trono_y_al_cordero.html"&gt;</v>
      </c>
      <c r="Y1973"/>
      <c r="AC1973" s="1"/>
    </row>
    <row r="1974" spans="1:29" x14ac:dyDescent="0.3">
      <c r="A1974" s="1">
        <f>ROW(CantoralDB[[#This Row],[Título]])-1</f>
        <v>1973</v>
      </c>
      <c r="B1974" s="1" t="s">
        <v>2791</v>
      </c>
      <c r="C1974" s="1"/>
      <c r="F1974" s="1">
        <v>410</v>
      </c>
      <c r="J1974" s="1"/>
      <c r="M1974" s="15" t="s">
        <v>2792</v>
      </c>
      <c r="O1974" s="15"/>
      <c r="P1974" s="15"/>
      <c r="Q1974" s="15" t="str" cm="1">
        <f t="array" ref="Q19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4" s="15" t="str" cm="1">
        <f t="array" ref="R19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canciones/nuevas/tu_eres_dios.html</v>
      </c>
      <c r="T1974" s="1"/>
      <c r="U1974" s="1"/>
      <c r="V1974" s="32" t="s">
        <v>4582</v>
      </c>
      <c r="W19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data-author="Don Harris" data-nrcc="410"&gt;&lt;a href="canciones/nuevas/tu_eres_dios.html"&gt;Tú eres Dios&lt;/a&gt;&lt;/li&gt;</v>
      </c>
      <c r="X1974" s="15" t="str">
        <f>_xlfn.TEXTBEFORE(_xlfn.TEXTAFTER(CantoralDB[[#This Row],[index.html]],"&gt;"),"&gt;")&amp;"&gt;"</f>
        <v>&lt;a href="canciones/nuevas/tu_eres_dios.html"&gt;</v>
      </c>
      <c r="Y1974"/>
      <c r="AC1974" s="1"/>
    </row>
    <row r="1975" spans="1:29" x14ac:dyDescent="0.3">
      <c r="A1975" s="1">
        <f>ROW(CantoralDB[[#This Row],[Título]])-1</f>
        <v>1974</v>
      </c>
      <c r="B1975" s="1" t="s">
        <v>2500</v>
      </c>
      <c r="C1975" s="1"/>
      <c r="F1975" s="1">
        <v>121</v>
      </c>
      <c r="J1975" s="1"/>
      <c r="M1975" s="15" t="s">
        <v>2499</v>
      </c>
      <c r="O1975" s="15"/>
      <c r="P1975" s="15"/>
      <c r="Q1975" s="15" t="str" cm="1">
        <f t="array" ref="Q19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5" s="15" t="str" cm="1">
        <f t="array" ref="R19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canciones/nuevas/sendas_dios_hara.html</v>
      </c>
      <c r="T1975" s="1"/>
      <c r="U1975" s="1"/>
      <c r="V1975" s="32" t="s">
        <v>4552</v>
      </c>
      <c r="W19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data-author="Don Moen" data-nrcc="121"&gt;&lt;a href="canciones/nuevas/sendas_dios_hara.html"&gt;Sendas Dios hará&lt;/a&gt;&lt;/li&gt;</v>
      </c>
      <c r="X1975" s="15" t="str">
        <f>_xlfn.TEXTBEFORE(_xlfn.TEXTAFTER(CantoralDB[[#This Row],[index.html]],"&gt;"),"&gt;")&amp;"&gt;"</f>
        <v>&lt;a href="canciones/nuevas/sendas_dios_hara.html"&gt;</v>
      </c>
      <c r="Y1975"/>
      <c r="AC1975" s="1"/>
    </row>
    <row r="1976" spans="1:29" x14ac:dyDescent="0.3">
      <c r="A1976" s="1">
        <f>ROW(CantoralDB[[#This Row],[Título]])-1</f>
        <v>1975</v>
      </c>
      <c r="B1976" s="1" t="s">
        <v>2668</v>
      </c>
      <c r="C1976" s="1"/>
      <c r="F1976" s="1">
        <v>297</v>
      </c>
      <c r="H1976" s="1" t="s">
        <v>1024</v>
      </c>
      <c r="J1976" s="1" t="s">
        <v>605</v>
      </c>
      <c r="M1976" s="15" t="s">
        <v>2669</v>
      </c>
      <c r="O1976" s="15"/>
      <c r="P1976" s="15"/>
      <c r="Q1976" s="15" t="str" cm="1">
        <f t="array" ref="Q19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6" s="15" t="str" cm="1">
        <f t="array" ref="R19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canciones/nuevas/aleluya_demos_gracias.html</v>
      </c>
      <c r="T1976" s="1"/>
      <c r="U1976" s="1"/>
      <c r="V1976" s="32" t="s">
        <v>2984</v>
      </c>
      <c r="W19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data-author="Donald Fishel" data-nrcc="297"&gt;&lt;a href="canciones/nuevas/aleluya_demos_gracias.html"&gt;Aleluya, demos gracias&lt;/a&gt;&lt;/li&gt;</v>
      </c>
      <c r="X1976" s="15" t="str">
        <f>_xlfn.TEXTBEFORE(_xlfn.TEXTAFTER(CantoralDB[[#This Row],[index.html]],"&gt;"),"&gt;")&amp;"&gt;"</f>
        <v>&lt;a href="canciones/nuevas/aleluya_demos_gracias.html"&gt;</v>
      </c>
      <c r="Y1976"/>
      <c r="AC1976" s="1"/>
    </row>
    <row r="1977" spans="1:29" x14ac:dyDescent="0.3">
      <c r="A1977" s="1">
        <f>ROW(CantoralDB[[#This Row],[Título]])-1</f>
        <v>1976</v>
      </c>
      <c r="B1977" s="1" t="s">
        <v>2807</v>
      </c>
      <c r="C1977" s="1"/>
      <c r="F1977" s="1">
        <v>422</v>
      </c>
      <c r="J1977" s="1"/>
      <c r="M1977" s="15" t="s">
        <v>2811</v>
      </c>
      <c r="O1977" s="15"/>
      <c r="P1977" s="15"/>
      <c r="Q1977" s="15" t="str" cm="1">
        <f t="array" ref="Q19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7" s="15" t="str" cm="1">
        <f t="array" ref="R19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canciones/nuevas/queremos_a_cristo_proclamar.html</v>
      </c>
      <c r="T1977" s="1"/>
      <c r="U1977" s="1"/>
      <c r="V1977" s="15"/>
      <c r="W19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data-author="Doug Horley" data-nrcc="422"&gt;&lt;a href="canciones/nuevas/queremos_a_cristo_proclamar.html"&gt;Queremos a Cristo proclamar&lt;/a&gt;&lt;/li&gt;</v>
      </c>
      <c r="X1977" s="15" t="str">
        <f>_xlfn.TEXTBEFORE(_xlfn.TEXTAFTER(CantoralDB[[#This Row],[index.html]],"&gt;"),"&gt;")&amp;"&gt;"</f>
        <v>&lt;a href="canciones/nuevas/queremos_a_cristo_proclamar.html"&gt;</v>
      </c>
      <c r="Y1977"/>
      <c r="AC1977" s="1"/>
    </row>
    <row r="1978" spans="1:29" x14ac:dyDescent="0.3">
      <c r="A1978" s="1">
        <f>ROW(CantoralDB[[#This Row],[Título]])-1</f>
        <v>1977</v>
      </c>
      <c r="B1978" s="1" t="s">
        <v>2614</v>
      </c>
      <c r="C1978" s="1"/>
      <c r="F1978" s="1">
        <v>238</v>
      </c>
      <c r="J1978" s="1"/>
      <c r="M1978" s="15" t="s">
        <v>2613</v>
      </c>
      <c r="O1978" s="15"/>
      <c r="P1978" s="15"/>
      <c r="Q1978" s="15" t="str" cm="1">
        <f t="array" ref="Q19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8" s="15" t="str" cm="1">
        <f t="array" ref="R19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canciones/nuevas/el_gran_amor.html</v>
      </c>
      <c r="T1978" s="1"/>
      <c r="U1978" s="1"/>
      <c r="V1978" s="32" t="s">
        <v>4421</v>
      </c>
      <c r="W19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data-author="Edith McNeill" data-nrcc="238"&gt;&lt;a href="canciones/nuevas/el_gran_amor.html"&gt;El gran amor&lt;/a&gt;&lt;/li&gt;</v>
      </c>
      <c r="X1978" s="15" t="str">
        <f>_xlfn.TEXTBEFORE(_xlfn.TEXTAFTER(CantoralDB[[#This Row],[index.html]],"&gt;"),"&gt;")&amp;"&gt;"</f>
        <v>&lt;a href="canciones/nuevas/el_gran_amor.html"&gt;</v>
      </c>
      <c r="Y1978"/>
      <c r="AC1978" s="1"/>
    </row>
    <row r="1979" spans="1:29" x14ac:dyDescent="0.3">
      <c r="A1979" s="1">
        <f>ROW(CantoralDB[[#This Row],[Título]])-1</f>
        <v>1978</v>
      </c>
      <c r="B1979" s="1" t="s">
        <v>2493</v>
      </c>
      <c r="C1979" s="1"/>
      <c r="F1979" s="1">
        <v>117</v>
      </c>
      <c r="J1979" s="1"/>
      <c r="M1979" s="15" t="s">
        <v>2494</v>
      </c>
      <c r="O1979" s="15"/>
      <c r="P1979" s="15"/>
      <c r="Q1979" s="15" t="str" cm="1">
        <f t="array" ref="Q19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79" s="15" t="str" cm="1">
        <f t="array" ref="R19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canciones/nuevas/algo_nuevo_esta_naciendo.html</v>
      </c>
      <c r="T1979" s="1"/>
      <c r="U1979" s="1"/>
      <c r="V1979" s="15"/>
      <c r="W19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data-author="Elena Andrés" data-nrcc="117"&gt;&lt;a href="canciones/nuevas/algo_nuevo_esta_naciendo.html"&gt;Algo nuevo está naciendo&lt;/a&gt;&lt;/li&gt;</v>
      </c>
      <c r="X1979" s="15" t="str">
        <f>_xlfn.TEXTBEFORE(_xlfn.TEXTAFTER(CantoralDB[[#This Row],[index.html]],"&gt;"),"&gt;")&amp;"&gt;"</f>
        <v>&lt;a href="canciones/nuevas/algo_nuevo_esta_naciendo.html"&gt;</v>
      </c>
      <c r="Y1979"/>
      <c r="AC1979" s="1"/>
    </row>
    <row r="1980" spans="1:29" x14ac:dyDescent="0.3">
      <c r="A1980" s="1">
        <f>ROW(CantoralDB[[#This Row],[Título]])-1</f>
        <v>1979</v>
      </c>
      <c r="B1980" s="1" t="s">
        <v>2616</v>
      </c>
      <c r="C1980" s="1"/>
      <c r="F1980" s="1">
        <v>242</v>
      </c>
      <c r="J1980" s="1"/>
      <c r="M1980" s="15" t="s">
        <v>2494</v>
      </c>
      <c r="O1980" s="15"/>
      <c r="P1980" s="15"/>
      <c r="Q1980" s="15" t="str" cm="1">
        <f t="array" ref="Q19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0" s="15" t="str" cm="1">
        <f t="array" ref="R19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canciones/nuevas/oh_alabad.html</v>
      </c>
      <c r="T1980" s="1"/>
      <c r="U1980" s="1"/>
      <c r="V1980" s="15"/>
      <c r="W19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data-author="Elena Andrés" data-nrcc="242"&gt;&lt;a href="canciones/nuevas/oh_alabad.html"&gt;Oh, alabad&lt;/a&gt;&lt;/li&gt;</v>
      </c>
      <c r="X1980" s="15" t="str">
        <f>_xlfn.TEXTBEFORE(_xlfn.TEXTAFTER(CantoralDB[[#This Row],[index.html]],"&gt;"),"&gt;")&amp;"&gt;"</f>
        <v>&lt;a href="canciones/nuevas/oh_alabad.html"&gt;</v>
      </c>
      <c r="Y1980"/>
      <c r="AC1980" s="1"/>
    </row>
    <row r="1981" spans="1:29" x14ac:dyDescent="0.3">
      <c r="A1981" s="1">
        <f>ROW(CantoralDB[[#This Row],[Título]])-1</f>
        <v>1980</v>
      </c>
      <c r="B1981" s="1" t="s">
        <v>2521</v>
      </c>
      <c r="C1981" s="1"/>
      <c r="F1981" s="1">
        <v>139</v>
      </c>
      <c r="J1981" s="1"/>
      <c r="M1981" s="15" t="s">
        <v>2522</v>
      </c>
      <c r="O1981" s="15"/>
      <c r="P1981" s="15"/>
      <c r="Q1981" s="15" t="str" cm="1">
        <f t="array" ref="Q19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1" s="15" t="str" cm="1">
        <f t="array" ref="R19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canciones/nuevas/fuego_en_esta_casa.html</v>
      </c>
      <c r="T1981" s="1"/>
      <c r="U1981" s="1"/>
      <c r="V1981" s="15"/>
      <c r="W19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data-author="Eric Nuzum" data-nrcc="139"&gt;&lt;a href="canciones/nuevas/fuego_en_esta_casa.html"&gt;Fuego en esta casa&lt;/a&gt;&lt;/li&gt;</v>
      </c>
      <c r="X1981" s="15" t="str">
        <f>_xlfn.TEXTBEFORE(_xlfn.TEXTAFTER(CantoralDB[[#This Row],[index.html]],"&gt;"),"&gt;")&amp;"&gt;"</f>
        <v>&lt;a href="canciones/nuevas/fuego_en_esta_casa.html"&gt;</v>
      </c>
      <c r="Y1981"/>
      <c r="AC1981" s="1"/>
    </row>
    <row r="1982" spans="1:29" x14ac:dyDescent="0.3">
      <c r="A1982" s="1">
        <f>ROW(CantoralDB[[#This Row],[Título]])-1</f>
        <v>1981</v>
      </c>
      <c r="B1982" s="1" t="s">
        <v>2379</v>
      </c>
      <c r="C1982" s="1"/>
      <c r="F1982" s="1">
        <v>3</v>
      </c>
      <c r="H1982" s="1" t="s">
        <v>1024</v>
      </c>
      <c r="J1982" s="1" t="s">
        <v>605</v>
      </c>
      <c r="M1982" s="15" t="s">
        <v>2378</v>
      </c>
      <c r="O1982" s="15"/>
      <c r="P1982" s="15"/>
      <c r="Q1982" s="15" t="str" cm="1">
        <f t="array" ref="Q19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2" s="15" t="str" cm="1">
        <f t="array" ref="R19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canciones/nuevas/con_mis_manos_alzadas.html</v>
      </c>
      <c r="T1982" s="1"/>
      <c r="U1982" s="1"/>
      <c r="V1982" s="32" t="s">
        <v>4444</v>
      </c>
      <c r="W19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data-author="Esther Watanabe" data-nrcc="3"&gt;&lt;a href="canciones/nuevas/con_mis_manos_alzadas.html"&gt;Con mis manos alzadas&lt;/a&gt;&lt;/li&gt;</v>
      </c>
      <c r="X1982" s="15" t="str">
        <f>_xlfn.TEXTBEFORE(_xlfn.TEXTAFTER(CantoralDB[[#This Row],[index.html]],"&gt;"),"&gt;")&amp;"&gt;"</f>
        <v>&lt;a href="canciones/nuevas/con_mis_manos_alzadas.html"&gt;</v>
      </c>
      <c r="Y1982"/>
      <c r="AC1982" s="1"/>
    </row>
    <row r="1983" spans="1:29" x14ac:dyDescent="0.3">
      <c r="A1983" s="1">
        <f>ROW(CantoralDB[[#This Row],[Título]])-1</f>
        <v>1982</v>
      </c>
      <c r="B1983" s="1" t="s">
        <v>2600</v>
      </c>
      <c r="C1983" s="1"/>
      <c r="F1983" s="1">
        <v>221</v>
      </c>
      <c r="J1983" s="1"/>
      <c r="M1983" s="15" t="s">
        <v>2601</v>
      </c>
      <c r="O1983" s="15"/>
      <c r="P1983" s="15"/>
      <c r="Q1983" s="15" t="str" cm="1">
        <f t="array" ref="Q19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3" s="15" t="str" cm="1">
        <f t="array" ref="R19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canciones/nuevas/enseñame_tu_camino_señor.html</v>
      </c>
      <c r="T1983" s="1"/>
      <c r="U1983" s="1"/>
      <c r="V1983" s="15"/>
      <c r="W19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data-author="Eugene Greco" data-nrcc="221"&gt;&lt;a href="canciones/nuevas/enseñame_tu_camino_señor.html"&gt;Enséñame tu camino, Señor&lt;/a&gt;&lt;/li&gt;</v>
      </c>
      <c r="X1983" s="15" t="str">
        <f>_xlfn.TEXTBEFORE(_xlfn.TEXTAFTER(CantoralDB[[#This Row],[index.html]],"&gt;"),"&gt;")&amp;"&gt;"</f>
        <v>&lt;a href="canciones/nuevas/enseñame_tu_camino_señor.html"&gt;</v>
      </c>
      <c r="Y1983"/>
      <c r="AC1983" s="1"/>
    </row>
    <row r="1984" spans="1:29" x14ac:dyDescent="0.3">
      <c r="A1984" s="1">
        <f>ROW(CantoralDB[[#This Row],[Título]])-1</f>
        <v>1983</v>
      </c>
      <c r="B1984" s="1" t="s">
        <v>2628</v>
      </c>
      <c r="C1984" s="1"/>
      <c r="F1984" s="1">
        <v>257</v>
      </c>
      <c r="J1984" s="1"/>
      <c r="M1984" s="15" t="s">
        <v>2630</v>
      </c>
      <c r="O1984" s="15"/>
      <c r="P1984" s="15"/>
      <c r="Q1984" s="15" t="str" cm="1">
        <f t="array" ref="Q19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4" s="15" t="str" cm="1">
        <f t="array" ref="R19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canciones/nuevas/mi_alma_tiene_sed_de_dios.html</v>
      </c>
      <c r="T1984" s="1"/>
      <c r="U1984" s="1"/>
      <c r="V1984" s="15"/>
      <c r="W19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data-author="Fausto Pflucker" data-nrcc="257"&gt;&lt;a href="canciones/nuevas/mi_alma_tiene_sed_de_dios.html"&gt;Mi alma tiene sed de Dios&lt;/a&gt;&lt;/li&gt;</v>
      </c>
      <c r="X1984" s="15" t="str">
        <f>_xlfn.TEXTBEFORE(_xlfn.TEXTAFTER(CantoralDB[[#This Row],[index.html]],"&gt;"),"&gt;")&amp;"&gt;"</f>
        <v>&lt;a href="canciones/nuevas/mi_alma_tiene_sed_de_dios.html"&gt;</v>
      </c>
      <c r="Y1984"/>
      <c r="AC1984" s="1"/>
    </row>
    <row r="1985" spans="1:29" x14ac:dyDescent="0.3">
      <c r="A1985" s="1">
        <f>ROW(CantoralDB[[#This Row],[Título]])-1</f>
        <v>1984</v>
      </c>
      <c r="B1985" s="1" t="s">
        <v>2753</v>
      </c>
      <c r="C1985" s="1"/>
      <c r="F1985" s="1">
        <v>382</v>
      </c>
      <c r="J1985" s="1"/>
      <c r="M1985" s="15" t="s">
        <v>2756</v>
      </c>
      <c r="O1985" s="15"/>
      <c r="P1985" s="15"/>
      <c r="Q1985" s="15" t="str" cm="1">
        <f t="array" ref="Q19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5" s="15" t="str" cm="1">
        <f t="array" ref="R19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canciones/nuevas/majestuoso_poderoso.html</v>
      </c>
      <c r="T1985" s="1"/>
      <c r="U1985" s="1"/>
      <c r="V1985" s="15"/>
      <c r="W19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data-author="Fermín García" data-nrcc="382"&gt;&lt;a href="canciones/nuevas/majestuoso_poderoso.html"&gt;Majestuoso, poderoso&lt;/a&gt;&lt;/li&gt;</v>
      </c>
      <c r="X1985" s="15" t="str">
        <f>_xlfn.TEXTBEFORE(_xlfn.TEXTAFTER(CantoralDB[[#This Row],[index.html]],"&gt;"),"&gt;")&amp;"&gt;"</f>
        <v>&lt;a href="canciones/nuevas/majestuoso_poderoso.html"&gt;</v>
      </c>
      <c r="Y1985"/>
      <c r="AC1985" s="1"/>
    </row>
    <row r="1986" spans="1:29" x14ac:dyDescent="0.3">
      <c r="A1986" s="1">
        <f>ROW(CantoralDB[[#This Row],[Título]])-1</f>
        <v>1985</v>
      </c>
      <c r="B1986" s="1" t="s">
        <v>2687</v>
      </c>
      <c r="C1986" s="1"/>
      <c r="F1986" s="1">
        <v>321</v>
      </c>
      <c r="J1986" s="1"/>
      <c r="M1986" s="15" t="s">
        <v>2688</v>
      </c>
      <c r="O1986" s="15"/>
      <c r="P1986" s="15"/>
      <c r="Q1986" s="15" t="str" cm="1">
        <f t="array" ref="Q19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6" s="15" t="str" cm="1">
        <f t="array" ref="R19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canciones/nuevas/aleluya_jesus_es_el_señor.html</v>
      </c>
      <c r="T1986" s="1"/>
      <c r="U1986" s="1"/>
      <c r="V1986" s="32" t="s">
        <v>4518</v>
      </c>
      <c r="W19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data-author="Frank Hernández" data-nrcc="321"&gt;&lt;a href="canciones/nuevas/aleluya_jesus_es_el_señor.html"&gt;Aleluya, Jesús es el Señor&lt;/a&gt;&lt;/li&gt;</v>
      </c>
      <c r="X1986" s="15" t="str">
        <f>_xlfn.TEXTBEFORE(_xlfn.TEXTAFTER(CantoralDB[[#This Row],[index.html]],"&gt;"),"&gt;")&amp;"&gt;"</f>
        <v>&lt;a href="canciones/nuevas/aleluya_jesus_es_el_señor.html"&gt;</v>
      </c>
      <c r="Y1986"/>
      <c r="AC1986" s="1"/>
    </row>
    <row r="1987" spans="1:29" x14ac:dyDescent="0.3">
      <c r="A1987" s="1">
        <f>ROW(CantoralDB[[#This Row],[Título]])-1</f>
        <v>1986</v>
      </c>
      <c r="B1987" s="1" t="s">
        <v>2680</v>
      </c>
      <c r="C1987" s="1"/>
      <c r="F1987" s="1">
        <v>310</v>
      </c>
      <c r="J1987" s="1"/>
      <c r="M1987" s="15" t="s">
        <v>2868</v>
      </c>
      <c r="O1987" s="15"/>
      <c r="P1987" s="15"/>
      <c r="Q1987" s="15" t="str" cm="1">
        <f t="array" ref="Q19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7" s="15" t="str" cm="1">
        <f t="array" ref="R19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canciones/nuevas/ponte_ya_de_pie.html</v>
      </c>
      <c r="T1987" s="1"/>
      <c r="U1987" s="1"/>
      <c r="V1987" s="32" t="s">
        <v>4584</v>
      </c>
      <c r="W19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data-author="Fray André Gouze - Gocam" data-nrcc="310"&gt;&lt;a href="canciones/nuevas/ponte_ya_de_pie.html"&gt;Ponte ya de pie&lt;/a&gt;&lt;/li&gt;</v>
      </c>
      <c r="X1987" s="15" t="str">
        <f>_xlfn.TEXTBEFORE(_xlfn.TEXTAFTER(CantoralDB[[#This Row],[index.html]],"&gt;"),"&gt;")&amp;"&gt;"</f>
        <v>&lt;a href="canciones/nuevas/ponte_ya_de_pie.html"&gt;</v>
      </c>
      <c r="Y1987"/>
      <c r="AC1987" s="1"/>
    </row>
    <row r="1988" spans="1:29" x14ac:dyDescent="0.3">
      <c r="A1988" s="1">
        <f>ROW(CantoralDB[[#This Row],[Título]])-1</f>
        <v>1987</v>
      </c>
      <c r="B1988" s="1" t="s">
        <v>2729</v>
      </c>
      <c r="C1988" s="1"/>
      <c r="F1988" s="1">
        <v>358</v>
      </c>
      <c r="J1988" s="1"/>
      <c r="M1988" s="15" t="s">
        <v>2868</v>
      </c>
      <c r="O1988" s="15"/>
      <c r="P1988" s="15"/>
      <c r="Q1988" s="15" t="str" cm="1">
        <f t="array" ref="Q19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8" s="15" t="str" cm="1">
        <f t="array" ref="R19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canciones/nuevas/que_nuestro_dios_te_guarde.html</v>
      </c>
      <c r="T1988" s="1"/>
      <c r="U1988" s="1"/>
      <c r="V1988" s="32" t="s">
        <v>4475</v>
      </c>
      <c r="W19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data-author="Fray André Gouze - Gocam" data-nrcc="358"&gt;&lt;a href="canciones/nuevas/que_nuestro_dios_te_guarde.html"&gt;Que nuestro Dios te guarde&lt;/a&gt;&lt;/li&gt;</v>
      </c>
      <c r="X1988" s="15" t="str">
        <f>_xlfn.TEXTBEFORE(_xlfn.TEXTAFTER(CantoralDB[[#This Row],[index.html]],"&gt;"),"&gt;")&amp;"&gt;"</f>
        <v>&lt;a href="canciones/nuevas/que_nuestro_dios_te_guarde.html"&gt;</v>
      </c>
      <c r="Y1988"/>
      <c r="AC1988" s="1"/>
    </row>
    <row r="1989" spans="1:29" x14ac:dyDescent="0.3">
      <c r="A1989" s="1">
        <f>ROW(CantoralDB[[#This Row],[Título]])-1</f>
        <v>1988</v>
      </c>
      <c r="B1989" s="1" t="s">
        <v>414</v>
      </c>
      <c r="C1989" s="1"/>
      <c r="F1989" s="1">
        <v>447</v>
      </c>
      <c r="J1989" s="1"/>
      <c r="M1989" s="15" t="s">
        <v>2834</v>
      </c>
      <c r="O1989" s="15"/>
      <c r="P1989" s="15"/>
      <c r="Q1989" s="15" t="str" cm="1">
        <f t="array" ref="Q19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89" s="15" t="str" cm="1">
        <f t="array" ref="R19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canciones/nuevas/nada_te_turbe.html</v>
      </c>
      <c r="T1989" s="1"/>
      <c r="U1989" s="1"/>
      <c r="V1989" s="32" t="s">
        <v>4583</v>
      </c>
      <c r="W19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data-author="Fray Nacho" data-nrcc="447"&gt;&lt;a href="canciones/nuevas/nada_te_turbe.html"&gt;Nada te turbe&lt;/a&gt;&lt;/li&gt;</v>
      </c>
      <c r="X1989" s="15" t="str">
        <f>_xlfn.TEXTBEFORE(_xlfn.TEXTAFTER(CantoralDB[[#This Row],[index.html]],"&gt;"),"&gt;")&amp;"&gt;"</f>
        <v>&lt;a href="canciones/nuevas/nada_te_turbe.html"&gt;</v>
      </c>
      <c r="Y1989"/>
      <c r="AC1989" s="1"/>
    </row>
    <row r="1990" spans="1:29" x14ac:dyDescent="0.3">
      <c r="A1990" s="1">
        <f>ROW(CantoralDB[[#This Row],[Título]])-1</f>
        <v>1989</v>
      </c>
      <c r="B1990" s="1" t="s">
        <v>2438</v>
      </c>
      <c r="C1990" s="1"/>
      <c r="F1990" s="1">
        <v>61</v>
      </c>
      <c r="J1990" s="1"/>
      <c r="M1990" s="15" t="s">
        <v>2439</v>
      </c>
      <c r="O1990" s="15"/>
      <c r="P1990" s="15"/>
      <c r="Q1990" s="15" t="str" cm="1">
        <f t="array" ref="Q19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0" s="15" t="str" cm="1">
        <f t="array" ref="R19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canciones/nuevas/escucha_nuestra_oracion.html</v>
      </c>
      <c r="T1990" s="1"/>
      <c r="U1990" s="1"/>
      <c r="V1990" s="15"/>
      <c r="W19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 Gancho" data-nrcc="61"&gt;&lt;a href="canciones/nuevas/escucha_nuestra_oracion.html"&gt;Escucha nuestra oración&lt;/a&gt;&lt;/li&gt;</v>
      </c>
      <c r="X1990" s="15" t="str">
        <f>_xlfn.TEXTBEFORE(_xlfn.TEXTAFTER(CantoralDB[[#This Row],[index.html]],"&gt;"),"&gt;")&amp;"&gt;"</f>
        <v>&lt;a href="canciones/nuevas/escucha_nuestra_oracion.html"&gt;</v>
      </c>
      <c r="Y1990"/>
      <c r="AC1990" s="1"/>
    </row>
    <row r="1991" spans="1:29" x14ac:dyDescent="0.3">
      <c r="A1991" s="1">
        <f>ROW(CantoralDB[[#This Row],[Título]])-1</f>
        <v>1990</v>
      </c>
      <c r="B1991" s="1" t="s">
        <v>2713</v>
      </c>
      <c r="C1991" s="1"/>
      <c r="F1991" s="1">
        <v>346</v>
      </c>
      <c r="J1991" s="1"/>
      <c r="M1991" s="15" t="s">
        <v>2714</v>
      </c>
      <c r="O1991" s="15"/>
      <c r="P1991" s="15"/>
      <c r="Q1991" s="15" t="str" cm="1">
        <f t="array" ref="Q19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1" s="15" t="str" cm="1">
        <f t="array" ref="R19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canciones/nuevas/celebrad_a_cristo.html</v>
      </c>
      <c r="T1991" s="1"/>
      <c r="U1991" s="1"/>
      <c r="V1991" s="15"/>
      <c r="W19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data-author="Gary Oliver" data-nrcc="346"&gt;&lt;a href="canciones/nuevas/celebrad_a_cristo.html"&gt;Celebrad a Cristo&lt;/a&gt;&lt;/li&gt;</v>
      </c>
      <c r="X1991" s="15" t="str">
        <f>_xlfn.TEXTBEFORE(_xlfn.TEXTAFTER(CantoralDB[[#This Row],[index.html]],"&gt;"),"&gt;")&amp;"&gt;"</f>
        <v>&lt;a href="canciones/nuevas/celebrad_a_cristo.html"&gt;</v>
      </c>
      <c r="Y1991"/>
      <c r="AC1991" s="1"/>
    </row>
    <row r="1992" spans="1:29" x14ac:dyDescent="0.3">
      <c r="A1992" s="1">
        <f>ROW(CantoralDB[[#This Row],[Título]])-1</f>
        <v>1991</v>
      </c>
      <c r="B1992" s="1" t="s">
        <v>2489</v>
      </c>
      <c r="C1992" s="1"/>
      <c r="F1992" s="1">
        <v>113</v>
      </c>
      <c r="H1992" s="1" t="s">
        <v>1027</v>
      </c>
      <c r="J1992" s="1" t="s">
        <v>605</v>
      </c>
      <c r="M1992" s="15" t="s">
        <v>623</v>
      </c>
      <c r="O1992" s="15"/>
      <c r="P1992" s="15"/>
      <c r="Q1992" s="15" t="str" cm="1">
        <f t="array" ref="Q19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2" s="15" t="str" cm="1">
        <f t="array" ref="R19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canciones/nuevas/santo_(gen_rosso).html</v>
      </c>
      <c r="T1992" s="1"/>
      <c r="U1992" s="1"/>
      <c r="V1992" s="32" t="s">
        <v>4526</v>
      </c>
      <c r="W19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data-author="Gen Rosso" data-nrcc="113"&gt;&lt;a href="canciones/nuevas/santo_(gen_rosso).html"&gt;Santo (Gen Rosso)&lt;/a&gt;&lt;/li&gt;</v>
      </c>
      <c r="X1992" s="15" t="str">
        <f>_xlfn.TEXTBEFORE(_xlfn.TEXTAFTER(CantoralDB[[#This Row],[index.html]],"&gt;"),"&gt;")&amp;"&gt;"</f>
        <v>&lt;a href="canciones/nuevas/santo_(gen_rosso).html"&gt;</v>
      </c>
      <c r="Y1992"/>
      <c r="AC1992" s="1"/>
    </row>
    <row r="1993" spans="1:29" x14ac:dyDescent="0.3">
      <c r="A1993" s="1">
        <f>ROW(CantoralDB[[#This Row],[Título]])-1</f>
        <v>1992</v>
      </c>
      <c r="B1993" s="1" t="s">
        <v>2540</v>
      </c>
      <c r="C1993" s="1"/>
      <c r="F1993" s="1">
        <v>157</v>
      </c>
      <c r="H1993" s="1" t="s">
        <v>529</v>
      </c>
      <c r="J1993" s="1" t="s">
        <v>605</v>
      </c>
      <c r="M1993" s="15" t="s">
        <v>2541</v>
      </c>
      <c r="O1993" s="15"/>
      <c r="P1993" s="15"/>
      <c r="Q1993" s="15" t="str" cm="1">
        <f t="array" ref="Q19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3" s="15" t="str" cm="1">
        <f t="array" ref="R19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canciones/nuevas/tierra_firme_(getsemani).html</v>
      </c>
      <c r="T1993" s="1"/>
      <c r="U1993" s="1"/>
      <c r="V1993" s="32" t="s">
        <v>2995</v>
      </c>
      <c r="W19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data-author="Getsemaní" data-nrcc="157"&gt;&lt;a href="canciones/nuevas/tierra_firme_(getsemani).html"&gt;Tierra firme (Getsemaní)&lt;/a&gt;&lt;/li&gt;</v>
      </c>
      <c r="X1993" s="15" t="str">
        <f>_xlfn.TEXTBEFORE(_xlfn.TEXTAFTER(CantoralDB[[#This Row],[index.html]],"&gt;"),"&gt;")&amp;"&gt;"</f>
        <v>&lt;a href="canciones/nuevas/tierra_firme_(getsemani).html"&gt;</v>
      </c>
      <c r="Y1993"/>
      <c r="AC1993" s="1"/>
    </row>
    <row r="1994" spans="1:29" x14ac:dyDescent="0.3">
      <c r="A1994" s="1">
        <f>ROW(CantoralDB[[#This Row],[Título]])-1</f>
        <v>1993</v>
      </c>
      <c r="B1994" s="1" t="s">
        <v>2386</v>
      </c>
      <c r="C1994" s="1"/>
      <c r="F1994" s="1">
        <v>12</v>
      </c>
      <c r="H1994" s="1" t="s">
        <v>1027</v>
      </c>
      <c r="J1994" s="1" t="s">
        <v>605</v>
      </c>
      <c r="M1994" s="15" t="s">
        <v>2387</v>
      </c>
      <c r="O1994" s="15"/>
      <c r="P1994" s="15"/>
      <c r="Q1994" s="15" t="str" cm="1">
        <f t="array" ref="Q19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4" s="15" t="str" cm="1">
        <f t="array" ref="R19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canciones/nuevas/brilla_jesus.html</v>
      </c>
      <c r="T1994" s="1"/>
      <c r="U1994" s="1"/>
      <c r="V1994" s="32" t="s">
        <v>4525</v>
      </c>
      <c r="W19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data-author="Graham Kendrick" data-nrcc="12"&gt;&lt;a href="canciones/nuevas/brilla_jesus.html"&gt;Brilla, Jesús&lt;/a&gt;&lt;/li&gt;</v>
      </c>
      <c r="X1994" s="15" t="str">
        <f>_xlfn.TEXTBEFORE(_xlfn.TEXTAFTER(CantoralDB[[#This Row],[index.html]],"&gt;"),"&gt;")&amp;"&gt;"</f>
        <v>&lt;a href="canciones/nuevas/brilla_jesus.html"&gt;</v>
      </c>
      <c r="Y1994"/>
      <c r="AC1994" s="1"/>
    </row>
    <row r="1995" spans="1:29" x14ac:dyDescent="0.3">
      <c r="A1995" s="1">
        <f>ROW(CantoralDB[[#This Row],[Título]])-1</f>
        <v>1994</v>
      </c>
      <c r="B1995" s="1" t="s">
        <v>2622</v>
      </c>
      <c r="C1995" s="1"/>
      <c r="F1995" s="1">
        <v>248</v>
      </c>
      <c r="H1995" s="1" t="s">
        <v>1024</v>
      </c>
      <c r="J1995" s="1" t="s">
        <v>605</v>
      </c>
      <c r="M1995" s="15" t="s">
        <v>2387</v>
      </c>
      <c r="O1995" s="15"/>
      <c r="P1995" s="15"/>
      <c r="Q1995" s="15" t="str" cm="1">
        <f t="array" ref="Q19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5" s="15" t="str" cm="1">
        <f t="array" ref="R19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canciones/nuevas/seduce_mi_corazon.html</v>
      </c>
      <c r="T1995" s="1"/>
      <c r="U1995" s="1"/>
      <c r="V1995" s="32" t="s">
        <v>4472</v>
      </c>
      <c r="W19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data-author="Graham Kendrick" data-nrcc="248"&gt;&lt;a href="canciones/nuevas/seduce_mi_corazon.html"&gt;Seduce mi corazón&lt;/a&gt;&lt;/li&gt;</v>
      </c>
      <c r="X1995" s="15" t="str">
        <f>_xlfn.TEXTBEFORE(_xlfn.TEXTAFTER(CantoralDB[[#This Row],[index.html]],"&gt;"),"&gt;")&amp;"&gt;"</f>
        <v>&lt;a href="canciones/nuevas/seduce_mi_corazon.html"&gt;</v>
      </c>
      <c r="Y1995"/>
      <c r="AC1995" s="1"/>
    </row>
    <row r="1996" spans="1:29" x14ac:dyDescent="0.3">
      <c r="A1996" s="1">
        <f>ROW(CantoralDB[[#This Row],[Título]])-1</f>
        <v>1995</v>
      </c>
      <c r="B1996" s="1" t="s">
        <v>2725</v>
      </c>
      <c r="C1996" s="1"/>
      <c r="F1996" s="1">
        <v>355</v>
      </c>
      <c r="J1996" s="1"/>
      <c r="M1996" s="15" t="s">
        <v>2727</v>
      </c>
      <c r="O1996" s="15"/>
      <c r="P1996" s="15"/>
      <c r="Q1996" s="15" t="str" cm="1">
        <f t="array" ref="Q19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6" s="15" t="str" cm="1">
        <f t="array" ref="R19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canciones/nuevas/no_puedo_parar.html</v>
      </c>
      <c r="T1996" s="1"/>
      <c r="U1996" s="1"/>
      <c r="V1996" s="15"/>
      <c r="W19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data-author="Héctor Hermosillo" data-nrcc="355"&gt;&lt;a href="canciones/nuevas/no_puedo_parar.html"&gt;No puedo parar&lt;/a&gt;&lt;/li&gt;</v>
      </c>
      <c r="X1996" s="15" t="str">
        <f>_xlfn.TEXTBEFORE(_xlfn.TEXTAFTER(CantoralDB[[#This Row],[index.html]],"&gt;"),"&gt;")&amp;"&gt;"</f>
        <v>&lt;a href="canciones/nuevas/no_puedo_parar.html"&gt;</v>
      </c>
      <c r="Y1996"/>
      <c r="AC1996" s="1"/>
    </row>
    <row r="1997" spans="1:29" x14ac:dyDescent="0.3">
      <c r="A1997" s="1">
        <f>ROW(CantoralDB[[#This Row],[Título]])-1</f>
        <v>1996</v>
      </c>
      <c r="B1997" s="1" t="s">
        <v>2586</v>
      </c>
      <c r="C1997" s="1"/>
      <c r="F1997" s="1">
        <v>201</v>
      </c>
      <c r="J1997" s="1"/>
      <c r="M1997" s="15" t="s">
        <v>2587</v>
      </c>
      <c r="O1997" s="15"/>
      <c r="P1997" s="15"/>
      <c r="Q1997" s="15" t="str" cm="1">
        <f t="array" ref="Q19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7" s="15" t="str" cm="1">
        <f t="array" ref="R19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canciones/nuevas/quiero_agradecer.html</v>
      </c>
      <c r="T1997" s="1"/>
      <c r="U1997" s="1"/>
      <c r="V1997" s="32" t="s">
        <v>4469</v>
      </c>
      <c r="W19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data-author="Henry Smith" data-nrcc="201"&gt;&lt;a href="canciones/nuevas/quiero_agradecer.html"&gt;Quiero agradecer&lt;/a&gt;&lt;/li&gt;</v>
      </c>
      <c r="X1997" s="15" t="str">
        <f>_xlfn.TEXTBEFORE(_xlfn.TEXTAFTER(CantoralDB[[#This Row],[index.html]],"&gt;"),"&gt;")&amp;"&gt;"</f>
        <v>&lt;a href="canciones/nuevas/quiero_agradecer.html"&gt;</v>
      </c>
      <c r="Y1997"/>
      <c r="AC1997" s="1"/>
    </row>
    <row r="1998" spans="1:29" x14ac:dyDescent="0.3">
      <c r="A1998" s="1">
        <f>ROW(CantoralDB[[#This Row],[Título]])-1</f>
        <v>1997</v>
      </c>
      <c r="B1998" s="1" t="s">
        <v>2424</v>
      </c>
      <c r="C1998" s="1"/>
      <c r="F1998" s="1">
        <v>49</v>
      </c>
      <c r="J1998" s="1"/>
      <c r="M1998" s="15" t="s">
        <v>2422</v>
      </c>
      <c r="O1998" s="15"/>
      <c r="P1998" s="15"/>
      <c r="Q1998" s="15" t="str" cm="1">
        <f t="array" ref="Q19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8" s="15" t="str" cm="1">
        <f t="array" ref="R19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canciones/nuevas/maria_madre_conducenos.html</v>
      </c>
      <c r="T1998" s="1"/>
      <c r="U1998" s="1"/>
      <c r="V1998" s="15"/>
      <c r="W19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data-author="Inmaculada Estévez" data-nrcc="49"&gt;&lt;a href="canciones/nuevas/maria_madre_conducenos.html"&gt;María, Madre, condúcenos&lt;/a&gt;&lt;/li&gt;</v>
      </c>
      <c r="X1998" s="15" t="str">
        <f>_xlfn.TEXTBEFORE(_xlfn.TEXTAFTER(CantoralDB[[#This Row],[index.html]],"&gt;"),"&gt;")&amp;"&gt;"</f>
        <v>&lt;a href="canciones/nuevas/maria_madre_conducenos.html"&gt;</v>
      </c>
      <c r="Y1998"/>
      <c r="AC1998" s="1"/>
    </row>
    <row r="1999" spans="1:29" x14ac:dyDescent="0.3">
      <c r="A1999" s="1">
        <f>ROW(CantoralDB[[#This Row],[Título]])-1</f>
        <v>1998</v>
      </c>
      <c r="B1999" s="1" t="s">
        <v>2508</v>
      </c>
      <c r="C1999" s="1"/>
      <c r="F1999" s="1">
        <v>126</v>
      </c>
      <c r="J1999" s="1"/>
      <c r="M1999" s="15" t="s">
        <v>2507</v>
      </c>
      <c r="O1999" s="15"/>
      <c r="P1999" s="15"/>
      <c r="Q1999" s="15" t="str" cm="1">
        <f t="array" ref="Q19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1999" s="15" t="str" cm="1">
        <f t="array" ref="R19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19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canciones/nuevas/madre.html</v>
      </c>
      <c r="T1999" s="1"/>
      <c r="U1999" s="1"/>
      <c r="V1999" s="32" t="s">
        <v>4563</v>
      </c>
      <c r="W19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 F Martínez" data-nrcc="126"&gt;&lt;a href="canciones/nuevas/madre.html"&gt;Madre&lt;/a&gt;&lt;/li&gt;</v>
      </c>
      <c r="X1999" s="15" t="str">
        <f>_xlfn.TEXTBEFORE(_xlfn.TEXTAFTER(CantoralDB[[#This Row],[index.html]],"&gt;"),"&gt;")&amp;"&gt;"</f>
        <v>&lt;a href="canciones/nuevas/madre.html"&gt;</v>
      </c>
      <c r="Y1999"/>
      <c r="AC1999" s="1"/>
    </row>
    <row r="2000" spans="1:29" x14ac:dyDescent="0.3">
      <c r="A2000" s="1">
        <f>ROW(CantoralDB[[#This Row],[Título]])-1</f>
        <v>1999</v>
      </c>
      <c r="B2000" s="1" t="s">
        <v>2598</v>
      </c>
      <c r="C2000" s="1"/>
      <c r="F2000" s="1">
        <v>219</v>
      </c>
      <c r="J2000" s="1"/>
      <c r="M2000" s="15" t="s">
        <v>2599</v>
      </c>
      <c r="O2000" s="15"/>
      <c r="P2000" s="15"/>
      <c r="Q2000" s="15" t="str" cm="1">
        <f t="array" ref="Q20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0" s="15" t="str" cm="1">
        <f t="array" ref="R20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canciones/nuevas/majestad.html</v>
      </c>
      <c r="T2000" s="1"/>
      <c r="U2000" s="1"/>
      <c r="V2000" s="15"/>
      <c r="W20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data-author="Jack Hayford" data-nrcc="219"&gt;&lt;a href="canciones/nuevas/majestad.html"&gt;Majestad&lt;/a&gt;&lt;/li&gt;</v>
      </c>
      <c r="X2000" s="15" t="str">
        <f>_xlfn.TEXTBEFORE(_xlfn.TEXTAFTER(CantoralDB[[#This Row],[index.html]],"&gt;"),"&gt;")&amp;"&gt;"</f>
        <v>&lt;a href="canciones/nuevas/majestad.html"&gt;</v>
      </c>
      <c r="Y2000"/>
      <c r="AC2000" s="1"/>
    </row>
    <row r="2001" spans="1:29" x14ac:dyDescent="0.3">
      <c r="A2001" s="1">
        <f>ROW(CantoralDB[[#This Row],[Título]])-1</f>
        <v>2000</v>
      </c>
      <c r="B2001" s="1" t="s">
        <v>2812</v>
      </c>
      <c r="C2001" s="1"/>
      <c r="F2001" s="1">
        <v>426</v>
      </c>
      <c r="J2001" s="1"/>
      <c r="M2001" s="15" t="s">
        <v>2814</v>
      </c>
      <c r="O2001" s="15"/>
      <c r="P2001" s="15"/>
      <c r="Q2001" s="15" t="str" cm="1">
        <f t="array" ref="Q20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1" s="15" t="str" cm="1">
        <f t="array" ref="R20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canciones/nuevas/esto_es_mi_cuerpo.html</v>
      </c>
      <c r="T2001" s="1"/>
      <c r="U2001" s="1"/>
      <c r="V2001" s="32" t="s">
        <v>4482</v>
      </c>
      <c r="W20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data-author="Janet Lunt" data-nrcc="426"&gt;&lt;a href="canciones/nuevas/esto_es_mi_cuerpo.html"&gt;Esto es mi cuerpo&lt;/a&gt;&lt;/li&gt;</v>
      </c>
      <c r="X2001" s="15" t="str">
        <f>_xlfn.TEXTBEFORE(_xlfn.TEXTAFTER(CantoralDB[[#This Row],[index.html]],"&gt;"),"&gt;")&amp;"&gt;"</f>
        <v>&lt;a href="canciones/nuevas/esto_es_mi_cuerpo.html"&gt;</v>
      </c>
      <c r="Y2001"/>
      <c r="AC2001" s="1"/>
    </row>
    <row r="2002" spans="1:29" x14ac:dyDescent="0.3">
      <c r="A2002" s="1">
        <f>ROW(CantoralDB[[#This Row],[Título]])-1</f>
        <v>2001</v>
      </c>
      <c r="B2002" s="1" t="s">
        <v>2639</v>
      </c>
      <c r="C2002" s="1"/>
      <c r="F2002" s="1">
        <v>267</v>
      </c>
      <c r="J2002" s="1"/>
      <c r="M2002" s="15" t="s">
        <v>2638</v>
      </c>
      <c r="O2002" s="15"/>
      <c r="P2002" s="15"/>
      <c r="Q2002" s="15" t="str" cm="1">
        <f t="array" ref="Q20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2" s="15" t="str" cm="1">
        <f t="array" ref="R20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canciones/nuevas/nadie_te_quiere_como_el.html</v>
      </c>
      <c r="T2002" s="1"/>
      <c r="U2002" s="1"/>
      <c r="V2002" s="32" t="s">
        <v>4504</v>
      </c>
      <c r="W20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data-author="Javier Rodríguez" data-nrcc="267"&gt;&lt;a href="canciones/nuevas/nadie_te_quiere_como_el.html"&gt;Nadie te quiere como él&lt;/a&gt;&lt;/li&gt;</v>
      </c>
      <c r="X2002" s="15" t="str">
        <f>_xlfn.TEXTBEFORE(_xlfn.TEXTAFTER(CantoralDB[[#This Row],[index.html]],"&gt;"),"&gt;")&amp;"&gt;"</f>
        <v>&lt;a href="canciones/nuevas/nadie_te_quiere_como_el.html"&gt;</v>
      </c>
      <c r="Y2002"/>
      <c r="AC2002" s="1"/>
    </row>
    <row r="2003" spans="1:29" x14ac:dyDescent="0.3">
      <c r="A2003" s="1">
        <f>ROW(CantoralDB[[#This Row],[Título]])-1</f>
        <v>2002</v>
      </c>
      <c r="B2003" s="1" t="s">
        <v>2823</v>
      </c>
      <c r="C2003" s="1"/>
      <c r="F2003" s="1">
        <v>435</v>
      </c>
      <c r="J2003" s="1"/>
      <c r="M2003" s="15" t="s">
        <v>2169</v>
      </c>
      <c r="O2003" s="15"/>
      <c r="P2003" s="15"/>
      <c r="Q2003" s="15" t="str" cm="1">
        <f t="array" ref="Q20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3" s="15" t="str" cm="1">
        <f t="array" ref="R20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canciones/nuevas/cansado_del_camino.html</v>
      </c>
      <c r="T2003" s="1"/>
      <c r="U2003" s="1"/>
      <c r="V2003" s="15"/>
      <c r="W20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data-author="Jesús Adrián Romero" data-nrcc="435"&gt;&lt;a href="canciones/nuevas/cansado_del_camino.html"&gt;Cansado del camino&lt;/a&gt;&lt;/li&gt;</v>
      </c>
      <c r="X2003" s="15" t="str">
        <f>_xlfn.TEXTBEFORE(_xlfn.TEXTAFTER(CantoralDB[[#This Row],[index.html]],"&gt;"),"&gt;")&amp;"&gt;"</f>
        <v>&lt;a href="canciones/nuevas/cansado_del_camino.html"&gt;</v>
      </c>
      <c r="Y2003"/>
      <c r="AC2003" s="1"/>
    </row>
    <row r="2004" spans="1:29" x14ac:dyDescent="0.3">
      <c r="A2004" s="1">
        <f>ROW(CantoralDB[[#This Row],[Título]])-1</f>
        <v>2003</v>
      </c>
      <c r="B2004" s="1" t="s">
        <v>2153</v>
      </c>
      <c r="C2004" s="15"/>
      <c r="H2004" s="1" t="s">
        <v>1024</v>
      </c>
      <c r="J2004" s="1" t="s">
        <v>605</v>
      </c>
      <c r="M2004" s="15" t="s">
        <v>2169</v>
      </c>
      <c r="O2004" s="15"/>
      <c r="P2004" s="15"/>
      <c r="Q2004" s="15" t="str" cm="1">
        <f t="array" ref="Q20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4" s="15" t="str" cm="1">
        <f t="array" ref="R20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canciones/nuevas/enamorame_de_ti.html</v>
      </c>
      <c r="T2004" s="1"/>
      <c r="U2004" s="1"/>
      <c r="V2004" s="32" t="s">
        <v>2989</v>
      </c>
      <c r="W20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data-author="Jesús Adrián Romero"&gt;&lt;a href="canciones/nuevas/enamorame_de_ti.html"&gt;Enamórame de ti&lt;/a&gt;&lt;/li&gt;</v>
      </c>
      <c r="X2004" s="15" t="str">
        <f>_xlfn.TEXTBEFORE(_xlfn.TEXTAFTER(CantoralDB[[#This Row],[index.html]],"&gt;"),"&gt;")&amp;"&gt;"</f>
        <v>&lt;a href="canciones/nuevas/enamorame_de_ti.html"&gt;</v>
      </c>
      <c r="Y2004"/>
      <c r="AC2004" s="1"/>
    </row>
    <row r="2005" spans="1:29" x14ac:dyDescent="0.3">
      <c r="A2005" s="1">
        <f>ROW(CantoralDB[[#This Row],[Título]])-1</f>
        <v>2004</v>
      </c>
      <c r="B2005" s="1" t="s">
        <v>2825</v>
      </c>
      <c r="C2005" s="1"/>
      <c r="F2005" s="1">
        <v>437</v>
      </c>
      <c r="J2005" s="1"/>
      <c r="M2005" s="15" t="s">
        <v>2169</v>
      </c>
      <c r="O2005" s="15"/>
      <c r="P2005" s="15"/>
      <c r="Q2005" s="15" t="str" cm="1">
        <f t="array" ref="Q20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5" s="15" t="str" cm="1">
        <f t="array" ref="R20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canciones/nuevas/que_seria_de_mi.html</v>
      </c>
      <c r="T2005" s="1"/>
      <c r="U2005" s="1"/>
      <c r="V2005" s="15"/>
      <c r="W20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data-author="Jesús Adrián Romero" data-nrcc="437"&gt;&lt;a href="canciones/nuevas/que_seria_de_mi.html"&gt;Qué sería de mí&lt;/a&gt;&lt;/li&gt;</v>
      </c>
      <c r="X2005" s="15" t="str">
        <f>_xlfn.TEXTBEFORE(_xlfn.TEXTAFTER(CantoralDB[[#This Row],[index.html]],"&gt;"),"&gt;")&amp;"&gt;"</f>
        <v>&lt;a href="canciones/nuevas/que_seria_de_mi.html"&gt;</v>
      </c>
      <c r="Y2005"/>
      <c r="AC2005" s="1"/>
    </row>
    <row r="2006" spans="1:29" x14ac:dyDescent="0.3">
      <c r="A2006" s="1">
        <f>ROW(CantoralDB[[#This Row],[Título]])-1</f>
        <v>2005</v>
      </c>
      <c r="B2006" s="1" t="s">
        <v>1541</v>
      </c>
      <c r="C2006" s="1"/>
      <c r="F2006" s="1">
        <v>235</v>
      </c>
      <c r="J2006" s="1"/>
      <c r="M2006" s="15" t="s">
        <v>2611</v>
      </c>
      <c r="O2006" s="15"/>
      <c r="P2006" s="15"/>
      <c r="Q2006" s="15" t="str" cm="1">
        <f t="array" ref="Q20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6" s="15" t="str" cm="1">
        <f t="array" ref="R20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canciones/nuevas/magnificat.html</v>
      </c>
      <c r="T2006" s="1"/>
      <c r="U2006" s="1"/>
      <c r="V2006" s="32" t="s">
        <v>4490</v>
      </c>
      <c r="W20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data-author="Joanne Boyce" data-nrcc="235"&gt;&lt;a href="canciones/nuevas/magnificat.html"&gt;Magnificat&lt;/a&gt;&lt;/li&gt;</v>
      </c>
      <c r="X2006" s="15" t="str">
        <f>_xlfn.TEXTBEFORE(_xlfn.TEXTAFTER(CantoralDB[[#This Row],[index.html]],"&gt;"),"&gt;")&amp;"&gt;"</f>
        <v>&lt;a href="canciones/nuevas/magnificat.html"&gt;</v>
      </c>
      <c r="Y2006"/>
      <c r="AC2006" s="1"/>
    </row>
    <row r="2007" spans="1:29" x14ac:dyDescent="0.3">
      <c r="A2007" s="1">
        <f>ROW(CantoralDB[[#This Row],[Título]])-1</f>
        <v>2006</v>
      </c>
      <c r="B2007" s="1" t="s">
        <v>2572</v>
      </c>
      <c r="C2007" s="1"/>
      <c r="F2007" s="1">
        <v>186</v>
      </c>
      <c r="J2007" s="1"/>
      <c r="M2007" s="15" t="s">
        <v>2573</v>
      </c>
      <c r="O2007" s="15"/>
      <c r="P2007" s="15"/>
      <c r="Q2007" s="15" t="str" cm="1">
        <f t="array" ref="Q20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7" s="15" t="str" cm="1">
        <f t="array" ref="R20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canciones/nuevas/jesus_jesus_jesus.html</v>
      </c>
      <c r="T2007" s="1"/>
      <c r="U2007" s="1"/>
      <c r="V2007" s="15"/>
      <c r="W20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data-author="John Newton" data-nrcc="186"&gt;&lt;a href="canciones/nuevas/jesus_jesus_jesus.html"&gt;Jesús, Jesús, Jesús&lt;/a&gt;&lt;/li&gt;</v>
      </c>
      <c r="X2007" s="15" t="str">
        <f>_xlfn.TEXTBEFORE(_xlfn.TEXTAFTER(CantoralDB[[#This Row],[index.html]],"&gt;"),"&gt;")&amp;"&gt;"</f>
        <v>&lt;a href="canciones/nuevas/jesus_jesus_jesus.html"&gt;</v>
      </c>
      <c r="Y2007"/>
      <c r="AC2007" s="1"/>
    </row>
    <row r="2008" spans="1:29" x14ac:dyDescent="0.3">
      <c r="A2008" s="1">
        <f>ROW(CantoralDB[[#This Row],[Título]])-1</f>
        <v>2007</v>
      </c>
      <c r="B2008" s="1" t="s">
        <v>2511</v>
      </c>
      <c r="C2008" s="1"/>
      <c r="F2008" s="1">
        <v>128</v>
      </c>
      <c r="J2008" s="1"/>
      <c r="M2008" s="15" t="s">
        <v>2512</v>
      </c>
      <c r="O2008" s="15"/>
      <c r="P2008" s="15"/>
      <c r="Q2008" s="15" t="str" cm="1">
        <f t="array" ref="Q20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8" s="15" t="str" cm="1">
        <f t="array" ref="R20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canciones/nuevas/la_cancion_del_espiritu.html</v>
      </c>
      <c r="T2008" s="1"/>
      <c r="U2008" s="1"/>
      <c r="V2008" s="32" t="s">
        <v>4545</v>
      </c>
      <c r="W20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data-author="John Wimber" data-nrcc="128"&gt;&lt;a href="canciones/nuevas/la_cancion_del_espiritu.html"&gt;La canción del Espíritu&lt;/a&gt;&lt;/li&gt;</v>
      </c>
      <c r="X2008" s="15" t="str">
        <f>_xlfn.TEXTBEFORE(_xlfn.TEXTAFTER(CantoralDB[[#This Row],[index.html]],"&gt;"),"&gt;")&amp;"&gt;"</f>
        <v>&lt;a href="canciones/nuevas/la_cancion_del_espiritu.html"&gt;</v>
      </c>
      <c r="Y2008"/>
      <c r="AC2008" s="1"/>
    </row>
    <row r="2009" spans="1:29" x14ac:dyDescent="0.3">
      <c r="A2009" s="1">
        <f>ROW(CantoralDB[[#This Row],[Título]])-1</f>
        <v>2008</v>
      </c>
      <c r="B2009" s="1" t="s">
        <v>2148</v>
      </c>
      <c r="C2009" s="15"/>
      <c r="H2009" s="1" t="s">
        <v>1026</v>
      </c>
      <c r="J2009" s="1" t="s">
        <v>605</v>
      </c>
      <c r="M2009" s="15" t="s">
        <v>2167</v>
      </c>
      <c r="O2009" s="15"/>
      <c r="P2009" s="15"/>
      <c r="Q2009" s="15" t="str" cm="1">
        <f t="array" ref="Q20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09" s="15" t="str" cm="1">
        <f t="array" ref="R20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canciones/nuevas/algo_esta_cayendo_aqui.html</v>
      </c>
      <c r="T2009" s="1"/>
      <c r="U2009" s="1"/>
      <c r="V2009" s="32" t="s">
        <v>2986</v>
      </c>
      <c r="W20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Luis Reyes"&gt;&lt;a href="canciones/nuevas/algo_esta_cayendo_aqui.html"&gt;Algo está cayendo aquí&lt;/a&gt;&lt;/li&gt;</v>
      </c>
      <c r="X2009" s="15" t="str">
        <f>_xlfn.TEXTBEFORE(_xlfn.TEXTAFTER(CantoralDB[[#This Row],[index.html]],"&gt;"),"&gt;")&amp;"&gt;"</f>
        <v>&lt;a href="canciones/nuevas/algo_esta_cayendo_aqui.html"&gt;</v>
      </c>
      <c r="Y2009"/>
      <c r="AC2009" s="1"/>
    </row>
    <row r="2010" spans="1:29" x14ac:dyDescent="0.3">
      <c r="A2010" s="1">
        <f>ROW(CantoralDB[[#This Row],[Título]])-1</f>
        <v>2009</v>
      </c>
      <c r="B2010" s="1" t="s">
        <v>2618</v>
      </c>
      <c r="C2010" s="1"/>
      <c r="F2010" s="1">
        <v>243</v>
      </c>
      <c r="J2010" s="1"/>
      <c r="M2010" s="15" t="s">
        <v>2617</v>
      </c>
      <c r="O2010" s="15"/>
      <c r="P2010" s="15"/>
      <c r="Q2010" s="15" t="str" cm="1">
        <f t="array" ref="Q20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0" s="15" t="str" cm="1">
        <f t="array" ref="R20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canciones/nuevas/mira_el_rostro_de_jesus.html</v>
      </c>
      <c r="T2010" s="1"/>
      <c r="U2010" s="1"/>
      <c r="V2010" s="32" t="s">
        <v>4585</v>
      </c>
      <c r="W20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Luis Villalaín" data-nrcc="243"&gt;&lt;a href="canciones/nuevas/mira_el_rostro_de_jesus.html"&gt;Mira el rostro de Jesús&lt;/a&gt;&lt;/li&gt;</v>
      </c>
      <c r="X2010" s="15" t="str">
        <f>_xlfn.TEXTBEFORE(_xlfn.TEXTAFTER(CantoralDB[[#This Row],[index.html]],"&gt;"),"&gt;")&amp;"&gt;"</f>
        <v>&lt;a href="canciones/nuevas/mira_el_rostro_de_jesus.html"&gt;</v>
      </c>
      <c r="Y2010"/>
      <c r="AC2010" s="1"/>
    </row>
    <row r="2011" spans="1:29" x14ac:dyDescent="0.3">
      <c r="A2011" s="1">
        <f>ROW(CantoralDB[[#This Row],[Título]])-1</f>
        <v>2010</v>
      </c>
      <c r="B2011" s="1" t="s">
        <v>2544</v>
      </c>
      <c r="C2011" s="1"/>
      <c r="F2011" s="1">
        <v>159</v>
      </c>
      <c r="J2011" s="1"/>
      <c r="M2011" s="15" t="s">
        <v>2506</v>
      </c>
      <c r="O2011" s="15"/>
      <c r="P2011" s="15"/>
      <c r="Q2011" s="15" t="str" cm="1">
        <f t="array" ref="Q20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1" s="15" t="str" cm="1">
        <f t="array" ref="R20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canciones/nuevas/escucha_oh_jesus.html</v>
      </c>
      <c r="T2011" s="1"/>
      <c r="U2011" s="1"/>
      <c r="V2011" s="15"/>
      <c r="W20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Manuel Culebras" data-nrcc="159"&gt;&lt;a href="canciones/nuevas/escucha_oh_jesus.html"&gt;Escucha, oh, Jesús&lt;/a&gt;&lt;/li&gt;</v>
      </c>
      <c r="X2011" s="15" t="str">
        <f>_xlfn.TEXTBEFORE(_xlfn.TEXTAFTER(CantoralDB[[#This Row],[index.html]],"&gt;"),"&gt;")&amp;"&gt;"</f>
        <v>&lt;a href="canciones/nuevas/escucha_oh_jesus.html"&gt;</v>
      </c>
      <c r="Y2011"/>
      <c r="AC2011" s="1"/>
    </row>
    <row r="2012" spans="1:29" x14ac:dyDescent="0.3">
      <c r="A2012" s="1">
        <f>ROW(CantoralDB[[#This Row],[Título]])-1</f>
        <v>2011</v>
      </c>
      <c r="B2012" s="1" t="s">
        <v>2505</v>
      </c>
      <c r="C2012" s="1"/>
      <c r="F2012" s="1">
        <v>125</v>
      </c>
      <c r="J2012" s="1"/>
      <c r="M2012" s="15" t="s">
        <v>2506</v>
      </c>
      <c r="O2012" s="15"/>
      <c r="P2012" s="15"/>
      <c r="Q2012" s="15" t="str" cm="1">
        <f t="array" ref="Q20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2" s="15" t="str" cm="1">
        <f t="array" ref="R20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canciones/nuevas/grito_santo.html</v>
      </c>
      <c r="T2012" s="1"/>
      <c r="U2012" s="1"/>
      <c r="V2012" s="15"/>
      <c r="W20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Manuel Culebras" data-nrcc="125"&gt;&lt;a href="canciones/nuevas/grito_santo.html"&gt;Grito Santo&lt;/a&gt;&lt;/li&gt;</v>
      </c>
      <c r="X2012" s="15" t="str">
        <f>_xlfn.TEXTBEFORE(_xlfn.TEXTAFTER(CantoralDB[[#This Row],[index.html]],"&gt;"),"&gt;")&amp;"&gt;"</f>
        <v>&lt;a href="canciones/nuevas/grito_santo.html"&gt;</v>
      </c>
      <c r="Y2012"/>
      <c r="AC2012" s="1"/>
    </row>
    <row r="2013" spans="1:29" x14ac:dyDescent="0.3">
      <c r="A2013" s="1">
        <f>ROW(CantoralDB[[#This Row],[Título]])-1</f>
        <v>2012</v>
      </c>
      <c r="B2013" s="1" t="s">
        <v>2771</v>
      </c>
      <c r="C2013" s="1"/>
      <c r="F2013" s="1">
        <v>394</v>
      </c>
      <c r="J2013" s="1"/>
      <c r="M2013" s="15" t="s">
        <v>2506</v>
      </c>
      <c r="O2013" s="15"/>
      <c r="P2013" s="15"/>
      <c r="Q2013" s="15" t="str" cm="1">
        <f t="array" ref="Q20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3" s="15" t="str" cm="1">
        <f t="array" ref="R20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canciones/nuevas/he_venido_para_que_vivais.html</v>
      </c>
      <c r="T2013" s="1"/>
      <c r="U2013" s="1"/>
      <c r="V2013" s="15"/>
      <c r="W20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Manuel Culebras" data-nrcc="394"&gt;&lt;a href="canciones/nuevas/he_venido_para_que_vivais.html"&gt;He venido para que viváis&lt;/a&gt;&lt;/li&gt;</v>
      </c>
      <c r="X2013" s="15" t="str">
        <f>_xlfn.TEXTBEFORE(_xlfn.TEXTAFTER(CantoralDB[[#This Row],[index.html]],"&gt;"),"&gt;")&amp;"&gt;"</f>
        <v>&lt;a href="canciones/nuevas/he_venido_para_que_vivais.html"&gt;</v>
      </c>
      <c r="Y2013"/>
      <c r="AC2013" s="1"/>
    </row>
    <row r="2014" spans="1:29" x14ac:dyDescent="0.3">
      <c r="A2014" s="1">
        <f>ROW(CantoralDB[[#This Row],[Título]])-1</f>
        <v>2013</v>
      </c>
      <c r="B2014" s="1" t="s">
        <v>2501</v>
      </c>
      <c r="C2014" s="1"/>
      <c r="F2014" s="1">
        <v>122</v>
      </c>
      <c r="J2014" s="1"/>
      <c r="M2014" s="15" t="s">
        <v>2502</v>
      </c>
      <c r="O2014" s="15"/>
      <c r="P2014" s="15"/>
      <c r="Q2014" s="15" t="str" cm="1">
        <f t="array" ref="Q20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4" s="15" t="str" cm="1">
        <f t="array" ref="R20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canciones/nuevas/el_señor_es_mi_pastor_(jm_monedero).html</v>
      </c>
      <c r="T2014" s="1"/>
      <c r="U2014" s="1"/>
      <c r="V2014" s="32" t="s">
        <v>4564</v>
      </c>
      <c r="W20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María Monedero" data-nrcc="122"&gt;&lt;a href="canciones/nuevas/el_señor_es_mi_pastor_(jm_monedero).html"&gt;El Señor es mi pastor (JM Monedero)&lt;/a&gt;&lt;/li&gt;</v>
      </c>
      <c r="X2014" s="15" t="str">
        <f>_xlfn.TEXTBEFORE(_xlfn.TEXTAFTER(CantoralDB[[#This Row],[index.html]],"&gt;"),"&gt;")&amp;"&gt;"</f>
        <v>&lt;a href="canciones/nuevas/el_señor_es_mi_pastor_(jm_monedero).html"&gt;</v>
      </c>
      <c r="Y2014"/>
      <c r="AC2014" s="1"/>
    </row>
    <row r="2015" spans="1:29" x14ac:dyDescent="0.3">
      <c r="A2015" s="1">
        <f>ROW(CantoralDB[[#This Row],[Título]])-1</f>
        <v>2014</v>
      </c>
      <c r="B2015" s="1" t="s">
        <v>489</v>
      </c>
      <c r="C2015" s="1"/>
      <c r="F2015" s="1">
        <v>250</v>
      </c>
      <c r="J2015" s="1"/>
      <c r="M2015" s="15" t="s">
        <v>2502</v>
      </c>
      <c r="O2015" s="15"/>
      <c r="P2015" s="15"/>
      <c r="Q2015" s="15" t="str" cm="1">
        <f t="array" ref="Q20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5" s="15" t="str" cm="1">
        <f t="array" ref="R20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canciones/nuevas/maranatha.html</v>
      </c>
      <c r="T2015" s="1"/>
      <c r="U2015" s="1"/>
      <c r="V2015" s="32" t="s">
        <v>4494</v>
      </c>
      <c r="W20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data-author="José María Monedero" data-nrcc="250"&gt;&lt;a href="canciones/nuevas/maranatha.html"&gt;Maranatha&lt;/a&gt;&lt;/li&gt;</v>
      </c>
      <c r="X2015" s="15" t="str">
        <f>_xlfn.TEXTBEFORE(_xlfn.TEXTAFTER(CantoralDB[[#This Row],[index.html]],"&gt;"),"&gt;")&amp;"&gt;"</f>
        <v>&lt;a href="canciones/nuevas/maranatha.html"&gt;</v>
      </c>
      <c r="Y2015"/>
      <c r="AC2015" s="1"/>
    </row>
    <row r="2016" spans="1:29" x14ac:dyDescent="0.3">
      <c r="A2016" s="1">
        <f>ROW(CantoralDB[[#This Row],[Título]])-1</f>
        <v>2015</v>
      </c>
      <c r="B2016" s="1" t="s">
        <v>2515</v>
      </c>
      <c r="C2016" s="1"/>
      <c r="F2016" s="1">
        <v>131</v>
      </c>
      <c r="J2016" s="1"/>
      <c r="M2016" s="15" t="s">
        <v>2516</v>
      </c>
      <c r="O2016" s="15"/>
      <c r="P2016" s="15"/>
      <c r="Q2016" s="15" t="str" cm="1">
        <f t="array" ref="Q20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6" s="15" t="str" cm="1">
        <f t="array" ref="R20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canciones/nuevas/despertemos.html</v>
      </c>
      <c r="T2016" s="1"/>
      <c r="U2016" s="1"/>
      <c r="V2016" s="15"/>
      <c r="W20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Alfonso Greis" data-nrcc="131"&gt;&lt;a href="canciones/nuevas/despertemos.html"&gt;Despertemos&lt;/a&gt;&lt;/li&gt;</v>
      </c>
      <c r="X2016" s="15" t="str">
        <f>_xlfn.TEXTBEFORE(_xlfn.TEXTAFTER(CantoralDB[[#This Row],[index.html]],"&gt;"),"&gt;")&amp;"&gt;"</f>
        <v>&lt;a href="canciones/nuevas/despertemos.html"&gt;</v>
      </c>
      <c r="Y2016"/>
      <c r="AC2016" s="1"/>
    </row>
    <row r="2017" spans="1:29" x14ac:dyDescent="0.3">
      <c r="A2017" s="1">
        <f>ROW(CantoralDB[[#This Row],[Título]])-1</f>
        <v>2016</v>
      </c>
      <c r="B2017" s="1" t="s">
        <v>2380</v>
      </c>
      <c r="C2017" s="1"/>
      <c r="F2017" s="1">
        <v>4</v>
      </c>
      <c r="H2017" s="1" t="s">
        <v>529</v>
      </c>
      <c r="J2017" s="1" t="s">
        <v>605</v>
      </c>
      <c r="M2017" s="15" t="s">
        <v>2381</v>
      </c>
      <c r="O2017" s="15"/>
      <c r="P2017" s="15"/>
      <c r="Q2017" s="15" t="str" cm="1">
        <f t="array" ref="Q20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7" s="15" t="str" cm="1">
        <f t="array" ref="R20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canciones/nuevas/se_fue_pero_a_nuestro_lado_esta.html</v>
      </c>
      <c r="T2017" s="1"/>
      <c r="U2017" s="1"/>
      <c r="V2017" s="32" t="s">
        <v>4513</v>
      </c>
      <c r="W20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Carlos Ayala" data-nrcc="4"&gt;&lt;a href="canciones/nuevas/se_fue_pero_a_nuestro_lado_esta.html"&gt;Se fue pero a nuestro lado está&lt;/a&gt;&lt;/li&gt;</v>
      </c>
      <c r="X2017" s="15" t="str">
        <f>_xlfn.TEXTBEFORE(_xlfn.TEXTAFTER(CantoralDB[[#This Row],[index.html]],"&gt;"),"&gt;")&amp;"&gt;"</f>
        <v>&lt;a href="canciones/nuevas/se_fue_pero_a_nuestro_lado_esta.html"&gt;</v>
      </c>
      <c r="Y2017"/>
      <c r="AC2017" s="1"/>
    </row>
    <row r="2018" spans="1:29" x14ac:dyDescent="0.3">
      <c r="A2018" s="1">
        <f>ROW(CantoralDB[[#This Row],[Título]])-1</f>
        <v>2017</v>
      </c>
      <c r="B2018" s="1" t="s">
        <v>1503</v>
      </c>
      <c r="C2018" s="1"/>
      <c r="F2018" s="1">
        <v>87</v>
      </c>
      <c r="J2018" s="1"/>
      <c r="M2018" s="15" t="s">
        <v>2466</v>
      </c>
      <c r="O2018" s="15"/>
      <c r="P2018" s="15"/>
      <c r="Q2018" s="15" t="str" cm="1">
        <f t="array" ref="Q20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8" s="15" t="str" cm="1">
        <f t="array" ref="R20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canciones/nuevas/alegrate.html</v>
      </c>
      <c r="T2018" s="1"/>
      <c r="U2018" s="1"/>
      <c r="V2018" s="15"/>
      <c r="W20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Manuel Martín" data-nrcc="87"&gt;&lt;a href="canciones/nuevas/alegrate.html"&gt;Alégrate&lt;/a&gt;&lt;/li&gt;</v>
      </c>
      <c r="X2018" s="15" t="str">
        <f>_xlfn.TEXTBEFORE(_xlfn.TEXTAFTER(CantoralDB[[#This Row],[index.html]],"&gt;"),"&gt;")&amp;"&gt;"</f>
        <v>&lt;a href="canciones/nuevas/alegrate.html"&gt;</v>
      </c>
      <c r="Y2018"/>
      <c r="AC2018" s="1"/>
    </row>
    <row r="2019" spans="1:29" x14ac:dyDescent="0.3">
      <c r="A2019" s="1">
        <f>ROW(CantoralDB[[#This Row],[Título]])-1</f>
        <v>2018</v>
      </c>
      <c r="B2019" s="1" t="s">
        <v>193</v>
      </c>
      <c r="C2019" s="1"/>
      <c r="F2019" s="1">
        <v>146</v>
      </c>
      <c r="J2019" s="1"/>
      <c r="M2019" s="15" t="s">
        <v>2529</v>
      </c>
      <c r="O2019" s="15"/>
      <c r="P2019" s="15"/>
      <c r="Q2019" s="15" t="str" cm="1">
        <f t="array" ref="Q20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19" s="15" t="str" cm="1">
        <f t="array" ref="R20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canciones/nuevas/aleluya.html</v>
      </c>
      <c r="T2019" s="1"/>
      <c r="U2019" s="1"/>
      <c r="V2019" s="15"/>
      <c r="W20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data-author="Juan Pablo Culebras" data-nrcc="146"&gt;&lt;a href="canciones/nuevas/aleluya.html"&gt;Aleluya&lt;/a&gt;&lt;/li&gt;</v>
      </c>
      <c r="X2019" s="15" t="str">
        <f>_xlfn.TEXTBEFORE(_xlfn.TEXTAFTER(CantoralDB[[#This Row],[index.html]],"&gt;"),"&gt;")&amp;"&gt;"</f>
        <v>&lt;a href="canciones/nuevas/aleluya.html"&gt;</v>
      </c>
      <c r="Y2019"/>
      <c r="AC2019" s="1"/>
    </row>
    <row r="2020" spans="1:29" x14ac:dyDescent="0.3">
      <c r="A2020" s="1">
        <f>ROW(CantoralDB[[#This Row],[Título]])-1</f>
        <v>2019</v>
      </c>
      <c r="B2020" s="1" t="s">
        <v>2760</v>
      </c>
      <c r="C2020" s="1"/>
      <c r="F2020" s="1">
        <v>386</v>
      </c>
      <c r="J2020" s="1"/>
      <c r="M2020" s="15" t="s">
        <v>2510</v>
      </c>
      <c r="O2020" s="15"/>
      <c r="P2020" s="15"/>
      <c r="Q2020" s="15" t="str" cm="1">
        <f t="array" ref="Q20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0" s="15" t="str" cm="1">
        <f t="array" ref="R20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canciones/nuevas/alabad_a_yahve.html</v>
      </c>
      <c r="T2020" s="1"/>
      <c r="U2020" s="1"/>
      <c r="V2020" s="32" t="s">
        <v>4441</v>
      </c>
      <c r="W20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data-author="Julián Huete" data-nrcc="386"&gt;&lt;a href="canciones/nuevas/alabad_a_yahve.html"&gt;Alabad a Yahvé&lt;/a&gt;&lt;/li&gt;</v>
      </c>
      <c r="X2020" s="15" t="str">
        <f>_xlfn.TEXTBEFORE(_xlfn.TEXTAFTER(CantoralDB[[#This Row],[index.html]],"&gt;"),"&gt;")&amp;"&gt;"</f>
        <v>&lt;a href="canciones/nuevas/alabad_a_yahve.html"&gt;</v>
      </c>
      <c r="Y2020"/>
      <c r="AC2020" s="1"/>
    </row>
    <row r="2021" spans="1:29" x14ac:dyDescent="0.3">
      <c r="A2021" s="1">
        <f>ROW(CantoralDB[[#This Row],[Título]])-1</f>
        <v>2020</v>
      </c>
      <c r="B2021" s="1" t="s">
        <v>2509</v>
      </c>
      <c r="C2021" s="1"/>
      <c r="F2021" s="1">
        <v>127</v>
      </c>
      <c r="J2021" s="1"/>
      <c r="M2021" s="15" t="s">
        <v>2510</v>
      </c>
      <c r="O2021" s="15"/>
      <c r="P2021" s="15"/>
      <c r="Q2021" s="15" t="str" cm="1">
        <f t="array" ref="Q20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1" s="15" t="str" cm="1">
        <f t="array" ref="R20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canciones/nuevas/señor_ten_piedad_de_mi_pecador.html</v>
      </c>
      <c r="T2021" s="1"/>
      <c r="U2021" s="1"/>
      <c r="V2021" s="32" t="s">
        <v>4448</v>
      </c>
      <c r="W20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data-author="Julián Huete" data-nrcc="127"&gt;&lt;a href="canciones/nuevas/señor_ten_piedad_de_mi_pecador.html"&gt;Señor, ten piedad de mí, pecador&lt;/a&gt;&lt;/li&gt;</v>
      </c>
      <c r="X2021" s="15" t="str">
        <f>_xlfn.TEXTBEFORE(_xlfn.TEXTAFTER(CantoralDB[[#This Row],[index.html]],"&gt;"),"&gt;")&amp;"&gt;"</f>
        <v>&lt;a href="canciones/nuevas/señor_ten_piedad_de_mi_pecador.html"&gt;</v>
      </c>
      <c r="Y2021"/>
      <c r="AC2021" s="1"/>
    </row>
    <row r="2022" spans="1:29" x14ac:dyDescent="0.3">
      <c r="A2022" s="1">
        <f>ROW(CantoralDB[[#This Row],[Título]])-1</f>
        <v>2021</v>
      </c>
      <c r="B2022" s="1" t="s">
        <v>2711</v>
      </c>
      <c r="C2022" s="1"/>
      <c r="F2022" s="1">
        <v>345</v>
      </c>
      <c r="J2022" s="1"/>
      <c r="M2022" s="15" t="s">
        <v>2712</v>
      </c>
      <c r="O2022" s="15"/>
      <c r="P2022" s="15"/>
      <c r="Q2022" s="15" t="str" cm="1">
        <f t="array" ref="Q20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2" s="15" t="str" cm="1">
        <f t="array" ref="R20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canciones/nuevas/mi_paz.html</v>
      </c>
      <c r="T2022" s="1"/>
      <c r="U2022" s="1"/>
      <c r="V2022" s="32" t="s">
        <v>4470</v>
      </c>
      <c r="W20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data-author="Keith Routledge" data-nrcc="345"&gt;&lt;a href="canciones/nuevas/mi_paz.html"&gt;Mi paz&lt;/a&gt;&lt;/li&gt;</v>
      </c>
      <c r="X2022" s="15" t="str">
        <f>_xlfn.TEXTBEFORE(_xlfn.TEXTAFTER(CantoralDB[[#This Row],[index.html]],"&gt;"),"&gt;")&amp;"&gt;"</f>
        <v>&lt;a href="canciones/nuevas/mi_paz.html"&gt;</v>
      </c>
      <c r="Y2022"/>
      <c r="AC2022" s="1"/>
    </row>
    <row r="2023" spans="1:29" x14ac:dyDescent="0.3">
      <c r="A2023" s="1">
        <f>ROW(CantoralDB[[#This Row],[Título]])-1</f>
        <v>2022</v>
      </c>
      <c r="B2023" s="1" t="s">
        <v>2385</v>
      </c>
      <c r="C2023" s="1"/>
      <c r="F2023" s="1">
        <v>10</v>
      </c>
      <c r="H2023" s="1" t="s">
        <v>529</v>
      </c>
      <c r="J2023" s="1" t="s">
        <v>605</v>
      </c>
      <c r="M2023" s="15" t="s">
        <v>3004</v>
      </c>
      <c r="O2023" s="15"/>
      <c r="P2023" s="15"/>
      <c r="Q2023" s="15" t="str" cm="1">
        <f t="array" ref="Q20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3" s="15" t="str" cm="1">
        <f t="array" ref="R20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canciones/nuevas/mejor_que_vida_es_tu_misericordia.html</v>
      </c>
      <c r="T2023" s="1"/>
      <c r="U2023" s="1"/>
      <c r="V2023" s="32" t="s">
        <v>3005</v>
      </c>
      <c r="W20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data-author="Kent Leroy" data-nrcc="10"&gt;&lt;a href="canciones/nuevas/mejor_que_vida_es_tu_misericordia.html"&gt;Mejor que vida es tu misericordia&lt;/a&gt;&lt;/li&gt;</v>
      </c>
      <c r="X2023" s="15" t="str">
        <f>_xlfn.TEXTBEFORE(_xlfn.TEXTAFTER(CantoralDB[[#This Row],[index.html]],"&gt;"),"&gt;")&amp;"&gt;"</f>
        <v>&lt;a href="canciones/nuevas/mejor_que_vida_es_tu_misericordia.html"&gt;</v>
      </c>
      <c r="Y2023"/>
      <c r="AC2023" s="1"/>
    </row>
    <row r="2024" spans="1:29" x14ac:dyDescent="0.3">
      <c r="A2024" s="1">
        <f>ROW(CantoralDB[[#This Row],[Título]])-1</f>
        <v>2023</v>
      </c>
      <c r="B2024" s="1" t="s">
        <v>4656</v>
      </c>
      <c r="C2024" s="1"/>
      <c r="H2024" s="1" t="s">
        <v>1027</v>
      </c>
      <c r="I2024" s="1" t="s">
        <v>2947</v>
      </c>
      <c r="J2024" s="1" t="s">
        <v>605</v>
      </c>
      <c r="M2024" s="15" t="s">
        <v>576</v>
      </c>
      <c r="O2024" s="15"/>
      <c r="P2024" s="15"/>
      <c r="Q2024" s="15" t="str" cm="1">
        <f t="array" ref="Q20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4" s="15" t="str" cm="1">
        <f t="array" ref="R20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canciones/nuevas/hacia_ti_morada_santa.html</v>
      </c>
      <c r="T2024" s="1"/>
      <c r="U2024" s="1"/>
      <c r="V2024" s="32" t="s">
        <v>4657</v>
      </c>
      <c r="W20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data-author="Kiko Argüello"&gt;&lt;a href="canciones/nuevas/hacia_ti_morada_santa.html"&gt;Hacia ti, morada santa&lt;/a&gt;&lt;/li&gt;</v>
      </c>
      <c r="X2024" s="15" t="str">
        <f>_xlfn.TEXTBEFORE(_xlfn.TEXTAFTER(CantoralDB[[#This Row],[index.html]],"&gt;"),"&gt;")&amp;"&gt;"</f>
        <v>&lt;a href="canciones/nuevas/hacia_ti_morada_santa.html"&gt;</v>
      </c>
      <c r="Y2024"/>
      <c r="AC2024" s="1"/>
    </row>
    <row r="2025" spans="1:29" x14ac:dyDescent="0.3">
      <c r="A2025" s="1">
        <f>ROW(CantoralDB[[#This Row],[Título]])-1</f>
        <v>2024</v>
      </c>
      <c r="B2025" s="1" t="s">
        <v>2504</v>
      </c>
      <c r="C2025" s="1"/>
      <c r="F2025" s="1">
        <v>123</v>
      </c>
      <c r="J2025" s="1"/>
      <c r="M2025" s="15" t="s">
        <v>2503</v>
      </c>
      <c r="O2025" s="15"/>
      <c r="P2025" s="15"/>
      <c r="Q2025" s="15" t="str" cm="1">
        <f t="array" ref="Q20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5" s="15" t="str" cm="1">
        <f t="array" ref="R20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canciones/nuevas/te_amo_rey.html</v>
      </c>
      <c r="T2025" s="1"/>
      <c r="U2025" s="1"/>
      <c r="V2025" s="15"/>
      <c r="W20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data-author="Laurie Klein" data-nrcc="123"&gt;&lt;a href="canciones/nuevas/te_amo_rey.html"&gt;Te amo, Rey&lt;/a&gt;&lt;/li&gt;</v>
      </c>
      <c r="X2025" s="15" t="str">
        <f>_xlfn.TEXTBEFORE(_xlfn.TEXTAFTER(CantoralDB[[#This Row],[index.html]],"&gt;"),"&gt;")&amp;"&gt;"</f>
        <v>&lt;a href="canciones/nuevas/te_amo_rey.html"&gt;</v>
      </c>
      <c r="Y2025"/>
      <c r="AC2025" s="1"/>
    </row>
    <row r="2026" spans="1:29" x14ac:dyDescent="0.3">
      <c r="A2026" s="1">
        <f>ROW(CantoralDB[[#This Row],[Título]])-1</f>
        <v>2025</v>
      </c>
      <c r="B2026" s="1" t="s">
        <v>2411</v>
      </c>
      <c r="C2026" s="1"/>
      <c r="F2026" s="1">
        <v>38</v>
      </c>
      <c r="J2026" s="1"/>
      <c r="M2026" s="15" t="s">
        <v>2412</v>
      </c>
      <c r="O2026" s="15"/>
      <c r="P2026" s="15"/>
      <c r="Q2026" s="15" t="str" cm="1">
        <f t="array" ref="Q20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6" s="15" t="str" cm="1">
        <f t="array" ref="R20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canciones/nuevas/hemos_venido_a_este_lugar.html</v>
      </c>
      <c r="T2026" s="1"/>
      <c r="U2026" s="1"/>
      <c r="V2026" s="32" t="s">
        <v>4478</v>
      </c>
      <c r="W20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data-author="Leona von Brethorst" data-nrcc="38"&gt;&lt;a href="canciones/nuevas/hemos_venido_a_este_lugar.html"&gt;Hemos venido a este lugar&lt;/a&gt;&lt;/li&gt;</v>
      </c>
      <c r="X2026" s="15" t="str">
        <f>_xlfn.TEXTBEFORE(_xlfn.TEXTAFTER(CantoralDB[[#This Row],[index.html]],"&gt;"),"&gt;")&amp;"&gt;"</f>
        <v>&lt;a href="canciones/nuevas/hemos_venido_a_este_lugar.html"&gt;</v>
      </c>
      <c r="Y2026"/>
      <c r="AC2026" s="1"/>
    </row>
    <row r="2027" spans="1:29" x14ac:dyDescent="0.3">
      <c r="A2027" s="1">
        <f>ROW(CantoralDB[[#This Row],[Título]])-1</f>
        <v>2026</v>
      </c>
      <c r="B2027" s="1" t="s">
        <v>1028</v>
      </c>
      <c r="C2027" s="1"/>
      <c r="H2027" s="1" t="s">
        <v>1027</v>
      </c>
      <c r="J2027" s="1" t="s">
        <v>605</v>
      </c>
      <c r="M2027" s="15" t="s">
        <v>2137</v>
      </c>
      <c r="O2027" s="15"/>
      <c r="P2027" s="15"/>
      <c r="Q2027" s="15" t="str" cm="1">
        <f t="array" ref="Q20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7" s="15" t="str" cm="1">
        <f t="array" ref="R20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canciones/nuevas/aleluya_(cohen).html</v>
      </c>
      <c r="T2027" s="1"/>
      <c r="U2027" s="1"/>
      <c r="V2027" s="15"/>
      <c r="W20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data-author="Leonard Cohen"&gt;&lt;a href="canciones/nuevas/aleluya_(cohen).html"&gt;Aleluya (Cohen)&lt;/a&gt;&lt;/li&gt;</v>
      </c>
      <c r="X2027" s="15" t="str">
        <f>_xlfn.TEXTBEFORE(_xlfn.TEXTAFTER(CantoralDB[[#This Row],[index.html]],"&gt;"),"&gt;")&amp;"&gt;"</f>
        <v>&lt;a href="canciones/nuevas/aleluya_(cohen).html"&gt;</v>
      </c>
      <c r="Y2027"/>
      <c r="AC2027" s="1"/>
    </row>
    <row r="2028" spans="1:29" x14ac:dyDescent="0.3">
      <c r="A2028" s="1">
        <f>ROW(CantoralDB[[#This Row],[Título]])-1</f>
        <v>2027</v>
      </c>
      <c r="B2028" s="1" t="s">
        <v>2705</v>
      </c>
      <c r="C2028" s="1"/>
      <c r="F2028" s="1">
        <v>340</v>
      </c>
      <c r="J2028" s="1"/>
      <c r="M2028" s="15" t="s">
        <v>2706</v>
      </c>
      <c r="O2028" s="15"/>
      <c r="P2028" s="15"/>
      <c r="Q2028" s="15" t="str" cm="1">
        <f t="array" ref="Q20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8" s="15" t="str" cm="1">
        <f t="array" ref="R20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canciones/nuevas/nuestro_dios_reina.html</v>
      </c>
      <c r="T2028" s="1"/>
      <c r="U2028" s="1"/>
      <c r="V2028" s="15"/>
      <c r="W20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data-author="Leonard Smith" data-nrcc="340"&gt;&lt;a href="canciones/nuevas/nuestro_dios_reina.html"&gt;Nuestro Dios reina&lt;/a&gt;&lt;/li&gt;</v>
      </c>
      <c r="X2028" s="15" t="str">
        <f>_xlfn.TEXTBEFORE(_xlfn.TEXTAFTER(CantoralDB[[#This Row],[index.html]],"&gt;"),"&gt;")&amp;"&gt;"</f>
        <v>&lt;a href="canciones/nuevas/nuestro_dios_reina.html"&gt;</v>
      </c>
      <c r="Y2028"/>
      <c r="AC2028" s="1"/>
    </row>
    <row r="2029" spans="1:29" x14ac:dyDescent="0.3">
      <c r="A2029" s="1">
        <f>ROW(CantoralDB[[#This Row],[Título]])-1</f>
        <v>2028</v>
      </c>
      <c r="B2029" s="1" t="s">
        <v>2460</v>
      </c>
      <c r="C2029" s="1"/>
      <c r="F2029" s="1">
        <v>82</v>
      </c>
      <c r="J2029" s="1"/>
      <c r="M2029" s="15" t="s">
        <v>2461</v>
      </c>
      <c r="O2029" s="15"/>
      <c r="P2029" s="15"/>
      <c r="Q2029" s="15" t="str" cm="1">
        <f t="array" ref="Q20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29" s="15" t="str" cm="1">
        <f t="array" ref="R20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canciones/nuevas/hay_poder.html</v>
      </c>
      <c r="T2029" s="1"/>
      <c r="U2029" s="1"/>
      <c r="V2029" s="15"/>
      <c r="W20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data-author="Lewis Jones" data-nrcc="82"&gt;&lt;a href="canciones/nuevas/hay_poder.html"&gt;Hay poder&lt;/a&gt;&lt;/li&gt;</v>
      </c>
      <c r="X2029" s="15" t="str">
        <f>_xlfn.TEXTBEFORE(_xlfn.TEXTAFTER(CantoralDB[[#This Row],[index.html]],"&gt;"),"&gt;")&amp;"&gt;"</f>
        <v>&lt;a href="canciones/nuevas/hay_poder.html"&gt;</v>
      </c>
      <c r="Y2029"/>
      <c r="AC2029" s="1"/>
    </row>
    <row r="2030" spans="1:29" x14ac:dyDescent="0.3">
      <c r="A2030" s="1">
        <f>ROW(CantoralDB[[#This Row],[Título]])-1</f>
        <v>2029</v>
      </c>
      <c r="B2030" s="1" t="s">
        <v>2154</v>
      </c>
      <c r="C2030" s="15"/>
      <c r="H2030" s="1" t="s">
        <v>529</v>
      </c>
      <c r="J2030" s="1" t="s">
        <v>605</v>
      </c>
      <c r="M2030" s="15" t="s">
        <v>2170</v>
      </c>
      <c r="O2030" s="15"/>
      <c r="P2030" s="15"/>
      <c r="Q2030" s="15" t="str" cm="1">
        <f t="array" ref="Q20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0" s="15" t="str" cm="1">
        <f t="array" ref="R20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canciones/nuevas/entra_en_el_corazon_de_dios.html</v>
      </c>
      <c r="T2030" s="1"/>
      <c r="U2030" s="1"/>
      <c r="V2030" s="32" t="s">
        <v>2990</v>
      </c>
      <c r="W20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data-author="Lili Zaidín"&gt;&lt;a href="canciones/nuevas/entra_en_el_corazon_de_dios.html"&gt;Entra en el corazón de Dios&lt;/a&gt;&lt;/li&gt;</v>
      </c>
      <c r="X2030" s="15" t="str">
        <f>_xlfn.TEXTBEFORE(_xlfn.TEXTAFTER(CantoralDB[[#This Row],[index.html]],"&gt;"),"&gt;")&amp;"&gt;"</f>
        <v>&lt;a href="canciones/nuevas/entra_en_el_corazon_de_dios.html"&gt;</v>
      </c>
      <c r="Y2030"/>
      <c r="AC2030" s="1"/>
    </row>
    <row r="2031" spans="1:29" x14ac:dyDescent="0.3">
      <c r="A2031" s="1">
        <f>ROW(CantoralDB[[#This Row],[Título]])-1</f>
        <v>2030</v>
      </c>
      <c r="B2031" s="1" t="s">
        <v>2546</v>
      </c>
      <c r="C2031" s="1"/>
      <c r="F2031" s="1">
        <v>324</v>
      </c>
      <c r="J2031" s="1"/>
      <c r="M2031" s="15" t="s">
        <v>2692</v>
      </c>
      <c r="O2031" s="15"/>
      <c r="P2031" s="15"/>
      <c r="Q2031" s="15" t="str" cm="1">
        <f t="array" ref="Q20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1" s="15" t="str" cm="1">
        <f t="array" ref="R20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canciones/nuevas/vamos_con_gozo.html</v>
      </c>
      <c r="T2031" s="1"/>
      <c r="U2031" s="1"/>
      <c r="V2031" s="15"/>
      <c r="W20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data-author="Lola Tomillo" data-nrcc="324"&gt;&lt;a href="canciones/nuevas/vamos_con_gozo.html"&gt;Vamos con gozo&lt;/a&gt;&lt;/li&gt;</v>
      </c>
      <c r="X2031" s="15" t="str">
        <f>_xlfn.TEXTBEFORE(_xlfn.TEXTAFTER(CantoralDB[[#This Row],[index.html]],"&gt;"),"&gt;")&amp;"&gt;"</f>
        <v>&lt;a href="canciones/nuevas/vamos_con_gozo.html"&gt;</v>
      </c>
      <c r="Y2031"/>
      <c r="AC2031" s="1"/>
    </row>
    <row r="2032" spans="1:29" x14ac:dyDescent="0.3">
      <c r="A2032" s="1">
        <f>ROW(CantoralDB[[#This Row],[Título]])-1</f>
        <v>2031</v>
      </c>
      <c r="B2032" s="1" t="s">
        <v>2783</v>
      </c>
      <c r="C2032" s="1"/>
      <c r="F2032" s="1">
        <v>405</v>
      </c>
      <c r="J2032" s="1"/>
      <c r="M2032" s="15" t="s">
        <v>2784</v>
      </c>
      <c r="O2032" s="15"/>
      <c r="P2032" s="15"/>
      <c r="Q2032" s="15" t="str" cm="1">
        <f t="array" ref="Q20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2" s="15" t="str" cm="1">
        <f t="array" ref="R20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canciones/nuevas/aclamad_al_señor.html</v>
      </c>
      <c r="T2032" s="1"/>
      <c r="U2032" s="1"/>
      <c r="V2032" s="32" t="s">
        <v>4587</v>
      </c>
      <c r="W20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data-author="Lori Black Mathis" data-nrcc="405"&gt;&lt;a href="canciones/nuevas/aclamad_al_señor.html"&gt;Aclamad al Señor&lt;/a&gt;&lt;/li&gt;</v>
      </c>
      <c r="X2032" s="15" t="str">
        <f>_xlfn.TEXTBEFORE(_xlfn.TEXTAFTER(CantoralDB[[#This Row],[index.html]],"&gt;"),"&gt;")&amp;"&gt;"</f>
        <v>&lt;a href="canciones/nuevas/aclamad_al_señor.html"&gt;</v>
      </c>
      <c r="Y2032"/>
      <c r="AC2032" s="1"/>
    </row>
    <row r="2033" spans="1:29" x14ac:dyDescent="0.3">
      <c r="A2033" s="1">
        <f>ROW(CantoralDB[[#This Row],[Título]])-1</f>
        <v>2032</v>
      </c>
      <c r="B2033" s="1" t="s">
        <v>2428</v>
      </c>
      <c r="C2033" s="1"/>
      <c r="F2033" s="1">
        <v>51</v>
      </c>
      <c r="J2033" s="1"/>
      <c r="M2033" s="15" t="s">
        <v>2427</v>
      </c>
      <c r="O2033" s="15"/>
      <c r="P2033" s="15"/>
      <c r="Q2033" s="15" t="str" cm="1">
        <f t="array" ref="Q20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3" s="15" t="str" cm="1">
        <f t="array" ref="R20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canciones/nuevas/mi_alma_esta_sedienta.html</v>
      </c>
      <c r="T2033" s="1"/>
      <c r="U2033" s="1"/>
      <c r="V2033" s="15"/>
      <c r="W20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data-author="Lourdes Fonteriz" data-nrcc="51"&gt;&lt;a href="canciones/nuevas/mi_alma_esta_sedienta.html"&gt;Mi alma está sedienta&lt;/a&gt;&lt;/li&gt;</v>
      </c>
      <c r="X2033" s="15" t="str">
        <f>_xlfn.TEXTBEFORE(_xlfn.TEXTAFTER(CantoralDB[[#This Row],[index.html]],"&gt;"),"&gt;")&amp;"&gt;"</f>
        <v>&lt;a href="canciones/nuevas/mi_alma_esta_sedienta.html"&gt;</v>
      </c>
      <c r="Y2033"/>
      <c r="AC2033" s="1"/>
    </row>
    <row r="2034" spans="1:29" x14ac:dyDescent="0.3">
      <c r="A2034" s="1">
        <f>ROW(CantoralDB[[#This Row],[Título]])-1</f>
        <v>2033</v>
      </c>
      <c r="B2034" s="1" t="s">
        <v>2479</v>
      </c>
      <c r="C2034" s="1"/>
      <c r="F2034" s="1">
        <v>100</v>
      </c>
      <c r="J2034" s="1"/>
      <c r="M2034" s="15" t="s">
        <v>2481</v>
      </c>
      <c r="O2034" s="15"/>
      <c r="P2034" s="15"/>
      <c r="Q2034" s="15" t="str" cm="1">
        <f t="array" ref="Q20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4" s="15" t="str" cm="1">
        <f t="array" ref="R20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canciones/nuevas/alguien_cerca_esta_de_mi.html</v>
      </c>
      <c r="T2034" s="1"/>
      <c r="U2034" s="1"/>
      <c r="V2034" s="15"/>
      <c r="W20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data-author="Lucas Casaert" data-nrcc="100"&gt;&lt;a href="canciones/nuevas/alguien_cerca_esta_de_mi.html"&gt;Alguien cerca está de mí&lt;/a&gt;&lt;/li&gt;</v>
      </c>
      <c r="X2034" s="15" t="str">
        <f>_xlfn.TEXTBEFORE(_xlfn.TEXTAFTER(CantoralDB[[#This Row],[index.html]],"&gt;"),"&gt;")&amp;"&gt;"</f>
        <v>&lt;a href="canciones/nuevas/alguien_cerca_esta_de_mi.html"&gt;</v>
      </c>
      <c r="Y2034"/>
      <c r="AC2034" s="1"/>
    </row>
    <row r="2035" spans="1:29" x14ac:dyDescent="0.3">
      <c r="A2035" s="1">
        <f>ROW(CantoralDB[[#This Row],[Título]])-1</f>
        <v>2034</v>
      </c>
      <c r="B2035" s="1" t="s">
        <v>2531</v>
      </c>
      <c r="C2035" s="1"/>
      <c r="F2035" s="1">
        <v>148</v>
      </c>
      <c r="J2035" s="1"/>
      <c r="M2035" s="15" t="s">
        <v>2481</v>
      </c>
      <c r="O2035" s="15"/>
      <c r="P2035" s="15"/>
      <c r="Q2035" s="15" t="str" cm="1">
        <f t="array" ref="Q20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5" s="15" t="str" cm="1">
        <f t="array" ref="R20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canciones/nuevas/dios_precisa_de_ti.html</v>
      </c>
      <c r="T2035" s="1"/>
      <c r="U2035" s="1"/>
      <c r="V2035" s="32" t="s">
        <v>4542</v>
      </c>
      <c r="W20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data-author="Lucas Casaert" data-nrcc="148"&gt;&lt;a href="canciones/nuevas/dios_precisa_de_ti.html"&gt;Dios precisa de ti&lt;/a&gt;&lt;/li&gt;</v>
      </c>
      <c r="X2035" s="15" t="str">
        <f>_xlfn.TEXTBEFORE(_xlfn.TEXTAFTER(CantoralDB[[#This Row],[index.html]],"&gt;"),"&gt;")&amp;"&gt;"</f>
        <v>&lt;a href="canciones/nuevas/dios_precisa_de_ti.html"&gt;</v>
      </c>
      <c r="Y2035"/>
      <c r="AC2035" s="1"/>
    </row>
    <row r="2036" spans="1:29" x14ac:dyDescent="0.3">
      <c r="A2036" s="1">
        <f>ROW(CantoralDB[[#This Row],[Título]])-1</f>
        <v>2035</v>
      </c>
      <c r="B2036" s="1" t="s">
        <v>2689</v>
      </c>
      <c r="C2036" s="1"/>
      <c r="F2036" s="1">
        <v>322</v>
      </c>
      <c r="J2036" s="1"/>
      <c r="M2036" s="15" t="s">
        <v>2481</v>
      </c>
      <c r="O2036" s="15"/>
      <c r="P2036" s="15"/>
      <c r="Q2036" s="15" t="str" cm="1">
        <f t="array" ref="Q20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6" s="15" t="str" cm="1">
        <f t="array" ref="R20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canciones/nuevas/hay_una_promesa.html</v>
      </c>
      <c r="T2036" s="1"/>
      <c r="U2036" s="1"/>
      <c r="V2036" s="32" t="s">
        <v>4569</v>
      </c>
      <c r="W20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data-author="Lucas Casaert" data-nrcc="322"&gt;&lt;a href="canciones/nuevas/hay_una_promesa.html"&gt;Hay una promesa&lt;/a&gt;&lt;/li&gt;</v>
      </c>
      <c r="X2036" s="15" t="str">
        <f>_xlfn.TEXTBEFORE(_xlfn.TEXTAFTER(CantoralDB[[#This Row],[index.html]],"&gt;"),"&gt;")&amp;"&gt;"</f>
        <v>&lt;a href="canciones/nuevas/hay_una_promesa.html"&gt;</v>
      </c>
      <c r="Y2036"/>
      <c r="AC2036" s="1"/>
    </row>
    <row r="2037" spans="1:29" x14ac:dyDescent="0.3">
      <c r="A2037" s="1">
        <f>ROW(CantoralDB[[#This Row],[Título]])-1</f>
        <v>2036</v>
      </c>
      <c r="B2037" s="1" t="s">
        <v>2621</v>
      </c>
      <c r="C2037" s="1"/>
      <c r="F2037" s="1">
        <v>247</v>
      </c>
      <c r="J2037" s="1"/>
      <c r="M2037" s="15" t="s">
        <v>2481</v>
      </c>
      <c r="O2037" s="15"/>
      <c r="P2037" s="15"/>
      <c r="Q2037" s="15" t="str" cm="1">
        <f t="array" ref="Q20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7" s="15" t="str" cm="1">
        <f t="array" ref="R20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canciones/nuevas/vive_jesus.html</v>
      </c>
      <c r="T2037" s="1"/>
      <c r="U2037" s="1"/>
      <c r="V2037" s="32" t="s">
        <v>4493</v>
      </c>
      <c r="W20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data-author="Lucas Casaert" data-nrcc="247"&gt;&lt;a href="canciones/nuevas/vive_jesus.html"&gt;Vive Jesús&lt;/a&gt;&lt;/li&gt;</v>
      </c>
      <c r="X2037" s="15" t="str">
        <f>_xlfn.TEXTBEFORE(_xlfn.TEXTAFTER(CantoralDB[[#This Row],[index.html]],"&gt;"),"&gt;")&amp;"&gt;"</f>
        <v>&lt;a href="canciones/nuevas/vive_jesus.html"&gt;</v>
      </c>
      <c r="Y2037"/>
      <c r="AC2037" s="1"/>
    </row>
    <row r="2038" spans="1:29" x14ac:dyDescent="0.3">
      <c r="A2038" s="1">
        <f>ROW(CantoralDB[[#This Row],[Título]])-1</f>
        <v>2037</v>
      </c>
      <c r="B2038" s="1" t="s">
        <v>2557</v>
      </c>
      <c r="C2038" s="1"/>
      <c r="F2038" s="1">
        <v>170</v>
      </c>
      <c r="J2038" s="1"/>
      <c r="M2038" s="15" t="s">
        <v>2556</v>
      </c>
      <c r="O2038" s="15"/>
      <c r="P2038" s="15"/>
      <c r="Q2038" s="15" t="str" cm="1">
        <f t="array" ref="Q20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8" s="15" t="str" cm="1">
        <f t="array" ref="R20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canciones/nuevas/evangelio.html</v>
      </c>
      <c r="T2038" s="1"/>
      <c r="U2038" s="1"/>
      <c r="V2038" s="32" t="s">
        <v>4512</v>
      </c>
      <c r="W20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data-author="Lucía Asturias" data-nrcc="170"&gt;&lt;a href="canciones/nuevas/evangelio.html"&gt;Evangelio&lt;/a&gt;&lt;/li&gt;</v>
      </c>
      <c r="X2038" s="15" t="str">
        <f>_xlfn.TEXTBEFORE(_xlfn.TEXTAFTER(CantoralDB[[#This Row],[index.html]],"&gt;"),"&gt;")&amp;"&gt;"</f>
        <v>&lt;a href="canciones/nuevas/evangelio.html"&gt;</v>
      </c>
      <c r="Y2038"/>
      <c r="AC2038" s="1"/>
    </row>
    <row r="2039" spans="1:29" x14ac:dyDescent="0.3">
      <c r="A2039" s="1">
        <f>ROW(CantoralDB[[#This Row],[Título]])-1</f>
        <v>2038</v>
      </c>
      <c r="B2039" s="1" t="s">
        <v>192</v>
      </c>
      <c r="C2039" s="1"/>
      <c r="F2039" s="1">
        <v>333</v>
      </c>
      <c r="J2039" s="1"/>
      <c r="M2039" s="15" t="s">
        <v>2699</v>
      </c>
      <c r="O2039" s="15"/>
      <c r="P2039" s="15"/>
      <c r="Q2039" s="15" t="str" cm="1">
        <f t="array" ref="Q20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39" s="15" t="str" cm="1">
        <f t="array" ref="R20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canciones/nuevas/gloria.html</v>
      </c>
      <c r="T2039" s="1"/>
      <c r="U2039" s="1"/>
      <c r="V2039" s="32" t="s">
        <v>4450</v>
      </c>
      <c r="W20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Alberto González" data-nrcc="333"&gt;&lt;a href="canciones/nuevas/gloria.html"&gt;Gloria&lt;/a&gt;&lt;/li&gt;</v>
      </c>
      <c r="X2039" s="15" t="str">
        <f>_xlfn.TEXTBEFORE(_xlfn.TEXTAFTER(CantoralDB[[#This Row],[index.html]],"&gt;"),"&gt;")&amp;"&gt;"</f>
        <v>&lt;a href="canciones/nuevas/gloria.html"&gt;</v>
      </c>
      <c r="Y2039"/>
      <c r="AC2039" s="1"/>
    </row>
    <row r="2040" spans="1:29" x14ac:dyDescent="0.3">
      <c r="A2040" s="1">
        <f>ROW(CantoralDB[[#This Row],[Título]])-1</f>
        <v>2039</v>
      </c>
      <c r="B2040" s="1" t="s">
        <v>2781</v>
      </c>
      <c r="C2040" s="1"/>
      <c r="F2040" s="1">
        <v>404</v>
      </c>
      <c r="J2040" s="1"/>
      <c r="M2040" s="15" t="s">
        <v>2782</v>
      </c>
      <c r="O2040" s="15"/>
      <c r="P2040" s="15"/>
      <c r="Q2040" s="15" t="str" cm="1">
        <f t="array" ref="Q20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0" s="15" t="str" cm="1">
        <f t="array" ref="R20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canciones/nuevas/ahora_mas_que_nunca.html</v>
      </c>
      <c r="T2040" s="1"/>
      <c r="U2040" s="1"/>
      <c r="V2040" s="32" t="s">
        <v>4572</v>
      </c>
      <c r="W20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 Enrique Ascoy" data-nrcc="404"&gt;&lt;a href="canciones/nuevas/ahora_mas_que_nunca.html"&gt;Ahora más que nunca&lt;/a&gt;&lt;/li&gt;</v>
      </c>
      <c r="X2040" s="15" t="str">
        <f>_xlfn.TEXTBEFORE(_xlfn.TEXTAFTER(CantoralDB[[#This Row],[index.html]],"&gt;"),"&gt;")&amp;"&gt;"</f>
        <v>&lt;a href="canciones/nuevas/ahora_mas_que_nunca.html"&gt;</v>
      </c>
      <c r="Y2040"/>
      <c r="AC2040" s="1"/>
    </row>
    <row r="2041" spans="1:29" x14ac:dyDescent="0.3">
      <c r="A2041" s="1">
        <f>ROW(CantoralDB[[#This Row],[Título]])-1</f>
        <v>2040</v>
      </c>
      <c r="B2041" s="1" t="s">
        <v>2151</v>
      </c>
      <c r="C2041" s="15"/>
      <c r="H2041" s="1" t="s">
        <v>529</v>
      </c>
      <c r="J2041" s="1" t="s">
        <v>605</v>
      </c>
      <c r="M2041" s="15" t="s">
        <v>2944</v>
      </c>
      <c r="O2041" s="15"/>
      <c r="P2041" s="15"/>
      <c r="Q2041" s="15" t="str" cm="1">
        <f t="array" ref="Q20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1" s="15" t="str" cm="1">
        <f t="array" ref="R20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canciones/nuevas/dijiste_si.html</v>
      </c>
      <c r="T2041" s="1"/>
      <c r="U2041" s="1"/>
      <c r="V2041" s="32" t="s">
        <v>5482</v>
      </c>
      <c r="W20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data-author="Luispo"&gt;&lt;a href="canciones/nuevas/dijiste_si.html"&gt;Dijiste sí&lt;/a&gt;&lt;/li&gt;</v>
      </c>
      <c r="X2041" s="15" t="str">
        <f>_xlfn.TEXTBEFORE(_xlfn.TEXTAFTER(CantoralDB[[#This Row],[index.html]],"&gt;"),"&gt;")&amp;"&gt;"</f>
        <v>&lt;a href="canciones/nuevas/dijiste_si.html"&gt;</v>
      </c>
      <c r="Y2041"/>
      <c r="AC2041" s="1"/>
    </row>
    <row r="2042" spans="1:29" x14ac:dyDescent="0.3">
      <c r="A2042" s="1">
        <f>ROW(CantoralDB[[#This Row],[Título]])-1</f>
        <v>2041</v>
      </c>
      <c r="B2042" s="1" t="s">
        <v>2998</v>
      </c>
      <c r="C2042" s="1"/>
      <c r="J2042" s="1" t="s">
        <v>605</v>
      </c>
      <c r="M2042" s="15" t="s">
        <v>2944</v>
      </c>
      <c r="O2042" s="15"/>
      <c r="P2042" s="15"/>
      <c r="Q2042" s="15" t="str" cm="1">
        <f t="array" ref="Q20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2" s="15" t="str" cm="1">
        <f t="array" ref="R20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canciones/nuevas/petrus_(in_illo_uno_unum).html</v>
      </c>
      <c r="T2042" s="1"/>
      <c r="U2042" s="1"/>
      <c r="V2042" s="32" t="s">
        <v>5483</v>
      </c>
      <c r="W20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data-author="Luispo"&gt;&lt;a href="canciones/nuevas/petrus_(in_illo_uno_unum).html"&gt;Petrus (In illo uno unum)&lt;/a&gt;&lt;/li&gt;</v>
      </c>
      <c r="X2042" s="15" t="str">
        <f>_xlfn.TEXTBEFORE(_xlfn.TEXTAFTER(CantoralDB[[#This Row],[index.html]],"&gt;"),"&gt;")&amp;"&gt;"</f>
        <v>&lt;a href="canciones/nuevas/petrus_(in_illo_uno_unum).html"&gt;</v>
      </c>
      <c r="Y2042"/>
      <c r="AC2042" s="1"/>
    </row>
    <row r="2043" spans="1:29" x14ac:dyDescent="0.3">
      <c r="A2043" s="1">
        <f>ROW(CantoralDB[[#This Row],[Título]])-1</f>
        <v>2042</v>
      </c>
      <c r="B2043" s="1" t="s">
        <v>2943</v>
      </c>
      <c r="C2043" s="1"/>
      <c r="H2043" s="1" t="s">
        <v>1027</v>
      </c>
      <c r="J2043" s="1" t="s">
        <v>605</v>
      </c>
      <c r="M2043" s="15" t="s">
        <v>2944</v>
      </c>
      <c r="O2043" s="15"/>
      <c r="P2043" s="15"/>
      <c r="Q2043" s="15" t="str" cm="1">
        <f t="array" ref="Q20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3" s="15" t="str" cm="1">
        <f t="array" ref="R20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canciones/nuevas/ungidos.html</v>
      </c>
      <c r="T2043" s="1"/>
      <c r="U2043" s="1"/>
      <c r="V2043" s="32" t="s">
        <v>5484</v>
      </c>
      <c r="W20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data-author="Luispo"&gt;&lt;a href="canciones/nuevas/ungidos.html"&gt;Ungidos&lt;/a&gt;&lt;/li&gt;</v>
      </c>
      <c r="X2043" s="15" t="str">
        <f>_xlfn.TEXTBEFORE(_xlfn.TEXTAFTER(CantoralDB[[#This Row],[index.html]],"&gt;"),"&gt;")&amp;"&gt;"</f>
        <v>&lt;a href="canciones/nuevas/ungidos.html"&gt;</v>
      </c>
      <c r="Y2043"/>
      <c r="AC2043" s="1"/>
    </row>
    <row r="2044" spans="1:29" x14ac:dyDescent="0.3">
      <c r="A2044" s="1">
        <f>ROW(CantoralDB[[#This Row],[Título]])-1</f>
        <v>2043</v>
      </c>
      <c r="B2044" s="1" t="s">
        <v>2764</v>
      </c>
      <c r="C2044" s="1"/>
      <c r="F2044" s="1">
        <v>389</v>
      </c>
      <c r="J2044" s="1"/>
      <c r="M2044" s="15" t="s">
        <v>2765</v>
      </c>
      <c r="O2044" s="15"/>
      <c r="P2044" s="15"/>
      <c r="Q2044" s="15" t="str" cm="1">
        <f t="array" ref="Q20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4" s="15" t="str" cm="1">
        <f t="array" ref="R20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canciones/nuevas/entra_en_la_presencia.html</v>
      </c>
      <c r="T2044" s="1"/>
      <c r="U2044" s="1"/>
      <c r="V2044" s="32" t="s">
        <v>4488</v>
      </c>
      <c r="W20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data-author="Lynn Baird" data-nrcc="389"&gt;&lt;a href="canciones/nuevas/entra_en_la_presencia.html"&gt;Entra en la presencia&lt;/a&gt;&lt;/li&gt;</v>
      </c>
      <c r="X2044" s="15" t="str">
        <f>_xlfn.TEXTBEFORE(_xlfn.TEXTAFTER(CantoralDB[[#This Row],[index.html]],"&gt;"),"&gt;")&amp;"&gt;"</f>
        <v>&lt;a href="canciones/nuevas/entra_en_la_presencia.html"&gt;</v>
      </c>
      <c r="Y2044"/>
      <c r="AC2044" s="1"/>
    </row>
    <row r="2045" spans="1:29" x14ac:dyDescent="0.3">
      <c r="A2045" s="1">
        <f>ROW(CantoralDB[[#This Row],[Título]])-1</f>
        <v>2044</v>
      </c>
      <c r="B2045" s="1" t="s">
        <v>201</v>
      </c>
      <c r="C2045" s="1"/>
      <c r="F2045" s="1">
        <v>129</v>
      </c>
      <c r="J2045" s="1"/>
      <c r="M2045" s="15" t="s">
        <v>2482</v>
      </c>
      <c r="O2045" s="15"/>
      <c r="P2045" s="15"/>
      <c r="Q2045" s="15" t="str" cm="1">
        <f t="array" ref="Q20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5" s="15" t="str" cm="1">
        <f t="array" ref="R20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canciones/nuevas/cordero_de_dios.html</v>
      </c>
      <c r="T2045" s="1"/>
      <c r="U2045" s="1"/>
      <c r="V2045" s="32" t="s">
        <v>4485</v>
      </c>
      <c r="W20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data-author="Manuel Rosa" data-nrcc="129"&gt;&lt;a href="canciones/nuevas/cordero_de_dios.html"&gt;Cordero de Dios&lt;/a&gt;&lt;/li&gt;</v>
      </c>
      <c r="X2045" s="15" t="str">
        <f>_xlfn.TEXTBEFORE(_xlfn.TEXTAFTER(CantoralDB[[#This Row],[index.html]],"&gt;"),"&gt;")&amp;"&gt;"</f>
        <v>&lt;a href="canciones/nuevas/cordero_de_dios.html"&gt;</v>
      </c>
      <c r="Y2045"/>
      <c r="AC2045" s="1"/>
    </row>
    <row r="2046" spans="1:29" x14ac:dyDescent="0.3">
      <c r="A2046" s="1">
        <f>ROW(CantoralDB[[#This Row],[Título]])-1</f>
        <v>2045</v>
      </c>
      <c r="B2046" s="1" t="s">
        <v>133</v>
      </c>
      <c r="C2046" s="1"/>
      <c r="F2046" s="1">
        <v>103</v>
      </c>
      <c r="J2046" s="1"/>
      <c r="M2046" s="15" t="s">
        <v>2482</v>
      </c>
      <c r="O2046" s="15"/>
      <c r="P2046" s="15"/>
      <c r="Q2046" s="15" t="str" cm="1">
        <f t="array" ref="Q20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6" s="15" t="str" cm="1">
        <f t="array" ref="R20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canciones/nuevas/señor_ten_piedad.html</v>
      </c>
      <c r="T2046" s="1"/>
      <c r="U2046" s="1"/>
      <c r="V2046" s="32" t="s">
        <v>4561</v>
      </c>
      <c r="W20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data-author="Manuel Rosa" data-nrcc="103"&gt;&lt;a href="canciones/nuevas/señor_ten_piedad.html"&gt;Señor, ten piedad&lt;/a&gt;&lt;/li&gt;</v>
      </c>
      <c r="X2046" s="15" t="str">
        <f>_xlfn.TEXTBEFORE(_xlfn.TEXTAFTER(CantoralDB[[#This Row],[index.html]],"&gt;"),"&gt;")&amp;"&gt;"</f>
        <v>&lt;a href="canciones/nuevas/señor_ten_piedad.html"&gt;</v>
      </c>
      <c r="Y2046"/>
      <c r="AC2046" s="1"/>
    </row>
    <row r="2047" spans="1:29" x14ac:dyDescent="0.3">
      <c r="A2047" s="1">
        <f>ROW(CantoralDB[[#This Row],[Título]])-1</f>
        <v>2046</v>
      </c>
      <c r="B2047" s="1" t="s">
        <v>1503</v>
      </c>
      <c r="C2047" s="1"/>
      <c r="F2047" s="1">
        <v>9</v>
      </c>
      <c r="H2047" s="1" t="s">
        <v>1026</v>
      </c>
      <c r="J2047" s="1" t="s">
        <v>605</v>
      </c>
      <c r="M2047" s="15" t="s">
        <v>489</v>
      </c>
      <c r="O2047" s="15"/>
      <c r="P2047" s="15"/>
      <c r="Q2047" s="15" t="str" cm="1">
        <f t="array" ref="Q20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7" s="15" t="str" cm="1">
        <f t="array" ref="R20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canciones/nuevas/alegrate.html</v>
      </c>
      <c r="T2047" s="1"/>
      <c r="U2047" s="1"/>
      <c r="V2047" s="32" t="s">
        <v>3003</v>
      </c>
      <c r="W20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data-author="Maranatha" data-nrcc="9"&gt;&lt;a href="canciones/nuevas/alegrate.html"&gt;Alégrate&lt;/a&gt;&lt;/li&gt;</v>
      </c>
      <c r="X2047" s="15" t="str">
        <f>_xlfn.TEXTBEFORE(_xlfn.TEXTAFTER(CantoralDB[[#This Row],[index.html]],"&gt;"),"&gt;")&amp;"&gt;"</f>
        <v>&lt;a href="canciones/nuevas/alegrate.html"&gt;</v>
      </c>
      <c r="Y2047"/>
      <c r="AC2047" s="1"/>
    </row>
    <row r="2048" spans="1:29" x14ac:dyDescent="0.3">
      <c r="A2048" s="1">
        <f>ROW(CantoralDB[[#This Row],[Título]])-1</f>
        <v>2047</v>
      </c>
      <c r="B2048" s="1" t="s">
        <v>2609</v>
      </c>
      <c r="C2048" s="1"/>
      <c r="F2048" s="1">
        <v>233</v>
      </c>
      <c r="J2048" s="1"/>
      <c r="M2048" s="15" t="s">
        <v>489</v>
      </c>
      <c r="O2048" s="15"/>
      <c r="P2048" s="15"/>
      <c r="Q2048" s="15" t="str" cm="1">
        <f t="array" ref="Q20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8" s="15" t="str" cm="1">
        <f t="array" ref="R20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canciones/nuevas/resucitaremos_con_el.html</v>
      </c>
      <c r="T2048" s="1"/>
      <c r="U2048" s="1"/>
      <c r="V2048" s="15"/>
      <c r="W20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data-author="Maranatha" data-nrcc="233"&gt;&lt;a href="canciones/nuevas/resucitaremos_con_el.html"&gt;Resucitaremos con él&lt;/a&gt;&lt;/li&gt;</v>
      </c>
      <c r="X2048" s="15" t="str">
        <f>_xlfn.TEXTBEFORE(_xlfn.TEXTAFTER(CantoralDB[[#This Row],[index.html]],"&gt;"),"&gt;")&amp;"&gt;"</f>
        <v>&lt;a href="canciones/nuevas/resucitaremos_con_el.html"&gt;</v>
      </c>
      <c r="Y2048"/>
      <c r="AC2048" s="1"/>
    </row>
    <row r="2049" spans="1:29" x14ac:dyDescent="0.3">
      <c r="A2049" s="1">
        <f>ROW(CantoralDB[[#This Row],[Título]])-1</f>
        <v>2048</v>
      </c>
      <c r="B2049" s="1" t="s">
        <v>2719</v>
      </c>
      <c r="C2049" s="1"/>
      <c r="F2049" s="1">
        <v>350</v>
      </c>
      <c r="J2049" s="1"/>
      <c r="M2049" s="15" t="s">
        <v>2720</v>
      </c>
      <c r="O2049" s="15"/>
      <c r="P2049" s="15"/>
      <c r="Q2049" s="15" t="str" cm="1">
        <f t="array" ref="Q20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49" s="15" t="str" cm="1">
        <f t="array" ref="R20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canciones/nuevas/clamamos_a_ti.html</v>
      </c>
      <c r="T2049" s="1"/>
      <c r="U2049" s="1"/>
      <c r="V2049" s="15"/>
      <c r="W20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data-author="Marcela Jobe" data-nrcc="350"&gt;&lt;a href="canciones/nuevas/clamamos_a_ti.html"&gt;Clamamos a ti&lt;/a&gt;&lt;/li&gt;</v>
      </c>
      <c r="X2049" s="15" t="str">
        <f>_xlfn.TEXTBEFORE(_xlfn.TEXTAFTER(CantoralDB[[#This Row],[index.html]],"&gt;"),"&gt;")&amp;"&gt;"</f>
        <v>&lt;a href="canciones/nuevas/clamamos_a_ti.html"&gt;</v>
      </c>
      <c r="Y2049"/>
      <c r="AC2049" s="1"/>
    </row>
    <row r="2050" spans="1:29" x14ac:dyDescent="0.3">
      <c r="A2050" s="1">
        <f>ROW(CantoralDB[[#This Row],[Título]])-1</f>
        <v>2049</v>
      </c>
      <c r="B2050" s="1" t="s">
        <v>2452</v>
      </c>
      <c r="C2050" s="1"/>
      <c r="F2050" s="1">
        <v>75</v>
      </c>
      <c r="J2050" s="1"/>
      <c r="M2050" s="15" t="s">
        <v>2454</v>
      </c>
      <c r="O2050" s="15"/>
      <c r="P2050" s="15"/>
      <c r="Q2050" s="15" t="str" cm="1">
        <f t="array" ref="Q20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0" s="15" t="str" cm="1">
        <f t="array" ref="R20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canciones/nuevas/la_rosa_de_saron.html</v>
      </c>
      <c r="T2050" s="1"/>
      <c r="U2050" s="1"/>
      <c r="V2050" s="15"/>
      <c r="W20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data-author="Marcelino García" data-nrcc="75"&gt;&lt;a href="canciones/nuevas/la_rosa_de_saron.html"&gt;La rosa de Sarón&lt;/a&gt;&lt;/li&gt;</v>
      </c>
      <c r="X2050" s="15" t="str">
        <f>_xlfn.TEXTBEFORE(_xlfn.TEXTAFTER(CantoralDB[[#This Row],[index.html]],"&gt;"),"&gt;")&amp;"&gt;"</f>
        <v>&lt;a href="canciones/nuevas/la_rosa_de_saron.html"&gt;</v>
      </c>
      <c r="Y2050"/>
      <c r="AC2050" s="1"/>
    </row>
    <row r="2051" spans="1:29" x14ac:dyDescent="0.3">
      <c r="A2051" s="1">
        <f>ROW(CantoralDB[[#This Row],[Título]])-1</f>
        <v>2050</v>
      </c>
      <c r="B2051" s="1" t="s">
        <v>2817</v>
      </c>
      <c r="C2051" s="1"/>
      <c r="F2051" s="1">
        <v>430</v>
      </c>
      <c r="J2051" s="1"/>
      <c r="M2051" s="15" t="s">
        <v>2815</v>
      </c>
      <c r="O2051" s="15"/>
      <c r="P2051" s="15"/>
      <c r="Q2051" s="15" t="str" cm="1">
        <f t="array" ref="Q20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1" s="15" t="str" cm="1">
        <f t="array" ref="R20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canciones/nuevas/a_el_le_sea_la_gloria.html</v>
      </c>
      <c r="T2051" s="1"/>
      <c r="U2051" s="1"/>
      <c r="V2051" s="15"/>
      <c r="W20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 Barrientos" data-nrcc="430"&gt;&lt;a href="canciones/nuevas/a_el_le_sea_la_gloria.html"&gt;A él le sea la gloria&lt;/a&gt;&lt;/li&gt;</v>
      </c>
      <c r="X2051" s="15" t="str">
        <f>_xlfn.TEXTBEFORE(_xlfn.TEXTAFTER(CantoralDB[[#This Row],[index.html]],"&gt;"),"&gt;")&amp;"&gt;"</f>
        <v>&lt;a href="canciones/nuevas/a_el_le_sea_la_gloria.html"&gt;</v>
      </c>
      <c r="Y2051"/>
      <c r="AC2051" s="1"/>
    </row>
    <row r="2052" spans="1:29" x14ac:dyDescent="0.3">
      <c r="A2052" s="1">
        <f>ROW(CantoralDB[[#This Row],[Título]])-1</f>
        <v>2051</v>
      </c>
      <c r="B2052" s="1" t="s">
        <v>2391</v>
      </c>
      <c r="C2052" s="1"/>
      <c r="F2052" s="1">
        <v>15</v>
      </c>
      <c r="H2052" s="1" t="s">
        <v>1027</v>
      </c>
      <c r="J2052" s="1" t="s">
        <v>605</v>
      </c>
      <c r="M2052" s="15" t="s">
        <v>2815</v>
      </c>
      <c r="O2052" s="15"/>
      <c r="P2052" s="15"/>
      <c r="Q2052" s="15" t="str" cm="1">
        <f t="array" ref="Q20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2" s="15" t="str" cm="1">
        <f t="array" ref="R20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canciones/nuevas/cristo_heme_aqui.html</v>
      </c>
      <c r="T2052" s="1"/>
      <c r="U2052" s="1"/>
      <c r="V2052" s="32" t="s">
        <v>3008</v>
      </c>
      <c r="W20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 Barrientos" data-nrcc="15"&gt;&lt;a href="canciones/nuevas/cristo_heme_aqui.html"&gt;Cristo, heme aquí&lt;/a&gt;&lt;/li&gt;</v>
      </c>
      <c r="X2052" s="15" t="str">
        <f>_xlfn.TEXTBEFORE(_xlfn.TEXTAFTER(CantoralDB[[#This Row],[index.html]],"&gt;"),"&gt;")&amp;"&gt;"</f>
        <v>&lt;a href="canciones/nuevas/cristo_heme_aqui.html"&gt;</v>
      </c>
      <c r="Y2052"/>
      <c r="AC2052" s="1"/>
    </row>
    <row r="2053" spans="1:29" x14ac:dyDescent="0.3">
      <c r="A2053" s="1">
        <f>ROW(CantoralDB[[#This Row],[Título]])-1</f>
        <v>2052</v>
      </c>
      <c r="B2053" s="1" t="s">
        <v>2813</v>
      </c>
      <c r="C2053" s="1"/>
      <c r="F2053" s="1">
        <v>427</v>
      </c>
      <c r="J2053" s="1"/>
      <c r="M2053" s="15" t="s">
        <v>2815</v>
      </c>
      <c r="O2053" s="15"/>
      <c r="P2053" s="15"/>
      <c r="Q2053" s="15" t="str" cm="1">
        <f t="array" ref="Q20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3" s="15" t="str" cm="1">
        <f t="array" ref="R20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canciones/nuevas/ven_espiritu_ven.html</v>
      </c>
      <c r="T2053" s="1"/>
      <c r="U2053" s="1"/>
      <c r="V2053" s="15"/>
      <c r="W20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data-author="Marco Barrientos" data-nrcc="427"&gt;&lt;a href="canciones/nuevas/ven_espiritu_ven.html"&gt;Ven, Espíritu, ven&lt;/a&gt;&lt;/li&gt;</v>
      </c>
      <c r="X2053" s="15" t="str">
        <f>_xlfn.TEXTBEFORE(_xlfn.TEXTAFTER(CantoralDB[[#This Row],[index.html]],"&gt;"),"&gt;")&amp;"&gt;"</f>
        <v>&lt;a href="canciones/nuevas/ven_espiritu_ven.html"&gt;</v>
      </c>
      <c r="Y2053"/>
      <c r="AC2053" s="1"/>
    </row>
    <row r="2054" spans="1:29" x14ac:dyDescent="0.3">
      <c r="A2054" s="1">
        <f>ROW(CantoralDB[[#This Row],[Título]])-1</f>
        <v>2053</v>
      </c>
      <c r="B2054" s="1" t="s">
        <v>2735</v>
      </c>
      <c r="C2054" s="1"/>
      <c r="F2054" s="1">
        <v>366</v>
      </c>
      <c r="J2054" s="1"/>
      <c r="M2054" s="15" t="s">
        <v>2736</v>
      </c>
      <c r="O2054" s="15"/>
      <c r="P2054" s="15"/>
      <c r="Q2054" s="15" t="str" cm="1">
        <f t="array" ref="Q20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4" s="15" t="str" cm="1">
        <f t="array" ref="R20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canciones/nuevas/con_gozo_al_señor_cantare.html</v>
      </c>
      <c r="T2054" s="1"/>
      <c r="U2054" s="1"/>
      <c r="V2054" s="15"/>
      <c r="W20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data-author="Marga Trufero" data-nrcc="366"&gt;&lt;a href="canciones/nuevas/con_gozo_al_señor_cantare.html"&gt;Con gozo al Señor cantaré&lt;/a&gt;&lt;/li&gt;</v>
      </c>
      <c r="X2054" s="15" t="str">
        <f>_xlfn.TEXTBEFORE(_xlfn.TEXTAFTER(CantoralDB[[#This Row],[index.html]],"&gt;"),"&gt;")&amp;"&gt;"</f>
        <v>&lt;a href="canciones/nuevas/con_gozo_al_señor_cantare.html"&gt;</v>
      </c>
      <c r="Y2054"/>
      <c r="AC2054" s="1"/>
    </row>
    <row r="2055" spans="1:29" x14ac:dyDescent="0.3">
      <c r="A2055" s="1">
        <f>ROW(CantoralDB[[#This Row],[Título]])-1</f>
        <v>2054</v>
      </c>
      <c r="B2055" s="1" t="s">
        <v>1223</v>
      </c>
      <c r="C2055" s="1"/>
      <c r="F2055" s="1">
        <v>102</v>
      </c>
      <c r="J2055" s="1"/>
      <c r="M2055" s="15" t="s">
        <v>2480</v>
      </c>
      <c r="O2055" s="15"/>
      <c r="P2055" s="15"/>
      <c r="Q2055" s="15" t="str" cm="1">
        <f t="array" ref="Q20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5" s="15" t="str" cm="1">
        <f t="array" ref="R20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canciones/nuevas/el_espiritu_del_señor.html</v>
      </c>
      <c r="T2055" s="1"/>
      <c r="U2055" s="1"/>
      <c r="V2055" s="32" t="s">
        <v>4560</v>
      </c>
      <c r="W20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 Puy Montaner" data-nrcc="102"&gt;&lt;a href="canciones/nuevas/el_espiritu_del_señor.html"&gt;El Espíritu del Señor&lt;/a&gt;&lt;/li&gt;</v>
      </c>
      <c r="X2055" s="15" t="str">
        <f>_xlfn.TEXTBEFORE(_xlfn.TEXTAFTER(CantoralDB[[#This Row],[index.html]],"&gt;"),"&gt;")&amp;"&gt;"</f>
        <v>&lt;a href="canciones/nuevas/el_espiritu_del_señor.html"&gt;</v>
      </c>
      <c r="Y2055"/>
      <c r="AC2055" s="1"/>
    </row>
    <row r="2056" spans="1:29" x14ac:dyDescent="0.3">
      <c r="A2056" s="1">
        <f>ROW(CantoralDB[[#This Row],[Título]])-1</f>
        <v>2055</v>
      </c>
      <c r="B2056" s="1" t="s">
        <v>2794</v>
      </c>
      <c r="C2056" s="1"/>
      <c r="F2056" s="1">
        <v>411</v>
      </c>
      <c r="J2056" s="1"/>
      <c r="M2056" s="15" t="s">
        <v>2793</v>
      </c>
      <c r="O2056" s="15"/>
      <c r="P2056" s="15"/>
      <c r="Q2056" s="15" t="str" cm="1">
        <f t="array" ref="Q20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6" s="15" t="str" cm="1">
        <f t="array" ref="R20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canciones/nuevas/de_rodillas_madre.html</v>
      </c>
      <c r="T2056" s="1"/>
      <c r="U2056" s="1"/>
      <c r="V2056" s="15"/>
      <c r="W20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data-author="María Parkinson" data-nrcc="411"&gt;&lt;a href="canciones/nuevas/de_rodillas_madre.html"&gt;De rodillas, madre&lt;/a&gt;&lt;/li&gt;</v>
      </c>
      <c r="X2056" s="15" t="str">
        <f>_xlfn.TEXTBEFORE(_xlfn.TEXTAFTER(CantoralDB[[#This Row],[index.html]],"&gt;"),"&gt;")&amp;"&gt;"</f>
        <v>&lt;a href="canciones/nuevas/de_rodillas_madre.html"&gt;</v>
      </c>
      <c r="Y2056"/>
      <c r="AC2056" s="1"/>
    </row>
    <row r="2057" spans="1:29" x14ac:dyDescent="0.3">
      <c r="A2057" s="1">
        <f>ROW(CantoralDB[[#This Row],[Título]])-1</f>
        <v>2056</v>
      </c>
      <c r="B2057" s="1" t="s">
        <v>2806</v>
      </c>
      <c r="C2057" s="1"/>
      <c r="F2057" s="1">
        <v>420</v>
      </c>
      <c r="J2057" s="1"/>
      <c r="M2057" s="15" t="s">
        <v>2803</v>
      </c>
      <c r="O2057" s="15"/>
      <c r="P2057" s="15"/>
      <c r="Q2057" s="15" t="str" cm="1">
        <f t="array" ref="Q20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7" s="15" t="str" cm="1">
        <f t="array" ref="R20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canciones/nuevas/eres_mi_respirar.html</v>
      </c>
      <c r="T2057" s="1"/>
      <c r="U2057" s="1"/>
      <c r="V2057" s="15"/>
      <c r="W20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data-author="Marie Barnett" data-nrcc="420"&gt;&lt;a href="canciones/nuevas/eres_mi_respirar.html"&gt;Eres mi respirar&lt;/a&gt;&lt;/li&gt;</v>
      </c>
      <c r="X2057" s="15" t="str">
        <f>_xlfn.TEXTBEFORE(_xlfn.TEXTAFTER(CantoralDB[[#This Row],[index.html]],"&gt;"),"&gt;")&amp;"&gt;"</f>
        <v>&lt;a href="canciones/nuevas/eres_mi_respirar.html"&gt;</v>
      </c>
      <c r="Y2057"/>
      <c r="AC2057" s="1"/>
    </row>
    <row r="2058" spans="1:29" x14ac:dyDescent="0.3">
      <c r="A2058" s="1">
        <f>ROW(CantoralDB[[#This Row],[Título]])-1</f>
        <v>2057</v>
      </c>
      <c r="B2058" s="1" t="s">
        <v>2554</v>
      </c>
      <c r="C2058" s="1"/>
      <c r="F2058" s="1">
        <v>169</v>
      </c>
      <c r="J2058" s="1"/>
      <c r="M2058" s="15" t="s">
        <v>2555</v>
      </c>
      <c r="O2058" s="15"/>
      <c r="P2058" s="15"/>
      <c r="Q2058" s="15" t="str" cm="1">
        <f t="array" ref="Q20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8" s="15" t="str" cm="1">
        <f t="array" ref="R20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canciones/nuevas/siento.html</v>
      </c>
      <c r="T2058" s="1"/>
      <c r="U2058" s="1"/>
      <c r="V2058" s="15"/>
      <c r="W20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data-author="Marisa Cecilia" data-nrcc="169"&gt;&lt;a href="canciones/nuevas/siento.html"&gt;Siento&lt;/a&gt;&lt;/li&gt;</v>
      </c>
      <c r="X2058" s="15" t="str">
        <f>_xlfn.TEXTBEFORE(_xlfn.TEXTAFTER(CantoralDB[[#This Row],[index.html]],"&gt;"),"&gt;")&amp;"&gt;"</f>
        <v>&lt;a href="canciones/nuevas/siento.html"&gt;</v>
      </c>
      <c r="Y2058"/>
      <c r="AC2058" s="1"/>
    </row>
    <row r="2059" spans="1:29" x14ac:dyDescent="0.3">
      <c r="A2059" s="1">
        <f>ROW(CantoralDB[[#This Row],[Título]])-1</f>
        <v>2058</v>
      </c>
      <c r="B2059" s="1" t="s">
        <v>2754</v>
      </c>
      <c r="C2059" s="1"/>
      <c r="F2059" s="1">
        <v>383</v>
      </c>
      <c r="J2059" s="1"/>
      <c r="M2059" s="15" t="s">
        <v>2757</v>
      </c>
      <c r="O2059" s="15"/>
      <c r="P2059" s="15"/>
      <c r="Q2059" s="15" t="str" cm="1">
        <f t="array" ref="Q20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59" s="15" t="str" cm="1">
        <f t="array" ref="R20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canciones/nuevas/asi_es_dios.html</v>
      </c>
      <c r="T2059" s="1"/>
      <c r="U2059" s="1"/>
      <c r="V2059" s="15"/>
      <c r="W20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data-author="Marisa Liste" data-nrcc="383"&gt;&lt;a href="canciones/nuevas/asi_es_dios.html"&gt;Así es Dios&lt;/a&gt;&lt;/li&gt;</v>
      </c>
      <c r="X2059" s="15" t="str">
        <f>_xlfn.TEXTBEFORE(_xlfn.TEXTAFTER(CantoralDB[[#This Row],[index.html]],"&gt;"),"&gt;")&amp;"&gt;"</f>
        <v>&lt;a href="canciones/nuevas/asi_es_dios.html"&gt;</v>
      </c>
      <c r="Y2059"/>
      <c r="AC2059" s="1"/>
    </row>
    <row r="2060" spans="1:29" x14ac:dyDescent="0.3">
      <c r="A2060" s="1">
        <f>ROW(CantoralDB[[#This Row],[Título]])-1</f>
        <v>2059</v>
      </c>
      <c r="B2060" s="1" t="s">
        <v>2519</v>
      </c>
      <c r="C2060" s="1"/>
      <c r="F2060" s="1">
        <v>136</v>
      </c>
      <c r="J2060" s="1"/>
      <c r="M2060" s="15" t="s">
        <v>2520</v>
      </c>
      <c r="O2060" s="15"/>
      <c r="P2060" s="15"/>
      <c r="Q2060" s="15" t="str" cm="1">
        <f t="array" ref="Q20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0" s="15" t="str" cm="1">
        <f t="array" ref="R20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canciones/nuevas/aleluya_cristo_vive.html</v>
      </c>
      <c r="T2060" s="1"/>
      <c r="U2060" s="1"/>
      <c r="V2060" s="15"/>
      <c r="W20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data-author="Marisa y Noemí" data-nrcc="136"&gt;&lt;a href="canciones/nuevas/aleluya_cristo_vive.html"&gt;Aleluya, Cristo vive&lt;/a&gt;&lt;/li&gt;</v>
      </c>
      <c r="X2060" s="15" t="str">
        <f>_xlfn.TEXTBEFORE(_xlfn.TEXTAFTER(CantoralDB[[#This Row],[index.html]],"&gt;"),"&gt;")&amp;"&gt;"</f>
        <v>&lt;a href="canciones/nuevas/aleluya_cristo_vive.html"&gt;</v>
      </c>
      <c r="Y2060"/>
      <c r="AC2060" s="1"/>
    </row>
    <row r="2061" spans="1:29" x14ac:dyDescent="0.3">
      <c r="A2061" s="1">
        <f>ROW(CantoralDB[[#This Row],[Título]])-1</f>
        <v>2060</v>
      </c>
      <c r="B2061" s="1" t="s">
        <v>2553</v>
      </c>
      <c r="C2061" s="1"/>
      <c r="F2061" s="1">
        <v>168</v>
      </c>
      <c r="J2061" s="1"/>
      <c r="M2061" s="15" t="s">
        <v>2520</v>
      </c>
      <c r="O2061" s="15"/>
      <c r="P2061" s="15"/>
      <c r="Q2061" s="15" t="str" cm="1">
        <f t="array" ref="Q20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1" s="15" t="str" cm="1">
        <f t="array" ref="R20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canciones/nuevas/jesus_te_quiere_asi.html</v>
      </c>
      <c r="T2061" s="1"/>
      <c r="U2061" s="1"/>
      <c r="V2061" s="15"/>
      <c r="W20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data-author="Marisa y Noemí" data-nrcc="168"&gt;&lt;a href="canciones/nuevas/jesus_te_quiere_asi.html"&gt;Jesús te quiere así&lt;/a&gt;&lt;/li&gt;</v>
      </c>
      <c r="X2061" s="15" t="str">
        <f>_xlfn.TEXTBEFORE(_xlfn.TEXTAFTER(CantoralDB[[#This Row],[index.html]],"&gt;"),"&gt;")&amp;"&gt;"</f>
        <v>&lt;a href="canciones/nuevas/jesus_te_quiere_asi.html"&gt;</v>
      </c>
      <c r="Y2061"/>
      <c r="AC2061" s="1"/>
    </row>
    <row r="2062" spans="1:29" x14ac:dyDescent="0.3">
      <c r="A2062" s="1">
        <f>ROW(CantoralDB[[#This Row],[Título]])-1</f>
        <v>2061</v>
      </c>
      <c r="B2062" s="1" t="s">
        <v>2737</v>
      </c>
      <c r="C2062" s="1"/>
      <c r="F2062" s="1">
        <v>367</v>
      </c>
      <c r="J2062" s="1"/>
      <c r="M2062" s="15" t="s">
        <v>2738</v>
      </c>
      <c r="O2062" s="15"/>
      <c r="P2062" s="15"/>
      <c r="Q2062" s="15" t="str" cm="1">
        <f t="array" ref="Q20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2" s="15" t="str" cm="1">
        <f t="array" ref="R20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canciones/nuevas/en_presencia.html</v>
      </c>
      <c r="T2062" s="1"/>
      <c r="U2062" s="1"/>
      <c r="V2062" s="32" t="s">
        <v>4498</v>
      </c>
      <c r="W20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data-author="Mark Altragge" data-nrcc="367"&gt;&lt;a href="canciones/nuevas/en_presencia.html"&gt;En presencia&lt;/a&gt;&lt;/li&gt;</v>
      </c>
      <c r="X2062" s="15" t="str">
        <f>_xlfn.TEXTBEFORE(_xlfn.TEXTAFTER(CantoralDB[[#This Row],[index.html]],"&gt;"),"&gt;")&amp;"&gt;"</f>
        <v>&lt;a href="canciones/nuevas/en_presencia.html"&gt;</v>
      </c>
      <c r="Y2062"/>
      <c r="AC2062" s="1"/>
    </row>
    <row r="2063" spans="1:29" x14ac:dyDescent="0.3">
      <c r="A2063" s="1">
        <f>ROW(CantoralDB[[#This Row],[Título]])-1</f>
        <v>2062</v>
      </c>
      <c r="B2063" s="1" t="s">
        <v>2749</v>
      </c>
      <c r="C2063" s="1"/>
      <c r="F2063" s="1">
        <v>377</v>
      </c>
      <c r="J2063" s="1"/>
      <c r="M2063" s="15" t="s">
        <v>2750</v>
      </c>
      <c r="O2063" s="15"/>
      <c r="P2063" s="15"/>
      <c r="Q2063" s="15" t="str" cm="1">
        <f t="array" ref="Q20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3" s="15" t="str" cm="1">
        <f t="array" ref="R20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canciones/nuevas/jesus_tengo_sed.html</v>
      </c>
      <c r="T2063" s="1"/>
      <c r="U2063" s="1"/>
      <c r="V2063" s="15"/>
      <c r="W20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data-author="Marta Calvo" data-nrcc="377"&gt;&lt;a href="canciones/nuevas/jesus_tengo_sed.html"&gt;Jesús, tengo sed&lt;/a&gt;&lt;/li&gt;</v>
      </c>
      <c r="X2063" s="15" t="str">
        <f>_xlfn.TEXTBEFORE(_xlfn.TEXTAFTER(CantoralDB[[#This Row],[index.html]],"&gt;"),"&gt;")&amp;"&gt;"</f>
        <v>&lt;a href="canciones/nuevas/jesus_tengo_sed.html"&gt;</v>
      </c>
      <c r="Y2063"/>
      <c r="AC2063" s="1"/>
    </row>
    <row r="2064" spans="1:29" x14ac:dyDescent="0.3">
      <c r="A2064" s="1">
        <f>ROW(CantoralDB[[#This Row],[Título]])-1</f>
        <v>2063</v>
      </c>
      <c r="B2064" s="1" t="s">
        <v>2625</v>
      </c>
      <c r="C2064" s="1"/>
      <c r="F2064" s="1">
        <v>255</v>
      </c>
      <c r="J2064" s="1"/>
      <c r="M2064" s="15" t="s">
        <v>573</v>
      </c>
      <c r="O2064" s="15"/>
      <c r="P2064" s="15"/>
      <c r="Q2064" s="15" t="str" cm="1">
        <f t="array" ref="Q20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4" s="15" t="str" cm="1">
        <f t="array" ref="R20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canciones/nuevas/gloria_a_jesus_el_señor.html</v>
      </c>
      <c r="T2064" s="1"/>
      <c r="U2064" s="1"/>
      <c r="V2064" s="32" t="s">
        <v>4447</v>
      </c>
      <c r="W20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data-author="Martín Valverde" data-nrcc="255"&gt;&lt;a href="canciones/nuevas/gloria_a_jesus_el_señor.html"&gt;Gloria a Jesús, el Señor&lt;/a&gt;&lt;/li&gt;</v>
      </c>
      <c r="X2064" s="15" t="str">
        <f>_xlfn.TEXTBEFORE(_xlfn.TEXTAFTER(CantoralDB[[#This Row],[index.html]],"&gt;"),"&gt;")&amp;"&gt;"</f>
        <v>&lt;a href="canciones/nuevas/gloria_a_jesus_el_señor.html"&gt;</v>
      </c>
      <c r="Y2064"/>
      <c r="AC2064" s="1"/>
    </row>
    <row r="2065" spans="1:29" x14ac:dyDescent="0.3">
      <c r="A2065" s="1">
        <f>ROW(CantoralDB[[#This Row],[Título]])-1</f>
        <v>2064</v>
      </c>
      <c r="B2065" s="1" t="s">
        <v>2585</v>
      </c>
      <c r="C2065" s="1"/>
      <c r="F2065" s="1">
        <v>200</v>
      </c>
      <c r="J2065" s="1"/>
      <c r="M2065" s="15" t="s">
        <v>573</v>
      </c>
      <c r="O2065" s="15"/>
      <c r="P2065" s="15"/>
      <c r="Q2065" s="15" t="str" cm="1">
        <f t="array" ref="Q20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5" s="15" t="str" cm="1">
        <f t="array" ref="R20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canciones/nuevas/la_pancita.html</v>
      </c>
      <c r="T2065" s="1"/>
      <c r="U2065" s="1"/>
      <c r="V2065" s="15"/>
      <c r="W20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data-author="Martín Valverde" data-nrcc="200"&gt;&lt;a href="canciones/nuevas/la_pancita.html"&gt;La pancita&lt;/a&gt;&lt;/li&gt;</v>
      </c>
      <c r="X2065" s="15" t="str">
        <f>_xlfn.TEXTBEFORE(_xlfn.TEXTAFTER(CantoralDB[[#This Row],[index.html]],"&gt;"),"&gt;")&amp;"&gt;"</f>
        <v>&lt;a href="canciones/nuevas/la_pancita.html"&gt;</v>
      </c>
      <c r="Y2065"/>
      <c r="AC2065" s="1"/>
    </row>
    <row r="2066" spans="1:29" x14ac:dyDescent="0.3">
      <c r="A2066" s="1">
        <f>ROW(CantoralDB[[#This Row],[Título]])-1</f>
        <v>2065</v>
      </c>
      <c r="B2066" s="1" t="s">
        <v>2703</v>
      </c>
      <c r="C2066" s="1"/>
      <c r="F2066" s="1">
        <v>337</v>
      </c>
      <c r="J2066" s="1"/>
      <c r="M2066" s="15" t="s">
        <v>2704</v>
      </c>
      <c r="O2066" s="15"/>
      <c r="P2066" s="15"/>
      <c r="Q2066" s="15" t="str" cm="1">
        <f t="array" ref="Q20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6" s="15" t="str" cm="1">
        <f t="array" ref="R20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canciones/nuevas/el_señor_resucitado.html</v>
      </c>
      <c r="T2066" s="1"/>
      <c r="U2066" s="1"/>
      <c r="V2066" s="15"/>
      <c r="W20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data-author="Marvin Frey" data-nrcc="337"&gt;&lt;a href="canciones/nuevas/el_señor_resucitado.html"&gt;El Señor resucitado&lt;/a&gt;&lt;/li&gt;</v>
      </c>
      <c r="X2066" s="15" t="str">
        <f>_xlfn.TEXTBEFORE(_xlfn.TEXTAFTER(CantoralDB[[#This Row],[index.html]],"&gt;"),"&gt;")&amp;"&gt;"</f>
        <v>&lt;a href="canciones/nuevas/el_señor_resucitado.html"&gt;</v>
      </c>
      <c r="Y2066"/>
      <c r="AC2066" s="1"/>
    </row>
    <row r="2067" spans="1:29" x14ac:dyDescent="0.3">
      <c r="A2067" s="1">
        <f>ROW(CantoralDB[[#This Row],[Título]])-1</f>
        <v>2066</v>
      </c>
      <c r="B2067" s="1" t="s">
        <v>2434</v>
      </c>
      <c r="C2067" s="1"/>
      <c r="F2067" s="1">
        <v>56</v>
      </c>
      <c r="J2067" s="1"/>
      <c r="M2067" s="15" t="s">
        <v>2435</v>
      </c>
      <c r="O2067" s="15"/>
      <c r="P2067" s="15"/>
      <c r="Q2067" s="15" t="str" cm="1">
        <f t="array" ref="Q20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7" s="15" t="str" cm="1">
        <f t="array" ref="R20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canciones/nuevas/viejos_y_jovenes.html</v>
      </c>
      <c r="T2067" s="1"/>
      <c r="U2067" s="1"/>
      <c r="V2067" s="32" t="s">
        <v>4462</v>
      </c>
      <c r="W20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data-author="Merla Watson" data-nrcc="56"&gt;&lt;a href="canciones/nuevas/viejos_y_jovenes.html"&gt;Viejos y jóvenes&lt;/a&gt;&lt;/li&gt;</v>
      </c>
      <c r="X2067" s="15" t="str">
        <f>_xlfn.TEXTBEFORE(_xlfn.TEXTAFTER(CantoralDB[[#This Row],[index.html]],"&gt;"),"&gt;")&amp;"&gt;"</f>
        <v>&lt;a href="canciones/nuevas/viejos_y_jovenes.html"&gt;</v>
      </c>
      <c r="Y2067"/>
      <c r="AC2067" s="1"/>
    </row>
    <row r="2068" spans="1:29" x14ac:dyDescent="0.3">
      <c r="A2068" s="1">
        <f>ROW(CantoralDB[[#This Row],[Título]])-1</f>
        <v>2067</v>
      </c>
      <c r="B2068" s="1" t="s">
        <v>2583</v>
      </c>
      <c r="C2068" s="1"/>
      <c r="F2068" s="1">
        <v>199</v>
      </c>
      <c r="J2068" s="1"/>
      <c r="M2068" s="15" t="s">
        <v>2584</v>
      </c>
      <c r="O2068" s="15"/>
      <c r="P2068" s="15"/>
      <c r="Q2068" s="15" t="str" cm="1">
        <f t="array" ref="Q20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8" s="15" t="str" cm="1">
        <f t="array" ref="R20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canciones/nuevas/clamaremos_al_señor.html</v>
      </c>
      <c r="T2068" s="1"/>
      <c r="U2068" s="1"/>
      <c r="V2068" s="15"/>
      <c r="W20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data-author="Michael O'Shields" data-nrcc="199"&gt;&lt;a href="canciones/nuevas/clamaremos_al_señor.html"&gt;Clamaremos al Señor&lt;/a&gt;&lt;/li&gt;</v>
      </c>
      <c r="X2068" s="15" t="str">
        <f>_xlfn.TEXTBEFORE(_xlfn.TEXTAFTER(CantoralDB[[#This Row],[index.html]],"&gt;"),"&gt;")&amp;"&gt;"</f>
        <v>&lt;a href="canciones/nuevas/clamaremos_al_señor.html"&gt;</v>
      </c>
      <c r="Y2068"/>
      <c r="AC2068" s="1"/>
    </row>
    <row r="2069" spans="1:29" x14ac:dyDescent="0.3">
      <c r="A2069" s="1">
        <f>ROW(CantoralDB[[#This Row],[Título]])-1</f>
        <v>2068</v>
      </c>
      <c r="B2069" s="1" t="s">
        <v>2788</v>
      </c>
      <c r="C2069" s="1"/>
      <c r="F2069" s="1">
        <v>408</v>
      </c>
      <c r="J2069" s="1"/>
      <c r="M2069" s="15" t="s">
        <v>2789</v>
      </c>
      <c r="O2069" s="15"/>
      <c r="P2069" s="15"/>
      <c r="Q2069" s="15" t="str" cm="1">
        <f t="array" ref="Q20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69" s="15" t="str" cm="1">
        <f t="array" ref="R20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canciones/nuevas/agnus_dei.html</v>
      </c>
      <c r="T2069" s="1"/>
      <c r="U2069" s="1"/>
      <c r="V2069" s="32" t="s">
        <v>4473</v>
      </c>
      <c r="W20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data-author="Michael W. Smith" data-nrcc="408"&gt;&lt;a href="canciones/nuevas/agnus_dei.html"&gt;Agnus Dei&lt;/a&gt;&lt;/li&gt;</v>
      </c>
      <c r="X2069" s="15" t="str">
        <f>_xlfn.TEXTBEFORE(_xlfn.TEXTAFTER(CantoralDB[[#This Row],[index.html]],"&gt;"),"&gt;")&amp;"&gt;"</f>
        <v>&lt;a href="canciones/nuevas/agnus_dei.html"&gt;</v>
      </c>
      <c r="Y2069"/>
      <c r="AC2069" s="1"/>
    </row>
    <row r="2070" spans="1:29" x14ac:dyDescent="0.3">
      <c r="A2070" s="1">
        <f>ROW(CantoralDB[[#This Row],[Título]])-1</f>
        <v>2069</v>
      </c>
      <c r="B2070" s="1" t="s">
        <v>2716</v>
      </c>
      <c r="C2070" s="1"/>
      <c r="F2070" s="1">
        <v>348</v>
      </c>
      <c r="J2070" s="1"/>
      <c r="M2070" s="15" t="s">
        <v>2717</v>
      </c>
      <c r="O2070" s="15"/>
      <c r="P2070" s="15"/>
      <c r="Q2070" s="15" t="str" cm="1">
        <f t="array" ref="Q20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0" s="15" t="str" cm="1">
        <f t="array" ref="R20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canciones/nuevas/exaltad.html</v>
      </c>
      <c r="T2070" s="1"/>
      <c r="U2070" s="1"/>
      <c r="V2070" s="15"/>
      <c r="W20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Casina" data-nrcc="348"&gt;&lt;a href="canciones/nuevas/exaltad.html"&gt;Exaltad&lt;/a&gt;&lt;/li&gt;</v>
      </c>
      <c r="X2070" s="15" t="str">
        <f>_xlfn.TEXTBEFORE(_xlfn.TEXTAFTER(CantoralDB[[#This Row],[index.html]],"&gt;"),"&gt;")&amp;"&gt;"</f>
        <v>&lt;a href="canciones/nuevas/exaltad.html"&gt;</v>
      </c>
      <c r="Y2070"/>
      <c r="AC2070" s="1"/>
    </row>
    <row r="2071" spans="1:29" x14ac:dyDescent="0.3">
      <c r="A2071" s="1">
        <f>ROW(CantoralDB[[#This Row],[Título]])-1</f>
        <v>2070</v>
      </c>
      <c r="B2071" s="1" t="s">
        <v>2747</v>
      </c>
      <c r="C2071" s="1"/>
      <c r="F2071" s="1">
        <v>375</v>
      </c>
      <c r="J2071" s="1"/>
      <c r="M2071" s="15" t="s">
        <v>2717</v>
      </c>
      <c r="O2071" s="15"/>
      <c r="P2071" s="15"/>
      <c r="Q2071" s="15" t="str" cm="1">
        <f t="array" ref="Q20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1" s="15" t="str" cm="1">
        <f t="array" ref="R20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canciones/nuevas/tu_fidelidad.html</v>
      </c>
      <c r="T2071" s="1"/>
      <c r="U2071" s="1"/>
      <c r="V2071" s="32" t="s">
        <v>4428</v>
      </c>
      <c r="W20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data-author="Miguel Casina" data-nrcc="375"&gt;&lt;a href="canciones/nuevas/tu_fidelidad.html"&gt;Tu fidelidad&lt;/a&gt;&lt;/li&gt;</v>
      </c>
      <c r="X2071" s="15" t="str">
        <f>_xlfn.TEXTBEFORE(_xlfn.TEXTAFTER(CantoralDB[[#This Row],[index.html]],"&gt;"),"&gt;")&amp;"&gt;"</f>
        <v>&lt;a href="canciones/nuevas/tu_fidelidad.html"&gt;</v>
      </c>
      <c r="Y2071"/>
      <c r="AC2071" s="1"/>
    </row>
    <row r="2072" spans="1:29" x14ac:dyDescent="0.3">
      <c r="A2072" s="1">
        <f>ROW(CantoralDB[[#This Row],[Título]])-1</f>
        <v>2071</v>
      </c>
      <c r="B2072" s="1" t="s">
        <v>2647</v>
      </c>
      <c r="C2072" s="1"/>
      <c r="F2072" s="1">
        <v>275</v>
      </c>
      <c r="J2072" s="1"/>
      <c r="M2072" s="15" t="s">
        <v>2648</v>
      </c>
      <c r="O2072" s="15"/>
      <c r="P2072" s="15"/>
      <c r="Q2072" s="15" t="str" cm="1">
        <f t="array" ref="Q20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2" s="15" t="str" cm="1">
        <f t="array" ref="R20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canciones/nuevas/no_tengo_mas.html</v>
      </c>
      <c r="T2072" s="1"/>
      <c r="U2072" s="1"/>
      <c r="V2072" s="32" t="s">
        <v>4558</v>
      </c>
      <c r="W20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data-author="Milagros Rosa" data-nrcc="275"&gt;&lt;a href="canciones/nuevas/no_tengo_mas.html"&gt;No tengo más&lt;/a&gt;&lt;/li&gt;</v>
      </c>
      <c r="X2072" s="15" t="str">
        <f>_xlfn.TEXTBEFORE(_xlfn.TEXTAFTER(CantoralDB[[#This Row],[index.html]],"&gt;"),"&gt;")&amp;"&gt;"</f>
        <v>&lt;a href="canciones/nuevas/no_tengo_mas.html"&gt;</v>
      </c>
      <c r="Y2072"/>
      <c r="AC2072" s="1"/>
    </row>
    <row r="2073" spans="1:29" x14ac:dyDescent="0.3">
      <c r="A2073" s="1">
        <f>ROW(CantoralDB[[#This Row],[Título]])-1</f>
        <v>2072</v>
      </c>
      <c r="B2073" s="1" t="s">
        <v>1700</v>
      </c>
      <c r="C2073" s="1"/>
      <c r="F2073" s="1">
        <v>171</v>
      </c>
      <c r="J2073" s="1"/>
      <c r="M2073" s="15" t="s">
        <v>2558</v>
      </c>
      <c r="O2073" s="15"/>
      <c r="P2073" s="15"/>
      <c r="Q2073" s="15" t="str" cm="1">
        <f t="array" ref="Q20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3" s="15" t="str" cm="1">
        <f t="array" ref="R20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canciones/nuevas/creo_en_ti.html</v>
      </c>
      <c r="T2073" s="1"/>
      <c r="U2073" s="1"/>
      <c r="V2073" s="15"/>
      <c r="W20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data-author="Noemí Liste" data-nrcc="171"&gt;&lt;a href="canciones/nuevas/creo_en_ti.html"&gt;Creo en ti&lt;/a&gt;&lt;/li&gt;</v>
      </c>
      <c r="X2073" s="15" t="str">
        <f>_xlfn.TEXTBEFORE(_xlfn.TEXTAFTER(CantoralDB[[#This Row],[index.html]],"&gt;"),"&gt;")&amp;"&gt;"</f>
        <v>&lt;a href="canciones/nuevas/creo_en_ti.html"&gt;</v>
      </c>
      <c r="Y2073"/>
      <c r="AC2073" s="1"/>
    </row>
    <row r="2074" spans="1:29" x14ac:dyDescent="0.3">
      <c r="A2074" s="1">
        <f>ROW(CantoralDB[[#This Row],[Título]])-1</f>
        <v>2073</v>
      </c>
      <c r="B2074" s="1" t="s">
        <v>5645</v>
      </c>
      <c r="C2074" s="1"/>
      <c r="J2074" s="1"/>
      <c r="M2074" s="15" t="s">
        <v>5646</v>
      </c>
      <c r="O2074" s="15"/>
      <c r="P2074" s="15">
        <v>2026</v>
      </c>
      <c r="Q2074" s="15" t="str" cm="1">
        <f t="array" ref="Q20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4" s="15" t="str" cm="1">
        <f t="array" ref="R20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canciones/nuevas/enviame_a_mi.html</v>
      </c>
      <c r="T2074" s="1"/>
      <c r="U2074" s="1"/>
      <c r="V2074" s="32" t="s">
        <v>5647</v>
      </c>
      <c r="W20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data-author="Obras Misionales Pontificias"&gt;&lt;a href="canciones/nuevas/enviame_a_mi.html"&gt;Envíame a mí&lt;/a&gt;&lt;/li&gt;</v>
      </c>
      <c r="X2074" s="15" t="str">
        <f>_xlfn.TEXTBEFORE(_xlfn.TEXTAFTER(CantoralDB[[#This Row],[index.html]],"&gt;"),"&gt;")&amp;"&gt;"</f>
        <v>&lt;a href="canciones/nuevas/enviame_a_mi.html"&gt;</v>
      </c>
      <c r="Y2074"/>
      <c r="AC2074" s="1"/>
    </row>
    <row r="2075" spans="1:29" x14ac:dyDescent="0.3">
      <c r="A2075" s="1">
        <f>ROW(CantoralDB[[#This Row],[Título]])-1</f>
        <v>2074</v>
      </c>
      <c r="B2075" s="1" t="s">
        <v>2847</v>
      </c>
      <c r="C2075" s="1"/>
      <c r="H2075" s="1" t="s">
        <v>1027</v>
      </c>
      <c r="J2075" s="1" t="s">
        <v>605</v>
      </c>
      <c r="M2075" s="15" t="s">
        <v>2850</v>
      </c>
      <c r="O2075" s="15"/>
      <c r="P2075" s="15"/>
      <c r="Q2075" s="15" t="str" cm="1">
        <f t="array" ref="Q20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5" s="15" t="str" cm="1">
        <f t="array" ref="R20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canciones/nuevas/alza_la_mirada.html</v>
      </c>
      <c r="T2075" s="1"/>
      <c r="U2075" s="1"/>
      <c r="V2075" s="32" t="s">
        <v>2988</v>
      </c>
      <c r="W20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data-author="Pablo Cebrián"&gt;&lt;a href="canciones/nuevas/alza_la_mirada.html"&gt;Alza la mirada&lt;/a&gt;&lt;/li&gt;</v>
      </c>
      <c r="X2075" s="15" t="str">
        <f>_xlfn.TEXTBEFORE(_xlfn.TEXTAFTER(CantoralDB[[#This Row],[index.html]],"&gt;"),"&gt;")&amp;"&gt;"</f>
        <v>&lt;a href="canciones/nuevas/alza_la_mirada.html"&gt;</v>
      </c>
      <c r="Y2075"/>
      <c r="AC2075" s="1"/>
    </row>
    <row r="2076" spans="1:29" x14ac:dyDescent="0.3">
      <c r="A2076" s="1">
        <f>ROW(CantoralDB[[#This Row],[Título]])-1</f>
        <v>2075</v>
      </c>
      <c r="B2076" s="1" t="s">
        <v>2809</v>
      </c>
      <c r="C2076" s="1"/>
      <c r="F2076" s="1">
        <v>425</v>
      </c>
      <c r="J2076" s="1"/>
      <c r="M2076" s="15" t="s">
        <v>2810</v>
      </c>
      <c r="O2076" s="15"/>
      <c r="P2076" s="15"/>
      <c r="Q2076" s="15" t="str" cm="1">
        <f t="array" ref="Q20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6" s="15" t="str" cm="1">
        <f t="array" ref="R20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canciones/nuevas/haz_llover.html</v>
      </c>
      <c r="T2076" s="1"/>
      <c r="U2076" s="1"/>
      <c r="V2076" s="15"/>
      <c r="W20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data-author="Paul S. Morton" data-nrcc="425"&gt;&lt;a href="canciones/nuevas/haz_llover.html"&gt;Haz llover&lt;/a&gt;&lt;/li&gt;</v>
      </c>
      <c r="X2076" s="15" t="str">
        <f>_xlfn.TEXTBEFORE(_xlfn.TEXTAFTER(CantoralDB[[#This Row],[index.html]],"&gt;"),"&gt;")&amp;"&gt;"</f>
        <v>&lt;a href="canciones/nuevas/haz_llover.html"&gt;</v>
      </c>
      <c r="Y2076"/>
      <c r="AC2076" s="1"/>
    </row>
    <row r="2077" spans="1:29" x14ac:dyDescent="0.3">
      <c r="A2077" s="1">
        <f>ROW(CantoralDB[[#This Row],[Título]])-1</f>
        <v>2076</v>
      </c>
      <c r="B2077" s="1" t="s">
        <v>2429</v>
      </c>
      <c r="C2077" s="1"/>
      <c r="F2077" s="1">
        <v>52</v>
      </c>
      <c r="J2077" s="1"/>
      <c r="M2077" s="15" t="s">
        <v>2430</v>
      </c>
      <c r="O2077" s="15"/>
      <c r="P2077" s="15"/>
      <c r="Q2077" s="15" t="str" cm="1">
        <f t="array" ref="Q20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7" s="15" t="str" cm="1">
        <f t="array" ref="R20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canciones/nuevas/he_decidido_seguir_a_cristo.html</v>
      </c>
      <c r="T2077" s="1"/>
      <c r="U2077" s="1"/>
      <c r="V2077" s="32" t="s">
        <v>4506</v>
      </c>
      <c r="W20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data-author="Paul Smith" data-nrcc="52"&gt;&lt;a href="canciones/nuevas/he_decidido_seguir_a_cristo.html"&gt;He decidido seguir a Cristo&lt;/a&gt;&lt;/li&gt;</v>
      </c>
      <c r="X2077" s="15" t="str">
        <f>_xlfn.TEXTBEFORE(_xlfn.TEXTAFTER(CantoralDB[[#This Row],[index.html]],"&gt;"),"&gt;")&amp;"&gt;"</f>
        <v>&lt;a href="canciones/nuevas/he_decidido_seguir_a_cristo.html"&gt;</v>
      </c>
      <c r="Y2077"/>
      <c r="AC2077" s="1"/>
    </row>
    <row r="2078" spans="1:29" x14ac:dyDescent="0.3">
      <c r="A2078" s="1">
        <f>ROW(CantoralDB[[#This Row],[Título]])-1</f>
        <v>2077</v>
      </c>
      <c r="B2078" s="1" t="s">
        <v>2663</v>
      </c>
      <c r="C2078" s="1"/>
      <c r="F2078" s="1">
        <v>294</v>
      </c>
      <c r="J2078" s="1"/>
      <c r="M2078" s="15" t="s">
        <v>2664</v>
      </c>
      <c r="O2078" s="15"/>
      <c r="P2078" s="15"/>
      <c r="Q2078" s="15" t="str" cm="1">
        <f t="array" ref="Q20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8" s="15" t="str" cm="1">
        <f t="array" ref="R20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canciones/nuevas/digno_eres.html</v>
      </c>
      <c r="T2078" s="1"/>
      <c r="U2078" s="1"/>
      <c r="V2078" s="15"/>
      <c r="W20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data-author="Pauline Michael Mills" data-nrcc="294"&gt;&lt;a href="canciones/nuevas/digno_eres.html"&gt;Digno eres&lt;/a&gt;&lt;/li&gt;</v>
      </c>
      <c r="X2078" s="15" t="str">
        <f>_xlfn.TEXTBEFORE(_xlfn.TEXTAFTER(CantoralDB[[#This Row],[index.html]],"&gt;"),"&gt;")&amp;"&gt;"</f>
        <v>&lt;a href="canciones/nuevas/digno_eres.html"&gt;</v>
      </c>
      <c r="Y2078"/>
      <c r="AC2078" s="1"/>
    </row>
    <row r="2079" spans="1:29" x14ac:dyDescent="0.3">
      <c r="A2079" s="1">
        <f>ROW(CantoralDB[[#This Row],[Título]])-1</f>
        <v>2078</v>
      </c>
      <c r="B2079" s="1" t="s">
        <v>2633</v>
      </c>
      <c r="C2079" s="1"/>
      <c r="F2079" s="1">
        <v>262</v>
      </c>
      <c r="J2079" s="1"/>
      <c r="M2079" s="15" t="s">
        <v>2634</v>
      </c>
      <c r="O2079" s="15"/>
      <c r="P2079" s="15"/>
      <c r="Q2079" s="15" t="str" cm="1">
        <f t="array" ref="Q20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79" s="15" t="str" cm="1">
        <f t="array" ref="R20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canciones/nuevas/vuelvete_a_mi.html</v>
      </c>
      <c r="T2079" s="1"/>
      <c r="U2079" s="1"/>
      <c r="V2079" s="32" t="s">
        <v>4495</v>
      </c>
      <c r="W20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data-author="Pedro Luis Asturias" data-nrcc="262"&gt;&lt;a href="canciones/nuevas/vuelvete_a_mi.html"&gt;Vuélvete a mí&lt;/a&gt;&lt;/li&gt;</v>
      </c>
      <c r="X2079" s="15" t="str">
        <f>_xlfn.TEXTBEFORE(_xlfn.TEXTAFTER(CantoralDB[[#This Row],[index.html]],"&gt;"),"&gt;")&amp;"&gt;"</f>
        <v>&lt;a href="canciones/nuevas/vuelvete_a_mi.html"&gt;</v>
      </c>
      <c r="Y2079"/>
      <c r="AC2079" s="1"/>
    </row>
    <row r="2080" spans="1:29" x14ac:dyDescent="0.3">
      <c r="A2080" s="1">
        <f>ROW(CantoralDB[[#This Row],[Título]])-1</f>
        <v>2079</v>
      </c>
      <c r="B2080" s="1" t="s">
        <v>2487</v>
      </c>
      <c r="C2080" s="1"/>
      <c r="F2080" s="1">
        <v>110</v>
      </c>
      <c r="J2080" s="1"/>
      <c r="M2080" s="15" t="s">
        <v>2476</v>
      </c>
      <c r="O2080" s="15"/>
      <c r="P2080" s="15"/>
      <c r="Q2080" s="15" t="str" cm="1">
        <f t="array" ref="Q20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0" s="15" t="str" cm="1">
        <f t="array" ref="R20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canciones/nuevas/postrado.html</v>
      </c>
      <c r="T2080" s="1"/>
      <c r="U2080" s="1"/>
      <c r="V2080" s="15"/>
      <c r="W20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data-author="Rafael de la Hoz" data-nrcc="110"&gt;&lt;a href="canciones/nuevas/postrado.html"&gt;Postrado&lt;/a&gt;&lt;/li&gt;</v>
      </c>
      <c r="X2080" s="15" t="str">
        <f>_xlfn.TEXTBEFORE(_xlfn.TEXTAFTER(CantoralDB[[#This Row],[index.html]],"&gt;"),"&gt;")&amp;"&gt;"</f>
        <v>&lt;a href="canciones/nuevas/postrado.html"&gt;</v>
      </c>
      <c r="Y2080"/>
      <c r="AC2080" s="1"/>
    </row>
    <row r="2081" spans="1:29" x14ac:dyDescent="0.3">
      <c r="A2081" s="1">
        <f>ROW(CantoralDB[[#This Row],[Título]])-1</f>
        <v>2080</v>
      </c>
      <c r="B2081" s="1" t="s">
        <v>2477</v>
      </c>
      <c r="C2081" s="1"/>
      <c r="F2081" s="1">
        <v>98</v>
      </c>
      <c r="J2081" s="1"/>
      <c r="M2081" s="15" t="s">
        <v>2476</v>
      </c>
      <c r="O2081" s="15"/>
      <c r="P2081" s="15"/>
      <c r="Q2081" s="15" t="str" cm="1">
        <f t="array" ref="Q20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1" s="15" t="str" cm="1">
        <f t="array" ref="R20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canciones/nuevas/tu_el_dios_de_mi_refugio.html</v>
      </c>
      <c r="T2081" s="1"/>
      <c r="U2081" s="1"/>
      <c r="V2081" s="15"/>
      <c r="W20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data-author="Rafael de la Hoz" data-nrcc="98"&gt;&lt;a href="canciones/nuevas/tu_el_dios_de_mi_refugio.html"&gt;Tú, el Dios de mi refugio&lt;/a&gt;&lt;/li&gt;</v>
      </c>
      <c r="X2081" s="15" t="str">
        <f>_xlfn.TEXTBEFORE(_xlfn.TEXTAFTER(CantoralDB[[#This Row],[index.html]],"&gt;"),"&gt;")&amp;"&gt;"</f>
        <v>&lt;a href="canciones/nuevas/tu_el_dios_de_mi_refugio.html"&gt;</v>
      </c>
      <c r="Y2081"/>
      <c r="AC2081" s="1"/>
    </row>
    <row r="2082" spans="1:29" x14ac:dyDescent="0.3">
      <c r="A2082" s="1">
        <f>ROW(CantoralDB[[#This Row],[Título]])-1</f>
        <v>2081</v>
      </c>
      <c r="B2082" s="1" t="s">
        <v>2772</v>
      </c>
      <c r="C2082" s="1"/>
      <c r="F2082" s="1">
        <v>395</v>
      </c>
      <c r="J2082" s="1"/>
      <c r="M2082" s="15" t="s">
        <v>2773</v>
      </c>
      <c r="O2082" s="15"/>
      <c r="P2082" s="15"/>
      <c r="Q2082" s="15" t="str" cm="1">
        <f t="array" ref="Q20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2" s="15" t="str" cm="1">
        <f t="array" ref="R20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canciones/nuevas/ven_y_juntos_alabemos.html</v>
      </c>
      <c r="T2082" s="1"/>
      <c r="U2082" s="1"/>
      <c r="V2082" s="15"/>
      <c r="W20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data-author="Randal Calderón" data-nrcc="395"&gt;&lt;a href="canciones/nuevas/ven_y_juntos_alabemos.html"&gt;Ven y juntos alabemos&lt;/a&gt;&lt;/li&gt;</v>
      </c>
      <c r="X2082" s="15" t="str">
        <f>_xlfn.TEXTBEFORE(_xlfn.TEXTAFTER(CantoralDB[[#This Row],[index.html]],"&gt;"),"&gt;")&amp;"&gt;"</f>
        <v>&lt;a href="canciones/nuevas/ven_y_juntos_alabemos.html"&gt;</v>
      </c>
      <c r="Y2082"/>
      <c r="AC2082" s="1"/>
    </row>
    <row r="2083" spans="1:29" x14ac:dyDescent="0.3">
      <c r="A2083" s="1">
        <f>ROW(CantoralDB[[#This Row],[Título]])-1</f>
        <v>2082</v>
      </c>
      <c r="B2083" s="1" t="s">
        <v>2147</v>
      </c>
      <c r="C2083" s="15"/>
      <c r="F2083" s="1">
        <v>315</v>
      </c>
      <c r="H2083" s="1" t="s">
        <v>472</v>
      </c>
      <c r="J2083" s="1" t="s">
        <v>605</v>
      </c>
      <c r="M2083" s="15" t="s">
        <v>2166</v>
      </c>
      <c r="O2083" s="15"/>
      <c r="P2083" s="15"/>
      <c r="Q2083" s="15" t="str" cm="1">
        <f t="array" ref="Q20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3" s="15" t="str" cm="1">
        <f t="array" ref="R20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canciones/nuevas/aleluya_yo_creo_en_tu_amor.html</v>
      </c>
      <c r="T2083" s="1"/>
      <c r="U2083" s="1"/>
      <c r="V2083" s="32" t="s">
        <v>2985</v>
      </c>
      <c r="W20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data-author="RCCE" data-nrcc="315"&gt;&lt;a href="canciones/nuevas/aleluya_yo_creo_en_tu_amor.html"&gt;Aleluya, yo creo en tu amor&lt;/a&gt;&lt;/li&gt;</v>
      </c>
      <c r="X2083" s="15" t="str">
        <f>_xlfn.TEXTBEFORE(_xlfn.TEXTAFTER(CantoralDB[[#This Row],[index.html]],"&gt;"),"&gt;")&amp;"&gt;"</f>
        <v>&lt;a href="canciones/nuevas/aleluya_yo_creo_en_tu_amor.html"&gt;</v>
      </c>
      <c r="Y2083"/>
      <c r="AC2083" s="1"/>
    </row>
    <row r="2084" spans="1:29" x14ac:dyDescent="0.3">
      <c r="A2084" s="1">
        <f>ROW(CantoralDB[[#This Row],[Título]])-1</f>
        <v>2083</v>
      </c>
      <c r="B2084" s="1" t="s">
        <v>2849</v>
      </c>
      <c r="C2084" s="1"/>
      <c r="H2084" s="1" t="s">
        <v>529</v>
      </c>
      <c r="J2084" s="1" t="s">
        <v>605</v>
      </c>
      <c r="M2084" s="15" t="s">
        <v>2166</v>
      </c>
      <c r="O2084" s="15"/>
      <c r="P2084" s="15"/>
      <c r="Q2084" s="15" t="str" cm="1">
        <f t="array" ref="Q20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4" s="15" t="str" cm="1">
        <f t="array" ref="R20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canciones/nuevas/pregon_pascual_(neocatecumenal).html</v>
      </c>
      <c r="T2084" s="1"/>
      <c r="U2084" s="1"/>
      <c r="V2084" s="15"/>
      <c r="W20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data-author="RCCE"&gt;&lt;a href="canciones/nuevas/pregon_pascual_(neocatecumenal).html"&gt;Pregón Pascual (neocatecumenal)&lt;/a&gt;&lt;/li&gt;</v>
      </c>
      <c r="X2084" s="15" t="str">
        <f>_xlfn.TEXTBEFORE(_xlfn.TEXTAFTER(CantoralDB[[#This Row],[index.html]],"&gt;"),"&gt;")&amp;"&gt;"</f>
        <v>&lt;a href="canciones/nuevas/pregon_pascual_(neocatecumenal).html"&gt;</v>
      </c>
      <c r="Y2084"/>
      <c r="AC2084" s="1"/>
    </row>
    <row r="2085" spans="1:29" x14ac:dyDescent="0.3">
      <c r="A2085" s="1">
        <f>ROW(CantoralDB[[#This Row],[Título]])-1</f>
        <v>2084</v>
      </c>
      <c r="B2085" s="1" t="s">
        <v>2723</v>
      </c>
      <c r="C2085" s="1"/>
      <c r="F2085" s="1">
        <v>353</v>
      </c>
      <c r="J2085" s="1"/>
      <c r="M2085" s="15" t="s">
        <v>2724</v>
      </c>
      <c r="O2085" s="15"/>
      <c r="P2085" s="15"/>
      <c r="Q2085" s="15" t="str" cm="1">
        <f t="array" ref="Q20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5" s="15" t="str" cm="1">
        <f t="array" ref="R20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canciones/nuevas/jesus_es_mi_luz_y_mi_salvacion.html</v>
      </c>
      <c r="T2085" s="1"/>
      <c r="U2085" s="1"/>
      <c r="V2085" s="15"/>
      <c r="W20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data-author="Renato Vizuet" data-nrcc="353"&gt;&lt;a href="canciones/nuevas/jesus_es_mi_luz_y_mi_salvacion.html"&gt;Jesús es mi luz y mi salvación&lt;/a&gt;&lt;/li&gt;</v>
      </c>
      <c r="X2085" s="15" t="str">
        <f>_xlfn.TEXTBEFORE(_xlfn.TEXTAFTER(CantoralDB[[#This Row],[index.html]],"&gt;"),"&gt;")&amp;"&gt;"</f>
        <v>&lt;a href="canciones/nuevas/jesus_es_mi_luz_y_mi_salvacion.html"&gt;</v>
      </c>
      <c r="Y2085"/>
      <c r="AC2085" s="1"/>
    </row>
    <row r="2086" spans="1:29" x14ac:dyDescent="0.3">
      <c r="A2086" s="1">
        <f>ROW(CantoralDB[[#This Row],[Título]])-1</f>
        <v>2085</v>
      </c>
      <c r="B2086" s="1" t="s">
        <v>2162</v>
      </c>
      <c r="C2086" s="15"/>
      <c r="F2086" s="1">
        <v>439</v>
      </c>
      <c r="H2086" s="1" t="s">
        <v>529</v>
      </c>
      <c r="J2086" s="1" t="s">
        <v>605</v>
      </c>
      <c r="M2086" s="15" t="s">
        <v>2827</v>
      </c>
      <c r="O2086" s="15"/>
      <c r="P2086" s="15"/>
      <c r="Q2086" s="15" t="str" cm="1">
        <f t="array" ref="Q20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6" s="15" t="str" cm="1">
        <f t="array" ref="R20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canciones/nuevas/te_doy_mi_corazon.html</v>
      </c>
      <c r="T2086" s="1"/>
      <c r="U2086" s="1"/>
      <c r="V2086" s="15"/>
      <c r="W20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data-author="Reuben Morgan" data-nrcc="439"&gt;&lt;a href="canciones/nuevas/te_doy_mi_corazon.html"&gt;Te doy mi corazón&lt;/a&gt;&lt;/li&gt;</v>
      </c>
      <c r="X2086" s="15" t="str">
        <f>_xlfn.TEXTBEFORE(_xlfn.TEXTAFTER(CantoralDB[[#This Row],[index.html]],"&gt;"),"&gt;")&amp;"&gt;"</f>
        <v>&lt;a href="canciones/nuevas/te_doy_mi_corazon.html"&gt;</v>
      </c>
      <c r="Y2086"/>
      <c r="AC2086" s="1"/>
    </row>
    <row r="2087" spans="1:29" x14ac:dyDescent="0.3">
      <c r="A2087" s="1">
        <f>ROW(CantoralDB[[#This Row],[Título]])-1</f>
        <v>2086</v>
      </c>
      <c r="B2087" s="1" t="s">
        <v>2543</v>
      </c>
      <c r="C2087" s="1"/>
      <c r="F2087" s="1">
        <v>158</v>
      </c>
      <c r="J2087" s="1"/>
      <c r="M2087" s="15" t="s">
        <v>2542</v>
      </c>
      <c r="O2087" s="15"/>
      <c r="P2087" s="15"/>
      <c r="Q2087" s="15" t="str" cm="1">
        <f t="array" ref="Q20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7" s="15" t="str" cm="1">
        <f t="array" ref="R20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canciones/nuevas/eli_eli.html</v>
      </c>
      <c r="T2087" s="1"/>
      <c r="U2087" s="1"/>
      <c r="V2087" s="15"/>
      <c r="W20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data-author="Ribcah Anafah" data-nrcc="158"&gt;&lt;a href="canciones/nuevas/eli_eli.html"&gt;Elí, Elí&lt;/a&gt;&lt;/li&gt;</v>
      </c>
      <c r="X2087" s="15" t="str">
        <f>_xlfn.TEXTBEFORE(_xlfn.TEXTAFTER(CantoralDB[[#This Row],[index.html]],"&gt;"),"&gt;")&amp;"&gt;"</f>
        <v>&lt;a href="canciones/nuevas/eli_eli.html"&gt;</v>
      </c>
      <c r="Y2087"/>
      <c r="AC2087" s="1"/>
    </row>
    <row r="2088" spans="1:29" x14ac:dyDescent="0.3">
      <c r="A2088" s="1">
        <f>ROW(CantoralDB[[#This Row],[Título]])-1</f>
        <v>2087</v>
      </c>
      <c r="B2088" s="1" t="s">
        <v>2419</v>
      </c>
      <c r="C2088" s="1"/>
      <c r="F2088" s="1">
        <v>46</v>
      </c>
      <c r="J2088" s="1"/>
      <c r="M2088" s="15" t="s">
        <v>2421</v>
      </c>
      <c r="O2088" s="15"/>
      <c r="P2088" s="15"/>
      <c r="Q2088" s="15" t="str" cm="1">
        <f t="array" ref="Q20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8" s="15" t="str" cm="1">
        <f t="array" ref="R20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canciones/nuevas/eres_tu_palabra_de_vida.html</v>
      </c>
      <c r="T2088" s="1"/>
      <c r="U2088" s="1"/>
      <c r="V2088" s="15"/>
      <c r="W20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Solans" data-nrcc="46"&gt;&lt;a href="canciones/nuevas/eres_tu_palabra_de_vida.html"&gt;Eres tú, Palabra de vida&lt;/a&gt;&lt;/li&gt;</v>
      </c>
      <c r="X2088" s="15" t="str">
        <f>_xlfn.TEXTBEFORE(_xlfn.TEXTAFTER(CantoralDB[[#This Row],[index.html]],"&gt;"),"&gt;")&amp;"&gt;"</f>
        <v>&lt;a href="canciones/nuevas/eres_tu_palabra_de_vida.html"&gt;</v>
      </c>
      <c r="Y2088"/>
      <c r="AC2088" s="1"/>
    </row>
    <row r="2089" spans="1:29" x14ac:dyDescent="0.3">
      <c r="A2089" s="1">
        <f>ROW(CantoralDB[[#This Row],[Título]])-1</f>
        <v>2088</v>
      </c>
      <c r="B2089" s="1" t="s">
        <v>1344</v>
      </c>
      <c r="C2089" s="1"/>
      <c r="F2089" s="1">
        <v>273</v>
      </c>
      <c r="J2089" s="1"/>
      <c r="M2089" s="15" t="s">
        <v>2421</v>
      </c>
      <c r="O2089" s="15"/>
      <c r="P2089" s="15"/>
      <c r="Q2089" s="15" t="str" cm="1">
        <f t="array" ref="Q20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89" s="15" t="str" cm="1">
        <f t="array" ref="R20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canciones/nuevas/ven_espiritu_santo.html</v>
      </c>
      <c r="T2089" s="1"/>
      <c r="U2089" s="1"/>
      <c r="V2089" s="15"/>
      <c r="W20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Solans" data-nrcc="273"&gt;&lt;a href="canciones/nuevas/ven_espiritu_santo.html"&gt;Ven, Espíritu Santo&lt;/a&gt;&lt;/li&gt;</v>
      </c>
      <c r="X2089" s="15" t="str">
        <f>_xlfn.TEXTBEFORE(_xlfn.TEXTAFTER(CantoralDB[[#This Row],[index.html]],"&gt;"),"&gt;")&amp;"&gt;"</f>
        <v>&lt;a href="canciones/nuevas/ven_espiritu_santo.html"&gt;</v>
      </c>
      <c r="Y2089"/>
      <c r="AC2089" s="1"/>
    </row>
    <row r="2090" spans="1:29" x14ac:dyDescent="0.3">
      <c r="A2090" s="1">
        <f>ROW(CantoralDB[[#This Row],[Título]])-1</f>
        <v>2089</v>
      </c>
      <c r="B2090" s="1" t="s">
        <v>2739</v>
      </c>
      <c r="C2090" s="1"/>
      <c r="F2090" s="1">
        <v>369</v>
      </c>
      <c r="J2090" s="1"/>
      <c r="M2090" s="15" t="s">
        <v>2742</v>
      </c>
      <c r="O2090" s="15"/>
      <c r="P2090" s="15"/>
      <c r="Q2090" s="15" t="str" cm="1">
        <f t="array" ref="Q20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0" s="15" t="str" cm="1">
        <f t="array" ref="R20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canciones/nuevas/en_la_tierra_habra.html</v>
      </c>
      <c r="T2090" s="1"/>
      <c r="U2090" s="1"/>
      <c r="V2090" s="15"/>
      <c r="W20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data-author="Ron Colie" data-nrcc="369"&gt;&lt;a href="canciones/nuevas/en_la_tierra_habra.html"&gt;En la tierra habrá&lt;/a&gt;&lt;/li&gt;</v>
      </c>
      <c r="X2090" s="15" t="str">
        <f>_xlfn.TEXTBEFORE(_xlfn.TEXTAFTER(CantoralDB[[#This Row],[index.html]],"&gt;"),"&gt;")&amp;"&gt;"</f>
        <v>&lt;a href="canciones/nuevas/en_la_tierra_habra.html"&gt;</v>
      </c>
      <c r="Y2090"/>
      <c r="AC2090" s="1"/>
    </row>
    <row r="2091" spans="1:29" x14ac:dyDescent="0.3">
      <c r="A2091" s="1">
        <f>ROW(CantoralDB[[#This Row],[Título]])-1</f>
        <v>2090</v>
      </c>
      <c r="B2091" s="1" t="s">
        <v>2548</v>
      </c>
      <c r="C2091" s="1"/>
      <c r="F2091" s="1">
        <v>164</v>
      </c>
      <c r="J2091" s="1"/>
      <c r="M2091" s="15" t="s">
        <v>2549</v>
      </c>
      <c r="O2091" s="15"/>
      <c r="P2091" s="15"/>
      <c r="Q2091" s="15" t="str" cm="1">
        <f t="array" ref="Q20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1" s="15" t="str" cm="1">
        <f t="array" ref="R20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canciones/nuevas/aleluya_cristo_vivo_esta.html</v>
      </c>
      <c r="T2091" s="1"/>
      <c r="U2091" s="1"/>
      <c r="V2091" s="15"/>
      <c r="W20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data-author="Ron Kenoly" data-nrcc="164"&gt;&lt;a href="canciones/nuevas/aleluya_cristo_vivo_esta.html"&gt;Aleluya, Cristo vivo está&lt;/a&gt;&lt;/li&gt;</v>
      </c>
      <c r="X2091" s="15" t="str">
        <f>_xlfn.TEXTBEFORE(_xlfn.TEXTAFTER(CantoralDB[[#This Row],[index.html]],"&gt;"),"&gt;")&amp;"&gt;"</f>
        <v>&lt;a href="canciones/nuevas/aleluya_cristo_vivo_esta.html"&gt;</v>
      </c>
      <c r="Y2091"/>
      <c r="AC2091" s="1"/>
    </row>
    <row r="2092" spans="1:29" x14ac:dyDescent="0.3">
      <c r="A2092" s="1">
        <f>ROW(CantoralDB[[#This Row],[Título]])-1</f>
        <v>2091</v>
      </c>
      <c r="B2092" s="1" t="s">
        <v>2158</v>
      </c>
      <c r="C2092" s="15"/>
      <c r="H2092" s="1" t="s">
        <v>529</v>
      </c>
      <c r="I2092" s="1" t="s">
        <v>2948</v>
      </c>
      <c r="J2092" s="1" t="s">
        <v>605</v>
      </c>
      <c r="M2092" s="15" t="s">
        <v>2172</v>
      </c>
      <c r="O2092" s="15"/>
      <c r="P2092" s="15"/>
      <c r="Q2092" s="15" t="str" cm="1">
        <f t="array" ref="Q20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2" s="15" t="str" cm="1">
        <f t="array" ref="R20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canciones/nuevas/haz_de_tu_casa_un_nazaret.html</v>
      </c>
      <c r="T2092" s="1"/>
      <c r="U2092" s="1"/>
      <c r="V2092" s="32" t="s">
        <v>5485</v>
      </c>
      <c r="W20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data-author="Sagrada Familia"&gt;&lt;a href="canciones/nuevas/haz_de_tu_casa_un_nazaret.html"&gt;Haz de tu casa un Nazaret&lt;/a&gt;&lt;/li&gt;</v>
      </c>
      <c r="X2092" s="15" t="str">
        <f>_xlfn.TEXTBEFORE(_xlfn.TEXTAFTER(CantoralDB[[#This Row],[index.html]],"&gt;"),"&gt;")&amp;"&gt;"</f>
        <v>&lt;a href="canciones/nuevas/haz_de_tu_casa_un_nazaret.html"&gt;</v>
      </c>
      <c r="Y2092"/>
      <c r="AC2092" s="1"/>
    </row>
    <row r="2093" spans="1:29" x14ac:dyDescent="0.3">
      <c r="A2093" s="1">
        <f>ROW(CantoralDB[[#This Row],[Título]])-1</f>
        <v>2092</v>
      </c>
      <c r="B2093" s="1" t="s">
        <v>2470</v>
      </c>
      <c r="C2093" s="1"/>
      <c r="F2093" s="1">
        <v>90</v>
      </c>
      <c r="J2093" s="1"/>
      <c r="M2093" s="15" t="s">
        <v>2469</v>
      </c>
      <c r="O2093" s="15"/>
      <c r="P2093" s="15"/>
      <c r="Q2093" s="15" t="str" cm="1">
        <f t="array" ref="Q20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3" s="15" t="str" cm="1">
        <f t="array" ref="R20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canciones/nuevas/yo_os_dare_la_fuerza.html</v>
      </c>
      <c r="T2093" s="1"/>
      <c r="U2093" s="1"/>
      <c r="V2093" s="15"/>
      <c r="W20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data-author="Sagrario Ruiz" data-nrcc="90"&gt;&lt;a href="canciones/nuevas/yo_os_dare_la_fuerza.html"&gt;Yo os daré la fuerza&lt;/a&gt;&lt;/li&gt;</v>
      </c>
      <c r="X2093" s="15" t="str">
        <f>_xlfn.TEXTBEFORE(_xlfn.TEXTAFTER(CantoralDB[[#This Row],[index.html]],"&gt;"),"&gt;")&amp;"&gt;"</f>
        <v>&lt;a href="canciones/nuevas/yo_os_dare_la_fuerza.html"&gt;</v>
      </c>
      <c r="Y2093"/>
      <c r="AC2093" s="1"/>
    </row>
    <row r="2094" spans="1:29" x14ac:dyDescent="0.3">
      <c r="A2094" s="1">
        <f>ROW(CantoralDB[[#This Row],[Título]])-1</f>
        <v>2093</v>
      </c>
      <c r="B2094" s="1" t="s">
        <v>2156</v>
      </c>
      <c r="C2094" s="15"/>
      <c r="H2094" s="1" t="s">
        <v>529</v>
      </c>
      <c r="J2094" s="1" t="s">
        <v>605</v>
      </c>
      <c r="M2094" s="15" t="s">
        <v>571</v>
      </c>
      <c r="O2094" s="15"/>
      <c r="P2094" s="15"/>
      <c r="Q2094" s="15" t="str" cm="1">
        <f t="array" ref="Q20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4" s="15" t="str" cm="1">
        <f t="array" ref="R20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nuevas</v>
      </c>
      <c r="S20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canciones/nuevas/estas_aqui_jesus.html</v>
      </c>
      <c r="T2094" s="1"/>
      <c r="U2094" s="1"/>
      <c r="V2094" s="15"/>
      <c r="W20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data-author="Salomé Arricibita"&gt;&lt;a href="canciones/nuevas/estas_aqui_jesus.html"&gt;Estás aquí, Jesús&lt;/a&gt;&lt;/li&gt;</v>
      </c>
      <c r="X2094" s="15" t="str">
        <f>_xlfn.TEXTBEFORE(_xlfn.TEXTAFTER(CantoralDB[[#This Row],[index.html]],"&gt;"),"&gt;")&amp;"&gt;"</f>
        <v>&lt;a href="canciones/nuevas/estas_aqui_jesus.html"&gt;</v>
      </c>
      <c r="Y2094"/>
      <c r="AC2094" s="1"/>
    </row>
    <row r="2095" spans="1:29" x14ac:dyDescent="0.3">
      <c r="A2095" s="1">
        <f>ROW(CantoralDB[[#This Row],[Título]])-1</f>
        <v>2094</v>
      </c>
      <c r="B2095" s="1" t="s">
        <v>2899</v>
      </c>
      <c r="C2095" s="1"/>
      <c r="F2095" s="1">
        <v>309</v>
      </c>
      <c r="H2095" s="1" t="s">
        <v>529</v>
      </c>
      <c r="J2095" s="1" t="s">
        <v>605</v>
      </c>
      <c r="M2095" s="15" t="s">
        <v>2656</v>
      </c>
      <c r="O2095" s="15"/>
      <c r="P2095" s="15"/>
      <c r="Q2095" s="15" t="str" cm="1">
        <f t="array" ref="Q20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5" s="15" t="str" cm="1">
        <f t="array" ref="R20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canciones/nuevas/abba_padre_(escuchame).html</v>
      </c>
      <c r="T2095" s="1"/>
      <c r="U2095" s="1"/>
      <c r="V2095" s="15"/>
      <c r="W20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data-author="Salvatore Martínez" data-nrcc="309"&gt;&lt;a href="canciones/nuevas/abba_padre_(escuchame).html"&gt;Abbá, Padre (escúchame)&lt;/a&gt;&lt;/li&gt;</v>
      </c>
      <c r="X2095" s="15" t="str">
        <f>_xlfn.TEXTBEFORE(_xlfn.TEXTAFTER(CantoralDB[[#This Row],[index.html]],"&gt;"),"&gt;")&amp;"&gt;"</f>
        <v>&lt;a href="canciones/nuevas/abba_padre_(escuchame).html"&gt;</v>
      </c>
      <c r="Y2095"/>
      <c r="AC2095" s="1"/>
    </row>
    <row r="2096" spans="1:29" x14ac:dyDescent="0.3">
      <c r="A2096" s="1">
        <f>ROW(CantoralDB[[#This Row],[Título]])-1</f>
        <v>2095</v>
      </c>
      <c r="B2096" s="1" t="s">
        <v>581</v>
      </c>
      <c r="C2096" s="1"/>
      <c r="F2096" s="1">
        <v>285</v>
      </c>
      <c r="H2096" s="1" t="s">
        <v>2956</v>
      </c>
      <c r="J2096" s="1" t="s">
        <v>605</v>
      </c>
      <c r="M2096" s="15" t="s">
        <v>2656</v>
      </c>
      <c r="O2096" s="15"/>
      <c r="P2096" s="15"/>
      <c r="Q2096" s="15" t="str" cm="1">
        <f t="array" ref="Q20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6" s="15" t="str" cm="1">
        <f t="array" ref="R20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canciones/nuevas/salve_regina.html</v>
      </c>
      <c r="T2096" s="1"/>
      <c r="U2096" s="1"/>
      <c r="V2096" s="32" t="s">
        <v>4557</v>
      </c>
      <c r="W20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data-author="Salvatore Martínez" data-nrcc="285"&gt;&lt;a href="canciones/nuevas/salve_regina.html"&gt;Salve, Regina&lt;/a&gt;&lt;/li&gt;</v>
      </c>
      <c r="X2096" s="15" t="str">
        <f>_xlfn.TEXTBEFORE(_xlfn.TEXTAFTER(CantoralDB[[#This Row],[index.html]],"&gt;"),"&gt;")&amp;"&gt;"</f>
        <v>&lt;a href="canciones/nuevas/salve_regina.html"&gt;</v>
      </c>
      <c r="Y2096"/>
      <c r="AC2096" s="1"/>
    </row>
    <row r="2097" spans="1:29" x14ac:dyDescent="0.3">
      <c r="A2097" s="1">
        <f>ROW(CantoralDB[[#This Row],[Título]])-1</f>
        <v>2096</v>
      </c>
      <c r="B2097" s="1" t="s">
        <v>2441</v>
      </c>
      <c r="C2097" s="1"/>
      <c r="F2097" s="1">
        <v>63</v>
      </c>
      <c r="J2097" s="1"/>
      <c r="M2097" s="15" t="s">
        <v>2442</v>
      </c>
      <c r="O2097" s="15"/>
      <c r="P2097" s="15"/>
      <c r="Q2097" s="15" t="str" cm="1">
        <f t="array" ref="Q20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7" s="15" t="str" cm="1">
        <f t="array" ref="R20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canciones/nuevas/hazme_instrumento.html</v>
      </c>
      <c r="T2097" s="1"/>
      <c r="U2097" s="1"/>
      <c r="V2097" s="32" t="s">
        <v>4521</v>
      </c>
      <c r="W20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data-author="Sebastián Temple" data-nrcc="63"&gt;&lt;a href="canciones/nuevas/hazme_instrumento.html"&gt;Hazme instrumento&lt;/a&gt;&lt;/li&gt;</v>
      </c>
      <c r="X2097" s="15" t="str">
        <f>_xlfn.TEXTBEFORE(_xlfn.TEXTAFTER(CantoralDB[[#This Row],[index.html]],"&gt;"),"&gt;")&amp;"&gt;"</f>
        <v>&lt;a href="canciones/nuevas/hazme_instrumento.html"&gt;</v>
      </c>
      <c r="Y2097"/>
      <c r="AC2097" s="1"/>
    </row>
    <row r="2098" spans="1:29" x14ac:dyDescent="0.3">
      <c r="A2098" s="1">
        <f>ROW(CantoralDB[[#This Row],[Título]])-1</f>
        <v>2097</v>
      </c>
      <c r="B2098" s="1" t="s">
        <v>2673</v>
      </c>
      <c r="C2098" s="1"/>
      <c r="F2098" s="1">
        <v>302</v>
      </c>
      <c r="J2098" s="1"/>
      <c r="M2098" s="15" t="s">
        <v>2674</v>
      </c>
      <c r="O2098" s="15"/>
      <c r="P2098" s="15"/>
      <c r="Q2098" s="15" t="str" cm="1">
        <f t="array" ref="Q20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8" s="15" t="str" cm="1">
        <f t="array" ref="R20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canciones/nuevas/dios_el_mas_grande.html</v>
      </c>
      <c r="T2098" s="1"/>
      <c r="U2098" s="1"/>
      <c r="V2098" s="32" t="s">
        <v>4449</v>
      </c>
      <c r="W20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data-author="Steve McEwan" data-nrcc="302"&gt;&lt;a href="canciones/nuevas/dios_el_mas_grande.html"&gt;Dios, el más grande&lt;/a&gt;&lt;/li&gt;</v>
      </c>
      <c r="X2098" s="15" t="str">
        <f>_xlfn.TEXTBEFORE(_xlfn.TEXTAFTER(CantoralDB[[#This Row],[index.html]],"&gt;"),"&gt;")&amp;"&gt;"</f>
        <v>&lt;a href="canciones/nuevas/dios_el_mas_grande.html"&gt;</v>
      </c>
      <c r="Y2098"/>
      <c r="AC2098" s="1"/>
    </row>
    <row r="2099" spans="1:29" x14ac:dyDescent="0.3">
      <c r="A2099" s="1">
        <f>ROW(CantoralDB[[#This Row],[Título]])-1</f>
        <v>2098</v>
      </c>
      <c r="B2099" s="1" t="s">
        <v>2159</v>
      </c>
      <c r="C2099" s="15"/>
      <c r="F2099" s="1">
        <v>101</v>
      </c>
      <c r="H2099" s="1" t="s">
        <v>1024</v>
      </c>
      <c r="J2099" s="1" t="s">
        <v>605</v>
      </c>
      <c r="M2099" s="15" t="s">
        <v>2171</v>
      </c>
      <c r="O2099" s="15"/>
      <c r="P2099" s="15"/>
      <c r="Q2099" s="15" t="str" cm="1">
        <f t="array" ref="Q20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099" s="15" t="str" cm="1">
        <f t="array" ref="R20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0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canciones/nuevas/mas_de_ti_menos_de_mi.html</v>
      </c>
      <c r="T2099" s="1"/>
      <c r="U2099" s="1"/>
      <c r="V2099" s="15"/>
      <c r="W20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data-author="Steve Merkel" data-nrcc="101"&gt;&lt;a href="canciones/nuevas/mas_de_ti_menos_de_mi.html"&gt;Más de ti, menos de mí&lt;/a&gt;&lt;/li&gt;</v>
      </c>
      <c r="X2099" s="15" t="str">
        <f>_xlfn.TEXTBEFORE(_xlfn.TEXTAFTER(CantoralDB[[#This Row],[index.html]],"&gt;"),"&gt;")&amp;"&gt;"</f>
        <v>&lt;a href="canciones/nuevas/mas_de_ti_menos_de_mi.html"&gt;</v>
      </c>
      <c r="Y2099"/>
      <c r="AC2099" s="1"/>
    </row>
    <row r="2100" spans="1:29" x14ac:dyDescent="0.3">
      <c r="A2100" s="1">
        <f>ROW(CantoralDB[[#This Row],[Título]])-1</f>
        <v>2099</v>
      </c>
      <c r="B2100" s="1" t="s">
        <v>2690</v>
      </c>
      <c r="C2100" s="1"/>
      <c r="F2100" s="1">
        <v>323</v>
      </c>
      <c r="J2100" s="1"/>
      <c r="M2100" s="15" t="s">
        <v>2691</v>
      </c>
      <c r="O2100" s="15"/>
      <c r="P2100" s="15"/>
      <c r="Q2100" s="15" t="str" cm="1">
        <f t="array" ref="Q21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100" s="15" t="str" cm="1">
        <f t="array" ref="R21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canciones/nuevas/padre_te_adoramos.html</v>
      </c>
      <c r="T2100" s="1"/>
      <c r="U2100" s="1"/>
      <c r="V2100" s="15"/>
      <c r="W21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data-author="Terrye Coelho" data-nrcc="323"&gt;&lt;a href="canciones/nuevas/padre_te_adoramos.html"&gt;Padre, te adoramos&lt;/a&gt;&lt;/li&gt;</v>
      </c>
      <c r="X2100" s="15" t="str">
        <f>_xlfn.TEXTBEFORE(_xlfn.TEXTAFTER(CantoralDB[[#This Row],[index.html]],"&gt;"),"&gt;")&amp;"&gt;"</f>
        <v>&lt;a href="canciones/nuevas/padre_te_adoramos.html"&gt;</v>
      </c>
      <c r="Y2100"/>
      <c r="AC2100" s="1"/>
    </row>
    <row r="2101" spans="1:29" x14ac:dyDescent="0.3">
      <c r="A2101" s="1">
        <f>ROW(CantoralDB[[#This Row],[Título]])-1</f>
        <v>2100</v>
      </c>
      <c r="B2101" s="1" t="s">
        <v>2798</v>
      </c>
      <c r="C2101" s="1"/>
      <c r="F2101" s="1">
        <v>416</v>
      </c>
      <c r="J2101" s="1"/>
      <c r="M2101" s="15" t="s">
        <v>2799</v>
      </c>
      <c r="O2101" s="15"/>
      <c r="P2101" s="15"/>
      <c r="Q2101" s="15" t="str" cm="1">
        <f t="array" ref="Q21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101" s="15" t="str" cm="1">
        <f t="array" ref="R21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canciones/nuevas/vengo_a_adorarte.html</v>
      </c>
      <c r="T2101" s="1"/>
      <c r="U2101" s="1"/>
      <c r="V2101" s="32" t="s">
        <v>4578</v>
      </c>
      <c r="W21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data-author="Tim Hughes" data-nrcc="416"&gt;&lt;a href="canciones/nuevas/vengo_a_adorarte.html"&gt;Vengo a adorarte&lt;/a&gt;&lt;/li&gt;</v>
      </c>
      <c r="X2101" s="15" t="str">
        <f>_xlfn.TEXTBEFORE(_xlfn.TEXTAFTER(CantoralDB[[#This Row],[index.html]],"&gt;"),"&gt;")&amp;"&gt;"</f>
        <v>&lt;a href="canciones/nuevas/vengo_a_adorarte.html"&gt;</v>
      </c>
      <c r="Y2101"/>
      <c r="AC2101" s="1"/>
    </row>
    <row r="2102" spans="1:29" x14ac:dyDescent="0.3">
      <c r="A2102" s="1">
        <f>ROW(CantoralDB[[#This Row],[Título]])-1</f>
        <v>2101</v>
      </c>
      <c r="B2102" s="1" t="s">
        <v>2774</v>
      </c>
      <c r="C2102" s="1"/>
      <c r="F2102" s="1">
        <v>396</v>
      </c>
      <c r="J2102" s="1"/>
      <c r="M2102" s="15" t="s">
        <v>2776</v>
      </c>
      <c r="O2102" s="15"/>
      <c r="P2102" s="15"/>
      <c r="Q2102" s="15" t="str" cm="1">
        <f t="array" ref="Q21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102" s="15" t="str" cm="1">
        <f t="array" ref="R21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canciones/nuevas/se_exalta_nuestro_dios.html</v>
      </c>
      <c r="T2102" s="1"/>
      <c r="U2102" s="1"/>
      <c r="V2102" s="15"/>
      <c r="W21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data-author="Tim Smith" data-nrcc="396"&gt;&lt;a href="canciones/nuevas/se_exalta_nuestro_dios.html"&gt;Se exalta nuestro Dios&lt;/a&gt;&lt;/li&gt;</v>
      </c>
      <c r="X2102" s="15" t="str">
        <f>_xlfn.TEXTBEFORE(_xlfn.TEXTAFTER(CantoralDB[[#This Row],[index.html]],"&gt;"),"&gt;")&amp;"&gt;"</f>
        <v>&lt;a href="canciones/nuevas/se_exalta_nuestro_dios.html"&gt;</v>
      </c>
      <c r="Y2102"/>
      <c r="AC2102" s="1"/>
    </row>
    <row r="2103" spans="1:29" x14ac:dyDescent="0.3">
      <c r="A2103" s="1">
        <f>ROW(CantoralDB[[#This Row],[Título]])-1</f>
        <v>2102</v>
      </c>
      <c r="B2103" s="1" t="s">
        <v>2595</v>
      </c>
      <c r="C2103" s="1"/>
      <c r="F2103" s="1">
        <v>216</v>
      </c>
      <c r="J2103" s="1"/>
      <c r="M2103" s="15" t="s">
        <v>2596</v>
      </c>
      <c r="O2103" s="15"/>
      <c r="P2103" s="15"/>
      <c r="Q2103" s="15" t="str" cm="1">
        <f t="array" ref="Q21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nuevas</v>
      </c>
      <c r="R2103" s="15" t="str" cm="1">
        <f t="array" ref="R21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canciones/nuevas/tu_has_sido_fiel.html</v>
      </c>
      <c r="T2103" s="1"/>
      <c r="U2103" s="1"/>
      <c r="V2103" s="32" t="s">
        <v>4503</v>
      </c>
      <c r="W21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data-author="Twila Paris" data-nrcc="216"&gt;&lt;a href="canciones/nuevas/tu_has_sido_fiel.html"&gt;Tú has sido fiel&lt;/a&gt;&lt;/li&gt;</v>
      </c>
      <c r="X2103" s="15" t="str">
        <f>_xlfn.TEXTBEFORE(_xlfn.TEXTAFTER(CantoralDB[[#This Row],[index.html]],"&gt;"),"&gt;")&amp;"&gt;"</f>
        <v>&lt;a href="canciones/nuevas/tu_has_sido_fiel.html"&gt;</v>
      </c>
      <c r="Y2103"/>
      <c r="AC2103" s="1"/>
    </row>
    <row r="2104" spans="1:29" x14ac:dyDescent="0.3">
      <c r="A2104" s="1">
        <f>ROW(CantoralDB[[#This Row],[Título]])-1</f>
        <v>2103</v>
      </c>
      <c r="B2104" s="1" t="s">
        <v>7</v>
      </c>
      <c r="C2104" s="1" t="s">
        <v>990</v>
      </c>
      <c r="D2104" s="1" t="s">
        <v>1029</v>
      </c>
      <c r="E2104" s="1">
        <v>402</v>
      </c>
      <c r="F2104" s="1">
        <v>124</v>
      </c>
      <c r="G2104" s="1" t="s">
        <v>215</v>
      </c>
      <c r="H2104" s="1" t="s">
        <v>1027</v>
      </c>
      <c r="J2104" s="1" t="s">
        <v>605</v>
      </c>
      <c r="M2104" s="15" t="s">
        <v>568</v>
      </c>
      <c r="O2104" s="15"/>
      <c r="P2104" s="15"/>
      <c r="Q2104" s="15" t="str" cm="1">
        <f t="array" ref="Q21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4" s="15" t="str" cm="1">
        <f t="array" ref="R21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canciones/pelayo_sanchez/abro_mi_ser.html</v>
      </c>
      <c r="T2104" s="1"/>
      <c r="U2104" s="1"/>
      <c r="V2104" s="32" t="s">
        <v>4919</v>
      </c>
      <c r="W21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data-momento="Comunión" data-nnew="K01" data-nold="402" data-nrcc="124"&gt;&lt;a href="canciones/pelayo_sanchez/abro_mi_ser.html"&gt;Abro mi ser&lt;/a&gt;&lt;/li&gt;</v>
      </c>
      <c r="X2104" s="15" t="str">
        <f>_xlfn.TEXTBEFORE(_xlfn.TEXTAFTER(CantoralDB[[#This Row],[index.html]],"&gt;"),"&gt;")&amp;"&gt;"</f>
        <v>&lt;a href="canciones/pelayo_sanchez/abro_mi_ser.html"&gt;</v>
      </c>
      <c r="Y2104"/>
      <c r="AC2104" s="1"/>
    </row>
    <row r="2105" spans="1:29" x14ac:dyDescent="0.3">
      <c r="A2105" s="1">
        <f>ROW(CantoralDB[[#This Row],[Título]])-1</f>
        <v>2104</v>
      </c>
      <c r="B2105" s="1" t="s">
        <v>2453</v>
      </c>
      <c r="C2105" s="1"/>
      <c r="F2105" s="1">
        <v>76</v>
      </c>
      <c r="J2105" s="1"/>
      <c r="M2105" s="15" t="s">
        <v>568</v>
      </c>
      <c r="O2105" s="15"/>
      <c r="P2105" s="15"/>
      <c r="Q2105" s="15" t="str" cm="1">
        <f t="array" ref="Q21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5" s="15" t="str" cm="1">
        <f t="array" ref="R21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canciones/pelayo_sanchez/avemaria.html</v>
      </c>
      <c r="T2105" s="1"/>
      <c r="U2105" s="1"/>
      <c r="V2105" s="32" t="s">
        <v>4430</v>
      </c>
      <c r="W21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data-nrcc="76"&gt;&lt;a href="canciones/pelayo_sanchez/avemaria.html"&gt;Avemaría&lt;/a&gt;&lt;/li&gt;</v>
      </c>
      <c r="X2105" s="15" t="str">
        <f>_xlfn.TEXTBEFORE(_xlfn.TEXTAFTER(CantoralDB[[#This Row],[index.html]],"&gt;"),"&gt;")&amp;"&gt;"</f>
        <v>&lt;a href="canciones/pelayo_sanchez/avemaria.html"&gt;</v>
      </c>
      <c r="Y2105"/>
      <c r="AC2105" s="1"/>
    </row>
    <row r="2106" spans="1:29" x14ac:dyDescent="0.3">
      <c r="A2106" s="1">
        <f>ROW(CantoralDB[[#This Row],[Título]])-1</f>
        <v>2105</v>
      </c>
      <c r="B2106" s="1" t="s">
        <v>26</v>
      </c>
      <c r="C2106" s="1" t="s">
        <v>218</v>
      </c>
      <c r="D2106" s="1" t="s">
        <v>1387</v>
      </c>
      <c r="E2106" s="1">
        <v>411</v>
      </c>
      <c r="F2106" s="1">
        <v>325</v>
      </c>
      <c r="G2106" s="1" t="s">
        <v>208</v>
      </c>
      <c r="H2106" s="1" t="s">
        <v>1026</v>
      </c>
      <c r="I2106" s="1" t="s">
        <v>2945</v>
      </c>
      <c r="J2106" s="1" t="s">
        <v>605</v>
      </c>
      <c r="M2106" s="15" t="s">
        <v>568</v>
      </c>
      <c r="O2106" s="15"/>
      <c r="P2106" s="15"/>
      <c r="Q2106" s="15" t="str" cm="1">
        <f t="array" ref="Q21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6" s="15" t="str" cm="1">
        <f t="array" ref="R21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canciones/pelayo_sanchez/bendigamos_al_señor.html</v>
      </c>
      <c r="T2106" s="1" t="s">
        <v>805</v>
      </c>
      <c r="U2106" s="1"/>
      <c r="V2106" s="32" t="s">
        <v>4534</v>
      </c>
      <c r="W21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data-momento="Espíritu" data-nnew="N01" data-nold="411" data-nrcc="325"&gt;&lt;a href="canciones/pelayo_sanchez/bendigamos_al_señor.html"&gt;Bendigamos al Señor&lt;/a&gt;&lt;/li&gt;</v>
      </c>
      <c r="X2106" s="15" t="str">
        <f>_xlfn.TEXTBEFORE(_xlfn.TEXTAFTER(CantoralDB[[#This Row],[index.html]],"&gt;"),"&gt;")&amp;"&gt;"</f>
        <v>&lt;a href="canciones/pelayo_sanchez/bendigamos_al_señor.html"&gt;</v>
      </c>
      <c r="Y2106"/>
      <c r="AC2106" s="1"/>
    </row>
    <row r="2107" spans="1:29" x14ac:dyDescent="0.3">
      <c r="A2107" s="1">
        <f>ROW(CantoralDB[[#This Row],[Título]])-1</f>
        <v>2106</v>
      </c>
      <c r="B2107" s="1" t="s">
        <v>2710</v>
      </c>
      <c r="C2107" s="1"/>
      <c r="F2107" s="1">
        <v>344</v>
      </c>
      <c r="J2107" s="1"/>
      <c r="M2107" s="15" t="s">
        <v>568</v>
      </c>
      <c r="O2107" s="15"/>
      <c r="P2107" s="15"/>
      <c r="Q2107" s="15" t="str" cm="1">
        <f t="array" ref="Q21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7" s="15" t="str" cm="1">
        <f t="array" ref="R21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canciones/pelayo_sanchez/desde_cualquier_rincon.html</v>
      </c>
      <c r="T2107" s="1"/>
      <c r="U2107" s="1"/>
      <c r="V2107" s="15"/>
      <c r="W21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data-nrcc="344"&gt;&lt;a href="canciones/pelayo_sanchez/desde_cualquier_rincon.html"&gt;Desde cualquier rincón&lt;/a&gt;&lt;/li&gt;</v>
      </c>
      <c r="X2107" s="15" t="str">
        <f>_xlfn.TEXTBEFORE(_xlfn.TEXTAFTER(CantoralDB[[#This Row],[index.html]],"&gt;"),"&gt;")&amp;"&gt;"</f>
        <v>&lt;a href="canciones/pelayo_sanchez/desde_cualquier_rincon.html"&gt;</v>
      </c>
      <c r="Y2107"/>
      <c r="AC2107" s="1"/>
    </row>
    <row r="2108" spans="1:29" x14ac:dyDescent="0.3">
      <c r="A2108" s="1">
        <f>ROW(CantoralDB[[#This Row],[Título]])-1</f>
        <v>2107</v>
      </c>
      <c r="B2108" s="1" t="s">
        <v>181</v>
      </c>
      <c r="C2108" s="1" t="s">
        <v>199</v>
      </c>
      <c r="D2108" s="1" t="s">
        <v>1417</v>
      </c>
      <c r="F2108" s="1">
        <v>108</v>
      </c>
      <c r="G2108" s="1" t="s">
        <v>208</v>
      </c>
      <c r="H2108" s="1" t="s">
        <v>529</v>
      </c>
      <c r="J2108" s="1" t="s">
        <v>605</v>
      </c>
      <c r="M2108" s="15" t="s">
        <v>568</v>
      </c>
      <c r="O2108" s="15"/>
      <c r="P2108" s="15"/>
      <c r="Q2108" s="15" t="str" cm="1">
        <f t="array" ref="Q21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8" s="15" t="str" cm="1">
        <f t="array" ref="R21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canciones/pelayo_sanchez/fuente_de_paz_y_fidelidad.html</v>
      </c>
      <c r="T2108" s="1"/>
      <c r="U2108" s="1"/>
      <c r="V2108" s="32" t="s">
        <v>4920</v>
      </c>
      <c r="W21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data-momento="María" data-nnew="M04" data-nrcc="108"&gt;&lt;a href="canciones/pelayo_sanchez/fuente_de_paz_y_fidelidad.html"&gt;Fuente de paz y fidelidad&lt;/a&gt;&lt;/li&gt;</v>
      </c>
      <c r="X2108" s="15" t="str">
        <f>_xlfn.TEXTBEFORE(_xlfn.TEXTAFTER(CantoralDB[[#This Row],[index.html]],"&gt;"),"&gt;")&amp;"&gt;"</f>
        <v>&lt;a href="canciones/pelayo_sanchez/fuente_de_paz_y_fidelidad.html"&gt;</v>
      </c>
      <c r="Y2108"/>
      <c r="AC2108" s="1"/>
    </row>
    <row r="2109" spans="1:29" x14ac:dyDescent="0.3">
      <c r="A2109" s="1">
        <f>ROW(CantoralDB[[#This Row],[Título]])-1</f>
        <v>2108</v>
      </c>
      <c r="B2109" s="1" t="s">
        <v>2485</v>
      </c>
      <c r="C2109" s="1"/>
      <c r="F2109" s="1">
        <v>107</v>
      </c>
      <c r="J2109" s="1"/>
      <c r="M2109" s="15" t="s">
        <v>568</v>
      </c>
      <c r="O2109" s="15"/>
      <c r="P2109" s="15"/>
      <c r="Q2109" s="15" t="str" cm="1">
        <f t="array" ref="Q21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09" s="15" t="str" cm="1">
        <f t="array" ref="R21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canciones/pelayo_sanchez/jesus_esta_en_ti.html</v>
      </c>
      <c r="T2109" s="1"/>
      <c r="U2109" s="1"/>
      <c r="V2109" s="32" t="s">
        <v>4527</v>
      </c>
      <c r="W21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data-nrcc="107"&gt;&lt;a href="canciones/pelayo_sanchez/jesus_esta_en_ti.html"&gt;Jesús está en ti&lt;/a&gt;&lt;/li&gt;</v>
      </c>
      <c r="X2109" s="15" t="str">
        <f>_xlfn.TEXTBEFORE(_xlfn.TEXTAFTER(CantoralDB[[#This Row],[index.html]],"&gt;"),"&gt;")&amp;"&gt;"</f>
        <v>&lt;a href="canciones/pelayo_sanchez/jesus_esta_en_ti.html"&gt;</v>
      </c>
      <c r="Y2109"/>
      <c r="AC2109" s="1"/>
    </row>
    <row r="2110" spans="1:29" x14ac:dyDescent="0.3">
      <c r="A2110" s="1">
        <f>ROW(CantoralDB[[#This Row],[Título]])-1</f>
        <v>2109</v>
      </c>
      <c r="B2110" s="1" t="s">
        <v>2488</v>
      </c>
      <c r="C2110" s="1"/>
      <c r="F2110" s="1">
        <v>111</v>
      </c>
      <c r="J2110" s="1"/>
      <c r="M2110" s="15" t="s">
        <v>568</v>
      </c>
      <c r="O2110" s="15"/>
      <c r="P2110" s="15"/>
      <c r="Q2110" s="15" t="str" cm="1">
        <f t="array" ref="Q21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10" s="15" t="str" cm="1">
        <f t="array" ref="R21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canciones/pelayo_sanchez/mira_oh_dios.html</v>
      </c>
      <c r="T2110" s="1"/>
      <c r="U2110" s="1"/>
      <c r="V2110" s="32" t="s">
        <v>4580</v>
      </c>
      <c r="W21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data-nrcc="111"&gt;&lt;a href="canciones/pelayo_sanchez/mira_oh_dios.html"&gt;Mira, oh, Dios&lt;/a&gt;&lt;/li&gt;</v>
      </c>
      <c r="X2110" s="15" t="str">
        <f>_xlfn.TEXTBEFORE(_xlfn.TEXTAFTER(CantoralDB[[#This Row],[index.html]],"&gt;"),"&gt;")&amp;"&gt;"</f>
        <v>&lt;a href="canciones/pelayo_sanchez/mira_oh_dios.html"&gt;</v>
      </c>
      <c r="Y2110"/>
      <c r="AC2110" s="1"/>
    </row>
    <row r="2111" spans="1:29" x14ac:dyDescent="0.3">
      <c r="A2111" s="1">
        <f>ROW(CantoralDB[[#This Row],[Título]])-1</f>
        <v>2110</v>
      </c>
      <c r="B2111" s="1" t="s">
        <v>140</v>
      </c>
      <c r="C2111" s="1" t="s">
        <v>192</v>
      </c>
      <c r="D2111" s="1" t="s">
        <v>1467</v>
      </c>
      <c r="F2111" s="1">
        <v>329</v>
      </c>
      <c r="G2111" s="1" t="s">
        <v>208</v>
      </c>
      <c r="H2111" s="1" t="s">
        <v>529</v>
      </c>
      <c r="J2111" s="1" t="s">
        <v>605</v>
      </c>
      <c r="M2111" s="15" t="s">
        <v>568</v>
      </c>
      <c r="O2111" s="15"/>
      <c r="P2111" s="15"/>
      <c r="Q2111" s="15" t="str" cm="1">
        <f t="array" ref="Q21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11" s="15" t="str" cm="1">
        <f t="array" ref="R21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canciones/pelayo_sanchez/te_damos_gracias_señor.html</v>
      </c>
      <c r="T2111" s="1"/>
      <c r="U2111" s="1"/>
      <c r="V2111" s="32" t="s">
        <v>4921</v>
      </c>
      <c r="W21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data-momento="Gloria" data-nnew="C07" data-nrcc="329"&gt;&lt;a href="canciones/pelayo_sanchez/te_damos_gracias_señor.html"&gt;Te damos gracias, Señor&lt;/a&gt;&lt;/li&gt;</v>
      </c>
      <c r="X2111" s="15" t="str">
        <f>_xlfn.TEXTBEFORE(_xlfn.TEXTAFTER(CantoralDB[[#This Row],[index.html]],"&gt;"),"&gt;")&amp;"&gt;"</f>
        <v>&lt;a href="canciones/pelayo_sanchez/te_damos_gracias_señor.html"&gt;</v>
      </c>
      <c r="Y2111"/>
      <c r="AC2111" s="1"/>
    </row>
    <row r="2112" spans="1:29" x14ac:dyDescent="0.3">
      <c r="A2112" s="1">
        <f>ROW(CantoralDB[[#This Row],[Título]])-1</f>
        <v>2111</v>
      </c>
      <c r="B2112" s="1" t="s">
        <v>2660</v>
      </c>
      <c r="C2112" s="1"/>
      <c r="F2112" s="1">
        <v>290</v>
      </c>
      <c r="J2112" s="1"/>
      <c r="M2112" s="15" t="s">
        <v>568</v>
      </c>
      <c r="O2112" s="15"/>
      <c r="P2112" s="15"/>
      <c r="Q2112" s="15" t="str" cm="1">
        <f t="array" ref="Q21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12" s="15" t="str" cm="1">
        <f t="array" ref="R21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canciones/pelayo_sanchez/ved_a_cristo.html</v>
      </c>
      <c r="T2112" s="1"/>
      <c r="U2112" s="1"/>
      <c r="V2112" s="32" t="s">
        <v>4532</v>
      </c>
      <c r="W21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data-nrcc="290"&gt;&lt;a href="canciones/pelayo_sanchez/ved_a_cristo.html"&gt;Ved a Cristo&lt;/a&gt;&lt;/li&gt;</v>
      </c>
      <c r="X2112" s="15" t="str">
        <f>_xlfn.TEXTBEFORE(_xlfn.TEXTAFTER(CantoralDB[[#This Row],[index.html]],"&gt;"),"&gt;")&amp;"&gt;"</f>
        <v>&lt;a href="canciones/pelayo_sanchez/ved_a_cristo.html"&gt;</v>
      </c>
      <c r="Y2112"/>
      <c r="AC2112" s="1"/>
    </row>
    <row r="2113" spans="1:29" x14ac:dyDescent="0.3">
      <c r="A2113" s="1">
        <f>ROW(CantoralDB[[#This Row],[Título]])-1</f>
        <v>2112</v>
      </c>
      <c r="B2113" s="1" t="s">
        <v>2683</v>
      </c>
      <c r="C2113" s="1"/>
      <c r="F2113" s="1">
        <v>313</v>
      </c>
      <c r="J2113" s="1"/>
      <c r="M2113" s="15" t="s">
        <v>568</v>
      </c>
      <c r="O2113" s="15"/>
      <c r="P2113" s="15"/>
      <c r="Q2113" s="15" t="str" cm="1">
        <f t="array" ref="Q21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pelayo_sanchez</v>
      </c>
      <c r="R2113" s="15" t="str" cm="1">
        <f t="array" ref="R21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canciones/pelayo_sanchez/ven_a_cantar.html</v>
      </c>
      <c r="T2113" s="1"/>
      <c r="U2113" s="1"/>
      <c r="V2113" s="32" t="s">
        <v>4442</v>
      </c>
      <c r="W21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data-author="Pelayo Sánchez" data-nrcc="313"&gt;&lt;a href="canciones/pelayo_sanchez/ven_a_cantar.html"&gt;Ven a cantar&lt;/a&gt;&lt;/li&gt;</v>
      </c>
      <c r="X2113" s="15" t="str">
        <f>_xlfn.TEXTBEFORE(_xlfn.TEXTAFTER(CantoralDB[[#This Row],[index.html]],"&gt;"),"&gt;")&amp;"&gt;"</f>
        <v>&lt;a href="canciones/pelayo_sanchez/ven_a_cantar.html"&gt;</v>
      </c>
      <c r="Y2113"/>
      <c r="AC2113" s="1"/>
    </row>
    <row r="2114" spans="1:29" x14ac:dyDescent="0.3">
      <c r="A2114" s="1">
        <f>ROW(CantoralDB[[#This Row],[Título]])-1</f>
        <v>2113</v>
      </c>
      <c r="B2114" s="1" t="s">
        <v>1153</v>
      </c>
      <c r="C2114" s="1"/>
      <c r="E2114" s="1">
        <v>5</v>
      </c>
      <c r="H2114" s="1" t="s">
        <v>472</v>
      </c>
      <c r="J2114" s="1" t="s">
        <v>605</v>
      </c>
      <c r="M2114" s="15" t="s">
        <v>2135</v>
      </c>
      <c r="O2114" s="15"/>
      <c r="P2114" s="15"/>
      <c r="Q2114" s="15" t="str" cm="1">
        <f t="array" ref="Q21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4" s="15" t="str" cm="1">
        <f t="array" ref="R21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canciones/perpetuo_socorro/abrid_de_par_en_par.html</v>
      </c>
      <c r="T2114" s="1"/>
      <c r="U2114" s="1"/>
      <c r="V2114" s="15"/>
      <c r="W21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data-nold="5"&gt;&lt;a href="canciones/perpetuo_socorro/abrid_de_par_en_par.html"&gt;Abrid de par en par&lt;/a&gt;&lt;/li&gt;</v>
      </c>
      <c r="X2114" s="15" t="str">
        <f>_xlfn.TEXTBEFORE(_xlfn.TEXTAFTER(CantoralDB[[#This Row],[index.html]],"&gt;"),"&gt;")&amp;"&gt;"</f>
        <v>&lt;a href="canciones/perpetuo_socorro/abrid_de_par_en_par.html"&gt;</v>
      </c>
      <c r="Y2114"/>
      <c r="AC2114" s="1"/>
    </row>
    <row r="2115" spans="1:29" x14ac:dyDescent="0.3">
      <c r="A2115" s="1">
        <f>ROW(CantoralDB[[#This Row],[Título]])-1</f>
        <v>2114</v>
      </c>
      <c r="B2115" s="1" t="s">
        <v>2874</v>
      </c>
      <c r="C2115" s="1"/>
      <c r="E2115" s="1">
        <v>7</v>
      </c>
      <c r="H2115" s="1" t="s">
        <v>1025</v>
      </c>
      <c r="J2115" s="1" t="s">
        <v>605</v>
      </c>
      <c r="M2115" s="15" t="s">
        <v>2135</v>
      </c>
      <c r="O2115" s="15"/>
      <c r="P2115" s="15"/>
      <c r="Q2115" s="15" t="str" cm="1">
        <f t="array" ref="Q21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5" s="15" t="str" cm="1">
        <f t="array" ref="R21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canciones/perpetuo_socorro/amaras_al_señor_tu_dios.html</v>
      </c>
      <c r="T2115" s="1"/>
      <c r="U2115" s="1"/>
      <c r="V2115" s="15"/>
      <c r="W21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data-nold="7"&gt;&lt;a href="canciones/perpetuo_socorro/amaras_al_señor_tu_dios.html"&gt;Amarás al Señor tu Dios&lt;/a&gt;&lt;/li&gt;</v>
      </c>
      <c r="X2115" s="15" t="str">
        <f>_xlfn.TEXTBEFORE(_xlfn.TEXTAFTER(CantoralDB[[#This Row],[index.html]],"&gt;"),"&gt;")&amp;"&gt;"</f>
        <v>&lt;a href="canciones/perpetuo_socorro/amaras_al_señor_tu_dios.html"&gt;</v>
      </c>
      <c r="Y2115"/>
      <c r="AC2115" s="1"/>
    </row>
    <row r="2116" spans="1:29" x14ac:dyDescent="0.3">
      <c r="A2116" s="1">
        <f>ROW(CantoralDB[[#This Row],[Título]])-1</f>
        <v>2115</v>
      </c>
      <c r="B2116" s="1" t="s">
        <v>1247</v>
      </c>
      <c r="C2116" s="1"/>
      <c r="E2116" s="1">
        <v>112</v>
      </c>
      <c r="I2116" s="1" t="s">
        <v>5061</v>
      </c>
      <c r="J2116" s="1" t="s">
        <v>605</v>
      </c>
      <c r="M2116" s="15" t="s">
        <v>2135</v>
      </c>
      <c r="O2116" s="15"/>
      <c r="P2116" s="15"/>
      <c r="Q2116" s="15" t="str" cm="1">
        <f t="array" ref="Q21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6" s="15" t="str" cm="1">
        <f t="array" ref="R21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canciones/perpetuo_socorro/escuchad_escuchad.html</v>
      </c>
      <c r="T2116" s="1"/>
      <c r="U2116" s="1"/>
      <c r="V2116" s="15"/>
      <c r="W21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data-nold="112"&gt;&lt;a href="canciones/perpetuo_socorro/escuchad_escuchad.html"&gt;Escuchad, escuchad&lt;/a&gt;&lt;/li&gt;</v>
      </c>
      <c r="X2116" s="15" t="str">
        <f>_xlfn.TEXTBEFORE(_xlfn.TEXTAFTER(CantoralDB[[#This Row],[index.html]],"&gt;"),"&gt;")&amp;"&gt;"</f>
        <v>&lt;a href="canciones/perpetuo_socorro/escuchad_escuchad.html"&gt;</v>
      </c>
      <c r="Y2116"/>
      <c r="AC2116" s="1"/>
    </row>
    <row r="2117" spans="1:29" x14ac:dyDescent="0.3">
      <c r="A2117" s="1">
        <f>ROW(CantoralDB[[#This Row],[Título]])-1</f>
        <v>2116</v>
      </c>
      <c r="B2117" s="1" t="s">
        <v>107</v>
      </c>
      <c r="C2117" s="1" t="s">
        <v>197</v>
      </c>
      <c r="D2117" s="1" t="s">
        <v>1446</v>
      </c>
      <c r="E2117" s="1">
        <v>195</v>
      </c>
      <c r="F2117" s="1">
        <v>5</v>
      </c>
      <c r="G2117" s="1" t="s">
        <v>208</v>
      </c>
      <c r="H2117" s="1" t="s">
        <v>1027</v>
      </c>
      <c r="J2117" s="1" t="s">
        <v>605</v>
      </c>
      <c r="M2117" s="15" t="s">
        <v>2135</v>
      </c>
      <c r="O2117" s="15"/>
      <c r="P2117" s="15"/>
      <c r="Q2117" s="15" t="str" cm="1">
        <f t="array" ref="Q21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7" s="15" t="str" cm="1">
        <f t="array" ref="R21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canciones/perpetuo_socorro/padre_unenos.html</v>
      </c>
      <c r="T2117" s="1"/>
      <c r="U2117" s="1"/>
      <c r="V2117" s="32" t="s">
        <v>4538</v>
      </c>
      <c r="W21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data-momento="Paz" data-nnew="I05" data-nold="195" data-nrcc="5"&gt;&lt;a href="canciones/perpetuo_socorro/padre_unenos.html"&gt;Padre, únenos&lt;/a&gt;&lt;/li&gt;</v>
      </c>
      <c r="X2117" s="15" t="str">
        <f>_xlfn.TEXTBEFORE(_xlfn.TEXTAFTER(CantoralDB[[#This Row],[index.html]],"&gt;"),"&gt;")&amp;"&gt;"</f>
        <v>&lt;a href="canciones/perpetuo_socorro/padre_unenos.html"&gt;</v>
      </c>
      <c r="Y2117"/>
      <c r="AC2117" s="1"/>
    </row>
    <row r="2118" spans="1:29" x14ac:dyDescent="0.3">
      <c r="A2118" s="1">
        <f>ROW(CantoralDB[[#This Row],[Título]])-1</f>
        <v>2117</v>
      </c>
      <c r="B2118" s="1" t="s">
        <v>1312</v>
      </c>
      <c r="C2118" s="1"/>
      <c r="E2118" s="1">
        <v>230</v>
      </c>
      <c r="H2118" s="1" t="s">
        <v>1027</v>
      </c>
      <c r="J2118" s="1" t="s">
        <v>605</v>
      </c>
      <c r="M2118" s="15" t="s">
        <v>2135</v>
      </c>
      <c r="O2118" s="15"/>
      <c r="P2118" s="15"/>
      <c r="Q2118" s="15" t="str" cm="1">
        <f t="array" ref="Q21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8" s="15" t="str" cm="1">
        <f t="array" ref="R21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canciones/perpetuo_socorro/señor_guiame_por_el_sendero.html</v>
      </c>
      <c r="T2118" s="1"/>
      <c r="U2118" s="1"/>
      <c r="V2118" s="15"/>
      <c r="W21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data-nold="230"&gt;&lt;a href="canciones/perpetuo_socorro/señor_guiame_por_el_sendero.html"&gt;Señor, guíame por el sendero&lt;/a&gt;&lt;/li&gt;</v>
      </c>
      <c r="X2118" s="15" t="str">
        <f>_xlfn.TEXTBEFORE(_xlfn.TEXTAFTER(CantoralDB[[#This Row],[index.html]],"&gt;"),"&gt;")&amp;"&gt;"</f>
        <v>&lt;a href="canciones/perpetuo_socorro/señor_guiame_por_el_sendero.html"&gt;</v>
      </c>
      <c r="Y2118"/>
      <c r="AC2118" s="1"/>
    </row>
    <row r="2119" spans="1:29" x14ac:dyDescent="0.3">
      <c r="A2119" s="1">
        <f>ROW(CantoralDB[[#This Row],[Título]])-1</f>
        <v>2118</v>
      </c>
      <c r="B2119" s="1" t="s">
        <v>1332</v>
      </c>
      <c r="C2119" s="1"/>
      <c r="E2119" s="1">
        <v>263</v>
      </c>
      <c r="H2119" s="1" t="s">
        <v>1027</v>
      </c>
      <c r="J2119" s="1" t="s">
        <v>605</v>
      </c>
      <c r="M2119" s="15" t="s">
        <v>2135</v>
      </c>
      <c r="O2119" s="15"/>
      <c r="P2119" s="15"/>
      <c r="Q2119" s="15" t="str" cm="1">
        <f t="array" ref="Q21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perpetuo_socorro</v>
      </c>
      <c r="R2119" s="15" t="str" cm="1">
        <f t="array" ref="R21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canciones/perpetuo_socorro/todavia_cantamos.html</v>
      </c>
      <c r="T2119" s="1"/>
      <c r="U2119" s="1"/>
      <c r="V2119" s="15"/>
      <c r="W21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data-author="Perpetuo Socorro" data-nold="263"&gt;&lt;a href="canciones/perpetuo_socorro/todavia_cantamos.html"&gt;Todavía cantamos&lt;/a&gt;&lt;/li&gt;</v>
      </c>
      <c r="X2119" s="15" t="str">
        <f>_xlfn.TEXTBEFORE(_xlfn.TEXTAFTER(CantoralDB[[#This Row],[index.html]],"&gt;"),"&gt;")&amp;"&gt;"</f>
        <v>&lt;a href="canciones/perpetuo_socorro/todavia_cantamos.html"&gt;</v>
      </c>
      <c r="Y2119"/>
      <c r="AC2119" s="1"/>
    </row>
    <row r="2120" spans="1:29" x14ac:dyDescent="0.3">
      <c r="A2120" s="1">
        <f>ROW(CantoralDB[[#This Row],[Título]])-1</f>
        <v>2119</v>
      </c>
      <c r="B2120" s="1" t="s">
        <v>5395</v>
      </c>
      <c r="C2120" s="1"/>
      <c r="J2120" s="1"/>
      <c r="M2120" s="15" t="s">
        <v>507</v>
      </c>
      <c r="N2120" s="1" t="s">
        <v>5383</v>
      </c>
      <c r="O2120" s="15">
        <v>1</v>
      </c>
      <c r="P2120" s="15">
        <v>1970</v>
      </c>
      <c r="Q2120" s="15" t="str" cm="1">
        <f t="array" ref="Q21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0" s="15" t="str" cm="1">
        <f t="array" ref="R21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canciones/ricardo_cantalapiedra/un_hombre_vulgar.html</v>
      </c>
      <c r="T2120" s="1"/>
      <c r="U2120" s="1"/>
      <c r="V2120" s="32" t="s">
        <v>5388</v>
      </c>
      <c r="W21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href="canciones/ricardo_cantalapiedra/un_hombre_vulgar.html"&gt;Un hombre vulgar&lt;/a&gt;&lt;/li&gt;</v>
      </c>
      <c r="X2120" s="15" t="str">
        <f>_xlfn.TEXTBEFORE(_xlfn.TEXTAFTER(CantoralDB[[#This Row],[index.html]],"&gt;"),"&gt;")&amp;"&gt;"</f>
        <v>&lt;a href="canciones/ricardo_cantalapiedra/un_hombre_vulgar.html"&gt;</v>
      </c>
      <c r="Y2120"/>
      <c r="AC2120" s="1"/>
    </row>
    <row r="2121" spans="1:29" x14ac:dyDescent="0.3">
      <c r="A2121" s="1">
        <f>ROW(CantoralDB[[#This Row],[Título]])-1</f>
        <v>2120</v>
      </c>
      <c r="B2121" s="1" t="s">
        <v>5396</v>
      </c>
      <c r="C2121" s="1"/>
      <c r="J2121" s="1"/>
      <c r="M2121" s="15" t="s">
        <v>507</v>
      </c>
      <c r="N2121" s="1" t="s">
        <v>5383</v>
      </c>
      <c r="O2121" s="15">
        <v>2</v>
      </c>
      <c r="P2121" s="15">
        <v>1970</v>
      </c>
      <c r="Q2121" s="15" t="str" cm="1">
        <f t="array" ref="Q21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1" s="15" t="str" cm="1">
        <f t="array" ref="R21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canciones/ricardo_cantalapiedra/pajaro_viajero.html</v>
      </c>
      <c r="T2121" s="1"/>
      <c r="U2121" s="1"/>
      <c r="V2121" s="32" t="s">
        <v>5389</v>
      </c>
      <c r="W21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href="canciones/ricardo_cantalapiedra/pajaro_viajero.html"&gt;Pájaro viajero&lt;/a&gt;&lt;/li&gt;</v>
      </c>
      <c r="X2121" s="15" t="str">
        <f>_xlfn.TEXTBEFORE(_xlfn.TEXTAFTER(CantoralDB[[#This Row],[index.html]],"&gt;"),"&gt;")&amp;"&gt;"</f>
        <v>&lt;a href="canciones/ricardo_cantalapiedra/pajaro_viajero.html"&gt;</v>
      </c>
      <c r="Y2121"/>
      <c r="AC2121" s="1"/>
    </row>
    <row r="2122" spans="1:29" x14ac:dyDescent="0.3">
      <c r="A2122" s="1">
        <f>ROW(CantoralDB[[#This Row],[Título]])-1</f>
        <v>2121</v>
      </c>
      <c r="B2122" s="1" t="s">
        <v>1347</v>
      </c>
      <c r="C2122" s="1"/>
      <c r="E2122" s="1">
        <v>295</v>
      </c>
      <c r="H2122" s="1" t="s">
        <v>1027</v>
      </c>
      <c r="J2122" s="1" t="s">
        <v>605</v>
      </c>
      <c r="M2122" s="15" t="s">
        <v>507</v>
      </c>
      <c r="N2122" s="1" t="s">
        <v>5383</v>
      </c>
      <c r="O2122" s="15">
        <v>3</v>
      </c>
      <c r="P2122" s="15">
        <v>1970</v>
      </c>
      <c r="Q2122" s="15" t="str" cm="1">
        <f t="array" ref="Q21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2" s="15" t="str" cm="1">
        <f t="array" ref="R21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canciones/ricardo_cantalapiedra/yo_volvere_a_cantar.html</v>
      </c>
      <c r="T2122" s="1"/>
      <c r="U2122" s="1"/>
      <c r="V2122" s="32" t="s">
        <v>4929</v>
      </c>
      <c r="W21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data-nold="295"&gt;&lt;a href="canciones/ricardo_cantalapiedra/yo_volvere_a_cantar.html"&gt;Yo volveré a cantar&lt;/a&gt;&lt;/li&gt;</v>
      </c>
      <c r="X2122" s="15" t="str">
        <f>_xlfn.TEXTBEFORE(_xlfn.TEXTAFTER(CantoralDB[[#This Row],[index.html]],"&gt;"),"&gt;")&amp;"&gt;"</f>
        <v>&lt;a href="canciones/ricardo_cantalapiedra/yo_volvere_a_cantar.html"&gt;</v>
      </c>
      <c r="Y2122"/>
      <c r="AC2122" s="1"/>
    </row>
    <row r="2123" spans="1:29" x14ac:dyDescent="0.3">
      <c r="A2123" s="1">
        <f>ROW(CantoralDB[[#This Row],[Título]])-1</f>
        <v>2122</v>
      </c>
      <c r="B2123" s="1" t="s">
        <v>5397</v>
      </c>
      <c r="C2123" s="1"/>
      <c r="J2123" s="1"/>
      <c r="M2123" s="15" t="s">
        <v>507</v>
      </c>
      <c r="N2123" s="1" t="s">
        <v>5383</v>
      </c>
      <c r="O2123" s="15">
        <v>4</v>
      </c>
      <c r="P2123" s="15">
        <v>1970</v>
      </c>
      <c r="Q2123" s="15" t="str" cm="1">
        <f t="array" ref="Q21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3" s="15" t="str" cm="1">
        <f t="array" ref="R21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canciones/ricardo_cantalapiedra/pajaro_herido.html</v>
      </c>
      <c r="T2123" s="1"/>
      <c r="U2123" s="1"/>
      <c r="V2123" s="32" t="s">
        <v>5390</v>
      </c>
      <c r="W21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href="canciones/ricardo_cantalapiedra/pajaro_herido.html"&gt;Pájaro herido&lt;/a&gt;&lt;/li&gt;</v>
      </c>
      <c r="X2123" s="15" t="str">
        <f>_xlfn.TEXTBEFORE(_xlfn.TEXTAFTER(CantoralDB[[#This Row],[index.html]],"&gt;"),"&gt;")&amp;"&gt;"</f>
        <v>&lt;a href="canciones/ricardo_cantalapiedra/pajaro_herido.html"&gt;</v>
      </c>
      <c r="Y2123"/>
      <c r="AC2123" s="1"/>
    </row>
    <row r="2124" spans="1:29" x14ac:dyDescent="0.3">
      <c r="A2124" s="1">
        <f>ROW(CantoralDB[[#This Row],[Título]])-1</f>
        <v>2123</v>
      </c>
      <c r="B2124" s="1" t="s">
        <v>5398</v>
      </c>
      <c r="C2124" s="1"/>
      <c r="J2124" s="1"/>
      <c r="M2124" s="15" t="s">
        <v>507</v>
      </c>
      <c r="N2124" s="1" t="s">
        <v>5383</v>
      </c>
      <c r="O2124" s="15">
        <v>5</v>
      </c>
      <c r="P2124" s="15">
        <v>1970</v>
      </c>
      <c r="Q2124" s="15" t="str" cm="1">
        <f t="array" ref="Q21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4" s="15" t="str" cm="1">
        <f t="array" ref="R21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canciones/ricardo_cantalapiedra/balada_de_juan_español.html</v>
      </c>
      <c r="T2124" s="1"/>
      <c r="U2124" s="1"/>
      <c r="V2124" s="32" t="s">
        <v>5391</v>
      </c>
      <c r="W21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href="canciones/ricardo_cantalapiedra/balada_de_juan_español.html"&gt;Balada de Juan Español&lt;/a&gt;&lt;/li&gt;</v>
      </c>
      <c r="X2124" s="15" t="str">
        <f>_xlfn.TEXTBEFORE(_xlfn.TEXTAFTER(CantoralDB[[#This Row],[index.html]],"&gt;"),"&gt;")&amp;"&gt;"</f>
        <v>&lt;a href="canciones/ricardo_cantalapiedra/balada_de_juan_español.html"&gt;</v>
      </c>
      <c r="Y2124"/>
      <c r="AC2124" s="1"/>
    </row>
    <row r="2125" spans="1:29" x14ac:dyDescent="0.3">
      <c r="A2125" s="1">
        <f>ROW(CantoralDB[[#This Row],[Título]])-1</f>
        <v>2124</v>
      </c>
      <c r="B2125" s="1" t="s">
        <v>1178</v>
      </c>
      <c r="C2125" s="1"/>
      <c r="E2125" s="1">
        <v>53</v>
      </c>
      <c r="H2125" s="1" t="s">
        <v>529</v>
      </c>
      <c r="J2125" s="1" t="s">
        <v>605</v>
      </c>
      <c r="M2125" s="15" t="s">
        <v>507</v>
      </c>
      <c r="N2125" s="1" t="s">
        <v>5383</v>
      </c>
      <c r="O2125" s="15">
        <v>6</v>
      </c>
      <c r="P2125" s="15">
        <v>1970</v>
      </c>
      <c r="Q2125" s="15" t="str" cm="1">
        <f t="array" ref="Q21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5" s="15" t="str" cm="1">
        <f t="array" ref="R21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canciones/ricardo_cantalapiedra/como_le_cantare_al_señor.html</v>
      </c>
      <c r="T2125" s="1"/>
      <c r="U2125" s="1"/>
      <c r="V2125" s="32" t="s">
        <v>4922</v>
      </c>
      <c r="W21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data-nold="53"&gt;&lt;a href="canciones/ricardo_cantalapiedra/como_le_cantare_al_señor.html"&gt;Cómo le cantaré al Señor&lt;/a&gt;&lt;/li&gt;</v>
      </c>
      <c r="X2125" s="15" t="str">
        <f>_xlfn.TEXTBEFORE(_xlfn.TEXTAFTER(CantoralDB[[#This Row],[index.html]],"&gt;"),"&gt;")&amp;"&gt;"</f>
        <v>&lt;a href="canciones/ricardo_cantalapiedra/como_le_cantare_al_señor.html"&gt;</v>
      </c>
      <c r="Y2125"/>
      <c r="AC2125" s="1"/>
    </row>
    <row r="2126" spans="1:29" x14ac:dyDescent="0.3">
      <c r="A2126" s="1">
        <f>ROW(CantoralDB[[#This Row],[Título]])-1</f>
        <v>2125</v>
      </c>
      <c r="B2126" s="1" t="s">
        <v>5399</v>
      </c>
      <c r="C2126" s="1"/>
      <c r="J2126" s="1"/>
      <c r="M2126" s="15" t="s">
        <v>507</v>
      </c>
      <c r="N2126" s="1" t="s">
        <v>5383</v>
      </c>
      <c r="O2126" s="15">
        <v>7</v>
      </c>
      <c r="P2126" s="15">
        <v>1970</v>
      </c>
      <c r="Q2126" s="15" t="str" cm="1">
        <f t="array" ref="Q21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6" s="15" t="str" cm="1">
        <f t="array" ref="R21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canciones/ricardo_cantalapiedra/cancion_del_que_se_va.html</v>
      </c>
      <c r="T2126" s="1"/>
      <c r="U2126" s="1"/>
      <c r="V2126" s="32" t="s">
        <v>5392</v>
      </c>
      <c r="W21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href="canciones/ricardo_cantalapiedra/cancion_del_que_se_va.html"&gt;Canción del que se va&lt;/a&gt;&lt;/li&gt;</v>
      </c>
      <c r="X2126" s="15" t="str">
        <f>_xlfn.TEXTBEFORE(_xlfn.TEXTAFTER(CantoralDB[[#This Row],[index.html]],"&gt;"),"&gt;")&amp;"&gt;"</f>
        <v>&lt;a href="canciones/ricardo_cantalapiedra/cancion_del_que_se_va.html"&gt;</v>
      </c>
      <c r="Y2126"/>
      <c r="AC2126" s="1"/>
    </row>
    <row r="2127" spans="1:29" x14ac:dyDescent="0.3">
      <c r="A2127" s="1">
        <f>ROW(CantoralDB[[#This Row],[Título]])-1</f>
        <v>2126</v>
      </c>
      <c r="B2127" s="1" t="s">
        <v>5400</v>
      </c>
      <c r="C2127" s="1"/>
      <c r="J2127" s="1"/>
      <c r="M2127" s="15" t="s">
        <v>507</v>
      </c>
      <c r="N2127" s="1" t="s">
        <v>5383</v>
      </c>
      <c r="O2127" s="15">
        <v>8</v>
      </c>
      <c r="P2127" s="15">
        <v>1970</v>
      </c>
      <c r="Q2127" s="15" t="str" cm="1">
        <f t="array" ref="Q21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7" s="15" t="str" cm="1">
        <f t="array" ref="R21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canciones/ricardo_cantalapiedra/coplas_de_la_pena_negra.html</v>
      </c>
      <c r="T2127" s="1"/>
      <c r="U2127" s="1"/>
      <c r="V2127" s="32" t="s">
        <v>5393</v>
      </c>
      <c r="W21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href="canciones/ricardo_cantalapiedra/coplas_de_la_pena_negra.html"&gt;Coplas de la pena negra&lt;/a&gt;&lt;/li&gt;</v>
      </c>
      <c r="X2127" s="15" t="str">
        <f>_xlfn.TEXTBEFORE(_xlfn.TEXTAFTER(CantoralDB[[#This Row],[index.html]],"&gt;"),"&gt;")&amp;"&gt;"</f>
        <v>&lt;a href="canciones/ricardo_cantalapiedra/coplas_de_la_pena_negra.html"&gt;</v>
      </c>
      <c r="Y2127"/>
      <c r="AC2127" s="1"/>
    </row>
    <row r="2128" spans="1:29" x14ac:dyDescent="0.3">
      <c r="A2128" s="1">
        <f>ROW(CantoralDB[[#This Row],[Título]])-1</f>
        <v>2127</v>
      </c>
      <c r="B2128" s="1" t="s">
        <v>5401</v>
      </c>
      <c r="C2128" s="1"/>
      <c r="J2128" s="1"/>
      <c r="M2128" s="15" t="s">
        <v>507</v>
      </c>
      <c r="N2128" s="1" t="s">
        <v>5383</v>
      </c>
      <c r="O2128" s="15">
        <v>9</v>
      </c>
      <c r="P2128" s="15">
        <v>1970</v>
      </c>
      <c r="Q2128" s="15" t="str" cm="1">
        <f t="array" ref="Q21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8" s="15" t="str" cm="1">
        <f t="array" ref="R21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canciones/ricardo_cantalapiedra/hay_un_lugar.html</v>
      </c>
      <c r="T2128" s="1"/>
      <c r="U2128" s="1"/>
      <c r="V2128" s="32" t="s">
        <v>5403</v>
      </c>
      <c r="W21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href="canciones/ricardo_cantalapiedra/hay_un_lugar.html"&gt;Hay un lugar&lt;/a&gt;&lt;/li&gt;</v>
      </c>
      <c r="X2128" s="15" t="str">
        <f>_xlfn.TEXTBEFORE(_xlfn.TEXTAFTER(CantoralDB[[#This Row],[index.html]],"&gt;"),"&gt;")&amp;"&gt;"</f>
        <v>&lt;a href="canciones/ricardo_cantalapiedra/hay_un_lugar.html"&gt;</v>
      </c>
      <c r="Y2128"/>
      <c r="AC2128" s="1"/>
    </row>
    <row r="2129" spans="1:29" x14ac:dyDescent="0.3">
      <c r="A2129" s="1">
        <f>ROW(CantoralDB[[#This Row],[Título]])-1</f>
        <v>2128</v>
      </c>
      <c r="B2129" s="1" t="s">
        <v>1311</v>
      </c>
      <c r="C2129" s="1"/>
      <c r="E2129" s="1">
        <v>229</v>
      </c>
      <c r="I2129" s="1" t="s">
        <v>5061</v>
      </c>
      <c r="J2129" s="1" t="s">
        <v>605</v>
      </c>
      <c r="M2129" s="15" t="s">
        <v>507</v>
      </c>
      <c r="N2129" s="1" t="s">
        <v>5383</v>
      </c>
      <c r="O2129" s="15">
        <v>10</v>
      </c>
      <c r="P2129" s="15">
        <v>1970</v>
      </c>
      <c r="Q2129" s="15" t="str" cm="1">
        <f t="array" ref="Q21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29" s="15" t="str" cm="1">
        <f t="array" ref="R21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canciones/ricardo_cantalapiedra/si_no_encuentro_la_alegria.html</v>
      </c>
      <c r="T2129" s="1"/>
      <c r="U2129" s="1"/>
      <c r="V2129" s="32" t="s">
        <v>5387</v>
      </c>
      <c r="W21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data-nold="229"&gt;&lt;a href="canciones/ricardo_cantalapiedra/si_no_encuentro_la_alegria.html"&gt;Si no encuentro la alegría&lt;/a&gt;&lt;/li&gt;</v>
      </c>
      <c r="X2129" s="15" t="str">
        <f>_xlfn.TEXTBEFORE(_xlfn.TEXTAFTER(CantoralDB[[#This Row],[index.html]],"&gt;"),"&gt;")&amp;"&gt;"</f>
        <v>&lt;a href="canciones/ricardo_cantalapiedra/si_no_encuentro_la_alegria.html"&gt;</v>
      </c>
      <c r="Y2129"/>
      <c r="AC2129" s="1"/>
    </row>
    <row r="2130" spans="1:29" x14ac:dyDescent="0.3">
      <c r="A2130" s="1">
        <f>ROW(CantoralDB[[#This Row],[Título]])-1</f>
        <v>2129</v>
      </c>
      <c r="B2130" s="1" t="s">
        <v>5402</v>
      </c>
      <c r="C2130" s="1"/>
      <c r="J2130" s="1"/>
      <c r="M2130" s="15" t="s">
        <v>507</v>
      </c>
      <c r="N2130" s="1" t="s">
        <v>5383</v>
      </c>
      <c r="O2130" s="15">
        <v>11</v>
      </c>
      <c r="P2130" s="15">
        <v>1970</v>
      </c>
      <c r="Q2130" s="15" t="str" cm="1">
        <f t="array" ref="Q21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0" s="15" t="str" cm="1">
        <f t="array" ref="R21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canciones/ricardo_cantalapiedra/no_te_conozco.html</v>
      </c>
      <c r="T2130" s="1"/>
      <c r="U2130" s="1"/>
      <c r="V2130" s="32" t="s">
        <v>5404</v>
      </c>
      <c r="W21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href="canciones/ricardo_cantalapiedra/no_te_conozco.html"&gt;No te conozco&lt;/a&gt;&lt;/li&gt;</v>
      </c>
      <c r="X2130" s="15" t="str">
        <f>_xlfn.TEXTBEFORE(_xlfn.TEXTAFTER(CantoralDB[[#This Row],[index.html]],"&gt;"),"&gt;")&amp;"&gt;"</f>
        <v>&lt;a href="canciones/ricardo_cantalapiedra/no_te_conozco.html"&gt;</v>
      </c>
      <c r="Y2130"/>
      <c r="AC2130" s="1"/>
    </row>
    <row r="2131" spans="1:29" x14ac:dyDescent="0.3">
      <c r="A2131" s="1">
        <f>ROW(CantoralDB[[#This Row],[Título]])-1</f>
        <v>2130</v>
      </c>
      <c r="B2131" s="1" t="s">
        <v>5407</v>
      </c>
      <c r="C2131" s="1"/>
      <c r="J2131" s="1"/>
      <c r="M2131" s="15" t="s">
        <v>507</v>
      </c>
      <c r="N2131" s="1" t="s">
        <v>5385</v>
      </c>
      <c r="O2131" s="15">
        <v>1</v>
      </c>
      <c r="P2131" s="15">
        <v>1972</v>
      </c>
      <c r="Q2131" s="15" t="str" cm="1">
        <f t="array" ref="Q21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1" s="15" t="str" cm="1">
        <f t="array" ref="R21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canciones/ricardo_cantalapiedra/donde_estan_los_profetas.html</v>
      </c>
      <c r="T2131" s="1"/>
      <c r="U2131" s="1"/>
      <c r="V2131" s="32" t="s">
        <v>5405</v>
      </c>
      <c r="W21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href="canciones/ricardo_cantalapiedra/donde_estan_los_profetas.html"&gt;Dónde están los profetas&lt;/a&gt;&lt;/li&gt;</v>
      </c>
      <c r="X2131" s="15" t="str">
        <f>_xlfn.TEXTBEFORE(_xlfn.TEXTAFTER(CantoralDB[[#This Row],[index.html]],"&gt;"),"&gt;")&amp;"&gt;"</f>
        <v>&lt;a href="canciones/ricardo_cantalapiedra/donde_estan_los_profetas.html"&gt;</v>
      </c>
      <c r="Y2131"/>
      <c r="AC2131" s="1"/>
    </row>
    <row r="2132" spans="1:29" x14ac:dyDescent="0.3">
      <c r="A2132" s="1">
        <f>ROW(CantoralDB[[#This Row],[Título]])-1</f>
        <v>2131</v>
      </c>
      <c r="B2132" s="1" t="s">
        <v>5408</v>
      </c>
      <c r="C2132" s="1"/>
      <c r="J2132" s="1"/>
      <c r="M2132" s="15" t="s">
        <v>507</v>
      </c>
      <c r="N2132" s="1" t="s">
        <v>5385</v>
      </c>
      <c r="O2132" s="15">
        <v>2</v>
      </c>
      <c r="P2132" s="15">
        <v>1972</v>
      </c>
      <c r="Q2132" s="15" t="str" cm="1">
        <f t="array" ref="Q21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2" s="15" t="str" cm="1">
        <f t="array" ref="R21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canciones/ricardo_cantalapiedra/en_lo_alto.html</v>
      </c>
      <c r="T2132" s="1"/>
      <c r="U2132" s="1"/>
      <c r="V2132" s="32" t="s">
        <v>5406</v>
      </c>
      <c r="W21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href="canciones/ricardo_cantalapiedra/en_lo_alto.html"&gt;En lo alto&lt;/a&gt;&lt;/li&gt;</v>
      </c>
      <c r="X2132" s="15" t="str">
        <f>_xlfn.TEXTBEFORE(_xlfn.TEXTAFTER(CantoralDB[[#This Row],[index.html]],"&gt;"),"&gt;")&amp;"&gt;"</f>
        <v>&lt;a href="canciones/ricardo_cantalapiedra/en_lo_alto.html"&gt;</v>
      </c>
      <c r="Y2132"/>
      <c r="AC2132" s="1"/>
    </row>
    <row r="2133" spans="1:29" x14ac:dyDescent="0.3">
      <c r="A2133" s="1">
        <f>ROW(CantoralDB[[#This Row],[Título]])-1</f>
        <v>2132</v>
      </c>
      <c r="B2133" s="1" t="s">
        <v>1280</v>
      </c>
      <c r="C2133" s="1"/>
      <c r="E2133" s="1">
        <v>172</v>
      </c>
      <c r="H2133" s="1" t="s">
        <v>1027</v>
      </c>
      <c r="J2133" s="1" t="s">
        <v>605</v>
      </c>
      <c r="M2133" s="15" t="s">
        <v>507</v>
      </c>
      <c r="N2133" s="1" t="s">
        <v>5385</v>
      </c>
      <c r="O2133" s="15">
        <v>3</v>
      </c>
      <c r="P2133" s="15">
        <v>1972</v>
      </c>
      <c r="Q2133" s="15" t="str" cm="1">
        <f t="array" ref="Q21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3" s="15" t="str" cm="1">
        <f t="array" ref="R21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canciones/ricardo_cantalapiedra/no_queremos_a_los_grandes_palabreros.html</v>
      </c>
      <c r="T2133" s="1"/>
      <c r="U2133" s="1"/>
      <c r="V2133" s="32" t="s">
        <v>5386</v>
      </c>
      <c r="W21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data-nold="172"&gt;&lt;a href="canciones/ricardo_cantalapiedra/no_queremos_a_los_grandes_palabreros.html"&gt;No queremos a los grandes palabreros&lt;/a&gt;&lt;/li&gt;</v>
      </c>
      <c r="X2133" s="15" t="str">
        <f>_xlfn.TEXTBEFORE(_xlfn.TEXTAFTER(CantoralDB[[#This Row],[index.html]],"&gt;"),"&gt;")&amp;"&gt;"</f>
        <v>&lt;a href="canciones/ricardo_cantalapiedra/no_queremos_a_los_grandes_palabreros.html"&gt;</v>
      </c>
      <c r="Y2133"/>
      <c r="AC2133" s="1"/>
    </row>
    <row r="2134" spans="1:29" x14ac:dyDescent="0.3">
      <c r="A2134" s="1">
        <f>ROW(CantoralDB[[#This Row],[Título]])-1</f>
        <v>2133</v>
      </c>
      <c r="B2134" s="1" t="s">
        <v>5409</v>
      </c>
      <c r="C2134" s="1"/>
      <c r="J2134" s="1"/>
      <c r="M2134" s="15" t="s">
        <v>507</v>
      </c>
      <c r="N2134" s="1" t="s">
        <v>5385</v>
      </c>
      <c r="O2134" s="15">
        <v>4</v>
      </c>
      <c r="P2134" s="15">
        <v>1972</v>
      </c>
      <c r="Q2134" s="15" t="str" cm="1">
        <f t="array" ref="Q21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4" s="15" t="str" cm="1">
        <f t="array" ref="R21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canciones/ricardo_cantalapiedra/cancion_para_no_matar.html</v>
      </c>
      <c r="T2134" s="1"/>
      <c r="U2134" s="1"/>
      <c r="V2134" s="32" t="s">
        <v>5415</v>
      </c>
      <c r="W21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href="canciones/ricardo_cantalapiedra/cancion_para_no_matar.html"&gt;Canción para no matar&lt;/a&gt;&lt;/li&gt;</v>
      </c>
      <c r="X2134" s="15" t="str">
        <f>_xlfn.TEXTBEFORE(_xlfn.TEXTAFTER(CantoralDB[[#This Row],[index.html]],"&gt;"),"&gt;")&amp;"&gt;"</f>
        <v>&lt;a href="canciones/ricardo_cantalapiedra/cancion_para_no_matar.html"&gt;</v>
      </c>
      <c r="Y2134"/>
      <c r="AC2134" s="1"/>
    </row>
    <row r="2135" spans="1:29" x14ac:dyDescent="0.3">
      <c r="A2135" s="1">
        <f>ROW(CantoralDB[[#This Row],[Título]])-1</f>
        <v>2134</v>
      </c>
      <c r="B2135" s="1" t="s">
        <v>489</v>
      </c>
      <c r="C2135" s="1"/>
      <c r="J2135" s="1"/>
      <c r="M2135" s="15" t="s">
        <v>507</v>
      </c>
      <c r="N2135" s="1" t="s">
        <v>5385</v>
      </c>
      <c r="O2135" s="15">
        <v>5</v>
      </c>
      <c r="P2135" s="15">
        <v>1972</v>
      </c>
      <c r="Q2135" s="15" t="str" cm="1">
        <f t="array" ref="Q21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5" s="15" t="str" cm="1">
        <f t="array" ref="R21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canciones/ricardo_cantalapiedra/maranatha.html</v>
      </c>
      <c r="T2135" s="1"/>
      <c r="U2135" s="1"/>
      <c r="V2135" s="32" t="s">
        <v>5416</v>
      </c>
      <c r="W21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href="canciones/ricardo_cantalapiedra/maranatha.html"&gt;Maranatha&lt;/a&gt;&lt;/li&gt;</v>
      </c>
      <c r="X2135" s="15" t="str">
        <f>_xlfn.TEXTBEFORE(_xlfn.TEXTAFTER(CantoralDB[[#This Row],[index.html]],"&gt;"),"&gt;")&amp;"&gt;"</f>
        <v>&lt;a href="canciones/ricardo_cantalapiedra/maranatha.html"&gt;</v>
      </c>
      <c r="Y2135"/>
      <c r="AC2135" s="1"/>
    </row>
    <row r="2136" spans="1:29" x14ac:dyDescent="0.3">
      <c r="A2136" s="1">
        <f>ROW(CantoralDB[[#This Row],[Título]])-1</f>
        <v>2135</v>
      </c>
      <c r="B2136" s="1" t="s">
        <v>5410</v>
      </c>
      <c r="C2136" s="1"/>
      <c r="J2136" s="1"/>
      <c r="M2136" s="15" t="s">
        <v>507</v>
      </c>
      <c r="N2136" s="1" t="s">
        <v>5385</v>
      </c>
      <c r="O2136" s="15">
        <v>6</v>
      </c>
      <c r="P2136" s="15">
        <v>1972</v>
      </c>
      <c r="Q2136" s="15" t="str" cm="1">
        <f t="array" ref="Q21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6" s="15" t="str" cm="1">
        <f t="array" ref="R21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canciones/ricardo_cantalapiedra/exurge.html</v>
      </c>
      <c r="T2136" s="1"/>
      <c r="U2136" s="1"/>
      <c r="V2136" s="32" t="s">
        <v>5417</v>
      </c>
      <c r="W21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href="canciones/ricardo_cantalapiedra/exurge.html"&gt;Exurge&lt;/a&gt;&lt;/li&gt;</v>
      </c>
      <c r="X2136" s="15" t="str">
        <f>_xlfn.TEXTBEFORE(_xlfn.TEXTAFTER(CantoralDB[[#This Row],[index.html]],"&gt;"),"&gt;")&amp;"&gt;"</f>
        <v>&lt;a href="canciones/ricardo_cantalapiedra/exurge.html"&gt;</v>
      </c>
      <c r="Y2136"/>
      <c r="AC2136" s="1"/>
    </row>
    <row r="2137" spans="1:29" x14ac:dyDescent="0.3">
      <c r="A2137" s="1">
        <f>ROW(CantoralDB[[#This Row],[Título]])-1</f>
        <v>2136</v>
      </c>
      <c r="B2137" s="1" t="s">
        <v>1198</v>
      </c>
      <c r="C2137" s="1"/>
      <c r="E2137" s="1">
        <v>76</v>
      </c>
      <c r="H2137" s="1" t="s">
        <v>529</v>
      </c>
      <c r="I2137" s="1" t="s">
        <v>2948</v>
      </c>
      <c r="J2137" s="1" t="s">
        <v>605</v>
      </c>
      <c r="M2137" s="15" t="s">
        <v>507</v>
      </c>
      <c r="N2137" s="1" t="s">
        <v>5385</v>
      </c>
      <c r="O2137" s="15">
        <v>7</v>
      </c>
      <c r="P2137" s="15">
        <v>1972</v>
      </c>
      <c r="Q2137" s="15" t="str" cm="1">
        <f t="array" ref="Q21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7" s="15" t="str" cm="1">
        <f t="array" ref="R21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canciones/ricardo_cantalapiedra/donde_tu_dices_ley.html</v>
      </c>
      <c r="T2137" s="1"/>
      <c r="U2137" s="1"/>
      <c r="V2137" s="32" t="s">
        <v>5394</v>
      </c>
      <c r="W21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data-nold="76"&gt;&lt;a href="canciones/ricardo_cantalapiedra/donde_tu_dices_ley.html"&gt;Donde tú dices ley&lt;/a&gt;&lt;/li&gt;</v>
      </c>
      <c r="X2137" s="15" t="str">
        <f>_xlfn.TEXTBEFORE(_xlfn.TEXTAFTER(CantoralDB[[#This Row],[index.html]],"&gt;"),"&gt;")&amp;"&gt;"</f>
        <v>&lt;a href="canciones/ricardo_cantalapiedra/donde_tu_dices_ley.html"&gt;</v>
      </c>
      <c r="Y2137"/>
      <c r="AC2137" s="1"/>
    </row>
    <row r="2138" spans="1:29" x14ac:dyDescent="0.3">
      <c r="A2138" s="1">
        <f>ROW(CantoralDB[[#This Row],[Título]])-1</f>
        <v>2137</v>
      </c>
      <c r="B2138" s="1" t="s">
        <v>5411</v>
      </c>
      <c r="C2138" s="1"/>
      <c r="J2138" s="1"/>
      <c r="M2138" s="15" t="s">
        <v>507</v>
      </c>
      <c r="N2138" s="1" t="s">
        <v>5385</v>
      </c>
      <c r="O2138" s="15">
        <v>8</v>
      </c>
      <c r="P2138" s="15">
        <v>1972</v>
      </c>
      <c r="Q2138" s="15" t="str" cm="1">
        <f t="array" ref="Q21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8" s="15" t="str" cm="1">
        <f t="array" ref="R21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canciones/ricardo_cantalapiedra/el_peregrino.html</v>
      </c>
      <c r="T2138" s="1"/>
      <c r="U2138" s="1"/>
      <c r="V2138" s="32" t="s">
        <v>5418</v>
      </c>
      <c r="W21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href="canciones/ricardo_cantalapiedra/el_peregrino.html"&gt;El peregrino&lt;/a&gt;&lt;/li&gt;</v>
      </c>
      <c r="X2138" s="15" t="str">
        <f>_xlfn.TEXTBEFORE(_xlfn.TEXTAFTER(CantoralDB[[#This Row],[index.html]],"&gt;"),"&gt;")&amp;"&gt;"</f>
        <v>&lt;a href="canciones/ricardo_cantalapiedra/el_peregrino.html"&gt;</v>
      </c>
      <c r="Y2138"/>
      <c r="AC2138" s="1"/>
    </row>
    <row r="2139" spans="1:29" x14ac:dyDescent="0.3">
      <c r="A2139" s="1">
        <f>ROW(CantoralDB[[#This Row],[Título]])-1</f>
        <v>2138</v>
      </c>
      <c r="B2139" s="1" t="s">
        <v>5412</v>
      </c>
      <c r="C2139" s="1"/>
      <c r="J2139" s="1"/>
      <c r="M2139" s="15" t="s">
        <v>507</v>
      </c>
      <c r="N2139" s="1" t="s">
        <v>5385</v>
      </c>
      <c r="O2139" s="15">
        <v>9</v>
      </c>
      <c r="P2139" s="15">
        <v>1972</v>
      </c>
      <c r="Q2139" s="15" t="str" cm="1">
        <f t="array" ref="Q21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39" s="15" t="str" cm="1">
        <f t="array" ref="R21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canciones/ricardo_cantalapiedra/malaventuranzas.html</v>
      </c>
      <c r="T2139" s="1"/>
      <c r="U2139" s="1"/>
      <c r="V2139" s="32" t="s">
        <v>5419</v>
      </c>
      <c r="W21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href="canciones/ricardo_cantalapiedra/malaventuranzas.html"&gt;Malaventuranzas&lt;/a&gt;&lt;/li&gt;</v>
      </c>
      <c r="X2139" s="15" t="str">
        <f>_xlfn.TEXTBEFORE(_xlfn.TEXTAFTER(CantoralDB[[#This Row],[index.html]],"&gt;"),"&gt;")&amp;"&gt;"</f>
        <v>&lt;a href="canciones/ricardo_cantalapiedra/malaventuranzas.html"&gt;</v>
      </c>
      <c r="Y2139"/>
      <c r="AC2139" s="1"/>
    </row>
    <row r="2140" spans="1:29" x14ac:dyDescent="0.3">
      <c r="A2140" s="1">
        <f>ROW(CantoralDB[[#This Row],[Título]])-1</f>
        <v>2139</v>
      </c>
      <c r="B2140" s="1" t="s">
        <v>5385</v>
      </c>
      <c r="C2140" s="1"/>
      <c r="J2140" s="1"/>
      <c r="M2140" s="15" t="s">
        <v>507</v>
      </c>
      <c r="N2140" s="1" t="s">
        <v>5385</v>
      </c>
      <c r="O2140" s="15">
        <v>10</v>
      </c>
      <c r="P2140" s="15">
        <v>1972</v>
      </c>
      <c r="Q2140" s="15" t="str" cm="1">
        <f t="array" ref="Q21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0" s="15" t="str" cm="1">
        <f t="array" ref="R21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canciones/ricardo_cantalapiedra/el_profeta.html</v>
      </c>
      <c r="T2140" s="1"/>
      <c r="U2140" s="1"/>
      <c r="V2140" s="32" t="s">
        <v>5420</v>
      </c>
      <c r="W21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href="canciones/ricardo_cantalapiedra/el_profeta.html"&gt;El profeta&lt;/a&gt;&lt;/li&gt;</v>
      </c>
      <c r="X2140" s="15" t="str">
        <f>_xlfn.TEXTBEFORE(_xlfn.TEXTAFTER(CantoralDB[[#This Row],[index.html]],"&gt;"),"&gt;")&amp;"&gt;"</f>
        <v>&lt;a href="canciones/ricardo_cantalapiedra/el_profeta.html"&gt;</v>
      </c>
      <c r="Y2140"/>
      <c r="AC2140" s="1"/>
    </row>
    <row r="2141" spans="1:29" x14ac:dyDescent="0.3">
      <c r="A2141" s="1">
        <f>ROW(CantoralDB[[#This Row],[Título]])-1</f>
        <v>2140</v>
      </c>
      <c r="B2141" s="1" t="s">
        <v>5413</v>
      </c>
      <c r="C2141" s="1"/>
      <c r="J2141" s="1"/>
      <c r="M2141" s="15" t="s">
        <v>507</v>
      </c>
      <c r="N2141" s="1" t="s">
        <v>5385</v>
      </c>
      <c r="O2141" s="15">
        <v>11</v>
      </c>
      <c r="P2141" s="15">
        <v>1972</v>
      </c>
      <c r="Q2141" s="15" t="str" cm="1">
        <f t="array" ref="Q21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1" s="15" t="str" cm="1">
        <f t="array" ref="R21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canciones/ricardo_cantalapiedra/la_casa_de_mi_amigo.html</v>
      </c>
      <c r="T2141" s="1"/>
      <c r="U2141" s="1"/>
      <c r="V2141" s="32" t="s">
        <v>5421</v>
      </c>
      <c r="W21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href="canciones/ricardo_cantalapiedra/la_casa_de_mi_amigo.html"&gt;La casa de mi amigo&lt;/a&gt;&lt;/li&gt;</v>
      </c>
      <c r="X2141" s="15" t="str">
        <f>_xlfn.TEXTBEFORE(_xlfn.TEXTAFTER(CantoralDB[[#This Row],[index.html]],"&gt;"),"&gt;")&amp;"&gt;"</f>
        <v>&lt;a href="canciones/ricardo_cantalapiedra/la_casa_de_mi_amigo.html"&gt;</v>
      </c>
      <c r="Y2141"/>
      <c r="AC2141" s="1"/>
    </row>
    <row r="2142" spans="1:29" x14ac:dyDescent="0.3">
      <c r="A2142" s="1">
        <f>ROW(CantoralDB[[#This Row],[Título]])-1</f>
        <v>2141</v>
      </c>
      <c r="B2142" s="1" t="s">
        <v>5414</v>
      </c>
      <c r="C2142" s="1"/>
      <c r="J2142" s="1"/>
      <c r="M2142" s="15" t="s">
        <v>507</v>
      </c>
      <c r="N2142" s="1" t="s">
        <v>5385</v>
      </c>
      <c r="O2142" s="15">
        <v>12</v>
      </c>
      <c r="P2142" s="15">
        <v>1972</v>
      </c>
      <c r="Q2142" s="15" t="str" cm="1">
        <f t="array" ref="Q21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2" s="15" t="str" cm="1">
        <f t="array" ref="R21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canciones/ricardo_cantalapiedra/el_trovador.html</v>
      </c>
      <c r="T2142" s="1"/>
      <c r="U2142" s="1"/>
      <c r="V2142" s="32" t="s">
        <v>5422</v>
      </c>
      <c r="W21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href="canciones/ricardo_cantalapiedra/el_trovador.html"&gt;El trovador&lt;/a&gt;&lt;/li&gt;</v>
      </c>
      <c r="X2142" s="15" t="str">
        <f>_xlfn.TEXTBEFORE(_xlfn.TEXTAFTER(CantoralDB[[#This Row],[index.html]],"&gt;"),"&gt;")&amp;"&gt;"</f>
        <v>&lt;a href="canciones/ricardo_cantalapiedra/el_trovador.html"&gt;</v>
      </c>
      <c r="Y2142"/>
      <c r="AC2142" s="1"/>
    </row>
    <row r="2143" spans="1:29" x14ac:dyDescent="0.3">
      <c r="A2143" s="1">
        <f>ROW(CantoralDB[[#This Row],[Título]])-1</f>
        <v>2142</v>
      </c>
      <c r="B2143" s="1" t="s">
        <v>2693</v>
      </c>
      <c r="C2143" s="1"/>
      <c r="J2143" s="1"/>
      <c r="M2143" s="15" t="s">
        <v>507</v>
      </c>
      <c r="N2143" s="1" t="s">
        <v>5384</v>
      </c>
      <c r="O2143" s="15">
        <v>1</v>
      </c>
      <c r="P2143" s="15">
        <v>1972</v>
      </c>
      <c r="Q2143" s="15" t="str" cm="1">
        <f t="array" ref="Q21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3" s="15" t="str" cm="1">
        <f t="array" ref="R21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canciones/ricardo_cantalapiedra/hosanna.html</v>
      </c>
      <c r="T2143" s="1"/>
      <c r="U2143" s="1"/>
      <c r="V2143" s="32" t="s">
        <v>5423</v>
      </c>
      <c r="W21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href="canciones/ricardo_cantalapiedra/hosanna.html"&gt;Hosanna&lt;/a&gt;&lt;/li&gt;</v>
      </c>
      <c r="X2143" s="15" t="str">
        <f>_xlfn.TEXTBEFORE(_xlfn.TEXTAFTER(CantoralDB[[#This Row],[index.html]],"&gt;"),"&gt;")&amp;"&gt;"</f>
        <v>&lt;a href="canciones/ricardo_cantalapiedra/hosanna.html"&gt;</v>
      </c>
      <c r="Y2143"/>
      <c r="AC2143" s="1"/>
    </row>
    <row r="2144" spans="1:29" x14ac:dyDescent="0.3">
      <c r="A2144" s="1">
        <f>ROW(CantoralDB[[#This Row],[Título]])-1</f>
        <v>2143</v>
      </c>
      <c r="B2144" s="1" t="s">
        <v>1293</v>
      </c>
      <c r="C2144" s="1"/>
      <c r="E2144" s="1">
        <v>188</v>
      </c>
      <c r="H2144" s="1" t="s">
        <v>529</v>
      </c>
      <c r="J2144" s="1" t="s">
        <v>605</v>
      </c>
      <c r="M2144" s="15" t="s">
        <v>507</v>
      </c>
      <c r="N2144" s="1" t="s">
        <v>5384</v>
      </c>
      <c r="O2144" s="15">
        <v>2</v>
      </c>
      <c r="P2144" s="15">
        <v>1972</v>
      </c>
      <c r="Q2144" s="15" t="str" cm="1">
        <f t="array" ref="Q21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4" s="15" t="str" cm="1">
        <f t="array" ref="R21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canciones/ricardo_cantalapiedra/oh_dios_por_que_nos_has_abandonado.html</v>
      </c>
      <c r="T2144" s="1"/>
      <c r="U2144" s="1"/>
      <c r="V2144" s="32" t="s">
        <v>4925</v>
      </c>
      <c r="W21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data-nold="188"&gt;&lt;a href="canciones/ricardo_cantalapiedra/oh_dios_por_que_nos_has_abandonado.html"&gt;Oh, Dios, por qué nos has abandonado&lt;/a&gt;&lt;/li&gt;</v>
      </c>
      <c r="X2144" s="15" t="str">
        <f>_xlfn.TEXTBEFORE(_xlfn.TEXTAFTER(CantoralDB[[#This Row],[index.html]],"&gt;"),"&gt;")&amp;"&gt;"</f>
        <v>&lt;a href="canciones/ricardo_cantalapiedra/oh_dios_por_que_nos_has_abandonado.html"&gt;</v>
      </c>
      <c r="Y2144"/>
      <c r="AC2144" s="1"/>
    </row>
    <row r="2145" spans="1:29" x14ac:dyDescent="0.3">
      <c r="A2145" s="1">
        <f>ROW(CantoralDB[[#This Row],[Título]])-1</f>
        <v>2144</v>
      </c>
      <c r="B2145" s="1" t="s">
        <v>104</v>
      </c>
      <c r="C2145" s="1" t="s">
        <v>200</v>
      </c>
      <c r="D2145" s="1" t="s">
        <v>667</v>
      </c>
      <c r="E2145" s="1">
        <v>192</v>
      </c>
      <c r="G2145" s="1" t="s">
        <v>208</v>
      </c>
      <c r="H2145" s="1" t="s">
        <v>529</v>
      </c>
      <c r="I2145" s="1" t="s">
        <v>2948</v>
      </c>
      <c r="J2145" s="1" t="s">
        <v>605</v>
      </c>
      <c r="M2145" s="15" t="s">
        <v>507</v>
      </c>
      <c r="N2145" s="1" t="s">
        <v>5384</v>
      </c>
      <c r="O2145" s="15">
        <v>3</v>
      </c>
      <c r="P2145" s="15">
        <v>1972</v>
      </c>
      <c r="Q2145" s="15" t="str" cm="1">
        <f t="array" ref="Q21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5" s="15" t="str" cm="1">
        <f t="array" ref="R21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canciones/ricardo_cantalapiedra/os_doy_un_mandato_nuevo.html</v>
      </c>
      <c r="T2145" s="1" t="s">
        <v>848</v>
      </c>
      <c r="U2145" s="1"/>
      <c r="V2145" s="32" t="s">
        <v>4926</v>
      </c>
      <c r="W21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data-momento="Antífonas" data-nnew="D32" data-nold="192"&gt;&lt;a href="canciones/ricardo_cantalapiedra/os_doy_un_mandato_nuevo.html"&gt;Os doy un mandato nuevo&lt;/a&gt;&lt;/li&gt;</v>
      </c>
      <c r="X2145" s="15" t="str">
        <f>_xlfn.TEXTBEFORE(_xlfn.TEXTAFTER(CantoralDB[[#This Row],[index.html]],"&gt;"),"&gt;")&amp;"&gt;"</f>
        <v>&lt;a href="canciones/ricardo_cantalapiedra/os_doy_un_mandato_nuevo.html"&gt;</v>
      </c>
      <c r="Y2145"/>
      <c r="AC2145" s="1"/>
    </row>
    <row r="2146" spans="1:29" x14ac:dyDescent="0.3">
      <c r="A2146" s="1">
        <f>ROW(CantoralDB[[#This Row],[Título]])-1</f>
        <v>2145</v>
      </c>
      <c r="B2146" s="1" t="s">
        <v>1199</v>
      </c>
      <c r="C2146" s="1"/>
      <c r="E2146" s="1">
        <v>78</v>
      </c>
      <c r="H2146" s="1" t="s">
        <v>1024</v>
      </c>
      <c r="J2146" s="1" t="s">
        <v>605</v>
      </c>
      <c r="M2146" s="15" t="s">
        <v>507</v>
      </c>
      <c r="N2146" s="1" t="s">
        <v>5384</v>
      </c>
      <c r="O2146" s="15">
        <v>4</v>
      </c>
      <c r="P2146" s="15">
        <v>1972</v>
      </c>
      <c r="Q2146" s="15" t="str" cm="1">
        <f t="array" ref="Q21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6" s="15" t="str" cm="1">
        <f t="array" ref="R21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canciones/ricardo_cantalapiedra/donde_hay_amor_alli_esta_dios.html</v>
      </c>
      <c r="T2146" s="1"/>
      <c r="U2146" s="1"/>
      <c r="V2146" s="32" t="s">
        <v>4924</v>
      </c>
      <c r="W21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data-nold="78"&gt;&lt;a href="canciones/ricardo_cantalapiedra/donde_hay_amor_alli_esta_dios.html"&gt;Donde hay amor allí está Dios&lt;/a&gt;&lt;/li&gt;</v>
      </c>
      <c r="X2146" s="15" t="str">
        <f>_xlfn.TEXTBEFORE(_xlfn.TEXTAFTER(CantoralDB[[#This Row],[index.html]],"&gt;"),"&gt;")&amp;"&gt;"</f>
        <v>&lt;a href="canciones/ricardo_cantalapiedra/donde_hay_amor_alli_esta_dios.html"&gt;</v>
      </c>
      <c r="Y2146"/>
      <c r="AC2146" s="1"/>
    </row>
    <row r="2147" spans="1:29" x14ac:dyDescent="0.3">
      <c r="A2147" s="1">
        <f>ROW(CantoralDB[[#This Row],[Título]])-1</f>
        <v>2146</v>
      </c>
      <c r="B2147" s="1" t="s">
        <v>5429</v>
      </c>
      <c r="C2147" s="1"/>
      <c r="J2147" s="1"/>
      <c r="M2147" s="15" t="s">
        <v>507</v>
      </c>
      <c r="N2147" s="1" t="s">
        <v>5384</v>
      </c>
      <c r="O2147" s="15">
        <v>5</v>
      </c>
      <c r="P2147" s="15">
        <v>1972</v>
      </c>
      <c r="Q2147" s="15" t="str" cm="1">
        <f t="array" ref="Q21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7" s="15" t="str" cm="1">
        <f t="array" ref="R21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canciones/ricardo_cantalapiedra/a_ti_encomiendo_mi_vida.html</v>
      </c>
      <c r="T2147" s="1"/>
      <c r="U2147" s="1"/>
      <c r="V2147" s="32" t="s">
        <v>5424</v>
      </c>
      <c r="W21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href="canciones/ricardo_cantalapiedra/a_ti_encomiendo_mi_vida.html"&gt;A ti encomiendo mi vida&lt;/a&gt;&lt;/li&gt;</v>
      </c>
      <c r="X2147" s="15" t="str">
        <f>_xlfn.TEXTBEFORE(_xlfn.TEXTAFTER(CantoralDB[[#This Row],[index.html]],"&gt;"),"&gt;")&amp;"&gt;"</f>
        <v>&lt;a href="canciones/ricardo_cantalapiedra/a_ti_encomiendo_mi_vida.html"&gt;</v>
      </c>
      <c r="Y2147"/>
      <c r="AC2147" s="1"/>
    </row>
    <row r="2148" spans="1:29" x14ac:dyDescent="0.3">
      <c r="A2148" s="1">
        <f>ROW(CantoralDB[[#This Row],[Título]])-1</f>
        <v>2147</v>
      </c>
      <c r="B2148" s="1" t="s">
        <v>116</v>
      </c>
      <c r="C2148" s="1" t="s">
        <v>990</v>
      </c>
      <c r="D2148" s="1" t="s">
        <v>726</v>
      </c>
      <c r="E2148" s="1">
        <v>202</v>
      </c>
      <c r="G2148" s="1" t="s">
        <v>208</v>
      </c>
      <c r="H2148" s="1" t="s">
        <v>529</v>
      </c>
      <c r="J2148" s="1" t="s">
        <v>605</v>
      </c>
      <c r="M2148" s="15" t="s">
        <v>507</v>
      </c>
      <c r="N2148" s="1" t="s">
        <v>5384</v>
      </c>
      <c r="O2148" s="15">
        <v>6</v>
      </c>
      <c r="P2148" s="15">
        <v>1972</v>
      </c>
      <c r="Q2148" s="15" t="str" cm="1">
        <f t="array" ref="Q21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8" s="15" t="str" cm="1">
        <f t="array" ref="R21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canciones/ricardo_cantalapiedra/protegeme_dios_mio.html</v>
      </c>
      <c r="T2148" s="1"/>
      <c r="U2148" s="1"/>
      <c r="V2148" s="32" t="s">
        <v>4927</v>
      </c>
      <c r="W21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data-momento="Comunión" data-nnew="K56" data-nold="202"&gt;&lt;a href="canciones/ricardo_cantalapiedra/protegeme_dios_mio.html"&gt;Protégeme, Dios mío&lt;/a&gt;&lt;/li&gt;</v>
      </c>
      <c r="X2148" s="15" t="str">
        <f>_xlfn.TEXTBEFORE(_xlfn.TEXTAFTER(CantoralDB[[#This Row],[index.html]],"&gt;"),"&gt;")&amp;"&gt;"</f>
        <v>&lt;a href="canciones/ricardo_cantalapiedra/protegeme_dios_mio.html"&gt;</v>
      </c>
      <c r="Y2148"/>
      <c r="AC2148" s="1"/>
    </row>
    <row r="2149" spans="1:29" x14ac:dyDescent="0.3">
      <c r="A2149" s="1">
        <f>ROW(CantoralDB[[#This Row],[Título]])-1</f>
        <v>2148</v>
      </c>
      <c r="B2149" s="1" t="s">
        <v>5430</v>
      </c>
      <c r="C2149" s="1"/>
      <c r="J2149" s="1"/>
      <c r="M2149" s="15" t="s">
        <v>507</v>
      </c>
      <c r="N2149" s="1" t="s">
        <v>5384</v>
      </c>
      <c r="O2149" s="15">
        <v>7</v>
      </c>
      <c r="P2149" s="15">
        <v>1972</v>
      </c>
      <c r="Q2149" s="15" t="str" cm="1">
        <f t="array" ref="Q21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49" s="15" t="str" cm="1">
        <f t="array" ref="R21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canciones/ricardo_cantalapiedra/adoracion_de_la_cruz.html</v>
      </c>
      <c r="T2149" s="1"/>
      <c r="U2149" s="1"/>
      <c r="V2149" s="32" t="s">
        <v>5425</v>
      </c>
      <c r="W21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href="canciones/ricardo_cantalapiedra/adoracion_de_la_cruz.html"&gt;Adoración de la Cruz&lt;/a&gt;&lt;/li&gt;</v>
      </c>
      <c r="X2149" s="15" t="str">
        <f>_xlfn.TEXTBEFORE(_xlfn.TEXTAFTER(CantoralDB[[#This Row],[index.html]],"&gt;"),"&gt;")&amp;"&gt;"</f>
        <v>&lt;a href="canciones/ricardo_cantalapiedra/adoracion_de_la_cruz.html"&gt;</v>
      </c>
      <c r="Y2149"/>
      <c r="AC2149" s="1"/>
    </row>
    <row r="2150" spans="1:29" x14ac:dyDescent="0.3">
      <c r="A2150" s="1">
        <f>ROW(CantoralDB[[#This Row],[Título]])-1</f>
        <v>2149</v>
      </c>
      <c r="B2150" s="1" t="s">
        <v>5431</v>
      </c>
      <c r="C2150" s="1"/>
      <c r="J2150" s="1"/>
      <c r="M2150" s="15" t="s">
        <v>507</v>
      </c>
      <c r="N2150" s="1" t="s">
        <v>5384</v>
      </c>
      <c r="O2150" s="15">
        <v>8</v>
      </c>
      <c r="P2150" s="15">
        <v>1972</v>
      </c>
      <c r="Q2150" s="15" t="str" cm="1">
        <f t="array" ref="Q21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0" s="15" t="str" cm="1">
        <f t="array" ref="R21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canciones/ricardo_cantalapiedra/alabad_el_nombre_de_yahveh.html</v>
      </c>
      <c r="T2150" s="1"/>
      <c r="U2150" s="1"/>
      <c r="V2150" s="32" t="s">
        <v>5426</v>
      </c>
      <c r="W21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href="canciones/ricardo_cantalapiedra/alabad_el_nombre_de_yahveh.html"&gt;Alabad el nombre de Yahveh&lt;/a&gt;&lt;/li&gt;</v>
      </c>
      <c r="X2150" s="15" t="str">
        <f>_xlfn.TEXTBEFORE(_xlfn.TEXTAFTER(CantoralDB[[#This Row],[index.html]],"&gt;"),"&gt;")&amp;"&gt;"</f>
        <v>&lt;a href="canciones/ricardo_cantalapiedra/alabad_el_nombre_de_yahveh.html"&gt;</v>
      </c>
      <c r="Y2150"/>
      <c r="AC2150" s="1"/>
    </row>
    <row r="2151" spans="1:29" x14ac:dyDescent="0.3">
      <c r="A2151" s="1">
        <f>ROW(CantoralDB[[#This Row],[Título]])-1</f>
        <v>2150</v>
      </c>
      <c r="B2151" s="1" t="s">
        <v>117</v>
      </c>
      <c r="C2151" s="1" t="s">
        <v>990</v>
      </c>
      <c r="D2151" s="1" t="s">
        <v>991</v>
      </c>
      <c r="E2151" s="1">
        <v>205</v>
      </c>
      <c r="G2151" s="1" t="s">
        <v>208</v>
      </c>
      <c r="H2151" s="1" t="s">
        <v>529</v>
      </c>
      <c r="I2151" s="1" t="s">
        <v>2945</v>
      </c>
      <c r="J2151" s="1" t="s">
        <v>605</v>
      </c>
      <c r="M2151" s="15" t="s">
        <v>507</v>
      </c>
      <c r="N2151" s="1" t="s">
        <v>5384</v>
      </c>
      <c r="O2151" s="15">
        <v>9</v>
      </c>
      <c r="P2151" s="15">
        <v>1972</v>
      </c>
      <c r="Q2151" s="15" t="str" cm="1">
        <f t="array" ref="Q21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1" s="15" t="str" cm="1">
        <f t="array" ref="R21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canciones/ricardo_cantalapiedra/pueblo_mio.html</v>
      </c>
      <c r="T2151" s="1" t="s">
        <v>853</v>
      </c>
      <c r="U2151" s="1"/>
      <c r="V2151" s="32" t="s">
        <v>2997</v>
      </c>
      <c r="W21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data-momento="Comunión" data-nnew="K57" data-nold="205"&gt;&lt;a href="canciones/ricardo_cantalapiedra/pueblo_mio.html"&gt;Pueblo mío&lt;/a&gt;&lt;/li&gt;</v>
      </c>
      <c r="X2151" s="15" t="str">
        <f>_xlfn.TEXTBEFORE(_xlfn.TEXTAFTER(CantoralDB[[#This Row],[index.html]],"&gt;"),"&gt;")&amp;"&gt;"</f>
        <v>&lt;a href="canciones/ricardo_cantalapiedra/pueblo_mio.html"&gt;</v>
      </c>
      <c r="Y2151"/>
      <c r="AC2151" s="1"/>
    </row>
    <row r="2152" spans="1:29" x14ac:dyDescent="0.3">
      <c r="A2152" s="1">
        <f>ROW(CantoralDB[[#This Row],[Título]])-1</f>
        <v>2151</v>
      </c>
      <c r="B2152" s="1" t="s">
        <v>141</v>
      </c>
      <c r="C2152" s="1" t="s">
        <v>200</v>
      </c>
      <c r="D2152" s="1" t="s">
        <v>671</v>
      </c>
      <c r="E2152" s="1">
        <v>257</v>
      </c>
      <c r="G2152" s="1" t="s">
        <v>208</v>
      </c>
      <c r="H2152" s="1" t="s">
        <v>529</v>
      </c>
      <c r="J2152" s="1" t="s">
        <v>605</v>
      </c>
      <c r="M2152" s="15" t="s">
        <v>507</v>
      </c>
      <c r="N2152" s="1" t="s">
        <v>5384</v>
      </c>
      <c r="O2152" s="15">
        <v>10</v>
      </c>
      <c r="P2152" s="15">
        <v>1972</v>
      </c>
      <c r="Q2152" s="15" t="str" cm="1">
        <f t="array" ref="Q21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2" s="15" t="str" cm="1">
        <f t="array" ref="R21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canciones/ricardo_cantalapiedra/te_ensalzare_señor.html</v>
      </c>
      <c r="T2152" s="1" t="s">
        <v>859</v>
      </c>
      <c r="U2152" s="1"/>
      <c r="V2152" s="32" t="s">
        <v>4928</v>
      </c>
      <c r="W21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data-momento="Antífonas" data-nnew="D36" data-nold="257"&gt;&lt;a href="canciones/ricardo_cantalapiedra/te_ensalzare_señor.html"&gt;Te ensalzaré, Señor&lt;/a&gt;&lt;/li&gt;</v>
      </c>
      <c r="X2152" s="15" t="str">
        <f>_xlfn.TEXTBEFORE(_xlfn.TEXTAFTER(CantoralDB[[#This Row],[index.html]],"&gt;"),"&gt;")&amp;"&gt;"</f>
        <v>&lt;a href="canciones/ricardo_cantalapiedra/te_ensalzare_señor.html"&gt;</v>
      </c>
      <c r="Y2152"/>
      <c r="AC2152" s="1"/>
    </row>
    <row r="2153" spans="1:29" x14ac:dyDescent="0.3">
      <c r="A2153" s="1">
        <f>ROW(CantoralDB[[#This Row],[Título]])-1</f>
        <v>2152</v>
      </c>
      <c r="B2153" s="1" t="s">
        <v>1170</v>
      </c>
      <c r="C2153" s="1"/>
      <c r="E2153" s="1">
        <v>37</v>
      </c>
      <c r="H2153" s="1" t="s">
        <v>1025</v>
      </c>
      <c r="J2153" s="1" t="s">
        <v>605</v>
      </c>
      <c r="M2153" s="15" t="s">
        <v>507</v>
      </c>
      <c r="N2153" s="1" t="s">
        <v>5384</v>
      </c>
      <c r="O2153" s="15">
        <v>11</v>
      </c>
      <c r="P2153" s="15">
        <v>1972</v>
      </c>
      <c r="Q2153" s="15" t="str" cm="1">
        <f t="array" ref="Q21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3" s="15" t="str" cm="1">
        <f t="array" ref="R21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1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canciones/ricardo_cantalapiedra/con_su_muerte_nos_justificara.html</v>
      </c>
      <c r="T2153" s="1"/>
      <c r="U2153" s="1"/>
      <c r="V2153" s="32" t="s">
        <v>4923</v>
      </c>
      <c r="W21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 data-nold="37"&gt;&lt;a href="canciones/ricardo_cantalapiedra/con_su_muerte_nos_justificara.html"&gt;Con su muerte nos justificará&lt;/a&gt;&lt;/li&gt;</v>
      </c>
      <c r="X2153" s="15" t="str">
        <f>_xlfn.TEXTBEFORE(_xlfn.TEXTAFTER(CantoralDB[[#This Row],[index.html]],"&gt;"),"&gt;")&amp;"&gt;"</f>
        <v>&lt;a href="canciones/ricardo_cantalapiedra/con_su_muerte_nos_justificara.html"&gt;</v>
      </c>
      <c r="Y2153"/>
      <c r="AC2153" s="1"/>
    </row>
    <row r="2154" spans="1:29" x14ac:dyDescent="0.3">
      <c r="A2154" s="1">
        <f>ROW(CantoralDB[[#This Row],[Título]])-1</f>
        <v>2153</v>
      </c>
      <c r="B2154" s="1" t="s">
        <v>193</v>
      </c>
      <c r="C2154" s="1"/>
      <c r="J2154" s="1"/>
      <c r="M2154" s="15" t="s">
        <v>507</v>
      </c>
      <c r="N2154" s="1" t="s">
        <v>5384</v>
      </c>
      <c r="O2154" s="15">
        <v>12</v>
      </c>
      <c r="P2154" s="15">
        <v>1972</v>
      </c>
      <c r="Q2154" s="15" t="str" cm="1">
        <f t="array" ref="Q21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4" s="15" t="str" cm="1">
        <f t="array" ref="R21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canciones/ricardo_cantalapiedra/aleluya.html</v>
      </c>
      <c r="T2154" s="1"/>
      <c r="U2154" s="1"/>
      <c r="V2154" s="32" t="s">
        <v>5427</v>
      </c>
      <c r="W21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href="canciones/ricardo_cantalapiedra/aleluya.html"&gt;Aleluya&lt;/a&gt;&lt;/li&gt;</v>
      </c>
      <c r="X2154" s="15" t="str">
        <f>_xlfn.TEXTBEFORE(_xlfn.TEXTAFTER(CantoralDB[[#This Row],[index.html]],"&gt;"),"&gt;")&amp;"&gt;"</f>
        <v>&lt;a href="canciones/ricardo_cantalapiedra/aleluya.html"&gt;</v>
      </c>
      <c r="Y2154"/>
      <c r="AC2154" s="1"/>
    </row>
    <row r="2155" spans="1:29" x14ac:dyDescent="0.3">
      <c r="A2155" s="1">
        <f>ROW(CantoralDB[[#This Row],[Título]])-1</f>
        <v>2154</v>
      </c>
      <c r="B2155" s="1" t="s">
        <v>5432</v>
      </c>
      <c r="C2155" s="1"/>
      <c r="J2155" s="1"/>
      <c r="M2155" s="15" t="s">
        <v>507</v>
      </c>
      <c r="N2155" s="1" t="s">
        <v>5384</v>
      </c>
      <c r="O2155" s="15">
        <v>14</v>
      </c>
      <c r="P2155" s="15">
        <v>1972</v>
      </c>
      <c r="Q2155" s="15" t="str" cm="1">
        <f t="array" ref="Q21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ricardo_cantalapiedra</v>
      </c>
      <c r="R2155" s="15" t="str" cm="1">
        <f t="array" ref="R21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ricardo_cantalapiedra</v>
      </c>
      <c r="S21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canciones/ricardo_cantalapiedra/canto_de_gloria.html</v>
      </c>
      <c r="T2155" s="1"/>
      <c r="U2155" s="1"/>
      <c r="V2155" s="32" t="s">
        <v>5428</v>
      </c>
      <c r="W21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data-author="Ricardo Cantalapiedra"&gt;&lt;a href="canciones/ricardo_cantalapiedra/canto_de_gloria.html"&gt;Canto de gloria&lt;/a&gt;&lt;/li&gt;</v>
      </c>
      <c r="X2155" s="15" t="str">
        <f>_xlfn.TEXTBEFORE(_xlfn.TEXTAFTER(CantoralDB[[#This Row],[index.html]],"&gt;"),"&gt;")&amp;"&gt;"</f>
        <v>&lt;a href="canciones/ricardo_cantalapiedra/canto_de_gloria.html"&gt;</v>
      </c>
      <c r="Y2155"/>
      <c r="AC2155" s="1"/>
    </row>
    <row r="2156" spans="1:29" x14ac:dyDescent="0.3">
      <c r="A2156" s="1">
        <f>ROW(CantoralDB[[#This Row],[Título]])-1</f>
        <v>2155</v>
      </c>
      <c r="B2156" s="1" t="s">
        <v>2672</v>
      </c>
      <c r="C2156" s="1"/>
      <c r="F2156" s="1">
        <v>300</v>
      </c>
      <c r="J2156" s="1"/>
      <c r="M2156" s="15" t="s">
        <v>2491</v>
      </c>
      <c r="O2156" s="15"/>
      <c r="P2156" s="15"/>
      <c r="Q2156" s="15" t="str" cm="1">
        <f t="array" ref="Q21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56" s="15" t="str" cm="1">
        <f t="array" ref="R21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canciones/rosa_cruz/al_nombre_de_jesus.html</v>
      </c>
      <c r="T2156" s="1"/>
      <c r="U2156" s="1"/>
      <c r="V2156" s="32" t="s">
        <v>4453</v>
      </c>
      <c r="W21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data-nrcc="300"&gt;&lt;a href="canciones/rosa_cruz/al_nombre_de_jesus.html"&gt;Al nombre de Jesús&lt;/a&gt;&lt;/li&gt;</v>
      </c>
      <c r="X2156" s="15" t="str">
        <f>_xlfn.TEXTBEFORE(_xlfn.TEXTAFTER(CantoralDB[[#This Row],[index.html]],"&gt;"),"&gt;")&amp;"&gt;"</f>
        <v>&lt;a href="canciones/rosa_cruz/al_nombre_de_jesus.html"&gt;</v>
      </c>
      <c r="Y2156"/>
      <c r="AC2156" s="1"/>
    </row>
    <row r="2157" spans="1:29" x14ac:dyDescent="0.3">
      <c r="A2157" s="1">
        <f>ROW(CantoralDB[[#This Row],[Título]])-1</f>
        <v>2156</v>
      </c>
      <c r="B2157" s="1" t="s">
        <v>2593</v>
      </c>
      <c r="C2157" s="1"/>
      <c r="F2157" s="1">
        <v>212</v>
      </c>
      <c r="J2157" s="1"/>
      <c r="M2157" s="15" t="s">
        <v>2491</v>
      </c>
      <c r="O2157" s="15"/>
      <c r="P2157" s="15"/>
      <c r="Q2157" s="15" t="str" cm="1">
        <f t="array" ref="Q21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57" s="15" t="str" cm="1">
        <f t="array" ref="R21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canciones/rosa_cruz/anunciamos_con_poder.html</v>
      </c>
      <c r="T2157" s="1"/>
      <c r="U2157" s="1"/>
      <c r="V2157" s="32" t="s">
        <v>4456</v>
      </c>
      <c r="W21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data-nrcc="212"&gt;&lt;a href="canciones/rosa_cruz/anunciamos_con_poder.html"&gt;Anunciamos con poder&lt;/a&gt;&lt;/li&gt;</v>
      </c>
      <c r="X2157" s="15" t="str">
        <f>_xlfn.TEXTBEFORE(_xlfn.TEXTAFTER(CantoralDB[[#This Row],[index.html]],"&gt;"),"&gt;")&amp;"&gt;"</f>
        <v>&lt;a href="canciones/rosa_cruz/anunciamos_con_poder.html"&gt;</v>
      </c>
      <c r="Y2157"/>
      <c r="AC2157" s="1"/>
    </row>
    <row r="2158" spans="1:29" x14ac:dyDescent="0.3">
      <c r="A2158" s="1">
        <f>ROW(CantoralDB[[#This Row],[Título]])-1</f>
        <v>2157</v>
      </c>
      <c r="B2158" s="1" t="s">
        <v>2790</v>
      </c>
      <c r="C2158" s="1"/>
      <c r="F2158" s="1">
        <v>409</v>
      </c>
      <c r="J2158" s="1"/>
      <c r="M2158" s="15" t="s">
        <v>2491</v>
      </c>
      <c r="O2158" s="15"/>
      <c r="P2158" s="15"/>
      <c r="Q2158" s="15" t="str" cm="1">
        <f t="array" ref="Q21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58" s="15" t="str" cm="1">
        <f t="array" ref="R21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canciones/rosa_cruz/como_un_niño.html</v>
      </c>
      <c r="T2158" s="1"/>
      <c r="U2158" s="1"/>
      <c r="V2158" s="32" t="s">
        <v>4522</v>
      </c>
      <c r="W21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data-nrcc="409"&gt;&lt;a href="canciones/rosa_cruz/como_un_niño.html"&gt;Como un niño&lt;/a&gt;&lt;/li&gt;</v>
      </c>
      <c r="X2158" s="15" t="str">
        <f>_xlfn.TEXTBEFORE(_xlfn.TEXTAFTER(CantoralDB[[#This Row],[index.html]],"&gt;"),"&gt;")&amp;"&gt;"</f>
        <v>&lt;a href="canciones/rosa_cruz/como_un_niño.html"&gt;</v>
      </c>
      <c r="Y2158"/>
      <c r="AC2158" s="1"/>
    </row>
    <row r="2159" spans="1:29" x14ac:dyDescent="0.3">
      <c r="A2159" s="1">
        <f>ROW(CantoralDB[[#This Row],[Título]])-1</f>
        <v>2158</v>
      </c>
      <c r="B2159" s="1" t="s">
        <v>2623</v>
      </c>
      <c r="C2159" s="1"/>
      <c r="F2159" s="1">
        <v>251</v>
      </c>
      <c r="J2159" s="1"/>
      <c r="M2159" s="15" t="s">
        <v>2491</v>
      </c>
      <c r="O2159" s="15"/>
      <c r="P2159" s="15"/>
      <c r="Q2159" s="15" t="str" cm="1">
        <f t="array" ref="Q21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59" s="15" t="str" cm="1">
        <f t="array" ref="R21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canciones/rosa_cruz/cuida_de_mi.html</v>
      </c>
      <c r="T2159" s="1"/>
      <c r="U2159" s="1"/>
      <c r="V2159" s="32" t="s">
        <v>4524</v>
      </c>
      <c r="W21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data-nrcc="251"&gt;&lt;a href="canciones/rosa_cruz/cuida_de_mi.html"&gt;Cuida de mí&lt;/a&gt;&lt;/li&gt;</v>
      </c>
      <c r="X2159" s="15" t="str">
        <f>_xlfn.TEXTBEFORE(_xlfn.TEXTAFTER(CantoralDB[[#This Row],[index.html]],"&gt;"),"&gt;")&amp;"&gt;"</f>
        <v>&lt;a href="canciones/rosa_cruz/cuida_de_mi.html"&gt;</v>
      </c>
      <c r="Y2159"/>
      <c r="AC2159" s="1"/>
    </row>
    <row r="2160" spans="1:29" x14ac:dyDescent="0.3">
      <c r="A2160" s="1">
        <f>ROW(CantoralDB[[#This Row],[Título]])-1</f>
        <v>2159</v>
      </c>
      <c r="B2160" s="1" t="s">
        <v>2537</v>
      </c>
      <c r="C2160" s="1"/>
      <c r="F2160" s="1">
        <v>154</v>
      </c>
      <c r="J2160" s="1"/>
      <c r="M2160" s="15" t="s">
        <v>2491</v>
      </c>
      <c r="O2160" s="15"/>
      <c r="P2160" s="15"/>
      <c r="Q2160" s="15" t="str" cm="1">
        <f t="array" ref="Q21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0" s="15" t="str" cm="1">
        <f t="array" ref="R21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canciones/rosa_cruz/el_tren.html</v>
      </c>
      <c r="T2160" s="1"/>
      <c r="U2160" s="1"/>
      <c r="V2160" s="15"/>
      <c r="W21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data-nrcc="154"&gt;&lt;a href="canciones/rosa_cruz/el_tren.html"&gt;El tren&lt;/a&gt;&lt;/li&gt;</v>
      </c>
      <c r="X2160" s="15" t="str">
        <f>_xlfn.TEXTBEFORE(_xlfn.TEXTAFTER(CantoralDB[[#This Row],[index.html]],"&gt;"),"&gt;")&amp;"&gt;"</f>
        <v>&lt;a href="canciones/rosa_cruz/el_tren.html"&gt;</v>
      </c>
      <c r="Y2160"/>
      <c r="AC2160" s="1"/>
    </row>
    <row r="2161" spans="1:29" x14ac:dyDescent="0.3">
      <c r="A2161" s="1">
        <f>ROW(CantoralDB[[#This Row],[Título]])-1</f>
        <v>2160</v>
      </c>
      <c r="B2161" s="1" t="s">
        <v>2637</v>
      </c>
      <c r="C2161" s="1"/>
      <c r="F2161" s="1">
        <v>266</v>
      </c>
      <c r="J2161" s="1"/>
      <c r="M2161" s="15" t="s">
        <v>2491</v>
      </c>
      <c r="O2161" s="15"/>
      <c r="P2161" s="15"/>
      <c r="Q2161" s="15" t="str" cm="1">
        <f t="array" ref="Q21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1" s="15" t="str" cm="1">
        <f t="array" ref="R21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canciones/rosa_cruz/en_ti_esta_la_fuente_de_la_vida.html</v>
      </c>
      <c r="T2161" s="1"/>
      <c r="U2161" s="1"/>
      <c r="V2161" s="15"/>
      <c r="W21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data-nrcc="266"&gt;&lt;a href="canciones/rosa_cruz/en_ti_esta_la_fuente_de_la_vida.html"&gt;En ti está la fuente de la vida&lt;/a&gt;&lt;/li&gt;</v>
      </c>
      <c r="X2161" s="15" t="str">
        <f>_xlfn.TEXTBEFORE(_xlfn.TEXTAFTER(CantoralDB[[#This Row],[index.html]],"&gt;"),"&gt;")&amp;"&gt;"</f>
        <v>&lt;a href="canciones/rosa_cruz/en_ti_esta_la_fuente_de_la_vida.html"&gt;</v>
      </c>
      <c r="Y2161"/>
      <c r="AC2161" s="1"/>
    </row>
    <row r="2162" spans="1:29" x14ac:dyDescent="0.3">
      <c r="A2162" s="1">
        <f>ROW(CantoralDB[[#This Row],[Título]])-1</f>
        <v>2161</v>
      </c>
      <c r="B2162" s="1" t="s">
        <v>2619</v>
      </c>
      <c r="C2162" s="1"/>
      <c r="F2162" s="1">
        <v>246</v>
      </c>
      <c r="J2162" s="1"/>
      <c r="M2162" s="15" t="s">
        <v>2491</v>
      </c>
      <c r="O2162" s="15"/>
      <c r="P2162" s="15"/>
      <c r="Q2162" s="15" t="str" cm="1">
        <f t="array" ref="Q21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2" s="15" t="str" cm="1">
        <f t="array" ref="R21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canciones/rosa_cruz/lo_mas_valioso.html</v>
      </c>
      <c r="T2162" s="1"/>
      <c r="U2162" s="1"/>
      <c r="V2162" s="15"/>
      <c r="W21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data-nrcc="246"&gt;&lt;a href="canciones/rosa_cruz/lo_mas_valioso.html"&gt;Lo más valioso&lt;/a&gt;&lt;/li&gt;</v>
      </c>
      <c r="X2162" s="15" t="str">
        <f>_xlfn.TEXTBEFORE(_xlfn.TEXTAFTER(CantoralDB[[#This Row],[index.html]],"&gt;"),"&gt;")&amp;"&gt;"</f>
        <v>&lt;a href="canciones/rosa_cruz/lo_mas_valioso.html"&gt;</v>
      </c>
      <c r="Y2162"/>
      <c r="AC2162" s="1"/>
    </row>
    <row r="2163" spans="1:29" x14ac:dyDescent="0.3">
      <c r="A2163" s="1">
        <f>ROW(CantoralDB[[#This Row],[Título]])-1</f>
        <v>2162</v>
      </c>
      <c r="B2163" s="1" t="s">
        <v>2748</v>
      </c>
      <c r="C2163" s="1"/>
      <c r="F2163" s="1">
        <v>376</v>
      </c>
      <c r="J2163" s="1"/>
      <c r="M2163" s="15" t="s">
        <v>2491</v>
      </c>
      <c r="O2163" s="15"/>
      <c r="P2163" s="15"/>
      <c r="Q2163" s="15" t="str" cm="1">
        <f t="array" ref="Q21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3" s="15" t="str" cm="1">
        <f t="array" ref="R21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canciones/rosa_cruz/no_tengo_señor_alabanza.html</v>
      </c>
      <c r="T2163" s="1"/>
      <c r="U2163" s="1"/>
      <c r="V2163" s="15"/>
      <c r="W21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data-nrcc="376"&gt;&lt;a href="canciones/rosa_cruz/no_tengo_señor_alabanza.html"&gt;No tengo, Señor, alabanza&lt;/a&gt;&lt;/li&gt;</v>
      </c>
      <c r="X2163" s="15" t="str">
        <f>_xlfn.TEXTBEFORE(_xlfn.TEXTAFTER(CantoralDB[[#This Row],[index.html]],"&gt;"),"&gt;")&amp;"&gt;"</f>
        <v>&lt;a href="canciones/rosa_cruz/no_tengo_señor_alabanza.html"&gt;</v>
      </c>
      <c r="Y2163"/>
      <c r="AC2163" s="1"/>
    </row>
    <row r="2164" spans="1:29" x14ac:dyDescent="0.3">
      <c r="A2164" s="1">
        <f>ROW(CantoralDB[[#This Row],[Título]])-1</f>
        <v>2163</v>
      </c>
      <c r="B2164" s="1" t="s">
        <v>2490</v>
      </c>
      <c r="C2164" s="1"/>
      <c r="F2164" s="1">
        <v>115</v>
      </c>
      <c r="J2164" s="1"/>
      <c r="M2164" s="15" t="s">
        <v>2491</v>
      </c>
      <c r="O2164" s="15"/>
      <c r="P2164" s="15"/>
      <c r="Q2164" s="15" t="str" cm="1">
        <f t="array" ref="Q21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4" s="15" t="str" cm="1">
        <f t="array" ref="R21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canciones/rosa_cruz/paz_a_vosotros.html</v>
      </c>
      <c r="T2164" s="1"/>
      <c r="U2164" s="1"/>
      <c r="V2164" s="15"/>
      <c r="W21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data-nrcc="115"&gt;&lt;a href="canciones/rosa_cruz/paz_a_vosotros.html"&gt;Paz a vosotros&lt;/a&gt;&lt;/li&gt;</v>
      </c>
      <c r="X2164" s="15" t="str">
        <f>_xlfn.TEXTBEFORE(_xlfn.TEXTAFTER(CantoralDB[[#This Row],[index.html]],"&gt;"),"&gt;")&amp;"&gt;"</f>
        <v>&lt;a href="canciones/rosa_cruz/paz_a_vosotros.html"&gt;</v>
      </c>
      <c r="Y2164"/>
      <c r="AC2164" s="1"/>
    </row>
    <row r="2165" spans="1:29" x14ac:dyDescent="0.3">
      <c r="A2165" s="1">
        <f>ROW(CantoralDB[[#This Row],[Título]])-1</f>
        <v>2164</v>
      </c>
      <c r="B2165" s="1" t="s">
        <v>2707</v>
      </c>
      <c r="C2165" s="1"/>
      <c r="F2165" s="1">
        <v>341</v>
      </c>
      <c r="J2165" s="1"/>
      <c r="M2165" s="15" t="s">
        <v>2491</v>
      </c>
      <c r="O2165" s="15"/>
      <c r="P2165" s="15"/>
      <c r="Q2165" s="15" t="str" cm="1">
        <f t="array" ref="Q21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5" s="15" t="str" cm="1">
        <f t="array" ref="R21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canciones/rosa_cruz/saname_ahora.html</v>
      </c>
      <c r="T2165" s="1"/>
      <c r="U2165" s="1"/>
      <c r="V2165" s="32" t="s">
        <v>4434</v>
      </c>
      <c r="W21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data-nrcc="341"&gt;&lt;a href="canciones/rosa_cruz/saname_ahora.html"&gt;Sáname ahora&lt;/a&gt;&lt;/li&gt;</v>
      </c>
      <c r="X2165" s="15" t="str">
        <f>_xlfn.TEXTBEFORE(_xlfn.TEXTAFTER(CantoralDB[[#This Row],[index.html]],"&gt;"),"&gt;")&amp;"&gt;"</f>
        <v>&lt;a href="canciones/rosa_cruz/saname_ahora.html"&gt;</v>
      </c>
      <c r="Y2165"/>
      <c r="AC2165" s="1"/>
    </row>
    <row r="2166" spans="1:29" x14ac:dyDescent="0.3">
      <c r="A2166" s="1">
        <f>ROW(CantoralDB[[#This Row],[Título]])-1</f>
        <v>2165</v>
      </c>
      <c r="B2166" s="1" t="s">
        <v>2658</v>
      </c>
      <c r="C2166" s="1"/>
      <c r="F2166" s="1">
        <v>288</v>
      </c>
      <c r="J2166" s="1"/>
      <c r="M2166" s="15" t="s">
        <v>2491</v>
      </c>
      <c r="O2166" s="15"/>
      <c r="P2166" s="15"/>
      <c r="Q2166" s="15" t="str" cm="1">
        <f t="array" ref="Q21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6" s="15" t="str" cm="1">
        <f t="array" ref="R21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canciones/rosa_cruz/yo_abrire_una_puerta.html</v>
      </c>
      <c r="T2166" s="1"/>
      <c r="U2166" s="1"/>
      <c r="V2166" s="15"/>
      <c r="W21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data-nrcc="288"&gt;&lt;a href="canciones/rosa_cruz/yo_abrire_una_puerta.html"&gt;Yo abriré una puerta&lt;/a&gt;&lt;/li&gt;</v>
      </c>
      <c r="X2166" s="15" t="str">
        <f>_xlfn.TEXTBEFORE(_xlfn.TEXTAFTER(CantoralDB[[#This Row],[index.html]],"&gt;"),"&gt;")&amp;"&gt;"</f>
        <v>&lt;a href="canciones/rosa_cruz/yo_abrire_una_puerta.html"&gt;</v>
      </c>
      <c r="Y2166"/>
      <c r="AC2166" s="1"/>
    </row>
    <row r="2167" spans="1:29" x14ac:dyDescent="0.3">
      <c r="A2167" s="1">
        <f>ROW(CantoralDB[[#This Row],[Título]])-1</f>
        <v>2166</v>
      </c>
      <c r="B2167" s="1" t="s">
        <v>2662</v>
      </c>
      <c r="C2167" s="1"/>
      <c r="F2167" s="1">
        <v>292</v>
      </c>
      <c r="J2167" s="1"/>
      <c r="M2167" s="15" t="s">
        <v>2491</v>
      </c>
      <c r="O2167" s="15"/>
      <c r="P2167" s="15"/>
      <c r="Q2167" s="15" t="str" cm="1">
        <f t="array" ref="Q21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rosa_cruz</v>
      </c>
      <c r="R2167" s="15" t="str" cm="1">
        <f t="array" ref="R21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1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canciones/rosa_cruz/zarza_ardiente.html</v>
      </c>
      <c r="T2167" s="1"/>
      <c r="U2167" s="1"/>
      <c r="V2167" s="32" t="s">
        <v>4570</v>
      </c>
      <c r="W21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data-author="Rosa Cruz" data-nrcc="292"&gt;&lt;a href="canciones/rosa_cruz/zarza_ardiente.html"&gt;Zarza ardiente&lt;/a&gt;&lt;/li&gt;</v>
      </c>
      <c r="X2167" s="15" t="str">
        <f>_xlfn.TEXTBEFORE(_xlfn.TEXTAFTER(CantoralDB[[#This Row],[index.html]],"&gt;"),"&gt;")&amp;"&gt;"</f>
        <v>&lt;a href="canciones/rosa_cruz/zarza_ardiente.html"&gt;</v>
      </c>
      <c r="Y2167"/>
      <c r="AC2167" s="1"/>
    </row>
    <row r="2168" spans="1:29" x14ac:dyDescent="0.3">
      <c r="A2168" s="1">
        <f>ROW(CantoralDB[[#This Row],[Título]])-1</f>
        <v>2167</v>
      </c>
      <c r="B2168" s="1" t="s">
        <v>1862</v>
      </c>
      <c r="C2168" s="1"/>
      <c r="H2168" s="1" t="s">
        <v>529</v>
      </c>
      <c r="J2168" s="1" t="s">
        <v>605</v>
      </c>
      <c r="M2168" s="15" t="s">
        <v>1754</v>
      </c>
      <c r="N2168" s="1" t="s">
        <v>1898</v>
      </c>
      <c r="O2168" s="15">
        <v>1</v>
      </c>
      <c r="P2168" s="15">
        <v>2014</v>
      </c>
      <c r="Q2168" s="15" t="str" cm="1">
        <f t="array" ref="Q21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68" s="15" t="str" cm="1">
        <f t="array" ref="R21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canciones/ruah/adentrate.html</v>
      </c>
      <c r="T2168" s="1"/>
      <c r="U2168" s="1"/>
      <c r="V2168" s="32" t="s">
        <v>3969</v>
      </c>
      <c r="W21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href="canciones/ruah/adentrate.html"&gt;Adéntrate&lt;/a&gt;&lt;/li&gt;</v>
      </c>
      <c r="X2168" s="15" t="str">
        <f>_xlfn.TEXTBEFORE(_xlfn.TEXTAFTER(CantoralDB[[#This Row],[index.html]],"&gt;"),"&gt;")&amp;"&gt;"</f>
        <v>&lt;a href="canciones/ruah/adentrate.html"&gt;</v>
      </c>
      <c r="Y2168"/>
      <c r="AC2168" s="1"/>
    </row>
    <row r="2169" spans="1:29" x14ac:dyDescent="0.3">
      <c r="A2169" s="1">
        <f>ROW(CantoralDB[[#This Row],[Título]])-1</f>
        <v>2168</v>
      </c>
      <c r="B2169" s="1" t="s">
        <v>1863</v>
      </c>
      <c r="C2169" s="1"/>
      <c r="H2169" s="1" t="s">
        <v>472</v>
      </c>
      <c r="J2169" s="1" t="s">
        <v>605</v>
      </c>
      <c r="M2169" s="15" t="s">
        <v>1754</v>
      </c>
      <c r="N2169" s="1" t="s">
        <v>1898</v>
      </c>
      <c r="O2169" s="15">
        <v>2</v>
      </c>
      <c r="P2169" s="15">
        <v>2014</v>
      </c>
      <c r="Q2169" s="15" t="str" cm="1">
        <f t="array" ref="Q21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69" s="15" t="str" cm="1">
        <f t="array" ref="R21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canciones/ruah/pedid_y_se_os_dara.html</v>
      </c>
      <c r="T2169" s="1"/>
      <c r="U2169" s="1"/>
      <c r="V2169" s="32" t="s">
        <v>3968</v>
      </c>
      <c r="W21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href="canciones/ruah/pedid_y_se_os_dara.html"&gt;Pedid y se os dará&lt;/a&gt;&lt;/li&gt;</v>
      </c>
      <c r="X2169" s="15" t="str">
        <f>_xlfn.TEXTBEFORE(_xlfn.TEXTAFTER(CantoralDB[[#This Row],[index.html]],"&gt;"),"&gt;")&amp;"&gt;"</f>
        <v>&lt;a href="canciones/ruah/pedid_y_se_os_dara.html"&gt;</v>
      </c>
      <c r="Y2169"/>
      <c r="AC2169" s="1"/>
    </row>
    <row r="2170" spans="1:29" x14ac:dyDescent="0.3">
      <c r="A2170" s="1">
        <f>ROW(CantoralDB[[#This Row],[Título]])-1</f>
        <v>2169</v>
      </c>
      <c r="B2170" s="1" t="s">
        <v>1864</v>
      </c>
      <c r="C2170" s="1"/>
      <c r="H2170" s="1" t="s">
        <v>529</v>
      </c>
      <c r="J2170" s="1" t="s">
        <v>605</v>
      </c>
      <c r="M2170" s="15" t="s">
        <v>1754</v>
      </c>
      <c r="N2170" s="1" t="s">
        <v>1898</v>
      </c>
      <c r="O2170" s="15">
        <v>3</v>
      </c>
      <c r="P2170" s="15">
        <v>2014</v>
      </c>
      <c r="Q2170" s="15" t="str" cm="1">
        <f t="array" ref="Q21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0" s="15" t="str" cm="1">
        <f t="array" ref="R21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canciones/ruah/cada_mañana.html</v>
      </c>
      <c r="T2170" s="1"/>
      <c r="U2170" s="1"/>
      <c r="V2170" s="32" t="s">
        <v>3967</v>
      </c>
      <c r="W21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href="canciones/ruah/cada_mañana.html"&gt;Cada mañana&lt;/a&gt;&lt;/li&gt;</v>
      </c>
      <c r="X2170" s="15" t="str">
        <f>_xlfn.TEXTBEFORE(_xlfn.TEXTAFTER(CantoralDB[[#This Row],[index.html]],"&gt;"),"&gt;")&amp;"&gt;"</f>
        <v>&lt;a href="canciones/ruah/cada_mañana.html"&gt;</v>
      </c>
      <c r="Y2170"/>
      <c r="AC2170" s="1"/>
    </row>
    <row r="2171" spans="1:29" x14ac:dyDescent="0.3">
      <c r="A2171" s="1">
        <f>ROW(CantoralDB[[#This Row],[Título]])-1</f>
        <v>2170</v>
      </c>
      <c r="B2171" s="1" t="s">
        <v>1865</v>
      </c>
      <c r="C2171" s="1"/>
      <c r="H2171" s="1" t="s">
        <v>1024</v>
      </c>
      <c r="J2171" s="1" t="s">
        <v>605</v>
      </c>
      <c r="M2171" s="15" t="s">
        <v>1754</v>
      </c>
      <c r="N2171" s="1" t="s">
        <v>1898</v>
      </c>
      <c r="O2171" s="15">
        <v>4</v>
      </c>
      <c r="P2171" s="15">
        <v>2014</v>
      </c>
      <c r="Q2171" s="15" t="str" cm="1">
        <f t="array" ref="Q21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1" s="15" t="str" cm="1">
        <f t="array" ref="R21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canciones/ruah/fija_en_ti.html</v>
      </c>
      <c r="T2171" s="1"/>
      <c r="U2171" s="1"/>
      <c r="V2171" s="32" t="s">
        <v>5473</v>
      </c>
      <c r="W21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href="canciones/ruah/fija_en_ti.html"&gt;Fija en ti&lt;/a&gt;&lt;/li&gt;</v>
      </c>
      <c r="X2171" s="15" t="str">
        <f>_xlfn.TEXTBEFORE(_xlfn.TEXTAFTER(CantoralDB[[#This Row],[index.html]],"&gt;"),"&gt;")&amp;"&gt;"</f>
        <v>&lt;a href="canciones/ruah/fija_en_ti.html"&gt;</v>
      </c>
      <c r="Y2171"/>
      <c r="AC2171" s="1"/>
    </row>
    <row r="2172" spans="1:29" x14ac:dyDescent="0.3">
      <c r="A2172" s="1">
        <f>ROW(CantoralDB[[#This Row],[Título]])-1</f>
        <v>2171</v>
      </c>
      <c r="B2172" s="1" t="s">
        <v>1866</v>
      </c>
      <c r="C2172" s="1"/>
      <c r="H2172" s="1" t="s">
        <v>529</v>
      </c>
      <c r="J2172" s="1" t="s">
        <v>605</v>
      </c>
      <c r="M2172" s="15" t="s">
        <v>1754</v>
      </c>
      <c r="N2172" s="1" t="s">
        <v>1898</v>
      </c>
      <c r="O2172" s="15">
        <v>5</v>
      </c>
      <c r="P2172" s="15">
        <v>2014</v>
      </c>
      <c r="Q2172" s="15" t="str" cm="1">
        <f t="array" ref="Q21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2" s="15" t="str" cm="1">
        <f t="array" ref="R21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canciones/ruah/tu_y_no_yo.html</v>
      </c>
      <c r="T2172" s="1"/>
      <c r="U2172" s="1"/>
      <c r="V2172" s="32" t="s">
        <v>5472</v>
      </c>
      <c r="W21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href="canciones/ruah/tu_y_no_yo.html"&gt;Tú y no yo&lt;/a&gt;&lt;/li&gt;</v>
      </c>
      <c r="X2172" s="15" t="str">
        <f>_xlfn.TEXTBEFORE(_xlfn.TEXTAFTER(CantoralDB[[#This Row],[index.html]],"&gt;"),"&gt;")&amp;"&gt;"</f>
        <v>&lt;a href="canciones/ruah/tu_y_no_yo.html"&gt;</v>
      </c>
      <c r="Y2172"/>
      <c r="AC2172" s="1"/>
    </row>
    <row r="2173" spans="1:29" x14ac:dyDescent="0.3">
      <c r="A2173" s="1">
        <f>ROW(CantoralDB[[#This Row],[Título]])-1</f>
        <v>2172</v>
      </c>
      <c r="B2173" s="1" t="s">
        <v>1536</v>
      </c>
      <c r="C2173" s="1"/>
      <c r="H2173" s="1" t="s">
        <v>1024</v>
      </c>
      <c r="J2173" s="1" t="s">
        <v>605</v>
      </c>
      <c r="M2173" s="15" t="s">
        <v>1754</v>
      </c>
      <c r="N2173" s="1" t="s">
        <v>1898</v>
      </c>
      <c r="O2173" s="15">
        <v>6</v>
      </c>
      <c r="P2173" s="15">
        <v>2014</v>
      </c>
      <c r="Q2173" s="15" t="str" cm="1">
        <f t="array" ref="Q21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3" s="15" t="str" cm="1">
        <f t="array" ref="R21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canciones/ruah/tu_me_sondeas.html</v>
      </c>
      <c r="T2173" s="1"/>
      <c r="U2173" s="1"/>
      <c r="V2173" s="32" t="s">
        <v>5471</v>
      </c>
      <c r="W21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href="canciones/ruah/tu_me_sondeas.html"&gt;Tú me sondeas&lt;/a&gt;&lt;/li&gt;</v>
      </c>
      <c r="X2173" s="15" t="str">
        <f>_xlfn.TEXTBEFORE(_xlfn.TEXTAFTER(CantoralDB[[#This Row],[index.html]],"&gt;"),"&gt;")&amp;"&gt;"</f>
        <v>&lt;a href="canciones/ruah/tu_me_sondeas.html"&gt;</v>
      </c>
      <c r="Y2173"/>
      <c r="AC2173" s="1"/>
    </row>
    <row r="2174" spans="1:29" x14ac:dyDescent="0.3">
      <c r="A2174" s="1">
        <f>ROW(CantoralDB[[#This Row],[Título]])-1</f>
        <v>2173</v>
      </c>
      <c r="B2174" s="1" t="s">
        <v>1867</v>
      </c>
      <c r="C2174" s="1"/>
      <c r="H2174" s="1" t="s">
        <v>1027</v>
      </c>
      <c r="J2174" s="1" t="s">
        <v>605</v>
      </c>
      <c r="M2174" s="15" t="s">
        <v>1754</v>
      </c>
      <c r="N2174" s="1" t="s">
        <v>1898</v>
      </c>
      <c r="O2174" s="15">
        <v>7</v>
      </c>
      <c r="P2174" s="15">
        <v>2014</v>
      </c>
      <c r="Q2174" s="15" t="str" cm="1">
        <f t="array" ref="Q21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4" s="15" t="str" cm="1">
        <f t="array" ref="R21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canciones/ruah/ten_compasion.html</v>
      </c>
      <c r="T2174" s="1"/>
      <c r="U2174" s="1"/>
      <c r="V2174" s="32" t="s">
        <v>5474</v>
      </c>
      <c r="W21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href="canciones/ruah/ten_compasion.html"&gt;Ten compasión&lt;/a&gt;&lt;/li&gt;</v>
      </c>
      <c r="X2174" s="15" t="str">
        <f>_xlfn.TEXTBEFORE(_xlfn.TEXTAFTER(CantoralDB[[#This Row],[index.html]],"&gt;"),"&gt;")&amp;"&gt;"</f>
        <v>&lt;a href="canciones/ruah/ten_compasion.html"&gt;</v>
      </c>
      <c r="Y2174"/>
      <c r="AC2174" s="1"/>
    </row>
    <row r="2175" spans="1:29" x14ac:dyDescent="0.3">
      <c r="A2175" s="1">
        <f>ROW(CantoralDB[[#This Row],[Título]])-1</f>
        <v>2174</v>
      </c>
      <c r="B2175" s="1" t="s">
        <v>1868</v>
      </c>
      <c r="C2175" s="1"/>
      <c r="H2175" s="1" t="s">
        <v>529</v>
      </c>
      <c r="J2175" s="1" t="s">
        <v>605</v>
      </c>
      <c r="M2175" s="15" t="s">
        <v>1754</v>
      </c>
      <c r="N2175" s="1" t="s">
        <v>1898</v>
      </c>
      <c r="O2175" s="15">
        <v>8</v>
      </c>
      <c r="P2175" s="15">
        <v>2014</v>
      </c>
      <c r="Q2175" s="15" t="str" cm="1">
        <f t="array" ref="Q21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5" s="15" t="str" cm="1">
        <f t="array" ref="R21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canciones/ruah/a_fuego.html</v>
      </c>
      <c r="T2175" s="1"/>
      <c r="U2175" s="1"/>
      <c r="V2175" s="32" t="s">
        <v>3965</v>
      </c>
      <c r="W21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href="canciones/ruah/a_fuego.html"&gt;A fuego&lt;/a&gt;&lt;/li&gt;</v>
      </c>
      <c r="X2175" s="15" t="str">
        <f>_xlfn.TEXTBEFORE(_xlfn.TEXTAFTER(CantoralDB[[#This Row],[index.html]],"&gt;"),"&gt;")&amp;"&gt;"</f>
        <v>&lt;a href="canciones/ruah/a_fuego.html"&gt;</v>
      </c>
      <c r="Y2175"/>
      <c r="AC2175" s="1"/>
    </row>
    <row r="2176" spans="1:29" x14ac:dyDescent="0.3">
      <c r="A2176" s="1">
        <f>ROW(CantoralDB[[#This Row],[Título]])-1</f>
        <v>2175</v>
      </c>
      <c r="B2176" s="1" t="s">
        <v>1869</v>
      </c>
      <c r="C2176" s="1"/>
      <c r="H2176" s="1" t="s">
        <v>529</v>
      </c>
      <c r="J2176" s="1" t="s">
        <v>605</v>
      </c>
      <c r="M2176" s="15" t="s">
        <v>1754</v>
      </c>
      <c r="N2176" s="1" t="s">
        <v>1898</v>
      </c>
      <c r="O2176" s="15">
        <v>9</v>
      </c>
      <c r="P2176" s="15">
        <v>2014</v>
      </c>
      <c r="Q2176" s="15" t="str" cm="1">
        <f t="array" ref="Q21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6" s="15" t="str" cm="1">
        <f t="array" ref="R21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canciones/ruah/aprendiendo.html</v>
      </c>
      <c r="T2176" s="1"/>
      <c r="U2176" s="1"/>
      <c r="V2176" s="32" t="s">
        <v>5475</v>
      </c>
      <c r="W21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href="canciones/ruah/aprendiendo.html"&gt;Aprendiendo&lt;/a&gt;&lt;/li&gt;</v>
      </c>
      <c r="X2176" s="15" t="str">
        <f>_xlfn.TEXTBEFORE(_xlfn.TEXTAFTER(CantoralDB[[#This Row],[index.html]],"&gt;"),"&gt;")&amp;"&gt;"</f>
        <v>&lt;a href="canciones/ruah/aprendiendo.html"&gt;</v>
      </c>
      <c r="Y2176"/>
      <c r="AC2176" s="1"/>
    </row>
    <row r="2177" spans="1:29" x14ac:dyDescent="0.3">
      <c r="A2177" s="1">
        <f>ROW(CantoralDB[[#This Row],[Título]])-1</f>
        <v>2176</v>
      </c>
      <c r="B2177" s="1" t="s">
        <v>1870</v>
      </c>
      <c r="C2177" s="1"/>
      <c r="H2177" s="1" t="s">
        <v>529</v>
      </c>
      <c r="J2177" s="1" t="s">
        <v>605</v>
      </c>
      <c r="M2177" s="15" t="s">
        <v>1754</v>
      </c>
      <c r="N2177" s="1" t="s">
        <v>1898</v>
      </c>
      <c r="O2177" s="15">
        <v>10</v>
      </c>
      <c r="P2177" s="15">
        <v>2014</v>
      </c>
      <c r="Q2177" s="15" t="str" cm="1">
        <f t="array" ref="Q21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7" s="15" t="str" cm="1">
        <f t="array" ref="R21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canciones/ruah/alianza.html</v>
      </c>
      <c r="T2177" s="1"/>
      <c r="U2177" s="1"/>
      <c r="V2177" s="32" t="s">
        <v>5467</v>
      </c>
      <c r="W21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href="canciones/ruah/alianza.html"&gt;Alianza&lt;/a&gt;&lt;/li&gt;</v>
      </c>
      <c r="X2177" s="15" t="str">
        <f>_xlfn.TEXTBEFORE(_xlfn.TEXTAFTER(CantoralDB[[#This Row],[index.html]],"&gt;"),"&gt;")&amp;"&gt;"</f>
        <v>&lt;a href="canciones/ruah/alianza.html"&gt;</v>
      </c>
      <c r="Y2177"/>
      <c r="AC2177" s="1"/>
    </row>
    <row r="2178" spans="1:29" x14ac:dyDescent="0.3">
      <c r="A2178" s="1">
        <f>ROW(CantoralDB[[#This Row],[Título]])-1</f>
        <v>2177</v>
      </c>
      <c r="B2178" s="1" t="s">
        <v>1871</v>
      </c>
      <c r="C2178" s="1"/>
      <c r="H2178" s="1" t="s">
        <v>1024</v>
      </c>
      <c r="J2178" s="1" t="s">
        <v>605</v>
      </c>
      <c r="M2178" s="15" t="s">
        <v>1754</v>
      </c>
      <c r="N2178" s="1" t="s">
        <v>1898</v>
      </c>
      <c r="O2178" s="15">
        <v>11</v>
      </c>
      <c r="P2178" s="15">
        <v>2014</v>
      </c>
      <c r="Q2178" s="15" t="str" cm="1">
        <f t="array" ref="Q21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8" s="15" t="str" cm="1">
        <f t="array" ref="R21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canciones/ruah/gracias.html</v>
      </c>
      <c r="T2178" s="1"/>
      <c r="U2178" s="1"/>
      <c r="V2178" s="32" t="s">
        <v>5468</v>
      </c>
      <c r="W21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href="canciones/ruah/gracias.html"&gt;Gracias&lt;/a&gt;&lt;/li&gt;</v>
      </c>
      <c r="X2178" s="15" t="str">
        <f>_xlfn.TEXTBEFORE(_xlfn.TEXTAFTER(CantoralDB[[#This Row],[index.html]],"&gt;"),"&gt;")&amp;"&gt;"</f>
        <v>&lt;a href="canciones/ruah/gracias.html"&gt;</v>
      </c>
      <c r="Y2178"/>
      <c r="AC2178" s="1"/>
    </row>
    <row r="2179" spans="1:29" x14ac:dyDescent="0.3">
      <c r="A2179" s="1">
        <f>ROW(CantoralDB[[#This Row],[Título]])-1</f>
        <v>2178</v>
      </c>
      <c r="B2179" s="1" t="s">
        <v>1914</v>
      </c>
      <c r="C2179" s="1"/>
      <c r="H2179" s="1" t="s">
        <v>472</v>
      </c>
      <c r="J2179" s="1" t="s">
        <v>605</v>
      </c>
      <c r="M2179" s="15" t="s">
        <v>1754</v>
      </c>
      <c r="N2179" s="1" t="s">
        <v>1898</v>
      </c>
      <c r="O2179" s="15">
        <v>12</v>
      </c>
      <c r="P2179" s="15">
        <v>2014</v>
      </c>
      <c r="Q2179" s="15" t="str" cm="1">
        <f t="array" ref="Q21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79" s="15" t="str" cm="1">
        <f t="array" ref="R21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canciones/ruah/dios_de_la_historia.html</v>
      </c>
      <c r="T2179" s="1"/>
      <c r="U2179" s="1"/>
      <c r="V2179" s="32" t="s">
        <v>5476</v>
      </c>
      <c r="W21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href="canciones/ruah/dios_de_la_historia.html"&gt;Dios de la Historia&lt;/a&gt;&lt;/li&gt;</v>
      </c>
      <c r="X2179" s="15" t="str">
        <f>_xlfn.TEXTBEFORE(_xlfn.TEXTAFTER(CantoralDB[[#This Row],[index.html]],"&gt;"),"&gt;")&amp;"&gt;"</f>
        <v>&lt;a href="canciones/ruah/dios_de_la_historia.html"&gt;</v>
      </c>
      <c r="Y2179"/>
      <c r="AC2179" s="1"/>
    </row>
    <row r="2180" spans="1:29" x14ac:dyDescent="0.3">
      <c r="A2180" s="1">
        <f>ROW(CantoralDB[[#This Row],[Título]])-1</f>
        <v>2179</v>
      </c>
      <c r="B2180" s="1" t="s">
        <v>1769</v>
      </c>
      <c r="C2180" s="1"/>
      <c r="H2180" s="1" t="s">
        <v>529</v>
      </c>
      <c r="J2180" s="1" t="s">
        <v>605</v>
      </c>
      <c r="M2180" s="15" t="s">
        <v>1754</v>
      </c>
      <c r="N2180" s="1" t="s">
        <v>1898</v>
      </c>
      <c r="O2180" s="15">
        <v>13</v>
      </c>
      <c r="P2180" s="15">
        <v>2014</v>
      </c>
      <c r="Q2180" s="15" t="str" cm="1">
        <f t="array" ref="Q21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0" s="15" t="str" cm="1">
        <f t="array" ref="R21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canciones/ruah/para_estar_contigo.html</v>
      </c>
      <c r="T2180" s="1"/>
      <c r="U2180" s="1"/>
      <c r="V2180" s="32" t="s">
        <v>5469</v>
      </c>
      <c r="W21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href="canciones/ruah/para_estar_contigo.html"&gt;Para estar contigo&lt;/a&gt;&lt;/li&gt;</v>
      </c>
      <c r="X2180" s="15" t="str">
        <f>_xlfn.TEXTBEFORE(_xlfn.TEXTAFTER(CantoralDB[[#This Row],[index.html]],"&gt;"),"&gt;")&amp;"&gt;"</f>
        <v>&lt;a href="canciones/ruah/para_estar_contigo.html"&gt;</v>
      </c>
      <c r="Y2180"/>
      <c r="AC2180" s="1"/>
    </row>
    <row r="2181" spans="1:29" x14ac:dyDescent="0.3">
      <c r="A2181" s="1">
        <f>ROW(CantoralDB[[#This Row],[Título]])-1</f>
        <v>2180</v>
      </c>
      <c r="B2181" s="1" t="s">
        <v>2018</v>
      </c>
      <c r="C2181" s="1"/>
      <c r="H2181" s="1" t="s">
        <v>529</v>
      </c>
      <c r="J2181" s="1" t="s">
        <v>605</v>
      </c>
      <c r="M2181" s="15" t="s">
        <v>1754</v>
      </c>
      <c r="N2181" s="1" t="s">
        <v>1898</v>
      </c>
      <c r="O2181" s="15">
        <v>14</v>
      </c>
      <c r="P2181" s="15">
        <v>2014</v>
      </c>
      <c r="Q2181" s="15" t="str" cm="1">
        <f t="array" ref="Q21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1" s="15" t="str" cm="1">
        <f t="array" ref="R21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canciones/ruah/no_lo_notais.html</v>
      </c>
      <c r="T2181" s="1"/>
      <c r="U2181" s="1"/>
      <c r="V2181" s="32" t="s">
        <v>5470</v>
      </c>
      <c r="W21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href="canciones/ruah/no_lo_notais.html"&gt;No lo notáis&lt;/a&gt;&lt;/li&gt;</v>
      </c>
      <c r="X2181" s="15" t="str">
        <f>_xlfn.TEXTBEFORE(_xlfn.TEXTAFTER(CantoralDB[[#This Row],[index.html]],"&gt;"),"&gt;")&amp;"&gt;"</f>
        <v>&lt;a href="canciones/ruah/no_lo_notais.html"&gt;</v>
      </c>
      <c r="Y2181"/>
      <c r="AC2181" s="1"/>
    </row>
    <row r="2182" spans="1:29" x14ac:dyDescent="0.3">
      <c r="A2182" s="1">
        <f>ROW(CantoralDB[[#This Row],[Título]])-1</f>
        <v>2181</v>
      </c>
      <c r="B2182" s="1" t="s">
        <v>1872</v>
      </c>
      <c r="C2182" s="1"/>
      <c r="H2182" s="1" t="s">
        <v>529</v>
      </c>
      <c r="J2182" s="1" t="s">
        <v>605</v>
      </c>
      <c r="M2182" s="15" t="s">
        <v>1754</v>
      </c>
      <c r="N2182" s="1" t="s">
        <v>1898</v>
      </c>
      <c r="O2182" s="15">
        <v>15</v>
      </c>
      <c r="P2182" s="15">
        <v>2014</v>
      </c>
      <c r="Q2182" s="15" t="str" cm="1">
        <f t="array" ref="Q21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2" s="15" t="str" cm="1">
        <f t="array" ref="R21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canciones/ruah/mirame.html</v>
      </c>
      <c r="T2182" s="1"/>
      <c r="U2182" s="1"/>
      <c r="V2182" s="32" t="s">
        <v>3966</v>
      </c>
      <c r="W21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href="canciones/ruah/mirame.html"&gt;Mírame&lt;/a&gt;&lt;/li&gt;</v>
      </c>
      <c r="X2182" s="15" t="str">
        <f>_xlfn.TEXTBEFORE(_xlfn.TEXTAFTER(CantoralDB[[#This Row],[index.html]],"&gt;"),"&gt;")&amp;"&gt;"</f>
        <v>&lt;a href="canciones/ruah/mirame.html"&gt;</v>
      </c>
      <c r="Y2182"/>
      <c r="AC2182" s="1"/>
    </row>
    <row r="2183" spans="1:29" x14ac:dyDescent="0.3">
      <c r="A2183" s="1">
        <f>ROW(CantoralDB[[#This Row],[Título]])-1</f>
        <v>2182</v>
      </c>
      <c r="B2183" s="1" t="s">
        <v>1852</v>
      </c>
      <c r="C2183" s="1"/>
      <c r="H2183" s="1" t="s">
        <v>529</v>
      </c>
      <c r="J2183" s="1" t="s">
        <v>605</v>
      </c>
      <c r="M2183" s="15" t="s">
        <v>1754</v>
      </c>
      <c r="N2183" s="1" t="s">
        <v>1897</v>
      </c>
      <c r="O2183" s="15">
        <v>1</v>
      </c>
      <c r="P2183" s="15">
        <v>2012</v>
      </c>
      <c r="Q2183" s="15" t="str" cm="1">
        <f t="array" ref="Q21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3" s="15" t="str" cm="1">
        <f t="array" ref="R21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canciones/ruah/suelta_el_timon.html</v>
      </c>
      <c r="T2183" s="1"/>
      <c r="U2183" s="1"/>
      <c r="V2183" s="32" t="s">
        <v>5459</v>
      </c>
      <c r="W21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href="canciones/ruah/suelta_el_timon.html"&gt;Suelta el timón&lt;/a&gt;&lt;/li&gt;</v>
      </c>
      <c r="X2183" s="15" t="str">
        <f>_xlfn.TEXTBEFORE(_xlfn.TEXTAFTER(CantoralDB[[#This Row],[index.html]],"&gt;"),"&gt;")&amp;"&gt;"</f>
        <v>&lt;a href="canciones/ruah/suelta_el_timon.html"&gt;</v>
      </c>
      <c r="Y2183"/>
      <c r="AC2183" s="1"/>
    </row>
    <row r="2184" spans="1:29" x14ac:dyDescent="0.3">
      <c r="A2184" s="1">
        <f>ROW(CantoralDB[[#This Row],[Título]])-1</f>
        <v>2183</v>
      </c>
      <c r="B2184" s="1" t="s">
        <v>1853</v>
      </c>
      <c r="C2184" s="1"/>
      <c r="H2184" s="1" t="s">
        <v>1027</v>
      </c>
      <c r="I2184" s="1" t="s">
        <v>2948</v>
      </c>
      <c r="J2184" s="1" t="s">
        <v>605</v>
      </c>
      <c r="M2184" s="15" t="s">
        <v>1754</v>
      </c>
      <c r="N2184" s="1" t="s">
        <v>1897</v>
      </c>
      <c r="O2184" s="15">
        <v>2</v>
      </c>
      <c r="P2184" s="15">
        <v>2012</v>
      </c>
      <c r="Q2184" s="15" t="str" cm="1">
        <f t="array" ref="Q21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4" s="15" t="str" cm="1">
        <f t="array" ref="R21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canciones/ruah/quiero_confiar.html</v>
      </c>
      <c r="T2184" s="1"/>
      <c r="U2184" s="1"/>
      <c r="V2184" s="32" t="s">
        <v>5460</v>
      </c>
      <c r="W21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href="canciones/ruah/quiero_confiar.html"&gt;Quiero confiar&lt;/a&gt;&lt;/li&gt;</v>
      </c>
      <c r="X2184" s="15" t="str">
        <f>_xlfn.TEXTBEFORE(_xlfn.TEXTAFTER(CantoralDB[[#This Row],[index.html]],"&gt;"),"&gt;")&amp;"&gt;"</f>
        <v>&lt;a href="canciones/ruah/quiero_confiar.html"&gt;</v>
      </c>
      <c r="Y2184"/>
      <c r="AC2184" s="1"/>
    </row>
    <row r="2185" spans="1:29" x14ac:dyDescent="0.3">
      <c r="A2185" s="1">
        <f>ROW(CantoralDB[[#This Row],[Título]])-1</f>
        <v>2184</v>
      </c>
      <c r="B2185" s="1" t="s">
        <v>1854</v>
      </c>
      <c r="C2185" s="1"/>
      <c r="H2185" s="1" t="s">
        <v>1027</v>
      </c>
      <c r="J2185" s="1" t="s">
        <v>605</v>
      </c>
      <c r="M2185" s="15" t="s">
        <v>1754</v>
      </c>
      <c r="N2185" s="1" t="s">
        <v>1897</v>
      </c>
      <c r="O2185" s="15">
        <v>3</v>
      </c>
      <c r="P2185" s="15">
        <v>2012</v>
      </c>
      <c r="Q2185" s="15" t="str" cm="1">
        <f t="array" ref="Q21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5" s="15" t="str" cm="1">
        <f t="array" ref="R21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canciones/ruah/soy_de_ti.html</v>
      </c>
      <c r="T2185" s="1"/>
      <c r="U2185" s="1"/>
      <c r="V2185" s="32" t="s">
        <v>5461</v>
      </c>
      <c r="W21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href="canciones/ruah/soy_de_ti.html"&gt;Soy de ti&lt;/a&gt;&lt;/li&gt;</v>
      </c>
      <c r="X2185" s="15" t="str">
        <f>_xlfn.TEXTBEFORE(_xlfn.TEXTAFTER(CantoralDB[[#This Row],[index.html]],"&gt;"),"&gt;")&amp;"&gt;"</f>
        <v>&lt;a href="canciones/ruah/soy_de_ti.html"&gt;</v>
      </c>
      <c r="Y2185"/>
      <c r="AC2185" s="1"/>
    </row>
    <row r="2186" spans="1:29" x14ac:dyDescent="0.3">
      <c r="A2186" s="1">
        <f>ROW(CantoralDB[[#This Row],[Título]])-1</f>
        <v>2185</v>
      </c>
      <c r="B2186" s="1" t="s">
        <v>1855</v>
      </c>
      <c r="C2186" s="1"/>
      <c r="H2186" s="1" t="s">
        <v>529</v>
      </c>
      <c r="I2186" s="1" t="s">
        <v>2948</v>
      </c>
      <c r="J2186" s="1"/>
      <c r="M2186" s="15" t="s">
        <v>1754</v>
      </c>
      <c r="N2186" s="1" t="s">
        <v>1897</v>
      </c>
      <c r="O2186" s="15">
        <v>4</v>
      </c>
      <c r="P2186" s="15">
        <v>2012</v>
      </c>
      <c r="Q2186" s="15" t="str" cm="1">
        <f t="array" ref="Q21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6" s="15" t="str" cm="1">
        <f t="array" ref="R21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canciones/ruah/el_boleto.html</v>
      </c>
      <c r="T2186" s="1"/>
      <c r="U2186" s="1"/>
      <c r="V2186" s="32" t="s">
        <v>5462</v>
      </c>
      <c r="W21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href="canciones/ruah/el_boleto.html"&gt;El boleto&lt;/a&gt;&lt;/li&gt;</v>
      </c>
      <c r="X2186" s="15" t="str">
        <f>_xlfn.TEXTBEFORE(_xlfn.TEXTAFTER(CantoralDB[[#This Row],[index.html]],"&gt;"),"&gt;")&amp;"&gt;"</f>
        <v>&lt;a href="canciones/ruah/el_boleto.html"&gt;</v>
      </c>
      <c r="Y2186"/>
      <c r="AC2186" s="1"/>
    </row>
    <row r="2187" spans="1:29" x14ac:dyDescent="0.3">
      <c r="A2187" s="1">
        <f>ROW(CantoralDB[[#This Row],[Título]])-1</f>
        <v>2186</v>
      </c>
      <c r="B2187" s="1" t="s">
        <v>489</v>
      </c>
      <c r="C2187" s="1"/>
      <c r="H2187" s="1" t="s">
        <v>1027</v>
      </c>
      <c r="J2187" s="1"/>
      <c r="M2187" s="15" t="s">
        <v>1754</v>
      </c>
      <c r="N2187" s="1" t="s">
        <v>1897</v>
      </c>
      <c r="O2187" s="15">
        <v>5</v>
      </c>
      <c r="P2187" s="15">
        <v>2012</v>
      </c>
      <c r="Q2187" s="15" t="str" cm="1">
        <f t="array" ref="Q21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7" s="15" t="str" cm="1">
        <f t="array" ref="R21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canciones/ruah/maranatha.html</v>
      </c>
      <c r="T2187" s="1"/>
      <c r="U2187" s="1"/>
      <c r="V2187" s="32" t="s">
        <v>5463</v>
      </c>
      <c r="W21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href="canciones/ruah/maranatha.html"&gt;Maranatha&lt;/a&gt;&lt;/li&gt;</v>
      </c>
      <c r="X2187" s="15" t="str">
        <f>_xlfn.TEXTBEFORE(_xlfn.TEXTAFTER(CantoralDB[[#This Row],[index.html]],"&gt;"),"&gt;")&amp;"&gt;"</f>
        <v>&lt;a href="canciones/ruah/maranatha.html"&gt;</v>
      </c>
      <c r="Y2187"/>
      <c r="AC2187" s="1"/>
    </row>
    <row r="2188" spans="1:29" x14ac:dyDescent="0.3">
      <c r="A2188" s="1">
        <f>ROW(CantoralDB[[#This Row],[Título]])-1</f>
        <v>2187</v>
      </c>
      <c r="B2188" s="1" t="s">
        <v>1856</v>
      </c>
      <c r="C2188" s="1"/>
      <c r="H2188" s="1" t="s">
        <v>529</v>
      </c>
      <c r="I2188" s="1" t="s">
        <v>2949</v>
      </c>
      <c r="J2188" s="1" t="s">
        <v>605</v>
      </c>
      <c r="M2188" s="15" t="s">
        <v>1754</v>
      </c>
      <c r="N2188" s="1" t="s">
        <v>1897</v>
      </c>
      <c r="O2188" s="15">
        <v>6</v>
      </c>
      <c r="P2188" s="15">
        <v>2012</v>
      </c>
      <c r="Q2188" s="15" t="str" cm="1">
        <f t="array" ref="Q21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8" s="15" t="str" cm="1">
        <f t="array" ref="R21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canciones/ruah/tuya_y_nueva.html</v>
      </c>
      <c r="T2188" s="1"/>
      <c r="U2188" s="1"/>
      <c r="V2188" s="32" t="s">
        <v>5464</v>
      </c>
      <c r="W21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href="canciones/ruah/tuya_y_nueva.html"&gt;Tuya y nueva&lt;/a&gt;&lt;/li&gt;</v>
      </c>
      <c r="X2188" s="15" t="str">
        <f>_xlfn.TEXTBEFORE(_xlfn.TEXTAFTER(CantoralDB[[#This Row],[index.html]],"&gt;"),"&gt;")&amp;"&gt;"</f>
        <v>&lt;a href="canciones/ruah/tuya_y_nueva.html"&gt;</v>
      </c>
      <c r="Y2188"/>
      <c r="AC2188" s="1"/>
    </row>
    <row r="2189" spans="1:29" x14ac:dyDescent="0.3">
      <c r="A2189" s="1">
        <f>ROW(CantoralDB[[#This Row],[Título]])-1</f>
        <v>2188</v>
      </c>
      <c r="B2189" s="1" t="s">
        <v>1857</v>
      </c>
      <c r="C2189" s="1"/>
      <c r="H2189" s="1" t="s">
        <v>1027</v>
      </c>
      <c r="J2189" s="1" t="s">
        <v>605</v>
      </c>
      <c r="M2189" s="15" t="s">
        <v>1754</v>
      </c>
      <c r="N2189" s="1" t="s">
        <v>1897</v>
      </c>
      <c r="O2189" s="15">
        <v>7</v>
      </c>
      <c r="P2189" s="15">
        <v>2012</v>
      </c>
      <c r="Q2189" s="15" t="str" cm="1">
        <f t="array" ref="Q21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89" s="15" t="str" cm="1">
        <f t="array" ref="R21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canciones/ruah/no_os_preocupeis.html</v>
      </c>
      <c r="T2189" s="1"/>
      <c r="U2189" s="1"/>
      <c r="V2189" s="32" t="s">
        <v>5465</v>
      </c>
      <c r="W21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href="canciones/ruah/no_os_preocupeis.html"&gt;No os preocupéis&lt;/a&gt;&lt;/li&gt;</v>
      </c>
      <c r="X2189" s="15" t="str">
        <f>_xlfn.TEXTBEFORE(_xlfn.TEXTAFTER(CantoralDB[[#This Row],[index.html]],"&gt;"),"&gt;")&amp;"&gt;"</f>
        <v>&lt;a href="canciones/ruah/no_os_preocupeis.html"&gt;</v>
      </c>
      <c r="Y2189"/>
      <c r="AC2189" s="1"/>
    </row>
    <row r="2190" spans="1:29" x14ac:dyDescent="0.3">
      <c r="A2190" s="1">
        <f>ROW(CantoralDB[[#This Row],[Título]])-1</f>
        <v>2189</v>
      </c>
      <c r="B2190" s="1" t="s">
        <v>1858</v>
      </c>
      <c r="C2190" s="1"/>
      <c r="H2190" s="1" t="s">
        <v>1025</v>
      </c>
      <c r="J2190" s="1" t="s">
        <v>605</v>
      </c>
      <c r="L2190" s="1" t="s">
        <v>2174</v>
      </c>
      <c r="M2190" s="15" t="s">
        <v>1754</v>
      </c>
      <c r="N2190" s="1" t="s">
        <v>1897</v>
      </c>
      <c r="O2190" s="15">
        <v>8</v>
      </c>
      <c r="P2190" s="15">
        <v>2012</v>
      </c>
      <c r="Q2190" s="15" t="str" cm="1">
        <f t="array" ref="Q21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0" s="15" t="str" cm="1">
        <f t="array" ref="R21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canciones/ruah/sabes_bien.html</v>
      </c>
      <c r="T2190" s="1"/>
      <c r="U2190" s="1"/>
      <c r="V2190" s="32" t="s">
        <v>5466</v>
      </c>
      <c r="W21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href="canciones/ruah/sabes_bien.html"&gt;Sabes bien&lt;/a&gt;&lt;/li&gt;</v>
      </c>
      <c r="X2190" s="15" t="str">
        <f>_xlfn.TEXTBEFORE(_xlfn.TEXTAFTER(CantoralDB[[#This Row],[index.html]],"&gt;"),"&gt;")&amp;"&gt;"</f>
        <v>&lt;a href="canciones/ruah/sabes_bien.html"&gt;</v>
      </c>
      <c r="Y2190"/>
      <c r="AC2190" s="1"/>
    </row>
    <row r="2191" spans="1:29" x14ac:dyDescent="0.3">
      <c r="A2191" s="1">
        <f>ROW(CantoralDB[[#This Row],[Título]])-1</f>
        <v>2190</v>
      </c>
      <c r="B2191" s="1" t="s">
        <v>1859</v>
      </c>
      <c r="C2191" s="1"/>
      <c r="H2191" s="1" t="s">
        <v>472</v>
      </c>
      <c r="J2191" s="1" t="s">
        <v>605</v>
      </c>
      <c r="M2191" s="15" t="s">
        <v>1754</v>
      </c>
      <c r="N2191" s="1" t="s">
        <v>1897</v>
      </c>
      <c r="O2191" s="15">
        <v>9</v>
      </c>
      <c r="P2191" s="15">
        <v>2012</v>
      </c>
      <c r="Q2191" s="15" t="str" cm="1">
        <f t="array" ref="Q21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1" s="15" t="str" cm="1">
        <f t="array" ref="R21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canciones/ruah/alegraos.html</v>
      </c>
      <c r="T2191" s="1"/>
      <c r="U2191" s="1"/>
      <c r="V2191" s="32" t="s">
        <v>3983</v>
      </c>
      <c r="W21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href="canciones/ruah/alegraos.html"&gt;Alegraos&lt;/a&gt;&lt;/li&gt;</v>
      </c>
      <c r="X2191" s="15" t="str">
        <f>_xlfn.TEXTBEFORE(_xlfn.TEXTAFTER(CantoralDB[[#This Row],[index.html]],"&gt;"),"&gt;")&amp;"&gt;"</f>
        <v>&lt;a href="canciones/ruah/alegraos.html"&gt;</v>
      </c>
      <c r="Y2191"/>
      <c r="AC2191" s="1"/>
    </row>
    <row r="2192" spans="1:29" x14ac:dyDescent="0.3">
      <c r="A2192" s="1">
        <f>ROW(CantoralDB[[#This Row],[Título]])-1</f>
        <v>2191</v>
      </c>
      <c r="B2192" s="1" t="s">
        <v>1860</v>
      </c>
      <c r="C2192" s="1"/>
      <c r="H2192" s="1" t="s">
        <v>1024</v>
      </c>
      <c r="J2192" s="1" t="s">
        <v>605</v>
      </c>
      <c r="M2192" s="15" t="s">
        <v>1754</v>
      </c>
      <c r="N2192" s="1" t="s">
        <v>1897</v>
      </c>
      <c r="O2192" s="15">
        <v>10</v>
      </c>
      <c r="P2192" s="15">
        <v>2012</v>
      </c>
      <c r="Q2192" s="15" t="str" cm="1">
        <f t="array" ref="Q21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2" s="15" t="str" cm="1">
        <f t="array" ref="R21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canciones/ruah/envianos_sin_miedo.html</v>
      </c>
      <c r="T2192" s="1"/>
      <c r="U2192" s="1"/>
      <c r="V2192" s="32" t="s">
        <v>3982</v>
      </c>
      <c r="W21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href="canciones/ruah/envianos_sin_miedo.html"&gt;Envíanos sin miedo&lt;/a&gt;&lt;/li&gt;</v>
      </c>
      <c r="X2192" s="15" t="str">
        <f>_xlfn.TEXTBEFORE(_xlfn.TEXTAFTER(CantoralDB[[#This Row],[index.html]],"&gt;"),"&gt;")&amp;"&gt;"</f>
        <v>&lt;a href="canciones/ruah/envianos_sin_miedo.html"&gt;</v>
      </c>
      <c r="Y2192"/>
      <c r="AC2192" s="1"/>
    </row>
    <row r="2193" spans="1:29" x14ac:dyDescent="0.3">
      <c r="A2193" s="1">
        <f>ROW(CantoralDB[[#This Row],[Título]])-1</f>
        <v>2192</v>
      </c>
      <c r="B2193" s="1" t="s">
        <v>1861</v>
      </c>
      <c r="C2193" s="1"/>
      <c r="H2193" s="1" t="s">
        <v>1024</v>
      </c>
      <c r="J2193" s="1" t="s">
        <v>605</v>
      </c>
      <c r="M2193" s="15" t="s">
        <v>1754</v>
      </c>
      <c r="N2193" s="1" t="s">
        <v>1897</v>
      </c>
      <c r="O2193" s="15">
        <v>11</v>
      </c>
      <c r="P2193" s="15">
        <v>2012</v>
      </c>
      <c r="Q2193" s="15" t="str" cm="1">
        <f t="array" ref="Q21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3" s="15" t="str" cm="1">
        <f t="array" ref="R21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canciones/ruah/aqui_y_ahora.html</v>
      </c>
      <c r="T2193" s="1"/>
      <c r="U2193" s="1"/>
      <c r="V2193" s="32" t="s">
        <v>3981</v>
      </c>
      <c r="W21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href="canciones/ruah/aqui_y_ahora.html"&gt;Aquí y ahora&lt;/a&gt;&lt;/li&gt;</v>
      </c>
      <c r="X2193" s="15" t="str">
        <f>_xlfn.TEXTBEFORE(_xlfn.TEXTAFTER(CantoralDB[[#This Row],[index.html]],"&gt;"),"&gt;")&amp;"&gt;"</f>
        <v>&lt;a href="canciones/ruah/aqui_y_ahora.html"&gt;</v>
      </c>
      <c r="Y2193"/>
      <c r="AC2193" s="1"/>
    </row>
    <row r="2194" spans="1:29" x14ac:dyDescent="0.3">
      <c r="A2194" s="1">
        <f>ROW(CantoralDB[[#This Row],[Título]])-1</f>
        <v>2193</v>
      </c>
      <c r="B2194" s="1" t="s">
        <v>1886</v>
      </c>
      <c r="C2194" s="1"/>
      <c r="H2194" s="1" t="s">
        <v>529</v>
      </c>
      <c r="I2194" s="1" t="s">
        <v>2948</v>
      </c>
      <c r="J2194" s="1" t="s">
        <v>605</v>
      </c>
      <c r="M2194" s="15" t="s">
        <v>1754</v>
      </c>
      <c r="N2194" s="1" t="s">
        <v>1892</v>
      </c>
      <c r="O2194" s="15">
        <v>1</v>
      </c>
      <c r="P2194" s="15">
        <v>2022</v>
      </c>
      <c r="Q2194" s="15" t="str" cm="1">
        <f t="array" ref="Q21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4" s="15" t="str" cm="1">
        <f t="array" ref="R21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canciones/ruah/te_seguire_llamando.html</v>
      </c>
      <c r="T2194" s="1"/>
      <c r="U2194" s="1"/>
      <c r="V2194" s="32" t="s">
        <v>5448</v>
      </c>
      <c r="W21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href="canciones/ruah/te_seguire_llamando.html"&gt;Te seguiré llamando&lt;/a&gt;&lt;/li&gt;</v>
      </c>
      <c r="X2194" s="15" t="str">
        <f>_xlfn.TEXTBEFORE(_xlfn.TEXTAFTER(CantoralDB[[#This Row],[index.html]],"&gt;"),"&gt;")&amp;"&gt;"</f>
        <v>&lt;a href="canciones/ruah/te_seguire_llamando.html"&gt;</v>
      </c>
      <c r="Y2194"/>
      <c r="AC2194" s="1"/>
    </row>
    <row r="2195" spans="1:29" x14ac:dyDescent="0.3">
      <c r="A2195" s="1">
        <f>ROW(CantoralDB[[#This Row],[Título]])-1</f>
        <v>2194</v>
      </c>
      <c r="B2195" s="1" t="s">
        <v>1887</v>
      </c>
      <c r="C2195" s="1"/>
      <c r="H2195" s="1" t="s">
        <v>1027</v>
      </c>
      <c r="I2195" s="1" t="s">
        <v>2946</v>
      </c>
      <c r="J2195" s="1" t="s">
        <v>605</v>
      </c>
      <c r="M2195" s="15" t="s">
        <v>1754</v>
      </c>
      <c r="N2195" s="1" t="s">
        <v>1892</v>
      </c>
      <c r="O2195" s="15">
        <v>2</v>
      </c>
      <c r="P2195" s="15">
        <v>2022</v>
      </c>
      <c r="Q2195" s="15" t="str" cm="1">
        <f t="array" ref="Q21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5" s="15" t="str" cm="1">
        <f t="array" ref="R21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canciones/ruah/no_volvera_vacia.html</v>
      </c>
      <c r="T2195" s="1"/>
      <c r="U2195" s="1"/>
      <c r="V2195" s="32" t="s">
        <v>5449</v>
      </c>
      <c r="W21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href="canciones/ruah/no_volvera_vacia.html"&gt;No volverá vacía&lt;/a&gt;&lt;/li&gt;</v>
      </c>
      <c r="X2195" s="15" t="str">
        <f>_xlfn.TEXTBEFORE(_xlfn.TEXTAFTER(CantoralDB[[#This Row],[index.html]],"&gt;"),"&gt;")&amp;"&gt;"</f>
        <v>&lt;a href="canciones/ruah/no_volvera_vacia.html"&gt;</v>
      </c>
      <c r="Y2195"/>
      <c r="AC2195" s="1"/>
    </row>
    <row r="2196" spans="1:29" x14ac:dyDescent="0.3">
      <c r="A2196" s="1">
        <f>ROW(CantoralDB[[#This Row],[Título]])-1</f>
        <v>2195</v>
      </c>
      <c r="B2196" s="1" t="s">
        <v>1888</v>
      </c>
      <c r="C2196" s="1"/>
      <c r="H2196" s="1" t="s">
        <v>1027</v>
      </c>
      <c r="J2196" s="1" t="s">
        <v>605</v>
      </c>
      <c r="M2196" s="15" t="s">
        <v>1754</v>
      </c>
      <c r="N2196" s="1" t="s">
        <v>1892</v>
      </c>
      <c r="O2196" s="15">
        <v>3</v>
      </c>
      <c r="P2196" s="15">
        <v>2022</v>
      </c>
      <c r="Q2196" s="15" t="str" cm="1">
        <f t="array" ref="Q21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6" s="15" t="str" cm="1">
        <f t="array" ref="R21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canciones/ruah/grietas.html</v>
      </c>
      <c r="T2196" s="1"/>
      <c r="U2196" s="1"/>
      <c r="V2196" s="32" t="s">
        <v>5450</v>
      </c>
      <c r="W21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href="canciones/ruah/grietas.html"&gt;Grietas&lt;/a&gt;&lt;/li&gt;</v>
      </c>
      <c r="X2196" s="15" t="str">
        <f>_xlfn.TEXTBEFORE(_xlfn.TEXTAFTER(CantoralDB[[#This Row],[index.html]],"&gt;"),"&gt;")&amp;"&gt;"</f>
        <v>&lt;a href="canciones/ruah/grietas.html"&gt;</v>
      </c>
      <c r="Y2196"/>
      <c r="AC2196" s="1"/>
    </row>
    <row r="2197" spans="1:29" x14ac:dyDescent="0.3">
      <c r="A2197" s="1">
        <f>ROW(CantoralDB[[#This Row],[Título]])-1</f>
        <v>2196</v>
      </c>
      <c r="B2197" s="1" t="s">
        <v>1889</v>
      </c>
      <c r="C2197" s="1"/>
      <c r="H2197" s="1" t="s">
        <v>472</v>
      </c>
      <c r="J2197" s="1" t="s">
        <v>605</v>
      </c>
      <c r="M2197" s="15" t="s">
        <v>1754</v>
      </c>
      <c r="N2197" s="1" t="s">
        <v>1892</v>
      </c>
      <c r="O2197" s="15">
        <v>4</v>
      </c>
      <c r="P2197" s="15">
        <v>2022</v>
      </c>
      <c r="Q2197" s="15" t="str" cm="1">
        <f t="array" ref="Q21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7" s="15" t="str" cm="1">
        <f t="array" ref="R21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canciones/ruah/en_parabolas.html</v>
      </c>
      <c r="T2197" s="1"/>
      <c r="U2197" s="1"/>
      <c r="V2197" s="32" t="s">
        <v>5451</v>
      </c>
      <c r="W21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href="canciones/ruah/en_parabolas.html"&gt;En parábolas&lt;/a&gt;&lt;/li&gt;</v>
      </c>
      <c r="X2197" s="15" t="str">
        <f>_xlfn.TEXTBEFORE(_xlfn.TEXTAFTER(CantoralDB[[#This Row],[index.html]],"&gt;"),"&gt;")&amp;"&gt;"</f>
        <v>&lt;a href="canciones/ruah/en_parabolas.html"&gt;</v>
      </c>
      <c r="Y2197"/>
      <c r="AC2197" s="1"/>
    </row>
    <row r="2198" spans="1:29" x14ac:dyDescent="0.3">
      <c r="A2198" s="1">
        <f>ROW(CantoralDB[[#This Row],[Título]])-1</f>
        <v>2197</v>
      </c>
      <c r="B2198" s="1" t="s">
        <v>1890</v>
      </c>
      <c r="C2198" s="1"/>
      <c r="H2198" s="1" t="s">
        <v>1025</v>
      </c>
      <c r="J2198" s="1" t="s">
        <v>605</v>
      </c>
      <c r="M2198" s="15" t="s">
        <v>1754</v>
      </c>
      <c r="N2198" s="1" t="s">
        <v>1892</v>
      </c>
      <c r="O2198" s="15">
        <v>5</v>
      </c>
      <c r="P2198" s="15">
        <v>2022</v>
      </c>
      <c r="Q2198" s="15" t="str" cm="1">
        <f t="array" ref="Q21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8" s="15" t="str" cm="1">
        <f t="array" ref="R21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canciones/ruah/oyeme.html</v>
      </c>
      <c r="T2198" s="1"/>
      <c r="U2198" s="1"/>
      <c r="V2198" s="32" t="s">
        <v>5452</v>
      </c>
      <c r="W21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href="canciones/ruah/oyeme.html"&gt;Óyeme&lt;/a&gt;&lt;/li&gt;</v>
      </c>
      <c r="X2198" s="15" t="str">
        <f>_xlfn.TEXTBEFORE(_xlfn.TEXTAFTER(CantoralDB[[#This Row],[index.html]],"&gt;"),"&gt;")&amp;"&gt;"</f>
        <v>&lt;a href="canciones/ruah/oyeme.html"&gt;</v>
      </c>
      <c r="Y2198"/>
      <c r="AC2198" s="1"/>
    </row>
    <row r="2199" spans="1:29" x14ac:dyDescent="0.3">
      <c r="A2199" s="1">
        <f>ROW(CantoralDB[[#This Row],[Título]])-1</f>
        <v>2198</v>
      </c>
      <c r="B2199" s="1" t="s">
        <v>1891</v>
      </c>
      <c r="C2199" s="1"/>
      <c r="H2199" s="1" t="s">
        <v>529</v>
      </c>
      <c r="I2199" s="1" t="s">
        <v>2945</v>
      </c>
      <c r="J2199" s="1" t="s">
        <v>605</v>
      </c>
      <c r="M2199" s="15" t="s">
        <v>1754</v>
      </c>
      <c r="N2199" s="1" t="s">
        <v>1892</v>
      </c>
      <c r="O2199" s="15">
        <v>6</v>
      </c>
      <c r="P2199" s="15">
        <v>2022</v>
      </c>
      <c r="Q2199" s="15" t="str" cm="1">
        <f t="array" ref="Q21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199" s="15" t="str" cm="1">
        <f t="array" ref="R21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1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canciones/ruah/bosque.html</v>
      </c>
      <c r="T2199" s="1"/>
      <c r="U2199" s="1"/>
      <c r="V2199" s="32" t="s">
        <v>5453</v>
      </c>
      <c r="W21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href="canciones/ruah/bosque.html"&gt;Bosque&lt;/a&gt;&lt;/li&gt;</v>
      </c>
      <c r="X2199" s="15" t="str">
        <f>_xlfn.TEXTBEFORE(_xlfn.TEXTAFTER(CantoralDB[[#This Row],[index.html]],"&gt;"),"&gt;")&amp;"&gt;"</f>
        <v>&lt;a href="canciones/ruah/bosque.html"&gt;</v>
      </c>
      <c r="Y2199"/>
      <c r="AC2199" s="1"/>
    </row>
    <row r="2200" spans="1:29" x14ac:dyDescent="0.3">
      <c r="A2200" s="1">
        <f>ROW(CantoralDB[[#This Row],[Título]])-1</f>
        <v>2199</v>
      </c>
      <c r="B2200" s="1" t="s">
        <v>1892</v>
      </c>
      <c r="C2200" s="1"/>
      <c r="H2200" s="1" t="s">
        <v>1024</v>
      </c>
      <c r="J2200" s="1" t="s">
        <v>605</v>
      </c>
      <c r="M2200" s="15" t="s">
        <v>1754</v>
      </c>
      <c r="N2200" s="1" t="s">
        <v>1892</v>
      </c>
      <c r="O2200" s="15">
        <v>7</v>
      </c>
      <c r="P2200" s="15">
        <v>2022</v>
      </c>
      <c r="Q2200" s="15" t="str" cm="1">
        <f t="array" ref="Q22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0" s="15" t="str" cm="1">
        <f t="array" ref="R22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canciones/ruah/nuestro_lugar.html</v>
      </c>
      <c r="T2200" s="1"/>
      <c r="U2200" s="1"/>
      <c r="V2200" s="32" t="s">
        <v>5454</v>
      </c>
      <c r="W22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href="canciones/ruah/nuestro_lugar.html"&gt;Nuestro lugar&lt;/a&gt;&lt;/li&gt;</v>
      </c>
      <c r="X2200" s="15" t="str">
        <f>_xlfn.TEXTBEFORE(_xlfn.TEXTAFTER(CantoralDB[[#This Row],[index.html]],"&gt;"),"&gt;")&amp;"&gt;"</f>
        <v>&lt;a href="canciones/ruah/nuestro_lugar.html"&gt;</v>
      </c>
      <c r="Y2200"/>
      <c r="AC2200" s="1"/>
    </row>
    <row r="2201" spans="1:29" x14ac:dyDescent="0.3">
      <c r="A2201" s="1">
        <f>ROW(CantoralDB[[#This Row],[Título]])-1</f>
        <v>2200</v>
      </c>
      <c r="B2201" s="1" t="s">
        <v>1893</v>
      </c>
      <c r="C2201" s="1"/>
      <c r="H2201" s="1" t="s">
        <v>1024</v>
      </c>
      <c r="J2201" s="1" t="s">
        <v>605</v>
      </c>
      <c r="M2201" s="15" t="s">
        <v>1754</v>
      </c>
      <c r="N2201" s="1" t="s">
        <v>1892</v>
      </c>
      <c r="O2201" s="15">
        <v>8</v>
      </c>
      <c r="P2201" s="15">
        <v>2022</v>
      </c>
      <c r="Q2201" s="15" t="str" cm="1">
        <f t="array" ref="Q22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1" s="15" t="str" cm="1">
        <f t="array" ref="R22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canciones/ruah/a_tu_medida.html</v>
      </c>
      <c r="T2201" s="1"/>
      <c r="U2201" s="1"/>
      <c r="V2201" s="32" t="s">
        <v>5455</v>
      </c>
      <c r="W22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href="canciones/ruah/a_tu_medida.html"&gt;A tu medida&lt;/a&gt;&lt;/li&gt;</v>
      </c>
      <c r="X2201" s="15" t="str">
        <f>_xlfn.TEXTBEFORE(_xlfn.TEXTAFTER(CantoralDB[[#This Row],[index.html]],"&gt;"),"&gt;")&amp;"&gt;"</f>
        <v>&lt;a href="canciones/ruah/a_tu_medida.html"&gt;</v>
      </c>
      <c r="Y2201"/>
      <c r="AC2201" s="1"/>
    </row>
    <row r="2202" spans="1:29" x14ac:dyDescent="0.3">
      <c r="A2202" s="1">
        <f>ROW(CantoralDB[[#This Row],[Título]])-1</f>
        <v>2201</v>
      </c>
      <c r="B2202" s="1" t="s">
        <v>1894</v>
      </c>
      <c r="C2202" s="1"/>
      <c r="H2202" s="1" t="s">
        <v>1024</v>
      </c>
      <c r="J2202" s="1" t="s">
        <v>605</v>
      </c>
      <c r="M2202" s="15" t="s">
        <v>1754</v>
      </c>
      <c r="N2202" s="1" t="s">
        <v>1892</v>
      </c>
      <c r="O2202" s="15">
        <v>9</v>
      </c>
      <c r="P2202" s="15">
        <v>2022</v>
      </c>
      <c r="Q2202" s="15" t="str" cm="1">
        <f t="array" ref="Q22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2" s="15" t="str" cm="1">
        <f t="array" ref="R22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canciones/ruah/mayor_que_todo.html</v>
      </c>
      <c r="T2202" s="1"/>
      <c r="U2202" s="1"/>
      <c r="V2202" s="32" t="s">
        <v>5456</v>
      </c>
      <c r="W22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href="canciones/ruah/mayor_que_todo.html"&gt;Mayor que todo&lt;/a&gt;&lt;/li&gt;</v>
      </c>
      <c r="X2202" s="15" t="str">
        <f>_xlfn.TEXTBEFORE(_xlfn.TEXTAFTER(CantoralDB[[#This Row],[index.html]],"&gt;"),"&gt;")&amp;"&gt;"</f>
        <v>&lt;a href="canciones/ruah/mayor_que_todo.html"&gt;</v>
      </c>
      <c r="Y2202"/>
      <c r="AC2202" s="1"/>
    </row>
    <row r="2203" spans="1:29" x14ac:dyDescent="0.3">
      <c r="A2203" s="1">
        <f>ROW(CantoralDB[[#This Row],[Título]])-1</f>
        <v>2202</v>
      </c>
      <c r="B2203" s="1" t="s">
        <v>1895</v>
      </c>
      <c r="C2203" s="1"/>
      <c r="H2203" s="1" t="s">
        <v>1027</v>
      </c>
      <c r="I2203" s="1" t="s">
        <v>2946</v>
      </c>
      <c r="J2203" s="1" t="s">
        <v>605</v>
      </c>
      <c r="M2203" s="15" t="s">
        <v>1754</v>
      </c>
      <c r="N2203" s="1" t="s">
        <v>1892</v>
      </c>
      <c r="O2203" s="15">
        <v>10</v>
      </c>
      <c r="P2203" s="15">
        <v>2022</v>
      </c>
      <c r="Q2203" s="15" t="str" cm="1">
        <f t="array" ref="Q22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3" s="15" t="str" cm="1">
        <f t="array" ref="R22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canciones/ruah/seas.html</v>
      </c>
      <c r="T2203" s="1"/>
      <c r="U2203" s="1"/>
      <c r="V2203" s="32" t="s">
        <v>5457</v>
      </c>
      <c r="W22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href="canciones/ruah/seas.html"&gt;Seas&lt;/a&gt;&lt;/li&gt;</v>
      </c>
      <c r="X2203" s="15" t="str">
        <f>_xlfn.TEXTBEFORE(_xlfn.TEXTAFTER(CantoralDB[[#This Row],[index.html]],"&gt;"),"&gt;")&amp;"&gt;"</f>
        <v>&lt;a href="canciones/ruah/seas.html"&gt;</v>
      </c>
      <c r="Y2203"/>
      <c r="AC2203" s="1"/>
    </row>
    <row r="2204" spans="1:29" x14ac:dyDescent="0.3">
      <c r="A2204" s="1">
        <f>ROW(CantoralDB[[#This Row],[Título]])-1</f>
        <v>2203</v>
      </c>
      <c r="B2204" s="1" t="s">
        <v>1896</v>
      </c>
      <c r="C2204" s="1"/>
      <c r="H2204" s="1" t="s">
        <v>529</v>
      </c>
      <c r="J2204" s="1" t="s">
        <v>605</v>
      </c>
      <c r="M2204" s="15" t="s">
        <v>1754</v>
      </c>
      <c r="N2204" s="1" t="s">
        <v>1892</v>
      </c>
      <c r="O2204" s="15">
        <v>11</v>
      </c>
      <c r="P2204" s="15">
        <v>2022</v>
      </c>
      <c r="Q2204" s="15" t="str" cm="1">
        <f t="array" ref="Q22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4" s="15" t="str" cm="1">
        <f t="array" ref="R22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canciones/ruah/brasas.html</v>
      </c>
      <c r="T2204" s="1"/>
      <c r="U2204" s="1"/>
      <c r="V2204" s="32" t="s">
        <v>5458</v>
      </c>
      <c r="W22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href="canciones/ruah/brasas.html"&gt;Brasas&lt;/a&gt;&lt;/li&gt;</v>
      </c>
      <c r="X2204" s="15" t="str">
        <f>_xlfn.TEXTBEFORE(_xlfn.TEXTAFTER(CantoralDB[[#This Row],[index.html]],"&gt;"),"&gt;")&amp;"&gt;"</f>
        <v>&lt;a href="canciones/ruah/brasas.html"&gt;</v>
      </c>
      <c r="Y2204"/>
      <c r="AC2204" s="1"/>
    </row>
    <row r="2205" spans="1:29" x14ac:dyDescent="0.3">
      <c r="A2205" s="1">
        <f>ROW(CantoralDB[[#This Row],[Título]])-1</f>
        <v>2204</v>
      </c>
      <c r="B2205" s="1" t="s">
        <v>3985</v>
      </c>
      <c r="C2205" s="1"/>
      <c r="H2205" s="1" t="s">
        <v>1024</v>
      </c>
      <c r="J2205" s="1" t="s">
        <v>605</v>
      </c>
      <c r="M2205" s="15" t="s">
        <v>1754</v>
      </c>
      <c r="N2205" s="1" t="s">
        <v>3984</v>
      </c>
      <c r="O2205" s="15">
        <v>1</v>
      </c>
      <c r="P2205" s="15">
        <v>2026</v>
      </c>
      <c r="Q2205" s="15" t="str" cm="1">
        <f t="array" ref="Q22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5" s="15" t="str" cm="1">
        <f t="array" ref="R22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canciones/ruah/de_ida_y_vuelta.html</v>
      </c>
      <c r="T2205" s="1"/>
      <c r="U2205" s="1"/>
      <c r="V2205" s="32" t="s">
        <v>5433</v>
      </c>
      <c r="W22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href="canciones/ruah/de_ida_y_vuelta.html"&gt;De ida y vuelta&lt;/a&gt;&lt;/li&gt;</v>
      </c>
      <c r="X2205" s="15" t="str">
        <f>_xlfn.TEXTBEFORE(_xlfn.TEXTAFTER(CantoralDB[[#This Row],[index.html]],"&gt;"),"&gt;")&amp;"&gt;"</f>
        <v>&lt;a href="canciones/ruah/de_ida_y_vuelta.html"&gt;</v>
      </c>
      <c r="Y2205"/>
      <c r="AC2205" s="1"/>
    </row>
    <row r="2206" spans="1:29" x14ac:dyDescent="0.3">
      <c r="A2206" s="1">
        <f>ROW(CantoralDB[[#This Row],[Título]])-1</f>
        <v>2205</v>
      </c>
      <c r="B2206" s="1" t="s">
        <v>3986</v>
      </c>
      <c r="C2206" s="1"/>
      <c r="H2206" s="1" t="s">
        <v>1026</v>
      </c>
      <c r="J2206" s="1" t="s">
        <v>605</v>
      </c>
      <c r="M2206" s="15" t="s">
        <v>1754</v>
      </c>
      <c r="N2206" s="1" t="s">
        <v>3984</v>
      </c>
      <c r="O2206" s="15">
        <v>2</v>
      </c>
      <c r="P2206" s="15">
        <v>2026</v>
      </c>
      <c r="Q2206" s="15" t="str" cm="1">
        <f t="array" ref="Q22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6" s="15" t="str" cm="1">
        <f t="array" ref="R22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canciones/ruah/mañana.html</v>
      </c>
      <c r="T2206" s="1"/>
      <c r="U2206" s="1"/>
      <c r="V2206" s="32" t="s">
        <v>5434</v>
      </c>
      <c r="W22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href="canciones/ruah/mañana.html"&gt;Mañana&lt;/a&gt;&lt;/li&gt;</v>
      </c>
      <c r="X2206" s="15" t="str">
        <f>_xlfn.TEXTBEFORE(_xlfn.TEXTAFTER(CantoralDB[[#This Row],[index.html]],"&gt;"),"&gt;")&amp;"&gt;"</f>
        <v>&lt;a href="canciones/ruah/mañana.html"&gt;</v>
      </c>
      <c r="Y2206"/>
      <c r="AC2206" s="1"/>
    </row>
    <row r="2207" spans="1:29" x14ac:dyDescent="0.3">
      <c r="A2207" s="1">
        <f>ROW(CantoralDB[[#This Row],[Título]])-1</f>
        <v>2206</v>
      </c>
      <c r="B2207" s="1" t="s">
        <v>3987</v>
      </c>
      <c r="C2207" s="1"/>
      <c r="H2207" s="1" t="s">
        <v>529</v>
      </c>
      <c r="I2207" s="1" t="s">
        <v>2948</v>
      </c>
      <c r="J2207" s="1" t="s">
        <v>605</v>
      </c>
      <c r="M2207" s="15" t="s">
        <v>1754</v>
      </c>
      <c r="N2207" s="1" t="s">
        <v>3984</v>
      </c>
      <c r="O2207" s="15">
        <v>3</v>
      </c>
      <c r="P2207" s="15">
        <v>2026</v>
      </c>
      <c r="Q2207" s="15" t="str" cm="1">
        <f t="array" ref="Q22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7" s="15" t="str" cm="1">
        <f t="array" ref="R22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canciones/ruah/el_que_amas_esta_enfermo.html</v>
      </c>
      <c r="T2207" s="1"/>
      <c r="U2207" s="1"/>
      <c r="V2207" s="32" t="s">
        <v>5435</v>
      </c>
      <c r="W22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href="canciones/ruah/el_que_amas_esta_enfermo.html"&gt;El que amas está enfermo&lt;/a&gt;&lt;/li&gt;</v>
      </c>
      <c r="X2207" s="15" t="str">
        <f>_xlfn.TEXTBEFORE(_xlfn.TEXTAFTER(CantoralDB[[#This Row],[index.html]],"&gt;"),"&gt;")&amp;"&gt;"</f>
        <v>&lt;a href="canciones/ruah/el_que_amas_esta_enfermo.html"&gt;</v>
      </c>
      <c r="Y2207"/>
      <c r="AC2207" s="1"/>
    </row>
    <row r="2208" spans="1:29" x14ac:dyDescent="0.3">
      <c r="A2208" s="1">
        <f>ROW(CantoralDB[[#This Row],[Título]])-1</f>
        <v>2207</v>
      </c>
      <c r="B2208" s="1" t="s">
        <v>3988</v>
      </c>
      <c r="C2208" s="1"/>
      <c r="H2208" s="1" t="s">
        <v>472</v>
      </c>
      <c r="I2208" s="1" t="s">
        <v>2947</v>
      </c>
      <c r="J2208" s="1" t="s">
        <v>605</v>
      </c>
      <c r="M2208" s="15" t="s">
        <v>1754</v>
      </c>
      <c r="N2208" s="1" t="s">
        <v>3984</v>
      </c>
      <c r="O2208" s="15">
        <v>4</v>
      </c>
      <c r="P2208" s="15">
        <v>2026</v>
      </c>
      <c r="Q2208" s="15" t="str" cm="1">
        <f t="array" ref="Q22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8" s="15" t="str" cm="1">
        <f t="array" ref="R22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canciones/ruah/confia_en_mi.html</v>
      </c>
      <c r="T2208" s="1"/>
      <c r="U2208" s="1"/>
      <c r="V2208" s="32" t="s">
        <v>5436</v>
      </c>
      <c r="W22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href="canciones/ruah/confia_en_mi.html"&gt;Confía en mí&lt;/a&gt;&lt;/li&gt;</v>
      </c>
      <c r="X2208" s="15" t="str">
        <f>_xlfn.TEXTBEFORE(_xlfn.TEXTAFTER(CantoralDB[[#This Row],[index.html]],"&gt;"),"&gt;")&amp;"&gt;"</f>
        <v>&lt;a href="canciones/ruah/confia_en_mi.html"&gt;</v>
      </c>
      <c r="Y2208"/>
      <c r="AC2208" s="1"/>
    </row>
    <row r="2209" spans="1:29" x14ac:dyDescent="0.3">
      <c r="A2209" s="1">
        <f>ROW(CantoralDB[[#This Row],[Título]])-1</f>
        <v>2208</v>
      </c>
      <c r="B2209" s="1" t="s">
        <v>3989</v>
      </c>
      <c r="C2209" s="1"/>
      <c r="H2209" s="1" t="s">
        <v>529</v>
      </c>
      <c r="I2209" s="1" t="s">
        <v>2948</v>
      </c>
      <c r="J2209" s="1" t="s">
        <v>605</v>
      </c>
      <c r="M2209" s="15" t="s">
        <v>1754</v>
      </c>
      <c r="N2209" s="1" t="s">
        <v>3984</v>
      </c>
      <c r="O2209" s="15">
        <v>5</v>
      </c>
      <c r="P2209" s="15">
        <v>2026</v>
      </c>
      <c r="Q2209" s="15" t="str" cm="1">
        <f t="array" ref="Q22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09" s="15" t="str" cm="1">
        <f t="array" ref="R22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canciones/ruah/incansable.html</v>
      </c>
      <c r="T2209" s="1"/>
      <c r="U2209" s="1"/>
      <c r="V2209" s="32" t="s">
        <v>5437</v>
      </c>
      <c r="W22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href="canciones/ruah/incansable.html"&gt;Incansable&lt;/a&gt;&lt;/li&gt;</v>
      </c>
      <c r="X2209" s="15" t="str">
        <f>_xlfn.TEXTBEFORE(_xlfn.TEXTAFTER(CantoralDB[[#This Row],[index.html]],"&gt;"),"&gt;")&amp;"&gt;"</f>
        <v>&lt;a href="canciones/ruah/incansable.html"&gt;</v>
      </c>
      <c r="Y2209"/>
      <c r="AC2209" s="1"/>
    </row>
    <row r="2210" spans="1:29" x14ac:dyDescent="0.3">
      <c r="A2210" s="1">
        <f>ROW(CantoralDB[[#This Row],[Título]])-1</f>
        <v>2209</v>
      </c>
      <c r="B2210" s="1" t="s">
        <v>3990</v>
      </c>
      <c r="C2210" s="1"/>
      <c r="H2210" s="1" t="s">
        <v>529</v>
      </c>
      <c r="J2210" s="1" t="s">
        <v>605</v>
      </c>
      <c r="M2210" s="15" t="s">
        <v>1754</v>
      </c>
      <c r="N2210" s="1" t="s">
        <v>3984</v>
      </c>
      <c r="O2210" s="15">
        <v>6</v>
      </c>
      <c r="P2210" s="15">
        <v>2026</v>
      </c>
      <c r="Q2210" s="15" t="str" cm="1">
        <f t="array" ref="Q22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0" s="15" t="str" cm="1">
        <f t="array" ref="R22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canciones/ruah/rutinas.html</v>
      </c>
      <c r="T2210" s="1"/>
      <c r="U2210" s="1"/>
      <c r="V2210" s="32" t="s">
        <v>5438</v>
      </c>
      <c r="W22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href="canciones/ruah/rutinas.html"&gt;Rutinas&lt;/a&gt;&lt;/li&gt;</v>
      </c>
      <c r="X2210" s="15" t="str">
        <f>_xlfn.TEXTBEFORE(_xlfn.TEXTAFTER(CantoralDB[[#This Row],[index.html]],"&gt;"),"&gt;")&amp;"&gt;"</f>
        <v>&lt;a href="canciones/ruah/rutinas.html"&gt;</v>
      </c>
      <c r="Y2210"/>
      <c r="AC2210" s="1"/>
    </row>
    <row r="2211" spans="1:29" x14ac:dyDescent="0.3">
      <c r="A2211" s="1">
        <f>ROW(CantoralDB[[#This Row],[Título]])-1</f>
        <v>2210</v>
      </c>
      <c r="B2211" s="1" t="s">
        <v>3991</v>
      </c>
      <c r="C2211" s="1"/>
      <c r="H2211" s="1" t="s">
        <v>529</v>
      </c>
      <c r="I2211" s="1" t="s">
        <v>2946</v>
      </c>
      <c r="J2211" s="1" t="s">
        <v>605</v>
      </c>
      <c r="M2211" s="15" t="s">
        <v>1754</v>
      </c>
      <c r="N2211" s="1" t="s">
        <v>3984</v>
      </c>
      <c r="O2211" s="15">
        <v>7</v>
      </c>
      <c r="P2211" s="15">
        <v>2026</v>
      </c>
      <c r="Q2211" s="15" t="str" cm="1">
        <f t="array" ref="Q22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1" s="15" t="str" cm="1">
        <f t="array" ref="R22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canciones/ruah/montaña.html</v>
      </c>
      <c r="T2211" s="1"/>
      <c r="U2211" s="1"/>
      <c r="V2211" s="32" t="s">
        <v>5439</v>
      </c>
      <c r="W22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href="canciones/ruah/montaña.html"&gt;Montaña&lt;/a&gt;&lt;/li&gt;</v>
      </c>
      <c r="X2211" s="15" t="str">
        <f>_xlfn.TEXTBEFORE(_xlfn.TEXTAFTER(CantoralDB[[#This Row],[index.html]],"&gt;"),"&gt;")&amp;"&gt;"</f>
        <v>&lt;a href="canciones/ruah/montaña.html"&gt;</v>
      </c>
      <c r="Y2211"/>
      <c r="AC2211" s="1"/>
    </row>
    <row r="2212" spans="1:29" x14ac:dyDescent="0.3">
      <c r="A2212" s="1">
        <f>ROW(CantoralDB[[#This Row],[Título]])-1</f>
        <v>2211</v>
      </c>
      <c r="B2212" s="1" t="s">
        <v>3992</v>
      </c>
      <c r="C2212" s="1"/>
      <c r="H2212" s="1" t="s">
        <v>529</v>
      </c>
      <c r="J2212" s="1" t="s">
        <v>605</v>
      </c>
      <c r="M2212" s="15" t="s">
        <v>1754</v>
      </c>
      <c r="N2212" s="1" t="s">
        <v>3984</v>
      </c>
      <c r="O2212" s="15">
        <v>8</v>
      </c>
      <c r="P2212" s="15">
        <v>2026</v>
      </c>
      <c r="Q2212" s="15" t="str" cm="1">
        <f t="array" ref="Q22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2" s="15" t="str" cm="1">
        <f t="array" ref="R22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canciones/ruah/dragones.html</v>
      </c>
      <c r="T2212" s="1"/>
      <c r="U2212" s="1"/>
      <c r="V2212" s="32" t="s">
        <v>5440</v>
      </c>
      <c r="W22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href="canciones/ruah/dragones.html"&gt;Dragones&lt;/a&gt;&lt;/li&gt;</v>
      </c>
      <c r="X2212" s="15" t="str">
        <f>_xlfn.TEXTBEFORE(_xlfn.TEXTAFTER(CantoralDB[[#This Row],[index.html]],"&gt;"),"&gt;")&amp;"&gt;"</f>
        <v>&lt;a href="canciones/ruah/dragones.html"&gt;</v>
      </c>
      <c r="Y2212"/>
      <c r="AC2212" s="1"/>
    </row>
    <row r="2213" spans="1:29" x14ac:dyDescent="0.3">
      <c r="A2213" s="1">
        <f>ROW(CantoralDB[[#This Row],[Título]])-1</f>
        <v>2212</v>
      </c>
      <c r="B2213" s="1" t="s">
        <v>3993</v>
      </c>
      <c r="C2213" s="1"/>
      <c r="H2213" s="1" t="s">
        <v>1024</v>
      </c>
      <c r="J2213" s="1" t="s">
        <v>605</v>
      </c>
      <c r="M2213" s="15" t="s">
        <v>1754</v>
      </c>
      <c r="N2213" s="1" t="s">
        <v>3984</v>
      </c>
      <c r="O2213" s="15">
        <v>9</v>
      </c>
      <c r="P2213" s="15">
        <v>2026</v>
      </c>
      <c r="Q2213" s="15" t="str" cm="1">
        <f t="array" ref="Q22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3" s="15" t="str" cm="1">
        <f t="array" ref="R22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canciones/ruah/la_barca_y_el_mar.html</v>
      </c>
      <c r="T2213" s="1"/>
      <c r="U2213" s="1"/>
      <c r="V2213" s="32" t="s">
        <v>5441</v>
      </c>
      <c r="W22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href="canciones/ruah/la_barca_y_el_mar.html"&gt;La barca y el mar&lt;/a&gt;&lt;/li&gt;</v>
      </c>
      <c r="X2213" s="15" t="str">
        <f>_xlfn.TEXTBEFORE(_xlfn.TEXTAFTER(CantoralDB[[#This Row],[index.html]],"&gt;"),"&gt;")&amp;"&gt;"</f>
        <v>&lt;a href="canciones/ruah/la_barca_y_el_mar.html"&gt;</v>
      </c>
      <c r="Y2213"/>
      <c r="AC2213" s="1"/>
    </row>
    <row r="2214" spans="1:29" x14ac:dyDescent="0.3">
      <c r="A2214" s="1">
        <f>ROW(CantoralDB[[#This Row],[Título]])-1</f>
        <v>2213</v>
      </c>
      <c r="B2214" s="1" t="s">
        <v>3984</v>
      </c>
      <c r="C2214" s="1"/>
      <c r="H2214" s="1" t="s">
        <v>529</v>
      </c>
      <c r="J2214" s="1" t="s">
        <v>605</v>
      </c>
      <c r="M2214" s="15" t="s">
        <v>1754</v>
      </c>
      <c r="N2214" s="1" t="s">
        <v>3984</v>
      </c>
      <c r="O2214" s="15">
        <v>10</v>
      </c>
      <c r="P2214" s="15">
        <v>2026</v>
      </c>
      <c r="Q2214" s="15" t="str" cm="1">
        <f t="array" ref="Q22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4" s="15" t="str" cm="1">
        <f t="array" ref="R22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canciones/ruah/nunca_solas.html</v>
      </c>
      <c r="T2214" s="1"/>
      <c r="U2214" s="1"/>
      <c r="V2214" s="32" t="s">
        <v>5442</v>
      </c>
      <c r="W22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href="canciones/ruah/nunca_solas.html"&gt;Nunca solas&lt;/a&gt;&lt;/li&gt;</v>
      </c>
      <c r="X2214" s="15" t="str">
        <f>_xlfn.TEXTBEFORE(_xlfn.TEXTAFTER(CantoralDB[[#This Row],[index.html]],"&gt;"),"&gt;")&amp;"&gt;"</f>
        <v>&lt;a href="canciones/ruah/nunca_solas.html"&gt;</v>
      </c>
      <c r="Y2214"/>
      <c r="AC2214" s="1"/>
    </row>
    <row r="2215" spans="1:29" x14ac:dyDescent="0.3">
      <c r="A2215" s="1">
        <f>ROW(CantoralDB[[#This Row],[Título]])-1</f>
        <v>2214</v>
      </c>
      <c r="B2215" s="1" t="s">
        <v>3994</v>
      </c>
      <c r="C2215" s="1"/>
      <c r="H2215" s="1" t="s">
        <v>529</v>
      </c>
      <c r="J2215" s="1" t="s">
        <v>605</v>
      </c>
      <c r="M2215" s="15" t="s">
        <v>1754</v>
      </c>
      <c r="N2215" s="1" t="s">
        <v>3984</v>
      </c>
      <c r="O2215" s="15">
        <v>11</v>
      </c>
      <c r="P2215" s="15">
        <v>2026</v>
      </c>
      <c r="Q2215" s="15" t="str" cm="1">
        <f t="array" ref="Q22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5" s="15" t="str" cm="1">
        <f t="array" ref="R22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canciones/ruah/parece_la_vida.html</v>
      </c>
      <c r="T2215" s="1"/>
      <c r="U2215" s="1"/>
      <c r="V2215" s="32" t="s">
        <v>5443</v>
      </c>
      <c r="W22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href="canciones/ruah/parece_la_vida.html"&gt;Parece la vida&lt;/a&gt;&lt;/li&gt;</v>
      </c>
      <c r="X2215" s="15" t="str">
        <f>_xlfn.TEXTBEFORE(_xlfn.TEXTAFTER(CantoralDB[[#This Row],[index.html]],"&gt;"),"&gt;")&amp;"&gt;"</f>
        <v>&lt;a href="canciones/ruah/parece_la_vida.html"&gt;</v>
      </c>
      <c r="Y2215"/>
      <c r="AC2215" s="1"/>
    </row>
    <row r="2216" spans="1:29" x14ac:dyDescent="0.3">
      <c r="A2216" s="1">
        <f>ROW(CantoralDB[[#This Row],[Título]])-1</f>
        <v>2215</v>
      </c>
      <c r="B2216" s="1" t="s">
        <v>3995</v>
      </c>
      <c r="C2216" s="1"/>
      <c r="H2216" s="1" t="s">
        <v>1027</v>
      </c>
      <c r="J2216" s="1" t="s">
        <v>605</v>
      </c>
      <c r="M2216" s="15" t="s">
        <v>1754</v>
      </c>
      <c r="N2216" s="1" t="s">
        <v>3984</v>
      </c>
      <c r="O2216" s="15">
        <v>12</v>
      </c>
      <c r="P2216" s="15">
        <v>2026</v>
      </c>
      <c r="Q2216" s="15" t="str" cm="1">
        <f t="array" ref="Q22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6" s="15" t="str" cm="1">
        <f t="array" ref="R22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canciones/ruah/tenemos_un_dios.html</v>
      </c>
      <c r="T2216" s="1"/>
      <c r="U2216" s="1"/>
      <c r="V2216" s="32" t="s">
        <v>5444</v>
      </c>
      <c r="W22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href="canciones/ruah/tenemos_un_dios.html"&gt;Tenemos un dios&lt;/a&gt;&lt;/li&gt;</v>
      </c>
      <c r="X2216" s="15" t="str">
        <f>_xlfn.TEXTBEFORE(_xlfn.TEXTAFTER(CantoralDB[[#This Row],[index.html]],"&gt;"),"&gt;")&amp;"&gt;"</f>
        <v>&lt;a href="canciones/ruah/tenemos_un_dios.html"&gt;</v>
      </c>
      <c r="Y2216"/>
      <c r="AC2216" s="1"/>
    </row>
    <row r="2217" spans="1:29" x14ac:dyDescent="0.3">
      <c r="A2217" s="1">
        <f>ROW(CantoralDB[[#This Row],[Título]])-1</f>
        <v>2216</v>
      </c>
      <c r="B2217" s="1" t="s">
        <v>3996</v>
      </c>
      <c r="C2217" s="1"/>
      <c r="H2217" s="1" t="s">
        <v>529</v>
      </c>
      <c r="I2217" s="1" t="s">
        <v>2948</v>
      </c>
      <c r="J2217" s="1" t="s">
        <v>605</v>
      </c>
      <c r="M2217" s="15" t="s">
        <v>1754</v>
      </c>
      <c r="N2217" s="1" t="s">
        <v>3984</v>
      </c>
      <c r="O2217" s="15">
        <v>13</v>
      </c>
      <c r="P2217" s="15">
        <v>2026</v>
      </c>
      <c r="Q2217" s="15" t="str" cm="1">
        <f t="array" ref="Q22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7" s="15" t="str" cm="1">
        <f t="array" ref="R22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canciones/ruah/transformaras.html</v>
      </c>
      <c r="T2217" s="1"/>
      <c r="U2217" s="1"/>
      <c r="V2217" s="32" t="s">
        <v>5445</v>
      </c>
      <c r="W22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href="canciones/ruah/transformaras.html"&gt;Transformarás&lt;/a&gt;&lt;/li&gt;</v>
      </c>
      <c r="X2217" s="15" t="str">
        <f>_xlfn.TEXTBEFORE(_xlfn.TEXTAFTER(CantoralDB[[#This Row],[index.html]],"&gt;"),"&gt;")&amp;"&gt;"</f>
        <v>&lt;a href="canciones/ruah/transformaras.html"&gt;</v>
      </c>
      <c r="Y2217"/>
      <c r="AC2217" s="1"/>
    </row>
    <row r="2218" spans="1:29" x14ac:dyDescent="0.3">
      <c r="A2218" s="1">
        <f>ROW(CantoralDB[[#This Row],[Título]])-1</f>
        <v>2217</v>
      </c>
      <c r="B2218" s="1" t="s">
        <v>3997</v>
      </c>
      <c r="C2218" s="1"/>
      <c r="H2218" s="1" t="s">
        <v>1027</v>
      </c>
      <c r="J2218" s="1" t="s">
        <v>605</v>
      </c>
      <c r="M2218" s="15" t="s">
        <v>1754</v>
      </c>
      <c r="N2218" s="1" t="s">
        <v>3984</v>
      </c>
      <c r="O2218" s="15">
        <v>14</v>
      </c>
      <c r="P2218" s="15">
        <v>2026</v>
      </c>
      <c r="Q2218" s="15" t="str" cm="1">
        <f t="array" ref="Q22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8" s="15" t="str" cm="1">
        <f t="array" ref="R22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canciones/ruah/tu_casa.html</v>
      </c>
      <c r="T2218" s="1"/>
      <c r="U2218" s="1"/>
      <c r="V2218" s="32" t="s">
        <v>5446</v>
      </c>
      <c r="W22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href="canciones/ruah/tu_casa.html"&gt;Tu casa&lt;/a&gt;&lt;/li&gt;</v>
      </c>
      <c r="X2218" s="15" t="str">
        <f>_xlfn.TEXTBEFORE(_xlfn.TEXTAFTER(CantoralDB[[#This Row],[index.html]],"&gt;"),"&gt;")&amp;"&gt;"</f>
        <v>&lt;a href="canciones/ruah/tu_casa.html"&gt;</v>
      </c>
      <c r="Y2218"/>
      <c r="AC2218" s="1"/>
    </row>
    <row r="2219" spans="1:29" x14ac:dyDescent="0.3">
      <c r="A2219" s="1">
        <f>ROW(CantoralDB[[#This Row],[Título]])-1</f>
        <v>2218</v>
      </c>
      <c r="B2219" s="1" t="s">
        <v>3998</v>
      </c>
      <c r="C2219" s="1"/>
      <c r="H2219" s="1" t="s">
        <v>1027</v>
      </c>
      <c r="I2219" s="1" t="s">
        <v>2948</v>
      </c>
      <c r="J2219" s="1" t="s">
        <v>605</v>
      </c>
      <c r="M2219" s="15" t="s">
        <v>1754</v>
      </c>
      <c r="N2219" s="1" t="s">
        <v>3984</v>
      </c>
      <c r="O2219" s="15">
        <v>15</v>
      </c>
      <c r="P2219" s="15">
        <v>2026</v>
      </c>
      <c r="Q2219" s="15" t="str" cm="1">
        <f t="array" ref="Q22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19" s="15" t="str" cm="1">
        <f t="array" ref="R22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canciones/ruah/a_todos_los_idiomas.html</v>
      </c>
      <c r="T2219" s="1"/>
      <c r="U2219" s="1"/>
      <c r="V2219" s="32" t="s">
        <v>5447</v>
      </c>
      <c r="W22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href="canciones/ruah/a_todos_los_idiomas.html"&gt;A todos los idiomas&lt;/a&gt;&lt;/li&gt;</v>
      </c>
      <c r="X2219" s="15" t="str">
        <f>_xlfn.TEXTBEFORE(_xlfn.TEXTAFTER(CantoralDB[[#This Row],[index.html]],"&gt;"),"&gt;")&amp;"&gt;"</f>
        <v>&lt;a href="canciones/ruah/a_todos_los_idiomas.html"&gt;</v>
      </c>
      <c r="Y2219"/>
      <c r="AC2219" s="1"/>
    </row>
    <row r="2220" spans="1:29" x14ac:dyDescent="0.3">
      <c r="A2220" s="1">
        <f>ROW(CantoralDB[[#This Row],[Título]])-1</f>
        <v>2219</v>
      </c>
      <c r="B2220" s="1" t="s">
        <v>1873</v>
      </c>
      <c r="C2220" s="1"/>
      <c r="J2220" s="1"/>
      <c r="M2220" s="15" t="s">
        <v>1754</v>
      </c>
      <c r="N2220" s="1" t="s">
        <v>1899</v>
      </c>
      <c r="O2220" s="15">
        <v>1</v>
      </c>
      <c r="P2220" s="15">
        <v>2018</v>
      </c>
      <c r="Q2220" s="15" t="str" cm="1">
        <f t="array" ref="Q22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0" s="15" t="str" cm="1">
        <f t="array" ref="R22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canciones/ruah/a_buscarme.html</v>
      </c>
      <c r="T2220" s="1"/>
      <c r="U2220" s="1"/>
      <c r="V2220" s="32" t="s">
        <v>3972</v>
      </c>
      <c r="W22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href="canciones/ruah/a_buscarme.html"&gt;A buscarme&lt;/a&gt;&lt;/li&gt;</v>
      </c>
      <c r="X2220" s="15" t="str">
        <f>_xlfn.TEXTBEFORE(_xlfn.TEXTAFTER(CantoralDB[[#This Row],[index.html]],"&gt;"),"&gt;")&amp;"&gt;"</f>
        <v>&lt;a href="canciones/ruah/a_buscarme.html"&gt;</v>
      </c>
      <c r="Y2220"/>
      <c r="AC2220" s="1"/>
    </row>
    <row r="2221" spans="1:29" x14ac:dyDescent="0.3">
      <c r="A2221" s="1">
        <f>ROW(CantoralDB[[#This Row],[Título]])-1</f>
        <v>2220</v>
      </c>
      <c r="B2221" s="1" t="s">
        <v>1874</v>
      </c>
      <c r="C2221" s="1"/>
      <c r="H2221" s="1" t="s">
        <v>529</v>
      </c>
      <c r="J2221" s="1" t="s">
        <v>605</v>
      </c>
      <c r="M2221" s="15" t="s">
        <v>1754</v>
      </c>
      <c r="N2221" s="1" t="s">
        <v>1899</v>
      </c>
      <c r="O2221" s="15">
        <v>2</v>
      </c>
      <c r="P2221" s="15">
        <v>2018</v>
      </c>
      <c r="Q2221" s="15" t="str" cm="1">
        <f t="array" ref="Q22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1" s="15" t="str" cm="1">
        <f t="array" ref="R22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canciones/ruah/si_tu_quieres.html</v>
      </c>
      <c r="T2221" s="1"/>
      <c r="U2221" s="1"/>
      <c r="V2221" s="32" t="s">
        <v>3971</v>
      </c>
      <c r="W22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href="canciones/ruah/si_tu_quieres.html"&gt;Si tú quieres&lt;/a&gt;&lt;/li&gt;</v>
      </c>
      <c r="X2221" s="15" t="str">
        <f>_xlfn.TEXTBEFORE(_xlfn.TEXTAFTER(CantoralDB[[#This Row],[index.html]],"&gt;"),"&gt;")&amp;"&gt;"</f>
        <v>&lt;a href="canciones/ruah/si_tu_quieres.html"&gt;</v>
      </c>
      <c r="Y2221"/>
      <c r="AC2221" s="1"/>
    </row>
    <row r="2222" spans="1:29" x14ac:dyDescent="0.3">
      <c r="A2222" s="1">
        <f>ROW(CantoralDB[[#This Row],[Título]])-1</f>
        <v>2221</v>
      </c>
      <c r="B2222" s="1" t="s">
        <v>1875</v>
      </c>
      <c r="C2222" s="1"/>
      <c r="H2222" s="1" t="s">
        <v>1027</v>
      </c>
      <c r="I2222" s="1" t="s">
        <v>2945</v>
      </c>
      <c r="J2222" s="1" t="s">
        <v>605</v>
      </c>
      <c r="M2222" s="15" t="s">
        <v>1754</v>
      </c>
      <c r="N2222" s="1" t="s">
        <v>1899</v>
      </c>
      <c r="O2222" s="15">
        <v>3</v>
      </c>
      <c r="P2222" s="15">
        <v>2018</v>
      </c>
      <c r="Q2222" s="15" t="str" cm="1">
        <f t="array" ref="Q22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2" s="15" t="str" cm="1">
        <f t="array" ref="R22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canciones/ruah/donde.html</v>
      </c>
      <c r="T2222" s="1"/>
      <c r="U2222" s="1"/>
      <c r="V2222" s="32" t="s">
        <v>3976</v>
      </c>
      <c r="W22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href="canciones/ruah/donde.html"&gt;Dónde&lt;/a&gt;&lt;/li&gt;</v>
      </c>
      <c r="X2222" s="15" t="str">
        <f>_xlfn.TEXTBEFORE(_xlfn.TEXTAFTER(CantoralDB[[#This Row],[index.html]],"&gt;"),"&gt;")&amp;"&gt;"</f>
        <v>&lt;a href="canciones/ruah/donde.html"&gt;</v>
      </c>
      <c r="Y2222"/>
      <c r="AC2222" s="1"/>
    </row>
    <row r="2223" spans="1:29" x14ac:dyDescent="0.3">
      <c r="A2223" s="1">
        <f>ROW(CantoralDB[[#This Row],[Título]])-1</f>
        <v>2222</v>
      </c>
      <c r="B2223" s="1" t="s">
        <v>1876</v>
      </c>
      <c r="C2223" s="1"/>
      <c r="H2223" s="1" t="s">
        <v>472</v>
      </c>
      <c r="J2223" s="1" t="s">
        <v>605</v>
      </c>
      <c r="M2223" s="15" t="s">
        <v>1754</v>
      </c>
      <c r="N2223" s="1" t="s">
        <v>1899</v>
      </c>
      <c r="O2223" s="15">
        <v>4</v>
      </c>
      <c r="P2223" s="15">
        <v>2018</v>
      </c>
      <c r="Q2223" s="15" t="str" cm="1">
        <f t="array" ref="Q22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3" s="15" t="str" cm="1">
        <f t="array" ref="R22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canciones/ruah/escuchame.html</v>
      </c>
      <c r="T2223" s="1"/>
      <c r="U2223" s="1"/>
      <c r="V2223" s="32" t="s">
        <v>3975</v>
      </c>
      <c r="W22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href="canciones/ruah/escuchame.html"&gt;Escúchame&lt;/a&gt;&lt;/li&gt;</v>
      </c>
      <c r="X2223" s="15" t="str">
        <f>_xlfn.TEXTBEFORE(_xlfn.TEXTAFTER(CantoralDB[[#This Row],[index.html]],"&gt;"),"&gt;")&amp;"&gt;"</f>
        <v>&lt;a href="canciones/ruah/escuchame.html"&gt;</v>
      </c>
      <c r="Y2223"/>
      <c r="AC2223" s="1"/>
    </row>
    <row r="2224" spans="1:29" x14ac:dyDescent="0.3">
      <c r="A2224" s="1">
        <f>ROW(CantoralDB[[#This Row],[Título]])-1</f>
        <v>2223</v>
      </c>
      <c r="B2224" s="1" t="s">
        <v>1877</v>
      </c>
      <c r="C2224" s="1"/>
      <c r="H2224" s="1" t="s">
        <v>1027</v>
      </c>
      <c r="J2224" s="1" t="s">
        <v>605</v>
      </c>
      <c r="M2224" s="15" t="s">
        <v>1754</v>
      </c>
      <c r="N2224" s="1" t="s">
        <v>1899</v>
      </c>
      <c r="O2224" s="15">
        <v>5</v>
      </c>
      <c r="P2224" s="15">
        <v>2018</v>
      </c>
      <c r="Q2224" s="15" t="str" cm="1">
        <f t="array" ref="Q22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4" s="15" t="str" cm="1">
        <f t="array" ref="R22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canciones/ruah/a_la_puerta.html</v>
      </c>
      <c r="T2224" s="1"/>
      <c r="U2224" s="1"/>
      <c r="V2224" s="32" t="s">
        <v>5477</v>
      </c>
      <c r="W22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href="canciones/ruah/a_la_puerta.html"&gt;A la puerta&lt;/a&gt;&lt;/li&gt;</v>
      </c>
      <c r="X2224" s="15" t="str">
        <f>_xlfn.TEXTBEFORE(_xlfn.TEXTAFTER(CantoralDB[[#This Row],[index.html]],"&gt;"),"&gt;")&amp;"&gt;"</f>
        <v>&lt;a href="canciones/ruah/a_la_puerta.html"&gt;</v>
      </c>
      <c r="Y2224"/>
      <c r="AC2224" s="1"/>
    </row>
    <row r="2225" spans="1:29" x14ac:dyDescent="0.3">
      <c r="A2225" s="1">
        <f>ROW(CantoralDB[[#This Row],[Título]])-1</f>
        <v>2224</v>
      </c>
      <c r="B2225" s="1" t="s">
        <v>1878</v>
      </c>
      <c r="C2225" s="1"/>
      <c r="H2225" s="1" t="s">
        <v>1027</v>
      </c>
      <c r="J2225" s="1" t="s">
        <v>605</v>
      </c>
      <c r="M2225" s="15" t="s">
        <v>1754</v>
      </c>
      <c r="N2225" s="1" t="s">
        <v>1899</v>
      </c>
      <c r="O2225" s="15">
        <v>6</v>
      </c>
      <c r="P2225" s="15">
        <v>2018</v>
      </c>
      <c r="Q2225" s="15" t="str" cm="1">
        <f t="array" ref="Q22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5" s="15" t="str" cm="1">
        <f t="array" ref="R22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canciones/ruah/en_quien_si_no.html</v>
      </c>
      <c r="T2225" s="1"/>
      <c r="U2225" s="1"/>
      <c r="V2225" s="32" t="s">
        <v>5478</v>
      </c>
      <c r="W22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href="canciones/ruah/en_quien_si_no.html"&gt;En quién si no&lt;/a&gt;&lt;/li&gt;</v>
      </c>
      <c r="X2225" s="15" t="str">
        <f>_xlfn.TEXTBEFORE(_xlfn.TEXTAFTER(CantoralDB[[#This Row],[index.html]],"&gt;"),"&gt;")&amp;"&gt;"</f>
        <v>&lt;a href="canciones/ruah/en_quien_si_no.html"&gt;</v>
      </c>
      <c r="Y2225"/>
      <c r="AC2225" s="1"/>
    </row>
    <row r="2226" spans="1:29" x14ac:dyDescent="0.3">
      <c r="A2226" s="1">
        <f>ROW(CantoralDB[[#This Row],[Título]])-1</f>
        <v>2225</v>
      </c>
      <c r="B2226" s="1" t="s">
        <v>1879</v>
      </c>
      <c r="C2226" s="1"/>
      <c r="H2226" s="1" t="s">
        <v>529</v>
      </c>
      <c r="I2226" s="1" t="s">
        <v>2948</v>
      </c>
      <c r="J2226" s="1" t="s">
        <v>605</v>
      </c>
      <c r="M2226" s="15" t="s">
        <v>1754</v>
      </c>
      <c r="N2226" s="1" t="s">
        <v>1899</v>
      </c>
      <c r="O2226" s="15">
        <v>7</v>
      </c>
      <c r="P2226" s="15">
        <v>2018</v>
      </c>
      <c r="Q2226" s="15" t="str" cm="1">
        <f t="array" ref="Q22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6" s="15" t="str" cm="1">
        <f t="array" ref="R22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canciones/ruah/silencio.html</v>
      </c>
      <c r="T2226" s="1"/>
      <c r="U2226" s="1"/>
      <c r="V2226" s="32" t="s">
        <v>5479</v>
      </c>
      <c r="W22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href="canciones/ruah/silencio.html"&gt;Silencio&lt;/a&gt;&lt;/li&gt;</v>
      </c>
      <c r="X2226" s="15" t="str">
        <f>_xlfn.TEXTBEFORE(_xlfn.TEXTAFTER(CantoralDB[[#This Row],[index.html]],"&gt;"),"&gt;")&amp;"&gt;"</f>
        <v>&lt;a href="canciones/ruah/silencio.html"&gt;</v>
      </c>
      <c r="Y2226"/>
      <c r="AC2226" s="1"/>
    </row>
    <row r="2227" spans="1:29" x14ac:dyDescent="0.3">
      <c r="A2227" s="1">
        <f>ROW(CantoralDB[[#This Row],[Título]])-1</f>
        <v>2226</v>
      </c>
      <c r="B2227" s="1" t="s">
        <v>1880</v>
      </c>
      <c r="C2227" s="1"/>
      <c r="H2227" s="1" t="s">
        <v>1024</v>
      </c>
      <c r="J2227" s="1" t="s">
        <v>605</v>
      </c>
      <c r="M2227" s="15" t="s">
        <v>1754</v>
      </c>
      <c r="N2227" s="1" t="s">
        <v>1899</v>
      </c>
      <c r="O2227" s="15">
        <v>8</v>
      </c>
      <c r="P2227" s="15">
        <v>2018</v>
      </c>
      <c r="Q2227" s="15" t="str" cm="1">
        <f t="array" ref="Q22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7" s="15" t="str" cm="1">
        <f t="array" ref="R22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canciones/ruah/de_repente.html</v>
      </c>
      <c r="T2227" s="1"/>
      <c r="U2227" s="1"/>
      <c r="V2227" s="32" t="s">
        <v>3974</v>
      </c>
      <c r="W22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href="canciones/ruah/de_repente.html"&gt;De repente&lt;/a&gt;&lt;/li&gt;</v>
      </c>
      <c r="X2227" s="15" t="str">
        <f>_xlfn.TEXTBEFORE(_xlfn.TEXTAFTER(CantoralDB[[#This Row],[index.html]],"&gt;"),"&gt;")&amp;"&gt;"</f>
        <v>&lt;a href="canciones/ruah/de_repente.html"&gt;</v>
      </c>
      <c r="Y2227"/>
      <c r="AC2227" s="1"/>
    </row>
    <row r="2228" spans="1:29" x14ac:dyDescent="0.3">
      <c r="A2228" s="1">
        <f>ROW(CantoralDB[[#This Row],[Título]])-1</f>
        <v>2227</v>
      </c>
      <c r="B2228" s="1" t="s">
        <v>2140</v>
      </c>
      <c r="C2228" s="1"/>
      <c r="H2228" s="1" t="s">
        <v>1027</v>
      </c>
      <c r="I2228" s="1" t="s">
        <v>2949</v>
      </c>
      <c r="J2228" s="1" t="s">
        <v>605</v>
      </c>
      <c r="M2228" s="15" t="s">
        <v>1754</v>
      </c>
      <c r="N2228" s="1" t="s">
        <v>1899</v>
      </c>
      <c r="O2228" s="15">
        <v>9</v>
      </c>
      <c r="P2228" s="15">
        <v>2018</v>
      </c>
      <c r="Q2228" s="15" t="str" cm="1">
        <f t="array" ref="Q22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8" s="15" t="str" cm="1">
        <f t="array" ref="R22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canciones/ruah/quien_amo_primero.html</v>
      </c>
      <c r="T2228" s="1"/>
      <c r="U2228" s="1"/>
      <c r="V2228" s="32" t="s">
        <v>3980</v>
      </c>
      <c r="W22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href="canciones/ruah/quien_amo_primero.html"&gt;Quién amó primero&lt;/a&gt;&lt;/li&gt;</v>
      </c>
      <c r="X2228" s="15" t="str">
        <f>_xlfn.TEXTBEFORE(_xlfn.TEXTAFTER(CantoralDB[[#This Row],[index.html]],"&gt;"),"&gt;")&amp;"&gt;"</f>
        <v>&lt;a href="canciones/ruah/quien_amo_primero.html"&gt;</v>
      </c>
      <c r="Y2228"/>
      <c r="AC2228" s="1"/>
    </row>
    <row r="2229" spans="1:29" x14ac:dyDescent="0.3">
      <c r="A2229" s="1">
        <f>ROW(CantoralDB[[#This Row],[Título]])-1</f>
        <v>2228</v>
      </c>
      <c r="B2229" s="1" t="s">
        <v>1881</v>
      </c>
      <c r="C2229" s="1"/>
      <c r="H2229" s="1" t="s">
        <v>1027</v>
      </c>
      <c r="I2229" s="1" t="s">
        <v>2947</v>
      </c>
      <c r="J2229" s="1" t="s">
        <v>605</v>
      </c>
      <c r="M2229" s="15" t="s">
        <v>1754</v>
      </c>
      <c r="N2229" s="1" t="s">
        <v>1899</v>
      </c>
      <c r="O2229" s="15">
        <v>10</v>
      </c>
      <c r="P2229" s="15">
        <v>2018</v>
      </c>
      <c r="Q2229" s="15" t="str" cm="1">
        <f t="array" ref="Q22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29" s="15" t="str" cm="1">
        <f t="array" ref="R22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canciones/ruah/alabarte.html</v>
      </c>
      <c r="T2229" s="1"/>
      <c r="U2229" s="1"/>
      <c r="V2229" s="32" t="s">
        <v>5480</v>
      </c>
      <c r="W22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href="canciones/ruah/alabarte.html"&gt;Alabarte&lt;/a&gt;&lt;/li&gt;</v>
      </c>
      <c r="X2229" s="15" t="str">
        <f>_xlfn.TEXTBEFORE(_xlfn.TEXTAFTER(CantoralDB[[#This Row],[index.html]],"&gt;"),"&gt;")&amp;"&gt;"</f>
        <v>&lt;a href="canciones/ruah/alabarte.html"&gt;</v>
      </c>
      <c r="Y2229"/>
      <c r="AC2229" s="1"/>
    </row>
    <row r="2230" spans="1:29" x14ac:dyDescent="0.3">
      <c r="A2230" s="1">
        <f>ROW(CantoralDB[[#This Row],[Título]])-1</f>
        <v>2229</v>
      </c>
      <c r="B2230" s="1" t="s">
        <v>1900</v>
      </c>
      <c r="C2230" s="1"/>
      <c r="H2230" s="1" t="s">
        <v>1025</v>
      </c>
      <c r="J2230" s="1" t="s">
        <v>605</v>
      </c>
      <c r="M2230" s="15" t="s">
        <v>1754</v>
      </c>
      <c r="N2230" s="1" t="s">
        <v>1899</v>
      </c>
      <c r="O2230" s="15">
        <v>11</v>
      </c>
      <c r="P2230" s="15">
        <v>2018</v>
      </c>
      <c r="Q2230" s="15" t="str" cm="1">
        <f t="array" ref="Q22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0" s="15" t="str" cm="1">
        <f t="array" ref="R22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canciones/ruah/bailare.html</v>
      </c>
      <c r="T2230" s="1"/>
      <c r="U2230" s="1"/>
      <c r="V2230" s="32" t="s">
        <v>3978</v>
      </c>
      <c r="W22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href="canciones/ruah/bailare.html"&gt;Bailaré&lt;/a&gt;&lt;/li&gt;</v>
      </c>
      <c r="X2230" s="15" t="str">
        <f>_xlfn.TEXTBEFORE(_xlfn.TEXTAFTER(CantoralDB[[#This Row],[index.html]],"&gt;"),"&gt;")&amp;"&gt;"</f>
        <v>&lt;a href="canciones/ruah/bailare.html"&gt;</v>
      </c>
      <c r="Y2230"/>
      <c r="AC2230" s="1"/>
    </row>
    <row r="2231" spans="1:29" x14ac:dyDescent="0.3">
      <c r="A2231" s="1">
        <f>ROW(CantoralDB[[#This Row],[Título]])-1</f>
        <v>2230</v>
      </c>
      <c r="B2231" s="1" t="s">
        <v>1913</v>
      </c>
      <c r="C2231" s="1"/>
      <c r="H2231" s="1" t="s">
        <v>529</v>
      </c>
      <c r="I2231" s="1" t="s">
        <v>2948</v>
      </c>
      <c r="J2231" s="1" t="s">
        <v>605</v>
      </c>
      <c r="M2231" s="15" t="s">
        <v>1754</v>
      </c>
      <c r="N2231" s="1" t="s">
        <v>1899</v>
      </c>
      <c r="O2231" s="15">
        <v>12</v>
      </c>
      <c r="P2231" s="15">
        <v>2018</v>
      </c>
      <c r="Q2231" s="15" t="str" cm="1">
        <f t="array" ref="Q22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1" s="15" t="str" cm="1">
        <f t="array" ref="R22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canciones/ruah/por_ti_jerusalen.html</v>
      </c>
      <c r="T2231" s="1"/>
      <c r="U2231" s="1"/>
      <c r="V2231" s="32" t="s">
        <v>3979</v>
      </c>
      <c r="W22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href="canciones/ruah/por_ti_jerusalen.html"&gt;Por ti, Jerusalén&lt;/a&gt;&lt;/li&gt;</v>
      </c>
      <c r="X2231" s="15" t="str">
        <f>_xlfn.TEXTBEFORE(_xlfn.TEXTAFTER(CantoralDB[[#This Row],[index.html]],"&gt;"),"&gt;")&amp;"&gt;"</f>
        <v>&lt;a href="canciones/ruah/por_ti_jerusalen.html"&gt;</v>
      </c>
      <c r="Y2231"/>
      <c r="AC2231" s="1"/>
    </row>
    <row r="2232" spans="1:29" x14ac:dyDescent="0.3">
      <c r="A2232" s="1">
        <f>ROW(CantoralDB[[#This Row],[Título]])-1</f>
        <v>2231</v>
      </c>
      <c r="B2232" s="1" t="s">
        <v>1882</v>
      </c>
      <c r="C2232" s="1"/>
      <c r="H2232" s="1" t="s">
        <v>529</v>
      </c>
      <c r="J2232" s="1" t="s">
        <v>605</v>
      </c>
      <c r="M2232" s="15" t="s">
        <v>1754</v>
      </c>
      <c r="N2232" s="1" t="s">
        <v>1899</v>
      </c>
      <c r="O2232" s="15">
        <v>13</v>
      </c>
      <c r="P2232" s="15">
        <v>2018</v>
      </c>
      <c r="Q2232" s="15" t="str" cm="1">
        <f t="array" ref="Q22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2" s="15" t="str" cm="1">
        <f t="array" ref="R22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canciones/ruah/frontera.html</v>
      </c>
      <c r="T2232" s="1"/>
      <c r="U2232" s="1"/>
      <c r="V2232" s="32" t="s">
        <v>5481</v>
      </c>
      <c r="W22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href="canciones/ruah/frontera.html"&gt;Frontera&lt;/a&gt;&lt;/li&gt;</v>
      </c>
      <c r="X2232" s="15" t="str">
        <f>_xlfn.TEXTBEFORE(_xlfn.TEXTAFTER(CantoralDB[[#This Row],[index.html]],"&gt;"),"&gt;")&amp;"&gt;"</f>
        <v>&lt;a href="canciones/ruah/frontera.html"&gt;</v>
      </c>
      <c r="Y2232"/>
      <c r="AC2232" s="1"/>
    </row>
    <row r="2233" spans="1:29" x14ac:dyDescent="0.3">
      <c r="A2233" s="1">
        <f>ROW(CantoralDB[[#This Row],[Título]])-1</f>
        <v>2232</v>
      </c>
      <c r="B2233" s="1" t="s">
        <v>1883</v>
      </c>
      <c r="C2233" s="1"/>
      <c r="H2233" s="1" t="s">
        <v>529</v>
      </c>
      <c r="J2233" s="1" t="s">
        <v>605</v>
      </c>
      <c r="M2233" s="15" t="s">
        <v>1754</v>
      </c>
      <c r="N2233" s="1" t="s">
        <v>1899</v>
      </c>
      <c r="O2233" s="15">
        <v>14</v>
      </c>
      <c r="P2233" s="15">
        <v>2018</v>
      </c>
      <c r="Q2233" s="15" t="str" cm="1">
        <f t="array" ref="Q22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3" s="15" t="str" cm="1">
        <f t="array" ref="R22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canciones/ruah/despierto.html</v>
      </c>
      <c r="T2233" s="1"/>
      <c r="U2233" s="1"/>
      <c r="V2233" s="32" t="s">
        <v>3973</v>
      </c>
      <c r="W22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href="canciones/ruah/despierto.html"&gt;Despierto&lt;/a&gt;&lt;/li&gt;</v>
      </c>
      <c r="X2233" s="15" t="str">
        <f>_xlfn.TEXTBEFORE(_xlfn.TEXTAFTER(CantoralDB[[#This Row],[index.html]],"&gt;"),"&gt;")&amp;"&gt;"</f>
        <v>&lt;a href="canciones/ruah/despierto.html"&gt;</v>
      </c>
      <c r="Y2233"/>
      <c r="AC2233" s="1"/>
    </row>
    <row r="2234" spans="1:29" x14ac:dyDescent="0.3">
      <c r="A2234" s="1">
        <f>ROW(CantoralDB[[#This Row],[Título]])-1</f>
        <v>2233</v>
      </c>
      <c r="B2234" s="1" t="s">
        <v>1884</v>
      </c>
      <c r="C2234" s="1"/>
      <c r="H2234" s="1" t="s">
        <v>1024</v>
      </c>
      <c r="I2234" s="1" t="s">
        <v>2948</v>
      </c>
      <c r="J2234" s="1" t="s">
        <v>605</v>
      </c>
      <c r="M2234" s="15" t="s">
        <v>1754</v>
      </c>
      <c r="N2234" s="1" t="s">
        <v>1899</v>
      </c>
      <c r="O2234" s="15">
        <v>15</v>
      </c>
      <c r="P2234" s="15">
        <v>2018</v>
      </c>
      <c r="Q2234" s="15" t="str" cm="1">
        <f t="array" ref="Q22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4" s="15" t="str" cm="1">
        <f t="array" ref="R22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canciones/ruah/como_niños.html</v>
      </c>
      <c r="T2234" s="1"/>
      <c r="U2234" s="1"/>
      <c r="V2234" s="32" t="s">
        <v>3977</v>
      </c>
      <c r="W22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href="canciones/ruah/como_niños.html"&gt;Como niños&lt;/a&gt;&lt;/li&gt;</v>
      </c>
      <c r="X2234" s="15" t="str">
        <f>_xlfn.TEXTBEFORE(_xlfn.TEXTAFTER(CantoralDB[[#This Row],[index.html]],"&gt;"),"&gt;")&amp;"&gt;"</f>
        <v>&lt;a href="canciones/ruah/como_niños.html"&gt;</v>
      </c>
      <c r="Y2234"/>
      <c r="AC2234" s="1"/>
    </row>
    <row r="2235" spans="1:29" x14ac:dyDescent="0.3">
      <c r="A2235" s="1">
        <f>ROW(CantoralDB[[#This Row],[Título]])-1</f>
        <v>2234</v>
      </c>
      <c r="B2235" s="1" t="s">
        <v>1885</v>
      </c>
      <c r="C2235" s="1"/>
      <c r="H2235" s="1" t="s">
        <v>1024</v>
      </c>
      <c r="J2235" s="1" t="s">
        <v>605</v>
      </c>
      <c r="M2235" s="15" t="s">
        <v>1754</v>
      </c>
      <c r="N2235" s="1" t="s">
        <v>1899</v>
      </c>
      <c r="O2235" s="15">
        <v>16</v>
      </c>
      <c r="P2235" s="15">
        <v>2018</v>
      </c>
      <c r="Q2235" s="15" t="str" cm="1">
        <f t="array" ref="Q22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ruah</v>
      </c>
      <c r="R2235" s="15" t="str" cm="1">
        <f t="array" ref="R22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ruah</v>
      </c>
      <c r="S22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canciones/ruah/vivir.html</v>
      </c>
      <c r="T2235" s="1"/>
      <c r="U2235" s="1"/>
      <c r="V2235" s="32" t="s">
        <v>3970</v>
      </c>
      <c r="W22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data-author="Ruah"&gt;&lt;a href="canciones/ruah/vivir.html"&gt;Vivir&lt;/a&gt;&lt;/li&gt;</v>
      </c>
      <c r="X2235" s="15" t="str">
        <f>_xlfn.TEXTBEFORE(_xlfn.TEXTAFTER(CantoralDB[[#This Row],[index.html]],"&gt;"),"&gt;")&amp;"&gt;"</f>
        <v>&lt;a href="canciones/ruah/vivir.html"&gt;</v>
      </c>
      <c r="Y2235"/>
      <c r="AC2235" s="1"/>
    </row>
    <row r="2236" spans="1:29" x14ac:dyDescent="0.3">
      <c r="A2236" s="1">
        <f>ROW(CantoralDB[[#This Row],[Título]])-1</f>
        <v>2235</v>
      </c>
      <c r="B2236" s="1" t="s">
        <v>39</v>
      </c>
      <c r="C2236" s="1" t="s">
        <v>990</v>
      </c>
      <c r="D2236" s="1" t="s">
        <v>687</v>
      </c>
      <c r="E2236" s="1">
        <v>65</v>
      </c>
      <c r="G2236" s="1" t="s">
        <v>208</v>
      </c>
      <c r="H2236" s="1" t="s">
        <v>472</v>
      </c>
      <c r="I2236" s="1" t="s">
        <v>2945</v>
      </c>
      <c r="J2236" s="1" t="s">
        <v>605</v>
      </c>
      <c r="M2236" s="15" t="s">
        <v>267</v>
      </c>
      <c r="O2236" s="15"/>
      <c r="P2236" s="15"/>
      <c r="Q2236" s="15" t="str" cm="1">
        <f t="array" ref="Q22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36" s="15" t="str" cm="1">
        <f t="array" ref="R22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2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canciones/taize/cristo_ha_resucitado.html</v>
      </c>
      <c r="T2236" s="1"/>
      <c r="U2236" s="1"/>
      <c r="V2236" s="32" t="s">
        <v>4930</v>
      </c>
      <c r="W22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data-author="Taizé" data-momento="Comunión" data-nnew="K17" data-nold="65"&gt;&lt;a href="canciones/taize/cristo_ha_resucitado.html"&gt;Cristo ha resucitado&lt;/a&gt;&lt;/li&gt;</v>
      </c>
      <c r="X2236" s="15" t="str">
        <f>_xlfn.TEXTBEFORE(_xlfn.TEXTAFTER(CantoralDB[[#This Row],[index.html]],"&gt;"),"&gt;")&amp;"&gt;"</f>
        <v>&lt;a href="canciones/taize/cristo_ha_resucitado.html"&gt;</v>
      </c>
      <c r="Y2236"/>
      <c r="AC2236" s="1"/>
    </row>
    <row r="2237" spans="1:29" x14ac:dyDescent="0.3">
      <c r="A2237" s="1">
        <f>ROW(CantoralDB[[#This Row],[Título]])-1</f>
        <v>2236</v>
      </c>
      <c r="B2237" s="1" t="s">
        <v>2804</v>
      </c>
      <c r="C2237" s="1"/>
      <c r="F2237" s="1">
        <v>421</v>
      </c>
      <c r="J2237" s="1"/>
      <c r="M2237" s="15" t="s">
        <v>267</v>
      </c>
      <c r="O2237" s="15"/>
      <c r="P2237" s="15"/>
      <c r="Q2237" s="15" t="str" cm="1">
        <f t="array" ref="Q22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37" s="15" t="str" cm="1">
        <f t="array" ref="R22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rcce</v>
      </c>
      <c r="S22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canciones/taize/oh_pobreza.html</v>
      </c>
      <c r="T2237" s="1"/>
      <c r="U2237" s="1"/>
      <c r="V2237" s="15"/>
      <c r="W22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data-author="Taizé" data-nrcc="421"&gt;&lt;a href="canciones/taize/oh_pobreza.html"&gt;Oh, pobreza&lt;/a&gt;&lt;/li&gt;</v>
      </c>
      <c r="X2237" s="15" t="str">
        <f>_xlfn.TEXTBEFORE(_xlfn.TEXTAFTER(CantoralDB[[#This Row],[index.html]],"&gt;"),"&gt;")&amp;"&gt;"</f>
        <v>&lt;a href="canciones/taize/oh_pobreza.html"&gt;</v>
      </c>
      <c r="Y2237"/>
      <c r="AC2237" s="1"/>
    </row>
    <row r="2238" spans="1:29" x14ac:dyDescent="0.3">
      <c r="A2238" s="1">
        <f>ROW(CantoralDB[[#This Row],[Título]])-1</f>
        <v>2237</v>
      </c>
      <c r="B2238" s="1" t="s">
        <v>884</v>
      </c>
      <c r="C2238" s="1" t="s">
        <v>1018</v>
      </c>
      <c r="D2238" s="1" t="s">
        <v>1087</v>
      </c>
      <c r="H2238" s="1" t="s">
        <v>529</v>
      </c>
      <c r="I2238" s="1" t="s">
        <v>2946</v>
      </c>
      <c r="J2238" s="1" t="s">
        <v>605</v>
      </c>
      <c r="M2238" s="15" t="s">
        <v>1936</v>
      </c>
      <c r="N2238" s="1" t="s">
        <v>4005</v>
      </c>
      <c r="O2238" s="15">
        <v>1</v>
      </c>
      <c r="P2238" s="15">
        <v>1988</v>
      </c>
      <c r="Q2238" s="15" t="str" cm="1">
        <f t="array" ref="Q22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38" s="15" t="str" cm="1">
        <f t="array" ref="R22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canciones/taize/bless_the_lord.html</v>
      </c>
      <c r="T2238" s="1" t="s">
        <v>950</v>
      </c>
      <c r="U2238" s="1" t="s">
        <v>318</v>
      </c>
      <c r="V2238" s="15" t="s">
        <v>4051</v>
      </c>
      <c r="W22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data-nnew="Q17"&gt;&lt;a href="canciones/taize/bless_the_lord.html"&gt;Tengo sed de ti&lt;/a&gt;&lt;/li&gt;</v>
      </c>
      <c r="X2238" s="15" t="str">
        <f>_xlfn.TEXTBEFORE(_xlfn.TEXTAFTER(CantoralDB[[#This Row],[index.html]],"&gt;"),"&gt;")&amp;"&gt;"</f>
        <v>&lt;a href="canciones/taize/bless_the_lord.html"&gt;</v>
      </c>
      <c r="Y2238"/>
      <c r="AC2238" s="1"/>
    </row>
    <row r="2239" spans="1:29" x14ac:dyDescent="0.3">
      <c r="A2239" s="1">
        <f>ROW(CantoralDB[[#This Row],[Título]])-1</f>
        <v>2238</v>
      </c>
      <c r="B2239" s="1" t="s">
        <v>872</v>
      </c>
      <c r="C2239" s="1" t="s">
        <v>1018</v>
      </c>
      <c r="D2239" s="1" t="s">
        <v>1075</v>
      </c>
      <c r="H2239" s="1" t="s">
        <v>1027</v>
      </c>
      <c r="I2239" s="1" t="s">
        <v>2945</v>
      </c>
      <c r="J2239" s="1" t="s">
        <v>605</v>
      </c>
      <c r="M2239" s="15" t="s">
        <v>1936</v>
      </c>
      <c r="N2239" s="1" t="s">
        <v>4005</v>
      </c>
      <c r="O2239" s="15">
        <v>2</v>
      </c>
      <c r="P2239" s="15">
        <v>1988</v>
      </c>
      <c r="Q2239" s="15" t="str" cm="1">
        <f t="array" ref="Q22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39" s="15" t="str" cm="1">
        <f t="array" ref="R22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canciones/taize/alleluia_11.html</v>
      </c>
      <c r="T2239" s="1"/>
      <c r="U2239" s="1" t="s">
        <v>296</v>
      </c>
      <c r="V2239" s="15" t="s">
        <v>4052</v>
      </c>
      <c r="W22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data-nnew="Q05"&gt;&lt;a href="canciones/taize/alleluia_11.html"&gt;Aleluya 11&lt;/a&gt;&lt;/li&gt;</v>
      </c>
      <c r="X2239" s="15" t="str">
        <f>_xlfn.TEXTBEFORE(_xlfn.TEXTAFTER(CantoralDB[[#This Row],[index.html]],"&gt;"),"&gt;")&amp;"&gt;"</f>
        <v>&lt;a href="canciones/taize/alleluia_11.html"&gt;</v>
      </c>
      <c r="Y2239"/>
      <c r="AC2239" s="1"/>
    </row>
    <row r="2240" spans="1:29" x14ac:dyDescent="0.3">
      <c r="A2240" s="1">
        <f>ROW(CantoralDB[[#This Row],[Título]])-1</f>
        <v>2239</v>
      </c>
      <c r="B2240" s="1" t="s">
        <v>896</v>
      </c>
      <c r="C2240" s="1" t="s">
        <v>1018</v>
      </c>
      <c r="D2240" s="1" t="s">
        <v>1106</v>
      </c>
      <c r="H2240" s="1" t="s">
        <v>472</v>
      </c>
      <c r="I2240" s="1" t="s">
        <v>2948</v>
      </c>
      <c r="J2240" s="1" t="s">
        <v>605</v>
      </c>
      <c r="M2240" s="15" t="s">
        <v>1936</v>
      </c>
      <c r="N2240" s="1" t="s">
        <v>4005</v>
      </c>
      <c r="O2240" s="15">
        <v>3</v>
      </c>
      <c r="P2240" s="15">
        <v>1988</v>
      </c>
      <c r="Q2240" s="15" t="str" cm="1">
        <f t="array" ref="Q22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0" s="15" t="str" cm="1">
        <f t="array" ref="R22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canciones/taize/dans_nos_obscurites.html</v>
      </c>
      <c r="T2240" s="1"/>
      <c r="U2240" s="1" t="s">
        <v>335</v>
      </c>
      <c r="V2240" s="15" t="s">
        <v>4053</v>
      </c>
      <c r="W22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data-nnew="Q28"&gt;&lt;a href="canciones/taize/dans_nos_obscurites.html"&gt;En nuestra oscuridad&lt;/a&gt;&lt;/li&gt;</v>
      </c>
      <c r="X2240" s="15" t="str">
        <f>_xlfn.TEXTBEFORE(_xlfn.TEXTAFTER(CantoralDB[[#This Row],[index.html]],"&gt;"),"&gt;")&amp;"&gt;"</f>
        <v>&lt;a href="canciones/taize/dans_nos_obscurites.html"&gt;</v>
      </c>
      <c r="Y2240"/>
      <c r="AC2240" s="1"/>
    </row>
    <row r="2241" spans="1:29" x14ac:dyDescent="0.3">
      <c r="A2241" s="1">
        <f>ROW(CantoralDB[[#This Row],[Título]])-1</f>
        <v>2240</v>
      </c>
      <c r="B2241" s="1" t="s">
        <v>892</v>
      </c>
      <c r="C2241" s="1" t="s">
        <v>1018</v>
      </c>
      <c r="D2241" s="1" t="s">
        <v>1096</v>
      </c>
      <c r="F2241" s="1">
        <v>423</v>
      </c>
      <c r="H2241" s="1" t="s">
        <v>529</v>
      </c>
      <c r="I2241" s="1" t="s">
        <v>2948</v>
      </c>
      <c r="J2241" s="1" t="s">
        <v>605</v>
      </c>
      <c r="M2241" s="15" t="s">
        <v>1936</v>
      </c>
      <c r="N2241" s="1" t="s">
        <v>4005</v>
      </c>
      <c r="O2241" s="15">
        <v>4</v>
      </c>
      <c r="P2241" s="15">
        <v>1988</v>
      </c>
      <c r="Q2241" s="15" t="str" cm="1">
        <f t="array" ref="Q22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1" s="15" t="str" cm="1">
        <f t="array" ref="R22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canciones/taize/confitemini_domino.html</v>
      </c>
      <c r="T2241" s="1" t="s">
        <v>954</v>
      </c>
      <c r="U2241" s="1" t="s">
        <v>331</v>
      </c>
      <c r="V2241" s="15" t="s">
        <v>4054</v>
      </c>
      <c r="W22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data-nnew="Q24" data-nrcc="423"&gt;&lt;a href="canciones/taize/confitemini_domino.html"&gt;Llénanos, Señor, de tu paz&lt;/a&gt;&lt;/li&gt;</v>
      </c>
      <c r="X2241" s="15" t="str">
        <f>_xlfn.TEXTBEFORE(_xlfn.TEXTAFTER(CantoralDB[[#This Row],[index.html]],"&gt;"),"&gt;")&amp;"&gt;"</f>
        <v>&lt;a href="canciones/taize/confitemini_domino.html"&gt;</v>
      </c>
      <c r="Y2241"/>
      <c r="AC2241" s="1"/>
    </row>
    <row r="2242" spans="1:29" x14ac:dyDescent="0.3">
      <c r="A2242" s="1">
        <f>ROW(CantoralDB[[#This Row],[Título]])-1</f>
        <v>2241</v>
      </c>
      <c r="B2242" s="1" t="s">
        <v>408</v>
      </c>
      <c r="C2242" s="1" t="s">
        <v>1018</v>
      </c>
      <c r="D2242" s="1" t="s">
        <v>1139</v>
      </c>
      <c r="F2242" s="1">
        <v>68</v>
      </c>
      <c r="H2242" s="1" t="s">
        <v>1027</v>
      </c>
      <c r="J2242" s="1" t="s">
        <v>605</v>
      </c>
      <c r="M2242" s="15" t="s">
        <v>1936</v>
      </c>
      <c r="N2242" s="1" t="s">
        <v>4005</v>
      </c>
      <c r="O2242" s="15">
        <v>6</v>
      </c>
      <c r="P2242" s="15">
        <v>1988</v>
      </c>
      <c r="Q2242" s="15" t="str" cm="1">
        <f t="array" ref="Q22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2" s="15" t="str" cm="1">
        <f t="array" ref="R22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canciones/taize/magnificat_(canon).html</v>
      </c>
      <c r="T2242" s="1" t="s">
        <v>973</v>
      </c>
      <c r="U2242" s="1" t="s">
        <v>408</v>
      </c>
      <c r="V2242" s="32" t="s">
        <v>4056</v>
      </c>
      <c r="W22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data-nnew="Q61" data-nrcc="68"&gt;&lt;a href="canciones/taize/magnificat_(canon).html"&gt;Magnificat (canon)&lt;/a&gt;&lt;/li&gt;</v>
      </c>
      <c r="X2242" s="15" t="str">
        <f>_xlfn.TEXTBEFORE(_xlfn.TEXTAFTER(CantoralDB[[#This Row],[index.html]],"&gt;"),"&gt;")&amp;"&gt;"</f>
        <v>&lt;a href="canciones/taize/magnificat_(canon).html"&gt;</v>
      </c>
      <c r="Y2242"/>
      <c r="AC2242" s="1"/>
    </row>
    <row r="2243" spans="1:29" x14ac:dyDescent="0.3">
      <c r="A2243" s="1">
        <f>ROW(CantoralDB[[#This Row],[Título]])-1</f>
        <v>2242</v>
      </c>
      <c r="B2243" s="1" t="s">
        <v>929</v>
      </c>
      <c r="C2243" s="1" t="s">
        <v>1018</v>
      </c>
      <c r="D2243" s="1" t="s">
        <v>1142</v>
      </c>
      <c r="H2243" s="1" t="s">
        <v>529</v>
      </c>
      <c r="I2243" s="1" t="s">
        <v>2946</v>
      </c>
      <c r="J2243" s="1" t="s">
        <v>605</v>
      </c>
      <c r="M2243" s="15" t="s">
        <v>1936</v>
      </c>
      <c r="N2243" s="1" t="s">
        <v>4005</v>
      </c>
      <c r="O2243" s="15">
        <v>11</v>
      </c>
      <c r="P2243" s="15">
        <v>1988</v>
      </c>
      <c r="Q2243" s="15" t="str" cm="1">
        <f t="array" ref="Q22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3" s="15" t="str" cm="1">
        <f t="array" ref="R22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canciones/taize/per_crucem.html</v>
      </c>
      <c r="T2243" s="1"/>
      <c r="U2243" s="1" t="s">
        <v>425</v>
      </c>
      <c r="V2243" s="15" t="s">
        <v>4060</v>
      </c>
      <c r="W22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data-nnew="Q66"&gt;&lt;a href="canciones/taize/per_crucem.html"&gt;Por tu Cruz&lt;/a&gt;&lt;/li&gt;</v>
      </c>
      <c r="X2243" s="15" t="str">
        <f>_xlfn.TEXTBEFORE(_xlfn.TEXTAFTER(CantoralDB[[#This Row],[index.html]],"&gt;"),"&gt;")&amp;"&gt;"</f>
        <v>&lt;a href="canciones/taize/per_crucem.html"&gt;</v>
      </c>
      <c r="Y2243"/>
      <c r="AC2243" s="1"/>
    </row>
    <row r="2244" spans="1:29" x14ac:dyDescent="0.3">
      <c r="A2244" s="1">
        <f>ROW(CantoralDB[[#This Row],[Título]])-1</f>
        <v>2243</v>
      </c>
      <c r="B2244" s="1" t="s">
        <v>924</v>
      </c>
      <c r="C2244" s="1" t="s">
        <v>1018</v>
      </c>
      <c r="D2244" s="1" t="s">
        <v>1137</v>
      </c>
      <c r="F2244" s="1">
        <v>429</v>
      </c>
      <c r="H2244" s="1" t="s">
        <v>529</v>
      </c>
      <c r="I2244" s="1" t="s">
        <v>2947</v>
      </c>
      <c r="J2244" s="1" t="s">
        <v>605</v>
      </c>
      <c r="M2244" s="15" t="s">
        <v>1936</v>
      </c>
      <c r="N2244" s="1" t="s">
        <v>4005</v>
      </c>
      <c r="O2244" s="15">
        <v>12</v>
      </c>
      <c r="P2244" s="15">
        <v>1988</v>
      </c>
      <c r="Q2244" s="15" t="str" cm="1">
        <f t="array" ref="Q22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4" s="15" t="str" cm="1">
        <f t="array" ref="R22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canciones/taize/laudate_omnes_gentes.html</v>
      </c>
      <c r="T2244" s="1" t="s">
        <v>971</v>
      </c>
      <c r="U2244" s="1" t="s">
        <v>782</v>
      </c>
      <c r="V2244" s="15" t="s">
        <v>4061</v>
      </c>
      <c r="W22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data-nnew="Q59" data-nrcc="429"&gt;&lt;a href="canciones/taize/laudate_omnes_gentes.html"&gt;Que todo el mundo alabe&lt;/a&gt;&lt;/li&gt;</v>
      </c>
      <c r="X2244" s="15" t="str">
        <f>_xlfn.TEXTBEFORE(_xlfn.TEXTAFTER(CantoralDB[[#This Row],[index.html]],"&gt;"),"&gt;")&amp;"&gt;"</f>
        <v>&lt;a href="canciones/taize/laudate_omnes_gentes.html"&gt;</v>
      </c>
      <c r="Y2244"/>
      <c r="AC2244" s="1"/>
    </row>
    <row r="2245" spans="1:29" x14ac:dyDescent="0.3">
      <c r="A2245" s="1">
        <f>ROW(CantoralDB[[#This Row],[Título]])-1</f>
        <v>2244</v>
      </c>
      <c r="B2245" s="1" t="s">
        <v>903</v>
      </c>
      <c r="C2245" s="1" t="s">
        <v>1018</v>
      </c>
      <c r="D2245" s="1" t="s">
        <v>1117</v>
      </c>
      <c r="H2245" s="1" t="s">
        <v>529</v>
      </c>
      <c r="I2245" s="1" t="s">
        <v>2946</v>
      </c>
      <c r="J2245" s="1" t="s">
        <v>605</v>
      </c>
      <c r="M2245" s="15" t="s">
        <v>1936</v>
      </c>
      <c r="N2245" s="1" t="s">
        <v>4005</v>
      </c>
      <c r="O2245" s="15">
        <v>13</v>
      </c>
      <c r="P2245" s="15">
        <v>1988</v>
      </c>
      <c r="Q2245" s="15" t="str" cm="1">
        <f t="array" ref="Q22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5" s="15" t="str" cm="1">
        <f t="array" ref="R22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canciones/taize/el_senyor.html</v>
      </c>
      <c r="T2245" s="1" t="s">
        <v>960</v>
      </c>
      <c r="U2245" s="1" t="s">
        <v>346</v>
      </c>
      <c r="V2245" s="15" t="s">
        <v>4062</v>
      </c>
      <c r="W22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data-nnew="Q38"&gt;&lt;a href="canciones/taize/el_senyor.html"&gt;El Señor es mi fortaleza&lt;/a&gt;&lt;/li&gt;</v>
      </c>
      <c r="X2245" s="15" t="str">
        <f>_xlfn.TEXTBEFORE(_xlfn.TEXTAFTER(CantoralDB[[#This Row],[index.html]],"&gt;"),"&gt;")&amp;"&gt;"</f>
        <v>&lt;a href="canciones/taize/el_senyor.html"&gt;</v>
      </c>
      <c r="Y2245"/>
      <c r="AC2245" s="1"/>
    </row>
    <row r="2246" spans="1:29" x14ac:dyDescent="0.3">
      <c r="A2246" s="1">
        <f>ROW(CantoralDB[[#This Row],[Título]])-1</f>
        <v>2245</v>
      </c>
      <c r="B2246" s="1" t="s">
        <v>870</v>
      </c>
      <c r="C2246" s="1" t="s">
        <v>1018</v>
      </c>
      <c r="D2246" s="1" t="s">
        <v>1070</v>
      </c>
      <c r="H2246" s="1" t="s">
        <v>1025</v>
      </c>
      <c r="I2246" s="1" t="s">
        <v>2948</v>
      </c>
      <c r="J2246" s="1" t="s">
        <v>605</v>
      </c>
      <c r="M2246" s="15" t="s">
        <v>1936</v>
      </c>
      <c r="N2246" s="1" t="s">
        <v>4049</v>
      </c>
      <c r="O2246" s="15">
        <v>2</v>
      </c>
      <c r="P2246" s="15">
        <v>1998</v>
      </c>
      <c r="Q2246" s="15" t="str" cm="1">
        <f t="array" ref="Q22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6" s="15" t="str" cm="1">
        <f t="array" ref="R22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canciones/taize/adoramus_te_o_christe.html</v>
      </c>
      <c r="T2246" s="1"/>
      <c r="U2246" s="1" t="s">
        <v>280</v>
      </c>
      <c r="V2246" s="15" t="s">
        <v>4064</v>
      </c>
      <c r="W22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data-nnew="Q02"&gt;&lt;a href="canciones/taize/adoramus_te_o_christe.html"&gt;Te adoramos&lt;/a&gt;&lt;/li&gt;</v>
      </c>
      <c r="X2246" s="15" t="str">
        <f>_xlfn.TEXTBEFORE(_xlfn.TEXTAFTER(CantoralDB[[#This Row],[index.html]],"&gt;"),"&gt;")&amp;"&gt;"</f>
        <v>&lt;a href="canciones/taize/adoramus_te_o_christe.html"&gt;</v>
      </c>
      <c r="Y2246"/>
      <c r="AC2246" s="1"/>
    </row>
    <row r="2247" spans="1:29" x14ac:dyDescent="0.3">
      <c r="A2247" s="1">
        <f>ROW(CantoralDB[[#This Row],[Título]])-1</f>
        <v>2246</v>
      </c>
      <c r="B2247" s="1" t="s">
        <v>888</v>
      </c>
      <c r="C2247" s="1" t="s">
        <v>1018</v>
      </c>
      <c r="D2247" s="1" t="s">
        <v>1091</v>
      </c>
      <c r="H2247" s="1" t="s">
        <v>1027</v>
      </c>
      <c r="J2247" s="1" t="s">
        <v>605</v>
      </c>
      <c r="M2247" s="15" t="s">
        <v>1936</v>
      </c>
      <c r="N2247" s="1" t="s">
        <v>4030</v>
      </c>
      <c r="O2247" s="15">
        <v>2</v>
      </c>
      <c r="P2247" s="15">
        <v>2006</v>
      </c>
      <c r="Q2247" s="15" t="str" cm="1">
        <f t="array" ref="Q22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7" s="15" t="str" cm="1">
        <f t="array" ref="R22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canciones/taize/cantarei_ao_senhor.html</v>
      </c>
      <c r="T2247" s="1" t="s">
        <v>952</v>
      </c>
      <c r="U2247" s="1" t="s">
        <v>324</v>
      </c>
      <c r="V2247" s="15" t="s">
        <v>4066</v>
      </c>
      <c r="W22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data-nnew="Q20"&gt;&lt;a href="canciones/taize/cantarei_ao_senhor.html"&gt;Cantaré al Señor&lt;/a&gt;&lt;/li&gt;</v>
      </c>
      <c r="X2247" s="15" t="str">
        <f>_xlfn.TEXTBEFORE(_xlfn.TEXTAFTER(CantoralDB[[#This Row],[index.html]],"&gt;"),"&gt;")&amp;"&gt;"</f>
        <v>&lt;a href="canciones/taize/cantarei_ao_senhor.html"&gt;</v>
      </c>
      <c r="Y2247"/>
      <c r="AC2247" s="1"/>
    </row>
    <row r="2248" spans="1:29" x14ac:dyDescent="0.3">
      <c r="A2248" s="1">
        <f>ROW(CantoralDB[[#This Row],[Título]])-1</f>
        <v>2247</v>
      </c>
      <c r="B2248" s="1" t="s">
        <v>880</v>
      </c>
      <c r="C2248" s="1" t="s">
        <v>1018</v>
      </c>
      <c r="D2248" s="1" t="s">
        <v>1083</v>
      </c>
      <c r="H2248" s="1" t="s">
        <v>529</v>
      </c>
      <c r="I2248" s="1" t="s">
        <v>2947</v>
      </c>
      <c r="J2248" s="1" t="s">
        <v>605</v>
      </c>
      <c r="M2248" s="15" t="s">
        <v>1936</v>
      </c>
      <c r="N2248" s="1" t="s">
        <v>4030</v>
      </c>
      <c r="O2248" s="15">
        <v>3</v>
      </c>
      <c r="P2248" s="15">
        <v>2006</v>
      </c>
      <c r="Q2248" s="15" t="str" cm="1">
        <f t="array" ref="Q22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8" s="15" t="str" cm="1">
        <f t="array" ref="R22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canciones/taize/behüte_mich_gott.html</v>
      </c>
      <c r="T2248" s="1" t="s">
        <v>946</v>
      </c>
      <c r="U2248" s="1" t="s">
        <v>311</v>
      </c>
      <c r="V2248" s="15" t="s">
        <v>4067</v>
      </c>
      <c r="W22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data-nnew="Q12"&gt;&lt;a href="canciones/taize/behüte_mich_gott.html"&gt;Protégeme, Dios&lt;/a&gt;&lt;/li&gt;</v>
      </c>
      <c r="X2248" s="15" t="str">
        <f>_xlfn.TEXTBEFORE(_xlfn.TEXTAFTER(CantoralDB[[#This Row],[index.html]],"&gt;"),"&gt;")&amp;"&gt;"</f>
        <v>&lt;a href="canciones/taize/behüte_mich_gott.html"&gt;</v>
      </c>
      <c r="Y2248"/>
      <c r="AC2248" s="1"/>
    </row>
    <row r="2249" spans="1:29" x14ac:dyDescent="0.3">
      <c r="A2249" s="1">
        <f>ROW(CantoralDB[[#This Row],[Título]])-1</f>
        <v>2248</v>
      </c>
      <c r="B2249" s="1" t="s">
        <v>907</v>
      </c>
      <c r="C2249" s="1" t="s">
        <v>1018</v>
      </c>
      <c r="D2249" s="1" t="s">
        <v>1124</v>
      </c>
      <c r="H2249" s="1" t="s">
        <v>1024</v>
      </c>
      <c r="I2249" s="1" t="s">
        <v>2948</v>
      </c>
      <c r="J2249" s="1" t="s">
        <v>605</v>
      </c>
      <c r="M2249" s="15" t="s">
        <v>1936</v>
      </c>
      <c r="N2249" s="1" t="s">
        <v>4030</v>
      </c>
      <c r="O2249" s="15">
        <v>5</v>
      </c>
      <c r="P2249" s="15">
        <v>2006</v>
      </c>
      <c r="Q2249" s="15" t="str" cm="1">
        <f t="array" ref="Q22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49" s="15" t="str" cm="1">
        <f t="array" ref="R22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canciones/taize/i_am_sure_i_shall_see.html</v>
      </c>
      <c r="T2249" s="1" t="s">
        <v>963</v>
      </c>
      <c r="U2249" s="1" t="s">
        <v>366</v>
      </c>
      <c r="V2249" s="15" t="s">
        <v>4069</v>
      </c>
      <c r="W22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data-nnew="Q42"&gt;&lt;a href="canciones/taize/i_am_sure_i_shall_see.html"&gt;Yo ya sé qué veré&lt;/a&gt;&lt;/li&gt;</v>
      </c>
      <c r="X2249" s="15" t="str">
        <f>_xlfn.TEXTBEFORE(_xlfn.TEXTAFTER(CantoralDB[[#This Row],[index.html]],"&gt;"),"&gt;")&amp;"&gt;"</f>
        <v>&lt;a href="canciones/taize/i_am_sure_i_shall_see.html"&gt;</v>
      </c>
      <c r="Y2249"/>
      <c r="AC2249" s="1"/>
    </row>
    <row r="2250" spans="1:29" x14ac:dyDescent="0.3">
      <c r="A2250" s="1">
        <f>ROW(CantoralDB[[#This Row],[Título]])-1</f>
        <v>2249</v>
      </c>
      <c r="B2250" s="1" t="s">
        <v>889</v>
      </c>
      <c r="C2250" s="1" t="s">
        <v>1018</v>
      </c>
      <c r="D2250" s="1" t="s">
        <v>1092</v>
      </c>
      <c r="H2250" s="1" t="s">
        <v>1027</v>
      </c>
      <c r="J2250" s="1" t="s">
        <v>605</v>
      </c>
      <c r="M2250" s="15" t="s">
        <v>1936</v>
      </c>
      <c r="N2250" s="1" t="s">
        <v>4030</v>
      </c>
      <c r="O2250" s="15">
        <v>9</v>
      </c>
      <c r="P2250" s="15">
        <v>2006</v>
      </c>
      <c r="Q2250" s="15" t="str" cm="1">
        <f t="array" ref="Q22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0" s="15" t="str" cm="1">
        <f t="array" ref="R22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canciones/taize/cantate_domino_canticum_novum.html</v>
      </c>
      <c r="T2250" s="1" t="s">
        <v>953</v>
      </c>
      <c r="U2250" s="1" t="s">
        <v>326</v>
      </c>
      <c r="V2250" s="15" t="s">
        <v>4073</v>
      </c>
      <c r="W22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data-nnew="Q22"&gt;&lt;a href="canciones/taize/cantate_domino_canticum_novum.html"&gt;Un canto nuevo&lt;/a&gt;&lt;/li&gt;</v>
      </c>
      <c r="X2250" s="15" t="str">
        <f>_xlfn.TEXTBEFORE(_xlfn.TEXTAFTER(CantoralDB[[#This Row],[index.html]],"&gt;"),"&gt;")&amp;"&gt;"</f>
        <v>&lt;a href="canciones/taize/cantate_domino_canticum_novum.html"&gt;</v>
      </c>
      <c r="Y2250"/>
      <c r="AC2250" s="1"/>
    </row>
    <row r="2251" spans="1:29" x14ac:dyDescent="0.3">
      <c r="A2251" s="1">
        <f>ROW(CantoralDB[[#This Row],[Título]])-1</f>
        <v>2250</v>
      </c>
      <c r="B2251" s="1" t="s">
        <v>919</v>
      </c>
      <c r="C2251" s="1" t="s">
        <v>1018</v>
      </c>
      <c r="D2251" s="1" t="s">
        <v>1131</v>
      </c>
      <c r="H2251" s="1" t="s">
        <v>529</v>
      </c>
      <c r="I2251" s="1" t="s">
        <v>2947</v>
      </c>
      <c r="J2251" s="1" t="s">
        <v>605</v>
      </c>
      <c r="M2251" s="15" t="s">
        <v>1936</v>
      </c>
      <c r="N2251" s="1" t="s">
        <v>4030</v>
      </c>
      <c r="O2251" s="15">
        <v>10</v>
      </c>
      <c r="P2251" s="15">
        <v>2006</v>
      </c>
      <c r="Q2251" s="15" t="str" cm="1">
        <f t="array" ref="Q22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1" s="15" t="str" cm="1">
        <f t="array" ref="R22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canciones/taize/kyrie_20.html</v>
      </c>
      <c r="T2251" s="1"/>
      <c r="U2251" s="1" t="s">
        <v>398</v>
      </c>
      <c r="V2251" s="15" t="s">
        <v>4074</v>
      </c>
      <c r="W22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data-nnew="Q56"&gt;&lt;a href="canciones/taize/kyrie_20.html"&gt;Ten piedad, Señor 20&lt;/a&gt;&lt;/li&gt;</v>
      </c>
      <c r="X2251" s="15" t="str">
        <f>_xlfn.TEXTBEFORE(_xlfn.TEXTAFTER(CantoralDB[[#This Row],[index.html]],"&gt;"),"&gt;")&amp;"&gt;"</f>
        <v>&lt;a href="canciones/taize/kyrie_20.html"&gt;</v>
      </c>
      <c r="Y2251"/>
      <c r="AC2251" s="1"/>
    </row>
    <row r="2252" spans="1:29" x14ac:dyDescent="0.3">
      <c r="A2252" s="1">
        <f>ROW(CantoralDB[[#This Row],[Título]])-1</f>
        <v>2251</v>
      </c>
      <c r="B2252" s="1" t="s">
        <v>891</v>
      </c>
      <c r="C2252" s="1" t="s">
        <v>1018</v>
      </c>
      <c r="D2252" s="1" t="s">
        <v>1094</v>
      </c>
      <c r="H2252" s="1" t="s">
        <v>1024</v>
      </c>
      <c r="I2252" s="1" t="s">
        <v>2947</v>
      </c>
      <c r="J2252" s="1" t="s">
        <v>605</v>
      </c>
      <c r="M2252" s="15" t="s">
        <v>1936</v>
      </c>
      <c r="N2252" s="1" t="s">
        <v>4030</v>
      </c>
      <c r="O2252" s="15">
        <v>13</v>
      </c>
      <c r="P2252" s="15">
        <v>2006</v>
      </c>
      <c r="Q2252" s="15" t="str" cm="1">
        <f t="array" ref="Q22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2" s="15" t="str" cm="1">
        <f t="array" ref="R22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canciones/taize/christe_lux_mundi.html</v>
      </c>
      <c r="T2252" s="1" t="s">
        <v>867</v>
      </c>
      <c r="U2252" s="1" t="s">
        <v>328</v>
      </c>
      <c r="V2252" s="15" t="s">
        <v>4077</v>
      </c>
      <c r="W22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data-nnew="Q21"&gt;&lt;a href="canciones/taize/christe_lux_mundi.html"&gt;Tú, luz del mundo&lt;/a&gt;&lt;/li&gt;</v>
      </c>
      <c r="X2252" s="15" t="str">
        <f>_xlfn.TEXTBEFORE(_xlfn.TEXTAFTER(CantoralDB[[#This Row],[index.html]],"&gt;"),"&gt;")&amp;"&gt;"</f>
        <v>&lt;a href="canciones/taize/christe_lux_mundi.html"&gt;</v>
      </c>
      <c r="Y2252"/>
      <c r="AC2252" s="1"/>
    </row>
    <row r="2253" spans="1:29" x14ac:dyDescent="0.3">
      <c r="A2253" s="1">
        <f>ROW(CantoralDB[[#This Row],[Título]])-1</f>
        <v>2252</v>
      </c>
      <c r="B2253" s="1" t="s">
        <v>899</v>
      </c>
      <c r="C2253" s="1" t="s">
        <v>1018</v>
      </c>
      <c r="D2253" s="1" t="s">
        <v>1097</v>
      </c>
      <c r="H2253" s="1" t="s">
        <v>529</v>
      </c>
      <c r="J2253" s="1" t="s">
        <v>605</v>
      </c>
      <c r="M2253" s="15" t="s">
        <v>1936</v>
      </c>
      <c r="N2253" s="1" t="s">
        <v>4030</v>
      </c>
      <c r="O2253" s="15">
        <v>14</v>
      </c>
      <c r="P2253" s="15">
        <v>2006</v>
      </c>
      <c r="Q2253" s="15" t="str" cm="1">
        <f t="array" ref="Q22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3" s="15" t="str" cm="1">
        <f t="array" ref="R22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canciones/taize/dominus_spiritus_est.html</v>
      </c>
      <c r="T2253" s="1" t="s">
        <v>958</v>
      </c>
      <c r="U2253" s="1" t="s">
        <v>341</v>
      </c>
      <c r="V2253" s="15" t="s">
        <v>4078</v>
      </c>
      <c r="W22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data-nnew="Q33"&gt;&lt;a href="canciones/taize/dominus_spiritus_est.html"&gt;Cristo es Espíritu y Dios&lt;/a&gt;&lt;/li&gt;</v>
      </c>
      <c r="X2253" s="15" t="str">
        <f>_xlfn.TEXTBEFORE(_xlfn.TEXTAFTER(CantoralDB[[#This Row],[index.html]],"&gt;"),"&gt;")&amp;"&gt;"</f>
        <v>&lt;a href="canciones/taize/dominus_spiritus_est.html"&gt;</v>
      </c>
      <c r="Y2253"/>
      <c r="AC2253" s="1"/>
    </row>
    <row r="2254" spans="1:29" x14ac:dyDescent="0.3">
      <c r="A2254" s="1">
        <f>ROW(CantoralDB[[#This Row],[Título]])-1</f>
        <v>2253</v>
      </c>
      <c r="B2254" s="1" t="s">
        <v>905</v>
      </c>
      <c r="C2254" s="1" t="s">
        <v>1018</v>
      </c>
      <c r="D2254" s="1" t="s">
        <v>1113</v>
      </c>
      <c r="H2254" s="1" t="s">
        <v>1027</v>
      </c>
      <c r="J2254" s="1" t="s">
        <v>605</v>
      </c>
      <c r="M2254" s="15" t="s">
        <v>1936</v>
      </c>
      <c r="N2254" s="1" t="s">
        <v>343</v>
      </c>
      <c r="O2254" s="15">
        <v>8</v>
      </c>
      <c r="P2254" s="15">
        <v>2026</v>
      </c>
      <c r="Q2254" s="15" t="str" cm="1">
        <f t="array" ref="Q22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4" s="15" t="str" cm="1">
        <f t="array" ref="R22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canciones/taize/herre_visa_mig_vägen.html</v>
      </c>
      <c r="T2254" s="1" t="s">
        <v>961</v>
      </c>
      <c r="U2254" s="1" t="s">
        <v>275</v>
      </c>
      <c r="V2254" s="15" t="s">
        <v>4083</v>
      </c>
      <c r="W22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data-nnew="Q40"&gt;&lt;a href="canciones/taize/herre_visa_mig_vägen.html"&gt;Dios, muéstrame tu senda&lt;/a&gt;&lt;/li&gt;</v>
      </c>
      <c r="X2254" s="15" t="str">
        <f>_xlfn.TEXTBEFORE(_xlfn.TEXTAFTER(CantoralDB[[#This Row],[index.html]],"&gt;"),"&gt;")&amp;"&gt;"</f>
        <v>&lt;a href="canciones/taize/herre_visa_mig_vägen.html"&gt;</v>
      </c>
      <c r="Y2254"/>
      <c r="AC2254" s="1"/>
    </row>
    <row r="2255" spans="1:29" x14ac:dyDescent="0.3">
      <c r="A2255" s="1">
        <f>ROW(CantoralDB[[#This Row],[Título]])-1</f>
        <v>2254</v>
      </c>
      <c r="B2255" s="1" t="s">
        <v>940</v>
      </c>
      <c r="C2255" s="1" t="s">
        <v>1018</v>
      </c>
      <c r="D2255" s="1" t="s">
        <v>1149</v>
      </c>
      <c r="H2255" s="1" t="s">
        <v>1024</v>
      </c>
      <c r="I2255" s="1" t="s">
        <v>2948</v>
      </c>
      <c r="J2255" s="1" t="s">
        <v>605</v>
      </c>
      <c r="M2255" s="15" t="s">
        <v>1936</v>
      </c>
      <c r="N2255" s="1" t="s">
        <v>343</v>
      </c>
      <c r="O2255" s="15">
        <v>9</v>
      </c>
      <c r="P2255" s="15">
        <v>2026</v>
      </c>
      <c r="Q2255" s="15" t="str" cm="1">
        <f t="array" ref="Q22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5" s="15" t="str" cm="1">
        <f t="array" ref="R22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canciones/taize/vieni_spirito_creatore_(canon).html</v>
      </c>
      <c r="T2255" s="1"/>
      <c r="U2255" s="1" t="s">
        <v>465</v>
      </c>
      <c r="V2255" s="15" t="s">
        <v>4084</v>
      </c>
      <c r="W22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data-nnew="Q80"&gt;&lt;a href="canciones/taize/vieni_spirito_creatore_(canon).html"&gt;Ven, Espíritu (canon)&lt;/a&gt;&lt;/li&gt;</v>
      </c>
      <c r="X2255" s="15" t="str">
        <f>_xlfn.TEXTBEFORE(_xlfn.TEXTAFTER(CantoralDB[[#This Row],[index.html]],"&gt;"),"&gt;")&amp;"&gt;"</f>
        <v>&lt;a href="canciones/taize/vieni_spirito_creatore_(canon).html"&gt;</v>
      </c>
      <c r="Y2255"/>
      <c r="AC2255" s="1"/>
    </row>
    <row r="2256" spans="1:29" x14ac:dyDescent="0.3">
      <c r="A2256" s="1">
        <f>ROW(CantoralDB[[#This Row],[Título]])-1</f>
        <v>2255</v>
      </c>
      <c r="B2256" s="1" t="s">
        <v>897</v>
      </c>
      <c r="C2256" s="1" t="s">
        <v>1018</v>
      </c>
      <c r="D2256" s="1" t="s">
        <v>1111</v>
      </c>
      <c r="H2256" s="1" t="s">
        <v>1027</v>
      </c>
      <c r="I2256" s="1" t="s">
        <v>2945</v>
      </c>
      <c r="J2256" s="1" t="s">
        <v>605</v>
      </c>
      <c r="M2256" s="15" t="s">
        <v>1936</v>
      </c>
      <c r="N2256" s="1" t="s">
        <v>343</v>
      </c>
      <c r="O2256" s="15">
        <v>12</v>
      </c>
      <c r="P2256" s="15">
        <v>2026</v>
      </c>
      <c r="Q2256" s="15" t="str" cm="1">
        <f t="array" ref="Q22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6" s="15" t="str" cm="1">
        <f t="array" ref="R22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canciones/taize/deus_deus_meus_(canon).html</v>
      </c>
      <c r="T2256" s="1" t="s">
        <v>959</v>
      </c>
      <c r="U2256" s="1" t="s">
        <v>338</v>
      </c>
      <c r="V2256" s="15" t="s">
        <v>4086</v>
      </c>
      <c r="W22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data-nnew="Q31"&gt;&lt;a href="canciones/taize/deus_deus_meus_(canon).html"&gt;Oh, Dios, tú, Dios mío (canon)&lt;/a&gt;&lt;/li&gt;</v>
      </c>
      <c r="X2256" s="15" t="str">
        <f>_xlfn.TEXTBEFORE(_xlfn.TEXTAFTER(CantoralDB[[#This Row],[index.html]],"&gt;"),"&gt;")&amp;"&gt;"</f>
        <v>&lt;a href="canciones/taize/deus_deus_meus_(canon).html"&gt;</v>
      </c>
      <c r="Y2256"/>
      <c r="AC2256" s="1"/>
    </row>
    <row r="2257" spans="1:29" x14ac:dyDescent="0.3">
      <c r="A2257" s="1">
        <f>ROW(CantoralDB[[#This Row],[Título]])-1</f>
        <v>2256</v>
      </c>
      <c r="B2257" s="1" t="s">
        <v>1022</v>
      </c>
      <c r="C2257" s="1" t="s">
        <v>1018</v>
      </c>
      <c r="D2257" s="1" t="s">
        <v>1109</v>
      </c>
      <c r="H2257" s="1" t="s">
        <v>1024</v>
      </c>
      <c r="I2257" s="1" t="s">
        <v>2948</v>
      </c>
      <c r="J2257" s="1" t="s">
        <v>605</v>
      </c>
      <c r="M2257" s="15" t="s">
        <v>1936</v>
      </c>
      <c r="N2257" s="1" t="s">
        <v>343</v>
      </c>
      <c r="O2257" s="15">
        <v>13</v>
      </c>
      <c r="P2257" s="15">
        <v>2026</v>
      </c>
      <c r="Q2257" s="15" t="str" cm="1">
        <f t="array" ref="Q22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7" s="15" t="str" cm="1">
        <f t="array" ref="R22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canciones/taize/v_tebi_je_izvir_življenja.html</v>
      </c>
      <c r="T2257" s="1"/>
      <c r="U2257" s="1" t="s">
        <v>1023</v>
      </c>
      <c r="V2257" s="15" t="s">
        <v>4087</v>
      </c>
      <c r="W22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data-nnew="Q79"&gt;&lt;a href="canciones/taize/v_tebi_je_izvir_življenja.html"&gt;Dentro llevas la fuente de vida&lt;/a&gt;&lt;/li&gt;</v>
      </c>
      <c r="X2257" s="15" t="str">
        <f>_xlfn.TEXTBEFORE(_xlfn.TEXTAFTER(CantoralDB[[#This Row],[index.html]],"&gt;"),"&gt;")&amp;"&gt;"</f>
        <v>&lt;a href="canciones/taize/v_tebi_je_izvir_življenja.html"&gt;</v>
      </c>
      <c r="Y2257"/>
      <c r="AC2257" s="1"/>
    </row>
    <row r="2258" spans="1:29" x14ac:dyDescent="0.3">
      <c r="A2258" s="1">
        <f>ROW(CantoralDB[[#This Row],[Título]])-1</f>
        <v>2257</v>
      </c>
      <c r="B2258" s="1" t="s">
        <v>984</v>
      </c>
      <c r="C2258" s="1" t="s">
        <v>1018</v>
      </c>
      <c r="D2258" s="1" t="s">
        <v>1067</v>
      </c>
      <c r="H2258" s="1" t="s">
        <v>529</v>
      </c>
      <c r="I2258" s="1" t="s">
        <v>2948</v>
      </c>
      <c r="J2258" s="1" t="s">
        <v>605</v>
      </c>
      <c r="M2258" s="15" t="s">
        <v>1936</v>
      </c>
      <c r="N2258" s="1" t="s">
        <v>379</v>
      </c>
      <c r="O2258" s="15">
        <v>16</v>
      </c>
      <c r="P2258" s="15">
        <v>2024</v>
      </c>
      <c r="Q2258" s="15" t="str" cm="1">
        <f t="array" ref="Q22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8" s="15" t="str" cm="1">
        <f t="array" ref="R22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canciones/taize/zu_wem_sollen_wir_gehen.html</v>
      </c>
      <c r="T2258" s="1" t="s">
        <v>985</v>
      </c>
      <c r="U2258" s="1" t="s">
        <v>471</v>
      </c>
      <c r="V2258" s="15" t="s">
        <v>4092</v>
      </c>
      <c r="W22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data-nnew="Q83"&gt;&lt;a href="canciones/taize/zu_wem_sollen_wir_gehen.html"&gt;A quién iremos, Señor&lt;/a&gt;&lt;/li&gt;</v>
      </c>
      <c r="X2258" s="15" t="str">
        <f>_xlfn.TEXTBEFORE(_xlfn.TEXTAFTER(CantoralDB[[#This Row],[index.html]],"&gt;"),"&gt;")&amp;"&gt;"</f>
        <v>&lt;a href="canciones/taize/zu_wem_sollen_wir_gehen.html"&gt;</v>
      </c>
      <c r="Y2258"/>
      <c r="AC2258" s="1"/>
    </row>
    <row r="2259" spans="1:29" x14ac:dyDescent="0.3">
      <c r="A2259" s="1">
        <f>ROW(CantoralDB[[#This Row],[Título]])-1</f>
        <v>2258</v>
      </c>
      <c r="B2259" s="1" t="s">
        <v>912</v>
      </c>
      <c r="C2259" s="1" t="s">
        <v>1018</v>
      </c>
      <c r="D2259" s="1" t="s">
        <v>1100</v>
      </c>
      <c r="H2259" s="1" t="s">
        <v>529</v>
      </c>
      <c r="I2259" s="1" t="s">
        <v>2948</v>
      </c>
      <c r="J2259" s="1" t="s">
        <v>605</v>
      </c>
      <c r="M2259" s="15" t="s">
        <v>1936</v>
      </c>
      <c r="N2259" s="1" t="s">
        <v>4008</v>
      </c>
      <c r="O2259" s="15">
        <v>7</v>
      </c>
      <c r="P2259" s="15">
        <v>1992</v>
      </c>
      <c r="Q2259" s="15" t="str" cm="1">
        <f t="array" ref="Q22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59" s="15" t="str" cm="1">
        <f t="array" ref="R22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canciones/taize/jesus_le_christ.html</v>
      </c>
      <c r="T2259" s="1"/>
      <c r="U2259" s="1" t="s">
        <v>376</v>
      </c>
      <c r="V2259" s="15" t="s">
        <v>4099</v>
      </c>
      <c r="W22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data-nnew="Q47"&gt;&lt;a href="canciones/taize/jesus_le_christ.html"&gt;Cristo Jesús&lt;/a&gt;&lt;/li&gt;</v>
      </c>
      <c r="X2259" s="15" t="str">
        <f>_xlfn.TEXTBEFORE(_xlfn.TEXTAFTER(CantoralDB[[#This Row],[index.html]],"&gt;"),"&gt;")&amp;"&gt;"</f>
        <v>&lt;a href="canciones/taize/jesus_le_christ.html"&gt;</v>
      </c>
      <c r="Y2259"/>
      <c r="AC2259" s="1"/>
    </row>
    <row r="2260" spans="1:29" x14ac:dyDescent="0.3">
      <c r="A2260" s="1">
        <f>ROW(CantoralDB[[#This Row],[Título]])-1</f>
        <v>2259</v>
      </c>
      <c r="B2260" s="1" t="s">
        <v>923</v>
      </c>
      <c r="C2260" s="1" t="s">
        <v>1018</v>
      </c>
      <c r="D2260" s="1" t="s">
        <v>1136</v>
      </c>
      <c r="H2260" s="1" t="s">
        <v>1027</v>
      </c>
      <c r="I2260" s="1" t="s">
        <v>2947</v>
      </c>
      <c r="J2260" s="1" t="s">
        <v>605</v>
      </c>
      <c r="M2260" s="15" t="s">
        <v>1936</v>
      </c>
      <c r="N2260" s="1" t="s">
        <v>4008</v>
      </c>
      <c r="O2260" s="15">
        <v>8</v>
      </c>
      <c r="P2260" s="15">
        <v>1992</v>
      </c>
      <c r="Q2260" s="15" t="str" cm="1">
        <f t="array" ref="Q22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0" s="15" t="str" cm="1">
        <f t="array" ref="R22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canciones/taize/laudate_dominum.html</v>
      </c>
      <c r="T2260" s="1" t="s">
        <v>971</v>
      </c>
      <c r="U2260" s="1" t="s">
        <v>781</v>
      </c>
      <c r="V2260" s="15" t="s">
        <v>4100</v>
      </c>
      <c r="W22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data-nnew="Q58"&gt;&lt;a href="canciones/taize/laudate_dominum.html"&gt;Que alabe al Señor&lt;/a&gt;&lt;/li&gt;</v>
      </c>
      <c r="X2260" s="15" t="str">
        <f>_xlfn.TEXTBEFORE(_xlfn.TEXTAFTER(CantoralDB[[#This Row],[index.html]],"&gt;"),"&gt;")&amp;"&gt;"</f>
        <v>&lt;a href="canciones/taize/laudate_dominum.html"&gt;</v>
      </c>
      <c r="Y2260"/>
      <c r="AC2260" s="1"/>
    </row>
    <row r="2261" spans="1:29" x14ac:dyDescent="0.3">
      <c r="A2261" s="1">
        <f>ROW(CantoralDB[[#This Row],[Título]])-1</f>
        <v>2260</v>
      </c>
      <c r="B2261" s="1" t="s">
        <v>882</v>
      </c>
      <c r="C2261" s="1" t="s">
        <v>1018</v>
      </c>
      <c r="D2261" s="1" t="s">
        <v>1084</v>
      </c>
      <c r="H2261" s="1" t="s">
        <v>529</v>
      </c>
      <c r="I2261" s="1" t="s">
        <v>2948</v>
      </c>
      <c r="J2261" s="1" t="s">
        <v>605</v>
      </c>
      <c r="M2261" s="15" t="s">
        <v>1936</v>
      </c>
      <c r="N2261" s="1" t="s">
        <v>4008</v>
      </c>
      <c r="O2261" s="15">
        <v>9</v>
      </c>
      <c r="P2261" s="15">
        <v>1992</v>
      </c>
      <c r="Q2261" s="15" t="str" cm="1">
        <f t="array" ref="Q22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1" s="15" t="str" cm="1">
        <f t="array" ref="R22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canciones/taize/benissez_le_seigneur.html</v>
      </c>
      <c r="T2261" s="1" t="s">
        <v>948</v>
      </c>
      <c r="U2261" s="1" t="s">
        <v>315</v>
      </c>
      <c r="V2261" s="15" t="s">
        <v>4101</v>
      </c>
      <c r="W22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data-nnew="Q15"&gt;&lt;a href="canciones/taize/benissez_le_seigneur.html"&gt;Bendecid al Señor&lt;/a&gt;&lt;/li&gt;</v>
      </c>
      <c r="X2261" s="15" t="str">
        <f>_xlfn.TEXTBEFORE(_xlfn.TEXTAFTER(CantoralDB[[#This Row],[index.html]],"&gt;"),"&gt;")&amp;"&gt;"</f>
        <v>&lt;a href="canciones/taize/benissez_le_seigneur.html"&gt;</v>
      </c>
      <c r="Y2261"/>
      <c r="AC2261" s="1"/>
    </row>
    <row r="2262" spans="1:29" x14ac:dyDescent="0.3">
      <c r="A2262" s="1">
        <f>ROW(CantoralDB[[#This Row],[Título]])-1</f>
        <v>2261</v>
      </c>
      <c r="B2262" s="1" t="s">
        <v>887</v>
      </c>
      <c r="C2262" s="1" t="s">
        <v>1018</v>
      </c>
      <c r="D2262" s="1" t="s">
        <v>1090</v>
      </c>
      <c r="H2262" s="1" t="s">
        <v>529</v>
      </c>
      <c r="I2262" s="1" t="s">
        <v>2946</v>
      </c>
      <c r="J2262" s="1" t="s">
        <v>605</v>
      </c>
      <c r="M2262" s="15" t="s">
        <v>1936</v>
      </c>
      <c r="N2262" s="1" t="s">
        <v>4008</v>
      </c>
      <c r="O2262" s="15">
        <v>13</v>
      </c>
      <c r="P2262" s="15">
        <v>1992</v>
      </c>
      <c r="Q2262" s="15" t="str" cm="1">
        <f t="array" ref="Q22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2" s="15" t="str" cm="1">
        <f t="array" ref="R22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canciones/taize/bonum_est_confidere.html</v>
      </c>
      <c r="T2262" s="1" t="s">
        <v>951</v>
      </c>
      <c r="U2262" s="1" t="s">
        <v>322</v>
      </c>
      <c r="V2262" s="15" t="s">
        <v>4105</v>
      </c>
      <c r="W22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data-nnew="Q19"&gt;&lt;a href="canciones/taize/bonum_est_confidere.html"&gt;Qué bueno es confiar en ti&lt;/a&gt;&lt;/li&gt;</v>
      </c>
      <c r="X2262" s="15" t="str">
        <f>_xlfn.TEXTBEFORE(_xlfn.TEXTAFTER(CantoralDB[[#This Row],[index.html]],"&gt;"),"&gt;")&amp;"&gt;"</f>
        <v>&lt;a href="canciones/taize/bonum_est_confidere.html"&gt;</v>
      </c>
      <c r="Y2262"/>
      <c r="AC2262" s="1"/>
    </row>
    <row r="2263" spans="1:29" x14ac:dyDescent="0.3">
      <c r="A2263" s="1">
        <f>ROW(CantoralDB[[#This Row],[Título]])-1</f>
        <v>2262</v>
      </c>
      <c r="B2263" s="1" t="s">
        <v>914</v>
      </c>
      <c r="C2263" s="1" t="s">
        <v>1018</v>
      </c>
      <c r="D2263" s="1" t="s">
        <v>1127</v>
      </c>
      <c r="H2263" s="1" t="s">
        <v>529</v>
      </c>
      <c r="I2263" s="1" t="s">
        <v>2947</v>
      </c>
      <c r="J2263" s="1" t="s">
        <v>605</v>
      </c>
      <c r="M2263" s="15" t="s">
        <v>1936</v>
      </c>
      <c r="N2263" s="1" t="s">
        <v>4008</v>
      </c>
      <c r="O2263" s="15">
        <v>16</v>
      </c>
      <c r="P2263" s="15">
        <v>1992</v>
      </c>
      <c r="Q2263" s="15" t="str" cm="1">
        <f t="array" ref="Q22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3" s="15" t="str" cm="1">
        <f t="array" ref="R22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canciones/taize/jesus_remember_me.html</v>
      </c>
      <c r="T2263" s="1" t="s">
        <v>967</v>
      </c>
      <c r="U2263" s="1" t="s">
        <v>378</v>
      </c>
      <c r="V2263" s="15" t="s">
        <v>4108</v>
      </c>
      <c r="W22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data-nnew="Q49"&gt;&lt;a href="canciones/taize/jesus_remember_me.html"&gt;Jesús, acuérdate de mí&lt;/a&gt;&lt;/li&gt;</v>
      </c>
      <c r="X2263" s="15" t="str">
        <f>_xlfn.TEXTBEFORE(_xlfn.TEXTAFTER(CantoralDB[[#This Row],[index.html]],"&gt;"),"&gt;")&amp;"&gt;"</f>
        <v>&lt;a href="canciones/taize/jesus_remember_me.html"&gt;</v>
      </c>
      <c r="Y2263"/>
      <c r="AC2263" s="1"/>
    </row>
    <row r="2264" spans="1:29" x14ac:dyDescent="0.3">
      <c r="A2264" s="1">
        <f>ROW(CantoralDB[[#This Row],[Título]])-1</f>
        <v>2263</v>
      </c>
      <c r="B2264" s="1" t="s">
        <v>915</v>
      </c>
      <c r="C2264" s="1" t="s">
        <v>1018</v>
      </c>
      <c r="D2264" s="1" t="s">
        <v>1073</v>
      </c>
      <c r="H2264" s="1" t="s">
        <v>472</v>
      </c>
      <c r="J2264" s="1" t="s">
        <v>605</v>
      </c>
      <c r="M2264" s="15" t="s">
        <v>1936</v>
      </c>
      <c r="N2264" s="1" t="s">
        <v>4042</v>
      </c>
      <c r="O2264" s="15">
        <v>3</v>
      </c>
      <c r="P2264" s="15">
        <v>2017</v>
      </c>
      <c r="Q2264" s="15" t="str" cm="1">
        <f t="array" ref="Q22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4" s="15" t="str" cm="1">
        <f t="array" ref="R22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canciones/taize/jubelt_und_freut_euch.html</v>
      </c>
      <c r="T2264" s="1" t="s">
        <v>968</v>
      </c>
      <c r="U2264" s="1" t="s">
        <v>379</v>
      </c>
      <c r="V2264" s="15" t="s">
        <v>4110</v>
      </c>
      <c r="W22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data-nnew="Q50"&gt;&lt;a href="canciones/taize/jubelt_und_freut_euch.html"&gt;Alégrate y goza en el Señor&lt;/a&gt;&lt;/li&gt;</v>
      </c>
      <c r="X2264" s="15" t="str">
        <f>_xlfn.TEXTBEFORE(_xlfn.TEXTAFTER(CantoralDB[[#This Row],[index.html]],"&gt;"),"&gt;")&amp;"&gt;"</f>
        <v>&lt;a href="canciones/taize/jubelt_und_freut_euch.html"&gt;</v>
      </c>
      <c r="Y2264"/>
      <c r="AC2264" s="1"/>
    </row>
    <row r="2265" spans="1:29" x14ac:dyDescent="0.3">
      <c r="A2265" s="1">
        <f>ROW(CantoralDB[[#This Row],[Título]])-1</f>
        <v>2264</v>
      </c>
      <c r="B2265" s="1" t="s">
        <v>931</v>
      </c>
      <c r="C2265" s="1" t="s">
        <v>1018</v>
      </c>
      <c r="D2265" s="1" t="s">
        <v>1143</v>
      </c>
      <c r="H2265" s="1" t="s">
        <v>529</v>
      </c>
      <c r="I2265" s="1" t="s">
        <v>2946</v>
      </c>
      <c r="J2265" s="1" t="s">
        <v>605</v>
      </c>
      <c r="M2265" s="15" t="s">
        <v>1936</v>
      </c>
      <c r="N2265" s="1" t="s">
        <v>4042</v>
      </c>
      <c r="O2265" s="15">
        <v>4</v>
      </c>
      <c r="P2265" s="15">
        <v>2017</v>
      </c>
      <c r="Q2265" s="15" t="str" cm="1">
        <f t="array" ref="Q22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5" s="15" t="str" cm="1">
        <f t="array" ref="R22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canciones/taize/sanasi_on_lamppu.html</v>
      </c>
      <c r="T2265" s="1" t="s">
        <v>978</v>
      </c>
      <c r="U2265" s="1" t="s">
        <v>432</v>
      </c>
      <c r="V2265" s="15" t="s">
        <v>4111</v>
      </c>
      <c r="W22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data-nnew="Q68"&gt;&lt;a href="canciones/taize/sanasi_on_lamppu.html"&gt;Tu palabra alumbra&lt;/a&gt;&lt;/li&gt;</v>
      </c>
      <c r="X2265" s="15" t="str">
        <f>_xlfn.TEXTBEFORE(_xlfn.TEXTAFTER(CantoralDB[[#This Row],[index.html]],"&gt;"),"&gt;")&amp;"&gt;"</f>
        <v>&lt;a href="canciones/taize/sanasi_on_lamppu.html"&gt;</v>
      </c>
      <c r="Y2265"/>
      <c r="AC2265" s="1"/>
    </row>
    <row r="2266" spans="1:29" x14ac:dyDescent="0.3">
      <c r="A2266" s="1">
        <f>ROW(CantoralDB[[#This Row],[Título]])-1</f>
        <v>2265</v>
      </c>
      <c r="B2266" s="1" t="s">
        <v>906</v>
      </c>
      <c r="C2266" s="1" t="s">
        <v>1018</v>
      </c>
      <c r="D2266" s="1" t="s">
        <v>1123</v>
      </c>
      <c r="H2266" s="1" t="s">
        <v>1027</v>
      </c>
      <c r="I2266" s="1" t="s">
        <v>2946</v>
      </c>
      <c r="J2266" s="1" t="s">
        <v>605</v>
      </c>
      <c r="M2266" s="15" t="s">
        <v>1936</v>
      </c>
      <c r="N2266" s="1" t="s">
        <v>4042</v>
      </c>
      <c r="O2266" s="15">
        <v>11</v>
      </c>
      <c r="P2266" s="15">
        <v>2017</v>
      </c>
      <c r="Q2266" s="15" t="str" cm="1">
        <f t="array" ref="Q22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6" s="15" t="str" cm="1">
        <f t="array" ref="R22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canciones/taize/heureux_qui_s’abandonne_à_toi.html</v>
      </c>
      <c r="T2266" s="1" t="s">
        <v>962</v>
      </c>
      <c r="U2266" s="1" t="s">
        <v>362</v>
      </c>
      <c r="V2266" s="15" t="s">
        <v>4116</v>
      </c>
      <c r="W22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data-nnew="Q41"&gt;&lt;a href="canciones/taize/heureux_qui_s’abandonne_à_toi.html"&gt;Feliz quien se abandona&lt;/a&gt;&lt;/li&gt;</v>
      </c>
      <c r="X2266" s="15" t="str">
        <f>_xlfn.TEXTBEFORE(_xlfn.TEXTAFTER(CantoralDB[[#This Row],[index.html]],"&gt;"),"&gt;")&amp;"&gt;"</f>
        <v>&lt;a href="canciones/taize/heureux_qui_s’abandonne_à_toi.html"&gt;</v>
      </c>
      <c r="Y2266"/>
      <c r="AC2266" s="1"/>
    </row>
    <row r="2267" spans="1:29" x14ac:dyDescent="0.3">
      <c r="A2267" s="1">
        <f>ROW(CantoralDB[[#This Row],[Título]])-1</f>
        <v>2266</v>
      </c>
      <c r="B2267" s="1" t="s">
        <v>941</v>
      </c>
      <c r="C2267" s="1" t="s">
        <v>1018</v>
      </c>
      <c r="D2267" s="1" t="s">
        <v>1119</v>
      </c>
      <c r="H2267" s="1" t="s">
        <v>529</v>
      </c>
      <c r="I2267" s="1" t="s">
        <v>2947</v>
      </c>
      <c r="J2267" s="1" t="s">
        <v>605</v>
      </c>
      <c r="M2267" s="15" t="s">
        <v>1936</v>
      </c>
      <c r="N2267" s="1" t="s">
        <v>4042</v>
      </c>
      <c r="O2267" s="15">
        <v>14</v>
      </c>
      <c r="P2267" s="15">
        <v>2017</v>
      </c>
      <c r="Q2267" s="15" t="str" cm="1">
        <f t="array" ref="Q22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7" s="15" t="str" cm="1">
        <f t="array" ref="R22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canciones/taize/voici_dieu_qui_vient_à_mon_secours.html</v>
      </c>
      <c r="T2267" s="1" t="s">
        <v>983</v>
      </c>
      <c r="U2267" s="1" t="s">
        <v>467</v>
      </c>
      <c r="V2267" s="15" t="s">
        <v>4119</v>
      </c>
      <c r="W22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data-nnew="Q81"&gt;&lt;a href="canciones/taize/voici_dieu_qui_vient_à_mon_secours.html"&gt;El Señor, que viene en mi ayuda&lt;/a&gt;&lt;/li&gt;</v>
      </c>
      <c r="X2267" s="15" t="str">
        <f>_xlfn.TEXTBEFORE(_xlfn.TEXTAFTER(CantoralDB[[#This Row],[index.html]],"&gt;"),"&gt;")&amp;"&gt;"</f>
        <v>&lt;a href="canciones/taize/voici_dieu_qui_vient_à_mon_secours.html"&gt;</v>
      </c>
      <c r="Y2267"/>
      <c r="AC2267" s="1"/>
    </row>
    <row r="2268" spans="1:29" x14ac:dyDescent="0.3">
      <c r="A2268" s="1">
        <f>ROW(CantoralDB[[#This Row],[Título]])-1</f>
        <v>2267</v>
      </c>
      <c r="B2268" s="1" t="s">
        <v>933</v>
      </c>
      <c r="C2268" s="1" t="s">
        <v>1018</v>
      </c>
      <c r="D2268" s="1" t="s">
        <v>1144</v>
      </c>
      <c r="H2268" s="1" t="s">
        <v>472</v>
      </c>
      <c r="I2268" s="1" t="s">
        <v>2946</v>
      </c>
      <c r="J2268" s="1" t="s">
        <v>605</v>
      </c>
      <c r="M2268" s="15" t="s">
        <v>1936</v>
      </c>
      <c r="N2268" s="1" t="s">
        <v>4042</v>
      </c>
      <c r="O2268" s="15">
        <v>16</v>
      </c>
      <c r="P2268" s="15">
        <v>2017</v>
      </c>
      <c r="Q2268" s="15" t="str" cm="1">
        <f t="array" ref="Q22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8" s="15" t="str" cm="1">
        <f t="array" ref="R22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canciones/taize/staňte_se_soli.html</v>
      </c>
      <c r="T2268" s="1" t="s">
        <v>980</v>
      </c>
      <c r="U2268" s="1" t="s">
        <v>442</v>
      </c>
      <c r="V2268" s="15" t="s">
        <v>4120</v>
      </c>
      <c r="W22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data-nnew="Q71"&gt;&lt;a href="canciones/taize/staňte_se_soli.html"&gt;Sé sal que sala&lt;/a&gt;&lt;/li&gt;</v>
      </c>
      <c r="X2268" s="15" t="str">
        <f>_xlfn.TEXTBEFORE(_xlfn.TEXTAFTER(CantoralDB[[#This Row],[index.html]],"&gt;"),"&gt;")&amp;"&gt;"</f>
        <v>&lt;a href="canciones/taize/staňte_se_soli.html"&gt;</v>
      </c>
      <c r="Y2268"/>
      <c r="AC2268" s="1"/>
    </row>
    <row r="2269" spans="1:29" x14ac:dyDescent="0.3">
      <c r="A2269" s="1">
        <f>ROW(CantoralDB[[#This Row],[Título]])-1</f>
        <v>2268</v>
      </c>
      <c r="B2269" s="1" t="s">
        <v>939</v>
      </c>
      <c r="C2269" s="1" t="s">
        <v>1018</v>
      </c>
      <c r="D2269" s="1" t="s">
        <v>1114</v>
      </c>
      <c r="E2269" s="1">
        <v>466</v>
      </c>
      <c r="H2269" s="1" t="s">
        <v>529</v>
      </c>
      <c r="I2269" s="1" t="s">
        <v>2946</v>
      </c>
      <c r="J2269" s="1" t="s">
        <v>605</v>
      </c>
      <c r="M2269" s="15" t="s">
        <v>1936</v>
      </c>
      <c r="N2269" s="1" t="s">
        <v>782</v>
      </c>
      <c r="O2269" s="15">
        <v>6</v>
      </c>
      <c r="P2269" s="15">
        <v>2002</v>
      </c>
      <c r="Q2269" s="15" t="str" cm="1">
        <f t="array" ref="Q22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69" s="15" t="str" cm="1">
        <f t="array" ref="R22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canciones/taize/ubi_caritas.html</v>
      </c>
      <c r="T2269" s="1"/>
      <c r="U2269" s="1" t="s">
        <v>455</v>
      </c>
      <c r="V2269" s="15" t="s">
        <v>4121</v>
      </c>
      <c r="W22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data-nnew="Q78" data-nold="466"&gt;&lt;a href="canciones/taize/ubi_caritas.html"&gt;Donde hay amor&lt;/a&gt;&lt;/li&gt;</v>
      </c>
      <c r="X2269" s="15" t="str">
        <f>_xlfn.TEXTBEFORE(_xlfn.TEXTAFTER(CantoralDB[[#This Row],[index.html]],"&gt;"),"&gt;")&amp;"&gt;"</f>
        <v>&lt;a href="canciones/taize/ubi_caritas.html"&gt;</v>
      </c>
      <c r="Y2269"/>
      <c r="AC2269" s="1"/>
    </row>
    <row r="2270" spans="1:29" x14ac:dyDescent="0.3">
      <c r="A2270" s="1">
        <f>ROW(CantoralDB[[#This Row],[Título]])-1</f>
        <v>2269</v>
      </c>
      <c r="B2270" s="1" t="s">
        <v>935</v>
      </c>
      <c r="C2270" s="1" t="s">
        <v>1018</v>
      </c>
      <c r="D2270" s="1" t="s">
        <v>1099</v>
      </c>
      <c r="H2270" s="1" t="s">
        <v>472</v>
      </c>
      <c r="I2270" s="1" t="s">
        <v>2947</v>
      </c>
      <c r="J2270" s="1" t="s">
        <v>605</v>
      </c>
      <c r="M2270" s="15" t="s">
        <v>1936</v>
      </c>
      <c r="N2270" s="1" t="s">
        <v>782</v>
      </c>
      <c r="O2270" s="15">
        <v>8</v>
      </c>
      <c r="P2270" s="15">
        <v>2002</v>
      </c>
      <c r="Q2270" s="15" t="str" cm="1">
        <f t="array" ref="Q22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0" s="15" t="str" cm="1">
        <f t="array" ref="R22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canciones/taize/surrexit_dominus_vere_(canon).html</v>
      </c>
      <c r="T2270" s="1" t="s">
        <v>981</v>
      </c>
      <c r="U2270" s="1" t="s">
        <v>444</v>
      </c>
      <c r="V2270" s="15" t="s">
        <v>4122</v>
      </c>
      <c r="W22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data-nnew="Q73"&gt;&lt;a href="canciones/taize/surrexit_dominus_vere_(canon).html"&gt;Cristo ha resucitado (canon)&lt;/a&gt;&lt;/li&gt;</v>
      </c>
      <c r="X2270" s="15" t="str">
        <f>_xlfn.TEXTBEFORE(_xlfn.TEXTAFTER(CantoralDB[[#This Row],[index.html]],"&gt;"),"&gt;")&amp;"&gt;"</f>
        <v>&lt;a href="canciones/taize/surrexit_dominus_vere_(canon).html"&gt;</v>
      </c>
      <c r="Y2270"/>
      <c r="AC2270" s="1"/>
    </row>
    <row r="2271" spans="1:29" x14ac:dyDescent="0.3">
      <c r="A2271" s="1">
        <f>ROW(CantoralDB[[#This Row],[Título]])-1</f>
        <v>2270</v>
      </c>
      <c r="B2271" s="1" t="s">
        <v>890</v>
      </c>
      <c r="C2271" s="1" t="s">
        <v>1018</v>
      </c>
      <c r="D2271" s="1" t="s">
        <v>1093</v>
      </c>
      <c r="H2271" s="1" t="s">
        <v>529</v>
      </c>
      <c r="I2271" s="1" t="s">
        <v>2947</v>
      </c>
      <c r="J2271" s="1" t="s">
        <v>605</v>
      </c>
      <c r="M2271" s="15" t="s">
        <v>1936</v>
      </c>
      <c r="N2271" s="1" t="s">
        <v>782</v>
      </c>
      <c r="O2271" s="15">
        <v>17</v>
      </c>
      <c r="P2271" s="15">
        <v>2002</v>
      </c>
      <c r="Q2271" s="15" t="str" cm="1">
        <f t="array" ref="Q22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1" s="15" t="str" cm="1">
        <f t="array" ref="R22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canciones/taize/christe_salvator.html</v>
      </c>
      <c r="T2271" s="1"/>
      <c r="U2271" s="1" t="s">
        <v>329</v>
      </c>
      <c r="V2271" s="15" t="s">
        <v>4124</v>
      </c>
      <c r="W22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data-nnew="Q23"&gt;&lt;a href="canciones/taize/christe_salvator.html"&gt;Dios de la vida&lt;/a&gt;&lt;/li&gt;</v>
      </c>
      <c r="X2271" s="15" t="str">
        <f>_xlfn.TEXTBEFORE(_xlfn.TEXTAFTER(CantoralDB[[#This Row],[index.html]],"&gt;"),"&gt;")&amp;"&gt;"</f>
        <v>&lt;a href="canciones/taize/christe_salvator.html"&gt;</v>
      </c>
      <c r="Y2271"/>
      <c r="AC2271" s="1"/>
    </row>
    <row r="2272" spans="1:29" x14ac:dyDescent="0.3">
      <c r="A2272" s="1">
        <f>ROW(CantoralDB[[#This Row],[Título]])-1</f>
        <v>2271</v>
      </c>
      <c r="B2272" s="1" t="s">
        <v>881</v>
      </c>
      <c r="C2272" s="1" t="s">
        <v>1018</v>
      </c>
      <c r="D2272" s="1" t="s">
        <v>1085</v>
      </c>
      <c r="H2272" s="1" t="s">
        <v>1025</v>
      </c>
      <c r="I2272" s="1" t="s">
        <v>2948</v>
      </c>
      <c r="J2272" s="1" t="s">
        <v>605</v>
      </c>
      <c r="M2272" s="15" t="s">
        <v>1936</v>
      </c>
      <c r="N2272" s="1" t="s">
        <v>782</v>
      </c>
      <c r="O2272" s="15">
        <v>18</v>
      </c>
      <c r="P2272" s="15">
        <v>2002</v>
      </c>
      <c r="Q2272" s="15" t="str" cm="1">
        <f t="array" ref="Q22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2" s="15" t="str" cm="1">
        <f t="array" ref="R22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canciones/taize/benedictus_qui_venit_(canon).html</v>
      </c>
      <c r="T2272" s="1" t="s">
        <v>947</v>
      </c>
      <c r="U2272" s="1" t="s">
        <v>313</v>
      </c>
      <c r="V2272" s="15" t="s">
        <v>4125</v>
      </c>
      <c r="W22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data-nnew="Q13"&gt;&lt;a href="canciones/taize/benedictus_qui_venit_(canon).html"&gt;Bendito el que viene (canon)&lt;/a&gt;&lt;/li&gt;</v>
      </c>
      <c r="X2272" s="15" t="str">
        <f>_xlfn.TEXTBEFORE(_xlfn.TEXTAFTER(CantoralDB[[#This Row],[index.html]],"&gt;"),"&gt;")&amp;"&gt;"</f>
        <v>&lt;a href="canciones/taize/benedictus_qui_venit_(canon).html"&gt;</v>
      </c>
      <c r="Y2272"/>
      <c r="AC2272" s="1"/>
    </row>
    <row r="2273" spans="1:29" x14ac:dyDescent="0.3">
      <c r="A2273" s="1">
        <f>ROW(CantoralDB[[#This Row],[Título]])-1</f>
        <v>2272</v>
      </c>
      <c r="B2273" s="1" t="s">
        <v>927</v>
      </c>
      <c r="C2273" s="1" t="s">
        <v>1018</v>
      </c>
      <c r="D2273" s="1" t="s">
        <v>1108</v>
      </c>
      <c r="H2273" s="1" t="s">
        <v>1027</v>
      </c>
      <c r="J2273" s="1" t="s">
        <v>605</v>
      </c>
      <c r="M2273" s="15" t="s">
        <v>1936</v>
      </c>
      <c r="N2273" s="1" t="s">
        <v>782</v>
      </c>
      <c r="O2273" s="15">
        <v>19</v>
      </c>
      <c r="P2273" s="15">
        <v>2002</v>
      </c>
      <c r="Q2273" s="15" t="str" cm="1">
        <f t="array" ref="Q22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3" s="15" t="str" cm="1">
        <f t="array" ref="R22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canciones/taize/nunc_dimittis.html</v>
      </c>
      <c r="T2273" s="1" t="s">
        <v>976</v>
      </c>
      <c r="U2273" s="1" t="s">
        <v>419</v>
      </c>
      <c r="V2273" s="15" t="s">
        <v>4126</v>
      </c>
      <c r="W22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data-nnew="Q64"&gt;&lt;a href="canciones/taize/nunc_dimittis.html"&gt;Deja ahora&lt;/a&gt;&lt;/li&gt;</v>
      </c>
      <c r="X2273" s="15" t="str">
        <f>_xlfn.TEXTBEFORE(_xlfn.TEXTAFTER(CantoralDB[[#This Row],[index.html]],"&gt;"),"&gt;")&amp;"&gt;"</f>
        <v>&lt;a href="canciones/taize/nunc_dimittis.html"&gt;</v>
      </c>
      <c r="Y2273"/>
      <c r="AC2273" s="1"/>
    </row>
    <row r="2274" spans="1:29" x14ac:dyDescent="0.3">
      <c r="A2274" s="1">
        <f>ROW(CantoralDB[[#This Row],[Título]])-1</f>
        <v>2273</v>
      </c>
      <c r="B2274" s="1" t="s">
        <v>871</v>
      </c>
      <c r="C2274" s="1" t="s">
        <v>1018</v>
      </c>
      <c r="D2274" s="1" t="s">
        <v>1069</v>
      </c>
      <c r="H2274" s="1" t="s">
        <v>1040</v>
      </c>
      <c r="I2274" s="1" t="s">
        <v>2948</v>
      </c>
      <c r="J2274" s="1" t="s">
        <v>605</v>
      </c>
      <c r="M2274" s="15" t="s">
        <v>1936</v>
      </c>
      <c r="N2274" s="1" t="s">
        <v>411</v>
      </c>
      <c r="O2274" s="15">
        <v>1</v>
      </c>
      <c r="P2274" s="15">
        <v>2010</v>
      </c>
      <c r="Q2274" s="15" t="str" cm="1">
        <f t="array" ref="Q22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4" s="15" t="str" cm="1">
        <f t="array" ref="R22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canciones/taize/ad_te_jesu_christe.html</v>
      </c>
      <c r="T2274" s="1" t="s">
        <v>944</v>
      </c>
      <c r="U2274" s="1" t="s">
        <v>277</v>
      </c>
      <c r="V2274" s="15" t="s">
        <v>4127</v>
      </c>
      <c r="W22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data-nnew="Q03"&gt;&lt;a href="canciones/taize/ad_te_jesu_christe.html"&gt;Levanto mi alma&lt;/a&gt;&lt;/li&gt;</v>
      </c>
      <c r="X2274" s="15" t="str">
        <f>_xlfn.TEXTBEFORE(_xlfn.TEXTAFTER(CantoralDB[[#This Row],[index.html]],"&gt;"),"&gt;")&amp;"&gt;"</f>
        <v>&lt;a href="canciones/taize/ad_te_jesu_christe.html"&gt;</v>
      </c>
      <c r="Y2274"/>
      <c r="AC2274" s="1"/>
    </row>
    <row r="2275" spans="1:29" x14ac:dyDescent="0.3">
      <c r="A2275" s="1">
        <f>ROW(CantoralDB[[#This Row],[Título]])-1</f>
        <v>2274</v>
      </c>
      <c r="B2275" s="1" t="s">
        <v>909</v>
      </c>
      <c r="C2275" s="1" t="s">
        <v>1018</v>
      </c>
      <c r="D2275" s="1" t="s">
        <v>1118</v>
      </c>
      <c r="H2275" s="1" t="s">
        <v>1024</v>
      </c>
      <c r="I2275" s="1" t="s">
        <v>2948</v>
      </c>
      <c r="J2275" s="1" t="s">
        <v>605</v>
      </c>
      <c r="M2275" s="15" t="s">
        <v>1936</v>
      </c>
      <c r="N2275" s="1" t="s">
        <v>411</v>
      </c>
      <c r="O2275" s="15">
        <v>2</v>
      </c>
      <c r="P2275" s="15">
        <v>2010</v>
      </c>
      <c r="Q2275" s="15" t="str" cm="1">
        <f t="array" ref="Q22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5" s="15" t="str" cm="1">
        <f t="array" ref="R22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canciones/taize/il_signore_ti_ristora.html</v>
      </c>
      <c r="T2275" s="1" t="s">
        <v>965</v>
      </c>
      <c r="U2275" s="1" t="s">
        <v>368</v>
      </c>
      <c r="V2275" s="15" t="s">
        <v>4128</v>
      </c>
      <c r="W22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data-nnew="Q44"&gt;&lt;a href="canciones/taize/il_signore_ti_ristora.html"&gt;El Señor es quien restaura&lt;/a&gt;&lt;/li&gt;</v>
      </c>
      <c r="X2275" s="15" t="str">
        <f>_xlfn.TEXTBEFORE(_xlfn.TEXTAFTER(CantoralDB[[#This Row],[index.html]],"&gt;"),"&gt;")&amp;"&gt;"</f>
        <v>&lt;a href="canciones/taize/il_signore_ti_ristora.html"&gt;</v>
      </c>
      <c r="Y2275"/>
      <c r="AC2275" s="1"/>
    </row>
    <row r="2276" spans="1:29" x14ac:dyDescent="0.3">
      <c r="A2276" s="1">
        <f>ROW(CantoralDB[[#This Row],[Título]])-1</f>
        <v>2275</v>
      </c>
      <c r="B2276" s="1" t="s">
        <v>874</v>
      </c>
      <c r="C2276" s="1" t="s">
        <v>1018</v>
      </c>
      <c r="D2276" s="1" t="s">
        <v>1077</v>
      </c>
      <c r="H2276" s="1" t="s">
        <v>472</v>
      </c>
      <c r="I2276" s="1" t="s">
        <v>2947</v>
      </c>
      <c r="J2276" s="1" t="s">
        <v>605</v>
      </c>
      <c r="M2276" s="15" t="s">
        <v>1936</v>
      </c>
      <c r="N2276" s="1" t="s">
        <v>411</v>
      </c>
      <c r="O2276" s="15">
        <v>3</v>
      </c>
      <c r="P2276" s="15">
        <v>2010</v>
      </c>
      <c r="Q2276" s="15" t="str" cm="1">
        <f t="array" ref="Q22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6" s="15" t="str" cm="1">
        <f t="array" ref="R22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canciones/taize/alleluia_22.html</v>
      </c>
      <c r="T2276" s="1"/>
      <c r="U2276" s="1" t="s">
        <v>302</v>
      </c>
      <c r="V2276" s="15" t="s">
        <v>4129</v>
      </c>
      <c r="W22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data-nnew="Q07"&gt;&lt;a href="canciones/taize/alleluia_22.html"&gt;Aleluya 22&lt;/a&gt;&lt;/li&gt;</v>
      </c>
      <c r="X2276" s="15" t="str">
        <f>_xlfn.TEXTBEFORE(_xlfn.TEXTAFTER(CantoralDB[[#This Row],[index.html]],"&gt;"),"&gt;")&amp;"&gt;"</f>
        <v>&lt;a href="canciones/taize/alleluia_22.html"&gt;</v>
      </c>
      <c r="Y2276"/>
      <c r="AC2276" s="1"/>
    </row>
    <row r="2277" spans="1:29" x14ac:dyDescent="0.3">
      <c r="A2277" s="1">
        <f>ROW(CantoralDB[[#This Row],[Título]])-1</f>
        <v>2276</v>
      </c>
      <c r="B2277" s="1" t="s">
        <v>908</v>
      </c>
      <c r="C2277" s="1" t="s">
        <v>1018</v>
      </c>
      <c r="D2277" s="1" t="s">
        <v>1125</v>
      </c>
      <c r="H2277" s="1" t="s">
        <v>1025</v>
      </c>
      <c r="I2277" s="1" t="s">
        <v>2948</v>
      </c>
      <c r="J2277" s="1" t="s">
        <v>605</v>
      </c>
      <c r="M2277" s="15" t="s">
        <v>1936</v>
      </c>
      <c r="N2277" s="1" t="s">
        <v>411</v>
      </c>
      <c r="O2277" s="15">
        <v>6</v>
      </c>
      <c r="P2277" s="15">
        <v>2010</v>
      </c>
      <c r="Q2277" s="15" t="str" cm="1">
        <f t="array" ref="Q22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7" s="15" t="str" cm="1">
        <f t="array" ref="R22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canciones/taize/iedere_nacht_verlang_ik.html</v>
      </c>
      <c r="T2277" s="1" t="s">
        <v>964</v>
      </c>
      <c r="U2277" s="1" t="s">
        <v>367</v>
      </c>
      <c r="V2277" s="15" t="s">
        <v>4132</v>
      </c>
      <c r="W22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data-nnew="Q43"&gt;&lt;a href="canciones/taize/iedere_nacht_verlang_ik.html"&gt;Mi corazón te anhela&lt;/a&gt;&lt;/li&gt;</v>
      </c>
      <c r="X2277" s="15" t="str">
        <f>_xlfn.TEXTBEFORE(_xlfn.TEXTAFTER(CantoralDB[[#This Row],[index.html]],"&gt;"),"&gt;")&amp;"&gt;"</f>
        <v>&lt;a href="canciones/taize/iedere_nacht_verlang_ik.html"&gt;</v>
      </c>
      <c r="Y2277"/>
      <c r="AC2277" s="1"/>
    </row>
    <row r="2278" spans="1:29" x14ac:dyDescent="0.3">
      <c r="A2278" s="1">
        <f>ROW(CantoralDB[[#This Row],[Título]])-1</f>
        <v>2277</v>
      </c>
      <c r="B2278" s="1" t="s">
        <v>869</v>
      </c>
      <c r="C2278" s="1" t="s">
        <v>1018</v>
      </c>
      <c r="D2278" s="1" t="s">
        <v>1068</v>
      </c>
      <c r="H2278" s="1" t="s">
        <v>529</v>
      </c>
      <c r="I2278" s="1" t="s">
        <v>2949</v>
      </c>
      <c r="J2278" s="1" t="s">
        <v>605</v>
      </c>
      <c r="M2278" s="15" t="s">
        <v>1936</v>
      </c>
      <c r="N2278" s="1" t="s">
        <v>411</v>
      </c>
      <c r="O2278" s="15">
        <v>11</v>
      </c>
      <c r="P2278" s="15">
        <v>2010</v>
      </c>
      <c r="Q2278" s="15" t="str" cm="1">
        <f t="array" ref="Q22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8" s="15" t="str" cm="1">
        <f t="array" ref="R22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canciones/taize/aber_du_weisst_den_weg_für_mich.html</v>
      </c>
      <c r="T2278" s="1" t="s">
        <v>943</v>
      </c>
      <c r="U2278" s="1" t="s">
        <v>276</v>
      </c>
      <c r="V2278" s="15" t="s">
        <v>4136</v>
      </c>
      <c r="W22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data-nnew="Q01"&gt;&lt;a href="canciones/taize/aber_du_weisst_den_weg_für_mich.html"&gt;Mas tú sabes que senda es para mí&lt;/a&gt;&lt;/li&gt;</v>
      </c>
      <c r="X2278" s="15" t="str">
        <f>_xlfn.TEXTBEFORE(_xlfn.TEXTAFTER(CantoralDB[[#This Row],[index.html]],"&gt;"),"&gt;")&amp;"&gt;"</f>
        <v>&lt;a href="canciones/taize/aber_du_weisst_den_weg_für_mich.html"&gt;</v>
      </c>
      <c r="Y2278"/>
      <c r="AC2278" s="1"/>
    </row>
    <row r="2279" spans="1:29" x14ac:dyDescent="0.3">
      <c r="A2279" s="1">
        <f>ROW(CantoralDB[[#This Row],[Título]])-1</f>
        <v>2278</v>
      </c>
      <c r="B2279" s="1" t="s">
        <v>902</v>
      </c>
      <c r="C2279" s="1" t="s">
        <v>1018</v>
      </c>
      <c r="D2279" s="1" t="s">
        <v>1095</v>
      </c>
      <c r="H2279" s="1" t="s">
        <v>1025</v>
      </c>
      <c r="I2279" s="1" t="s">
        <v>2948</v>
      </c>
      <c r="J2279" s="1" t="s">
        <v>605</v>
      </c>
      <c r="M2279" s="15" t="s">
        <v>1936</v>
      </c>
      <c r="N2279" s="1" t="s">
        <v>411</v>
      </c>
      <c r="O2279" s="15">
        <v>14</v>
      </c>
      <c r="P2279" s="15">
        <v>2010</v>
      </c>
      <c r="Q2279" s="15" t="str" cm="1">
        <f t="array" ref="Q22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79" s="15" t="str" cm="1">
        <f t="array" ref="R22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canciones/taize/eat_this_bread.html</v>
      </c>
      <c r="T2279" s="1" t="s">
        <v>866</v>
      </c>
      <c r="U2279" s="1" t="s">
        <v>344</v>
      </c>
      <c r="V2279" s="15" t="s">
        <v>4139</v>
      </c>
      <c r="W22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data-nnew="Q36"&gt;&lt;a href="canciones/taize/eat_this_bread.html"&gt;Come este pan&lt;/a&gt;&lt;/li&gt;</v>
      </c>
      <c r="X2279" s="15" t="str">
        <f>_xlfn.TEXTBEFORE(_xlfn.TEXTAFTER(CantoralDB[[#This Row],[index.html]],"&gt;"),"&gt;")&amp;"&gt;"</f>
        <v>&lt;a href="canciones/taize/eat_this_bread.html"&gt;</v>
      </c>
      <c r="Y2279"/>
      <c r="AC2279" s="1"/>
    </row>
    <row r="2280" spans="1:29" x14ac:dyDescent="0.3">
      <c r="A2280" s="1">
        <f>ROW(CantoralDB[[#This Row],[Título]])-1</f>
        <v>2279</v>
      </c>
      <c r="B2280" s="1" t="s">
        <v>904</v>
      </c>
      <c r="C2280" s="1" t="s">
        <v>1018</v>
      </c>
      <c r="D2280" s="1" t="s">
        <v>1121</v>
      </c>
      <c r="H2280" s="1" t="s">
        <v>1027</v>
      </c>
      <c r="J2280" s="1" t="s">
        <v>605</v>
      </c>
      <c r="M2280" s="15" t="s">
        <v>1936</v>
      </c>
      <c r="N2280" s="1" t="s">
        <v>411</v>
      </c>
      <c r="O2280" s="15">
        <v>17</v>
      </c>
      <c r="P2280" s="15">
        <v>2010</v>
      </c>
      <c r="Q2280" s="15" t="str" cm="1">
        <f t="array" ref="Q22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0" s="15" t="str" cm="1">
        <f t="array" ref="R22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canciones/taize/esprit_consolateur.html</v>
      </c>
      <c r="T2280" s="1"/>
      <c r="U2280" s="1" t="s">
        <v>348</v>
      </c>
      <c r="V2280" s="15" t="s">
        <v>4142</v>
      </c>
      <c r="W22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data-nnew="Q39"&gt;&lt;a href="canciones/taize/esprit_consolateur.html"&gt;Oh, Dios consolador&lt;/a&gt;&lt;/li&gt;</v>
      </c>
      <c r="X2280" s="15" t="str">
        <f>_xlfn.TEXTBEFORE(_xlfn.TEXTAFTER(CantoralDB[[#This Row],[index.html]],"&gt;"),"&gt;")&amp;"&gt;"</f>
        <v>&lt;a href="canciones/taize/esprit_consolateur.html"&gt;</v>
      </c>
      <c r="Y2280"/>
      <c r="AC2280" s="1"/>
    </row>
    <row r="2281" spans="1:29" x14ac:dyDescent="0.3">
      <c r="A2281" s="1">
        <f>ROW(CantoralDB[[#This Row],[Título]])-1</f>
        <v>2280</v>
      </c>
      <c r="B2281" s="1" t="s">
        <v>925</v>
      </c>
      <c r="C2281" s="1" t="s">
        <v>1018</v>
      </c>
      <c r="D2281" s="1" t="s">
        <v>1138</v>
      </c>
      <c r="H2281" s="1" t="s">
        <v>529</v>
      </c>
      <c r="I2281" s="1" t="s">
        <v>2948</v>
      </c>
      <c r="J2281" s="1" t="s">
        <v>605</v>
      </c>
      <c r="M2281" s="15" t="s">
        <v>1936</v>
      </c>
      <c r="N2281" s="1" t="s">
        <v>4040</v>
      </c>
      <c r="O2281" s="15">
        <v>19</v>
      </c>
      <c r="P2281" s="15">
        <v>2014</v>
      </c>
      <c r="Q2281" s="15" t="str" cm="1">
        <f t="array" ref="Q22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1" s="15" t="str" cm="1">
        <f t="array" ref="R22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canciones/taize/let_all_who_are_thirsty_come.html</v>
      </c>
      <c r="T2281" s="1" t="s">
        <v>972</v>
      </c>
      <c r="U2281" s="1" t="s">
        <v>407</v>
      </c>
      <c r="V2281" s="15" t="s">
        <v>4145</v>
      </c>
      <c r="W22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data-nnew="Q60"&gt;&lt;a href="canciones/taize/let_all_who_are_thirsty_come.html"&gt;Que venga a ti&lt;/a&gt;&lt;/li&gt;</v>
      </c>
      <c r="X2281" s="15" t="str">
        <f>_xlfn.TEXTBEFORE(_xlfn.TEXTAFTER(CantoralDB[[#This Row],[index.html]],"&gt;"),"&gt;")&amp;"&gt;"</f>
        <v>&lt;a href="canciones/taize/let_all_who_are_thirsty_come.html"&gt;</v>
      </c>
      <c r="Y2281"/>
      <c r="AC2281" s="1"/>
    </row>
    <row r="2282" spans="1:29" x14ac:dyDescent="0.3">
      <c r="A2282" s="1">
        <f>ROW(CantoralDB[[#This Row],[Título]])-1</f>
        <v>2281</v>
      </c>
      <c r="B2282" s="1" t="s">
        <v>873</v>
      </c>
      <c r="C2282" s="1" t="s">
        <v>1018</v>
      </c>
      <c r="D2282" s="1" t="s">
        <v>1076</v>
      </c>
      <c r="H2282" s="1" t="s">
        <v>1027</v>
      </c>
      <c r="I2282" s="1" t="s">
        <v>2948</v>
      </c>
      <c r="J2282" s="1" t="s">
        <v>605</v>
      </c>
      <c r="M2282" s="15" t="s">
        <v>1936</v>
      </c>
      <c r="N2282" s="1" t="s">
        <v>4036</v>
      </c>
      <c r="O2282" s="15">
        <v>2</v>
      </c>
      <c r="P2282" s="15">
        <v>2012</v>
      </c>
      <c r="Q2282" s="15" t="str" cm="1">
        <f t="array" ref="Q22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2" s="15" t="str" cm="1">
        <f t="array" ref="R22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canciones/taize/alleluia_17.html</v>
      </c>
      <c r="T2282" s="1"/>
      <c r="U2282" s="1" t="s">
        <v>298</v>
      </c>
      <c r="V2282" s="15" t="s">
        <v>4146</v>
      </c>
      <c r="W22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data-nnew="Q06"&gt;&lt;a href="canciones/taize/alleluia_17.html"&gt;Aleluya 17&lt;/a&gt;&lt;/li&gt;</v>
      </c>
      <c r="X2282" s="15" t="str">
        <f>_xlfn.TEXTBEFORE(_xlfn.TEXTAFTER(CantoralDB[[#This Row],[index.html]],"&gt;"),"&gt;")&amp;"&gt;"</f>
        <v>&lt;a href="canciones/taize/alleluia_17.html"&gt;</v>
      </c>
      <c r="Y2282"/>
      <c r="AC2282" s="1"/>
    </row>
    <row r="2283" spans="1:29" x14ac:dyDescent="0.3">
      <c r="A2283" s="1">
        <f>ROW(CantoralDB[[#This Row],[Título]])-1</f>
        <v>2282</v>
      </c>
      <c r="B2283" s="1" t="s">
        <v>913</v>
      </c>
      <c r="C2283" s="1" t="s">
        <v>1018</v>
      </c>
      <c r="D2283" s="1" t="s">
        <v>1128</v>
      </c>
      <c r="H2283" s="1" t="s">
        <v>1027</v>
      </c>
      <c r="J2283" s="1" t="s">
        <v>605</v>
      </c>
      <c r="M2283" s="15" t="s">
        <v>1936</v>
      </c>
      <c r="N2283" s="1" t="s">
        <v>4036</v>
      </c>
      <c r="O2283" s="15">
        <v>14</v>
      </c>
      <c r="P2283" s="15">
        <v>2012</v>
      </c>
      <c r="Q2283" s="15" t="str" cm="1">
        <f t="array" ref="Q22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3" s="15" t="str" cm="1">
        <f t="array" ref="R22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canciones/taize/jesus_ma_joie.html</v>
      </c>
      <c r="T2283" s="1"/>
      <c r="U2283" s="1" t="s">
        <v>377</v>
      </c>
      <c r="V2283" s="15" t="s">
        <v>4149</v>
      </c>
      <c r="W22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data-nnew="Q48"&gt;&lt;a href="canciones/taize/jesus_ma_joie.html"&gt;Jesús, mi vida&lt;/a&gt;&lt;/li&gt;</v>
      </c>
      <c r="X2283" s="15" t="str">
        <f>_xlfn.TEXTBEFORE(_xlfn.TEXTAFTER(CantoralDB[[#This Row],[index.html]],"&gt;"),"&gt;")&amp;"&gt;"</f>
        <v>&lt;a href="canciones/taize/jesus_ma_joie.html"&gt;</v>
      </c>
      <c r="Y2283"/>
      <c r="AC2283" s="1"/>
    </row>
    <row r="2284" spans="1:29" x14ac:dyDescent="0.3">
      <c r="A2284" s="1">
        <f>ROW(CantoralDB[[#This Row],[Título]])-1</f>
        <v>2283</v>
      </c>
      <c r="B2284" s="1" t="s">
        <v>920</v>
      </c>
      <c r="C2284" s="1" t="s">
        <v>1018</v>
      </c>
      <c r="D2284" s="1" t="s">
        <v>1132</v>
      </c>
      <c r="H2284" s="1" t="s">
        <v>1027</v>
      </c>
      <c r="I2284" s="1" t="s">
        <v>2945</v>
      </c>
      <c r="J2284" s="1" t="s">
        <v>605</v>
      </c>
      <c r="M2284" s="15" t="s">
        <v>1936</v>
      </c>
      <c r="N2284" s="1" t="s">
        <v>4036</v>
      </c>
      <c r="O2284" s="15">
        <v>16</v>
      </c>
      <c r="P2284" s="15">
        <v>2012</v>
      </c>
      <c r="Q2284" s="15" t="str" cm="1">
        <f t="array" ref="Q22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4" s="15" t="str" cm="1">
        <f t="array" ref="R22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canciones/taize/kyrie_6.html</v>
      </c>
      <c r="T2284" s="1"/>
      <c r="U2284" s="1" t="s">
        <v>387</v>
      </c>
      <c r="V2284" s="15" t="s">
        <v>4150</v>
      </c>
      <c r="W22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data-nnew="Q54"&gt;&lt;a href="canciones/taize/kyrie_6.html"&gt;Ten piedad, Señor 6&lt;/a&gt;&lt;/li&gt;</v>
      </c>
      <c r="X2284" s="15" t="str">
        <f>_xlfn.TEXTBEFORE(_xlfn.TEXTAFTER(CantoralDB[[#This Row],[index.html]],"&gt;"),"&gt;")&amp;"&gt;"</f>
        <v>&lt;a href="canciones/taize/kyrie_6.html"&gt;</v>
      </c>
      <c r="Y2284"/>
      <c r="AC2284" s="1"/>
    </row>
    <row r="2285" spans="1:29" x14ac:dyDescent="0.3">
      <c r="A2285" s="1">
        <f>ROW(CantoralDB[[#This Row],[Título]])-1</f>
        <v>2284</v>
      </c>
      <c r="B2285" s="1" t="s">
        <v>900</v>
      </c>
      <c r="C2285" s="1" t="s">
        <v>1018</v>
      </c>
      <c r="D2285" s="1" t="s">
        <v>1105</v>
      </c>
      <c r="H2285" s="1" t="s">
        <v>1027</v>
      </c>
      <c r="I2285" s="1" t="s">
        <v>2946</v>
      </c>
      <c r="J2285" s="1" t="s">
        <v>605</v>
      </c>
      <c r="M2285" s="15" t="s">
        <v>1936</v>
      </c>
      <c r="N2285" s="1" t="s">
        <v>4000</v>
      </c>
      <c r="O2285" s="15">
        <v>5</v>
      </c>
      <c r="P2285" s="15">
        <v>1985</v>
      </c>
      <c r="Q2285" s="15" t="str" cm="1">
        <f t="array" ref="Q22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5" s="15" t="str" cm="1">
        <f t="array" ref="R22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canciones/taize/dona_la_pace.html</v>
      </c>
      <c r="T2285" s="1"/>
      <c r="U2285" s="1" t="s">
        <v>342</v>
      </c>
      <c r="V2285" s="15" t="s">
        <v>4157</v>
      </c>
      <c r="W22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data-nnew="Q34"&gt;&lt;a href="canciones/taize/dona_la_pace.html"&gt;Danos la paz, oh, Señor&lt;/a&gt;&lt;/li&gt;</v>
      </c>
      <c r="X2285" s="15" t="str">
        <f>_xlfn.TEXTBEFORE(_xlfn.TEXTAFTER(CantoralDB[[#This Row],[index.html]],"&gt;"),"&gt;")&amp;"&gt;"</f>
        <v>&lt;a href="canciones/taize/dona_la_pace.html"&gt;</v>
      </c>
      <c r="Y2285"/>
      <c r="AC2285" s="1"/>
    </row>
    <row r="2286" spans="1:29" x14ac:dyDescent="0.3">
      <c r="A2286" s="1">
        <f>ROW(CantoralDB[[#This Row],[Título]])-1</f>
        <v>2285</v>
      </c>
      <c r="B2286" s="1" t="s">
        <v>883</v>
      </c>
      <c r="C2286" s="1" t="s">
        <v>1018</v>
      </c>
      <c r="D2286" s="1" t="s">
        <v>1086</v>
      </c>
      <c r="H2286" s="1" t="s">
        <v>529</v>
      </c>
      <c r="I2286" s="1" t="s">
        <v>2946</v>
      </c>
      <c r="J2286" s="1" t="s">
        <v>605</v>
      </c>
      <c r="M2286" s="15" t="s">
        <v>1936</v>
      </c>
      <c r="N2286" s="1" t="s">
        <v>4000</v>
      </c>
      <c r="O2286" s="15">
        <v>7</v>
      </c>
      <c r="P2286" s="15">
        <v>1985</v>
      </c>
      <c r="Q2286" s="15" t="str" cm="1">
        <f t="array" ref="Q22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6" s="15" t="str" cm="1">
        <f t="array" ref="R22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canciones/taize/bleibet_hier.html</v>
      </c>
      <c r="T2286" s="1" t="s">
        <v>949</v>
      </c>
      <c r="U2286" s="1" t="s">
        <v>317</v>
      </c>
      <c r="V2286" s="15" t="s">
        <v>4159</v>
      </c>
      <c r="W22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data-nnew="Q14"&gt;&lt;a href="canciones/taize/bleibet_hier.html"&gt;Permaneced conmigo&lt;/a&gt;&lt;/li&gt;</v>
      </c>
      <c r="X2286" s="15" t="str">
        <f>_xlfn.TEXTBEFORE(_xlfn.TEXTAFTER(CantoralDB[[#This Row],[index.html]],"&gt;"),"&gt;")&amp;"&gt;"</f>
        <v>&lt;a href="canciones/taize/bleibet_hier.html"&gt;</v>
      </c>
      <c r="Y2286"/>
      <c r="AC2286" s="1"/>
    </row>
    <row r="2287" spans="1:29" x14ac:dyDescent="0.3">
      <c r="A2287" s="1">
        <f>ROW(CantoralDB[[#This Row],[Título]])-1</f>
        <v>2286</v>
      </c>
      <c r="B2287" s="1" t="s">
        <v>934</v>
      </c>
      <c r="C2287" s="1" t="s">
        <v>1018</v>
      </c>
      <c r="D2287" s="1" t="s">
        <v>1098</v>
      </c>
      <c r="H2287" s="1" t="s">
        <v>529</v>
      </c>
      <c r="I2287" s="1" t="s">
        <v>2948</v>
      </c>
      <c r="J2287" s="1" t="s">
        <v>605</v>
      </c>
      <c r="M2287" s="15" t="s">
        <v>1936</v>
      </c>
      <c r="N2287" s="1" t="s">
        <v>4000</v>
      </c>
      <c r="O2287" s="15">
        <v>8</v>
      </c>
      <c r="P2287" s="15">
        <v>1985</v>
      </c>
      <c r="Q2287" s="15" t="str" cm="1">
        <f t="array" ref="Q22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7" s="15" t="str" cm="1">
        <f t="array" ref="R22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canciones/taize/surrexit_christus.html</v>
      </c>
      <c r="T2287" s="1"/>
      <c r="U2287" s="1" t="s">
        <v>443</v>
      </c>
      <c r="V2287" s="15" t="s">
        <v>4160</v>
      </c>
      <c r="W22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data-nnew="Q72"&gt;&lt;a href="canciones/taize/surrexit_christus.html"&gt;Cristo está vivo&lt;/a&gt;&lt;/li&gt;</v>
      </c>
      <c r="X2287" s="15" t="str">
        <f>_xlfn.TEXTBEFORE(_xlfn.TEXTAFTER(CantoralDB[[#This Row],[index.html]],"&gt;"),"&gt;")&amp;"&gt;"</f>
        <v>&lt;a href="canciones/taize/surrexit_christus.html"&gt;</v>
      </c>
      <c r="Y2287"/>
      <c r="AC2287" s="1"/>
    </row>
    <row r="2288" spans="1:29" x14ac:dyDescent="0.3">
      <c r="A2288" s="1">
        <f>ROW(CantoralDB[[#This Row],[Título]])-1</f>
        <v>2287</v>
      </c>
      <c r="B2288" s="1" t="s">
        <v>2851</v>
      </c>
      <c r="C2288" s="1" t="s">
        <v>1018</v>
      </c>
      <c r="E2288" s="1">
        <v>187</v>
      </c>
      <c r="H2288" s="1" t="s">
        <v>1024</v>
      </c>
      <c r="J2288" s="1" t="s">
        <v>605</v>
      </c>
      <c r="M2288" s="15" t="s">
        <v>1936</v>
      </c>
      <c r="N2288" s="1" t="s">
        <v>4000</v>
      </c>
      <c r="O2288" s="15">
        <v>10</v>
      </c>
      <c r="P2288" s="15">
        <v>1985</v>
      </c>
      <c r="Q2288" s="15" t="str" cm="1">
        <f t="array" ref="Q22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8" s="15" t="str" cm="1">
        <f t="array" ref="R22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canciones/taize/o_christe_domine_jesu.html</v>
      </c>
      <c r="T2288" s="1"/>
      <c r="U2288" s="1" t="s">
        <v>420</v>
      </c>
      <c r="V2288" s="15" t="s">
        <v>4162</v>
      </c>
      <c r="W22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data-nold="187"&gt;&lt;a href="canciones/taize/o_christe_domine_jesu.html"&gt;Tú, Cristo, oh, Jesucristo&lt;/a&gt;&lt;/li&gt;</v>
      </c>
      <c r="X2288" s="15" t="str">
        <f>_xlfn.TEXTBEFORE(_xlfn.TEXTAFTER(CantoralDB[[#This Row],[index.html]],"&gt;"),"&gt;")&amp;"&gt;"</f>
        <v>&lt;a href="canciones/taize/o_christe_domine_jesu.html"&gt;</v>
      </c>
      <c r="Y2288"/>
      <c r="AC2288" s="1"/>
    </row>
    <row r="2289" spans="1:29" x14ac:dyDescent="0.3">
      <c r="A2289" s="1">
        <f>ROW(CantoralDB[[#This Row],[Título]])-1</f>
        <v>2288</v>
      </c>
      <c r="B2289" s="1" t="s">
        <v>875</v>
      </c>
      <c r="C2289" s="1" t="s">
        <v>1018</v>
      </c>
      <c r="D2289" s="1" t="s">
        <v>1078</v>
      </c>
      <c r="H2289" s="1" t="s">
        <v>1025</v>
      </c>
      <c r="J2289" s="1" t="s">
        <v>605</v>
      </c>
      <c r="M2289" s="15" t="s">
        <v>1936</v>
      </c>
      <c r="N2289" s="1" t="s">
        <v>4000</v>
      </c>
      <c r="O2289" s="15">
        <v>12</v>
      </c>
      <c r="P2289" s="15">
        <v>1985</v>
      </c>
      <c r="Q2289" s="15" t="str" cm="1">
        <f t="array" ref="Q22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89" s="15" t="str" cm="1">
        <f t="array" ref="R22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canciones/taize/alleluia_7.html</v>
      </c>
      <c r="T2289" s="1"/>
      <c r="U2289" s="1" t="s">
        <v>293</v>
      </c>
      <c r="V2289" s="15" t="s">
        <v>4164</v>
      </c>
      <c r="W22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data-nnew="Q04"&gt;&lt;a href="canciones/taize/alleluia_7.html"&gt;Aleluya 7&lt;/a&gt;&lt;/li&gt;</v>
      </c>
      <c r="X2289" s="15" t="str">
        <f>_xlfn.TEXTBEFORE(_xlfn.TEXTAFTER(CantoralDB[[#This Row],[index.html]],"&gt;"),"&gt;")&amp;"&gt;"</f>
        <v>&lt;a href="canciones/taize/alleluia_7.html"&gt;</v>
      </c>
      <c r="Y2289"/>
      <c r="AC2289" s="1"/>
    </row>
    <row r="2290" spans="1:29" x14ac:dyDescent="0.3">
      <c r="A2290" s="1">
        <f>ROW(CantoralDB[[#This Row],[Título]])-1</f>
        <v>2289</v>
      </c>
      <c r="B2290" s="1" t="s">
        <v>901</v>
      </c>
      <c r="C2290" s="1" t="s">
        <v>1018</v>
      </c>
      <c r="D2290" s="1" t="s">
        <v>1104</v>
      </c>
      <c r="H2290" s="1" t="s">
        <v>1027</v>
      </c>
      <c r="I2290" s="1" t="s">
        <v>2946</v>
      </c>
      <c r="J2290" s="1" t="s">
        <v>605</v>
      </c>
      <c r="M2290" s="15" t="s">
        <v>1936</v>
      </c>
      <c r="N2290" s="1" t="s">
        <v>4000</v>
      </c>
      <c r="O2290" s="15">
        <v>13</v>
      </c>
      <c r="P2290" s="15">
        <v>1985</v>
      </c>
      <c r="Q2290" s="15" t="str" cm="1">
        <f t="array" ref="Q22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0" s="15" t="str" cm="1">
        <f t="array" ref="R22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canciones/taize/dona_nobis_pacem.html</v>
      </c>
      <c r="T2290" s="1"/>
      <c r="U2290" s="1" t="s">
        <v>343</v>
      </c>
      <c r="V2290" s="15" t="s">
        <v>4165</v>
      </c>
      <c r="W22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data-nnew="Q35"&gt;&lt;a href="canciones/taize/dona_nobis_pacem.html"&gt;Danos la paz del corazón&lt;/a&gt;&lt;/li&gt;</v>
      </c>
      <c r="X2290" s="15" t="str">
        <f>_xlfn.TEXTBEFORE(_xlfn.TEXTAFTER(CantoralDB[[#This Row],[index.html]],"&gt;"),"&gt;")&amp;"&gt;"</f>
        <v>&lt;a href="canciones/taize/dona_nobis_pacem.html"&gt;</v>
      </c>
      <c r="Y2290"/>
      <c r="AC2290" s="1"/>
    </row>
    <row r="2291" spans="1:29" x14ac:dyDescent="0.3">
      <c r="A2291" s="1">
        <f>ROW(CantoralDB[[#This Row],[Título]])-1</f>
        <v>2290</v>
      </c>
      <c r="B2291" s="1" t="s">
        <v>2118</v>
      </c>
      <c r="C2291" s="1" t="s">
        <v>1018</v>
      </c>
      <c r="D2291" s="1" t="s">
        <v>1122</v>
      </c>
      <c r="H2291" s="1" t="s">
        <v>1027</v>
      </c>
      <c r="I2291" s="1" t="s">
        <v>2947</v>
      </c>
      <c r="J2291" s="1" t="s">
        <v>605</v>
      </c>
      <c r="M2291" s="15" t="s">
        <v>1936</v>
      </c>
      <c r="N2291" s="1" t="s">
        <v>4000</v>
      </c>
      <c r="O2291" s="15">
        <v>14</v>
      </c>
      <c r="P2291" s="15">
        <v>1985</v>
      </c>
      <c r="Q2291" s="15" t="str" cm="1">
        <f t="array" ref="Q22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1" s="15" t="str" cm="1">
        <f t="array" ref="R22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canciones/taize/psallite_deo.html</v>
      </c>
      <c r="T2291" s="1" t="s">
        <v>977</v>
      </c>
      <c r="U2291" s="1" t="s">
        <v>427</v>
      </c>
      <c r="V2291" s="15" t="s">
        <v>4166</v>
      </c>
      <c r="W22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data-nnew="Q67"&gt;&lt;a href="canciones/taize/psallite_deo.html"&gt;Este es el día del Señor (Taizé)&lt;/a&gt;&lt;/li&gt;</v>
      </c>
      <c r="X2291" s="15" t="str">
        <f>_xlfn.TEXTBEFORE(_xlfn.TEXTAFTER(CantoralDB[[#This Row],[index.html]],"&gt;"),"&gt;")&amp;"&gt;"</f>
        <v>&lt;a href="canciones/taize/psallite_deo.html"&gt;</v>
      </c>
      <c r="Y2291"/>
      <c r="AC2291" s="1"/>
    </row>
    <row r="2292" spans="1:29" x14ac:dyDescent="0.3">
      <c r="A2292" s="1">
        <f>ROW(CantoralDB[[#This Row],[Título]])-1</f>
        <v>2291</v>
      </c>
      <c r="B2292" s="1" t="s">
        <v>898</v>
      </c>
      <c r="C2292" s="1" t="s">
        <v>1018</v>
      </c>
      <c r="D2292" s="1" t="s">
        <v>1112</v>
      </c>
      <c r="H2292" s="1" t="s">
        <v>529</v>
      </c>
      <c r="I2292" s="1" t="s">
        <v>2948</v>
      </c>
      <c r="J2292" s="1" t="s">
        <v>605</v>
      </c>
      <c r="M2292" s="15" t="s">
        <v>1936</v>
      </c>
      <c r="N2292" s="1" t="s">
        <v>4019</v>
      </c>
      <c r="O2292" s="15">
        <v>7</v>
      </c>
      <c r="P2292" s="15">
        <v>1995</v>
      </c>
      <c r="Q2292" s="15" t="str" cm="1">
        <f t="array" ref="Q22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2" s="15" t="str" cm="1">
        <f t="array" ref="R22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canciones/taize/dieu_ne_peut_que_donner.html</v>
      </c>
      <c r="T2292" s="1"/>
      <c r="U2292" s="1" t="s">
        <v>339</v>
      </c>
      <c r="V2292" s="15" t="s">
        <v>4168</v>
      </c>
      <c r="W22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data-nnew="Q32"&gt;&lt;a href="canciones/taize/dieu_ne_peut_que_donner.html"&gt;Dios, que nos ama&lt;/a&gt;&lt;/li&gt;</v>
      </c>
      <c r="X2292" s="15" t="str">
        <f>_xlfn.TEXTBEFORE(_xlfn.TEXTAFTER(CantoralDB[[#This Row],[index.html]],"&gt;"),"&gt;")&amp;"&gt;"</f>
        <v>&lt;a href="canciones/taize/dieu_ne_peut_que_donner.html"&gt;</v>
      </c>
      <c r="Y2292"/>
      <c r="AC2292" s="1"/>
    </row>
    <row r="2293" spans="1:29" x14ac:dyDescent="0.3">
      <c r="A2293" s="1">
        <f>ROW(CantoralDB[[#This Row],[Título]])-1</f>
        <v>2292</v>
      </c>
      <c r="B2293" s="1" t="s">
        <v>894</v>
      </c>
      <c r="C2293" s="1" t="s">
        <v>1018</v>
      </c>
      <c r="D2293" s="1" t="s">
        <v>1102</v>
      </c>
      <c r="H2293" s="1" t="s">
        <v>529</v>
      </c>
      <c r="I2293" s="1" t="s">
        <v>2947</v>
      </c>
      <c r="J2293" s="1" t="s">
        <v>605</v>
      </c>
      <c r="M2293" s="15" t="s">
        <v>1936</v>
      </c>
      <c r="N2293" s="1" t="s">
        <v>455</v>
      </c>
      <c r="O2293" s="15">
        <v>7</v>
      </c>
      <c r="P2293" s="15">
        <v>1996</v>
      </c>
      <c r="Q2293" s="15" t="str" cm="1">
        <f t="array" ref="Q22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3" s="15" t="str" cm="1">
        <f t="array" ref="R22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canciones/taize/da_pacem_cordium_(canon).html</v>
      </c>
      <c r="T2293" s="1"/>
      <c r="U2293" s="1" t="s">
        <v>333</v>
      </c>
      <c r="V2293" s="15" t="s">
        <v>4173</v>
      </c>
      <c r="W22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data-nnew="Q26"&gt;&lt;a href="canciones/taize/da_pacem_cordium_(canon).html"&gt;Danos, Señor, la paz (canon)&lt;/a&gt;&lt;/li&gt;</v>
      </c>
      <c r="X2293" s="15" t="str">
        <f>_xlfn.TEXTBEFORE(_xlfn.TEXTAFTER(CantoralDB[[#This Row],[index.html]],"&gt;"),"&gt;")&amp;"&gt;"</f>
        <v>&lt;a href="canciones/taize/da_pacem_cordium_(canon).html"&gt;</v>
      </c>
      <c r="Y2293"/>
      <c r="AC2293" s="1"/>
    </row>
    <row r="2294" spans="1:29" x14ac:dyDescent="0.3">
      <c r="A2294" s="1">
        <f>ROW(CantoralDB[[#This Row],[Título]])-1</f>
        <v>2293</v>
      </c>
      <c r="B2294" s="1" t="s">
        <v>917</v>
      </c>
      <c r="C2294" s="1" t="s">
        <v>1018</v>
      </c>
      <c r="D2294" s="1" t="s">
        <v>1071</v>
      </c>
      <c r="H2294" s="1" t="s">
        <v>1024</v>
      </c>
      <c r="I2294" s="1" t="s">
        <v>2947</v>
      </c>
      <c r="J2294" s="1" t="s">
        <v>605</v>
      </c>
      <c r="M2294" s="15" t="s">
        <v>1936</v>
      </c>
      <c r="N2294" s="1" t="s">
        <v>455</v>
      </c>
      <c r="O2294" s="15">
        <v>16</v>
      </c>
      <c r="P2294" s="15">
        <v>1996</v>
      </c>
      <c r="Q2294" s="15" t="str" cm="1">
        <f t="array" ref="Q22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4" s="15" t="str" cm="1">
        <f t="array" ref="R22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canciones/taize/jubilate_deo_omnis_terra.html</v>
      </c>
      <c r="T2294" s="1" t="s">
        <v>969</v>
      </c>
      <c r="U2294" s="1" t="s">
        <v>4050</v>
      </c>
      <c r="V2294" s="15" t="s">
        <v>4178</v>
      </c>
      <c r="W22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data-nnew="Q51"&gt;&lt;a href="canciones/taize/jubilate_deo_omnis_terra.html"&gt;Al Señor alabe&lt;/a&gt;&lt;/li&gt;</v>
      </c>
      <c r="X2294" s="15" t="str">
        <f>_xlfn.TEXTBEFORE(_xlfn.TEXTAFTER(CantoralDB[[#This Row],[index.html]],"&gt;"),"&gt;")&amp;"&gt;"</f>
        <v>&lt;a href="canciones/taize/jubilate_deo_omnis_terra.html"&gt;</v>
      </c>
      <c r="Y2294"/>
      <c r="AC2294" s="1"/>
    </row>
    <row r="2295" spans="1:29" x14ac:dyDescent="0.3">
      <c r="A2295" s="1">
        <f>ROW(CantoralDB[[#This Row],[Título]])-1</f>
        <v>2294</v>
      </c>
      <c r="B2295" s="1" t="s">
        <v>938</v>
      </c>
      <c r="C2295" s="1" t="s">
        <v>1018</v>
      </c>
      <c r="D2295" s="1" t="s">
        <v>1148</v>
      </c>
      <c r="H2295" s="1" t="s">
        <v>1025</v>
      </c>
      <c r="I2295" s="1" t="s">
        <v>2948</v>
      </c>
      <c r="J2295" s="1" t="s">
        <v>605</v>
      </c>
      <c r="M2295" s="15" t="s">
        <v>1936</v>
      </c>
      <c r="N2295" s="1" t="s">
        <v>463</v>
      </c>
      <c r="O2295" s="15">
        <v>4</v>
      </c>
      <c r="P2295" s="15">
        <v>1994</v>
      </c>
      <c r="Q2295" s="15" t="str" cm="1">
        <f t="array" ref="Q22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5" s="15" t="str" cm="1">
        <f t="array" ref="R22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canciones/taize/tui_amoris.html</v>
      </c>
      <c r="T2295" s="1"/>
      <c r="U2295" s="1" t="s">
        <v>454</v>
      </c>
      <c r="V2295" s="15" t="s">
        <v>4185</v>
      </c>
      <c r="W22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data-nnew="Q77"&gt;&lt;a href="canciones/taize/tui_amoris.html"&gt;Ven, Espíritu de Dios&lt;/a&gt;&lt;/li&gt;</v>
      </c>
      <c r="X2295" s="15" t="str">
        <f>_xlfn.TEXTBEFORE(_xlfn.TEXTAFTER(CantoralDB[[#This Row],[index.html]],"&gt;"),"&gt;")&amp;"&gt;"</f>
        <v>&lt;a href="canciones/taize/tui_amoris.html"&gt;</v>
      </c>
      <c r="Y2295"/>
      <c r="AC2295" s="1"/>
    </row>
    <row r="2296" spans="1:29" x14ac:dyDescent="0.3">
      <c r="A2296" s="1">
        <f>ROW(CantoralDB[[#This Row],[Título]])-1</f>
        <v>2295</v>
      </c>
      <c r="B2296" s="1" t="s">
        <v>895</v>
      </c>
      <c r="C2296" s="1" t="s">
        <v>1018</v>
      </c>
      <c r="D2296" s="1" t="s">
        <v>1103</v>
      </c>
      <c r="H2296" s="1" t="s">
        <v>1026</v>
      </c>
      <c r="I2296" s="1" t="s">
        <v>2947</v>
      </c>
      <c r="J2296" s="1" t="s">
        <v>605</v>
      </c>
      <c r="M2296" s="15" t="s">
        <v>1936</v>
      </c>
      <c r="N2296" s="1" t="s">
        <v>463</v>
      </c>
      <c r="O2296" s="15">
        <v>5</v>
      </c>
      <c r="P2296" s="15">
        <v>1994</v>
      </c>
      <c r="Q2296" s="15" t="str" cm="1">
        <f t="array" ref="Q22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6" s="15" t="str" cm="1">
        <f t="array" ref="R22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canciones/taize/da_pacem..._in_diebus.html</v>
      </c>
      <c r="T2296" s="1" t="s">
        <v>955</v>
      </c>
      <c r="U2296" s="1" t="s">
        <v>334</v>
      </c>
      <c r="V2296" s="15" t="s">
        <v>4186</v>
      </c>
      <c r="W22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data-nnew="Q27"&gt;&lt;a href="canciones/taize/da_pacem..._in_diebus.html"&gt;Danos la paz, Señor&lt;/a&gt;&lt;/li&gt;</v>
      </c>
      <c r="X2296" s="15" t="str">
        <f>_xlfn.TEXTBEFORE(_xlfn.TEXTAFTER(CantoralDB[[#This Row],[index.html]],"&gt;"),"&gt;")&amp;"&gt;"</f>
        <v>&lt;a href="canciones/taize/da_pacem..._in_diebus.html"&gt;</v>
      </c>
      <c r="Y2296"/>
      <c r="AC2296" s="1"/>
    </row>
    <row r="2297" spans="1:29" x14ac:dyDescent="0.3">
      <c r="A2297" s="1">
        <f>ROW(CantoralDB[[#This Row],[Título]])-1</f>
        <v>2296</v>
      </c>
      <c r="B2297" s="1" t="s">
        <v>926</v>
      </c>
      <c r="C2297" s="1" t="s">
        <v>1018</v>
      </c>
      <c r="D2297" s="1" t="s">
        <v>1135</v>
      </c>
      <c r="E2297" s="1">
        <v>157</v>
      </c>
      <c r="H2297" s="1" t="s">
        <v>529</v>
      </c>
      <c r="I2297" s="1" t="s">
        <v>2946</v>
      </c>
      <c r="J2297" s="1" t="s">
        <v>605</v>
      </c>
      <c r="M2297" s="15" t="s">
        <v>1936</v>
      </c>
      <c r="N2297" s="1" t="s">
        <v>463</v>
      </c>
      <c r="O2297" s="15">
        <v>6</v>
      </c>
      <c r="P2297" s="15">
        <v>1994</v>
      </c>
      <c r="Q2297" s="15" t="str" cm="1">
        <f t="array" ref="Q22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7" s="15" t="str" cm="1">
        <f t="array" ref="R22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canciones/taize/misericordias_domini.html</v>
      </c>
      <c r="T2297" s="1" t="s">
        <v>974</v>
      </c>
      <c r="U2297" s="1" t="s">
        <v>412</v>
      </c>
      <c r="V2297" s="15" t="s">
        <v>4187</v>
      </c>
      <c r="W22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data-nnew="Q62" data-nold="157"&gt;&lt;a href="canciones/taize/misericordias_domini.html"&gt;La misericordia del Señor&lt;/a&gt;&lt;/li&gt;</v>
      </c>
      <c r="X2297" s="15" t="str">
        <f>_xlfn.TEXTBEFORE(_xlfn.TEXTAFTER(CantoralDB[[#This Row],[index.html]],"&gt;"),"&gt;")&amp;"&gt;"</f>
        <v>&lt;a href="canciones/taize/misericordias_domini.html"&gt;</v>
      </c>
      <c r="Y2297"/>
      <c r="AC2297" s="1"/>
    </row>
    <row r="2298" spans="1:29" x14ac:dyDescent="0.3">
      <c r="A2298" s="1">
        <f>ROW(CantoralDB[[#This Row],[Título]])-1</f>
        <v>2297</v>
      </c>
      <c r="B2298" s="1" t="s">
        <v>893</v>
      </c>
      <c r="C2298" s="1" t="s">
        <v>1018</v>
      </c>
      <c r="D2298" s="1" t="s">
        <v>1101</v>
      </c>
      <c r="H2298" s="1" t="s">
        <v>1025</v>
      </c>
      <c r="I2298" s="1" t="s">
        <v>2948</v>
      </c>
      <c r="J2298" s="1" t="s">
        <v>605</v>
      </c>
      <c r="M2298" s="15" t="s">
        <v>1936</v>
      </c>
      <c r="N2298" s="1" t="s">
        <v>463</v>
      </c>
      <c r="O2298" s="15">
        <v>8</v>
      </c>
      <c r="P2298" s="15">
        <v>1994</v>
      </c>
      <c r="Q2298" s="15" t="str" cm="1">
        <f t="array" ref="Q22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8" s="15" t="str" cm="1">
        <f t="array" ref="R22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canciones/taize/crucem_tuam.html</v>
      </c>
      <c r="T2298" s="1"/>
      <c r="U2298" s="1" t="s">
        <v>332</v>
      </c>
      <c r="V2298" s="15" t="s">
        <v>4189</v>
      </c>
      <c r="W22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data-nnew="Q25"&gt;&lt;a href="canciones/taize/crucem_tuam.html"&gt;Tu santa cruz&lt;/a&gt;&lt;/li&gt;</v>
      </c>
      <c r="X2298" s="15" t="str">
        <f>_xlfn.TEXTBEFORE(_xlfn.TEXTAFTER(CantoralDB[[#This Row],[index.html]],"&gt;"),"&gt;")&amp;"&gt;"</f>
        <v>&lt;a href="canciones/taize/crucem_tuam.html"&gt;</v>
      </c>
      <c r="Y2298"/>
      <c r="AC2298" s="1"/>
    </row>
    <row r="2299" spans="1:29" x14ac:dyDescent="0.3">
      <c r="A2299" s="1">
        <f>ROW(CantoralDB[[#This Row],[Título]])-1</f>
        <v>2298</v>
      </c>
      <c r="B2299" s="1" t="s">
        <v>932</v>
      </c>
      <c r="C2299" s="1" t="s">
        <v>1018</v>
      </c>
      <c r="D2299" s="1" t="s">
        <v>1120</v>
      </c>
      <c r="H2299" s="1" t="s">
        <v>1025</v>
      </c>
      <c r="I2299" s="1" t="s">
        <v>2946</v>
      </c>
      <c r="J2299" s="1" t="s">
        <v>605</v>
      </c>
      <c r="M2299" s="15" t="s">
        <v>1936</v>
      </c>
      <c r="N2299" s="1" t="s">
        <v>463</v>
      </c>
      <c r="O2299" s="15">
        <v>15</v>
      </c>
      <c r="P2299" s="15">
        <v>1994</v>
      </c>
      <c r="Q2299" s="15" t="str" cm="1">
        <f t="array" ref="Q22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299" s="15" t="str" cm="1">
        <f t="array" ref="R22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2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canciones/taize/spiritus_jesu_christi.html</v>
      </c>
      <c r="T2299" s="1"/>
      <c r="U2299" s="1" t="s">
        <v>441</v>
      </c>
      <c r="V2299" s="15" t="s">
        <v>4196</v>
      </c>
      <c r="W22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data-nnew="Q70"&gt;&lt;a href="canciones/taize/spiritus_jesu_christi.html"&gt;Espíritu de Dios vivo&lt;/a&gt;&lt;/li&gt;</v>
      </c>
      <c r="X2299" s="15" t="str">
        <f>_xlfn.TEXTBEFORE(_xlfn.TEXTAFTER(CantoralDB[[#This Row],[index.html]],"&gt;"),"&gt;")&amp;"&gt;"</f>
        <v>&lt;a href="canciones/taize/spiritus_jesu_christi.html"&gt;</v>
      </c>
      <c r="Y2299"/>
      <c r="AC2299" s="1"/>
    </row>
    <row r="2300" spans="1:29" x14ac:dyDescent="0.3">
      <c r="A2300" s="1">
        <f>ROW(CantoralDB[[#This Row],[Título]])-1</f>
        <v>2299</v>
      </c>
      <c r="B2300" s="1" t="s">
        <v>916</v>
      </c>
      <c r="C2300" s="1" t="s">
        <v>1018</v>
      </c>
      <c r="D2300" s="1" t="s">
        <v>1129</v>
      </c>
      <c r="H2300" s="1" t="s">
        <v>529</v>
      </c>
      <c r="I2300" s="1" t="s">
        <v>2948</v>
      </c>
      <c r="J2300" s="1" t="s">
        <v>605</v>
      </c>
      <c r="M2300" s="15" t="s">
        <v>1936</v>
      </c>
      <c r="N2300" s="1" t="s">
        <v>463</v>
      </c>
      <c r="O2300" s="15">
        <v>16</v>
      </c>
      <c r="P2300" s="15">
        <v>1994</v>
      </c>
      <c r="Q2300" s="15" t="str" cm="1">
        <f t="array" ref="Q23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0" s="15" t="str" cm="1">
        <f t="array" ref="R23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canciones/taize/jubilate_coeli_(canon).html</v>
      </c>
      <c r="T2300" s="1"/>
      <c r="U2300" s="1" t="s">
        <v>381</v>
      </c>
      <c r="V2300" s="15" t="s">
        <v>4197</v>
      </c>
      <c r="W23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data-nnew="Q52"&gt;&lt;a href="canciones/taize/jubilate_coeli_(canon).html"&gt;Júbilo en el cielo (canon)&lt;/a&gt;&lt;/li&gt;</v>
      </c>
      <c r="X2300" s="15" t="str">
        <f>_xlfn.TEXTBEFORE(_xlfn.TEXTAFTER(CantoralDB[[#This Row],[index.html]],"&gt;"),"&gt;")&amp;"&gt;"</f>
        <v>&lt;a href="canciones/taize/jubilate_coeli_(canon).html"&gt;</v>
      </c>
      <c r="Y2300"/>
      <c r="AC2300" s="1"/>
    </row>
    <row r="2301" spans="1:29" x14ac:dyDescent="0.3">
      <c r="A2301" s="1">
        <f>ROW(CantoralDB[[#This Row],[Título]])-1</f>
        <v>2300</v>
      </c>
      <c r="B2301" s="1" t="s">
        <v>936</v>
      </c>
      <c r="C2301" s="1" t="s">
        <v>1018</v>
      </c>
      <c r="D2301" s="1" t="s">
        <v>1116</v>
      </c>
      <c r="H2301" s="1" t="s">
        <v>1025</v>
      </c>
      <c r="I2301" s="1" t="s">
        <v>2948</v>
      </c>
      <c r="J2301" s="1" t="s">
        <v>605</v>
      </c>
      <c r="M2301" s="15" t="s">
        <v>1936</v>
      </c>
      <c r="N2301" s="1" t="s">
        <v>4025</v>
      </c>
      <c r="O2301" s="15">
        <v>3</v>
      </c>
      <c r="P2301" s="15">
        <v>2001</v>
      </c>
      <c r="Q2301" s="15" t="str" cm="1">
        <f t="array" ref="Q23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1" s="15" t="str" cm="1">
        <f t="array" ref="R23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canciones/taize/the_kingdom_of_god.html</v>
      </c>
      <c r="T2301" s="1" t="s">
        <v>803</v>
      </c>
      <c r="U2301" s="1" t="s">
        <v>448</v>
      </c>
      <c r="V2301" s="15" t="s">
        <v>4201</v>
      </c>
      <c r="W23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data-nnew="Q74"&gt;&lt;a href="canciones/taize/the_kingdom_of_god.html"&gt;El Reino de Dios&lt;/a&gt;&lt;/li&gt;</v>
      </c>
      <c r="X2301" s="15" t="str">
        <f>_xlfn.TEXTBEFORE(_xlfn.TEXTAFTER(CantoralDB[[#This Row],[index.html]],"&gt;"),"&gt;")&amp;"&gt;"</f>
        <v>&lt;a href="canciones/taize/the_kingdom_of_god.html"&gt;</v>
      </c>
      <c r="Y2301"/>
      <c r="AC2301" s="1"/>
    </row>
    <row r="2302" spans="1:29" x14ac:dyDescent="0.3">
      <c r="A2302" s="1">
        <f>ROW(CantoralDB[[#This Row],[Título]])-1</f>
        <v>2301</v>
      </c>
      <c r="B2302" s="1" t="s">
        <v>885</v>
      </c>
      <c r="C2302" s="1" t="s">
        <v>1018</v>
      </c>
      <c r="D2302" s="1" t="s">
        <v>1088</v>
      </c>
      <c r="H2302" s="1" t="s">
        <v>1027</v>
      </c>
      <c r="I2302" s="1" t="s">
        <v>2948</v>
      </c>
      <c r="J2302" s="1" t="s">
        <v>605</v>
      </c>
      <c r="M2302" s="15" t="s">
        <v>1936</v>
      </c>
      <c r="N2302" s="1" t="s">
        <v>4025</v>
      </c>
      <c r="O2302" s="15">
        <v>5</v>
      </c>
      <c r="P2302" s="15">
        <v>2001</v>
      </c>
      <c r="Q2302" s="15" t="str" cm="1">
        <f t="array" ref="Q23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2" s="15" t="str" cm="1">
        <f t="array" ref="R23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canciones/taize/bog_jest_miłością.html</v>
      </c>
      <c r="T2302" s="1"/>
      <c r="U2302" s="1" t="s">
        <v>319</v>
      </c>
      <c r="V2302" s="15" t="s">
        <v>4203</v>
      </c>
      <c r="W23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data-nnew="Q16"&gt;&lt;a href="canciones/taize/bog_jest_miłością.html"&gt;Dios es ternura&lt;/a&gt;&lt;/li&gt;</v>
      </c>
      <c r="X2302" s="15" t="str">
        <f>_xlfn.TEXTBEFORE(_xlfn.TEXTAFTER(CantoralDB[[#This Row],[index.html]],"&gt;"),"&gt;")&amp;"&gt;"</f>
        <v>&lt;a href="canciones/taize/bog_jest_miłością.html"&gt;</v>
      </c>
      <c r="Y2302"/>
      <c r="AC2302" s="1"/>
    </row>
    <row r="2303" spans="1:29" x14ac:dyDescent="0.3">
      <c r="A2303" s="1">
        <f>ROW(CantoralDB[[#This Row],[Título]])-1</f>
        <v>2302</v>
      </c>
      <c r="B2303" s="1" t="s">
        <v>886</v>
      </c>
      <c r="C2303" s="1" t="s">
        <v>1018</v>
      </c>
      <c r="D2303" s="1" t="s">
        <v>1089</v>
      </c>
      <c r="H2303" s="1" t="s">
        <v>1027</v>
      </c>
      <c r="J2303" s="1" t="s">
        <v>605</v>
      </c>
      <c r="M2303" s="15" t="s">
        <v>1936</v>
      </c>
      <c r="N2303" s="1" t="s">
        <v>4025</v>
      </c>
      <c r="O2303" s="15">
        <v>6</v>
      </c>
      <c r="P2303" s="15">
        <v>2001</v>
      </c>
      <c r="Q2303" s="15" t="str" cm="1">
        <f t="array" ref="Q23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3" s="15" t="str" cm="1">
        <f t="array" ref="R23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canciones/taize/bogoroditse_dievo_1.html</v>
      </c>
      <c r="T2303" s="1"/>
      <c r="U2303" s="1" t="s">
        <v>320</v>
      </c>
      <c r="V2303" s="15" t="s">
        <v>4204</v>
      </c>
      <c r="W23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data-nnew="Q18"&gt;&lt;a href="canciones/taize/bogoroditse_dievo_1.html"&gt;Dios te salve&lt;/a&gt;&lt;/li&gt;</v>
      </c>
      <c r="X2303" s="15" t="str">
        <f>_xlfn.TEXTBEFORE(_xlfn.TEXTAFTER(CantoralDB[[#This Row],[index.html]],"&gt;"),"&gt;")&amp;"&gt;"</f>
        <v>&lt;a href="canciones/taize/bogoroditse_dievo_1.html"&gt;</v>
      </c>
      <c r="Y2303"/>
      <c r="AC2303" s="1"/>
    </row>
    <row r="2304" spans="1:29" x14ac:dyDescent="0.3">
      <c r="A2304" s="1">
        <f>ROW(CantoralDB[[#This Row],[Título]])-1</f>
        <v>2303</v>
      </c>
      <c r="B2304" s="1" t="s">
        <v>879</v>
      </c>
      <c r="C2304" s="1" t="s">
        <v>1018</v>
      </c>
      <c r="D2304" s="1" t="s">
        <v>1082</v>
      </c>
      <c r="H2304" s="1" t="s">
        <v>472</v>
      </c>
      <c r="I2304" s="1" t="s">
        <v>2947</v>
      </c>
      <c r="J2304" s="1" t="s">
        <v>605</v>
      </c>
      <c r="M2304" s="15" t="s">
        <v>1936</v>
      </c>
      <c r="N2304" s="1" t="s">
        <v>4025</v>
      </c>
      <c r="O2304" s="15">
        <v>7</v>
      </c>
      <c r="P2304" s="15">
        <v>2001</v>
      </c>
      <c r="Q2304" s="15" t="str" cm="1">
        <f t="array" ref="Q23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4" s="15" t="str" cm="1">
        <f t="array" ref="R23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canciones/taize/beati_voi_poveri.html</v>
      </c>
      <c r="T2304" s="1" t="s">
        <v>945</v>
      </c>
      <c r="U2304" s="1" t="s">
        <v>309</v>
      </c>
      <c r="V2304" s="15" t="s">
        <v>4205</v>
      </c>
      <c r="W23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data-nnew="Q11"&gt;&lt;a href="canciones/taize/beati_voi_poveri.html"&gt;Dichosos los pobres&lt;/a&gt;&lt;/li&gt;</v>
      </c>
      <c r="X2304" s="15" t="str">
        <f>_xlfn.TEXTBEFORE(_xlfn.TEXTAFTER(CantoralDB[[#This Row],[index.html]],"&gt;"),"&gt;")&amp;"&gt;"</f>
        <v>&lt;a href="canciones/taize/beati_voi_poveri.html"&gt;</v>
      </c>
      <c r="Y2304"/>
      <c r="AC2304" s="1"/>
    </row>
    <row r="2305" spans="1:29" x14ac:dyDescent="0.3">
      <c r="A2305" s="1">
        <f>ROW(CantoralDB[[#This Row],[Título]])-1</f>
        <v>2304</v>
      </c>
      <c r="B2305" s="1" t="s">
        <v>910</v>
      </c>
      <c r="C2305" s="1" t="s">
        <v>1018</v>
      </c>
      <c r="D2305" s="1" t="s">
        <v>1126</v>
      </c>
      <c r="H2305" s="1" t="s">
        <v>529</v>
      </c>
      <c r="I2305" s="1" t="s">
        <v>2948</v>
      </c>
      <c r="J2305" s="1" t="s">
        <v>605</v>
      </c>
      <c r="M2305" s="15" t="s">
        <v>1936</v>
      </c>
      <c r="N2305" s="1" t="s">
        <v>4025</v>
      </c>
      <c r="O2305" s="15">
        <v>10</v>
      </c>
      <c r="P2305" s="15">
        <v>2001</v>
      </c>
      <c r="Q2305" s="15" t="str" cm="1">
        <f t="array" ref="Q23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5" s="15" t="str" cm="1">
        <f t="array" ref="R23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canciones/taize/in_manus_tuas.html</v>
      </c>
      <c r="T2305" s="1" t="s">
        <v>966</v>
      </c>
      <c r="U2305" s="1" t="s">
        <v>369</v>
      </c>
      <c r="V2305" s="15" t="s">
        <v>4208</v>
      </c>
      <c r="W23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data-nnew="Q45"&gt;&lt;a href="canciones/taize/in_manus_tuas.html"&gt;Oh, Padre, entre tus manos&lt;/a&gt;&lt;/li&gt;</v>
      </c>
      <c r="X2305" s="15" t="str">
        <f>_xlfn.TEXTBEFORE(_xlfn.TEXTAFTER(CantoralDB[[#This Row],[index.html]],"&gt;"),"&gt;")&amp;"&gt;"</f>
        <v>&lt;a href="canciones/taize/in_manus_tuas.html"&gt;</v>
      </c>
      <c r="Y2305"/>
      <c r="AC2305" s="1"/>
    </row>
    <row r="2306" spans="1:29" x14ac:dyDescent="0.3">
      <c r="A2306" s="1">
        <f>ROW(CantoralDB[[#This Row],[Título]])-1</f>
        <v>2305</v>
      </c>
      <c r="B2306" s="1" t="s">
        <v>911</v>
      </c>
      <c r="C2306" s="1" t="s">
        <v>1018</v>
      </c>
      <c r="D2306" s="1" t="s">
        <v>1074</v>
      </c>
      <c r="H2306" s="1" t="s">
        <v>529</v>
      </c>
      <c r="I2306" s="1" t="s">
        <v>2948</v>
      </c>
      <c r="J2306" s="1" t="s">
        <v>605</v>
      </c>
      <c r="M2306" s="15" t="s">
        <v>1936</v>
      </c>
      <c r="N2306" s="1" t="s">
        <v>4025</v>
      </c>
      <c r="O2306" s="15">
        <v>12</v>
      </c>
      <c r="P2306" s="15">
        <v>2001</v>
      </c>
      <c r="Q2306" s="15" t="str" cm="1">
        <f t="array" ref="Q23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6" s="15" t="str" cm="1">
        <f t="array" ref="R23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canciones/taize/in_resurrectione_tua.html</v>
      </c>
      <c r="T2306" s="1"/>
      <c r="U2306" s="1" t="s">
        <v>370</v>
      </c>
      <c r="V2306" s="15" t="s">
        <v>4210</v>
      </c>
      <c r="W23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data-nnew="Q46"&gt;&lt;a href="canciones/taize/in_resurrectione_tua.html"&gt;Alégrense el Cielo y la Tierra&lt;/a&gt;&lt;/li&gt;</v>
      </c>
      <c r="X2306" s="15" t="str">
        <f>_xlfn.TEXTBEFORE(_xlfn.TEXTAFTER(CantoralDB[[#This Row],[index.html]],"&gt;"),"&gt;")&amp;"&gt;"</f>
        <v>&lt;a href="canciones/taize/in_resurrectione_tua.html"&gt;</v>
      </c>
      <c r="Y2306"/>
      <c r="AC2306" s="1"/>
    </row>
    <row r="2307" spans="1:29" x14ac:dyDescent="0.3">
      <c r="A2307" s="1">
        <f>ROW(CantoralDB[[#This Row],[Título]])-1</f>
        <v>2306</v>
      </c>
      <c r="B2307" s="1" t="s">
        <v>937</v>
      </c>
      <c r="C2307" s="1" t="s">
        <v>1018</v>
      </c>
      <c r="D2307" s="1" t="s">
        <v>1146</v>
      </c>
      <c r="H2307" s="1" t="s">
        <v>529</v>
      </c>
      <c r="I2307" s="1" t="s">
        <v>2947</v>
      </c>
      <c r="J2307" s="1" t="s">
        <v>605</v>
      </c>
      <c r="M2307" s="15" t="s">
        <v>1936</v>
      </c>
      <c r="N2307" s="1" t="s">
        <v>4025</v>
      </c>
      <c r="O2307" s="15">
        <v>13</v>
      </c>
      <c r="P2307" s="15">
        <v>2001</v>
      </c>
      <c r="Q2307" s="15" t="str" cm="1">
        <f t="array" ref="Q23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7" s="15" t="str" cm="1">
        <f t="array" ref="R23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canciones/taize/tu_sei_sorgente_viva.html</v>
      </c>
      <c r="T2307" s="1"/>
      <c r="U2307" s="1" t="s">
        <v>453</v>
      </c>
      <c r="V2307" s="15" t="s">
        <v>4211</v>
      </c>
      <c r="W23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data-nnew="Q76"&gt;&lt;a href="canciones/taize/tu_sei_sorgente_viva.html"&gt;Tú eres fuente viva&lt;/a&gt;&lt;/li&gt;</v>
      </c>
      <c r="X2307" s="15" t="str">
        <f>_xlfn.TEXTBEFORE(_xlfn.TEXTAFTER(CantoralDB[[#This Row],[index.html]],"&gt;"),"&gt;")&amp;"&gt;"</f>
        <v>&lt;a href="canciones/taize/tu_sei_sorgente_viva.html"&gt;</v>
      </c>
      <c r="Y2307"/>
      <c r="AC2307" s="1"/>
    </row>
    <row r="2308" spans="1:29" x14ac:dyDescent="0.3">
      <c r="A2308" s="1">
        <f>ROW(CantoralDB[[#This Row],[Título]])-1</f>
        <v>2307</v>
      </c>
      <c r="B2308" s="1" t="s">
        <v>922</v>
      </c>
      <c r="C2308" s="1" t="s">
        <v>1018</v>
      </c>
      <c r="D2308" s="1" t="s">
        <v>1134</v>
      </c>
      <c r="H2308" s="1" t="s">
        <v>1026</v>
      </c>
      <c r="I2308" s="1" t="s">
        <v>2947</v>
      </c>
      <c r="J2308" s="1" t="s">
        <v>605</v>
      </c>
      <c r="M2308" s="15" t="s">
        <v>1936</v>
      </c>
      <c r="N2308" s="1" t="s">
        <v>4025</v>
      </c>
      <c r="O2308" s="15">
        <v>16</v>
      </c>
      <c r="P2308" s="15">
        <v>2001</v>
      </c>
      <c r="Q2308" s="15" t="str" cm="1">
        <f t="array" ref="Q23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8" s="15" t="str" cm="1">
        <f t="array" ref="R23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canciones/taize/l’ajuda_em_vindrà.html</v>
      </c>
      <c r="T2308" s="1" t="s">
        <v>970</v>
      </c>
      <c r="U2308" s="1" t="s">
        <v>400</v>
      </c>
      <c r="V2308" s="15" t="s">
        <v>4214</v>
      </c>
      <c r="W23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data-nnew="Q57"&gt;&lt;a href="canciones/taize/l’ajuda_em_vindrà.html"&gt;La ayuda vendrá&lt;/a&gt;&lt;/li&gt;</v>
      </c>
      <c r="X2308" s="15" t="str">
        <f>_xlfn.TEXTBEFORE(_xlfn.TEXTAFTER(CantoralDB[[#This Row],[index.html]],"&gt;"),"&gt;")&amp;"&gt;"</f>
        <v>&lt;a href="canciones/taize/l’ajuda_em_vindrà.html"&gt;</v>
      </c>
      <c r="Y2308"/>
      <c r="AC2308" s="1"/>
    </row>
    <row r="2309" spans="1:29" x14ac:dyDescent="0.3">
      <c r="A2309" s="1">
        <f>ROW(CantoralDB[[#This Row],[Título]])-1</f>
        <v>2308</v>
      </c>
      <c r="B2309" s="1" t="s">
        <v>877</v>
      </c>
      <c r="C2309" s="1" t="s">
        <v>1018</v>
      </c>
      <c r="D2309" s="1" t="s">
        <v>1080</v>
      </c>
      <c r="H2309" s="1" t="s">
        <v>1027</v>
      </c>
      <c r="J2309" s="1" t="s">
        <v>605</v>
      </c>
      <c r="M2309" s="15" t="s">
        <v>1936</v>
      </c>
      <c r="N2309" s="1" t="s">
        <v>4025</v>
      </c>
      <c r="O2309" s="15">
        <v>18</v>
      </c>
      <c r="P2309" s="15">
        <v>2001</v>
      </c>
      <c r="Q2309" s="15" t="str" cm="1">
        <f t="array" ref="Q23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09" s="15" t="str" cm="1">
        <f t="array" ref="R23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canciones/taize/alleluia_96.html</v>
      </c>
      <c r="T2309" s="1"/>
      <c r="U2309" s="1" t="s">
        <v>784</v>
      </c>
      <c r="V2309" s="15" t="s">
        <v>4216</v>
      </c>
      <c r="W23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data-nnew="Q09"&gt;&lt;a href="canciones/taize/alleluia_96.html"&gt;Aleluya 96&lt;/a&gt;&lt;/li&gt;</v>
      </c>
      <c r="X2309" s="15" t="str">
        <f>_xlfn.TEXTBEFORE(_xlfn.TEXTAFTER(CantoralDB[[#This Row],[index.html]],"&gt;"),"&gt;")&amp;"&gt;"</f>
        <v>&lt;a href="canciones/taize/alleluia_96.html"&gt;</v>
      </c>
      <c r="Y2309"/>
      <c r="AC2309" s="1"/>
    </row>
    <row r="2310" spans="1:29" x14ac:dyDescent="0.3">
      <c r="A2310" s="1">
        <f>ROW(CantoralDB[[#This Row],[Título]])-1</f>
        <v>2309</v>
      </c>
      <c r="B2310" s="1" t="s">
        <v>942</v>
      </c>
      <c r="C2310" s="1" t="s">
        <v>1018</v>
      </c>
      <c r="D2310" s="1" t="s">
        <v>1072</v>
      </c>
      <c r="H2310" s="1" t="s">
        <v>1024</v>
      </c>
      <c r="I2310" s="1" t="s">
        <v>2948</v>
      </c>
      <c r="J2310" s="1" t="s">
        <v>605</v>
      </c>
      <c r="M2310" s="15" t="s">
        <v>1936</v>
      </c>
      <c r="N2310" s="1" t="s">
        <v>4025</v>
      </c>
      <c r="O2310" s="15">
        <v>19</v>
      </c>
      <c r="P2310" s="15">
        <v>2001</v>
      </c>
      <c r="Q2310" s="15" t="str" cm="1">
        <f t="array" ref="Q23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0" s="15" t="str" cm="1">
        <f t="array" ref="R23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canciones/taize/wysławiajcie_pana.html</v>
      </c>
      <c r="T2310" s="1"/>
      <c r="U2310" s="1" t="s">
        <v>470</v>
      </c>
      <c r="V2310" s="15" t="s">
        <v>4217</v>
      </c>
      <c r="W23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data-nnew="Q82"&gt;&lt;a href="canciones/taize/wysławiajcie_pana.html"&gt;Alabado sea el Señor&lt;/a&gt;&lt;/li&gt;</v>
      </c>
      <c r="X2310" s="15" t="str">
        <f>_xlfn.TEXTBEFORE(_xlfn.TEXTAFTER(CantoralDB[[#This Row],[index.html]],"&gt;"),"&gt;")&amp;"&gt;"</f>
        <v>&lt;a href="canciones/taize/wysławiajcie_pana.html"&gt;</v>
      </c>
      <c r="Y2310"/>
      <c r="AC2310" s="1"/>
    </row>
    <row r="2311" spans="1:29" x14ac:dyDescent="0.3">
      <c r="A2311" s="1">
        <f>ROW(CantoralDB[[#This Row],[Título]])-1</f>
        <v>2310</v>
      </c>
      <c r="B2311" s="1" t="s">
        <v>876</v>
      </c>
      <c r="C2311" s="1" t="s">
        <v>1018</v>
      </c>
      <c r="D2311" s="1" t="s">
        <v>1079</v>
      </c>
      <c r="H2311" s="1" t="s">
        <v>472</v>
      </c>
      <c r="I2311" s="1" t="s">
        <v>2945</v>
      </c>
      <c r="J2311" s="1" t="s">
        <v>605</v>
      </c>
      <c r="M2311" s="15" t="s">
        <v>1936</v>
      </c>
      <c r="O2311" s="15"/>
      <c r="P2311" s="15"/>
      <c r="Q2311" s="15" t="str" cm="1">
        <f t="array" ref="Q23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1" s="15" t="str" cm="1">
        <f t="array" ref="R23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canciones/taize/alleluia_94.html</v>
      </c>
      <c r="T2311" s="1"/>
      <c r="U2311" s="1" t="s">
        <v>783</v>
      </c>
      <c r="V2311" s="15" t="s">
        <v>4218</v>
      </c>
      <c r="W23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data-nnew="Q08"&gt;&lt;a href="canciones/taize/alleluia_94.html"&gt;Aleluya 94&lt;/a&gt;&lt;/li&gt;</v>
      </c>
      <c r="X2311" s="15" t="str">
        <f>_xlfn.TEXTBEFORE(_xlfn.TEXTAFTER(CantoralDB[[#This Row],[index.html]],"&gt;"),"&gt;")&amp;"&gt;"</f>
        <v>&lt;a href="canciones/taize/alleluia_94.html"&gt;</v>
      </c>
      <c r="Y2311"/>
      <c r="AC2311" s="1"/>
    </row>
    <row r="2312" spans="1:29" x14ac:dyDescent="0.3">
      <c r="A2312" s="1">
        <f>ROW(CantoralDB[[#This Row],[Título]])-1</f>
        <v>2311</v>
      </c>
      <c r="B2312" s="1" t="s">
        <v>878</v>
      </c>
      <c r="C2312" s="1" t="s">
        <v>1018</v>
      </c>
      <c r="D2312" s="1" t="s">
        <v>1081</v>
      </c>
      <c r="H2312" s="1" t="s">
        <v>1027</v>
      </c>
      <c r="I2312" s="1" t="s">
        <v>2947</v>
      </c>
      <c r="J2312" s="1" t="s">
        <v>605</v>
      </c>
      <c r="M2312" s="15" t="s">
        <v>1936</v>
      </c>
      <c r="O2312" s="15"/>
      <c r="P2312" s="15"/>
      <c r="Q2312" s="15" t="str" cm="1">
        <f t="array" ref="Q23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2" s="15" t="str" cm="1">
        <f t="array" ref="R23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canciones/taize/alleluia_97.html</v>
      </c>
      <c r="T2312" s="1"/>
      <c r="U2312" s="1" t="s">
        <v>785</v>
      </c>
      <c r="V2312" s="15" t="s">
        <v>4219</v>
      </c>
      <c r="W23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data-nnew="Q10"&gt;&lt;a href="canciones/taize/alleluia_97.html"&gt;Aleluya 97&lt;/a&gt;&lt;/li&gt;</v>
      </c>
      <c r="X2312" s="15" t="str">
        <f>_xlfn.TEXTBEFORE(_xlfn.TEXTAFTER(CantoralDB[[#This Row],[index.html]],"&gt;"),"&gt;")&amp;"&gt;"</f>
        <v>&lt;a href="canciones/taize/alleluia_97.html"&gt;</v>
      </c>
      <c r="Y2312"/>
      <c r="AC2312" s="1"/>
    </row>
    <row r="2313" spans="1:29" x14ac:dyDescent="0.3">
      <c r="A2313" s="1">
        <f>ROW(CantoralDB[[#This Row],[Título]])-1</f>
        <v>2312</v>
      </c>
      <c r="B2313" s="1" t="s">
        <v>928</v>
      </c>
      <c r="C2313" s="1" t="s">
        <v>1018</v>
      </c>
      <c r="D2313" s="1" t="s">
        <v>1141</v>
      </c>
      <c r="H2313" s="1" t="s">
        <v>529</v>
      </c>
      <c r="J2313" s="1" t="s">
        <v>605</v>
      </c>
      <c r="M2313" s="15" t="s">
        <v>1936</v>
      </c>
      <c r="O2313" s="15"/>
      <c r="P2313" s="15"/>
      <c r="Q2313" s="15" t="str" cm="1">
        <f t="array" ref="Q23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3" s="15" t="str" cm="1">
        <f t="array" ref="R23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canciones/taize/para_mim_ser_feliz.html</v>
      </c>
      <c r="T2313" s="1"/>
      <c r="U2313" s="1" t="s">
        <v>424</v>
      </c>
      <c r="V2313" s="15" t="s">
        <v>4222</v>
      </c>
      <c r="W23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data-nnew="Q65"&gt;&lt;a href="canciones/taize/para_mim_ser_feliz.html"&gt;Para mí ser feliz&lt;/a&gt;&lt;/li&gt;</v>
      </c>
      <c r="X2313" s="15" t="str">
        <f>_xlfn.TEXTBEFORE(_xlfn.TEXTAFTER(CantoralDB[[#This Row],[index.html]],"&gt;"),"&gt;")&amp;"&gt;"</f>
        <v>&lt;a href="canciones/taize/para_mim_ser_feliz.html"&gt;</v>
      </c>
      <c r="Y2313"/>
      <c r="AC2313" s="1"/>
    </row>
    <row r="2314" spans="1:29" x14ac:dyDescent="0.3">
      <c r="A2314" s="1">
        <f>ROW(CantoralDB[[#This Row],[Título]])-1</f>
        <v>2313</v>
      </c>
      <c r="B2314" s="1" t="s">
        <v>918</v>
      </c>
      <c r="C2314" s="1" t="s">
        <v>1018</v>
      </c>
      <c r="D2314" s="1" t="s">
        <v>1130</v>
      </c>
      <c r="H2314" s="1" t="s">
        <v>1027</v>
      </c>
      <c r="J2314" s="1" t="s">
        <v>605</v>
      </c>
      <c r="M2314" s="15" t="s">
        <v>1936</v>
      </c>
      <c r="O2314" s="15"/>
      <c r="P2314" s="15"/>
      <c r="Q2314" s="15" t="str" cm="1">
        <f t="array" ref="Q23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4" s="15" t="str" cm="1">
        <f t="array" ref="R23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canciones/taize/kyrie_1.html</v>
      </c>
      <c r="T2314" s="1"/>
      <c r="U2314" s="1" t="s">
        <v>385</v>
      </c>
      <c r="V2314" s="15" t="s">
        <v>4220</v>
      </c>
      <c r="W23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data-nnew="Q53"&gt;&lt;a href="canciones/taize/kyrie_1.html"&gt;Ten piedad, Señor 1&lt;/a&gt;&lt;/li&gt;</v>
      </c>
      <c r="X2314" s="15" t="str">
        <f>_xlfn.TEXTBEFORE(_xlfn.TEXTAFTER(CantoralDB[[#This Row],[index.html]],"&gt;"),"&gt;")&amp;"&gt;"</f>
        <v>&lt;a href="canciones/taize/kyrie_1.html"&gt;</v>
      </c>
      <c r="Y2314"/>
      <c r="AC2314" s="1"/>
    </row>
    <row r="2315" spans="1:29" x14ac:dyDescent="0.3">
      <c r="A2315" s="1">
        <f>ROW(CantoralDB[[#This Row],[Título]])-1</f>
        <v>2314</v>
      </c>
      <c r="B2315" s="1" t="s">
        <v>921</v>
      </c>
      <c r="C2315" s="1" t="s">
        <v>1018</v>
      </c>
      <c r="D2315" s="1" t="s">
        <v>1133</v>
      </c>
      <c r="H2315" s="1" t="s">
        <v>529</v>
      </c>
      <c r="I2315" s="1" t="s">
        <v>2948</v>
      </c>
      <c r="J2315" s="1" t="s">
        <v>605</v>
      </c>
      <c r="M2315" s="15" t="s">
        <v>1936</v>
      </c>
      <c r="O2315" s="15"/>
      <c r="P2315" s="15"/>
      <c r="Q2315" s="15" t="str" cm="1">
        <f t="array" ref="Q23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5" s="15" t="str" cm="1">
        <f t="array" ref="R23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taize_esp</v>
      </c>
      <c r="S23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canciones/taize/kyrie_8.html</v>
      </c>
      <c r="T2315" s="1"/>
      <c r="U2315" s="1" t="s">
        <v>389</v>
      </c>
      <c r="V2315" s="15" t="s">
        <v>4221</v>
      </c>
      <c r="W23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en español" data-momento="TaizéESP" data-nnew="Q55"&gt;&lt;a href="canciones/taize/kyrie_8.html"&gt;Ten piedad, Señor 8&lt;/a&gt;&lt;/li&gt;</v>
      </c>
      <c r="X2315" s="15" t="str">
        <f>_xlfn.TEXTBEFORE(_xlfn.TEXTAFTER(CantoralDB[[#This Row],[index.html]],"&gt;"),"&gt;")&amp;"&gt;"</f>
        <v>&lt;a href="canciones/taize/kyrie_8.html"&gt;</v>
      </c>
      <c r="Y2315"/>
      <c r="AC2315" s="1"/>
    </row>
    <row r="2316" spans="1:29" x14ac:dyDescent="0.3">
      <c r="A2316" s="1">
        <f>ROW(CantoralDB[[#This Row],[Título]])-1</f>
        <v>2315</v>
      </c>
      <c r="B2316" s="1" t="s">
        <v>318</v>
      </c>
      <c r="C2316" s="1" t="s">
        <v>1019</v>
      </c>
      <c r="D2316" s="1" t="s">
        <v>1087</v>
      </c>
      <c r="H2316" s="1" t="s">
        <v>529</v>
      </c>
      <c r="I2316" s="1" t="s">
        <v>2946</v>
      </c>
      <c r="J2316" s="1" t="s">
        <v>605</v>
      </c>
      <c r="M2316" s="15" t="s">
        <v>2130</v>
      </c>
      <c r="N2316" s="1" t="s">
        <v>4005</v>
      </c>
      <c r="O2316" s="15">
        <v>1</v>
      </c>
      <c r="P2316" s="15">
        <v>1988</v>
      </c>
      <c r="Q2316" s="15" t="str" cm="1">
        <f t="array" ref="Q23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6" s="15" t="str" cm="1">
        <f t="array" ref="R23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canciones/taize/bless_the_lord.html</v>
      </c>
      <c r="T2316" s="1"/>
      <c r="U2316" s="1"/>
      <c r="V2316" s="32" t="s">
        <v>4051</v>
      </c>
      <c r="W23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data-nnew="Q17"&gt;&lt;a href="canciones/taize/bless_the_lord.html"&gt;Bless the Lord&lt;/a&gt;&lt;/li&gt;</v>
      </c>
      <c r="X2316" s="15" t="str">
        <f>_xlfn.TEXTBEFORE(_xlfn.TEXTAFTER(CantoralDB[[#This Row],[index.html]],"&gt;"),"&gt;")&amp;"&gt;"</f>
        <v>&lt;a href="canciones/taize/bless_the_lord.html"&gt;</v>
      </c>
      <c r="Y2316"/>
      <c r="AC2316" s="1"/>
    </row>
    <row r="2317" spans="1:29" x14ac:dyDescent="0.3">
      <c r="A2317" s="1">
        <f>ROW(CantoralDB[[#This Row],[Título]])-1</f>
        <v>2316</v>
      </c>
      <c r="B2317" s="1" t="s">
        <v>296</v>
      </c>
      <c r="C2317" s="1" t="s">
        <v>1019</v>
      </c>
      <c r="D2317" s="1" t="s">
        <v>1075</v>
      </c>
      <c r="H2317" s="1" t="s">
        <v>1027</v>
      </c>
      <c r="I2317" s="1" t="s">
        <v>2945</v>
      </c>
      <c r="J2317" s="1" t="s">
        <v>605</v>
      </c>
      <c r="M2317" s="15" t="s">
        <v>2130</v>
      </c>
      <c r="N2317" s="1" t="s">
        <v>4005</v>
      </c>
      <c r="O2317" s="15">
        <v>2</v>
      </c>
      <c r="P2317" s="15">
        <v>1988</v>
      </c>
      <c r="Q2317" s="15" t="str" cm="1">
        <f t="array" ref="Q23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7" s="15" t="str" cm="1">
        <f t="array" ref="R23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canciones/taize/alleluia_11.html</v>
      </c>
      <c r="T2317" s="1"/>
      <c r="U2317" s="1"/>
      <c r="V2317" s="32" t="s">
        <v>4052</v>
      </c>
      <c r="W23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data-nnew="Q05"&gt;&lt;a href="canciones/taize/alleluia_11.html"&gt;Alleluia 11&lt;/a&gt;&lt;/li&gt;</v>
      </c>
      <c r="X2317" s="15" t="str">
        <f>_xlfn.TEXTBEFORE(_xlfn.TEXTAFTER(CantoralDB[[#This Row],[index.html]],"&gt;"),"&gt;")&amp;"&gt;"</f>
        <v>&lt;a href="canciones/taize/alleluia_11.html"&gt;</v>
      </c>
      <c r="Y2317"/>
      <c r="AC2317" s="1"/>
    </row>
    <row r="2318" spans="1:29" x14ac:dyDescent="0.3">
      <c r="A2318" s="1">
        <f>ROW(CantoralDB[[#This Row],[Título]])-1</f>
        <v>2317</v>
      </c>
      <c r="B2318" s="1" t="s">
        <v>335</v>
      </c>
      <c r="C2318" s="1" t="s">
        <v>1019</v>
      </c>
      <c r="D2318" s="1" t="s">
        <v>1106</v>
      </c>
      <c r="H2318" s="1" t="s">
        <v>472</v>
      </c>
      <c r="I2318" s="1" t="s">
        <v>2948</v>
      </c>
      <c r="J2318" s="1" t="s">
        <v>605</v>
      </c>
      <c r="M2318" s="15" t="s">
        <v>2130</v>
      </c>
      <c r="N2318" s="1" t="s">
        <v>4005</v>
      </c>
      <c r="O2318" s="15">
        <v>3</v>
      </c>
      <c r="P2318" s="15">
        <v>1988</v>
      </c>
      <c r="Q2318" s="15" t="str" cm="1">
        <f t="array" ref="Q23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8" s="15" t="str" cm="1">
        <f t="array" ref="R23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canciones/taize/dans_nos_obscurites.html</v>
      </c>
      <c r="T2318" s="1"/>
      <c r="U2318" s="1"/>
      <c r="V2318" s="32" t="s">
        <v>4053</v>
      </c>
      <c r="W23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data-nnew="Q28"&gt;&lt;a href="canciones/taize/dans_nos_obscurites.html"&gt;Dans nos obscurités&lt;/a&gt;&lt;/li&gt;</v>
      </c>
      <c r="X2318" s="15" t="str">
        <f>_xlfn.TEXTBEFORE(_xlfn.TEXTAFTER(CantoralDB[[#This Row],[index.html]],"&gt;"),"&gt;")&amp;"&gt;"</f>
        <v>&lt;a href="canciones/taize/dans_nos_obscurites.html"&gt;</v>
      </c>
      <c r="Y2318"/>
      <c r="AC2318" s="1"/>
    </row>
    <row r="2319" spans="1:29" x14ac:dyDescent="0.3">
      <c r="A2319" s="1">
        <f>ROW(CantoralDB[[#This Row],[Título]])-1</f>
        <v>2318</v>
      </c>
      <c r="B2319" s="1" t="s">
        <v>331</v>
      </c>
      <c r="C2319" s="1" t="s">
        <v>1019</v>
      </c>
      <c r="D2319" s="1" t="s">
        <v>1096</v>
      </c>
      <c r="F2319" s="1">
        <v>423</v>
      </c>
      <c r="H2319" s="1" t="s">
        <v>529</v>
      </c>
      <c r="I2319" s="1" t="s">
        <v>2948</v>
      </c>
      <c r="J2319" s="1" t="s">
        <v>605</v>
      </c>
      <c r="M2319" s="15" t="s">
        <v>2130</v>
      </c>
      <c r="N2319" s="1" t="s">
        <v>4005</v>
      </c>
      <c r="O2319" s="15">
        <v>4</v>
      </c>
      <c r="P2319" s="15">
        <v>1988</v>
      </c>
      <c r="Q2319" s="15" t="str" cm="1">
        <f t="array" ref="Q23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19" s="15" t="str" cm="1">
        <f t="array" ref="R23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canciones/taize/confitemini_domino.html</v>
      </c>
      <c r="T2319" s="1"/>
      <c r="U2319" s="1"/>
      <c r="V2319" s="32" t="s">
        <v>4054</v>
      </c>
      <c r="W23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data-nnew="Q24" data-nrcc="423"&gt;&lt;a href="canciones/taize/confitemini_domino.html"&gt;Confitemini Domino&lt;/a&gt;&lt;/li&gt;</v>
      </c>
      <c r="X2319" s="15" t="str">
        <f>_xlfn.TEXTBEFORE(_xlfn.TEXTAFTER(CantoralDB[[#This Row],[index.html]],"&gt;"),"&gt;")&amp;"&gt;"</f>
        <v>&lt;a href="canciones/taize/confitemini_domino.html"&gt;</v>
      </c>
      <c r="Y2319"/>
      <c r="AC2319" s="1"/>
    </row>
    <row r="2320" spans="1:29" x14ac:dyDescent="0.3">
      <c r="A2320" s="1">
        <f>ROW(CantoralDB[[#This Row],[Título]])-1</f>
        <v>2319</v>
      </c>
      <c r="B2320" s="1" t="s">
        <v>4006</v>
      </c>
      <c r="C2320" s="1"/>
      <c r="J2320" s="1"/>
      <c r="M2320" s="15" t="s">
        <v>2130</v>
      </c>
      <c r="N2320" s="1" t="s">
        <v>4005</v>
      </c>
      <c r="O2320" s="15">
        <v>5</v>
      </c>
      <c r="P2320" s="15">
        <v>1988</v>
      </c>
      <c r="Q2320" s="15" t="str" cm="1">
        <f t="array" ref="Q23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0" s="15" t="str" cm="1">
        <f t="array" ref="R23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canciones/taize/exaltabo_te.html</v>
      </c>
      <c r="T2320" s="1"/>
      <c r="U2320" s="1"/>
      <c r="V2320" s="32" t="s">
        <v>4055</v>
      </c>
      <c r="W23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href="canciones/taize/exaltabo_te.html"&gt;Exaltabo te&lt;/a&gt;&lt;/li&gt;</v>
      </c>
      <c r="X2320" s="15" t="str">
        <f>_xlfn.TEXTBEFORE(_xlfn.TEXTAFTER(CantoralDB[[#This Row],[index.html]],"&gt;"),"&gt;")&amp;"&gt;"</f>
        <v>&lt;a href="canciones/taize/exaltabo_te.html"&gt;</v>
      </c>
      <c r="Y2320"/>
      <c r="AC2320" s="1"/>
    </row>
    <row r="2321" spans="1:29" x14ac:dyDescent="0.3">
      <c r="A2321" s="1">
        <f>ROW(CantoralDB[[#This Row],[Título]])-1</f>
        <v>2320</v>
      </c>
      <c r="B2321" s="1" t="s">
        <v>408</v>
      </c>
      <c r="C2321" s="1" t="s">
        <v>1019</v>
      </c>
      <c r="D2321" s="1" t="s">
        <v>1139</v>
      </c>
      <c r="F2321" s="1">
        <v>68</v>
      </c>
      <c r="H2321" s="1" t="s">
        <v>1027</v>
      </c>
      <c r="J2321" s="1" t="s">
        <v>605</v>
      </c>
      <c r="M2321" s="15" t="s">
        <v>2130</v>
      </c>
      <c r="N2321" s="1" t="s">
        <v>4005</v>
      </c>
      <c r="O2321" s="15">
        <v>6</v>
      </c>
      <c r="P2321" s="15">
        <v>1988</v>
      </c>
      <c r="Q2321" s="15" t="str" cm="1">
        <f t="array" ref="Q23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1" s="15" t="str" cm="1">
        <f t="array" ref="R23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canciones/taize/magnificat_(canon).html</v>
      </c>
      <c r="T2321" s="1"/>
      <c r="U2321" s="1"/>
      <c r="V2321" s="32" t="s">
        <v>4056</v>
      </c>
      <c r="W23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data-nnew="Q61" data-nrcc="68"&gt;&lt;a href="canciones/taize/magnificat_(canon).html"&gt;Magnificat (canon)&lt;/a&gt;&lt;/li&gt;</v>
      </c>
      <c r="X2321" s="15" t="str">
        <f>_xlfn.TEXTBEFORE(_xlfn.TEXTAFTER(CantoralDB[[#This Row],[index.html]],"&gt;"),"&gt;")&amp;"&gt;"</f>
        <v>&lt;a href="canciones/taize/magnificat_(canon).html"&gt;</v>
      </c>
      <c r="Y2321"/>
      <c r="AC2321" s="1"/>
    </row>
    <row r="2322" spans="1:29" x14ac:dyDescent="0.3">
      <c r="A2322" s="1">
        <f>ROW(CantoralDB[[#This Row],[Título]])-1</f>
        <v>2321</v>
      </c>
      <c r="B2322" s="1" t="s">
        <v>468</v>
      </c>
      <c r="C2322" s="1"/>
      <c r="J2322" s="1"/>
      <c r="M2322" s="15" t="s">
        <v>2130</v>
      </c>
      <c r="N2322" s="1" t="s">
        <v>4005</v>
      </c>
      <c r="O2322" s="15">
        <v>7</v>
      </c>
      <c r="P2322" s="15">
        <v>1988</v>
      </c>
      <c r="Q2322" s="15" t="str" cm="1">
        <f t="array" ref="Q23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2" s="15" t="str" cm="1">
        <f t="array" ref="R23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canciones/taize/wait_for_the_lord.html</v>
      </c>
      <c r="T2322" s="1"/>
      <c r="U2322" s="1"/>
      <c r="V2322" s="32" t="s">
        <v>4057</v>
      </c>
      <c r="W23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href="canciones/taize/wait_for_the_lord.html"&gt;Wait for the Lord&lt;/a&gt;&lt;/li&gt;</v>
      </c>
      <c r="X2322" s="15" t="str">
        <f>_xlfn.TEXTBEFORE(_xlfn.TEXTAFTER(CantoralDB[[#This Row],[index.html]],"&gt;"),"&gt;")&amp;"&gt;"</f>
        <v>&lt;a href="canciones/taize/wait_for_the_lord.html"&gt;</v>
      </c>
      <c r="Y2322"/>
      <c r="AC2322" s="1"/>
    </row>
    <row r="2323" spans="1:29" x14ac:dyDescent="0.3">
      <c r="A2323" s="1">
        <f>ROW(CantoralDB[[#This Row],[Título]])-1</f>
        <v>2322</v>
      </c>
      <c r="B2323" s="1" t="s">
        <v>4007</v>
      </c>
      <c r="C2323" s="1"/>
      <c r="J2323" s="1"/>
      <c r="M2323" s="15" t="s">
        <v>2130</v>
      </c>
      <c r="N2323" s="1" t="s">
        <v>4005</v>
      </c>
      <c r="O2323" s="15">
        <v>8</v>
      </c>
      <c r="P2323" s="15">
        <v>1988</v>
      </c>
      <c r="Q2323" s="15" t="str" cm="1">
        <f t="array" ref="Q23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3" s="15" t="str" cm="1">
        <f t="array" ref="R23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canciones/taize/gloria_in_excelsis_deo.html</v>
      </c>
      <c r="T2323" s="1"/>
      <c r="U2323" s="1"/>
      <c r="V2323" s="32" t="s">
        <v>4058</v>
      </c>
      <c r="W23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href="canciones/taize/gloria_in_excelsis_deo.html"&gt;Gloria in excelsis deo&lt;/a&gt;&lt;/li&gt;</v>
      </c>
      <c r="X2323" s="15" t="str">
        <f>_xlfn.TEXTBEFORE(_xlfn.TEXTAFTER(CantoralDB[[#This Row],[index.html]],"&gt;"),"&gt;")&amp;"&gt;"</f>
        <v>&lt;a href="canciones/taize/gloria_in_excelsis_deo.html"&gt;</v>
      </c>
      <c r="Y2323"/>
      <c r="AC2323" s="1"/>
    </row>
    <row r="2324" spans="1:29" x14ac:dyDescent="0.3">
      <c r="A2324" s="1">
        <f>ROW(CantoralDB[[#This Row],[Título]])-1</f>
        <v>2323</v>
      </c>
      <c r="B2324" s="1" t="s">
        <v>336</v>
      </c>
      <c r="C2324" s="1" t="s">
        <v>1019</v>
      </c>
      <c r="D2324" s="1" t="s">
        <v>1107</v>
      </c>
      <c r="F2324" s="1">
        <v>415</v>
      </c>
      <c r="H2324" s="1" t="s">
        <v>529</v>
      </c>
      <c r="I2324" s="1" t="s">
        <v>2946</v>
      </c>
      <c r="J2324" s="1" t="s">
        <v>605</v>
      </c>
      <c r="M2324" s="15" t="s">
        <v>2130</v>
      </c>
      <c r="N2324" s="1" t="s">
        <v>4005</v>
      </c>
      <c r="O2324" s="15">
        <v>9</v>
      </c>
      <c r="P2324" s="15">
        <v>1988</v>
      </c>
      <c r="Q2324" s="15" t="str" cm="1">
        <f t="array" ref="Q23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4" s="15" t="str" cm="1">
        <f t="array" ref="R23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canciones/taize/de_noche.html</v>
      </c>
      <c r="T2324" s="1" t="s">
        <v>956</v>
      </c>
      <c r="U2324" s="1"/>
      <c r="V2324" s="32" t="s">
        <v>4059</v>
      </c>
      <c r="W23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data-nnew="Q29" data-nrcc="415"&gt;&lt;a href="canciones/taize/de_noche.html"&gt;De noche&lt;/a&gt;&lt;/li&gt;</v>
      </c>
      <c r="X2324" s="15" t="str">
        <f>_xlfn.TEXTBEFORE(_xlfn.TEXTAFTER(CantoralDB[[#This Row],[index.html]],"&gt;"),"&gt;")&amp;"&gt;"</f>
        <v>&lt;a href="canciones/taize/de_noche.html"&gt;</v>
      </c>
      <c r="Y2324"/>
      <c r="AC2324" s="1"/>
    </row>
    <row r="2325" spans="1:29" x14ac:dyDescent="0.3">
      <c r="A2325" s="1">
        <f>ROW(CantoralDB[[#This Row],[Título]])-1</f>
        <v>2324</v>
      </c>
      <c r="B2325" s="1" t="s">
        <v>425</v>
      </c>
      <c r="C2325" s="1" t="s">
        <v>1019</v>
      </c>
      <c r="D2325" s="1" t="s">
        <v>1142</v>
      </c>
      <c r="H2325" s="1" t="s">
        <v>529</v>
      </c>
      <c r="I2325" s="1" t="s">
        <v>2946</v>
      </c>
      <c r="J2325" s="1" t="s">
        <v>605</v>
      </c>
      <c r="M2325" s="15" t="s">
        <v>2130</v>
      </c>
      <c r="N2325" s="1" t="s">
        <v>4005</v>
      </c>
      <c r="O2325" s="15">
        <v>11</v>
      </c>
      <c r="P2325" s="15">
        <v>1988</v>
      </c>
      <c r="Q2325" s="15" t="str" cm="1">
        <f t="array" ref="Q23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5" s="15" t="str" cm="1">
        <f t="array" ref="R23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canciones/taize/per_crucem.html</v>
      </c>
      <c r="T2325" s="1"/>
      <c r="U2325" s="1"/>
      <c r="V2325" s="32" t="s">
        <v>4060</v>
      </c>
      <c r="W23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data-nnew="Q66"&gt;&lt;a href="canciones/taize/per_crucem.html"&gt;Per crucem&lt;/a&gt;&lt;/li&gt;</v>
      </c>
      <c r="X2325" s="15" t="str">
        <f>_xlfn.TEXTBEFORE(_xlfn.TEXTAFTER(CantoralDB[[#This Row],[index.html]],"&gt;"),"&gt;")&amp;"&gt;"</f>
        <v>&lt;a href="canciones/taize/per_crucem.html"&gt;</v>
      </c>
      <c r="Y2325"/>
      <c r="AC2325" s="1"/>
    </row>
    <row r="2326" spans="1:29" x14ac:dyDescent="0.3">
      <c r="A2326" s="1">
        <f>ROW(CantoralDB[[#This Row],[Título]])-1</f>
        <v>2325</v>
      </c>
      <c r="B2326" s="1" t="s">
        <v>782</v>
      </c>
      <c r="C2326" s="1" t="s">
        <v>1019</v>
      </c>
      <c r="D2326" s="1" t="s">
        <v>1137</v>
      </c>
      <c r="F2326" s="1">
        <v>429</v>
      </c>
      <c r="H2326" s="1" t="s">
        <v>529</v>
      </c>
      <c r="I2326" s="1" t="s">
        <v>2947</v>
      </c>
      <c r="J2326" s="1" t="s">
        <v>605</v>
      </c>
      <c r="M2326" s="15" t="s">
        <v>2130</v>
      </c>
      <c r="N2326" s="1" t="s">
        <v>4005</v>
      </c>
      <c r="O2326" s="15">
        <v>12</v>
      </c>
      <c r="P2326" s="15">
        <v>1988</v>
      </c>
      <c r="Q2326" s="15" t="str" cm="1">
        <f t="array" ref="Q23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6" s="15" t="str" cm="1">
        <f t="array" ref="R23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canciones/taize/laudate_omnes_gentes.html</v>
      </c>
      <c r="T2326" s="1"/>
      <c r="U2326" s="1"/>
      <c r="V2326" s="32" t="s">
        <v>4061</v>
      </c>
      <c r="W23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data-nnew="Q59" data-nrcc="429"&gt;&lt;a href="canciones/taize/laudate_omnes_gentes.html"&gt;Laudate omnes gentes&lt;/a&gt;&lt;/li&gt;</v>
      </c>
      <c r="X2326" s="15" t="str">
        <f>_xlfn.TEXTBEFORE(_xlfn.TEXTAFTER(CantoralDB[[#This Row],[index.html]],"&gt;"),"&gt;")&amp;"&gt;"</f>
        <v>&lt;a href="canciones/taize/laudate_omnes_gentes.html"&gt;</v>
      </c>
      <c r="Y2326"/>
      <c r="AC2326" s="1"/>
    </row>
    <row r="2327" spans="1:29" x14ac:dyDescent="0.3">
      <c r="A2327" s="1">
        <f>ROW(CantoralDB[[#This Row],[Título]])-1</f>
        <v>2326</v>
      </c>
      <c r="B2327" s="1" t="s">
        <v>346</v>
      </c>
      <c r="C2327" s="1" t="s">
        <v>1019</v>
      </c>
      <c r="D2327" s="1" t="s">
        <v>1117</v>
      </c>
      <c r="H2327" s="1" t="s">
        <v>529</v>
      </c>
      <c r="I2327" s="1" t="s">
        <v>2946</v>
      </c>
      <c r="J2327" s="1" t="s">
        <v>605</v>
      </c>
      <c r="M2327" s="15" t="s">
        <v>2130</v>
      </c>
      <c r="N2327" s="1" t="s">
        <v>4005</v>
      </c>
      <c r="O2327" s="15">
        <v>13</v>
      </c>
      <c r="P2327" s="15">
        <v>1988</v>
      </c>
      <c r="Q2327" s="15" t="str" cm="1">
        <f t="array" ref="Q23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7" s="15" t="str" cm="1">
        <f t="array" ref="R23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canciones/taize/el_senyor.html</v>
      </c>
      <c r="T2327" s="1"/>
      <c r="U2327" s="1"/>
      <c r="V2327" s="32" t="s">
        <v>4062</v>
      </c>
      <c r="W23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data-nnew="Q38"&gt;&lt;a href="canciones/taize/el_senyor.html"&gt;El Senyor&lt;/a&gt;&lt;/li&gt;</v>
      </c>
      <c r="X2327" s="15" t="str">
        <f>_xlfn.TEXTBEFORE(_xlfn.TEXTAFTER(CantoralDB[[#This Row],[index.html]],"&gt;"),"&gt;")&amp;"&gt;"</f>
        <v>&lt;a href="canciones/taize/el_senyor.html"&gt;</v>
      </c>
      <c r="Y2327"/>
      <c r="AC2327" s="1"/>
    </row>
    <row r="2328" spans="1:29" x14ac:dyDescent="0.3">
      <c r="A2328" s="1">
        <f>ROW(CantoralDB[[#This Row],[Título]])-1</f>
        <v>2327</v>
      </c>
      <c r="B2328" s="1" t="s">
        <v>325</v>
      </c>
      <c r="C2328" s="1"/>
      <c r="J2328" s="1"/>
      <c r="M2328" s="15" t="s">
        <v>2130</v>
      </c>
      <c r="N2328" s="1" t="s">
        <v>4005</v>
      </c>
      <c r="O2328" s="15">
        <v>14</v>
      </c>
      <c r="P2328" s="15">
        <v>1988</v>
      </c>
      <c r="Q2328" s="15" t="str" cm="1">
        <f t="array" ref="Q23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8" s="15" t="str" cm="1">
        <f t="array" ref="R23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canciones/taize/cantate_domino.html</v>
      </c>
      <c r="T2328" s="1"/>
      <c r="U2328" s="1"/>
      <c r="V2328" s="32" t="s">
        <v>4063</v>
      </c>
      <c r="W23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href="canciones/taize/cantate_domino.html"&gt;Cantate Domino&lt;/a&gt;&lt;/li&gt;</v>
      </c>
      <c r="X2328" s="15" t="str">
        <f>_xlfn.TEXTBEFORE(_xlfn.TEXTAFTER(CantoralDB[[#This Row],[index.html]],"&gt;"),"&gt;")&amp;"&gt;"</f>
        <v>&lt;a href="canciones/taize/cantate_domino.html"&gt;</v>
      </c>
      <c r="Y2328"/>
      <c r="AC2328" s="1"/>
    </row>
    <row r="2329" spans="1:29" x14ac:dyDescent="0.3">
      <c r="A2329" s="1">
        <f>ROW(CantoralDB[[#This Row],[Título]])-1</f>
        <v>2328</v>
      </c>
      <c r="B2329" s="1" t="s">
        <v>280</v>
      </c>
      <c r="C2329" s="1" t="s">
        <v>1019</v>
      </c>
      <c r="D2329" s="1" t="s">
        <v>1070</v>
      </c>
      <c r="H2329" s="1" t="s">
        <v>1025</v>
      </c>
      <c r="I2329" s="1" t="s">
        <v>2948</v>
      </c>
      <c r="J2329" s="1" t="s">
        <v>605</v>
      </c>
      <c r="M2329" s="15" t="s">
        <v>2130</v>
      </c>
      <c r="N2329" s="1" t="s">
        <v>4049</v>
      </c>
      <c r="O2329" s="15">
        <v>2</v>
      </c>
      <c r="P2329" s="15">
        <v>1998</v>
      </c>
      <c r="Q2329" s="15" t="str" cm="1">
        <f t="array" ref="Q23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29" s="15" t="str" cm="1">
        <f t="array" ref="R23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canciones/taize/adoramus_te_o_christe.html</v>
      </c>
      <c r="T2329" s="1"/>
      <c r="U2329" s="1"/>
      <c r="V2329" s="32" t="s">
        <v>4064</v>
      </c>
      <c r="W23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data-nnew="Q02"&gt;&lt;a href="canciones/taize/adoramus_te_o_christe.html"&gt;Adoramus te O Christe&lt;/a&gt;&lt;/li&gt;</v>
      </c>
      <c r="X2329" s="15" t="str">
        <f>_xlfn.TEXTBEFORE(_xlfn.TEXTAFTER(CantoralDB[[#This Row],[index.html]],"&gt;"),"&gt;")&amp;"&gt;"</f>
        <v>&lt;a href="canciones/taize/adoramus_te_o_christe.html"&gt;</v>
      </c>
      <c r="Y2329"/>
      <c r="AC2329" s="1"/>
    </row>
    <row r="2330" spans="1:29" x14ac:dyDescent="0.3">
      <c r="A2330" s="1">
        <f>ROW(CantoralDB[[#This Row],[Título]])-1</f>
        <v>2329</v>
      </c>
      <c r="B2330" s="1" t="s">
        <v>4029</v>
      </c>
      <c r="C2330" s="1"/>
      <c r="J2330" s="1"/>
      <c r="M2330" s="15" t="s">
        <v>2130</v>
      </c>
      <c r="N2330" s="1" t="s">
        <v>4030</v>
      </c>
      <c r="O2330" s="15">
        <v>1</v>
      </c>
      <c r="P2330" s="15">
        <v>2006</v>
      </c>
      <c r="Q2330" s="15" t="str" cm="1">
        <f t="array" ref="Q23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0" s="15" t="str" cm="1">
        <f t="array" ref="R23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canciones/taize/magnificat_3.html</v>
      </c>
      <c r="T2330" s="1"/>
      <c r="U2330" s="1"/>
      <c r="V2330" s="32" t="s">
        <v>4065</v>
      </c>
      <c r="W23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href="canciones/taize/magnificat_3.html"&gt;Magnificat 3&lt;/a&gt;&lt;/li&gt;</v>
      </c>
      <c r="X2330" s="15" t="str">
        <f>_xlfn.TEXTBEFORE(_xlfn.TEXTAFTER(CantoralDB[[#This Row],[index.html]],"&gt;"),"&gt;")&amp;"&gt;"</f>
        <v>&lt;a href="canciones/taize/magnificat_3.html"&gt;</v>
      </c>
      <c r="Y2330"/>
      <c r="AC2330" s="1"/>
    </row>
    <row r="2331" spans="1:29" x14ac:dyDescent="0.3">
      <c r="A2331" s="1">
        <f>ROW(CantoralDB[[#This Row],[Título]])-1</f>
        <v>2330</v>
      </c>
      <c r="B2331" s="1" t="s">
        <v>324</v>
      </c>
      <c r="C2331" s="1" t="s">
        <v>1019</v>
      </c>
      <c r="D2331" s="1" t="s">
        <v>1091</v>
      </c>
      <c r="H2331" s="1" t="s">
        <v>1027</v>
      </c>
      <c r="J2331" s="1" t="s">
        <v>605</v>
      </c>
      <c r="M2331" s="15" t="s">
        <v>2130</v>
      </c>
      <c r="N2331" s="1" t="s">
        <v>4030</v>
      </c>
      <c r="O2331" s="15">
        <v>2</v>
      </c>
      <c r="P2331" s="15">
        <v>2006</v>
      </c>
      <c r="Q2331" s="15" t="str" cm="1">
        <f t="array" ref="Q23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1" s="15" t="str" cm="1">
        <f t="array" ref="R23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canciones/taize/cantarei_ao_senhor.html</v>
      </c>
      <c r="T2331" s="1"/>
      <c r="U2331" s="1"/>
      <c r="V2331" s="32" t="s">
        <v>4066</v>
      </c>
      <c r="W23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data-nnew="Q20"&gt;&lt;a href="canciones/taize/cantarei_ao_senhor.html"&gt;Cantarei ao Senhor&lt;/a&gt;&lt;/li&gt;</v>
      </c>
      <c r="X2331" s="15" t="str">
        <f>_xlfn.TEXTBEFORE(_xlfn.TEXTAFTER(CantoralDB[[#This Row],[index.html]],"&gt;"),"&gt;")&amp;"&gt;"</f>
        <v>&lt;a href="canciones/taize/cantarei_ao_senhor.html"&gt;</v>
      </c>
      <c r="Y2331"/>
      <c r="AC2331" s="1"/>
    </row>
    <row r="2332" spans="1:29" x14ac:dyDescent="0.3">
      <c r="A2332" s="1">
        <f>ROW(CantoralDB[[#This Row],[Título]])-1</f>
        <v>2331</v>
      </c>
      <c r="B2332" s="1" t="s">
        <v>311</v>
      </c>
      <c r="C2332" s="1" t="s">
        <v>1019</v>
      </c>
      <c r="D2332" s="1" t="s">
        <v>1083</v>
      </c>
      <c r="H2332" s="1" t="s">
        <v>529</v>
      </c>
      <c r="I2332" s="1" t="s">
        <v>2947</v>
      </c>
      <c r="J2332" s="1" t="s">
        <v>605</v>
      </c>
      <c r="M2332" s="15" t="s">
        <v>2130</v>
      </c>
      <c r="N2332" s="1" t="s">
        <v>4030</v>
      </c>
      <c r="O2332" s="15">
        <v>3</v>
      </c>
      <c r="P2332" s="15">
        <v>2006</v>
      </c>
      <c r="Q2332" s="15" t="str" cm="1">
        <f t="array" ref="Q23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2" s="15" t="str" cm="1">
        <f t="array" ref="R23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canciones/taize/behüte_mich_gott.html</v>
      </c>
      <c r="T2332" s="1"/>
      <c r="U2332" s="1"/>
      <c r="V2332" s="32" t="s">
        <v>4067</v>
      </c>
      <c r="W23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data-nnew="Q12"&gt;&lt;a href="canciones/taize/behüte_mich_gott.html"&gt;Behüte mich Gott&lt;/a&gt;&lt;/li&gt;</v>
      </c>
      <c r="X2332" s="15" t="str">
        <f>_xlfn.TEXTBEFORE(_xlfn.TEXTAFTER(CantoralDB[[#This Row],[index.html]],"&gt;"),"&gt;")&amp;"&gt;"</f>
        <v>&lt;a href="canciones/taize/behüte_mich_gott.html"&gt;</v>
      </c>
      <c r="Y2332"/>
      <c r="AC2332" s="1"/>
    </row>
    <row r="2333" spans="1:29" x14ac:dyDescent="0.3">
      <c r="A2333" s="1">
        <f>ROW(CantoralDB[[#This Row],[Título]])-1</f>
        <v>2332</v>
      </c>
      <c r="B2333" s="1" t="s">
        <v>439</v>
      </c>
      <c r="C2333" s="1"/>
      <c r="J2333" s="1"/>
      <c r="M2333" s="15" t="s">
        <v>2130</v>
      </c>
      <c r="N2333" s="1" t="s">
        <v>4030</v>
      </c>
      <c r="O2333" s="15">
        <v>4</v>
      </c>
      <c r="P2333" s="15">
        <v>2006</v>
      </c>
      <c r="Q2333" s="15" t="str" cm="1">
        <f t="array" ref="Q23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3" s="15" t="str" cm="1">
        <f t="array" ref="R23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canciones/taize/sit_nomen_domini.html</v>
      </c>
      <c r="T2333" s="1"/>
      <c r="U2333" s="1"/>
      <c r="V2333" s="32" t="s">
        <v>4068</v>
      </c>
      <c r="W23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href="canciones/taize/sit_nomen_domini.html"&gt;Sit nomen Domini&lt;/a&gt;&lt;/li&gt;</v>
      </c>
      <c r="X2333" s="15" t="str">
        <f>_xlfn.TEXTBEFORE(_xlfn.TEXTAFTER(CantoralDB[[#This Row],[index.html]],"&gt;"),"&gt;")&amp;"&gt;"</f>
        <v>&lt;a href="canciones/taize/sit_nomen_domini.html"&gt;</v>
      </c>
      <c r="Y2333"/>
      <c r="AC2333" s="1"/>
    </row>
    <row r="2334" spans="1:29" x14ac:dyDescent="0.3">
      <c r="A2334" s="1">
        <f>ROW(CantoralDB[[#This Row],[Título]])-1</f>
        <v>2333</v>
      </c>
      <c r="B2334" s="1" t="s">
        <v>366</v>
      </c>
      <c r="C2334" s="1" t="s">
        <v>1019</v>
      </c>
      <c r="D2334" s="1" t="s">
        <v>1124</v>
      </c>
      <c r="H2334" s="1" t="s">
        <v>1024</v>
      </c>
      <c r="I2334" s="1" t="s">
        <v>2948</v>
      </c>
      <c r="J2334" s="1" t="s">
        <v>605</v>
      </c>
      <c r="M2334" s="15" t="s">
        <v>2130</v>
      </c>
      <c r="N2334" s="1" t="s">
        <v>4030</v>
      </c>
      <c r="O2334" s="15">
        <v>5</v>
      </c>
      <c r="P2334" s="15">
        <v>2006</v>
      </c>
      <c r="Q2334" s="15" t="str" cm="1">
        <f t="array" ref="Q23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4" s="15" t="str" cm="1">
        <f t="array" ref="R23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canciones/taize/i_am_sure_i_shall_see.html</v>
      </c>
      <c r="T2334" s="1"/>
      <c r="U2334" s="1"/>
      <c r="V2334" s="32" t="s">
        <v>4069</v>
      </c>
      <c r="W23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data-nnew="Q42"&gt;&lt;a href="canciones/taize/i_am_sure_i_shall_see.html"&gt;I am sure I shall see&lt;/a&gt;&lt;/li&gt;</v>
      </c>
      <c r="X2334" s="15" t="str">
        <f>_xlfn.TEXTBEFORE(_xlfn.TEXTAFTER(CantoralDB[[#This Row],[index.html]],"&gt;"),"&gt;")&amp;"&gt;"</f>
        <v>&lt;a href="canciones/taize/i_am_sure_i_shall_see.html"&gt;</v>
      </c>
      <c r="Y2334"/>
      <c r="AC2334" s="1"/>
    </row>
    <row r="2335" spans="1:29" x14ac:dyDescent="0.3">
      <c r="A2335" s="1">
        <f>ROW(CantoralDB[[#This Row],[Título]])-1</f>
        <v>2334</v>
      </c>
      <c r="B2335" s="1" t="s">
        <v>435</v>
      </c>
      <c r="C2335" s="1"/>
      <c r="J2335" s="1"/>
      <c r="M2335" s="15" t="s">
        <v>2130</v>
      </c>
      <c r="N2335" s="1" t="s">
        <v>4030</v>
      </c>
      <c r="O2335" s="15">
        <v>6</v>
      </c>
      <c r="P2335" s="15">
        <v>2006</v>
      </c>
      <c r="Q2335" s="15" t="str" cm="1">
        <f t="array" ref="Q23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5" s="15" t="str" cm="1">
        <f t="array" ref="R23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canciones/taize/seigneur_tu_gardes_mon_âme.html</v>
      </c>
      <c r="T2335" s="1"/>
      <c r="U2335" s="1"/>
      <c r="V2335" s="32" t="s">
        <v>4070</v>
      </c>
      <c r="W23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href="canciones/taize/seigneur_tu_gardes_mon_âme.html"&gt;Seigneur, tu gardes mon âme&lt;/a&gt;&lt;/li&gt;</v>
      </c>
      <c r="X2335" s="15" t="str">
        <f>_xlfn.TEXTBEFORE(_xlfn.TEXTAFTER(CantoralDB[[#This Row],[index.html]],"&gt;"),"&gt;")&amp;"&gt;"</f>
        <v>&lt;a href="canciones/taize/seigneur_tu_gardes_mon_âme.html"&gt;</v>
      </c>
      <c r="Y2335"/>
      <c r="AC2335" s="1"/>
    </row>
    <row r="2336" spans="1:29" x14ac:dyDescent="0.3">
      <c r="A2336" s="1">
        <f>ROW(CantoralDB[[#This Row],[Título]])-1</f>
        <v>2335</v>
      </c>
      <c r="B2336" s="1" t="s">
        <v>4031</v>
      </c>
      <c r="C2336" s="1"/>
      <c r="J2336" s="1"/>
      <c r="M2336" s="15" t="s">
        <v>2130</v>
      </c>
      <c r="N2336" s="1" t="s">
        <v>4030</v>
      </c>
      <c r="O2336" s="15">
        <v>7</v>
      </c>
      <c r="P2336" s="15">
        <v>2006</v>
      </c>
      <c r="Q2336" s="15" t="str" cm="1">
        <f t="array" ref="Q23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6" s="15" t="str" cm="1">
        <f t="array" ref="R23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canciones/taize/viespatie_tu_viska_zinai.html</v>
      </c>
      <c r="T2336" s="1"/>
      <c r="U2336" s="1"/>
      <c r="V2336" s="32" t="s">
        <v>4071</v>
      </c>
      <c r="W23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href="canciones/taize/viespatie_tu_viska_zinai.html"&gt;Viespatie, tu viska zinai&lt;/a&gt;&lt;/li&gt;</v>
      </c>
      <c r="X2336" s="15" t="str">
        <f>_xlfn.TEXTBEFORE(_xlfn.TEXTAFTER(CantoralDB[[#This Row],[index.html]],"&gt;"),"&gt;")&amp;"&gt;"</f>
        <v>&lt;a href="canciones/taize/viespatie_tu_viska_zinai.html"&gt;</v>
      </c>
      <c r="Y2336"/>
      <c r="AC2336" s="1"/>
    </row>
    <row r="2337" spans="1:29" x14ac:dyDescent="0.3">
      <c r="A2337" s="1">
        <f>ROW(CantoralDB[[#This Row],[Título]])-1</f>
        <v>2336</v>
      </c>
      <c r="B2337" s="1" t="s">
        <v>351</v>
      </c>
      <c r="C2337" s="1"/>
      <c r="J2337" s="1"/>
      <c r="M2337" s="15" t="s">
        <v>2130</v>
      </c>
      <c r="N2337" s="1" t="s">
        <v>4030</v>
      </c>
      <c r="O2337" s="15">
        <v>8</v>
      </c>
      <c r="P2337" s="15">
        <v>2006</v>
      </c>
      <c r="Q2337" s="15" t="str" cm="1">
        <f t="array" ref="Q23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7" s="15" t="str" cm="1">
        <f t="array" ref="R23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canciones/taize/fiez-vous_en_lui.html</v>
      </c>
      <c r="T2337" s="1"/>
      <c r="U2337" s="1"/>
      <c r="V2337" s="32" t="s">
        <v>4072</v>
      </c>
      <c r="W23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href="canciones/taize/fiez-vous_en_lui.html"&gt;Fiez-vous en Lui&lt;/a&gt;&lt;/li&gt;</v>
      </c>
      <c r="X2337" s="15" t="str">
        <f>_xlfn.TEXTBEFORE(_xlfn.TEXTAFTER(CantoralDB[[#This Row],[index.html]],"&gt;"),"&gt;")&amp;"&gt;"</f>
        <v>&lt;a href="canciones/taize/fiez-vous_en_lui.html"&gt;</v>
      </c>
      <c r="Y2337"/>
      <c r="AC2337" s="1"/>
    </row>
    <row r="2338" spans="1:29" x14ac:dyDescent="0.3">
      <c r="A2338" s="1">
        <f>ROW(CantoralDB[[#This Row],[Título]])-1</f>
        <v>2337</v>
      </c>
      <c r="B2338" s="1" t="s">
        <v>326</v>
      </c>
      <c r="C2338" s="1" t="s">
        <v>1019</v>
      </c>
      <c r="D2338" s="1" t="s">
        <v>1092</v>
      </c>
      <c r="H2338" s="1" t="s">
        <v>1027</v>
      </c>
      <c r="J2338" s="1" t="s">
        <v>605</v>
      </c>
      <c r="M2338" s="15" t="s">
        <v>2130</v>
      </c>
      <c r="N2338" s="1" t="s">
        <v>4030</v>
      </c>
      <c r="O2338" s="15">
        <v>9</v>
      </c>
      <c r="P2338" s="15">
        <v>2006</v>
      </c>
      <c r="Q2338" s="15" t="str" cm="1">
        <f t="array" ref="Q23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8" s="15" t="str" cm="1">
        <f t="array" ref="R23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canciones/taize/cantate_domino_canticum_novum.html</v>
      </c>
      <c r="T2338" s="1"/>
      <c r="U2338" s="1"/>
      <c r="V2338" s="32" t="s">
        <v>4073</v>
      </c>
      <c r="W23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data-nnew="Q22"&gt;&lt;a href="canciones/taize/cantate_domino_canticum_novum.html"&gt;Cantate Domino canticum novum&lt;/a&gt;&lt;/li&gt;</v>
      </c>
      <c r="X2338" s="15" t="str">
        <f>_xlfn.TEXTBEFORE(_xlfn.TEXTAFTER(CantoralDB[[#This Row],[index.html]],"&gt;"),"&gt;")&amp;"&gt;"</f>
        <v>&lt;a href="canciones/taize/cantate_domino_canticum_novum.html"&gt;</v>
      </c>
      <c r="Y2338"/>
      <c r="AC2338" s="1"/>
    </row>
    <row r="2339" spans="1:29" x14ac:dyDescent="0.3">
      <c r="A2339" s="1">
        <f>ROW(CantoralDB[[#This Row],[Título]])-1</f>
        <v>2338</v>
      </c>
      <c r="B2339" s="1" t="s">
        <v>398</v>
      </c>
      <c r="C2339" s="1" t="s">
        <v>1019</v>
      </c>
      <c r="D2339" s="1" t="s">
        <v>1131</v>
      </c>
      <c r="H2339" s="1" t="s">
        <v>529</v>
      </c>
      <c r="I2339" s="1" t="s">
        <v>2947</v>
      </c>
      <c r="J2339" s="1" t="s">
        <v>605</v>
      </c>
      <c r="M2339" s="15" t="s">
        <v>2130</v>
      </c>
      <c r="N2339" s="1" t="s">
        <v>4030</v>
      </c>
      <c r="O2339" s="15">
        <v>10</v>
      </c>
      <c r="P2339" s="15">
        <v>2006</v>
      </c>
      <c r="Q2339" s="15" t="str" cm="1">
        <f t="array" ref="Q23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39" s="15" t="str" cm="1">
        <f t="array" ref="R23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canciones/taize/kyrie_20.html</v>
      </c>
      <c r="T2339" s="1"/>
      <c r="U2339" s="1"/>
      <c r="V2339" s="32" t="s">
        <v>4074</v>
      </c>
      <c r="W23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data-nnew="Q56"&gt;&lt;a href="canciones/taize/kyrie_20.html"&gt;Kyrie 20&lt;/a&gt;&lt;/li&gt;</v>
      </c>
      <c r="X2339" s="15" t="str">
        <f>_xlfn.TEXTBEFORE(_xlfn.TEXTAFTER(CantoralDB[[#This Row],[index.html]],"&gt;"),"&gt;")&amp;"&gt;"</f>
        <v>&lt;a href="canciones/taize/kyrie_20.html"&gt;</v>
      </c>
      <c r="Y2339"/>
      <c r="AC2339" s="1"/>
    </row>
    <row r="2340" spans="1:29" x14ac:dyDescent="0.3">
      <c r="A2340" s="1">
        <f>ROW(CantoralDB[[#This Row],[Título]])-1</f>
        <v>2339</v>
      </c>
      <c r="B2340" s="1" t="s">
        <v>4032</v>
      </c>
      <c r="C2340" s="1"/>
      <c r="J2340" s="1"/>
      <c r="M2340" s="15" t="s">
        <v>2130</v>
      </c>
      <c r="N2340" s="1" t="s">
        <v>4030</v>
      </c>
      <c r="O2340" s="15">
        <v>11</v>
      </c>
      <c r="P2340" s="15">
        <v>2006</v>
      </c>
      <c r="Q2340" s="15" t="str" cm="1">
        <f t="array" ref="Q23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0" s="15" t="str" cm="1">
        <f t="array" ref="R23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canciones/taize/frieden_frieden.html</v>
      </c>
      <c r="T2340" s="1"/>
      <c r="U2340" s="1"/>
      <c r="V2340" s="32" t="s">
        <v>4075</v>
      </c>
      <c r="W23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href="canciones/taize/frieden_frieden.html"&gt;Frieden, frieden&lt;/a&gt;&lt;/li&gt;</v>
      </c>
      <c r="X2340" s="15" t="str">
        <f>_xlfn.TEXTBEFORE(_xlfn.TEXTAFTER(CantoralDB[[#This Row],[index.html]],"&gt;"),"&gt;")&amp;"&gt;"</f>
        <v>&lt;a href="canciones/taize/frieden_frieden.html"&gt;</v>
      </c>
      <c r="Y2340"/>
      <c r="AC2340" s="1"/>
    </row>
    <row r="2341" spans="1:29" x14ac:dyDescent="0.3">
      <c r="A2341" s="1">
        <f>ROW(CantoralDB[[#This Row],[Título]])-1</f>
        <v>2340</v>
      </c>
      <c r="B2341" s="1" t="s">
        <v>4033</v>
      </c>
      <c r="C2341" s="1"/>
      <c r="J2341" s="1"/>
      <c r="M2341" s="15" t="s">
        <v>2130</v>
      </c>
      <c r="N2341" s="1" t="s">
        <v>4030</v>
      </c>
      <c r="O2341" s="15">
        <v>12</v>
      </c>
      <c r="P2341" s="15">
        <v>2006</v>
      </c>
      <c r="Q2341" s="15" t="str" cm="1">
        <f t="array" ref="Q23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1" s="15" t="str" cm="1">
        <f t="array" ref="R23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canciones/taize/que_j'exulte_et_jubile.html</v>
      </c>
      <c r="T2341" s="1"/>
      <c r="U2341" s="1"/>
      <c r="V2341" s="32" t="s">
        <v>4076</v>
      </c>
      <c r="W23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href="canciones/taize/que_j'exulte_et_jubile.html"&gt;Que j'exulte et jubile&lt;/a&gt;&lt;/li&gt;</v>
      </c>
      <c r="X2341" s="15" t="str">
        <f>_xlfn.TEXTBEFORE(_xlfn.TEXTAFTER(CantoralDB[[#This Row],[index.html]],"&gt;"),"&gt;")&amp;"&gt;"</f>
        <v>&lt;a href="canciones/taize/que_j'exulte_et_jubile.html"&gt;</v>
      </c>
      <c r="Y2341"/>
      <c r="AC2341" s="1"/>
    </row>
    <row r="2342" spans="1:29" x14ac:dyDescent="0.3">
      <c r="A2342" s="1">
        <f>ROW(CantoralDB[[#This Row],[Título]])-1</f>
        <v>2341</v>
      </c>
      <c r="B2342" s="1" t="s">
        <v>328</v>
      </c>
      <c r="C2342" s="1" t="s">
        <v>1019</v>
      </c>
      <c r="D2342" s="1" t="s">
        <v>1094</v>
      </c>
      <c r="H2342" s="1" t="s">
        <v>1024</v>
      </c>
      <c r="I2342" s="1" t="s">
        <v>2947</v>
      </c>
      <c r="J2342" s="1" t="s">
        <v>605</v>
      </c>
      <c r="M2342" s="15" t="s">
        <v>2130</v>
      </c>
      <c r="N2342" s="1" t="s">
        <v>4030</v>
      </c>
      <c r="O2342" s="15">
        <v>13</v>
      </c>
      <c r="P2342" s="15">
        <v>2006</v>
      </c>
      <c r="Q2342" s="15" t="str" cm="1">
        <f t="array" ref="Q23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2" s="15" t="str" cm="1">
        <f t="array" ref="R23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canciones/taize/christe_lux_mundi.html</v>
      </c>
      <c r="T2342" s="1"/>
      <c r="U2342" s="1"/>
      <c r="V2342" s="32" t="s">
        <v>4077</v>
      </c>
      <c r="W23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data-nnew="Q21"&gt;&lt;a href="canciones/taize/christe_lux_mundi.html"&gt;Christe, lux mundi&lt;/a&gt;&lt;/li&gt;</v>
      </c>
      <c r="X2342" s="15" t="str">
        <f>_xlfn.TEXTBEFORE(_xlfn.TEXTAFTER(CantoralDB[[#This Row],[index.html]],"&gt;"),"&gt;")&amp;"&gt;"</f>
        <v>&lt;a href="canciones/taize/christe_lux_mundi.html"&gt;</v>
      </c>
      <c r="Y2342"/>
      <c r="AC2342" s="1"/>
    </row>
    <row r="2343" spans="1:29" x14ac:dyDescent="0.3">
      <c r="A2343" s="1">
        <f>ROW(CantoralDB[[#This Row],[Título]])-1</f>
        <v>2342</v>
      </c>
      <c r="B2343" s="1" t="s">
        <v>341</v>
      </c>
      <c r="C2343" s="1" t="s">
        <v>1019</v>
      </c>
      <c r="D2343" s="1" t="s">
        <v>1097</v>
      </c>
      <c r="H2343" s="1" t="s">
        <v>529</v>
      </c>
      <c r="J2343" s="1" t="s">
        <v>605</v>
      </c>
      <c r="M2343" s="15" t="s">
        <v>2130</v>
      </c>
      <c r="N2343" s="1" t="s">
        <v>4030</v>
      </c>
      <c r="O2343" s="15">
        <v>14</v>
      </c>
      <c r="P2343" s="15">
        <v>2006</v>
      </c>
      <c r="Q2343" s="15" t="str" cm="1">
        <f t="array" ref="Q23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3" s="15" t="str" cm="1">
        <f t="array" ref="R23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canciones/taize/dominus_spiritus_est.html</v>
      </c>
      <c r="T2343" s="1"/>
      <c r="U2343" s="1"/>
      <c r="V2343" s="32" t="s">
        <v>4078</v>
      </c>
      <c r="W23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data-nnew="Q33"&gt;&lt;a href="canciones/taize/dominus_spiritus_est.html"&gt;Dominus spiritus est&lt;/a&gt;&lt;/li&gt;</v>
      </c>
      <c r="X2343" s="15" t="str">
        <f>_xlfn.TEXTBEFORE(_xlfn.TEXTAFTER(CantoralDB[[#This Row],[index.html]],"&gt;"),"&gt;")&amp;"&gt;"</f>
        <v>&lt;a href="canciones/taize/dominus_spiritus_est.html"&gt;</v>
      </c>
      <c r="Y2343"/>
      <c r="AC2343" s="1"/>
    </row>
    <row r="2344" spans="1:29" x14ac:dyDescent="0.3">
      <c r="A2344" s="1">
        <f>ROW(CantoralDB[[#This Row],[Título]])-1</f>
        <v>2343</v>
      </c>
      <c r="B2344" s="1" t="s">
        <v>384</v>
      </c>
      <c r="C2344" s="1"/>
      <c r="J2344" s="1"/>
      <c r="M2344" s="15" t="s">
        <v>2130</v>
      </c>
      <c r="N2344" s="1" t="s">
        <v>4030</v>
      </c>
      <c r="O2344" s="15">
        <v>15</v>
      </c>
      <c r="P2344" s="15">
        <v>2006</v>
      </c>
      <c r="Q2344" s="15" t="str" cm="1">
        <f t="array" ref="Q23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4" s="15" t="str" cm="1">
        <f t="array" ref="R23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canciones/taize/kristus_din_ande.html</v>
      </c>
      <c r="T2344" s="1"/>
      <c r="U2344" s="1"/>
      <c r="V2344" s="32" t="s">
        <v>4079</v>
      </c>
      <c r="W23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href="canciones/taize/kristus_din_ande.html"&gt;Kristus, din Ande&lt;/a&gt;&lt;/li&gt;</v>
      </c>
      <c r="X2344" s="15" t="str">
        <f>_xlfn.TEXTBEFORE(_xlfn.TEXTAFTER(CantoralDB[[#This Row],[index.html]],"&gt;"),"&gt;")&amp;"&gt;"</f>
        <v>&lt;a href="canciones/taize/kristus_din_ande.html"&gt;</v>
      </c>
      <c r="Y2344"/>
      <c r="AC2344" s="1"/>
    </row>
    <row r="2345" spans="1:29" x14ac:dyDescent="0.3">
      <c r="A2345" s="1">
        <f>ROW(CantoralDB[[#This Row],[Título]])-1</f>
        <v>2344</v>
      </c>
      <c r="B2345" s="1" t="s">
        <v>321</v>
      </c>
      <c r="C2345" s="1"/>
      <c r="J2345" s="1"/>
      <c r="M2345" s="15" t="s">
        <v>2130</v>
      </c>
      <c r="N2345" s="1" t="s">
        <v>4030</v>
      </c>
      <c r="O2345" s="15">
        <v>16</v>
      </c>
      <c r="P2345" s="15">
        <v>2006</v>
      </c>
      <c r="Q2345" s="15" t="str" cm="1">
        <f t="array" ref="Q23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5" s="15" t="str" cm="1">
        <f t="array" ref="R23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canciones/taize/bogoroditse_dievo_2.html</v>
      </c>
      <c r="T2345" s="1"/>
      <c r="U2345" s="1"/>
      <c r="V2345" s="32" t="s">
        <v>4080</v>
      </c>
      <c r="W23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href="canciones/taize/bogoroditse_dievo_2.html"&gt;Bogoroditse Dievo 2&lt;/a&gt;&lt;/li&gt;</v>
      </c>
      <c r="X2345" s="15" t="str">
        <f>_xlfn.TEXTBEFORE(_xlfn.TEXTAFTER(CantoralDB[[#This Row],[index.html]],"&gt;"),"&gt;")&amp;"&gt;"</f>
        <v>&lt;a href="canciones/taize/bogoroditse_dievo_2.html"&gt;</v>
      </c>
      <c r="Y2345"/>
      <c r="AC2345" s="1"/>
    </row>
    <row r="2346" spans="1:29" x14ac:dyDescent="0.3">
      <c r="A2346" s="1">
        <f>ROW(CantoralDB[[#This Row],[Título]])-1</f>
        <v>2345</v>
      </c>
      <c r="B2346" s="1" t="s">
        <v>4047</v>
      </c>
      <c r="C2346" s="1"/>
      <c r="J2346" s="1"/>
      <c r="M2346" s="15" t="s">
        <v>2130</v>
      </c>
      <c r="N2346" s="1" t="s">
        <v>343</v>
      </c>
      <c r="O2346" s="15">
        <v>1</v>
      </c>
      <c r="P2346" s="15">
        <v>2026</v>
      </c>
      <c r="Q2346" s="15" t="str" cm="1">
        <f t="array" ref="Q23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6" s="15" t="str" cm="1">
        <f t="array" ref="R23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canciones/taize/adsumus_sancte_spiritus.html</v>
      </c>
      <c r="T2346" s="1"/>
      <c r="U2346" s="1"/>
      <c r="V2346" s="32" t="s">
        <v>4081</v>
      </c>
      <c r="W23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href="canciones/taize/adsumus_sancte_spiritus.html"&gt;Adsumus Sancte Spiritus&lt;/a&gt;&lt;/li&gt;</v>
      </c>
      <c r="X2346" s="15" t="str">
        <f>_xlfn.TEXTBEFORE(_xlfn.TEXTAFTER(CantoralDB[[#This Row],[index.html]],"&gt;"),"&gt;")&amp;"&gt;"</f>
        <v>&lt;a href="canciones/taize/adsumus_sancte_spiritus.html"&gt;</v>
      </c>
      <c r="Y2346"/>
      <c r="AC2346" s="1"/>
    </row>
    <row r="2347" spans="1:29" x14ac:dyDescent="0.3">
      <c r="A2347" s="1">
        <f>ROW(CantoralDB[[#This Row],[Título]])-1</f>
        <v>2346</v>
      </c>
      <c r="B2347" s="1" t="s">
        <v>426</v>
      </c>
      <c r="C2347" s="1"/>
      <c r="J2347" s="1"/>
      <c r="M2347" s="15" t="s">
        <v>2130</v>
      </c>
      <c r="N2347" s="1" t="s">
        <v>343</v>
      </c>
      <c r="O2347" s="15">
        <v>6</v>
      </c>
      <c r="P2347" s="15">
        <v>2026</v>
      </c>
      <c r="Q2347" s="15" t="str" cm="1">
        <f t="array" ref="Q23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7" s="15" t="str" cm="1">
        <f t="array" ref="R23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canciones/taize/przybądź_duchu_boży.html</v>
      </c>
      <c r="T2347" s="1"/>
      <c r="U2347" s="1"/>
      <c r="V2347" s="32" t="s">
        <v>4082</v>
      </c>
      <c r="W23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href="canciones/taize/przybądź_duchu_boży.html"&gt;Przybądź, Duchu Boży&lt;/a&gt;&lt;/li&gt;</v>
      </c>
      <c r="X2347" s="15" t="str">
        <f>_xlfn.TEXTBEFORE(_xlfn.TEXTAFTER(CantoralDB[[#This Row],[index.html]],"&gt;"),"&gt;")&amp;"&gt;"</f>
        <v>&lt;a href="canciones/taize/przybądź_duchu_boży.html"&gt;</v>
      </c>
      <c r="Y2347"/>
      <c r="AC2347" s="1"/>
    </row>
    <row r="2348" spans="1:29" x14ac:dyDescent="0.3">
      <c r="A2348" s="1">
        <f>ROW(CantoralDB[[#This Row],[Título]])-1</f>
        <v>2347</v>
      </c>
      <c r="B2348" s="1" t="s">
        <v>275</v>
      </c>
      <c r="C2348" s="1" t="s">
        <v>1019</v>
      </c>
      <c r="D2348" s="1" t="s">
        <v>1113</v>
      </c>
      <c r="H2348" s="1" t="s">
        <v>1027</v>
      </c>
      <c r="J2348" s="1" t="s">
        <v>605</v>
      </c>
      <c r="M2348" s="15" t="s">
        <v>2130</v>
      </c>
      <c r="N2348" s="1" t="s">
        <v>343</v>
      </c>
      <c r="O2348" s="15">
        <v>8</v>
      </c>
      <c r="P2348" s="15">
        <v>2026</v>
      </c>
      <c r="Q2348" s="15" t="str" cm="1">
        <f t="array" ref="Q23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8" s="15" t="str" cm="1">
        <f t="array" ref="R23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canciones/taize/herre_visa_mig_vägen.html</v>
      </c>
      <c r="T2348" s="1"/>
      <c r="U2348" s="1"/>
      <c r="V2348" s="32" t="s">
        <v>4083</v>
      </c>
      <c r="W23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data-nnew="Q40"&gt;&lt;a href="canciones/taize/herre_visa_mig_vägen.html"&gt;Herre, visa mig vägen&lt;/a&gt;&lt;/li&gt;</v>
      </c>
      <c r="X2348" s="15" t="str">
        <f>_xlfn.TEXTBEFORE(_xlfn.TEXTAFTER(CantoralDB[[#This Row],[index.html]],"&gt;"),"&gt;")&amp;"&gt;"</f>
        <v>&lt;a href="canciones/taize/herre_visa_mig_vägen.html"&gt;</v>
      </c>
      <c r="Y2348"/>
      <c r="AC2348" s="1"/>
    </row>
    <row r="2349" spans="1:29" x14ac:dyDescent="0.3">
      <c r="A2349" s="1">
        <f>ROW(CantoralDB[[#This Row],[Título]])-1</f>
        <v>2348</v>
      </c>
      <c r="B2349" s="1" t="s">
        <v>465</v>
      </c>
      <c r="C2349" s="1" t="s">
        <v>1019</v>
      </c>
      <c r="D2349" s="1" t="s">
        <v>1149</v>
      </c>
      <c r="H2349" s="1" t="s">
        <v>1024</v>
      </c>
      <c r="I2349" s="1" t="s">
        <v>2948</v>
      </c>
      <c r="J2349" s="1" t="s">
        <v>605</v>
      </c>
      <c r="M2349" s="15" t="s">
        <v>2130</v>
      </c>
      <c r="N2349" s="1" t="s">
        <v>343</v>
      </c>
      <c r="O2349" s="15">
        <v>9</v>
      </c>
      <c r="P2349" s="15">
        <v>2026</v>
      </c>
      <c r="Q2349" s="15" t="str" cm="1">
        <f t="array" ref="Q23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49" s="15" t="str" cm="1">
        <f t="array" ref="R23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canciones/taize/vieni_spirito_creatore_(canon).html</v>
      </c>
      <c r="T2349" s="1"/>
      <c r="U2349" s="1"/>
      <c r="V2349" s="32" t="s">
        <v>4084</v>
      </c>
      <c r="W23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data-nnew="Q80"&gt;&lt;a href="canciones/taize/vieni_spirito_creatore_(canon).html"&gt;Vieni Spirito creatore (canon)&lt;/a&gt;&lt;/li&gt;</v>
      </c>
      <c r="X2349" s="15" t="str">
        <f>_xlfn.TEXTBEFORE(_xlfn.TEXTAFTER(CantoralDB[[#This Row],[index.html]],"&gt;"),"&gt;")&amp;"&gt;"</f>
        <v>&lt;a href="canciones/taize/vieni_spirito_creatore_(canon).html"&gt;</v>
      </c>
      <c r="Y2349"/>
      <c r="AC2349" s="1"/>
    </row>
    <row r="2350" spans="1:29" x14ac:dyDescent="0.3">
      <c r="A2350" s="1">
        <f>ROW(CantoralDB[[#This Row],[Título]])-1</f>
        <v>2349</v>
      </c>
      <c r="B2350" s="1" t="s">
        <v>4048</v>
      </c>
      <c r="C2350" s="1"/>
      <c r="J2350" s="1"/>
      <c r="M2350" s="15" t="s">
        <v>2130</v>
      </c>
      <c r="N2350" s="1" t="s">
        <v>343</v>
      </c>
      <c r="O2350" s="15">
        <v>10</v>
      </c>
      <c r="P2350" s="15">
        <v>2026</v>
      </c>
      <c r="Q2350" s="15" t="str" cm="1">
        <f t="array" ref="Q23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0" s="15" t="str" cm="1">
        <f t="array" ref="R23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canciones/taize/tibi_deo_gloria.html</v>
      </c>
      <c r="T2350" s="1"/>
      <c r="U2350" s="1"/>
      <c r="V2350" s="32" t="s">
        <v>4085</v>
      </c>
      <c r="W23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href="canciones/taize/tibi_deo_gloria.html"&gt;Tibi Deo gloria&lt;/a&gt;&lt;/li&gt;</v>
      </c>
      <c r="X2350" s="15" t="str">
        <f>_xlfn.TEXTBEFORE(_xlfn.TEXTAFTER(CantoralDB[[#This Row],[index.html]],"&gt;"),"&gt;")&amp;"&gt;"</f>
        <v>&lt;a href="canciones/taize/tibi_deo_gloria.html"&gt;</v>
      </c>
      <c r="Y2350"/>
      <c r="AC2350" s="1"/>
    </row>
    <row r="2351" spans="1:29" x14ac:dyDescent="0.3">
      <c r="A2351" s="1">
        <f>ROW(CantoralDB[[#This Row],[Título]])-1</f>
        <v>2350</v>
      </c>
      <c r="B2351" s="1" t="s">
        <v>338</v>
      </c>
      <c r="C2351" s="1" t="s">
        <v>1019</v>
      </c>
      <c r="D2351" s="1" t="s">
        <v>1111</v>
      </c>
      <c r="H2351" s="1" t="s">
        <v>1027</v>
      </c>
      <c r="I2351" s="1" t="s">
        <v>2945</v>
      </c>
      <c r="J2351" s="1" t="s">
        <v>605</v>
      </c>
      <c r="M2351" s="15" t="s">
        <v>2130</v>
      </c>
      <c r="N2351" s="1" t="s">
        <v>343</v>
      </c>
      <c r="O2351" s="15">
        <v>12</v>
      </c>
      <c r="P2351" s="15">
        <v>2026</v>
      </c>
      <c r="Q2351" s="15" t="str" cm="1">
        <f t="array" ref="Q23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1" s="15" t="str" cm="1">
        <f t="array" ref="R23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canciones/taize/deus_deus_meus_(canon).html</v>
      </c>
      <c r="T2351" s="1"/>
      <c r="U2351" s="1"/>
      <c r="V2351" s="32" t="s">
        <v>4086</v>
      </c>
      <c r="W23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data-nnew="Q31"&gt;&lt;a href="canciones/taize/deus_deus_meus_(canon).html"&gt;Deus, Deus meus (canon)&lt;/a&gt;&lt;/li&gt;</v>
      </c>
      <c r="X2351" s="15" t="str">
        <f>_xlfn.TEXTBEFORE(_xlfn.TEXTAFTER(CantoralDB[[#This Row],[index.html]],"&gt;"),"&gt;")&amp;"&gt;"</f>
        <v>&lt;a href="canciones/taize/deus_deus_meus_(canon).html"&gt;</v>
      </c>
      <c r="Y2351"/>
      <c r="AC2351" s="1"/>
    </row>
    <row r="2352" spans="1:29" x14ac:dyDescent="0.3">
      <c r="A2352" s="1">
        <f>ROW(CantoralDB[[#This Row],[Título]])-1</f>
        <v>2351</v>
      </c>
      <c r="B2352" s="1" t="s">
        <v>1023</v>
      </c>
      <c r="C2352" s="1" t="s">
        <v>1019</v>
      </c>
      <c r="D2352" s="1" t="s">
        <v>1109</v>
      </c>
      <c r="H2352" s="1" t="s">
        <v>1024</v>
      </c>
      <c r="I2352" s="1" t="s">
        <v>2948</v>
      </c>
      <c r="J2352" s="1" t="s">
        <v>605</v>
      </c>
      <c r="M2352" s="15" t="s">
        <v>2130</v>
      </c>
      <c r="N2352" s="1" t="s">
        <v>343</v>
      </c>
      <c r="O2352" s="15">
        <v>13</v>
      </c>
      <c r="P2352" s="15">
        <v>2026</v>
      </c>
      <c r="Q2352" s="15" t="str" cm="1">
        <f t="array" ref="Q23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2" s="15" t="str" cm="1">
        <f t="array" ref="R23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canciones/taize/v_tebi_je_izvir_življenja.html</v>
      </c>
      <c r="T2352" s="1"/>
      <c r="U2352" s="1"/>
      <c r="V2352" s="32" t="s">
        <v>4087</v>
      </c>
      <c r="W23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data-nnew="Q79"&gt;&lt;a href="canciones/taize/v_tebi_je_izvir_življenja.html"&gt;V tebi je izvir življenja&lt;/a&gt;&lt;/li&gt;</v>
      </c>
      <c r="X2352" s="15" t="str">
        <f>_xlfn.TEXTBEFORE(_xlfn.TEXTAFTER(CantoralDB[[#This Row],[index.html]],"&gt;"),"&gt;")&amp;"&gt;"</f>
        <v>&lt;a href="canciones/taize/v_tebi_je_izvir_življenja.html"&gt;</v>
      </c>
      <c r="Y2352"/>
      <c r="AC2352" s="1"/>
    </row>
    <row r="2353" spans="1:29" x14ac:dyDescent="0.3">
      <c r="A2353" s="1">
        <f>ROW(CantoralDB[[#This Row],[Título]])-1</f>
        <v>2352</v>
      </c>
      <c r="B2353" s="1" t="s">
        <v>337</v>
      </c>
      <c r="C2353" s="1" t="s">
        <v>1019</v>
      </c>
      <c r="D2353" s="1" t="s">
        <v>1110</v>
      </c>
      <c r="H2353" s="1" t="s">
        <v>529</v>
      </c>
      <c r="I2353" s="1" t="s">
        <v>2948</v>
      </c>
      <c r="J2353" s="1" t="s">
        <v>605</v>
      </c>
      <c r="M2353" s="15" t="s">
        <v>2130</v>
      </c>
      <c r="N2353" s="1" t="s">
        <v>343</v>
      </c>
      <c r="O2353" s="15">
        <v>16</v>
      </c>
      <c r="P2353" s="15">
        <v>2026</v>
      </c>
      <c r="Q2353" s="15" t="str" cm="1">
        <f t="array" ref="Q23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3" s="15" t="str" cm="1">
        <f t="array" ref="R23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canciones/taize/despierta_tu_que_duermes.html</v>
      </c>
      <c r="T2353" s="1" t="s">
        <v>957</v>
      </c>
      <c r="U2353" s="1"/>
      <c r="V2353" s="32" t="s">
        <v>4088</v>
      </c>
      <c r="W23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data-nnew="Q30"&gt;&lt;a href="canciones/taize/despierta_tu_que_duermes.html"&gt;Despierta tú que duermes&lt;/a&gt;&lt;/li&gt;</v>
      </c>
      <c r="X2353" s="15" t="str">
        <f>_xlfn.TEXTBEFORE(_xlfn.TEXTAFTER(CantoralDB[[#This Row],[index.html]],"&gt;"),"&gt;")&amp;"&gt;"</f>
        <v>&lt;a href="canciones/taize/despierta_tu_que_duermes.html"&gt;</v>
      </c>
      <c r="Y2353"/>
      <c r="AC2353" s="1"/>
    </row>
    <row r="2354" spans="1:29" x14ac:dyDescent="0.3">
      <c r="A2354" s="1">
        <f>ROW(CantoralDB[[#This Row],[Título]])-1</f>
        <v>2353</v>
      </c>
      <c r="B2354" s="1" t="s">
        <v>353</v>
      </c>
      <c r="C2354" s="1"/>
      <c r="J2354" s="1"/>
      <c r="M2354" s="15" t="s">
        <v>2130</v>
      </c>
      <c r="N2354" s="1" t="s">
        <v>379</v>
      </c>
      <c r="O2354" s="15">
        <v>3</v>
      </c>
      <c r="P2354" s="15">
        <v>2024</v>
      </c>
      <c r="Q2354" s="15" t="str" cm="1">
        <f t="array" ref="Q23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4" s="15" t="str" cm="1">
        <f t="array" ref="R23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canciones/taize/gib_mich_ganz_zu_eigen_dir.html</v>
      </c>
      <c r="T2354" s="1"/>
      <c r="U2354" s="1"/>
      <c r="V2354" s="32" t="s">
        <v>4089</v>
      </c>
      <c r="W23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href="canciones/taize/gib_mich_ganz_zu_eigen_dir.html"&gt;Gib mich ganz zu eigen dir&lt;/a&gt;&lt;/li&gt;</v>
      </c>
      <c r="X2354" s="15" t="str">
        <f>_xlfn.TEXTBEFORE(_xlfn.TEXTAFTER(CantoralDB[[#This Row],[index.html]],"&gt;"),"&gt;")&amp;"&gt;"</f>
        <v>&lt;a href="canciones/taize/gib_mich_ganz_zu_eigen_dir.html"&gt;</v>
      </c>
      <c r="Y2354"/>
      <c r="AC2354" s="1"/>
    </row>
    <row r="2355" spans="1:29" x14ac:dyDescent="0.3">
      <c r="A2355" s="1">
        <f>ROW(CantoralDB[[#This Row],[Título]])-1</f>
        <v>2354</v>
      </c>
      <c r="B2355" s="1" t="s">
        <v>451</v>
      </c>
      <c r="C2355" s="1"/>
      <c r="J2355" s="1"/>
      <c r="M2355" s="15" t="s">
        <v>2130</v>
      </c>
      <c r="N2355" s="1" t="s">
        <v>379</v>
      </c>
      <c r="O2355" s="15">
        <v>9</v>
      </c>
      <c r="P2355" s="15">
        <v>2024</v>
      </c>
      <c r="Q2355" s="15" t="str" cm="1">
        <f t="array" ref="Q23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5" s="15" t="str" cm="1">
        <f t="array" ref="R23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canciones/taize/tu_mecum_es.html</v>
      </c>
      <c r="T2355" s="1"/>
      <c r="U2355" s="1"/>
      <c r="V2355" s="32" t="s">
        <v>4090</v>
      </c>
      <c r="W23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href="canciones/taize/tu_mecum_es.html"&gt;Tu mecum es&lt;/a&gt;&lt;/li&gt;</v>
      </c>
      <c r="X2355" s="15" t="str">
        <f>_xlfn.TEXTBEFORE(_xlfn.TEXTAFTER(CantoralDB[[#This Row],[index.html]],"&gt;"),"&gt;")&amp;"&gt;"</f>
        <v>&lt;a href="canciones/taize/tu_mecum_es.html"&gt;</v>
      </c>
      <c r="Y2355"/>
      <c r="AC2355" s="1"/>
    </row>
    <row r="2356" spans="1:29" x14ac:dyDescent="0.3">
      <c r="A2356" s="1">
        <f>ROW(CantoralDB[[#This Row],[Título]])-1</f>
        <v>2355</v>
      </c>
      <c r="B2356" s="1" t="s">
        <v>4046</v>
      </c>
      <c r="C2356" s="1"/>
      <c r="J2356" s="1"/>
      <c r="M2356" s="15" t="s">
        <v>2130</v>
      </c>
      <c r="N2356" s="1" t="s">
        <v>379</v>
      </c>
      <c r="O2356" s="15">
        <v>13</v>
      </c>
      <c r="P2356" s="15">
        <v>2024</v>
      </c>
      <c r="Q2356" s="15" t="str" cm="1">
        <f t="array" ref="Q23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6" s="15" t="str" cm="1">
        <f t="array" ref="R23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canciones/taize/dona_nobis_pacem_2.html</v>
      </c>
      <c r="T2356" s="1"/>
      <c r="U2356" s="1"/>
      <c r="V2356" s="32" t="s">
        <v>4091</v>
      </c>
      <c r="W23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href="canciones/taize/dona_nobis_pacem_2.html"&gt;Dona nobis pacem 2&lt;/a&gt;&lt;/li&gt;</v>
      </c>
      <c r="X2356" s="15" t="str">
        <f>_xlfn.TEXTBEFORE(_xlfn.TEXTAFTER(CantoralDB[[#This Row],[index.html]],"&gt;"),"&gt;")&amp;"&gt;"</f>
        <v>&lt;a href="canciones/taize/dona_nobis_pacem_2.html"&gt;</v>
      </c>
      <c r="Y2356"/>
      <c r="AC2356" s="1"/>
    </row>
    <row r="2357" spans="1:29" x14ac:dyDescent="0.3">
      <c r="A2357" s="1">
        <f>ROW(CantoralDB[[#This Row],[Título]])-1</f>
        <v>2356</v>
      </c>
      <c r="B2357" s="1" t="s">
        <v>471</v>
      </c>
      <c r="C2357" s="1" t="s">
        <v>1019</v>
      </c>
      <c r="D2357" s="1" t="s">
        <v>1067</v>
      </c>
      <c r="H2357" s="1" t="s">
        <v>529</v>
      </c>
      <c r="I2357" s="1" t="s">
        <v>2948</v>
      </c>
      <c r="J2357" s="1" t="s">
        <v>605</v>
      </c>
      <c r="M2357" s="15" t="s">
        <v>2130</v>
      </c>
      <c r="N2357" s="1" t="s">
        <v>379</v>
      </c>
      <c r="O2357" s="15">
        <v>16</v>
      </c>
      <c r="P2357" s="15">
        <v>2024</v>
      </c>
      <c r="Q2357" s="15" t="str" cm="1">
        <f t="array" ref="Q23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7" s="15" t="str" cm="1">
        <f t="array" ref="R23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canciones/taize/zu_wem_sollen_wir_gehen.html</v>
      </c>
      <c r="T2357" s="1"/>
      <c r="U2357" s="1"/>
      <c r="V2357" s="32" t="s">
        <v>4092</v>
      </c>
      <c r="W23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data-nnew="Q83"&gt;&lt;a href="canciones/taize/zu_wem_sollen_wir_gehen.html"&gt;Zu wem sollen wir gehen&lt;/a&gt;&lt;/li&gt;</v>
      </c>
      <c r="X2357" s="15" t="str">
        <f>_xlfn.TEXTBEFORE(_xlfn.TEXTAFTER(CantoralDB[[#This Row],[index.html]],"&gt;"),"&gt;")&amp;"&gt;"</f>
        <v>&lt;a href="canciones/taize/zu_wem_sollen_wir_gehen.html"&gt;</v>
      </c>
      <c r="Y2357"/>
      <c r="AC2357" s="1"/>
    </row>
    <row r="2358" spans="1:29" x14ac:dyDescent="0.3">
      <c r="A2358" s="1">
        <f>ROW(CantoralDB[[#This Row],[Título]])-1</f>
        <v>2357</v>
      </c>
      <c r="B2358" s="1" t="s">
        <v>383</v>
      </c>
      <c r="C2358" s="1"/>
      <c r="J2358" s="1"/>
      <c r="M2358" s="15" t="s">
        <v>2130</v>
      </c>
      <c r="N2358" s="1" t="s">
        <v>4008</v>
      </c>
      <c r="O2358" s="15">
        <v>1</v>
      </c>
      <c r="P2358" s="15">
        <v>1992</v>
      </c>
      <c r="Q2358" s="15" t="str" cm="1">
        <f t="array" ref="Q23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8" s="15" t="str" cm="1">
        <f t="array" ref="R23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canciones/taize/jubilate_servite.html</v>
      </c>
      <c r="T2358" s="1"/>
      <c r="U2358" s="1"/>
      <c r="V2358" s="32" t="s">
        <v>4093</v>
      </c>
      <c r="W23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href="canciones/taize/jubilate_servite.html"&gt;Jubilate, servite&lt;/a&gt;&lt;/li&gt;</v>
      </c>
      <c r="X2358" s="15" t="str">
        <f>_xlfn.TEXTBEFORE(_xlfn.TEXTAFTER(CantoralDB[[#This Row],[index.html]],"&gt;"),"&gt;")&amp;"&gt;"</f>
        <v>&lt;a href="canciones/taize/jubilate_servite.html"&gt;</v>
      </c>
      <c r="Y2358"/>
      <c r="AC2358" s="1"/>
    </row>
    <row r="2359" spans="1:29" x14ac:dyDescent="0.3">
      <c r="A2359" s="1">
        <f>ROW(CantoralDB[[#This Row],[Título]])-1</f>
        <v>2358</v>
      </c>
      <c r="B2359" s="1" t="s">
        <v>4009</v>
      </c>
      <c r="C2359" s="1"/>
      <c r="J2359" s="1"/>
      <c r="M2359" s="15" t="s">
        <v>2130</v>
      </c>
      <c r="N2359" s="1" t="s">
        <v>4008</v>
      </c>
      <c r="O2359" s="15">
        <v>2</v>
      </c>
      <c r="P2359" s="15">
        <v>1992</v>
      </c>
      <c r="Q2359" s="15" t="str" cm="1">
        <f t="array" ref="Q23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59" s="15" t="str" cm="1">
        <f t="array" ref="R23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canciones/taize/veni_creator_spiritus.html</v>
      </c>
      <c r="T2359" s="1"/>
      <c r="U2359" s="1"/>
      <c r="V2359" s="32" t="s">
        <v>4094</v>
      </c>
      <c r="W23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href="canciones/taize/veni_creator_spiritus.html"&gt;Veni Creator Spiritus&lt;/a&gt;&lt;/li&gt;</v>
      </c>
      <c r="X2359" s="15" t="str">
        <f>_xlfn.TEXTBEFORE(_xlfn.TEXTAFTER(CantoralDB[[#This Row],[index.html]],"&gt;"),"&gt;")&amp;"&gt;"</f>
        <v>&lt;a href="canciones/taize/veni_creator_spiritus.html"&gt;</v>
      </c>
      <c r="Y2359"/>
      <c r="AC2359" s="1"/>
    </row>
    <row r="2360" spans="1:29" x14ac:dyDescent="0.3">
      <c r="A2360" s="1">
        <f>ROW(CantoralDB[[#This Row],[Título]])-1</f>
        <v>2359</v>
      </c>
      <c r="B2360" s="1" t="s">
        <v>438</v>
      </c>
      <c r="C2360" s="1"/>
      <c r="J2360" s="1"/>
      <c r="M2360" s="15" t="s">
        <v>2130</v>
      </c>
      <c r="N2360" s="1" t="s">
        <v>4008</v>
      </c>
      <c r="O2360" s="15">
        <v>3</v>
      </c>
      <c r="P2360" s="15">
        <v>1992</v>
      </c>
      <c r="Q2360" s="15" t="str" cm="1">
        <f t="array" ref="Q23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0" s="15" t="str" cm="1">
        <f t="array" ref="R23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canciones/taize/singt_dem_herrn.html</v>
      </c>
      <c r="T2360" s="1"/>
      <c r="U2360" s="1"/>
      <c r="V2360" s="32" t="s">
        <v>4095</v>
      </c>
      <c r="W23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href="canciones/taize/singt_dem_herrn.html"&gt;Singt dem Herrn&lt;/a&gt;&lt;/li&gt;</v>
      </c>
      <c r="X2360" s="15" t="str">
        <f>_xlfn.TEXTBEFORE(_xlfn.TEXTAFTER(CantoralDB[[#This Row],[index.html]],"&gt;"),"&gt;")&amp;"&gt;"</f>
        <v>&lt;a href="canciones/taize/singt_dem_herrn.html"&gt;</v>
      </c>
      <c r="Y2360"/>
      <c r="AC2360" s="1"/>
    </row>
    <row r="2361" spans="1:29" x14ac:dyDescent="0.3">
      <c r="A2361" s="1">
        <f>ROW(CantoralDB[[#This Row],[Título]])-1</f>
        <v>2360</v>
      </c>
      <c r="B2361" s="1" t="s">
        <v>295</v>
      </c>
      <c r="C2361" s="1"/>
      <c r="J2361" s="1"/>
      <c r="M2361" s="15" t="s">
        <v>2130</v>
      </c>
      <c r="N2361" s="1" t="s">
        <v>4008</v>
      </c>
      <c r="O2361" s="15">
        <v>4</v>
      </c>
      <c r="P2361" s="15">
        <v>1992</v>
      </c>
      <c r="Q2361" s="15" t="str" cm="1">
        <f t="array" ref="Q23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1" s="15" t="str" cm="1">
        <f t="array" ref="R23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canciones/taize/alleluia_10.html</v>
      </c>
      <c r="T2361" s="1"/>
      <c r="U2361" s="1"/>
      <c r="V2361" s="32" t="s">
        <v>4096</v>
      </c>
      <c r="W23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href="canciones/taize/alleluia_10.html"&gt;Alleluia 10&lt;/a&gt;&lt;/li&gt;</v>
      </c>
      <c r="X2361" s="15" t="str">
        <f>_xlfn.TEXTBEFORE(_xlfn.TEXTAFTER(CantoralDB[[#This Row],[index.html]],"&gt;"),"&gt;")&amp;"&gt;"</f>
        <v>&lt;a href="canciones/taize/alleluia_10.html"&gt;</v>
      </c>
      <c r="Y2361"/>
      <c r="AC2361" s="1"/>
    </row>
    <row r="2362" spans="1:29" x14ac:dyDescent="0.3">
      <c r="A2362" s="1">
        <f>ROW(CantoralDB[[#This Row],[Título]])-1</f>
        <v>2361</v>
      </c>
      <c r="B2362" s="1" t="s">
        <v>316</v>
      </c>
      <c r="C2362" s="1"/>
      <c r="J2362" s="1"/>
      <c r="M2362" s="15" t="s">
        <v>2130</v>
      </c>
      <c r="N2362" s="1" t="s">
        <v>4008</v>
      </c>
      <c r="O2362" s="15">
        <v>5</v>
      </c>
      <c r="P2362" s="15">
        <v>1992</v>
      </c>
      <c r="Q2362" s="15" t="str" cm="1">
        <f t="array" ref="Q23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2" s="15" t="str" cm="1">
        <f t="array" ref="R23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canciones/taize/bleib_mit_deiner_gnade.html</v>
      </c>
      <c r="T2362" s="1"/>
      <c r="U2362" s="1"/>
      <c r="V2362" s="32" t="s">
        <v>4097</v>
      </c>
      <c r="W23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href="canciones/taize/bleib_mit_deiner_gnade.html"&gt;Bleib mit deiner Gnade&lt;/a&gt;&lt;/li&gt;</v>
      </c>
      <c r="X2362" s="15" t="str">
        <f>_xlfn.TEXTBEFORE(_xlfn.TEXTAFTER(CantoralDB[[#This Row],[index.html]],"&gt;"),"&gt;")&amp;"&gt;"</f>
        <v>&lt;a href="canciones/taize/bleib_mit_deiner_gnade.html"&gt;</v>
      </c>
      <c r="Y2362"/>
      <c r="AC2362" s="1"/>
    </row>
    <row r="2363" spans="1:29" x14ac:dyDescent="0.3">
      <c r="A2363" s="1">
        <f>ROW(CantoralDB[[#This Row],[Título]])-1</f>
        <v>2362</v>
      </c>
      <c r="B2363" s="1" t="s">
        <v>394</v>
      </c>
      <c r="C2363" s="1"/>
      <c r="J2363" s="1"/>
      <c r="M2363" s="15" t="s">
        <v>2130</v>
      </c>
      <c r="N2363" s="1" t="s">
        <v>4008</v>
      </c>
      <c r="O2363" s="15">
        <v>6</v>
      </c>
      <c r="P2363" s="15">
        <v>1992</v>
      </c>
      <c r="Q2363" s="15" t="str" cm="1">
        <f t="array" ref="Q23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3" s="15" t="str" cm="1">
        <f t="array" ref="R23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canciones/taize/kyrie_13.html</v>
      </c>
      <c r="T2363" s="1"/>
      <c r="U2363" s="1"/>
      <c r="V2363" s="32" t="s">
        <v>4098</v>
      </c>
      <c r="W23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href="canciones/taize/kyrie_13.html"&gt;Kyrie 13&lt;/a&gt;&lt;/li&gt;</v>
      </c>
      <c r="X2363" s="15" t="str">
        <f>_xlfn.TEXTBEFORE(_xlfn.TEXTAFTER(CantoralDB[[#This Row],[index.html]],"&gt;"),"&gt;")&amp;"&gt;"</f>
        <v>&lt;a href="canciones/taize/kyrie_13.html"&gt;</v>
      </c>
      <c r="Y2363"/>
      <c r="AC2363" s="1"/>
    </row>
    <row r="2364" spans="1:29" x14ac:dyDescent="0.3">
      <c r="A2364" s="1">
        <f>ROW(CantoralDB[[#This Row],[Título]])-1</f>
        <v>2363</v>
      </c>
      <c r="B2364" s="1" t="s">
        <v>376</v>
      </c>
      <c r="C2364" s="1" t="s">
        <v>1019</v>
      </c>
      <c r="D2364" s="1" t="s">
        <v>1100</v>
      </c>
      <c r="H2364" s="1" t="s">
        <v>529</v>
      </c>
      <c r="I2364" s="1" t="s">
        <v>2948</v>
      </c>
      <c r="J2364" s="1" t="s">
        <v>605</v>
      </c>
      <c r="M2364" s="15" t="s">
        <v>2130</v>
      </c>
      <c r="N2364" s="1" t="s">
        <v>4008</v>
      </c>
      <c r="O2364" s="15">
        <v>7</v>
      </c>
      <c r="P2364" s="15">
        <v>1992</v>
      </c>
      <c r="Q2364" s="15" t="str" cm="1">
        <f t="array" ref="Q23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4" s="15" t="str" cm="1">
        <f t="array" ref="R23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canciones/taize/jesus_le_christ.html</v>
      </c>
      <c r="T2364" s="1"/>
      <c r="U2364" s="1"/>
      <c r="V2364" s="32" t="s">
        <v>4099</v>
      </c>
      <c r="W23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data-nnew="Q47"&gt;&lt;a href="canciones/taize/jesus_le_christ.html"&gt;Jésus le Christ&lt;/a&gt;&lt;/li&gt;</v>
      </c>
      <c r="X2364" s="15" t="str">
        <f>_xlfn.TEXTBEFORE(_xlfn.TEXTAFTER(CantoralDB[[#This Row],[index.html]],"&gt;"),"&gt;")&amp;"&gt;"</f>
        <v>&lt;a href="canciones/taize/jesus_le_christ.html"&gt;</v>
      </c>
      <c r="Y2364"/>
      <c r="AC2364" s="1"/>
    </row>
    <row r="2365" spans="1:29" x14ac:dyDescent="0.3">
      <c r="A2365" s="1">
        <f>ROW(CantoralDB[[#This Row],[Título]])-1</f>
        <v>2364</v>
      </c>
      <c r="B2365" s="1" t="s">
        <v>781</v>
      </c>
      <c r="C2365" s="1" t="s">
        <v>1019</v>
      </c>
      <c r="D2365" s="1" t="s">
        <v>1136</v>
      </c>
      <c r="H2365" s="1" t="s">
        <v>1027</v>
      </c>
      <c r="I2365" s="1" t="s">
        <v>2947</v>
      </c>
      <c r="J2365" s="1" t="s">
        <v>605</v>
      </c>
      <c r="M2365" s="15" t="s">
        <v>2130</v>
      </c>
      <c r="N2365" s="1" t="s">
        <v>4008</v>
      </c>
      <c r="O2365" s="15">
        <v>8</v>
      </c>
      <c r="P2365" s="15">
        <v>1992</v>
      </c>
      <c r="Q2365" s="15" t="str" cm="1">
        <f t="array" ref="Q23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5" s="15" t="str" cm="1">
        <f t="array" ref="R23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canciones/taize/laudate_dominum.html</v>
      </c>
      <c r="T2365" s="1"/>
      <c r="U2365" s="1"/>
      <c r="V2365" s="32" t="s">
        <v>4100</v>
      </c>
      <c r="W23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data-nnew="Q58"&gt;&lt;a href="canciones/taize/laudate_dominum.html"&gt;Laudate Dominum&lt;/a&gt;&lt;/li&gt;</v>
      </c>
      <c r="X2365" s="15" t="str">
        <f>_xlfn.TEXTBEFORE(_xlfn.TEXTAFTER(CantoralDB[[#This Row],[index.html]],"&gt;"),"&gt;")&amp;"&gt;"</f>
        <v>&lt;a href="canciones/taize/laudate_dominum.html"&gt;</v>
      </c>
      <c r="Y2365"/>
      <c r="AC2365" s="1"/>
    </row>
    <row r="2366" spans="1:29" x14ac:dyDescent="0.3">
      <c r="A2366" s="1">
        <f>ROW(CantoralDB[[#This Row],[Título]])-1</f>
        <v>2365</v>
      </c>
      <c r="B2366" s="1" t="s">
        <v>315</v>
      </c>
      <c r="C2366" s="1" t="s">
        <v>1019</v>
      </c>
      <c r="D2366" s="1" t="s">
        <v>1084</v>
      </c>
      <c r="H2366" s="1" t="s">
        <v>529</v>
      </c>
      <c r="I2366" s="1" t="s">
        <v>2948</v>
      </c>
      <c r="J2366" s="1" t="s">
        <v>605</v>
      </c>
      <c r="M2366" s="15" t="s">
        <v>2130</v>
      </c>
      <c r="N2366" s="1" t="s">
        <v>4008</v>
      </c>
      <c r="O2366" s="15">
        <v>9</v>
      </c>
      <c r="P2366" s="15">
        <v>1992</v>
      </c>
      <c r="Q2366" s="15" t="str" cm="1">
        <f t="array" ref="Q23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6" s="15" t="str" cm="1">
        <f t="array" ref="R23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canciones/taize/benissez_le_seigneur.html</v>
      </c>
      <c r="T2366" s="1"/>
      <c r="U2366" s="1"/>
      <c r="V2366" s="32" t="s">
        <v>4101</v>
      </c>
      <c r="W23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data-nnew="Q15"&gt;&lt;a href="canciones/taize/benissez_le_seigneur.html"&gt;Bénissez le Seigneur&lt;/a&gt;&lt;/li&gt;</v>
      </c>
      <c r="X2366" s="15" t="str">
        <f>_xlfn.TEXTBEFORE(_xlfn.TEXTAFTER(CantoralDB[[#This Row],[index.html]],"&gt;"),"&gt;")&amp;"&gt;"</f>
        <v>&lt;a href="canciones/taize/benissez_le_seigneur.html"&gt;</v>
      </c>
      <c r="Y2366"/>
      <c r="AC2366" s="1"/>
    </row>
    <row r="2367" spans="1:29" x14ac:dyDescent="0.3">
      <c r="A2367" s="1">
        <f>ROW(CantoralDB[[#This Row],[Título]])-1</f>
        <v>2366</v>
      </c>
      <c r="B2367" s="1" t="s">
        <v>279</v>
      </c>
      <c r="C2367" s="1"/>
      <c r="J2367" s="1"/>
      <c r="M2367" s="15" t="s">
        <v>2130</v>
      </c>
      <c r="N2367" s="1" t="s">
        <v>4008</v>
      </c>
      <c r="O2367" s="15">
        <v>10</v>
      </c>
      <c r="P2367" s="15">
        <v>1992</v>
      </c>
      <c r="Q2367" s="15" t="str" cm="1">
        <f t="array" ref="Q23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7" s="15" t="str" cm="1">
        <f t="array" ref="R23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canciones/taize/adoramus_te_christe.html</v>
      </c>
      <c r="T2367" s="1"/>
      <c r="U2367" s="1"/>
      <c r="V2367" s="32" t="s">
        <v>4102</v>
      </c>
      <c r="W23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href="canciones/taize/adoramus_te_christe.html"&gt;Adoramus te Christe&lt;/a&gt;&lt;/li&gt;</v>
      </c>
      <c r="X2367" s="15" t="str">
        <f>_xlfn.TEXTBEFORE(_xlfn.TEXTAFTER(CantoralDB[[#This Row],[index.html]],"&gt;"),"&gt;")&amp;"&gt;"</f>
        <v>&lt;a href="canciones/taize/adoramus_te_christe.html"&gt;</v>
      </c>
      <c r="Y2367"/>
      <c r="AC2367" s="1"/>
    </row>
    <row r="2368" spans="1:29" x14ac:dyDescent="0.3">
      <c r="A2368" s="1">
        <f>ROW(CantoralDB[[#This Row],[Título]])-1</f>
        <v>2367</v>
      </c>
      <c r="B2368" s="1" t="s">
        <v>4010</v>
      </c>
      <c r="C2368" s="1"/>
      <c r="J2368" s="1"/>
      <c r="M2368" s="15" t="s">
        <v>2130</v>
      </c>
      <c r="N2368" s="1" t="s">
        <v>4008</v>
      </c>
      <c r="O2368" s="15">
        <v>11</v>
      </c>
      <c r="P2368" s="15">
        <v>1992</v>
      </c>
      <c r="Q2368" s="15" t="str" cm="1">
        <f t="array" ref="Q23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8" s="15" t="str" cm="1">
        <f t="array" ref="R23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canciones/taize/magnificat_(choral).html</v>
      </c>
      <c r="T2368" s="1"/>
      <c r="U2368" s="1"/>
      <c r="V2368" s="32" t="s">
        <v>4103</v>
      </c>
      <c r="W23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href="canciones/taize/magnificat_(choral).html"&gt;Magnificat (choral)&lt;/a&gt;&lt;/li&gt;</v>
      </c>
      <c r="X2368" s="15" t="str">
        <f>_xlfn.TEXTBEFORE(_xlfn.TEXTAFTER(CantoralDB[[#This Row],[index.html]],"&gt;"),"&gt;")&amp;"&gt;"</f>
        <v>&lt;a href="canciones/taize/magnificat_(choral).html"&gt;</v>
      </c>
      <c r="Y2368"/>
      <c r="AC2368" s="1"/>
    </row>
    <row r="2369" spans="1:29" x14ac:dyDescent="0.3">
      <c r="A2369" s="1">
        <f>ROW(CantoralDB[[#This Row],[Título]])-1</f>
        <v>2368</v>
      </c>
      <c r="B2369" s="1" t="s">
        <v>4011</v>
      </c>
      <c r="C2369" s="1"/>
      <c r="J2369" s="1"/>
      <c r="M2369" s="15" t="s">
        <v>2130</v>
      </c>
      <c r="N2369" s="1" t="s">
        <v>4008</v>
      </c>
      <c r="O2369" s="15">
        <v>12</v>
      </c>
      <c r="P2369" s="15">
        <v>1992</v>
      </c>
      <c r="Q2369" s="15" t="str" cm="1">
        <f t="array" ref="Q23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69" s="15" t="str" cm="1">
        <f t="array" ref="R23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canciones/taize/il_n'est_pas_de_plus_grand_amour.html</v>
      </c>
      <c r="T2369" s="1"/>
      <c r="U2369" s="1"/>
      <c r="V2369" s="32" t="s">
        <v>4104</v>
      </c>
      <c r="W23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href="canciones/taize/il_n'est_pas_de_plus_grand_amour.html"&gt;Il n'est pas de plus grand amour&lt;/a&gt;&lt;/li&gt;</v>
      </c>
      <c r="X2369" s="15" t="str">
        <f>_xlfn.TEXTBEFORE(_xlfn.TEXTAFTER(CantoralDB[[#This Row],[index.html]],"&gt;"),"&gt;")&amp;"&gt;"</f>
        <v>&lt;a href="canciones/taize/il_n'est_pas_de_plus_grand_amour.html"&gt;</v>
      </c>
      <c r="Y2369"/>
      <c r="AC2369" s="1"/>
    </row>
    <row r="2370" spans="1:29" x14ac:dyDescent="0.3">
      <c r="A2370" s="1">
        <f>ROW(CantoralDB[[#This Row],[Título]])-1</f>
        <v>2369</v>
      </c>
      <c r="B2370" s="1" t="s">
        <v>322</v>
      </c>
      <c r="C2370" s="1" t="s">
        <v>1019</v>
      </c>
      <c r="D2370" s="1" t="s">
        <v>1090</v>
      </c>
      <c r="H2370" s="1" t="s">
        <v>529</v>
      </c>
      <c r="I2370" s="1" t="s">
        <v>2946</v>
      </c>
      <c r="J2370" s="1" t="s">
        <v>605</v>
      </c>
      <c r="M2370" s="15" t="s">
        <v>2130</v>
      </c>
      <c r="N2370" s="1" t="s">
        <v>4008</v>
      </c>
      <c r="O2370" s="15">
        <v>13</v>
      </c>
      <c r="P2370" s="15">
        <v>1992</v>
      </c>
      <c r="Q2370" s="15" t="str" cm="1">
        <f t="array" ref="Q23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0" s="15" t="str" cm="1">
        <f t="array" ref="R23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canciones/taize/bonum_est_confidere.html</v>
      </c>
      <c r="T2370" s="1"/>
      <c r="U2370" s="1"/>
      <c r="V2370" s="32" t="s">
        <v>4105</v>
      </c>
      <c r="W23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data-nnew="Q19"&gt;&lt;a href="canciones/taize/bonum_est_confidere.html"&gt;Bonum est confidere&lt;/a&gt;&lt;/li&gt;</v>
      </c>
      <c r="X2370" s="15" t="str">
        <f>_xlfn.TEXTBEFORE(_xlfn.TEXTAFTER(CantoralDB[[#This Row],[index.html]],"&gt;"),"&gt;")&amp;"&gt;"</f>
        <v>&lt;a href="canciones/taize/bonum_est_confidere.html"&gt;</v>
      </c>
      <c r="Y2370"/>
      <c r="AC2370" s="1"/>
    </row>
    <row r="2371" spans="1:29" x14ac:dyDescent="0.3">
      <c r="A2371" s="1">
        <f>ROW(CantoralDB[[#This Row],[Título]])-1</f>
        <v>2370</v>
      </c>
      <c r="B2371" s="1" t="s">
        <v>356</v>
      </c>
      <c r="C2371" s="1"/>
      <c r="J2371" s="1"/>
      <c r="M2371" s="15" t="s">
        <v>2130</v>
      </c>
      <c r="N2371" s="1" t="s">
        <v>4008</v>
      </c>
      <c r="O2371" s="15">
        <v>14</v>
      </c>
      <c r="P2371" s="15">
        <v>1992</v>
      </c>
      <c r="Q2371" s="15" t="str" cm="1">
        <f t="array" ref="Q23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1" s="15" t="str" cm="1">
        <f t="array" ref="R23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canciones/taize/gospodi_a.html</v>
      </c>
      <c r="T2371" s="1"/>
      <c r="U2371" s="1"/>
      <c r="V2371" s="32" t="s">
        <v>4106</v>
      </c>
      <c r="W23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href="canciones/taize/gospodi_a.html"&gt;Gospodi A&lt;/a&gt;&lt;/li&gt;</v>
      </c>
      <c r="X2371" s="15" t="str">
        <f>_xlfn.TEXTBEFORE(_xlfn.TEXTAFTER(CantoralDB[[#This Row],[index.html]],"&gt;"),"&gt;")&amp;"&gt;"</f>
        <v>&lt;a href="canciones/taize/gospodi_a.html"&gt;</v>
      </c>
      <c r="Y2371"/>
      <c r="AC2371" s="1"/>
    </row>
    <row r="2372" spans="1:29" x14ac:dyDescent="0.3">
      <c r="A2372" s="1">
        <f>ROW(CantoralDB[[#This Row],[Título]])-1</f>
        <v>2371</v>
      </c>
      <c r="B2372" s="1" t="s">
        <v>4012</v>
      </c>
      <c r="C2372" s="1"/>
      <c r="J2372" s="1"/>
      <c r="M2372" s="15" t="s">
        <v>2130</v>
      </c>
      <c r="N2372" s="1" t="s">
        <v>4008</v>
      </c>
      <c r="O2372" s="15">
        <v>15</v>
      </c>
      <c r="P2372" s="15">
        <v>1992</v>
      </c>
      <c r="Q2372" s="15" t="str" cm="1">
        <f t="array" ref="Q23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2" s="15" t="str" cm="1">
        <f t="array" ref="R23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canciones/taize/notre_âme_attend_le_seigneur.html</v>
      </c>
      <c r="T2372" s="1"/>
      <c r="U2372" s="1"/>
      <c r="V2372" s="32" t="s">
        <v>4107</v>
      </c>
      <c r="W23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href="canciones/taize/notre_âme_attend_le_seigneur.html"&gt;Notre âme attend le Seigneur&lt;/a&gt;&lt;/li&gt;</v>
      </c>
      <c r="X2372" s="15" t="str">
        <f>_xlfn.TEXTBEFORE(_xlfn.TEXTAFTER(CantoralDB[[#This Row],[index.html]],"&gt;"),"&gt;")&amp;"&gt;"</f>
        <v>&lt;a href="canciones/taize/notre_âme_attend_le_seigneur.html"&gt;</v>
      </c>
      <c r="Y2372"/>
      <c r="AC2372" s="1"/>
    </row>
    <row r="2373" spans="1:29" x14ac:dyDescent="0.3">
      <c r="A2373" s="1">
        <f>ROW(CantoralDB[[#This Row],[Título]])-1</f>
        <v>2372</v>
      </c>
      <c r="B2373" s="1" t="s">
        <v>378</v>
      </c>
      <c r="C2373" s="1" t="s">
        <v>1019</v>
      </c>
      <c r="D2373" s="1" t="s">
        <v>1127</v>
      </c>
      <c r="H2373" s="1" t="s">
        <v>529</v>
      </c>
      <c r="I2373" s="1" t="s">
        <v>2947</v>
      </c>
      <c r="J2373" s="1" t="s">
        <v>605</v>
      </c>
      <c r="M2373" s="15" t="s">
        <v>2130</v>
      </c>
      <c r="N2373" s="1" t="s">
        <v>4008</v>
      </c>
      <c r="O2373" s="15">
        <v>16</v>
      </c>
      <c r="P2373" s="15">
        <v>1992</v>
      </c>
      <c r="Q2373" s="15" t="str" cm="1">
        <f t="array" ref="Q23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3" s="15" t="str" cm="1">
        <f t="array" ref="R23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canciones/taize/jesus_remember_me.html</v>
      </c>
      <c r="T2373" s="1"/>
      <c r="U2373" s="1"/>
      <c r="V2373" s="32" t="s">
        <v>4108</v>
      </c>
      <c r="W23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data-nnew="Q49"&gt;&lt;a href="canciones/taize/jesus_remember_me.html"&gt;Jesus, remember me&lt;/a&gt;&lt;/li&gt;</v>
      </c>
      <c r="X2373" s="15" t="str">
        <f>_xlfn.TEXTBEFORE(_xlfn.TEXTAFTER(CantoralDB[[#This Row],[index.html]],"&gt;"),"&gt;")&amp;"&gt;"</f>
        <v>&lt;a href="canciones/taize/jesus_remember_me.html"&gt;</v>
      </c>
      <c r="Y2373"/>
      <c r="AC2373" s="1"/>
    </row>
    <row r="2374" spans="1:29" x14ac:dyDescent="0.3">
      <c r="A2374" s="1">
        <f>ROW(CantoralDB[[#This Row],[Título]])-1</f>
        <v>2373</v>
      </c>
      <c r="B2374" s="1" t="s">
        <v>406</v>
      </c>
      <c r="C2374" s="1"/>
      <c r="J2374" s="1"/>
      <c r="M2374" s="15" t="s">
        <v>2130</v>
      </c>
      <c r="N2374" s="1" t="s">
        <v>4042</v>
      </c>
      <c r="O2374" s="15">
        <v>1</v>
      </c>
      <c r="P2374" s="15">
        <v>2017</v>
      </c>
      <c r="Q2374" s="15" t="str" cm="1">
        <f t="array" ref="Q23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4" s="15" t="str" cm="1">
        <f t="array" ref="R23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canciones/taize/laudemus_deum.html</v>
      </c>
      <c r="T2374" s="1"/>
      <c r="U2374" s="1"/>
      <c r="V2374" s="32" t="s">
        <v>4109</v>
      </c>
      <c r="W23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href="canciones/taize/laudemus_deum.html"&gt;Laudemus Deum&lt;/a&gt;&lt;/li&gt;</v>
      </c>
      <c r="X2374" s="15" t="str">
        <f>_xlfn.TEXTBEFORE(_xlfn.TEXTAFTER(CantoralDB[[#This Row],[index.html]],"&gt;"),"&gt;")&amp;"&gt;"</f>
        <v>&lt;a href="canciones/taize/laudemus_deum.html"&gt;</v>
      </c>
      <c r="Y2374"/>
      <c r="AC2374" s="1"/>
    </row>
    <row r="2375" spans="1:29" x14ac:dyDescent="0.3">
      <c r="A2375" s="1">
        <f>ROW(CantoralDB[[#This Row],[Título]])-1</f>
        <v>2374</v>
      </c>
      <c r="B2375" s="1" t="s">
        <v>379</v>
      </c>
      <c r="C2375" s="1" t="s">
        <v>1019</v>
      </c>
      <c r="D2375" s="1" t="s">
        <v>1073</v>
      </c>
      <c r="H2375" s="1" t="s">
        <v>472</v>
      </c>
      <c r="J2375" s="1" t="s">
        <v>605</v>
      </c>
      <c r="M2375" s="15" t="s">
        <v>2130</v>
      </c>
      <c r="N2375" s="1" t="s">
        <v>4042</v>
      </c>
      <c r="O2375" s="15">
        <v>3</v>
      </c>
      <c r="P2375" s="15">
        <v>2017</v>
      </c>
      <c r="Q2375" s="15" t="str" cm="1">
        <f t="array" ref="Q23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5" s="15" t="str" cm="1">
        <f t="array" ref="R23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canciones/taize/jubelt_und_freut_euch.html</v>
      </c>
      <c r="T2375" s="1"/>
      <c r="U2375" s="1"/>
      <c r="V2375" s="32" t="s">
        <v>4110</v>
      </c>
      <c r="W23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data-nnew="Q50"&gt;&lt;a href="canciones/taize/jubelt_und_freut_euch.html"&gt;Jubelt und freut euch&lt;/a&gt;&lt;/li&gt;</v>
      </c>
      <c r="X2375" s="15" t="str">
        <f>_xlfn.TEXTBEFORE(_xlfn.TEXTAFTER(CantoralDB[[#This Row],[index.html]],"&gt;"),"&gt;")&amp;"&gt;"</f>
        <v>&lt;a href="canciones/taize/jubelt_und_freut_euch.html"&gt;</v>
      </c>
      <c r="Y2375"/>
      <c r="AC2375" s="1"/>
    </row>
    <row r="2376" spans="1:29" x14ac:dyDescent="0.3">
      <c r="A2376" s="1">
        <f>ROW(CantoralDB[[#This Row],[Título]])-1</f>
        <v>2375</v>
      </c>
      <c r="B2376" s="1" t="s">
        <v>432</v>
      </c>
      <c r="C2376" s="1" t="s">
        <v>1019</v>
      </c>
      <c r="D2376" s="1" t="s">
        <v>1143</v>
      </c>
      <c r="H2376" s="1" t="s">
        <v>529</v>
      </c>
      <c r="I2376" s="1" t="s">
        <v>2946</v>
      </c>
      <c r="J2376" s="1" t="s">
        <v>605</v>
      </c>
      <c r="M2376" s="15" t="s">
        <v>2130</v>
      </c>
      <c r="N2376" s="1" t="s">
        <v>4042</v>
      </c>
      <c r="O2376" s="15">
        <v>4</v>
      </c>
      <c r="P2376" s="15">
        <v>2017</v>
      </c>
      <c r="Q2376" s="15" t="str" cm="1">
        <f t="array" ref="Q23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6" s="15" t="str" cm="1">
        <f t="array" ref="R23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canciones/taize/sanasi_on_lamppu.html</v>
      </c>
      <c r="T2376" s="1"/>
      <c r="U2376" s="1"/>
      <c r="V2376" s="32" t="s">
        <v>4111</v>
      </c>
      <c r="W23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data-nnew="Q68"&gt;&lt;a href="canciones/taize/sanasi_on_lamppu.html"&gt;Sanasi on lamppu&lt;/a&gt;&lt;/li&gt;</v>
      </c>
      <c r="X2376" s="15" t="str">
        <f>_xlfn.TEXTBEFORE(_xlfn.TEXTAFTER(CantoralDB[[#This Row],[index.html]],"&gt;"),"&gt;")&amp;"&gt;"</f>
        <v>&lt;a href="canciones/taize/sanasi_on_lamppu.html"&gt;</v>
      </c>
      <c r="Y2376"/>
      <c r="AC2376" s="1"/>
    </row>
    <row r="2377" spans="1:29" x14ac:dyDescent="0.3">
      <c r="A2377" s="1">
        <f>ROW(CantoralDB[[#This Row],[Título]])-1</f>
        <v>2376</v>
      </c>
      <c r="B2377" s="1" t="s">
        <v>373</v>
      </c>
      <c r="C2377" s="1"/>
      <c r="J2377" s="1"/>
      <c r="M2377" s="15" t="s">
        <v>2130</v>
      </c>
      <c r="N2377" s="1" t="s">
        <v>4042</v>
      </c>
      <c r="O2377" s="15">
        <v>5</v>
      </c>
      <c r="P2377" s="15">
        <v>2017</v>
      </c>
      <c r="Q2377" s="15" t="str" cm="1">
        <f t="array" ref="Q23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7" s="15" t="str" cm="1">
        <f t="array" ref="R23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canciones/taize/jesu_christe_fili_dei.html</v>
      </c>
      <c r="T2377" s="1"/>
      <c r="U2377" s="1"/>
      <c r="V2377" s="32" t="s">
        <v>4112</v>
      </c>
      <c r="W23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href="canciones/taize/jesu_christe_fili_dei.html"&gt;Jesu Christe, Fili Dei&lt;/a&gt;&lt;/li&gt;</v>
      </c>
      <c r="X2377" s="15" t="str">
        <f>_xlfn.TEXTBEFORE(_xlfn.TEXTAFTER(CantoralDB[[#This Row],[index.html]],"&gt;"),"&gt;")&amp;"&gt;"</f>
        <v>&lt;a href="canciones/taize/jesu_christe_fili_dei.html"&gt;</v>
      </c>
      <c r="Y2377"/>
      <c r="AC2377" s="1"/>
    </row>
    <row r="2378" spans="1:29" x14ac:dyDescent="0.3">
      <c r="A2378" s="1">
        <f>ROW(CantoralDB[[#This Row],[Título]])-1</f>
        <v>2377</v>
      </c>
      <c r="B2378" s="1" t="s">
        <v>436</v>
      </c>
      <c r="C2378" s="1" t="s">
        <v>1019</v>
      </c>
      <c r="D2378" s="1" t="s">
        <v>1145</v>
      </c>
      <c r="H2378" s="1" t="s">
        <v>1025</v>
      </c>
      <c r="I2378" s="1" t="s">
        <v>2948</v>
      </c>
      <c r="J2378" s="1" t="s">
        <v>605</v>
      </c>
      <c r="M2378" s="15" t="s">
        <v>2130</v>
      </c>
      <c r="N2378" s="1" t="s">
        <v>4042</v>
      </c>
      <c r="O2378" s="15">
        <v>7</v>
      </c>
      <c r="P2378" s="15">
        <v>2017</v>
      </c>
      <c r="Q2378" s="15" t="str" cm="1">
        <f t="array" ref="Q23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8" s="15" t="str" cm="1">
        <f t="array" ref="R23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canciones/taize/señor_que_florezca_tu_justicia.html</v>
      </c>
      <c r="T2378" s="1" t="s">
        <v>979</v>
      </c>
      <c r="U2378" s="1"/>
      <c r="V2378" s="32" t="s">
        <v>4113</v>
      </c>
      <c r="W23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data-nnew="Q69"&gt;&lt;a href="canciones/taize/señor_que_florezca_tu_justicia.html"&gt;Señor, que florezca tu justicia&lt;/a&gt;&lt;/li&gt;</v>
      </c>
      <c r="X2378" s="15" t="str">
        <f>_xlfn.TEXTBEFORE(_xlfn.TEXTAFTER(CantoralDB[[#This Row],[index.html]],"&gt;"),"&gt;")&amp;"&gt;"</f>
        <v>&lt;a href="canciones/taize/señor_que_florezca_tu_justicia.html"&gt;</v>
      </c>
      <c r="Y2378"/>
      <c r="AC2378" s="1"/>
    </row>
    <row r="2379" spans="1:29" x14ac:dyDescent="0.3">
      <c r="A2379" s="1">
        <f>ROW(CantoralDB[[#This Row],[Título]])-1</f>
        <v>2378</v>
      </c>
      <c r="B2379" s="1" t="s">
        <v>4043</v>
      </c>
      <c r="C2379" s="1"/>
      <c r="J2379" s="1"/>
      <c r="M2379" s="15" t="s">
        <v>2130</v>
      </c>
      <c r="N2379" s="1" t="s">
        <v>4042</v>
      </c>
      <c r="O2379" s="15">
        <v>8</v>
      </c>
      <c r="P2379" s="15">
        <v>2017</v>
      </c>
      <c r="Q2379" s="15" t="str" cm="1">
        <f t="array" ref="Q23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79" s="15" t="str" cm="1">
        <f t="array" ref="R23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canciones/taize/ô_sagesse.html</v>
      </c>
      <c r="T2379" s="1"/>
      <c r="U2379" s="1"/>
      <c r="V2379" s="32" t="s">
        <v>4114</v>
      </c>
      <c r="W23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href="canciones/taize/ô_sagesse.html"&gt;Ô sagesse&lt;/a&gt;&lt;/li&gt;</v>
      </c>
      <c r="X2379" s="15" t="str">
        <f>_xlfn.TEXTBEFORE(_xlfn.TEXTAFTER(CantoralDB[[#This Row],[index.html]],"&gt;"),"&gt;")&amp;"&gt;"</f>
        <v>&lt;a href="canciones/taize/ô_sagesse.html"&gt;</v>
      </c>
      <c r="Y2379"/>
      <c r="AC2379" s="1"/>
    </row>
    <row r="2380" spans="1:29" x14ac:dyDescent="0.3">
      <c r="A2380" s="1">
        <f>ROW(CantoralDB[[#This Row],[Título]])-1</f>
        <v>2379</v>
      </c>
      <c r="B2380" s="1" t="s">
        <v>4044</v>
      </c>
      <c r="C2380" s="1"/>
      <c r="J2380" s="1"/>
      <c r="M2380" s="15" t="s">
        <v>2130</v>
      </c>
      <c r="N2380" s="1" t="s">
        <v>4042</v>
      </c>
      <c r="O2380" s="15">
        <v>10</v>
      </c>
      <c r="P2380" s="15">
        <v>2017</v>
      </c>
      <c r="Q2380" s="15" t="str" cm="1">
        <f t="array" ref="Q23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0" s="15" t="str" cm="1">
        <f t="array" ref="R23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canciones/taize/ô_vous_qui_dans_l'obscurite.html</v>
      </c>
      <c r="T2380" s="1"/>
      <c r="U2380" s="1"/>
      <c r="V2380" s="32" t="s">
        <v>4115</v>
      </c>
      <c r="W23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href="canciones/taize/ô_vous_qui_dans_l'obscurite.html"&gt;Ô vous qui dans l'obscurité&lt;/a&gt;&lt;/li&gt;</v>
      </c>
      <c r="X2380" s="15" t="str">
        <f>_xlfn.TEXTBEFORE(_xlfn.TEXTAFTER(CantoralDB[[#This Row],[index.html]],"&gt;"),"&gt;")&amp;"&gt;"</f>
        <v>&lt;a href="canciones/taize/ô_vous_qui_dans_l'obscurite.html"&gt;</v>
      </c>
      <c r="Y2380"/>
      <c r="AC2380" s="1"/>
    </row>
    <row r="2381" spans="1:29" x14ac:dyDescent="0.3">
      <c r="A2381" s="1">
        <f>ROW(CantoralDB[[#This Row],[Título]])-1</f>
        <v>2380</v>
      </c>
      <c r="B2381" s="1" t="s">
        <v>362</v>
      </c>
      <c r="C2381" s="1" t="s">
        <v>1019</v>
      </c>
      <c r="D2381" s="1" t="s">
        <v>1123</v>
      </c>
      <c r="H2381" s="1" t="s">
        <v>1027</v>
      </c>
      <c r="I2381" s="1" t="s">
        <v>2946</v>
      </c>
      <c r="J2381" s="1" t="s">
        <v>605</v>
      </c>
      <c r="M2381" s="15" t="s">
        <v>2130</v>
      </c>
      <c r="N2381" s="1" t="s">
        <v>4042</v>
      </c>
      <c r="O2381" s="15">
        <v>11</v>
      </c>
      <c r="P2381" s="15">
        <v>2017</v>
      </c>
      <c r="Q2381" s="15" t="str" cm="1">
        <f t="array" ref="Q23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1" s="15" t="str" cm="1">
        <f t="array" ref="R23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canciones/taize/heureux_qui_s’abandonne_à_toi.html</v>
      </c>
      <c r="T2381" s="1"/>
      <c r="U2381" s="1"/>
      <c r="V2381" s="32" t="s">
        <v>4116</v>
      </c>
      <c r="W23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data-nnew="Q41"&gt;&lt;a href="canciones/taize/heureux_qui_s’abandonne_à_toi.html"&gt;Heureux qui s’abandonne à toi&lt;/a&gt;&lt;/li&gt;</v>
      </c>
      <c r="X2381" s="15" t="str">
        <f>_xlfn.TEXTBEFORE(_xlfn.TEXTAFTER(CantoralDB[[#This Row],[index.html]],"&gt;"),"&gt;")&amp;"&gt;"</f>
        <v>&lt;a href="canciones/taize/heureux_qui_s’abandonne_à_toi.html"&gt;</v>
      </c>
      <c r="Y2381"/>
      <c r="AC2381" s="1"/>
    </row>
    <row r="2382" spans="1:29" x14ac:dyDescent="0.3">
      <c r="A2382" s="1">
        <f>ROW(CantoralDB[[#This Row],[Título]])-1</f>
        <v>2381</v>
      </c>
      <c r="B2382" s="1" t="s">
        <v>4042</v>
      </c>
      <c r="C2382" s="1"/>
      <c r="J2382" s="1"/>
      <c r="M2382" s="15" t="s">
        <v>2130</v>
      </c>
      <c r="N2382" s="1" t="s">
        <v>4042</v>
      </c>
      <c r="O2382" s="15">
        <v>12</v>
      </c>
      <c r="P2382" s="15">
        <v>2017</v>
      </c>
      <c r="Q2382" s="15" t="str" cm="1">
        <f t="array" ref="Q23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2" s="15" t="str" cm="1">
        <f t="array" ref="R23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canciones/taize/laudamus_te.html</v>
      </c>
      <c r="T2382" s="1"/>
      <c r="U2382" s="1"/>
      <c r="V2382" s="32" t="s">
        <v>4117</v>
      </c>
      <c r="W23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href="canciones/taize/laudamus_te.html"&gt;Laudamus Te&lt;/a&gt;&lt;/li&gt;</v>
      </c>
      <c r="X2382" s="15" t="str">
        <f>_xlfn.TEXTBEFORE(_xlfn.TEXTAFTER(CantoralDB[[#This Row],[index.html]],"&gt;"),"&gt;")&amp;"&gt;"</f>
        <v>&lt;a href="canciones/taize/laudamus_te.html"&gt;</v>
      </c>
      <c r="Y2382"/>
      <c r="AC2382" s="1"/>
    </row>
    <row r="2383" spans="1:29" x14ac:dyDescent="0.3">
      <c r="A2383" s="1">
        <f>ROW(CantoralDB[[#This Row],[Título]])-1</f>
        <v>2382</v>
      </c>
      <c r="B2383" s="1" t="s">
        <v>4045</v>
      </c>
      <c r="C2383" s="1"/>
      <c r="J2383" s="1"/>
      <c r="M2383" s="15" t="s">
        <v>2130</v>
      </c>
      <c r="N2383" s="1" t="s">
        <v>4042</v>
      </c>
      <c r="O2383" s="15">
        <v>13</v>
      </c>
      <c r="P2383" s="15">
        <v>2017</v>
      </c>
      <c r="Q2383" s="15" t="str" cm="1">
        <f t="array" ref="Q23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3" s="15" t="str" cm="1">
        <f t="array" ref="R23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canciones/taize/atme_in_uns_heilliger_geist.html</v>
      </c>
      <c r="T2383" s="1"/>
      <c r="U2383" s="1"/>
      <c r="V2383" s="32" t="s">
        <v>4118</v>
      </c>
      <c r="W23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href="canciones/taize/atme_in_uns_heilliger_geist.html"&gt;Atme in uns, heilliger Geist&lt;/a&gt;&lt;/li&gt;</v>
      </c>
      <c r="X2383" s="15" t="str">
        <f>_xlfn.TEXTBEFORE(_xlfn.TEXTAFTER(CantoralDB[[#This Row],[index.html]],"&gt;"),"&gt;")&amp;"&gt;"</f>
        <v>&lt;a href="canciones/taize/atme_in_uns_heilliger_geist.html"&gt;</v>
      </c>
      <c r="Y2383"/>
      <c r="AC2383" s="1"/>
    </row>
    <row r="2384" spans="1:29" x14ac:dyDescent="0.3">
      <c r="A2384" s="1">
        <f>ROW(CantoralDB[[#This Row],[Título]])-1</f>
        <v>2383</v>
      </c>
      <c r="B2384" s="1" t="s">
        <v>467</v>
      </c>
      <c r="C2384" s="1" t="s">
        <v>1019</v>
      </c>
      <c r="D2384" s="1" t="s">
        <v>1119</v>
      </c>
      <c r="H2384" s="1" t="s">
        <v>529</v>
      </c>
      <c r="I2384" s="1" t="s">
        <v>2947</v>
      </c>
      <c r="J2384" s="1" t="s">
        <v>605</v>
      </c>
      <c r="M2384" s="15" t="s">
        <v>2130</v>
      </c>
      <c r="N2384" s="1" t="s">
        <v>4042</v>
      </c>
      <c r="O2384" s="15">
        <v>14</v>
      </c>
      <c r="P2384" s="15">
        <v>2017</v>
      </c>
      <c r="Q2384" s="15" t="str" cm="1">
        <f t="array" ref="Q23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4" s="15" t="str" cm="1">
        <f t="array" ref="R23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canciones/taize/voici_dieu_qui_vient_à_mon_secours.html</v>
      </c>
      <c r="T2384" s="1"/>
      <c r="U2384" s="1"/>
      <c r="V2384" s="32" t="s">
        <v>4119</v>
      </c>
      <c r="W23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data-nnew="Q81"&gt;&lt;a href="canciones/taize/voici_dieu_qui_vient_à_mon_secours.html"&gt;Voici Dieu qui vient à mon secours&lt;/a&gt;&lt;/li&gt;</v>
      </c>
      <c r="X2384" s="15" t="str">
        <f>_xlfn.TEXTBEFORE(_xlfn.TEXTAFTER(CantoralDB[[#This Row],[index.html]],"&gt;"),"&gt;")&amp;"&gt;"</f>
        <v>&lt;a href="canciones/taize/voici_dieu_qui_vient_à_mon_secours.html"&gt;</v>
      </c>
      <c r="Y2384"/>
      <c r="AC2384" s="1"/>
    </row>
    <row r="2385" spans="1:29" x14ac:dyDescent="0.3">
      <c r="A2385" s="1">
        <f>ROW(CantoralDB[[#This Row],[Título]])-1</f>
        <v>2384</v>
      </c>
      <c r="B2385" s="1" t="s">
        <v>442</v>
      </c>
      <c r="C2385" s="1" t="s">
        <v>1019</v>
      </c>
      <c r="D2385" s="1" t="s">
        <v>1144</v>
      </c>
      <c r="H2385" s="1" t="s">
        <v>472</v>
      </c>
      <c r="I2385" s="1" t="s">
        <v>2946</v>
      </c>
      <c r="J2385" s="1" t="s">
        <v>605</v>
      </c>
      <c r="M2385" s="15" t="s">
        <v>2130</v>
      </c>
      <c r="N2385" s="1" t="s">
        <v>4042</v>
      </c>
      <c r="O2385" s="15">
        <v>16</v>
      </c>
      <c r="P2385" s="15">
        <v>2017</v>
      </c>
      <c r="Q2385" s="15" t="str" cm="1">
        <f t="array" ref="Q23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5" s="15" t="str" cm="1">
        <f t="array" ref="R23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canciones/taize/staňte_se_soli.html</v>
      </c>
      <c r="T2385" s="1"/>
      <c r="U2385" s="1"/>
      <c r="V2385" s="32" t="s">
        <v>4120</v>
      </c>
      <c r="W23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data-nnew="Q71"&gt;&lt;a href="canciones/taize/staňte_se_soli.html"&gt;Staňte se solí&lt;/a&gt;&lt;/li&gt;</v>
      </c>
      <c r="X2385" s="15" t="str">
        <f>_xlfn.TEXTBEFORE(_xlfn.TEXTAFTER(CantoralDB[[#This Row],[index.html]],"&gt;"),"&gt;")&amp;"&gt;"</f>
        <v>&lt;a href="canciones/taize/staňte_se_soli.html"&gt;</v>
      </c>
      <c r="Y2385"/>
      <c r="AC2385" s="1"/>
    </row>
    <row r="2386" spans="1:29" x14ac:dyDescent="0.3">
      <c r="A2386" s="1">
        <f>ROW(CantoralDB[[#This Row],[Título]])-1</f>
        <v>2385</v>
      </c>
      <c r="B2386" s="1" t="s">
        <v>455</v>
      </c>
      <c r="C2386" s="1" t="s">
        <v>1019</v>
      </c>
      <c r="D2386" s="1" t="s">
        <v>1114</v>
      </c>
      <c r="E2386" s="1">
        <v>466</v>
      </c>
      <c r="H2386" s="1" t="s">
        <v>529</v>
      </c>
      <c r="I2386" s="1" t="s">
        <v>2946</v>
      </c>
      <c r="J2386" s="1" t="s">
        <v>605</v>
      </c>
      <c r="M2386" s="15" t="s">
        <v>2130</v>
      </c>
      <c r="N2386" s="1" t="s">
        <v>782</v>
      </c>
      <c r="O2386" s="15">
        <v>6</v>
      </c>
      <c r="P2386" s="15">
        <v>2002</v>
      </c>
      <c r="Q2386" s="15" t="str" cm="1">
        <f t="array" ref="Q23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6" s="15" t="str" cm="1">
        <f t="array" ref="R23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canciones/taize/ubi_caritas.html</v>
      </c>
      <c r="T2386" s="1"/>
      <c r="U2386" s="1"/>
      <c r="V2386" s="32" t="s">
        <v>4121</v>
      </c>
      <c r="W23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data-nnew="Q78" data-nold="466"&gt;&lt;a href="canciones/taize/ubi_caritas.html"&gt;Ubi caritas&lt;/a&gt;&lt;/li&gt;</v>
      </c>
      <c r="X2386" s="15" t="str">
        <f>_xlfn.TEXTBEFORE(_xlfn.TEXTAFTER(CantoralDB[[#This Row],[index.html]],"&gt;"),"&gt;")&amp;"&gt;"</f>
        <v>&lt;a href="canciones/taize/ubi_caritas.html"&gt;</v>
      </c>
      <c r="Y2386"/>
      <c r="AC2386" s="1"/>
    </row>
    <row r="2387" spans="1:29" x14ac:dyDescent="0.3">
      <c r="A2387" s="1">
        <f>ROW(CantoralDB[[#This Row],[Título]])-1</f>
        <v>2386</v>
      </c>
      <c r="B2387" s="1" t="s">
        <v>444</v>
      </c>
      <c r="C2387" s="1" t="s">
        <v>1019</v>
      </c>
      <c r="D2387" s="1" t="s">
        <v>1099</v>
      </c>
      <c r="H2387" s="1" t="s">
        <v>472</v>
      </c>
      <c r="I2387" s="1" t="s">
        <v>2947</v>
      </c>
      <c r="J2387" s="1" t="s">
        <v>605</v>
      </c>
      <c r="M2387" s="15" t="s">
        <v>2130</v>
      </c>
      <c r="N2387" s="1" t="s">
        <v>782</v>
      </c>
      <c r="O2387" s="15">
        <v>8</v>
      </c>
      <c r="P2387" s="15">
        <v>2002</v>
      </c>
      <c r="Q2387" s="15" t="str" cm="1">
        <f t="array" ref="Q23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7" s="15" t="str" cm="1">
        <f t="array" ref="R23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canciones/taize/surrexit_dominus_vere_(canon).html</v>
      </c>
      <c r="T2387" s="1"/>
      <c r="U2387" s="1"/>
      <c r="V2387" s="32" t="s">
        <v>4122</v>
      </c>
      <c r="W23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data-nnew="Q73"&gt;&lt;a href="canciones/taize/surrexit_dominus_vere_(canon).html"&gt;Surrexit Dominus vere (canon)&lt;/a&gt;&lt;/li&gt;</v>
      </c>
      <c r="X2387" s="15" t="str">
        <f>_xlfn.TEXTBEFORE(_xlfn.TEXTAFTER(CantoralDB[[#This Row],[index.html]],"&gt;"),"&gt;")&amp;"&gt;"</f>
        <v>&lt;a href="canciones/taize/surrexit_dominus_vere_(canon).html"&gt;</v>
      </c>
      <c r="Y2387"/>
      <c r="AC2387" s="1"/>
    </row>
    <row r="2388" spans="1:29" x14ac:dyDescent="0.3">
      <c r="A2388" s="1">
        <f>ROW(CantoralDB[[#This Row],[Título]])-1</f>
        <v>2387</v>
      </c>
      <c r="B2388" s="1" t="s">
        <v>4028</v>
      </c>
      <c r="C2388" s="1"/>
      <c r="J2388" s="1"/>
      <c r="M2388" s="15" t="s">
        <v>2130</v>
      </c>
      <c r="N2388" s="1" t="s">
        <v>782</v>
      </c>
      <c r="O2388" s="15">
        <v>13</v>
      </c>
      <c r="P2388" s="15">
        <v>2002</v>
      </c>
      <c r="Q2388" s="15" t="str" cm="1">
        <f t="array" ref="Q23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8" s="15" t="str" cm="1">
        <f t="array" ref="R23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canciones/taize/gloria…_et_in_terra_pax.html</v>
      </c>
      <c r="T2388" s="1"/>
      <c r="U2388" s="1"/>
      <c r="V2388" s="32" t="s">
        <v>4123</v>
      </c>
      <c r="W23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href="canciones/taize/gloria…_et_in_terra_pax.html"&gt;Gloria… et in terra pax&lt;/a&gt;&lt;/li&gt;</v>
      </c>
      <c r="X2388" s="15" t="str">
        <f>_xlfn.TEXTBEFORE(_xlfn.TEXTAFTER(CantoralDB[[#This Row],[index.html]],"&gt;"),"&gt;")&amp;"&gt;"</f>
        <v>&lt;a href="canciones/taize/gloria…_et_in_terra_pax.html"&gt;</v>
      </c>
      <c r="Y2388"/>
      <c r="AC2388" s="1"/>
    </row>
    <row r="2389" spans="1:29" x14ac:dyDescent="0.3">
      <c r="A2389" s="1">
        <f>ROW(CantoralDB[[#This Row],[Título]])-1</f>
        <v>2388</v>
      </c>
      <c r="B2389" s="1" t="s">
        <v>329</v>
      </c>
      <c r="C2389" s="1" t="s">
        <v>1019</v>
      </c>
      <c r="D2389" s="1" t="s">
        <v>1093</v>
      </c>
      <c r="H2389" s="1" t="s">
        <v>529</v>
      </c>
      <c r="I2389" s="1" t="s">
        <v>2947</v>
      </c>
      <c r="J2389" s="1" t="s">
        <v>605</v>
      </c>
      <c r="M2389" s="15" t="s">
        <v>2130</v>
      </c>
      <c r="N2389" s="1" t="s">
        <v>782</v>
      </c>
      <c r="O2389" s="15">
        <v>17</v>
      </c>
      <c r="P2389" s="15">
        <v>2002</v>
      </c>
      <c r="Q2389" s="15" t="str" cm="1">
        <f t="array" ref="Q23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89" s="15" t="str" cm="1">
        <f t="array" ref="R23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canciones/taize/christe_salvator.html</v>
      </c>
      <c r="T2389" s="1"/>
      <c r="U2389" s="1"/>
      <c r="V2389" s="32" t="s">
        <v>4124</v>
      </c>
      <c r="W23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data-nnew="Q23"&gt;&lt;a href="canciones/taize/christe_salvator.html"&gt;Christe Salvator&lt;/a&gt;&lt;/li&gt;</v>
      </c>
      <c r="X2389" s="15" t="str">
        <f>_xlfn.TEXTBEFORE(_xlfn.TEXTAFTER(CantoralDB[[#This Row],[index.html]],"&gt;"),"&gt;")&amp;"&gt;"</f>
        <v>&lt;a href="canciones/taize/christe_salvator.html"&gt;</v>
      </c>
      <c r="Y2389"/>
      <c r="AC2389" s="1"/>
    </row>
    <row r="2390" spans="1:29" x14ac:dyDescent="0.3">
      <c r="A2390" s="1">
        <f>ROW(CantoralDB[[#This Row],[Título]])-1</f>
        <v>2389</v>
      </c>
      <c r="B2390" s="1" t="s">
        <v>313</v>
      </c>
      <c r="C2390" s="1" t="s">
        <v>1019</v>
      </c>
      <c r="D2390" s="1" t="s">
        <v>1085</v>
      </c>
      <c r="H2390" s="1" t="s">
        <v>1025</v>
      </c>
      <c r="I2390" s="1" t="s">
        <v>2948</v>
      </c>
      <c r="J2390" s="1" t="s">
        <v>605</v>
      </c>
      <c r="M2390" s="15" t="s">
        <v>2130</v>
      </c>
      <c r="N2390" s="1" t="s">
        <v>782</v>
      </c>
      <c r="O2390" s="15">
        <v>18</v>
      </c>
      <c r="P2390" s="15">
        <v>2002</v>
      </c>
      <c r="Q2390" s="15" t="str" cm="1">
        <f t="array" ref="Q23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0" s="15" t="str" cm="1">
        <f t="array" ref="R23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canciones/taize/benedictus_qui_venit_(canon).html</v>
      </c>
      <c r="T2390" s="1"/>
      <c r="U2390" s="1"/>
      <c r="V2390" s="32" t="s">
        <v>4125</v>
      </c>
      <c r="W23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data-nnew="Q13"&gt;&lt;a href="canciones/taize/benedictus_qui_venit_(canon).html"&gt;Benedictus qui venit (canon)&lt;/a&gt;&lt;/li&gt;</v>
      </c>
      <c r="X2390" s="15" t="str">
        <f>_xlfn.TEXTBEFORE(_xlfn.TEXTAFTER(CantoralDB[[#This Row],[index.html]],"&gt;"),"&gt;")&amp;"&gt;"</f>
        <v>&lt;a href="canciones/taize/benedictus_qui_venit_(canon).html"&gt;</v>
      </c>
      <c r="Y2390"/>
      <c r="AC2390" s="1"/>
    </row>
    <row r="2391" spans="1:29" x14ac:dyDescent="0.3">
      <c r="A2391" s="1">
        <f>ROW(CantoralDB[[#This Row],[Título]])-1</f>
        <v>2390</v>
      </c>
      <c r="B2391" s="1" t="s">
        <v>419</v>
      </c>
      <c r="C2391" s="1" t="s">
        <v>1019</v>
      </c>
      <c r="D2391" s="1" t="s">
        <v>1108</v>
      </c>
      <c r="H2391" s="1" t="s">
        <v>1027</v>
      </c>
      <c r="J2391" s="1" t="s">
        <v>605</v>
      </c>
      <c r="M2391" s="15" t="s">
        <v>2130</v>
      </c>
      <c r="N2391" s="1" t="s">
        <v>782</v>
      </c>
      <c r="O2391" s="15">
        <v>19</v>
      </c>
      <c r="P2391" s="15">
        <v>2002</v>
      </c>
      <c r="Q2391" s="15" t="str" cm="1">
        <f t="array" ref="Q23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1" s="15" t="str" cm="1">
        <f t="array" ref="R23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canciones/taize/nunc_dimittis.html</v>
      </c>
      <c r="T2391" s="1"/>
      <c r="U2391" s="1"/>
      <c r="V2391" s="32" t="s">
        <v>4126</v>
      </c>
      <c r="W23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data-nnew="Q64"&gt;&lt;a href="canciones/taize/nunc_dimittis.html"&gt;Nunc dimittis&lt;/a&gt;&lt;/li&gt;</v>
      </c>
      <c r="X2391" s="15" t="str">
        <f>_xlfn.TEXTBEFORE(_xlfn.TEXTAFTER(CantoralDB[[#This Row],[index.html]],"&gt;"),"&gt;")&amp;"&gt;"</f>
        <v>&lt;a href="canciones/taize/nunc_dimittis.html"&gt;</v>
      </c>
      <c r="Y2391"/>
      <c r="AC2391" s="1"/>
    </row>
    <row r="2392" spans="1:29" x14ac:dyDescent="0.3">
      <c r="A2392" s="1">
        <f>ROW(CantoralDB[[#This Row],[Título]])-1</f>
        <v>2391</v>
      </c>
      <c r="B2392" s="1" t="s">
        <v>277</v>
      </c>
      <c r="C2392" s="1" t="s">
        <v>1019</v>
      </c>
      <c r="D2392" s="1" t="s">
        <v>1069</v>
      </c>
      <c r="H2392" s="1" t="s">
        <v>1040</v>
      </c>
      <c r="I2392" s="1" t="s">
        <v>2948</v>
      </c>
      <c r="J2392" s="1" t="s">
        <v>605</v>
      </c>
      <c r="M2392" s="15" t="s">
        <v>2130</v>
      </c>
      <c r="N2392" s="1" t="s">
        <v>411</v>
      </c>
      <c r="O2392" s="15">
        <v>1</v>
      </c>
      <c r="P2392" s="15">
        <v>2010</v>
      </c>
      <c r="Q2392" s="15" t="str" cm="1">
        <f t="array" ref="Q23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2" s="15" t="str" cm="1">
        <f t="array" ref="R23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canciones/taize/ad_te_jesu_christe.html</v>
      </c>
      <c r="T2392" s="1"/>
      <c r="U2392" s="1"/>
      <c r="V2392" s="32" t="s">
        <v>4127</v>
      </c>
      <c r="W23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data-nnew="Q03"&gt;&lt;a href="canciones/taize/ad_te_jesu_christe.html"&gt;Ad te Jesu Christe&lt;/a&gt;&lt;/li&gt;</v>
      </c>
      <c r="X2392" s="15" t="str">
        <f>_xlfn.TEXTBEFORE(_xlfn.TEXTAFTER(CantoralDB[[#This Row],[index.html]],"&gt;"),"&gt;")&amp;"&gt;"</f>
        <v>&lt;a href="canciones/taize/ad_te_jesu_christe.html"&gt;</v>
      </c>
      <c r="Y2392"/>
      <c r="AC2392" s="1"/>
    </row>
    <row r="2393" spans="1:29" x14ac:dyDescent="0.3">
      <c r="A2393" s="1">
        <f>ROW(CantoralDB[[#This Row],[Título]])-1</f>
        <v>2392</v>
      </c>
      <c r="B2393" s="1" t="s">
        <v>368</v>
      </c>
      <c r="C2393" s="1" t="s">
        <v>1019</v>
      </c>
      <c r="D2393" s="1" t="s">
        <v>1118</v>
      </c>
      <c r="H2393" s="1" t="s">
        <v>1024</v>
      </c>
      <c r="I2393" s="1" t="s">
        <v>2948</v>
      </c>
      <c r="J2393" s="1" t="s">
        <v>605</v>
      </c>
      <c r="M2393" s="15" t="s">
        <v>2130</v>
      </c>
      <c r="N2393" s="1" t="s">
        <v>411</v>
      </c>
      <c r="O2393" s="15">
        <v>2</v>
      </c>
      <c r="P2393" s="15">
        <v>2010</v>
      </c>
      <c r="Q2393" s="15" t="str" cm="1">
        <f t="array" ref="Q23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3" s="15" t="str" cm="1">
        <f t="array" ref="R23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canciones/taize/il_signore_ti_ristora.html</v>
      </c>
      <c r="T2393" s="1"/>
      <c r="U2393" s="1"/>
      <c r="V2393" s="32" t="s">
        <v>4128</v>
      </c>
      <c r="W23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data-nnew="Q44"&gt;&lt;a href="canciones/taize/il_signore_ti_ristora.html"&gt;Il Signore ti ristora&lt;/a&gt;&lt;/li&gt;</v>
      </c>
      <c r="X2393" s="15" t="str">
        <f>_xlfn.TEXTBEFORE(_xlfn.TEXTAFTER(CantoralDB[[#This Row],[index.html]],"&gt;"),"&gt;")&amp;"&gt;"</f>
        <v>&lt;a href="canciones/taize/il_signore_ti_ristora.html"&gt;</v>
      </c>
      <c r="Y2393"/>
      <c r="AC2393" s="1"/>
    </row>
    <row r="2394" spans="1:29" x14ac:dyDescent="0.3">
      <c r="A2394" s="1">
        <f>ROW(CantoralDB[[#This Row],[Título]])-1</f>
        <v>2393</v>
      </c>
      <c r="B2394" s="1" t="s">
        <v>302</v>
      </c>
      <c r="C2394" s="1" t="s">
        <v>1019</v>
      </c>
      <c r="D2394" s="1" t="s">
        <v>1077</v>
      </c>
      <c r="H2394" s="1" t="s">
        <v>472</v>
      </c>
      <c r="I2394" s="1" t="s">
        <v>2947</v>
      </c>
      <c r="J2394" s="1" t="s">
        <v>605</v>
      </c>
      <c r="M2394" s="15" t="s">
        <v>2130</v>
      </c>
      <c r="N2394" s="1" t="s">
        <v>411</v>
      </c>
      <c r="O2394" s="15">
        <v>3</v>
      </c>
      <c r="P2394" s="15">
        <v>2010</v>
      </c>
      <c r="Q2394" s="15" t="str" cm="1">
        <f t="array" ref="Q23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4" s="15" t="str" cm="1">
        <f t="array" ref="R23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canciones/taize/alleluia_22.html</v>
      </c>
      <c r="T2394" s="1"/>
      <c r="U2394" s="1"/>
      <c r="V2394" s="32" t="s">
        <v>4129</v>
      </c>
      <c r="W23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data-nnew="Q07"&gt;&lt;a href="canciones/taize/alleluia_22.html"&gt;Alleluia 22&lt;/a&gt;&lt;/li&gt;</v>
      </c>
      <c r="X2394" s="15" t="str">
        <f>_xlfn.TEXTBEFORE(_xlfn.TEXTAFTER(CantoralDB[[#This Row],[index.html]],"&gt;"),"&gt;")&amp;"&gt;"</f>
        <v>&lt;a href="canciones/taize/alleluia_22.html"&gt;</v>
      </c>
      <c r="Y2394"/>
      <c r="AC2394" s="1"/>
    </row>
    <row r="2395" spans="1:29" x14ac:dyDescent="0.3">
      <c r="A2395" s="1">
        <f>ROW(CantoralDB[[#This Row],[Título]])-1</f>
        <v>2394</v>
      </c>
      <c r="B2395" s="1" t="s">
        <v>434</v>
      </c>
      <c r="C2395" s="1"/>
      <c r="J2395" s="1"/>
      <c r="M2395" s="15" t="s">
        <v>2130</v>
      </c>
      <c r="N2395" s="1" t="s">
        <v>411</v>
      </c>
      <c r="O2395" s="15">
        <v>4</v>
      </c>
      <c r="P2395" s="15">
        <v>2010</v>
      </c>
      <c r="Q2395" s="15" t="str" cm="1">
        <f t="array" ref="Q23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5" s="15" t="str" cm="1">
        <f t="array" ref="R23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canciones/taize/see_i_am_near.html</v>
      </c>
      <c r="T2395" s="1"/>
      <c r="U2395" s="1"/>
      <c r="V2395" s="32" t="s">
        <v>4130</v>
      </c>
      <c r="W23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href="canciones/taize/see_i_am_near.html"&gt;See, I am near&lt;/a&gt;&lt;/li&gt;</v>
      </c>
      <c r="X2395" s="15" t="str">
        <f>_xlfn.TEXTBEFORE(_xlfn.TEXTAFTER(CantoralDB[[#This Row],[index.html]],"&gt;"),"&gt;")&amp;"&gt;"</f>
        <v>&lt;a href="canciones/taize/see_i_am_near.html"&gt;</v>
      </c>
      <c r="Y2395"/>
      <c r="AC2395" s="1"/>
    </row>
    <row r="2396" spans="1:29" x14ac:dyDescent="0.3">
      <c r="A2396" s="1">
        <f>ROW(CantoralDB[[#This Row],[Título]])-1</f>
        <v>2395</v>
      </c>
      <c r="B2396" s="1" t="s">
        <v>437</v>
      </c>
      <c r="C2396" s="1"/>
      <c r="J2396" s="1"/>
      <c r="M2396" s="15" t="s">
        <v>2130</v>
      </c>
      <c r="N2396" s="1" t="s">
        <v>411</v>
      </c>
      <c r="O2396" s="15">
        <v>5</v>
      </c>
      <c r="P2396" s="15">
        <v>2010</v>
      </c>
      <c r="Q2396" s="15" t="str" cm="1">
        <f t="array" ref="Q23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6" s="15" t="str" cm="1">
        <f t="array" ref="R23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canciones/taize/sfinte_dumnezeule.html</v>
      </c>
      <c r="T2396" s="1"/>
      <c r="U2396" s="1"/>
      <c r="V2396" s="32" t="s">
        <v>4131</v>
      </c>
      <c r="W23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href="canciones/taize/sfinte_dumnezeule.html"&gt;Sfinte Dumnezeule&lt;/a&gt;&lt;/li&gt;</v>
      </c>
      <c r="X2396" s="15" t="str">
        <f>_xlfn.TEXTBEFORE(_xlfn.TEXTAFTER(CantoralDB[[#This Row],[index.html]],"&gt;"),"&gt;")&amp;"&gt;"</f>
        <v>&lt;a href="canciones/taize/sfinte_dumnezeule.html"&gt;</v>
      </c>
      <c r="Y2396"/>
      <c r="AC2396" s="1"/>
    </row>
    <row r="2397" spans="1:29" x14ac:dyDescent="0.3">
      <c r="A2397" s="1">
        <f>ROW(CantoralDB[[#This Row],[Título]])-1</f>
        <v>2396</v>
      </c>
      <c r="B2397" s="1" t="s">
        <v>367</v>
      </c>
      <c r="C2397" s="1" t="s">
        <v>1019</v>
      </c>
      <c r="D2397" s="1" t="s">
        <v>1125</v>
      </c>
      <c r="H2397" s="1" t="s">
        <v>1025</v>
      </c>
      <c r="I2397" s="1" t="s">
        <v>2948</v>
      </c>
      <c r="J2397" s="1" t="s">
        <v>605</v>
      </c>
      <c r="M2397" s="15" t="s">
        <v>2130</v>
      </c>
      <c r="N2397" s="1" t="s">
        <v>411</v>
      </c>
      <c r="O2397" s="15">
        <v>6</v>
      </c>
      <c r="P2397" s="15">
        <v>2010</v>
      </c>
      <c r="Q2397" s="15" t="str" cm="1">
        <f t="array" ref="Q23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7" s="15" t="str" cm="1">
        <f t="array" ref="R23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canciones/taize/iedere_nacht_verlang_ik.html</v>
      </c>
      <c r="T2397" s="1"/>
      <c r="U2397" s="1"/>
      <c r="V2397" s="32" t="s">
        <v>4132</v>
      </c>
      <c r="W23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data-nnew="Q43"&gt;&lt;a href="canciones/taize/iedere_nacht_verlang_ik.html"&gt;Iedere nacht verlang ik&lt;/a&gt;&lt;/li&gt;</v>
      </c>
      <c r="X2397" s="15" t="str">
        <f>_xlfn.TEXTBEFORE(_xlfn.TEXTAFTER(CantoralDB[[#This Row],[index.html]],"&gt;"),"&gt;")&amp;"&gt;"</f>
        <v>&lt;a href="canciones/taize/iedere_nacht_verlang_ik.html"&gt;</v>
      </c>
      <c r="Y2397"/>
      <c r="AC2397" s="1"/>
    </row>
    <row r="2398" spans="1:29" x14ac:dyDescent="0.3">
      <c r="A2398" s="1">
        <f>ROW(CantoralDB[[#This Row],[Título]])-1</f>
        <v>2397</v>
      </c>
      <c r="B2398" s="1" t="s">
        <v>402</v>
      </c>
      <c r="C2398" s="1"/>
      <c r="J2398" s="1"/>
      <c r="M2398" s="15" t="s">
        <v>2130</v>
      </c>
      <c r="N2398" s="1" t="s">
        <v>411</v>
      </c>
      <c r="O2398" s="15">
        <v>7</v>
      </c>
      <c r="P2398" s="15">
        <v>2010</v>
      </c>
      <c r="Q2398" s="15" t="str" cm="1">
        <f t="array" ref="Q23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8" s="15" t="str" cm="1">
        <f t="array" ref="R23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canciones/taize/laetentur_coeli.html</v>
      </c>
      <c r="T2398" s="1"/>
      <c r="U2398" s="1"/>
      <c r="V2398" s="32" t="s">
        <v>4133</v>
      </c>
      <c r="W23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href="canciones/taize/laetentur_coeli.html"&gt;Laetentur coeli&lt;/a&gt;&lt;/li&gt;</v>
      </c>
      <c r="X2398" s="15" t="str">
        <f>_xlfn.TEXTBEFORE(_xlfn.TEXTAFTER(CantoralDB[[#This Row],[index.html]],"&gt;"),"&gt;")&amp;"&gt;"</f>
        <v>&lt;a href="canciones/taize/laetentur_coeli.html"&gt;</v>
      </c>
      <c r="Y2398"/>
      <c r="AC2398" s="1"/>
    </row>
    <row r="2399" spans="1:29" x14ac:dyDescent="0.3">
      <c r="A2399" s="1">
        <f>ROW(CantoralDB[[#This Row],[Título]])-1</f>
        <v>2398</v>
      </c>
      <c r="B2399" s="1" t="s">
        <v>4035</v>
      </c>
      <c r="C2399" s="1"/>
      <c r="J2399" s="1"/>
      <c r="M2399" s="15" t="s">
        <v>2130</v>
      </c>
      <c r="N2399" s="1" t="s">
        <v>411</v>
      </c>
      <c r="O2399" s="15">
        <v>8</v>
      </c>
      <c r="P2399" s="15">
        <v>2010</v>
      </c>
      <c r="Q2399" s="15" t="str" cm="1">
        <f t="array" ref="Q23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399" s="15" t="str" cm="1">
        <f t="array" ref="R23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3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canciones/taize/sto_oko_ne_vidje.html</v>
      </c>
      <c r="T2399" s="1"/>
      <c r="U2399" s="1"/>
      <c r="V2399" s="32" t="s">
        <v>4134</v>
      </c>
      <c r="W23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href="canciones/taize/sto_oko_ne_vidje.html"&gt;Sto oko ne vidje&lt;/a&gt;&lt;/li&gt;</v>
      </c>
      <c r="X2399" s="15" t="str">
        <f>_xlfn.TEXTBEFORE(_xlfn.TEXTAFTER(CantoralDB[[#This Row],[index.html]],"&gt;"),"&gt;")&amp;"&gt;"</f>
        <v>&lt;a href="canciones/taize/sto_oko_ne_vidje.html"&gt;</v>
      </c>
      <c r="Y2399"/>
      <c r="AC2399" s="1"/>
    </row>
    <row r="2400" spans="1:29" x14ac:dyDescent="0.3">
      <c r="A2400" s="1">
        <f>ROW(CantoralDB[[#This Row],[Título]])-1</f>
        <v>2399</v>
      </c>
      <c r="B2400" s="1" t="s">
        <v>399</v>
      </c>
      <c r="C2400" s="1"/>
      <c r="J2400" s="1"/>
      <c r="M2400" s="15" t="s">
        <v>2130</v>
      </c>
      <c r="N2400" s="1" t="s">
        <v>411</v>
      </c>
      <c r="O2400" s="15">
        <v>9</v>
      </c>
      <c r="P2400" s="15">
        <v>2010</v>
      </c>
      <c r="Q2400" s="15" t="str" cm="1">
        <f t="array" ref="Q24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0" s="15" t="str" cm="1">
        <f t="array" ref="R24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canciones/taize/kyrie_21.html</v>
      </c>
      <c r="T2400" s="1"/>
      <c r="U2400" s="1"/>
      <c r="V2400" s="32" t="s">
        <v>4135</v>
      </c>
      <c r="W24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href="canciones/taize/kyrie_21.html"&gt;Kyrie 21&lt;/a&gt;&lt;/li&gt;</v>
      </c>
      <c r="X2400" s="15" t="str">
        <f>_xlfn.TEXTBEFORE(_xlfn.TEXTAFTER(CantoralDB[[#This Row],[index.html]],"&gt;"),"&gt;")&amp;"&gt;"</f>
        <v>&lt;a href="canciones/taize/kyrie_21.html"&gt;</v>
      </c>
      <c r="Y2400"/>
      <c r="AC2400" s="1"/>
    </row>
    <row r="2401" spans="1:29" x14ac:dyDescent="0.3">
      <c r="A2401" s="1">
        <f>ROW(CantoralDB[[#This Row],[Título]])-1</f>
        <v>2400</v>
      </c>
      <c r="B2401" s="1" t="s">
        <v>276</v>
      </c>
      <c r="C2401" s="1" t="s">
        <v>1019</v>
      </c>
      <c r="D2401" s="1" t="s">
        <v>1068</v>
      </c>
      <c r="H2401" s="1" t="s">
        <v>529</v>
      </c>
      <c r="I2401" s="1" t="s">
        <v>2949</v>
      </c>
      <c r="J2401" s="1" t="s">
        <v>605</v>
      </c>
      <c r="M2401" s="15" t="s">
        <v>2130</v>
      </c>
      <c r="N2401" s="1" t="s">
        <v>411</v>
      </c>
      <c r="O2401" s="15">
        <v>11</v>
      </c>
      <c r="P2401" s="15">
        <v>2010</v>
      </c>
      <c r="Q2401" s="15" t="str" cm="1">
        <f t="array" ref="Q24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1" s="15" t="str" cm="1">
        <f t="array" ref="R24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canciones/taize/aber_du_weisst_den_weg_für_mich.html</v>
      </c>
      <c r="T2401" s="1"/>
      <c r="U2401" s="1"/>
      <c r="V2401" s="32" t="s">
        <v>4136</v>
      </c>
      <c r="W24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data-nnew="Q01"&gt;&lt;a href="canciones/taize/aber_du_weisst_den_weg_für_mich.html"&gt;Aber du weisst den Weg für mich&lt;/a&gt;&lt;/li&gt;</v>
      </c>
      <c r="X2401" s="15" t="str">
        <f>_xlfn.TEXTBEFORE(_xlfn.TEXTAFTER(CantoralDB[[#This Row],[index.html]],"&gt;"),"&gt;")&amp;"&gt;"</f>
        <v>&lt;a href="canciones/taize/aber_du_weisst_den_weg_für_mich.html"&gt;</v>
      </c>
      <c r="Y2401"/>
      <c r="AC2401" s="1"/>
    </row>
    <row r="2402" spans="1:29" x14ac:dyDescent="0.3">
      <c r="A2402" s="1">
        <f>ROW(CantoralDB[[#This Row],[Título]])-1</f>
        <v>2401</v>
      </c>
      <c r="B2402" s="1" t="s">
        <v>349</v>
      </c>
      <c r="C2402" s="1"/>
      <c r="J2402" s="1"/>
      <c r="M2402" s="15" t="s">
        <v>2130</v>
      </c>
      <c r="N2402" s="1" t="s">
        <v>411</v>
      </c>
      <c r="O2402" s="15">
        <v>12</v>
      </c>
      <c r="P2402" s="15">
        <v>2010</v>
      </c>
      <c r="Q2402" s="15" t="str" cm="1">
        <f t="array" ref="Q24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2" s="15" t="str" cm="1">
        <f t="array" ref="R24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canciones/taize/exaudi_orationem_meam.html</v>
      </c>
      <c r="T2402" s="1"/>
      <c r="U2402" s="1"/>
      <c r="V2402" s="32" t="s">
        <v>4137</v>
      </c>
      <c r="W24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href="canciones/taize/exaudi_orationem_meam.html"&gt;Exaudi orationem meam&lt;/a&gt;&lt;/li&gt;</v>
      </c>
      <c r="X2402" s="15" t="str">
        <f>_xlfn.TEXTBEFORE(_xlfn.TEXTAFTER(CantoralDB[[#This Row],[index.html]],"&gt;"),"&gt;")&amp;"&gt;"</f>
        <v>&lt;a href="canciones/taize/exaudi_orationem_meam.html"&gt;</v>
      </c>
      <c r="Y2402"/>
      <c r="AC2402" s="1"/>
    </row>
    <row r="2403" spans="1:29" x14ac:dyDescent="0.3">
      <c r="A2403" s="1">
        <f>ROW(CantoralDB[[#This Row],[Título]])-1</f>
        <v>2402</v>
      </c>
      <c r="B2403" s="1" t="s">
        <v>287</v>
      </c>
      <c r="C2403" s="1"/>
      <c r="J2403" s="1"/>
      <c r="M2403" s="15" t="s">
        <v>2130</v>
      </c>
      <c r="N2403" s="1" t="s">
        <v>411</v>
      </c>
      <c r="O2403" s="15">
        <v>13</v>
      </c>
      <c r="P2403" s="15">
        <v>2010</v>
      </c>
      <c r="Q2403" s="15" t="str" cm="1">
        <f t="array" ref="Q24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3" s="15" t="str" cm="1">
        <f t="array" ref="R24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canciones/taize/alleluia_(kiev).html</v>
      </c>
      <c r="T2403" s="1"/>
      <c r="U2403" s="1"/>
      <c r="V2403" s="32" t="s">
        <v>4138</v>
      </c>
      <c r="W24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href="canciones/taize/alleluia_(kiev).html"&gt;Alleluia (Kiev)&lt;/a&gt;&lt;/li&gt;</v>
      </c>
      <c r="X2403" s="15" t="str">
        <f>_xlfn.TEXTBEFORE(_xlfn.TEXTAFTER(CantoralDB[[#This Row],[index.html]],"&gt;"),"&gt;")&amp;"&gt;"</f>
        <v>&lt;a href="canciones/taize/alleluia_(kiev).html"&gt;</v>
      </c>
      <c r="Y2403"/>
      <c r="AC2403" s="1"/>
    </row>
    <row r="2404" spans="1:29" x14ac:dyDescent="0.3">
      <c r="A2404" s="1">
        <f>ROW(CantoralDB[[#This Row],[Título]])-1</f>
        <v>2403</v>
      </c>
      <c r="B2404" s="1" t="s">
        <v>344</v>
      </c>
      <c r="C2404" s="1" t="s">
        <v>1019</v>
      </c>
      <c r="D2404" s="1" t="s">
        <v>1095</v>
      </c>
      <c r="H2404" s="1" t="s">
        <v>1025</v>
      </c>
      <c r="I2404" s="1" t="s">
        <v>2948</v>
      </c>
      <c r="J2404" s="1" t="s">
        <v>605</v>
      </c>
      <c r="M2404" s="15" t="s">
        <v>2130</v>
      </c>
      <c r="N2404" s="1" t="s">
        <v>411</v>
      </c>
      <c r="O2404" s="15">
        <v>14</v>
      </c>
      <c r="P2404" s="15">
        <v>2010</v>
      </c>
      <c r="Q2404" s="15" t="str" cm="1">
        <f t="array" ref="Q24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4" s="15" t="str" cm="1">
        <f t="array" ref="R24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canciones/taize/eat_this_bread.html</v>
      </c>
      <c r="T2404" s="1"/>
      <c r="U2404" s="1"/>
      <c r="V2404" s="32" t="s">
        <v>4139</v>
      </c>
      <c r="W24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data-nnew="Q36"&gt;&lt;a href="canciones/taize/eat_this_bread.html"&gt;Eat this bread&lt;/a&gt;&lt;/li&gt;</v>
      </c>
      <c r="X2404" s="15" t="str">
        <f>_xlfn.TEXTBEFORE(_xlfn.TEXTAFTER(CantoralDB[[#This Row],[index.html]],"&gt;"),"&gt;")&amp;"&gt;"</f>
        <v>&lt;a href="canciones/taize/eat_this_bread.html"&gt;</v>
      </c>
      <c r="Y2404"/>
      <c r="AC2404" s="1"/>
    </row>
    <row r="2405" spans="1:29" x14ac:dyDescent="0.3">
      <c r="A2405" s="1">
        <f>ROW(CantoralDB[[#This Row],[Título]])-1</f>
        <v>2404</v>
      </c>
      <c r="B2405" s="1" t="s">
        <v>1020</v>
      </c>
      <c r="C2405" s="1" t="s">
        <v>1019</v>
      </c>
      <c r="D2405" s="1" t="s">
        <v>1095</v>
      </c>
      <c r="H2405" s="1" t="s">
        <v>1025</v>
      </c>
      <c r="I2405" s="1" t="s">
        <v>2948</v>
      </c>
      <c r="J2405" s="1" t="s">
        <v>605</v>
      </c>
      <c r="M2405" s="15" t="s">
        <v>2130</v>
      </c>
      <c r="N2405" s="1" t="s">
        <v>411</v>
      </c>
      <c r="O2405" s="15">
        <v>14</v>
      </c>
      <c r="P2405" s="15">
        <v>2010</v>
      </c>
      <c r="Q2405" s="15" t="str" cm="1">
        <f t="array" ref="Q24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5" s="15" t="str" cm="1">
        <f t="array" ref="R24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canciones/taize/jesus_christ_bread_of_life.html</v>
      </c>
      <c r="T2405" s="1"/>
      <c r="U2405" s="1"/>
      <c r="V2405" s="32" t="s">
        <v>4139</v>
      </c>
      <c r="W24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data-nnew="Q36"&gt;&lt;a href="canciones/taize/jesus_christ_bread_of_life.html"&gt;Jesus Christ, bread of life&lt;/a&gt;&lt;/li&gt;</v>
      </c>
      <c r="X2405" s="15" t="str">
        <f>_xlfn.TEXTBEFORE(_xlfn.TEXTAFTER(CantoralDB[[#This Row],[index.html]],"&gt;"),"&gt;")&amp;"&gt;"</f>
        <v>&lt;a href="canciones/taize/jesus_christ_bread_of_life.html"&gt;</v>
      </c>
      <c r="Y2405"/>
      <c r="AC2405" s="1"/>
    </row>
    <row r="2406" spans="1:29" x14ac:dyDescent="0.3">
      <c r="A2406" s="1">
        <f>ROW(CantoralDB[[#This Row],[Título]])-1</f>
        <v>2405</v>
      </c>
      <c r="B2406" s="1" t="s">
        <v>411</v>
      </c>
      <c r="C2406" s="1"/>
      <c r="J2406" s="1"/>
      <c r="M2406" s="15" t="s">
        <v>2130</v>
      </c>
      <c r="N2406" s="1" t="s">
        <v>411</v>
      </c>
      <c r="O2406" s="15">
        <v>15</v>
      </c>
      <c r="P2406" s="15">
        <v>2010</v>
      </c>
      <c r="Q2406" s="15" t="str" cm="1">
        <f t="array" ref="Q24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6" s="15" t="str" cm="1">
        <f t="array" ref="R24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canciones/taize/mane_nobiscum.html</v>
      </c>
      <c r="T2406" s="1"/>
      <c r="U2406" s="1"/>
      <c r="V2406" s="32" t="s">
        <v>4140</v>
      </c>
      <c r="W24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href="canciones/taize/mane_nobiscum.html"&gt;Mane nobiscum&lt;/a&gt;&lt;/li&gt;</v>
      </c>
      <c r="X2406" s="15" t="str">
        <f>_xlfn.TEXTBEFORE(_xlfn.TEXTAFTER(CantoralDB[[#This Row],[index.html]],"&gt;"),"&gt;")&amp;"&gt;"</f>
        <v>&lt;a href="canciones/taize/mane_nobiscum.html"&gt;</v>
      </c>
      <c r="Y2406"/>
      <c r="AC2406" s="1"/>
    </row>
    <row r="2407" spans="1:29" x14ac:dyDescent="0.3">
      <c r="A2407" s="1">
        <f>ROW(CantoralDB[[#This Row],[Título]])-1</f>
        <v>2406</v>
      </c>
      <c r="B2407" s="1" t="s">
        <v>458</v>
      </c>
      <c r="C2407" s="1"/>
      <c r="J2407" s="1"/>
      <c r="M2407" s="15" t="s">
        <v>2130</v>
      </c>
      <c r="N2407" s="1" t="s">
        <v>411</v>
      </c>
      <c r="O2407" s="15">
        <v>16</v>
      </c>
      <c r="P2407" s="15">
        <v>2010</v>
      </c>
      <c r="Q2407" s="15" t="str" cm="1">
        <f t="array" ref="Q24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7" s="15" t="str" cm="1">
        <f t="array" ref="R24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canciones/taize/veni_creator_(canon).html</v>
      </c>
      <c r="T2407" s="1"/>
      <c r="U2407" s="1"/>
      <c r="V2407" s="32" t="s">
        <v>4141</v>
      </c>
      <c r="W24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href="canciones/taize/veni_creator_(canon).html"&gt;Veni Creator (canon)&lt;/a&gt;&lt;/li&gt;</v>
      </c>
      <c r="X2407" s="15" t="str">
        <f>_xlfn.TEXTBEFORE(_xlfn.TEXTAFTER(CantoralDB[[#This Row],[index.html]],"&gt;"),"&gt;")&amp;"&gt;"</f>
        <v>&lt;a href="canciones/taize/veni_creator_(canon).html"&gt;</v>
      </c>
      <c r="Y2407"/>
      <c r="AC2407" s="1"/>
    </row>
    <row r="2408" spans="1:29" x14ac:dyDescent="0.3">
      <c r="A2408" s="1">
        <f>ROW(CantoralDB[[#This Row],[Título]])-1</f>
        <v>2407</v>
      </c>
      <c r="B2408" s="1" t="s">
        <v>348</v>
      </c>
      <c r="C2408" s="1" t="s">
        <v>1019</v>
      </c>
      <c r="D2408" s="1" t="s">
        <v>1121</v>
      </c>
      <c r="H2408" s="1" t="s">
        <v>1027</v>
      </c>
      <c r="J2408" s="1" t="s">
        <v>605</v>
      </c>
      <c r="M2408" s="15" t="s">
        <v>2130</v>
      </c>
      <c r="N2408" s="1" t="s">
        <v>411</v>
      </c>
      <c r="O2408" s="15">
        <v>17</v>
      </c>
      <c r="P2408" s="15">
        <v>2010</v>
      </c>
      <c r="Q2408" s="15" t="str" cm="1">
        <f t="array" ref="Q24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8" s="15" t="str" cm="1">
        <f t="array" ref="R24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canciones/taize/esprit_consolateur.html</v>
      </c>
      <c r="T2408" s="1"/>
      <c r="U2408" s="1"/>
      <c r="V2408" s="32" t="s">
        <v>4142</v>
      </c>
      <c r="W24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data-nnew="Q39"&gt;&lt;a href="canciones/taize/esprit_consolateur.html"&gt;Esprit consolateur&lt;/a&gt;&lt;/li&gt;</v>
      </c>
      <c r="X2408" s="15" t="str">
        <f>_xlfn.TEXTBEFORE(_xlfn.TEXTAFTER(CantoralDB[[#This Row],[index.html]],"&gt;"),"&gt;")&amp;"&gt;"</f>
        <v>&lt;a href="canciones/taize/esprit_consolateur.html"&gt;</v>
      </c>
      <c r="Y2408"/>
      <c r="AC2408" s="1"/>
    </row>
    <row r="2409" spans="1:29" x14ac:dyDescent="0.3">
      <c r="A2409" s="1">
        <f>ROW(CantoralDB[[#This Row],[Título]])-1</f>
        <v>2408</v>
      </c>
      <c r="B2409" s="1" t="s">
        <v>358</v>
      </c>
      <c r="C2409" s="1"/>
      <c r="J2409" s="1"/>
      <c r="M2409" s="15" t="s">
        <v>2130</v>
      </c>
      <c r="N2409" s="1" t="s">
        <v>4040</v>
      </c>
      <c r="O2409" s="15">
        <v>13</v>
      </c>
      <c r="P2409" s="15">
        <v>2014</v>
      </c>
      <c r="Q2409" s="15" t="str" cm="1">
        <f t="array" ref="Q24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09" s="15" t="str" cm="1">
        <f t="array" ref="R24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canciones/taize/gospodi_c.html</v>
      </c>
      <c r="T2409" s="1"/>
      <c r="U2409" s="1"/>
      <c r="V2409" s="32" t="s">
        <v>4143</v>
      </c>
      <c r="W24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href="canciones/taize/gospodi_c.html"&gt;Gospodi C&lt;/a&gt;&lt;/li&gt;</v>
      </c>
      <c r="X2409" s="15" t="str">
        <f>_xlfn.TEXTBEFORE(_xlfn.TEXTAFTER(CantoralDB[[#This Row],[index.html]],"&gt;"),"&gt;")&amp;"&gt;"</f>
        <v>&lt;a href="canciones/taize/gospodi_c.html"&gt;</v>
      </c>
      <c r="Y2409"/>
      <c r="AC2409" s="1"/>
    </row>
    <row r="2410" spans="1:29" x14ac:dyDescent="0.3">
      <c r="A2410" s="1">
        <f>ROW(CantoralDB[[#This Row],[Título]])-1</f>
        <v>2409</v>
      </c>
      <c r="B2410" s="1" t="s">
        <v>4041</v>
      </c>
      <c r="C2410" s="1"/>
      <c r="J2410" s="1"/>
      <c r="M2410" s="15" t="s">
        <v>2130</v>
      </c>
      <c r="N2410" s="1" t="s">
        <v>4040</v>
      </c>
      <c r="O2410" s="15">
        <v>15</v>
      </c>
      <c r="P2410" s="15">
        <v>2014</v>
      </c>
      <c r="Q2410" s="15" t="str" cm="1">
        <f t="array" ref="Q24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0" s="15" t="str" cm="1">
        <f t="array" ref="R24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canciones/taize/cantique_de_simeon.html</v>
      </c>
      <c r="T2410" s="1"/>
      <c r="U2410" s="1"/>
      <c r="V2410" s="32" t="s">
        <v>4144</v>
      </c>
      <c r="W24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href="canciones/taize/cantique_de_simeon.html"&gt;Cantique de Siméon&lt;/a&gt;&lt;/li&gt;</v>
      </c>
      <c r="X2410" s="15" t="str">
        <f>_xlfn.TEXTBEFORE(_xlfn.TEXTAFTER(CantoralDB[[#This Row],[index.html]],"&gt;"),"&gt;")&amp;"&gt;"</f>
        <v>&lt;a href="canciones/taize/cantique_de_simeon.html"&gt;</v>
      </c>
      <c r="Y2410"/>
      <c r="AC2410" s="1"/>
    </row>
    <row r="2411" spans="1:29" x14ac:dyDescent="0.3">
      <c r="A2411" s="1">
        <f>ROW(CantoralDB[[#This Row],[Título]])-1</f>
        <v>2410</v>
      </c>
      <c r="B2411" s="1" t="s">
        <v>407</v>
      </c>
      <c r="C2411" s="1" t="s">
        <v>1019</v>
      </c>
      <c r="D2411" s="1" t="s">
        <v>1138</v>
      </c>
      <c r="H2411" s="1" t="s">
        <v>529</v>
      </c>
      <c r="I2411" s="1" t="s">
        <v>2948</v>
      </c>
      <c r="J2411" s="1" t="s">
        <v>605</v>
      </c>
      <c r="M2411" s="15" t="s">
        <v>2130</v>
      </c>
      <c r="N2411" s="1" t="s">
        <v>4040</v>
      </c>
      <c r="O2411" s="15">
        <v>19</v>
      </c>
      <c r="P2411" s="15">
        <v>2014</v>
      </c>
      <c r="Q2411" s="15" t="str" cm="1">
        <f t="array" ref="Q24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1" s="15" t="str" cm="1">
        <f t="array" ref="R24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canciones/taize/let_all_who_are_thirsty_come.html</v>
      </c>
      <c r="T2411" s="1"/>
      <c r="U2411" s="1"/>
      <c r="V2411" s="32" t="s">
        <v>4145</v>
      </c>
      <c r="W24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data-nnew="Q60"&gt;&lt;a href="canciones/taize/let_all_who_are_thirsty_come.html"&gt;Let all who are thirsty come&lt;/a&gt;&lt;/li&gt;</v>
      </c>
      <c r="X2411" s="15" t="str">
        <f>_xlfn.TEXTBEFORE(_xlfn.TEXTAFTER(CantoralDB[[#This Row],[index.html]],"&gt;"),"&gt;")&amp;"&gt;"</f>
        <v>&lt;a href="canciones/taize/let_all_who_are_thirsty_come.html"&gt;</v>
      </c>
      <c r="Y2411"/>
      <c r="AC2411" s="1"/>
    </row>
    <row r="2412" spans="1:29" x14ac:dyDescent="0.3">
      <c r="A2412" s="1">
        <f>ROW(CantoralDB[[#This Row],[Título]])-1</f>
        <v>2411</v>
      </c>
      <c r="B2412" s="1" t="s">
        <v>298</v>
      </c>
      <c r="C2412" s="1" t="s">
        <v>1019</v>
      </c>
      <c r="D2412" s="1" t="s">
        <v>1076</v>
      </c>
      <c r="H2412" s="1" t="s">
        <v>1027</v>
      </c>
      <c r="I2412" s="1" t="s">
        <v>2948</v>
      </c>
      <c r="J2412" s="1" t="s">
        <v>605</v>
      </c>
      <c r="M2412" s="15" t="s">
        <v>2130</v>
      </c>
      <c r="N2412" s="1" t="s">
        <v>4036</v>
      </c>
      <c r="O2412" s="15">
        <v>2</v>
      </c>
      <c r="P2412" s="15">
        <v>2012</v>
      </c>
      <c r="Q2412" s="15" t="str" cm="1">
        <f t="array" ref="Q24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2" s="15" t="str" cm="1">
        <f t="array" ref="R24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canciones/taize/alleluia_17.html</v>
      </c>
      <c r="T2412" s="1"/>
      <c r="U2412" s="1"/>
      <c r="V2412" s="32" t="s">
        <v>4146</v>
      </c>
      <c r="W24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data-nnew="Q06"&gt;&lt;a href="canciones/taize/alleluia_17.html"&gt;Alleluia 17&lt;/a&gt;&lt;/li&gt;</v>
      </c>
      <c r="X2412" s="15" t="str">
        <f>_xlfn.TEXTBEFORE(_xlfn.TEXTAFTER(CantoralDB[[#This Row],[index.html]],"&gt;"),"&gt;")&amp;"&gt;"</f>
        <v>&lt;a href="canciones/taize/alleluia_17.html"&gt;</v>
      </c>
      <c r="Y2412"/>
      <c r="AC2412" s="1"/>
    </row>
    <row r="2413" spans="1:29" x14ac:dyDescent="0.3">
      <c r="A2413" s="1">
        <f>ROW(CantoralDB[[#This Row],[Título]])-1</f>
        <v>2412</v>
      </c>
      <c r="B2413" s="1" t="s">
        <v>4037</v>
      </c>
      <c r="C2413" s="1"/>
      <c r="J2413" s="1"/>
      <c r="M2413" s="15" t="s">
        <v>2130</v>
      </c>
      <c r="N2413" s="1" t="s">
        <v>4036</v>
      </c>
      <c r="O2413" s="15">
        <v>10</v>
      </c>
      <c r="P2413" s="15">
        <v>2012</v>
      </c>
      <c r="Q2413" s="15" t="str" cm="1">
        <f t="array" ref="Q24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3" s="15" t="str" cm="1">
        <f t="array" ref="R24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canciones/taize/seigneur_je_compte_sur_toi.html</v>
      </c>
      <c r="T2413" s="1"/>
      <c r="U2413" s="1"/>
      <c r="V2413" s="32" t="s">
        <v>4147</v>
      </c>
      <c r="W24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href="canciones/taize/seigneur_je_compte_sur_toi.html"&gt;Seigneur, je compte sur toi&lt;/a&gt;&lt;/li&gt;</v>
      </c>
      <c r="X2413" s="15" t="str">
        <f>_xlfn.TEXTBEFORE(_xlfn.TEXTAFTER(CantoralDB[[#This Row],[index.html]],"&gt;"),"&gt;")&amp;"&gt;"</f>
        <v>&lt;a href="canciones/taize/seigneur_je_compte_sur_toi.html"&gt;</v>
      </c>
      <c r="Y2413"/>
      <c r="AC2413" s="1"/>
    </row>
    <row r="2414" spans="1:29" x14ac:dyDescent="0.3">
      <c r="A2414" s="1">
        <f>ROW(CantoralDB[[#This Row],[Título]])-1</f>
        <v>2413</v>
      </c>
      <c r="B2414" s="1" t="s">
        <v>4036</v>
      </c>
      <c r="C2414" s="1"/>
      <c r="J2414" s="1"/>
      <c r="M2414" s="15" t="s">
        <v>2130</v>
      </c>
      <c r="N2414" s="1" t="s">
        <v>4036</v>
      </c>
      <c r="O2414" s="15">
        <v>11</v>
      </c>
      <c r="P2414" s="15">
        <v>2012</v>
      </c>
      <c r="Q2414" s="15" t="str" cm="1">
        <f t="array" ref="Q24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4" s="15" t="str" cm="1">
        <f t="array" ref="R24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canciones/taize/ô_toi_l'au-delà_de_tout.html</v>
      </c>
      <c r="T2414" s="1"/>
      <c r="U2414" s="1"/>
      <c r="V2414" s="32" t="s">
        <v>4148</v>
      </c>
      <c r="W24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href="canciones/taize/ô_toi_l'au-delà_de_tout.html"&gt;Ô toi, l'au-delà de tout&lt;/a&gt;&lt;/li&gt;</v>
      </c>
      <c r="X2414" s="15" t="str">
        <f>_xlfn.TEXTBEFORE(_xlfn.TEXTAFTER(CantoralDB[[#This Row],[index.html]],"&gt;"),"&gt;")&amp;"&gt;"</f>
        <v>&lt;a href="canciones/taize/ô_toi_l'au-delà_de_tout.html"&gt;</v>
      </c>
      <c r="Y2414"/>
      <c r="AC2414" s="1"/>
    </row>
    <row r="2415" spans="1:29" x14ac:dyDescent="0.3">
      <c r="A2415" s="1">
        <f>ROW(CantoralDB[[#This Row],[Título]])-1</f>
        <v>2414</v>
      </c>
      <c r="B2415" s="1" t="s">
        <v>377</v>
      </c>
      <c r="C2415" s="1" t="s">
        <v>1019</v>
      </c>
      <c r="D2415" s="1" t="s">
        <v>1128</v>
      </c>
      <c r="H2415" s="1" t="s">
        <v>1027</v>
      </c>
      <c r="J2415" s="1" t="s">
        <v>605</v>
      </c>
      <c r="M2415" s="15" t="s">
        <v>2130</v>
      </c>
      <c r="N2415" s="1" t="s">
        <v>4036</v>
      </c>
      <c r="O2415" s="15">
        <v>14</v>
      </c>
      <c r="P2415" s="15">
        <v>2012</v>
      </c>
      <c r="Q2415" s="15" t="str" cm="1">
        <f t="array" ref="Q24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5" s="15" t="str" cm="1">
        <f t="array" ref="R24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canciones/taize/jesus_ma_joie.html</v>
      </c>
      <c r="T2415" s="1"/>
      <c r="U2415" s="1"/>
      <c r="V2415" s="32" t="s">
        <v>4149</v>
      </c>
      <c r="W24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data-nnew="Q48"&gt;&lt;a href="canciones/taize/jesus_ma_joie.html"&gt;Jésus, ma joie&lt;/a&gt;&lt;/li&gt;</v>
      </c>
      <c r="X2415" s="15" t="str">
        <f>_xlfn.TEXTBEFORE(_xlfn.TEXTAFTER(CantoralDB[[#This Row],[index.html]],"&gt;"),"&gt;")&amp;"&gt;"</f>
        <v>&lt;a href="canciones/taize/jesus_ma_joie.html"&gt;</v>
      </c>
      <c r="Y2415"/>
      <c r="AC2415" s="1"/>
    </row>
    <row r="2416" spans="1:29" x14ac:dyDescent="0.3">
      <c r="A2416" s="1">
        <f>ROW(CantoralDB[[#This Row],[Título]])-1</f>
        <v>2415</v>
      </c>
      <c r="B2416" s="1" t="s">
        <v>387</v>
      </c>
      <c r="C2416" s="1" t="s">
        <v>1019</v>
      </c>
      <c r="D2416" s="1" t="s">
        <v>1132</v>
      </c>
      <c r="H2416" s="1" t="s">
        <v>1027</v>
      </c>
      <c r="I2416" s="1" t="s">
        <v>2945</v>
      </c>
      <c r="J2416" s="1" t="s">
        <v>605</v>
      </c>
      <c r="M2416" s="15" t="s">
        <v>2130</v>
      </c>
      <c r="N2416" s="1" t="s">
        <v>4036</v>
      </c>
      <c r="O2416" s="15">
        <v>16</v>
      </c>
      <c r="P2416" s="15">
        <v>2012</v>
      </c>
      <c r="Q2416" s="15" t="str" cm="1">
        <f t="array" ref="Q24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6" s="15" t="str" cm="1">
        <f t="array" ref="R24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canciones/taize/kyrie_6.html</v>
      </c>
      <c r="T2416" s="1"/>
      <c r="U2416" s="1"/>
      <c r="V2416" s="32" t="s">
        <v>4150</v>
      </c>
      <c r="W24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data-nnew="Q54"&gt;&lt;a href="canciones/taize/kyrie_6.html"&gt;Kyrie 6&lt;/a&gt;&lt;/li&gt;</v>
      </c>
      <c r="X2416" s="15" t="str">
        <f>_xlfn.TEXTBEFORE(_xlfn.TEXTAFTER(CantoralDB[[#This Row],[index.html]],"&gt;"),"&gt;")&amp;"&gt;"</f>
        <v>&lt;a href="canciones/taize/kyrie_6.html"&gt;</v>
      </c>
      <c r="Y2416"/>
      <c r="AC2416" s="1"/>
    </row>
    <row r="2417" spans="1:29" x14ac:dyDescent="0.3">
      <c r="A2417" s="1">
        <f>ROW(CantoralDB[[#This Row],[Título]])-1</f>
        <v>2416</v>
      </c>
      <c r="B2417" s="1" t="s">
        <v>4038</v>
      </c>
      <c r="C2417" s="1"/>
      <c r="J2417" s="1"/>
      <c r="M2417" s="15" t="s">
        <v>2130</v>
      </c>
      <c r="N2417" s="1" t="s">
        <v>4036</v>
      </c>
      <c r="O2417" s="15">
        <v>18</v>
      </c>
      <c r="P2417" s="15">
        <v>2012</v>
      </c>
      <c r="Q2417" s="15" t="str" cm="1">
        <f t="array" ref="Q24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7" s="15" t="str" cm="1">
        <f t="array" ref="R24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canciones/taize/retourne_mon_âme.html</v>
      </c>
      <c r="T2417" s="1"/>
      <c r="U2417" s="1"/>
      <c r="V2417" s="32" t="s">
        <v>4151</v>
      </c>
      <c r="W24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href="canciones/taize/retourne_mon_âme.html"&gt;Retourne, mon âme&lt;/a&gt;&lt;/li&gt;</v>
      </c>
      <c r="X2417" s="15" t="str">
        <f>_xlfn.TEXTBEFORE(_xlfn.TEXTAFTER(CantoralDB[[#This Row],[index.html]],"&gt;"),"&gt;")&amp;"&gt;"</f>
        <v>&lt;a href="canciones/taize/retourne_mon_âme.html"&gt;</v>
      </c>
      <c r="Y2417"/>
      <c r="AC2417" s="1"/>
    </row>
    <row r="2418" spans="1:29" x14ac:dyDescent="0.3">
      <c r="A2418" s="1">
        <f>ROW(CantoralDB[[#This Row],[Título]])-1</f>
        <v>2417</v>
      </c>
      <c r="B2418" s="1" t="s">
        <v>4039</v>
      </c>
      <c r="C2418" s="1"/>
      <c r="J2418" s="1"/>
      <c r="M2418" s="15" t="s">
        <v>2130</v>
      </c>
      <c r="N2418" s="1" t="s">
        <v>4036</v>
      </c>
      <c r="O2418" s="15">
        <v>19</v>
      </c>
      <c r="P2418" s="15">
        <v>2012</v>
      </c>
      <c r="Q2418" s="15" t="str" cm="1">
        <f t="array" ref="Q24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8" s="15" t="str" cm="1">
        <f t="array" ref="R24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canciones/taize/benedictus_dominus_deus.html</v>
      </c>
      <c r="T2418" s="1"/>
      <c r="U2418" s="1"/>
      <c r="V2418" s="32" t="s">
        <v>4152</v>
      </c>
      <c r="W24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href="canciones/taize/benedictus_dominus_deus.html"&gt;Benedictus dominus deus&lt;/a&gt;&lt;/li&gt;</v>
      </c>
      <c r="X2418" s="15" t="str">
        <f>_xlfn.TEXTBEFORE(_xlfn.TEXTAFTER(CantoralDB[[#This Row],[index.html]],"&gt;"),"&gt;")&amp;"&gt;"</f>
        <v>&lt;a href="canciones/taize/benedictus_dominus_deus.html"&gt;</v>
      </c>
      <c r="Y2418"/>
      <c r="AC2418" s="1"/>
    </row>
    <row r="2419" spans="1:29" x14ac:dyDescent="0.3">
      <c r="A2419" s="1">
        <f>ROW(CantoralDB[[#This Row],[Título]])-1</f>
        <v>2418</v>
      </c>
      <c r="B2419" s="1" t="s">
        <v>3999</v>
      </c>
      <c r="C2419" s="1"/>
      <c r="J2419" s="1"/>
      <c r="M2419" s="15" t="s">
        <v>2130</v>
      </c>
      <c r="N2419" s="1" t="s">
        <v>4000</v>
      </c>
      <c r="O2419" s="15">
        <v>1</v>
      </c>
      <c r="P2419" s="15">
        <v>1985</v>
      </c>
      <c r="Q2419" s="15" t="str" cm="1">
        <f t="array" ref="Q24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19" s="15" t="str" cm="1">
        <f t="array" ref="R24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canciones/taize/christus_resurrexit.html</v>
      </c>
      <c r="T2419" s="1"/>
      <c r="U2419" s="1"/>
      <c r="V2419" s="32" t="s">
        <v>4153</v>
      </c>
      <c r="W24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href="canciones/taize/christus_resurrexit.html"&gt;Christus Resurrexit&lt;/a&gt;&lt;/li&gt;</v>
      </c>
      <c r="X2419" s="15" t="str">
        <f>_xlfn.TEXTBEFORE(_xlfn.TEXTAFTER(CantoralDB[[#This Row],[index.html]],"&gt;"),"&gt;")&amp;"&gt;"</f>
        <v>&lt;a href="canciones/taize/christus_resurrexit.html"&gt;</v>
      </c>
      <c r="Y2419"/>
      <c r="AC2419" s="1"/>
    </row>
    <row r="2420" spans="1:29" x14ac:dyDescent="0.3">
      <c r="A2420" s="1">
        <f>ROW(CantoralDB[[#This Row],[Título]])-1</f>
        <v>2419</v>
      </c>
      <c r="B2420" s="1" t="s">
        <v>414</v>
      </c>
      <c r="C2420" s="1" t="s">
        <v>1019</v>
      </c>
      <c r="D2420" s="1" t="s">
        <v>1140</v>
      </c>
      <c r="E2420" s="1">
        <v>173</v>
      </c>
      <c r="F2420" s="1">
        <v>319</v>
      </c>
      <c r="H2420" s="1" t="s">
        <v>1027</v>
      </c>
      <c r="I2420" s="1" t="s">
        <v>2946</v>
      </c>
      <c r="J2420" s="1" t="s">
        <v>605</v>
      </c>
      <c r="M2420" s="15" t="s">
        <v>2130</v>
      </c>
      <c r="N2420" s="1" t="s">
        <v>4000</v>
      </c>
      <c r="O2420" s="15">
        <v>2</v>
      </c>
      <c r="P2420" s="15">
        <v>1985</v>
      </c>
      <c r="Q2420" s="15" t="str" cm="1">
        <f t="array" ref="Q24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0" s="15" t="str" cm="1">
        <f t="array" ref="R24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canciones/taize/nada_te_turbe.html</v>
      </c>
      <c r="T2420" s="1" t="s">
        <v>975</v>
      </c>
      <c r="U2420" s="1"/>
      <c r="V2420" s="32" t="s">
        <v>4154</v>
      </c>
      <c r="W24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data-nnew="Q63" data-nold="173" data-nrcc="319"&gt;&lt;a href="canciones/taize/nada_te_turbe.html"&gt;Nada te turbe&lt;/a&gt;&lt;/li&gt;</v>
      </c>
      <c r="X2420" s="15" t="str">
        <f>_xlfn.TEXTBEFORE(_xlfn.TEXTAFTER(CantoralDB[[#This Row],[index.html]],"&gt;"),"&gt;")&amp;"&gt;"</f>
        <v>&lt;a href="canciones/taize/nada_te_turbe.html"&gt;</v>
      </c>
      <c r="Y2420"/>
      <c r="AC2420" s="1"/>
    </row>
    <row r="2421" spans="1:29" x14ac:dyDescent="0.3">
      <c r="A2421" s="1">
        <f>ROW(CantoralDB[[#This Row],[Título]])-1</f>
        <v>2420</v>
      </c>
      <c r="B2421" s="1" t="s">
        <v>4001</v>
      </c>
      <c r="C2421" s="1"/>
      <c r="J2421" s="1"/>
      <c r="M2421" s="15" t="s">
        <v>2130</v>
      </c>
      <c r="N2421" s="1" t="s">
        <v>4000</v>
      </c>
      <c r="O2421" s="15">
        <v>3</v>
      </c>
      <c r="P2421" s="15">
        <v>1985</v>
      </c>
      <c r="Q2421" s="15" t="str" cm="1">
        <f t="array" ref="Q24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1" s="15" t="str" cm="1">
        <f t="array" ref="R24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canciones/taize/la_tenèbre_n'est_point_tenèbre.html</v>
      </c>
      <c r="T2421" s="1"/>
      <c r="U2421" s="1"/>
      <c r="V2421" s="32" t="s">
        <v>4155</v>
      </c>
      <c r="W24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href="canciones/taize/la_tenèbre_n'est_point_tenèbre.html"&gt;La ténèbre n'est point ténèbre&lt;/a&gt;&lt;/li&gt;</v>
      </c>
      <c r="X2421" s="15" t="str">
        <f>_xlfn.TEXTBEFORE(_xlfn.TEXTAFTER(CantoralDB[[#This Row],[index.html]],"&gt;"),"&gt;")&amp;"&gt;"</f>
        <v>&lt;a href="canciones/taize/la_tenèbre_n'est_point_tenèbre.html"&gt;</v>
      </c>
      <c r="Y2421"/>
      <c r="AC2421" s="1"/>
    </row>
    <row r="2422" spans="1:29" x14ac:dyDescent="0.3">
      <c r="A2422" s="1">
        <f>ROW(CantoralDB[[#This Row],[Título]])-1</f>
        <v>2421</v>
      </c>
      <c r="B2422" s="1" t="s">
        <v>4002</v>
      </c>
      <c r="C2422" s="1"/>
      <c r="J2422" s="1"/>
      <c r="M2422" s="15" t="s">
        <v>2130</v>
      </c>
      <c r="N2422" s="1" t="s">
        <v>4000</v>
      </c>
      <c r="O2422" s="15">
        <v>4</v>
      </c>
      <c r="P2422" s="15">
        <v>1985</v>
      </c>
      <c r="Q2422" s="15" t="str" cm="1">
        <f t="array" ref="Q24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2" s="15" t="str" cm="1">
        <f t="array" ref="R24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canciones/taize/veni_lumen_cordium.html</v>
      </c>
      <c r="T2422" s="1"/>
      <c r="U2422" s="1"/>
      <c r="V2422" s="32" t="s">
        <v>4156</v>
      </c>
      <c r="W24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href="canciones/taize/veni_lumen_cordium.html"&gt;Veni lumen cordium&lt;/a&gt;&lt;/li&gt;</v>
      </c>
      <c r="X2422" s="15" t="str">
        <f>_xlfn.TEXTBEFORE(_xlfn.TEXTAFTER(CantoralDB[[#This Row],[index.html]],"&gt;"),"&gt;")&amp;"&gt;"</f>
        <v>&lt;a href="canciones/taize/veni_lumen_cordium.html"&gt;</v>
      </c>
      <c r="Y2422"/>
      <c r="AC2422" s="1"/>
    </row>
    <row r="2423" spans="1:29" x14ac:dyDescent="0.3">
      <c r="A2423" s="1">
        <f>ROW(CantoralDB[[#This Row],[Título]])-1</f>
        <v>2422</v>
      </c>
      <c r="B2423" s="1" t="s">
        <v>342</v>
      </c>
      <c r="C2423" s="1" t="s">
        <v>1019</v>
      </c>
      <c r="D2423" s="1" t="s">
        <v>1105</v>
      </c>
      <c r="H2423" s="1" t="s">
        <v>1027</v>
      </c>
      <c r="I2423" s="1" t="s">
        <v>2946</v>
      </c>
      <c r="J2423" s="1" t="s">
        <v>605</v>
      </c>
      <c r="M2423" s="15" t="s">
        <v>2130</v>
      </c>
      <c r="N2423" s="1" t="s">
        <v>4000</v>
      </c>
      <c r="O2423" s="15">
        <v>5</v>
      </c>
      <c r="P2423" s="15">
        <v>1985</v>
      </c>
      <c r="Q2423" s="15" t="str" cm="1">
        <f t="array" ref="Q24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3" s="15" t="str" cm="1">
        <f t="array" ref="R24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canciones/taize/dona_la_pace.html</v>
      </c>
      <c r="T2423" s="1"/>
      <c r="U2423" s="1"/>
      <c r="V2423" s="32" t="s">
        <v>4157</v>
      </c>
      <c r="W24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data-nnew="Q34"&gt;&lt;a href="canciones/taize/dona_la_pace.html"&gt;Dona la pace&lt;/a&gt;&lt;/li&gt;</v>
      </c>
      <c r="X2423" s="15" t="str">
        <f>_xlfn.TEXTBEFORE(_xlfn.TEXTAFTER(CantoralDB[[#This Row],[index.html]],"&gt;"),"&gt;")&amp;"&gt;"</f>
        <v>&lt;a href="canciones/taize/dona_la_pace.html"&gt;</v>
      </c>
      <c r="Y2423"/>
      <c r="AC2423" s="1"/>
    </row>
    <row r="2424" spans="1:29" x14ac:dyDescent="0.3">
      <c r="A2424" s="1">
        <f>ROW(CantoralDB[[#This Row],[Título]])-1</f>
        <v>2423</v>
      </c>
      <c r="B2424" s="1" t="s">
        <v>4003</v>
      </c>
      <c r="C2424" s="1"/>
      <c r="J2424" s="1"/>
      <c r="M2424" s="15" t="s">
        <v>2130</v>
      </c>
      <c r="N2424" s="1" t="s">
        <v>4000</v>
      </c>
      <c r="O2424" s="15">
        <v>6</v>
      </c>
      <c r="P2424" s="15">
        <v>1985</v>
      </c>
      <c r="Q2424" s="15" t="str" cm="1">
        <f t="array" ref="Q24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4" s="15" t="str" cm="1">
        <f t="array" ref="R24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canciones/taize/exaudi_nos.html</v>
      </c>
      <c r="T2424" s="1"/>
      <c r="U2424" s="1"/>
      <c r="V2424" s="32" t="s">
        <v>4158</v>
      </c>
      <c r="W24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href="canciones/taize/exaudi_nos.html"&gt;Exaudi nos&lt;/a&gt;&lt;/li&gt;</v>
      </c>
      <c r="X2424" s="15" t="str">
        <f>_xlfn.TEXTBEFORE(_xlfn.TEXTAFTER(CantoralDB[[#This Row],[index.html]],"&gt;"),"&gt;")&amp;"&gt;"</f>
        <v>&lt;a href="canciones/taize/exaudi_nos.html"&gt;</v>
      </c>
      <c r="Y2424"/>
      <c r="AC2424" s="1"/>
    </row>
    <row r="2425" spans="1:29" x14ac:dyDescent="0.3">
      <c r="A2425" s="1">
        <f>ROW(CantoralDB[[#This Row],[Título]])-1</f>
        <v>2424</v>
      </c>
      <c r="B2425" s="1" t="s">
        <v>317</v>
      </c>
      <c r="C2425" s="1" t="s">
        <v>1019</v>
      </c>
      <c r="D2425" s="1" t="s">
        <v>1086</v>
      </c>
      <c r="H2425" s="1" t="s">
        <v>529</v>
      </c>
      <c r="I2425" s="1" t="s">
        <v>2946</v>
      </c>
      <c r="J2425" s="1" t="s">
        <v>605</v>
      </c>
      <c r="M2425" s="15" t="s">
        <v>2130</v>
      </c>
      <c r="N2425" s="1" t="s">
        <v>4000</v>
      </c>
      <c r="O2425" s="15">
        <v>7</v>
      </c>
      <c r="P2425" s="15">
        <v>1985</v>
      </c>
      <c r="Q2425" s="15" t="str" cm="1">
        <f t="array" ref="Q24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5" s="15" t="str" cm="1">
        <f t="array" ref="R24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canciones/taize/bleibet_hier.html</v>
      </c>
      <c r="T2425" s="1"/>
      <c r="U2425" s="1"/>
      <c r="V2425" s="32" t="s">
        <v>4159</v>
      </c>
      <c r="W24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data-nnew="Q14"&gt;&lt;a href="canciones/taize/bleibet_hier.html"&gt;Bleibet hier&lt;/a&gt;&lt;/li&gt;</v>
      </c>
      <c r="X2425" s="15" t="str">
        <f>_xlfn.TEXTBEFORE(_xlfn.TEXTAFTER(CantoralDB[[#This Row],[index.html]],"&gt;"),"&gt;")&amp;"&gt;"</f>
        <v>&lt;a href="canciones/taize/bleibet_hier.html"&gt;</v>
      </c>
      <c r="Y2425"/>
      <c r="AC2425" s="1"/>
    </row>
    <row r="2426" spans="1:29" x14ac:dyDescent="0.3">
      <c r="A2426" s="1">
        <f>ROW(CantoralDB[[#This Row],[Título]])-1</f>
        <v>2425</v>
      </c>
      <c r="B2426" s="1" t="s">
        <v>443</v>
      </c>
      <c r="C2426" s="1" t="s">
        <v>1019</v>
      </c>
      <c r="D2426" s="1" t="s">
        <v>1098</v>
      </c>
      <c r="H2426" s="1" t="s">
        <v>529</v>
      </c>
      <c r="I2426" s="1" t="s">
        <v>2948</v>
      </c>
      <c r="J2426" s="1" t="s">
        <v>605</v>
      </c>
      <c r="M2426" s="15" t="s">
        <v>2130</v>
      </c>
      <c r="N2426" s="1" t="s">
        <v>4000</v>
      </c>
      <c r="O2426" s="15">
        <v>8</v>
      </c>
      <c r="P2426" s="15">
        <v>1985</v>
      </c>
      <c r="Q2426" s="15" t="str" cm="1">
        <f t="array" ref="Q24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6" s="15" t="str" cm="1">
        <f t="array" ref="R24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canciones/taize/surrexit_christus.html</v>
      </c>
      <c r="T2426" s="1"/>
      <c r="U2426" s="1"/>
      <c r="V2426" s="32" t="s">
        <v>4160</v>
      </c>
      <c r="W24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data-nnew="Q72"&gt;&lt;a href="canciones/taize/surrexit_christus.html"&gt;Surrexit Christus&lt;/a&gt;&lt;/li&gt;</v>
      </c>
      <c r="X2426" s="15" t="str">
        <f>_xlfn.TEXTBEFORE(_xlfn.TEXTAFTER(CantoralDB[[#This Row],[index.html]],"&gt;"),"&gt;")&amp;"&gt;"</f>
        <v>&lt;a href="canciones/taize/surrexit_christus.html"&gt;</v>
      </c>
      <c r="Y2426"/>
      <c r="AC2426" s="1"/>
    </row>
    <row r="2427" spans="1:29" x14ac:dyDescent="0.3">
      <c r="A2427" s="1">
        <f>ROW(CantoralDB[[#This Row],[Título]])-1</f>
        <v>2426</v>
      </c>
      <c r="B2427" s="1" t="s">
        <v>413</v>
      </c>
      <c r="C2427" s="1"/>
      <c r="J2427" s="1"/>
      <c r="M2427" s="15" t="s">
        <v>2130</v>
      </c>
      <c r="N2427" s="1" t="s">
        <v>4000</v>
      </c>
      <c r="O2427" s="15">
        <v>9</v>
      </c>
      <c r="P2427" s="15">
        <v>1985</v>
      </c>
      <c r="Q2427" s="15" t="str" cm="1">
        <f t="array" ref="Q24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7" s="15" t="str" cm="1">
        <f t="array" ref="R24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canciones/taize/mon_âme_se_repose.html</v>
      </c>
      <c r="T2427" s="1"/>
      <c r="U2427" s="1"/>
      <c r="V2427" s="32" t="s">
        <v>4161</v>
      </c>
      <c r="W24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href="canciones/taize/mon_âme_se_repose.html"&gt;Mon âme se repose&lt;/a&gt;&lt;/li&gt;</v>
      </c>
      <c r="X2427" s="15" t="str">
        <f>_xlfn.TEXTBEFORE(_xlfn.TEXTAFTER(CantoralDB[[#This Row],[index.html]],"&gt;"),"&gt;")&amp;"&gt;"</f>
        <v>&lt;a href="canciones/taize/mon_âme_se_repose.html"&gt;</v>
      </c>
      <c r="Y2427"/>
      <c r="AC2427" s="1"/>
    </row>
    <row r="2428" spans="1:29" x14ac:dyDescent="0.3">
      <c r="A2428" s="1">
        <f>ROW(CantoralDB[[#This Row],[Título]])-1</f>
        <v>2427</v>
      </c>
      <c r="B2428" s="1" t="s">
        <v>420</v>
      </c>
      <c r="C2428" s="1" t="s">
        <v>1019</v>
      </c>
      <c r="E2428" s="1">
        <v>187</v>
      </c>
      <c r="H2428" s="1" t="s">
        <v>1024</v>
      </c>
      <c r="J2428" s="1" t="s">
        <v>605</v>
      </c>
      <c r="M2428" s="15" t="s">
        <v>2130</v>
      </c>
      <c r="N2428" s="1" t="s">
        <v>4000</v>
      </c>
      <c r="O2428" s="15">
        <v>10</v>
      </c>
      <c r="P2428" s="15">
        <v>1985</v>
      </c>
      <c r="Q2428" s="15" t="str" cm="1">
        <f t="array" ref="Q24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8" s="15" t="str" cm="1">
        <f t="array" ref="R24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canciones/taize/o_christe_domine_jesu.html</v>
      </c>
      <c r="T2428" s="1"/>
      <c r="U2428" s="1" t="s">
        <v>420</v>
      </c>
      <c r="V2428" s="32" t="s">
        <v>4162</v>
      </c>
      <c r="W24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data-nold="187"&gt;&lt;a href="canciones/taize/o_christe_domine_jesu.html"&gt;O Christe Domine Jesu&lt;/a&gt;&lt;/li&gt;</v>
      </c>
      <c r="X2428" s="15" t="str">
        <f>_xlfn.TEXTBEFORE(_xlfn.TEXTAFTER(CantoralDB[[#This Row],[index.html]],"&gt;"),"&gt;")&amp;"&gt;"</f>
        <v>&lt;a href="canciones/taize/o_christe_domine_jesu.html"&gt;</v>
      </c>
      <c r="Y2428"/>
      <c r="AC2428" s="1"/>
    </row>
    <row r="2429" spans="1:29" x14ac:dyDescent="0.3">
      <c r="A2429" s="1">
        <f>ROW(CantoralDB[[#This Row],[Título]])-1</f>
        <v>2428</v>
      </c>
      <c r="B2429" s="1" t="s">
        <v>4004</v>
      </c>
      <c r="C2429" s="1"/>
      <c r="J2429" s="1"/>
      <c r="M2429" s="15" t="s">
        <v>2130</v>
      </c>
      <c r="N2429" s="1" t="s">
        <v>4000</v>
      </c>
      <c r="O2429" s="15">
        <v>11</v>
      </c>
      <c r="P2429" s="15">
        <v>1985</v>
      </c>
      <c r="Q2429" s="15" t="str" cm="1">
        <f t="array" ref="Q24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29" s="15" t="str" cm="1">
        <f t="array" ref="R24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canciones/taize/o_lord_hear_my_prayer.html</v>
      </c>
      <c r="T2429" s="1"/>
      <c r="U2429" s="1"/>
      <c r="V2429" s="32" t="s">
        <v>4163</v>
      </c>
      <c r="W24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href="canciones/taize/o_lord_hear_my_prayer.html"&gt;O Lord, hear my prayer&lt;/a&gt;&lt;/li&gt;</v>
      </c>
      <c r="X2429" s="15" t="str">
        <f>_xlfn.TEXTBEFORE(_xlfn.TEXTAFTER(CantoralDB[[#This Row],[index.html]],"&gt;"),"&gt;")&amp;"&gt;"</f>
        <v>&lt;a href="canciones/taize/o_lord_hear_my_prayer.html"&gt;</v>
      </c>
      <c r="Y2429"/>
      <c r="AC2429" s="1"/>
    </row>
    <row r="2430" spans="1:29" x14ac:dyDescent="0.3">
      <c r="A2430" s="1">
        <f>ROW(CantoralDB[[#This Row],[Título]])-1</f>
        <v>2429</v>
      </c>
      <c r="B2430" s="1" t="s">
        <v>293</v>
      </c>
      <c r="C2430" s="1" t="s">
        <v>1019</v>
      </c>
      <c r="D2430" s="1" t="s">
        <v>1078</v>
      </c>
      <c r="H2430" s="1" t="s">
        <v>1025</v>
      </c>
      <c r="J2430" s="1" t="s">
        <v>605</v>
      </c>
      <c r="M2430" s="15" t="s">
        <v>2130</v>
      </c>
      <c r="N2430" s="1" t="s">
        <v>4000</v>
      </c>
      <c r="O2430" s="15">
        <v>12</v>
      </c>
      <c r="P2430" s="15">
        <v>1985</v>
      </c>
      <c r="Q2430" s="15" t="str" cm="1">
        <f t="array" ref="Q24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0" s="15" t="str" cm="1">
        <f t="array" ref="R24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canciones/taize/alleluia_7.html</v>
      </c>
      <c r="T2430" s="1"/>
      <c r="U2430" s="1"/>
      <c r="V2430" s="32" t="s">
        <v>4164</v>
      </c>
      <c r="W24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data-nnew="Q04"&gt;&lt;a href="canciones/taize/alleluia_7.html"&gt;Alleluia 7&lt;/a&gt;&lt;/li&gt;</v>
      </c>
      <c r="X2430" s="15" t="str">
        <f>_xlfn.TEXTBEFORE(_xlfn.TEXTAFTER(CantoralDB[[#This Row],[index.html]],"&gt;"),"&gt;")&amp;"&gt;"</f>
        <v>&lt;a href="canciones/taize/alleluia_7.html"&gt;</v>
      </c>
      <c r="Y2430"/>
      <c r="AC2430" s="1"/>
    </row>
    <row r="2431" spans="1:29" x14ac:dyDescent="0.3">
      <c r="A2431" s="1">
        <f>ROW(CantoralDB[[#This Row],[Título]])-1</f>
        <v>2430</v>
      </c>
      <c r="B2431" s="1" t="s">
        <v>343</v>
      </c>
      <c r="C2431" s="1" t="s">
        <v>1019</v>
      </c>
      <c r="D2431" s="1" t="s">
        <v>1104</v>
      </c>
      <c r="H2431" s="1" t="s">
        <v>1027</v>
      </c>
      <c r="I2431" s="1" t="s">
        <v>2946</v>
      </c>
      <c r="J2431" s="1" t="s">
        <v>605</v>
      </c>
      <c r="M2431" s="15" t="s">
        <v>2130</v>
      </c>
      <c r="N2431" s="1" t="s">
        <v>4000</v>
      </c>
      <c r="O2431" s="15">
        <v>13</v>
      </c>
      <c r="P2431" s="15">
        <v>1985</v>
      </c>
      <c r="Q2431" s="15" t="str" cm="1">
        <f t="array" ref="Q24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1" s="15" t="str" cm="1">
        <f t="array" ref="R24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canciones/taize/dona_nobis_pacem.html</v>
      </c>
      <c r="T2431" s="1"/>
      <c r="U2431" s="1"/>
      <c r="V2431" s="32" t="s">
        <v>4165</v>
      </c>
      <c r="W24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data-nnew="Q35"&gt;&lt;a href="canciones/taize/dona_nobis_pacem.html"&gt;Dona nobis pacem&lt;/a&gt;&lt;/li&gt;</v>
      </c>
      <c r="X2431" s="15" t="str">
        <f>_xlfn.TEXTBEFORE(_xlfn.TEXTAFTER(CantoralDB[[#This Row],[index.html]],"&gt;"),"&gt;")&amp;"&gt;"</f>
        <v>&lt;a href="canciones/taize/dona_nobis_pacem.html"&gt;</v>
      </c>
      <c r="Y2431"/>
      <c r="AC2431" s="1"/>
    </row>
    <row r="2432" spans="1:29" x14ac:dyDescent="0.3">
      <c r="A2432" s="1">
        <f>ROW(CantoralDB[[#This Row],[Título]])-1</f>
        <v>2431</v>
      </c>
      <c r="B2432" s="1" t="s">
        <v>427</v>
      </c>
      <c r="C2432" s="1" t="s">
        <v>1019</v>
      </c>
      <c r="D2432" s="1" t="s">
        <v>1122</v>
      </c>
      <c r="H2432" s="1" t="s">
        <v>1027</v>
      </c>
      <c r="I2432" s="1" t="s">
        <v>2947</v>
      </c>
      <c r="J2432" s="1" t="s">
        <v>605</v>
      </c>
      <c r="M2432" s="15" t="s">
        <v>2130</v>
      </c>
      <c r="N2432" s="1" t="s">
        <v>4000</v>
      </c>
      <c r="O2432" s="15">
        <v>14</v>
      </c>
      <c r="P2432" s="15">
        <v>1985</v>
      </c>
      <c r="Q2432" s="15" t="str" cm="1">
        <f t="array" ref="Q24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2" s="15" t="str" cm="1">
        <f t="array" ref="R24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canciones/taize/psallite_deo.html</v>
      </c>
      <c r="T2432" s="1"/>
      <c r="U2432" s="1"/>
      <c r="V2432" s="32" t="s">
        <v>4166</v>
      </c>
      <c r="W24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data-nnew="Q67"&gt;&lt;a href="canciones/taize/psallite_deo.html"&gt;Psallite Deo&lt;/a&gt;&lt;/li&gt;</v>
      </c>
      <c r="X2432" s="15" t="str">
        <f>_xlfn.TEXTBEFORE(_xlfn.TEXTAFTER(CantoralDB[[#This Row],[index.html]],"&gt;"),"&gt;")&amp;"&gt;"</f>
        <v>&lt;a href="canciones/taize/psallite_deo.html"&gt;</v>
      </c>
      <c r="Y2432"/>
      <c r="AC2432" s="1"/>
    </row>
    <row r="2433" spans="1:29" x14ac:dyDescent="0.3">
      <c r="A2433" s="1">
        <f>ROW(CantoralDB[[#This Row],[Título]])-1</f>
        <v>2432</v>
      </c>
      <c r="B2433" s="1" t="s">
        <v>294</v>
      </c>
      <c r="C2433" s="1"/>
      <c r="J2433" s="1"/>
      <c r="M2433" s="15" t="s">
        <v>2130</v>
      </c>
      <c r="N2433" s="1" t="s">
        <v>4019</v>
      </c>
      <c r="O2433" s="15">
        <v>4</v>
      </c>
      <c r="P2433" s="15">
        <v>1995</v>
      </c>
      <c r="Q2433" s="15" t="str" cm="1">
        <f t="array" ref="Q24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3" s="15" t="str" cm="1">
        <f t="array" ref="R24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canciones/taize/alleluia_8.html</v>
      </c>
      <c r="T2433" s="1"/>
      <c r="U2433" s="1"/>
      <c r="V2433" s="32" t="s">
        <v>4167</v>
      </c>
      <c r="W24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href="canciones/taize/alleluia_8.html"&gt;Alleluia 8&lt;/a&gt;&lt;/li&gt;</v>
      </c>
      <c r="X2433" s="15" t="str">
        <f>_xlfn.TEXTBEFORE(_xlfn.TEXTAFTER(CantoralDB[[#This Row],[index.html]],"&gt;"),"&gt;")&amp;"&gt;"</f>
        <v>&lt;a href="canciones/taize/alleluia_8.html"&gt;</v>
      </c>
      <c r="Y2433"/>
      <c r="AC2433" s="1"/>
    </row>
    <row r="2434" spans="1:29" x14ac:dyDescent="0.3">
      <c r="A2434" s="1">
        <f>ROW(CantoralDB[[#This Row],[Título]])-1</f>
        <v>2433</v>
      </c>
      <c r="B2434" s="1" t="s">
        <v>339</v>
      </c>
      <c r="C2434" s="1" t="s">
        <v>1019</v>
      </c>
      <c r="D2434" s="1" t="s">
        <v>1112</v>
      </c>
      <c r="H2434" s="1" t="s">
        <v>529</v>
      </c>
      <c r="I2434" s="1" t="s">
        <v>2948</v>
      </c>
      <c r="J2434" s="1" t="s">
        <v>605</v>
      </c>
      <c r="M2434" s="15" t="s">
        <v>2130</v>
      </c>
      <c r="N2434" s="1" t="s">
        <v>4019</v>
      </c>
      <c r="O2434" s="15">
        <v>7</v>
      </c>
      <c r="P2434" s="15">
        <v>1995</v>
      </c>
      <c r="Q2434" s="15" t="str" cm="1">
        <f t="array" ref="Q24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4" s="15" t="str" cm="1">
        <f t="array" ref="R24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canciones/taize/dieu_ne_peut_que_donner.html</v>
      </c>
      <c r="T2434" s="1"/>
      <c r="U2434" s="1"/>
      <c r="V2434" s="32" t="s">
        <v>4168</v>
      </c>
      <c r="W24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data-nnew="Q32"&gt;&lt;a href="canciones/taize/dieu_ne_peut_que_donner.html"&gt;Dieu ne peut que donner&lt;/a&gt;&lt;/li&gt;</v>
      </c>
      <c r="X2434" s="15" t="str">
        <f>_xlfn.TEXTBEFORE(_xlfn.TEXTAFTER(CantoralDB[[#This Row],[index.html]],"&gt;"),"&gt;")&amp;"&gt;"</f>
        <v>&lt;a href="canciones/taize/dieu_ne_peut_que_donner.html"&gt;</v>
      </c>
      <c r="Y2434"/>
      <c r="AC2434" s="1"/>
    </row>
    <row r="2435" spans="1:29" x14ac:dyDescent="0.3">
      <c r="A2435" s="1">
        <f>ROW(CantoralDB[[#This Row],[Título]])-1</f>
        <v>2434</v>
      </c>
      <c r="B2435" s="1" t="s">
        <v>4020</v>
      </c>
      <c r="C2435" s="1"/>
      <c r="J2435" s="1"/>
      <c r="M2435" s="15" t="s">
        <v>2130</v>
      </c>
      <c r="N2435" s="1" t="s">
        <v>4019</v>
      </c>
      <c r="O2435" s="15">
        <v>9</v>
      </c>
      <c r="P2435" s="15">
        <v>1995</v>
      </c>
      <c r="Q2435" s="15" t="str" cm="1">
        <f t="array" ref="Q24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5" s="15" t="str" cm="1">
        <f t="array" ref="R24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canciones/taize/c'est_toi_la_lumière.html</v>
      </c>
      <c r="T2435" s="1"/>
      <c r="U2435" s="1"/>
      <c r="V2435" s="32" t="s">
        <v>4169</v>
      </c>
      <c r="W24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href="canciones/taize/c'est_toi_la_lumière.html"&gt;C'est toi la lumière&lt;/a&gt;&lt;/li&gt;</v>
      </c>
      <c r="X2435" s="15" t="str">
        <f>_xlfn.TEXTBEFORE(_xlfn.TEXTAFTER(CantoralDB[[#This Row],[index.html]],"&gt;"),"&gt;")&amp;"&gt;"</f>
        <v>&lt;a href="canciones/taize/c'est_toi_la_lumière.html"&gt;</v>
      </c>
      <c r="Y2435"/>
      <c r="AC2435" s="1"/>
    </row>
    <row r="2436" spans="1:29" x14ac:dyDescent="0.3">
      <c r="A2436" s="1">
        <f>ROW(CantoralDB[[#This Row],[Título]])-1</f>
        <v>2435</v>
      </c>
      <c r="B2436" s="1" t="s">
        <v>391</v>
      </c>
      <c r="C2436" s="1"/>
      <c r="J2436" s="1"/>
      <c r="M2436" s="15" t="s">
        <v>2130</v>
      </c>
      <c r="N2436" s="1" t="s">
        <v>4019</v>
      </c>
      <c r="O2436" s="15">
        <v>12</v>
      </c>
      <c r="P2436" s="15">
        <v>1995</v>
      </c>
      <c r="Q2436" s="15" t="str" cm="1">
        <f t="array" ref="Q24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6" s="15" t="str" cm="1">
        <f t="array" ref="R24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canciones/taize/kyrie_10.html</v>
      </c>
      <c r="T2436" s="1"/>
      <c r="U2436" s="1"/>
      <c r="V2436" s="32" t="s">
        <v>4170</v>
      </c>
      <c r="W24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href="canciones/taize/kyrie_10.html"&gt;Kyrie 10&lt;/a&gt;&lt;/li&gt;</v>
      </c>
      <c r="X2436" s="15" t="str">
        <f>_xlfn.TEXTBEFORE(_xlfn.TEXTAFTER(CantoralDB[[#This Row],[index.html]],"&gt;"),"&gt;")&amp;"&gt;"</f>
        <v>&lt;a href="canciones/taize/kyrie_10.html"&gt;</v>
      </c>
      <c r="Y2436"/>
      <c r="AC2436" s="1"/>
    </row>
    <row r="2437" spans="1:29" x14ac:dyDescent="0.3">
      <c r="A2437" s="1">
        <f>ROW(CantoralDB[[#This Row],[Título]])-1</f>
        <v>2436</v>
      </c>
      <c r="B2437" s="1" t="s">
        <v>290</v>
      </c>
      <c r="C2437" s="1"/>
      <c r="J2437" s="1"/>
      <c r="M2437" s="15" t="s">
        <v>2130</v>
      </c>
      <c r="N2437" s="1" t="s">
        <v>4034</v>
      </c>
      <c r="O2437" s="15">
        <v>3</v>
      </c>
      <c r="P2437" s="15">
        <v>2008</v>
      </c>
      <c r="Q2437" s="15" t="str" cm="1">
        <f t="array" ref="Q24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7" s="15" t="str" cm="1">
        <f t="array" ref="R24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canciones/taize/alleluia_4.html</v>
      </c>
      <c r="T2437" s="1"/>
      <c r="U2437" s="1"/>
      <c r="V2437" s="32" t="s">
        <v>4171</v>
      </c>
      <c r="W24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href="canciones/taize/alleluia_4.html"&gt;Alleluia 4&lt;/a&gt;&lt;/li&gt;</v>
      </c>
      <c r="X2437" s="15" t="str">
        <f>_xlfn.TEXTBEFORE(_xlfn.TEXTAFTER(CantoralDB[[#This Row],[index.html]],"&gt;"),"&gt;")&amp;"&gt;"</f>
        <v>&lt;a href="canciones/taize/alleluia_4.html"&gt;</v>
      </c>
      <c r="Y2437"/>
      <c r="AC2437" s="1"/>
    </row>
    <row r="2438" spans="1:29" x14ac:dyDescent="0.3">
      <c r="A2438" s="1">
        <f>ROW(CantoralDB[[#This Row],[Título]])-1</f>
        <v>2437</v>
      </c>
      <c r="B2438" s="1" t="s">
        <v>4021</v>
      </c>
      <c r="C2438" s="1"/>
      <c r="J2438" s="1"/>
      <c r="M2438" s="15" t="s">
        <v>2130</v>
      </c>
      <c r="N2438" s="1" t="s">
        <v>455</v>
      </c>
      <c r="O2438" s="15">
        <v>5</v>
      </c>
      <c r="P2438" s="15">
        <v>1996</v>
      </c>
      <c r="Q2438" s="15" t="str" cm="1">
        <f t="array" ref="Q24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8" s="15" t="str" cm="1">
        <f t="array" ref="R24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canciones/taize/donnez_une_voix_à_sa_louange.html</v>
      </c>
      <c r="T2438" s="1"/>
      <c r="U2438" s="1"/>
      <c r="V2438" s="32" t="s">
        <v>4172</v>
      </c>
      <c r="W24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href="canciones/taize/donnez_une_voix_à_sa_louange.html"&gt;Donnez une voix à sa louange&lt;/a&gt;&lt;/li&gt;</v>
      </c>
      <c r="X2438" s="15" t="str">
        <f>_xlfn.TEXTBEFORE(_xlfn.TEXTAFTER(CantoralDB[[#This Row],[index.html]],"&gt;"),"&gt;")&amp;"&gt;"</f>
        <v>&lt;a href="canciones/taize/donnez_une_voix_à_sa_louange.html"&gt;</v>
      </c>
      <c r="Y2438"/>
      <c r="AC2438" s="1"/>
    </row>
    <row r="2439" spans="1:29" x14ac:dyDescent="0.3">
      <c r="A2439" s="1">
        <f>ROW(CantoralDB[[#This Row],[Título]])-1</f>
        <v>2438</v>
      </c>
      <c r="B2439" s="1" t="s">
        <v>333</v>
      </c>
      <c r="C2439" s="1" t="s">
        <v>1019</v>
      </c>
      <c r="D2439" s="1" t="s">
        <v>1102</v>
      </c>
      <c r="H2439" s="1" t="s">
        <v>529</v>
      </c>
      <c r="I2439" s="1" t="s">
        <v>2947</v>
      </c>
      <c r="J2439" s="1" t="s">
        <v>605</v>
      </c>
      <c r="M2439" s="15" t="s">
        <v>2130</v>
      </c>
      <c r="N2439" s="1" t="s">
        <v>455</v>
      </c>
      <c r="O2439" s="15">
        <v>7</v>
      </c>
      <c r="P2439" s="15">
        <v>1996</v>
      </c>
      <c r="Q2439" s="15" t="str" cm="1">
        <f t="array" ref="Q24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39" s="15" t="str" cm="1">
        <f t="array" ref="R24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canciones/taize/da_pacem_cordium_(canon).html</v>
      </c>
      <c r="T2439" s="1"/>
      <c r="U2439" s="1"/>
      <c r="V2439" s="32" t="s">
        <v>4173</v>
      </c>
      <c r="W24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data-nnew="Q26"&gt;&lt;a href="canciones/taize/da_pacem_cordium_(canon).html"&gt;Da pacem cordium (canon)&lt;/a&gt;&lt;/li&gt;</v>
      </c>
      <c r="X2439" s="15" t="str">
        <f>_xlfn.TEXTBEFORE(_xlfn.TEXTAFTER(CantoralDB[[#This Row],[index.html]],"&gt;"),"&gt;")&amp;"&gt;"</f>
        <v>&lt;a href="canciones/taize/da_pacem_cordium_(canon).html"&gt;</v>
      </c>
      <c r="Y2439"/>
      <c r="AC2439" s="1"/>
    </row>
    <row r="2440" spans="1:29" x14ac:dyDescent="0.3">
      <c r="A2440" s="1">
        <f>ROW(CantoralDB[[#This Row],[Título]])-1</f>
        <v>2439</v>
      </c>
      <c r="B2440" s="1" t="s">
        <v>423</v>
      </c>
      <c r="C2440" s="1"/>
      <c r="J2440" s="1"/>
      <c r="M2440" s="15" t="s">
        <v>2130</v>
      </c>
      <c r="N2440" s="1" t="s">
        <v>455</v>
      </c>
      <c r="O2440" s="15">
        <v>11</v>
      </c>
      <c r="P2440" s="15">
        <v>1996</v>
      </c>
      <c r="Q2440" s="15" t="str" cm="1">
        <f t="array" ref="Q24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0" s="15" t="str" cm="1">
        <f t="array" ref="R24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canciones/taize/ostende_nobis.html</v>
      </c>
      <c r="T2440" s="1"/>
      <c r="U2440" s="1"/>
      <c r="V2440" s="32" t="s">
        <v>4174</v>
      </c>
      <c r="W24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href="canciones/taize/ostende_nobis.html"&gt;Ostende nobis&lt;/a&gt;&lt;/li&gt;</v>
      </c>
      <c r="X2440" s="15" t="str">
        <f>_xlfn.TEXTBEFORE(_xlfn.TEXTAFTER(CantoralDB[[#This Row],[index.html]],"&gt;"),"&gt;")&amp;"&gt;"</f>
        <v>&lt;a href="canciones/taize/ostende_nobis.html"&gt;</v>
      </c>
      <c r="Y2440"/>
      <c r="AC2440" s="1"/>
    </row>
    <row r="2441" spans="1:29" x14ac:dyDescent="0.3">
      <c r="A2441" s="1">
        <f>ROW(CantoralDB[[#This Row],[Título]])-1</f>
        <v>2440</v>
      </c>
      <c r="B2441" s="1" t="s">
        <v>361</v>
      </c>
      <c r="C2441" s="1"/>
      <c r="J2441" s="1"/>
      <c r="M2441" s="15" t="s">
        <v>2130</v>
      </c>
      <c r="N2441" s="1" t="s">
        <v>455</v>
      </c>
      <c r="O2441" s="15">
        <v>12</v>
      </c>
      <c r="P2441" s="15">
        <v>1996</v>
      </c>
      <c r="Q2441" s="15" t="str" cm="1">
        <f t="array" ref="Q24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1" s="15" t="str" cm="1">
        <f t="array" ref="R24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canciones/taize/grande_est_ta_bonte.html</v>
      </c>
      <c r="T2441" s="1"/>
      <c r="U2441" s="1"/>
      <c r="V2441" s="32" t="s">
        <v>4175</v>
      </c>
      <c r="W24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href="canciones/taize/grande_est_ta_bonte.html"&gt;Grande est ta bonté&lt;/a&gt;&lt;/li&gt;</v>
      </c>
      <c r="X2441" s="15" t="str">
        <f>_xlfn.TEXTBEFORE(_xlfn.TEXTAFTER(CantoralDB[[#This Row],[index.html]],"&gt;"),"&gt;")&amp;"&gt;"</f>
        <v>&lt;a href="canciones/taize/grande_est_ta_bonte.html"&gt;</v>
      </c>
      <c r="Y2441"/>
      <c r="AC2441" s="1"/>
    </row>
    <row r="2442" spans="1:29" x14ac:dyDescent="0.3">
      <c r="A2442" s="1">
        <f>ROW(CantoralDB[[#This Row],[Título]])-1</f>
        <v>2441</v>
      </c>
      <c r="B2442" s="1" t="s">
        <v>4022</v>
      </c>
      <c r="C2442" s="1"/>
      <c r="J2442" s="1"/>
      <c r="M2442" s="15" t="s">
        <v>2130</v>
      </c>
      <c r="N2442" s="1" t="s">
        <v>455</v>
      </c>
      <c r="O2442" s="15">
        <v>13</v>
      </c>
      <c r="P2442" s="15">
        <v>1996</v>
      </c>
      <c r="Q2442" s="15" t="str" cm="1">
        <f t="array" ref="Q24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2" s="15" t="str" cm="1">
        <f t="array" ref="R24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canciones/taize/meine_seele_ist_zu_tode_betrübt.html</v>
      </c>
      <c r="T2442" s="1"/>
      <c r="U2442" s="1"/>
      <c r="V2442" s="32" t="s">
        <v>4176</v>
      </c>
      <c r="W24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href="canciones/taize/meine_seele_ist_zu_tode_betrübt.html"&gt;Meine Seele ist zu Tode betrübt&lt;/a&gt;&lt;/li&gt;</v>
      </c>
      <c r="X2442" s="15" t="str">
        <f>_xlfn.TEXTBEFORE(_xlfn.TEXTAFTER(CantoralDB[[#This Row],[index.html]],"&gt;"),"&gt;")&amp;"&gt;"</f>
        <v>&lt;a href="canciones/taize/meine_seele_ist_zu_tode_betrübt.html"&gt;</v>
      </c>
      <c r="Y2442"/>
      <c r="AC2442" s="1"/>
    </row>
    <row r="2443" spans="1:29" x14ac:dyDescent="0.3">
      <c r="A2443" s="1">
        <f>ROW(CantoralDB[[#This Row],[Título]])-1</f>
        <v>2442</v>
      </c>
      <c r="B2443" s="1" t="s">
        <v>4023</v>
      </c>
      <c r="C2443" s="1"/>
      <c r="J2443" s="1"/>
      <c r="M2443" s="15" t="s">
        <v>2130</v>
      </c>
      <c r="N2443" s="1" t="s">
        <v>455</v>
      </c>
      <c r="O2443" s="15">
        <v>14</v>
      </c>
      <c r="P2443" s="15">
        <v>1996</v>
      </c>
      <c r="Q2443" s="15" t="str" cm="1">
        <f t="array" ref="Q24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3" s="15" t="str" cm="1">
        <f t="array" ref="R24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canciones/taize/jesus_inclino_la_cabeza.html</v>
      </c>
      <c r="T2443" s="1"/>
      <c r="U2443" s="1"/>
      <c r="V2443" s="32" t="s">
        <v>4177</v>
      </c>
      <c r="W24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href="canciones/taize/jesus_inclino_la_cabeza.html"&gt;Jesús inclinó la cabeza&lt;/a&gt;&lt;/li&gt;</v>
      </c>
      <c r="X2443" s="15" t="str">
        <f>_xlfn.TEXTBEFORE(_xlfn.TEXTAFTER(CantoralDB[[#This Row],[index.html]],"&gt;"),"&gt;")&amp;"&gt;"</f>
        <v>&lt;a href="canciones/taize/jesus_inclino_la_cabeza.html"&gt;</v>
      </c>
      <c r="Y2443"/>
      <c r="AC2443" s="1"/>
    </row>
    <row r="2444" spans="1:29" x14ac:dyDescent="0.3">
      <c r="A2444" s="1">
        <f>ROW(CantoralDB[[#This Row],[Título]])-1</f>
        <v>2443</v>
      </c>
      <c r="B2444" s="1" t="s">
        <v>382</v>
      </c>
      <c r="C2444" s="1"/>
      <c r="J2444" s="1"/>
      <c r="M2444" s="15" t="s">
        <v>2130</v>
      </c>
      <c r="N2444" s="1" t="s">
        <v>455</v>
      </c>
      <c r="O2444" s="15">
        <v>16</v>
      </c>
      <c r="P2444" s="15">
        <v>1996</v>
      </c>
      <c r="Q2444" s="15" t="str" cm="1">
        <f t="array" ref="Q24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4" s="15" t="str" cm="1">
        <f t="array" ref="R24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canciones/taize/jubilate_deo.html</v>
      </c>
      <c r="T2444" s="1"/>
      <c r="U2444" s="1"/>
      <c r="V2444" s="32" t="s">
        <v>4178</v>
      </c>
      <c r="W24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href="canciones/taize/jubilate_deo.html"&gt;Jubilate Deo&lt;/a&gt;&lt;/li&gt;</v>
      </c>
      <c r="X2444" s="15" t="str">
        <f>_xlfn.TEXTBEFORE(_xlfn.TEXTAFTER(CantoralDB[[#This Row],[index.html]],"&gt;"),"&gt;")&amp;"&gt;"</f>
        <v>&lt;a href="canciones/taize/jubilate_deo.html"&gt;</v>
      </c>
      <c r="Y2444"/>
      <c r="AC2444" s="1"/>
    </row>
    <row r="2445" spans="1:29" x14ac:dyDescent="0.3">
      <c r="A2445" s="1">
        <f>ROW(CantoralDB[[#This Row],[Título]])-1</f>
        <v>2444</v>
      </c>
      <c r="B2445" s="1" t="s">
        <v>4024</v>
      </c>
      <c r="C2445" s="1"/>
      <c r="J2445" s="1"/>
      <c r="M2445" s="15" t="s">
        <v>2130</v>
      </c>
      <c r="N2445" s="1" t="s">
        <v>455</v>
      </c>
      <c r="O2445" s="15">
        <v>24</v>
      </c>
      <c r="P2445" s="15">
        <v>1996</v>
      </c>
      <c r="Q2445" s="15" t="str" cm="1">
        <f t="array" ref="Q24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5" s="15" t="str" cm="1">
        <f t="array" ref="R24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canciones/taize/regnum_tuum_veniat.html</v>
      </c>
      <c r="T2445" s="1"/>
      <c r="U2445" s="1"/>
      <c r="V2445" s="32" t="s">
        <v>4179</v>
      </c>
      <c r="W24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href="canciones/taize/regnum_tuum_veniat.html"&gt;Regnum tuum veniat&lt;/a&gt;&lt;/li&gt;</v>
      </c>
      <c r="X2445" s="15" t="str">
        <f>_xlfn.TEXTBEFORE(_xlfn.TEXTAFTER(CantoralDB[[#This Row],[index.html]],"&gt;"),"&gt;")&amp;"&gt;"</f>
        <v>&lt;a href="canciones/taize/regnum_tuum_veniat.html"&gt;</v>
      </c>
      <c r="Y2445"/>
      <c r="AC2445" s="1"/>
    </row>
    <row r="2446" spans="1:29" x14ac:dyDescent="0.3">
      <c r="A2446" s="1">
        <f>ROW(CantoralDB[[#This Row],[Título]])-1</f>
        <v>2445</v>
      </c>
      <c r="B2446" s="1" t="s">
        <v>457</v>
      </c>
      <c r="C2446" s="1"/>
      <c r="J2446" s="1"/>
      <c r="M2446" s="15" t="s">
        <v>2130</v>
      </c>
      <c r="N2446" s="1" t="s">
        <v>455</v>
      </c>
      <c r="O2446" s="15">
        <v>26</v>
      </c>
      <c r="P2446" s="15">
        <v>1996</v>
      </c>
      <c r="Q2446" s="15" t="str" cm="1">
        <f t="array" ref="Q24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6" s="15" t="str" cm="1">
        <f t="array" ref="R24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canciones/taize/une_soif_emplit_notre_âme.html</v>
      </c>
      <c r="T2446" s="1"/>
      <c r="U2446" s="1"/>
      <c r="V2446" s="32" t="s">
        <v>4180</v>
      </c>
      <c r="W24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href="canciones/taize/une_soif_emplit_notre_âme.html"&gt;Une soif emplit notre âme&lt;/a&gt;&lt;/li&gt;</v>
      </c>
      <c r="X2446" s="15" t="str">
        <f>_xlfn.TEXTBEFORE(_xlfn.TEXTAFTER(CantoralDB[[#This Row],[index.html]],"&gt;"),"&gt;")&amp;"&gt;"</f>
        <v>&lt;a href="canciones/taize/une_soif_emplit_notre_âme.html"&gt;</v>
      </c>
      <c r="Y2446"/>
      <c r="AC2446" s="1"/>
    </row>
    <row r="2447" spans="1:29" x14ac:dyDescent="0.3">
      <c r="A2447" s="1">
        <f>ROW(CantoralDB[[#This Row],[Título]])-1</f>
        <v>2446</v>
      </c>
      <c r="B2447" s="1" t="s">
        <v>456</v>
      </c>
      <c r="C2447" s="1"/>
      <c r="J2447" s="1"/>
      <c r="M2447" s="15" t="s">
        <v>2130</v>
      </c>
      <c r="N2447" s="1" t="s">
        <v>455</v>
      </c>
      <c r="O2447" s="15">
        <v>27</v>
      </c>
      <c r="P2447" s="15">
        <v>1996</v>
      </c>
      <c r="Q2447" s="15" t="str" cm="1">
        <f t="array" ref="Q24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7" s="15" t="str" cm="1">
        <f t="array" ref="R24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canciones/taize/ubi_caritas_deus_ibi_est.html</v>
      </c>
      <c r="T2447" s="1"/>
      <c r="U2447" s="1"/>
      <c r="V2447" s="32" t="s">
        <v>4181</v>
      </c>
      <c r="W24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href="canciones/taize/ubi_caritas_deus_ibi_est.html"&gt;Ubi caritas Deus ibi est&lt;/a&gt;&lt;/li&gt;</v>
      </c>
      <c r="X2447" s="15" t="str">
        <f>_xlfn.TEXTBEFORE(_xlfn.TEXTAFTER(CantoralDB[[#This Row],[index.html]],"&gt;"),"&gt;")&amp;"&gt;"</f>
        <v>&lt;a href="canciones/taize/ubi_caritas_deus_ibi_est.html"&gt;</v>
      </c>
      <c r="Y2447"/>
      <c r="AC2447" s="1"/>
    </row>
    <row r="2448" spans="1:29" x14ac:dyDescent="0.3">
      <c r="A2448" s="1">
        <f>ROW(CantoralDB[[#This Row],[Título]])-1</f>
        <v>2447</v>
      </c>
      <c r="B2448" s="1" t="s">
        <v>4013</v>
      </c>
      <c r="C2448" s="1"/>
      <c r="J2448" s="1"/>
      <c r="M2448" s="15" t="s">
        <v>2130</v>
      </c>
      <c r="N2448" s="1" t="s">
        <v>463</v>
      </c>
      <c r="O2448" s="15">
        <v>1</v>
      </c>
      <c r="P2448" s="15">
        <v>1994</v>
      </c>
      <c r="Q2448" s="15" t="str" cm="1">
        <f t="array" ref="Q24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8" s="15" t="str" cm="1">
        <f t="array" ref="R24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canciones/taize/veni_lumen_(choral).html</v>
      </c>
      <c r="T2448" s="1"/>
      <c r="U2448" s="1"/>
      <c r="V2448" s="32" t="s">
        <v>4182</v>
      </c>
      <c r="W24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href="canciones/taize/veni_lumen_(choral).html"&gt;Veni lumen (choral)&lt;/a&gt;&lt;/li&gt;</v>
      </c>
      <c r="X2448" s="15" t="str">
        <f>_xlfn.TEXTBEFORE(_xlfn.TEXTAFTER(CantoralDB[[#This Row],[index.html]],"&gt;"),"&gt;")&amp;"&gt;"</f>
        <v>&lt;a href="canciones/taize/veni_lumen_(choral).html"&gt;</v>
      </c>
      <c r="Y2448"/>
      <c r="AC2448" s="1"/>
    </row>
    <row r="2449" spans="1:29" x14ac:dyDescent="0.3">
      <c r="A2449" s="1">
        <f>ROW(CantoralDB[[#This Row],[Título]])-1</f>
        <v>2448</v>
      </c>
      <c r="B2449" s="1" t="s">
        <v>450</v>
      </c>
      <c r="C2449" s="1"/>
      <c r="J2449" s="1"/>
      <c r="M2449" s="15" t="s">
        <v>2130</v>
      </c>
      <c r="N2449" s="1" t="s">
        <v>463</v>
      </c>
      <c r="O2449" s="15">
        <v>2</v>
      </c>
      <c r="P2449" s="15">
        <v>1994</v>
      </c>
      <c r="Q2449" s="15" t="str" cm="1">
        <f t="array" ref="Q24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49" s="15" t="str" cm="1">
        <f t="array" ref="R24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canciones/taize/toi_tu_nous_aimes.html</v>
      </c>
      <c r="T2449" s="1"/>
      <c r="U2449" s="1"/>
      <c r="V2449" s="32" t="s">
        <v>4183</v>
      </c>
      <c r="W24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href="canciones/taize/toi_tu_nous_aimes.html"&gt;Toi, tu nous aimes&lt;/a&gt;&lt;/li&gt;</v>
      </c>
      <c r="X2449" s="15" t="str">
        <f>_xlfn.TEXTBEFORE(_xlfn.TEXTAFTER(CantoralDB[[#This Row],[index.html]],"&gt;"),"&gt;")&amp;"&gt;"</f>
        <v>&lt;a href="canciones/taize/toi_tu_nous_aimes.html"&gt;</v>
      </c>
      <c r="Y2449"/>
      <c r="AC2449" s="1"/>
    </row>
    <row r="2450" spans="1:29" x14ac:dyDescent="0.3">
      <c r="A2450" s="1">
        <f>ROW(CantoralDB[[#This Row],[Título]])-1</f>
        <v>2449</v>
      </c>
      <c r="B2450" s="1" t="s">
        <v>4014</v>
      </c>
      <c r="C2450" s="1"/>
      <c r="J2450" s="1"/>
      <c r="M2450" s="15" t="s">
        <v>2130</v>
      </c>
      <c r="N2450" s="1" t="s">
        <v>463</v>
      </c>
      <c r="O2450" s="15">
        <v>3</v>
      </c>
      <c r="P2450" s="15">
        <v>1994</v>
      </c>
      <c r="Q2450" s="15" t="str" cm="1">
        <f t="array" ref="Q24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0" s="15" t="str" cm="1">
        <f t="array" ref="R24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canciones/taize/alleluia_(zagorsk).html</v>
      </c>
      <c r="T2450" s="1"/>
      <c r="U2450" s="1"/>
      <c r="V2450" s="32" t="s">
        <v>4184</v>
      </c>
      <c r="W24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href="canciones/taize/alleluia_(zagorsk).html"&gt;Alleluia (Zagorsk)&lt;/a&gt;&lt;/li&gt;</v>
      </c>
      <c r="X2450" s="15" t="str">
        <f>_xlfn.TEXTBEFORE(_xlfn.TEXTAFTER(CantoralDB[[#This Row],[index.html]],"&gt;"),"&gt;")&amp;"&gt;"</f>
        <v>&lt;a href="canciones/taize/alleluia_(zagorsk).html"&gt;</v>
      </c>
      <c r="Y2450"/>
      <c r="AC2450" s="1"/>
    </row>
    <row r="2451" spans="1:29" x14ac:dyDescent="0.3">
      <c r="A2451" s="1">
        <f>ROW(CantoralDB[[#This Row],[Título]])-1</f>
        <v>2450</v>
      </c>
      <c r="B2451" s="1" t="s">
        <v>454</v>
      </c>
      <c r="C2451" s="1" t="s">
        <v>1019</v>
      </c>
      <c r="D2451" s="1" t="s">
        <v>1148</v>
      </c>
      <c r="H2451" s="1" t="s">
        <v>1025</v>
      </c>
      <c r="I2451" s="1" t="s">
        <v>2948</v>
      </c>
      <c r="J2451" s="1" t="s">
        <v>605</v>
      </c>
      <c r="M2451" s="15" t="s">
        <v>2130</v>
      </c>
      <c r="N2451" s="1" t="s">
        <v>463</v>
      </c>
      <c r="O2451" s="15">
        <v>4</v>
      </c>
      <c r="P2451" s="15">
        <v>1994</v>
      </c>
      <c r="Q2451" s="15" t="str" cm="1">
        <f t="array" ref="Q24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1" s="15" t="str" cm="1">
        <f t="array" ref="R24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canciones/taize/tui_amoris.html</v>
      </c>
      <c r="T2451" s="1"/>
      <c r="U2451" s="1"/>
      <c r="V2451" s="32" t="s">
        <v>4185</v>
      </c>
      <c r="W24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data-nnew="Q77"&gt;&lt;a href="canciones/taize/tui_amoris.html"&gt;Tui amoris&lt;/a&gt;&lt;/li&gt;</v>
      </c>
      <c r="X2451" s="15" t="str">
        <f>_xlfn.TEXTBEFORE(_xlfn.TEXTAFTER(CantoralDB[[#This Row],[index.html]],"&gt;"),"&gt;")&amp;"&gt;"</f>
        <v>&lt;a href="canciones/taize/tui_amoris.html"&gt;</v>
      </c>
      <c r="Y2451"/>
      <c r="AC2451" s="1"/>
    </row>
    <row r="2452" spans="1:29" x14ac:dyDescent="0.3">
      <c r="A2452" s="1">
        <f>ROW(CantoralDB[[#This Row],[Título]])-1</f>
        <v>2451</v>
      </c>
      <c r="B2452" s="1" t="s">
        <v>334</v>
      </c>
      <c r="C2452" s="1" t="s">
        <v>1019</v>
      </c>
      <c r="D2452" s="1" t="s">
        <v>1103</v>
      </c>
      <c r="H2452" s="1" t="s">
        <v>1026</v>
      </c>
      <c r="I2452" s="1" t="s">
        <v>2947</v>
      </c>
      <c r="J2452" s="1" t="s">
        <v>605</v>
      </c>
      <c r="M2452" s="15" t="s">
        <v>2130</v>
      </c>
      <c r="N2452" s="1" t="s">
        <v>463</v>
      </c>
      <c r="O2452" s="15">
        <v>5</v>
      </c>
      <c r="P2452" s="15">
        <v>1994</v>
      </c>
      <c r="Q2452" s="15" t="str" cm="1">
        <f t="array" ref="Q24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2" s="15" t="str" cm="1">
        <f t="array" ref="R24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canciones/taize/da_pacem..._in_diebus.html</v>
      </c>
      <c r="T2452" s="1"/>
      <c r="U2452" s="1"/>
      <c r="V2452" s="32" t="s">
        <v>4186</v>
      </c>
      <c r="W24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data-nnew="Q27"&gt;&lt;a href="canciones/taize/da_pacem..._in_diebus.html"&gt;Da pacem... in diebus&lt;/a&gt;&lt;/li&gt;</v>
      </c>
      <c r="X2452" s="15" t="str">
        <f>_xlfn.TEXTBEFORE(_xlfn.TEXTAFTER(CantoralDB[[#This Row],[index.html]],"&gt;"),"&gt;")&amp;"&gt;"</f>
        <v>&lt;a href="canciones/taize/da_pacem..._in_diebus.html"&gt;</v>
      </c>
      <c r="Y2452"/>
      <c r="AC2452" s="1"/>
    </row>
    <row r="2453" spans="1:29" x14ac:dyDescent="0.3">
      <c r="A2453" s="1">
        <f>ROW(CantoralDB[[#This Row],[Título]])-1</f>
        <v>2452</v>
      </c>
      <c r="B2453" s="1" t="s">
        <v>412</v>
      </c>
      <c r="C2453" s="1" t="s">
        <v>1019</v>
      </c>
      <c r="D2453" s="1" t="s">
        <v>1135</v>
      </c>
      <c r="E2453" s="1">
        <v>157</v>
      </c>
      <c r="H2453" s="1" t="s">
        <v>529</v>
      </c>
      <c r="I2453" s="1" t="s">
        <v>2946</v>
      </c>
      <c r="J2453" s="1" t="s">
        <v>605</v>
      </c>
      <c r="M2453" s="15" t="s">
        <v>2130</v>
      </c>
      <c r="N2453" s="1" t="s">
        <v>463</v>
      </c>
      <c r="O2453" s="15">
        <v>6</v>
      </c>
      <c r="P2453" s="15">
        <v>1994</v>
      </c>
      <c r="Q2453" s="15" t="str" cm="1">
        <f t="array" ref="Q24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3" s="15" t="str" cm="1">
        <f t="array" ref="R24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canciones/taize/misericordias_domini.html</v>
      </c>
      <c r="T2453" s="1"/>
      <c r="U2453" s="1"/>
      <c r="V2453" s="32" t="s">
        <v>4187</v>
      </c>
      <c r="W24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data-nnew="Q62" data-nold="157"&gt;&lt;a href="canciones/taize/misericordias_domini.html"&gt;Misericordias Domini&lt;/a&gt;&lt;/li&gt;</v>
      </c>
      <c r="X2453" s="15" t="str">
        <f>_xlfn.TEXTBEFORE(_xlfn.TEXTAFTER(CantoralDB[[#This Row],[index.html]],"&gt;"),"&gt;")&amp;"&gt;"</f>
        <v>&lt;a href="canciones/taize/misericordias_domini.html"&gt;</v>
      </c>
      <c r="Y2453"/>
      <c r="AC2453" s="1"/>
    </row>
    <row r="2454" spans="1:29" x14ac:dyDescent="0.3">
      <c r="A2454" s="1">
        <f>ROW(CantoralDB[[#This Row],[Título]])-1</f>
        <v>2453</v>
      </c>
      <c r="B2454" s="1" t="s">
        <v>288</v>
      </c>
      <c r="C2454" s="1"/>
      <c r="J2454" s="1"/>
      <c r="M2454" s="15" t="s">
        <v>2130</v>
      </c>
      <c r="N2454" s="1" t="s">
        <v>463</v>
      </c>
      <c r="O2454" s="15">
        <v>7</v>
      </c>
      <c r="P2454" s="15">
        <v>1994</v>
      </c>
      <c r="Q2454" s="15" t="str" cm="1">
        <f t="array" ref="Q245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4" s="15" t="str" cm="1">
        <f t="array" ref="R245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canciones/taize/alleluia_1.html</v>
      </c>
      <c r="T2454" s="1"/>
      <c r="U2454" s="1"/>
      <c r="V2454" s="32" t="s">
        <v>4188</v>
      </c>
      <c r="W245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href="canciones/taize/alleluia_1.html"&gt;Alleluia 1&lt;/a&gt;&lt;/li&gt;</v>
      </c>
      <c r="X2454" s="15" t="str">
        <f>_xlfn.TEXTBEFORE(_xlfn.TEXTAFTER(CantoralDB[[#This Row],[index.html]],"&gt;"),"&gt;")&amp;"&gt;"</f>
        <v>&lt;a href="canciones/taize/alleluia_1.html"&gt;</v>
      </c>
      <c r="Y2454"/>
      <c r="AC2454" s="1"/>
    </row>
    <row r="2455" spans="1:29" x14ac:dyDescent="0.3">
      <c r="A2455" s="1">
        <f>ROW(CantoralDB[[#This Row],[Título]])-1</f>
        <v>2454</v>
      </c>
      <c r="B2455" s="1" t="s">
        <v>332</v>
      </c>
      <c r="C2455" s="1" t="s">
        <v>1019</v>
      </c>
      <c r="D2455" s="1" t="s">
        <v>1101</v>
      </c>
      <c r="H2455" s="1" t="s">
        <v>1025</v>
      </c>
      <c r="I2455" s="1" t="s">
        <v>2948</v>
      </c>
      <c r="J2455" s="1" t="s">
        <v>605</v>
      </c>
      <c r="M2455" s="15" t="s">
        <v>2130</v>
      </c>
      <c r="N2455" s="1" t="s">
        <v>463</v>
      </c>
      <c r="O2455" s="15">
        <v>8</v>
      </c>
      <c r="P2455" s="15">
        <v>1994</v>
      </c>
      <c r="Q2455" s="15" t="str" cm="1">
        <f t="array" ref="Q245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5" s="15" t="str" cm="1">
        <f t="array" ref="R245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canciones/taize/crucem_tuam.html</v>
      </c>
      <c r="T2455" s="1"/>
      <c r="U2455" s="1"/>
      <c r="V2455" s="32" t="s">
        <v>4189</v>
      </c>
      <c r="W245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data-nnew="Q25"&gt;&lt;a href="canciones/taize/crucem_tuam.html"&gt;Crucem tuam&lt;/a&gt;&lt;/li&gt;</v>
      </c>
      <c r="X2455" s="15" t="str">
        <f>_xlfn.TEXTBEFORE(_xlfn.TEXTAFTER(CantoralDB[[#This Row],[index.html]],"&gt;"),"&gt;")&amp;"&gt;"</f>
        <v>&lt;a href="canciones/taize/crucem_tuam.html"&gt;</v>
      </c>
      <c r="Y2455"/>
      <c r="AC2455" s="1"/>
    </row>
    <row r="2456" spans="1:29" x14ac:dyDescent="0.3">
      <c r="A2456" s="1">
        <f>ROW(CantoralDB[[#This Row],[Título]])-1</f>
        <v>2455</v>
      </c>
      <c r="B2456" s="1" t="s">
        <v>463</v>
      </c>
      <c r="C2456" s="1"/>
      <c r="J2456" s="1"/>
      <c r="M2456" s="15" t="s">
        <v>2130</v>
      </c>
      <c r="N2456" s="1" t="s">
        <v>463</v>
      </c>
      <c r="O2456" s="15">
        <v>9</v>
      </c>
      <c r="P2456" s="15">
        <v>1994</v>
      </c>
      <c r="Q2456" s="15" t="str" cm="1">
        <f t="array" ref="Q245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6" s="15" t="str" cm="1">
        <f t="array" ref="R245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canciones/taize/veni_sancte_spiritus.html</v>
      </c>
      <c r="T2456" s="1"/>
      <c r="U2456" s="1"/>
      <c r="V2456" s="32" t="s">
        <v>4190</v>
      </c>
      <c r="W245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href="canciones/taize/veni_sancte_spiritus.html"&gt;Veni Sancte Spiritus&lt;/a&gt;&lt;/li&gt;</v>
      </c>
      <c r="X2456" s="15" t="str">
        <f>_xlfn.TEXTBEFORE(_xlfn.TEXTAFTER(CantoralDB[[#This Row],[index.html]],"&gt;"),"&gt;")&amp;"&gt;"</f>
        <v>&lt;a href="canciones/taize/veni_sancte_spiritus.html"&gt;</v>
      </c>
      <c r="Y2456"/>
      <c r="AC2456" s="1"/>
    </row>
    <row r="2457" spans="1:29" x14ac:dyDescent="0.3">
      <c r="A2457" s="1">
        <f>ROW(CantoralDB[[#This Row],[Título]])-1</f>
        <v>2456</v>
      </c>
      <c r="B2457" s="1" t="s">
        <v>4015</v>
      </c>
      <c r="C2457" s="1"/>
      <c r="J2457" s="1"/>
      <c r="M2457" s="15" t="s">
        <v>2130</v>
      </c>
      <c r="N2457" s="1" t="s">
        <v>463</v>
      </c>
      <c r="O2457" s="15">
        <v>10</v>
      </c>
      <c r="P2457" s="15">
        <v>1994</v>
      </c>
      <c r="Q2457" s="15" t="str" cm="1">
        <f t="array" ref="Q245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7" s="15" t="str" cm="1">
        <f t="array" ref="R245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canciones/taize/o_christ_le_fils_de_dieu_vivant.html</v>
      </c>
      <c r="T2457" s="1"/>
      <c r="U2457" s="1"/>
      <c r="V2457" s="32" t="s">
        <v>4191</v>
      </c>
      <c r="W245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href="canciones/taize/o_christ_le_fils_de_dieu_vivant.html"&gt;O Christ, le Fils de Dieu vivant&lt;/a&gt;&lt;/li&gt;</v>
      </c>
      <c r="X2457" s="15" t="str">
        <f>_xlfn.TEXTBEFORE(_xlfn.TEXTAFTER(CantoralDB[[#This Row],[index.html]],"&gt;"),"&gt;")&amp;"&gt;"</f>
        <v>&lt;a href="canciones/taize/o_christ_le_fils_de_dieu_vivant.html"&gt;</v>
      </c>
      <c r="Y2457"/>
      <c r="AC2457" s="1"/>
    </row>
    <row r="2458" spans="1:29" x14ac:dyDescent="0.3">
      <c r="A2458" s="1">
        <f>ROW(CantoralDB[[#This Row],[Título]])-1</f>
        <v>2457</v>
      </c>
      <c r="B2458" s="1" t="s">
        <v>4016</v>
      </c>
      <c r="C2458" s="1"/>
      <c r="J2458" s="1"/>
      <c r="M2458" s="15" t="s">
        <v>2130</v>
      </c>
      <c r="N2458" s="1" t="s">
        <v>463</v>
      </c>
      <c r="O2458" s="15">
        <v>11</v>
      </c>
      <c r="P2458" s="15">
        <v>1994</v>
      </c>
      <c r="Q2458" s="15" t="str" cm="1">
        <f t="array" ref="Q245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8" s="15" t="str" cm="1">
        <f t="array" ref="R245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canciones/taize/herr_wohin.html</v>
      </c>
      <c r="T2458" s="1"/>
      <c r="U2458" s="1"/>
      <c r="V2458" s="32" t="s">
        <v>4192</v>
      </c>
      <c r="W245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href="canciones/taize/herr_wohin.html"&gt;Herr, wohin&lt;/a&gt;&lt;/li&gt;</v>
      </c>
      <c r="X2458" s="15" t="str">
        <f>_xlfn.TEXTBEFORE(_xlfn.TEXTAFTER(CantoralDB[[#This Row],[index.html]],"&gt;"),"&gt;")&amp;"&gt;"</f>
        <v>&lt;a href="canciones/taize/herr_wohin.html"&gt;</v>
      </c>
      <c r="Y2458"/>
      <c r="AC2458" s="1"/>
    </row>
    <row r="2459" spans="1:29" x14ac:dyDescent="0.3">
      <c r="A2459" s="1">
        <f>ROW(CantoralDB[[#This Row],[Título]])-1</f>
        <v>2458</v>
      </c>
      <c r="B2459" s="1" t="s">
        <v>4017</v>
      </c>
      <c r="C2459" s="1"/>
      <c r="J2459" s="1"/>
      <c r="M2459" s="15" t="s">
        <v>2130</v>
      </c>
      <c r="N2459" s="1" t="s">
        <v>463</v>
      </c>
      <c r="O2459" s="15">
        <v>12</v>
      </c>
      <c r="P2459" s="15">
        <v>1994</v>
      </c>
      <c r="Q2459" s="15" t="str" cm="1">
        <f t="array" ref="Q245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59" s="15" t="str" cm="1">
        <f t="array" ref="R245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5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canciones/taize/c'est_toi_ma_lampe_seigneur.html</v>
      </c>
      <c r="T2459" s="1"/>
      <c r="U2459" s="1"/>
      <c r="V2459" s="32" t="s">
        <v>4193</v>
      </c>
      <c r="W245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href="canciones/taize/c'est_toi_ma_lampe_seigneur.html"&gt;C'est toi ma lampe, Seigneur&lt;/a&gt;&lt;/li&gt;</v>
      </c>
      <c r="X2459" s="15" t="str">
        <f>_xlfn.TEXTBEFORE(_xlfn.TEXTAFTER(CantoralDB[[#This Row],[index.html]],"&gt;"),"&gt;")&amp;"&gt;"</f>
        <v>&lt;a href="canciones/taize/c'est_toi_ma_lampe_seigneur.html"&gt;</v>
      </c>
      <c r="Y2459"/>
      <c r="AC2459" s="1"/>
    </row>
    <row r="2460" spans="1:29" x14ac:dyDescent="0.3">
      <c r="A2460" s="1">
        <f>ROW(CantoralDB[[#This Row],[Título]])-1</f>
        <v>2459</v>
      </c>
      <c r="B2460" s="1" t="s">
        <v>4018</v>
      </c>
      <c r="C2460" s="1"/>
      <c r="J2460" s="1"/>
      <c r="M2460" s="15" t="s">
        <v>2130</v>
      </c>
      <c r="N2460" s="1" t="s">
        <v>463</v>
      </c>
      <c r="O2460" s="15">
        <v>13</v>
      </c>
      <c r="P2460" s="15">
        <v>1994</v>
      </c>
      <c r="Q2460" s="15" t="str" cm="1">
        <f t="array" ref="Q246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0" s="15" t="str" cm="1">
        <f t="array" ref="R246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canciones/taize/sanctus_nomen_domini.html</v>
      </c>
      <c r="T2460" s="1"/>
      <c r="U2460" s="1"/>
      <c r="V2460" s="32" t="s">
        <v>4194</v>
      </c>
      <c r="W246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href="canciones/taize/sanctus_nomen_domini.html"&gt;Sanctus nomen Domini&lt;/a&gt;&lt;/li&gt;</v>
      </c>
      <c r="X2460" s="15" t="str">
        <f>_xlfn.TEXTBEFORE(_xlfn.TEXTAFTER(CantoralDB[[#This Row],[index.html]],"&gt;"),"&gt;")&amp;"&gt;"</f>
        <v>&lt;a href="canciones/taize/sanctus_nomen_domini.html"&gt;</v>
      </c>
      <c r="Y2460"/>
      <c r="AC2460" s="1"/>
    </row>
    <row r="2461" spans="1:29" x14ac:dyDescent="0.3">
      <c r="A2461" s="1">
        <f>ROW(CantoralDB[[#This Row],[Título]])-1</f>
        <v>2460</v>
      </c>
      <c r="B2461" s="1" t="s">
        <v>359</v>
      </c>
      <c r="C2461" s="1"/>
      <c r="J2461" s="1"/>
      <c r="M2461" s="15" t="s">
        <v>2130</v>
      </c>
      <c r="N2461" s="1" t="s">
        <v>463</v>
      </c>
      <c r="O2461" s="15">
        <v>14</v>
      </c>
      <c r="P2461" s="15">
        <v>1994</v>
      </c>
      <c r="Q2461" s="15" t="str" cm="1">
        <f t="array" ref="Q246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1" s="15" t="str" cm="1">
        <f t="array" ref="R246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canciones/taize/gospodi_e.html</v>
      </c>
      <c r="T2461" s="1"/>
      <c r="U2461" s="1"/>
      <c r="V2461" s="32" t="s">
        <v>4195</v>
      </c>
      <c r="W246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href="canciones/taize/gospodi_e.html"&gt;Gospodi E&lt;/a&gt;&lt;/li&gt;</v>
      </c>
      <c r="X2461" s="15" t="str">
        <f>_xlfn.TEXTBEFORE(_xlfn.TEXTAFTER(CantoralDB[[#This Row],[index.html]],"&gt;"),"&gt;")&amp;"&gt;"</f>
        <v>&lt;a href="canciones/taize/gospodi_e.html"&gt;</v>
      </c>
      <c r="Y2461"/>
      <c r="AC2461" s="1"/>
    </row>
    <row r="2462" spans="1:29" x14ac:dyDescent="0.3">
      <c r="A2462" s="1">
        <f>ROW(CantoralDB[[#This Row],[Título]])-1</f>
        <v>2461</v>
      </c>
      <c r="B2462" s="1" t="s">
        <v>441</v>
      </c>
      <c r="C2462" s="1" t="s">
        <v>1019</v>
      </c>
      <c r="D2462" s="1" t="s">
        <v>1120</v>
      </c>
      <c r="H2462" s="1" t="s">
        <v>1025</v>
      </c>
      <c r="I2462" s="1" t="s">
        <v>2946</v>
      </c>
      <c r="J2462" s="1" t="s">
        <v>605</v>
      </c>
      <c r="M2462" s="15" t="s">
        <v>2130</v>
      </c>
      <c r="N2462" s="1" t="s">
        <v>463</v>
      </c>
      <c r="O2462" s="15">
        <v>15</v>
      </c>
      <c r="P2462" s="15">
        <v>1994</v>
      </c>
      <c r="Q2462" s="15" t="str" cm="1">
        <f t="array" ref="Q246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2" s="15" t="str" cm="1">
        <f t="array" ref="R246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canciones/taize/spiritus_jesu_christi.html</v>
      </c>
      <c r="T2462" s="1"/>
      <c r="U2462" s="1"/>
      <c r="V2462" s="32" t="s">
        <v>4196</v>
      </c>
      <c r="W246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data-nnew="Q70"&gt;&lt;a href="canciones/taize/spiritus_jesu_christi.html"&gt;Spiritus Jesu Christi&lt;/a&gt;&lt;/li&gt;</v>
      </c>
      <c r="X2462" s="15" t="str">
        <f>_xlfn.TEXTBEFORE(_xlfn.TEXTAFTER(CantoralDB[[#This Row],[index.html]],"&gt;"),"&gt;")&amp;"&gt;"</f>
        <v>&lt;a href="canciones/taize/spiritus_jesu_christi.html"&gt;</v>
      </c>
      <c r="Y2462"/>
      <c r="AC2462" s="1"/>
    </row>
    <row r="2463" spans="1:29" x14ac:dyDescent="0.3">
      <c r="A2463" s="1">
        <f>ROW(CantoralDB[[#This Row],[Título]])-1</f>
        <v>2462</v>
      </c>
      <c r="B2463" s="1" t="s">
        <v>381</v>
      </c>
      <c r="C2463" s="1" t="s">
        <v>1019</v>
      </c>
      <c r="D2463" s="1" t="s">
        <v>1129</v>
      </c>
      <c r="H2463" s="1" t="s">
        <v>529</v>
      </c>
      <c r="I2463" s="1" t="s">
        <v>2948</v>
      </c>
      <c r="J2463" s="1" t="s">
        <v>605</v>
      </c>
      <c r="M2463" s="15" t="s">
        <v>2130</v>
      </c>
      <c r="N2463" s="1" t="s">
        <v>463</v>
      </c>
      <c r="O2463" s="15">
        <v>16</v>
      </c>
      <c r="P2463" s="15">
        <v>1994</v>
      </c>
      <c r="Q2463" s="15" t="str" cm="1">
        <f t="array" ref="Q246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3" s="15" t="str" cm="1">
        <f t="array" ref="R246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canciones/taize/jubilate_coeli_(canon).html</v>
      </c>
      <c r="T2463" s="1"/>
      <c r="U2463" s="1"/>
      <c r="V2463" s="32" t="s">
        <v>4197</v>
      </c>
      <c r="W246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data-nnew="Q52"&gt;&lt;a href="canciones/taize/jubilate_coeli_(canon).html"&gt;Jubilate coeli (canon)&lt;/a&gt;&lt;/li&gt;</v>
      </c>
      <c r="X2463" s="15" t="str">
        <f>_xlfn.TEXTBEFORE(_xlfn.TEXTAFTER(CantoralDB[[#This Row],[index.html]],"&gt;"),"&gt;")&amp;"&gt;"</f>
        <v>&lt;a href="canciones/taize/jubilate_coeli_(canon).html"&gt;</v>
      </c>
      <c r="Y2463"/>
      <c r="AC2463" s="1"/>
    </row>
    <row r="2464" spans="1:29" x14ac:dyDescent="0.3">
      <c r="A2464" s="1">
        <f>ROW(CantoralDB[[#This Row],[Título]])-1</f>
        <v>2463</v>
      </c>
      <c r="B2464" s="1" t="s">
        <v>371</v>
      </c>
      <c r="C2464" s="1"/>
      <c r="J2464" s="1"/>
      <c r="M2464" s="15" t="s">
        <v>2130</v>
      </c>
      <c r="N2464" s="1" t="s">
        <v>463</v>
      </c>
      <c r="O2464" s="15">
        <v>17</v>
      </c>
      <c r="P2464" s="15">
        <v>1994</v>
      </c>
      <c r="Q2464" s="15" t="str" cm="1">
        <f t="array" ref="Q246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4" s="15" t="str" cm="1">
        <f t="array" ref="R246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canciones/taize/in_te_confido.html</v>
      </c>
      <c r="T2464" s="1"/>
      <c r="U2464" s="1"/>
      <c r="V2464" s="32" t="s">
        <v>4198</v>
      </c>
      <c r="W246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href="canciones/taize/in_te_confido.html"&gt;In te confido&lt;/a&gt;&lt;/li&gt;</v>
      </c>
      <c r="X2464" s="15" t="str">
        <f>_xlfn.TEXTBEFORE(_xlfn.TEXTAFTER(CantoralDB[[#This Row],[index.html]],"&gt;"),"&gt;")&amp;"&gt;"</f>
        <v>&lt;a href="canciones/taize/in_te_confido.html"&gt;</v>
      </c>
      <c r="Y2464"/>
      <c r="AC2464" s="1"/>
    </row>
    <row r="2465" spans="1:29" x14ac:dyDescent="0.3">
      <c r="A2465" s="1">
        <f>ROW(CantoralDB[[#This Row],[Título]])-1</f>
        <v>2464</v>
      </c>
      <c r="B2465" s="1" t="s">
        <v>464</v>
      </c>
      <c r="C2465" s="1"/>
      <c r="J2465" s="1"/>
      <c r="M2465" s="15" t="s">
        <v>2130</v>
      </c>
      <c r="N2465" s="1" t="s">
        <v>4025</v>
      </c>
      <c r="O2465" s="15">
        <v>1</v>
      </c>
      <c r="P2465" s="15">
        <v>2001</v>
      </c>
      <c r="Q2465" s="15" t="str" cm="1">
        <f t="array" ref="Q246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5" s="15" t="str" cm="1">
        <f t="array" ref="R246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canciones/taize/venite_exultemus_domino.html</v>
      </c>
      <c r="T2465" s="1"/>
      <c r="U2465" s="1"/>
      <c r="V2465" s="32" t="s">
        <v>4199</v>
      </c>
      <c r="W246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href="canciones/taize/venite_exultemus_domino.html"&gt;Venite, exultemus Domino&lt;/a&gt;&lt;/li&gt;</v>
      </c>
      <c r="X2465" s="15" t="str">
        <f>_xlfn.TEXTBEFORE(_xlfn.TEXTAFTER(CantoralDB[[#This Row],[index.html]],"&gt;"),"&gt;")&amp;"&gt;"</f>
        <v>&lt;a href="canciones/taize/venite_exultemus_domino.html"&gt;</v>
      </c>
      <c r="Y2465"/>
      <c r="AC2465" s="1"/>
    </row>
    <row r="2466" spans="1:29" x14ac:dyDescent="0.3">
      <c r="A2466" s="1">
        <f>ROW(CantoralDB[[#This Row],[Título]])-1</f>
        <v>2465</v>
      </c>
      <c r="B2466" s="1" t="s">
        <v>345</v>
      </c>
      <c r="C2466" s="1" t="s">
        <v>1019</v>
      </c>
      <c r="D2466" s="1" t="s">
        <v>1115</v>
      </c>
      <c r="H2466" s="1" t="s">
        <v>1027</v>
      </c>
      <c r="I2466" s="1" t="s">
        <v>2948</v>
      </c>
      <c r="J2466" s="1" t="s">
        <v>605</v>
      </c>
      <c r="M2466" s="15" t="s">
        <v>2130</v>
      </c>
      <c r="N2466" s="1" t="s">
        <v>4025</v>
      </c>
      <c r="O2466" s="15">
        <v>2</v>
      </c>
      <c r="P2466" s="15">
        <v>2001</v>
      </c>
      <c r="Q2466" s="15" t="str" cm="1">
        <f t="array" ref="Q246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6" s="15" t="str" cm="1">
        <f t="array" ref="R246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canciones/taize/el_alma_que_anda_en_amor.html</v>
      </c>
      <c r="T2466" s="1" t="s">
        <v>795</v>
      </c>
      <c r="U2466" s="1"/>
      <c r="V2466" s="32" t="s">
        <v>4200</v>
      </c>
      <c r="W246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data-nnew="Q37"&gt;&lt;a href="canciones/taize/el_alma_que_anda_en_amor.html"&gt;El alma que anda en amor&lt;/a&gt;&lt;/li&gt;</v>
      </c>
      <c r="X2466" s="15" t="str">
        <f>_xlfn.TEXTBEFORE(_xlfn.TEXTAFTER(CantoralDB[[#This Row],[index.html]],"&gt;"),"&gt;")&amp;"&gt;"</f>
        <v>&lt;a href="canciones/taize/el_alma_que_anda_en_amor.html"&gt;</v>
      </c>
      <c r="Y2466"/>
      <c r="AC2466" s="1"/>
    </row>
    <row r="2467" spans="1:29" x14ac:dyDescent="0.3">
      <c r="A2467" s="1">
        <f>ROW(CantoralDB[[#This Row],[Título]])-1</f>
        <v>2466</v>
      </c>
      <c r="B2467" s="1" t="s">
        <v>448</v>
      </c>
      <c r="C2467" s="1" t="s">
        <v>1019</v>
      </c>
      <c r="D2467" s="1" t="s">
        <v>1116</v>
      </c>
      <c r="H2467" s="1" t="s">
        <v>1025</v>
      </c>
      <c r="I2467" s="1" t="s">
        <v>2948</v>
      </c>
      <c r="J2467" s="1" t="s">
        <v>605</v>
      </c>
      <c r="M2467" s="15" t="s">
        <v>2130</v>
      </c>
      <c r="N2467" s="1" t="s">
        <v>4025</v>
      </c>
      <c r="O2467" s="15">
        <v>3</v>
      </c>
      <c r="P2467" s="15">
        <v>2001</v>
      </c>
      <c r="Q2467" s="15" t="str" cm="1">
        <f t="array" ref="Q246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7" s="15" t="str" cm="1">
        <f t="array" ref="R246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canciones/taize/the_kingdom_of_god.html</v>
      </c>
      <c r="T2467" s="1"/>
      <c r="U2467" s="1"/>
      <c r="V2467" s="32" t="s">
        <v>4201</v>
      </c>
      <c r="W246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data-nnew="Q74"&gt;&lt;a href="canciones/taize/the_kingdom_of_god.html"&gt;The kingdom of God&lt;/a&gt;&lt;/li&gt;</v>
      </c>
      <c r="X2467" s="15" t="str">
        <f>_xlfn.TEXTBEFORE(_xlfn.TEXTAFTER(CantoralDB[[#This Row],[index.html]],"&gt;"),"&gt;")&amp;"&gt;"</f>
        <v>&lt;a href="canciones/taize/the_kingdom_of_god.html"&gt;</v>
      </c>
      <c r="Y2467"/>
      <c r="AC2467" s="1"/>
    </row>
    <row r="2468" spans="1:29" x14ac:dyDescent="0.3">
      <c r="A2468" s="1">
        <f>ROW(CantoralDB[[#This Row],[Título]])-1</f>
        <v>2467</v>
      </c>
      <c r="B2468" s="1" t="s">
        <v>300</v>
      </c>
      <c r="C2468" s="1"/>
      <c r="J2468" s="1"/>
      <c r="M2468" s="15" t="s">
        <v>2130</v>
      </c>
      <c r="N2468" s="1" t="s">
        <v>4025</v>
      </c>
      <c r="O2468" s="15">
        <v>4</v>
      </c>
      <c r="P2468" s="15">
        <v>2001</v>
      </c>
      <c r="Q2468" s="15" t="str" cm="1">
        <f t="array" ref="Q246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8" s="15" t="str" cm="1">
        <f t="array" ref="R246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canciones/taize/alleluia_20.html</v>
      </c>
      <c r="T2468" s="1"/>
      <c r="U2468" s="1"/>
      <c r="V2468" s="32" t="s">
        <v>4202</v>
      </c>
      <c r="W246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href="canciones/taize/alleluia_20.html"&gt;Alleluia 20&lt;/a&gt;&lt;/li&gt;</v>
      </c>
      <c r="X2468" s="15" t="str">
        <f>_xlfn.TEXTBEFORE(_xlfn.TEXTAFTER(CantoralDB[[#This Row],[index.html]],"&gt;"),"&gt;")&amp;"&gt;"</f>
        <v>&lt;a href="canciones/taize/alleluia_20.html"&gt;</v>
      </c>
      <c r="Y2468"/>
      <c r="AC2468" s="1"/>
    </row>
    <row r="2469" spans="1:29" x14ac:dyDescent="0.3">
      <c r="A2469" s="1">
        <f>ROW(CantoralDB[[#This Row],[Título]])-1</f>
        <v>2468</v>
      </c>
      <c r="B2469" s="1" t="s">
        <v>319</v>
      </c>
      <c r="C2469" s="1" t="s">
        <v>1019</v>
      </c>
      <c r="D2469" s="1" t="s">
        <v>1088</v>
      </c>
      <c r="H2469" s="1" t="s">
        <v>1027</v>
      </c>
      <c r="I2469" s="1" t="s">
        <v>2948</v>
      </c>
      <c r="J2469" s="1" t="s">
        <v>605</v>
      </c>
      <c r="M2469" s="15" t="s">
        <v>2130</v>
      </c>
      <c r="N2469" s="1" t="s">
        <v>4025</v>
      </c>
      <c r="O2469" s="15">
        <v>5</v>
      </c>
      <c r="P2469" s="15">
        <v>2001</v>
      </c>
      <c r="Q2469" s="15" t="str" cm="1">
        <f t="array" ref="Q246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69" s="15" t="str" cm="1">
        <f t="array" ref="R246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6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canciones/taize/bog_jest_miłością.html</v>
      </c>
      <c r="T2469" s="1"/>
      <c r="U2469" s="1"/>
      <c r="V2469" s="32" t="s">
        <v>4203</v>
      </c>
      <c r="W246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data-nnew="Q16"&gt;&lt;a href="canciones/taize/bog_jest_miłością.html"&gt;Bóg jest miłością&lt;/a&gt;&lt;/li&gt;</v>
      </c>
      <c r="X2469" s="15" t="str">
        <f>_xlfn.TEXTBEFORE(_xlfn.TEXTAFTER(CantoralDB[[#This Row],[index.html]],"&gt;"),"&gt;")&amp;"&gt;"</f>
        <v>&lt;a href="canciones/taize/bog_jest_miłością.html"&gt;</v>
      </c>
      <c r="Y2469"/>
      <c r="AC2469" s="1"/>
    </row>
    <row r="2470" spans="1:29" x14ac:dyDescent="0.3">
      <c r="A2470" s="1">
        <f>ROW(CantoralDB[[#This Row],[Título]])-1</f>
        <v>2469</v>
      </c>
      <c r="B2470" s="1" t="s">
        <v>320</v>
      </c>
      <c r="C2470" s="1" t="s">
        <v>1019</v>
      </c>
      <c r="D2470" s="1" t="s">
        <v>1089</v>
      </c>
      <c r="H2470" s="1" t="s">
        <v>1027</v>
      </c>
      <c r="J2470" s="1" t="s">
        <v>605</v>
      </c>
      <c r="M2470" s="15" t="s">
        <v>2130</v>
      </c>
      <c r="N2470" s="1" t="s">
        <v>4025</v>
      </c>
      <c r="O2470" s="15">
        <v>6</v>
      </c>
      <c r="P2470" s="15">
        <v>2001</v>
      </c>
      <c r="Q2470" s="15" t="str" cm="1">
        <f t="array" ref="Q247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0" s="15" t="str" cm="1">
        <f t="array" ref="R247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canciones/taize/bogoroditse_dievo_1.html</v>
      </c>
      <c r="T2470" s="1"/>
      <c r="U2470" s="1"/>
      <c r="V2470" s="32" t="s">
        <v>4204</v>
      </c>
      <c r="W247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data-nnew="Q18"&gt;&lt;a href="canciones/taize/bogoroditse_dievo_1.html"&gt;Bogoroditse Dievo 1&lt;/a&gt;&lt;/li&gt;</v>
      </c>
      <c r="X2470" s="15" t="str">
        <f>_xlfn.TEXTBEFORE(_xlfn.TEXTAFTER(CantoralDB[[#This Row],[index.html]],"&gt;"),"&gt;")&amp;"&gt;"</f>
        <v>&lt;a href="canciones/taize/bogoroditse_dievo_1.html"&gt;</v>
      </c>
      <c r="Y2470"/>
      <c r="AC2470" s="1"/>
    </row>
    <row r="2471" spans="1:29" x14ac:dyDescent="0.3">
      <c r="A2471" s="1">
        <f>ROW(CantoralDB[[#This Row],[Título]])-1</f>
        <v>2470</v>
      </c>
      <c r="B2471" s="1" t="s">
        <v>309</v>
      </c>
      <c r="C2471" s="1" t="s">
        <v>1019</v>
      </c>
      <c r="D2471" s="1" t="s">
        <v>1082</v>
      </c>
      <c r="H2471" s="1" t="s">
        <v>472</v>
      </c>
      <c r="I2471" s="1" t="s">
        <v>2947</v>
      </c>
      <c r="J2471" s="1" t="s">
        <v>605</v>
      </c>
      <c r="M2471" s="15" t="s">
        <v>2130</v>
      </c>
      <c r="N2471" s="1" t="s">
        <v>4025</v>
      </c>
      <c r="O2471" s="15">
        <v>7</v>
      </c>
      <c r="P2471" s="15">
        <v>2001</v>
      </c>
      <c r="Q2471" s="15" t="str" cm="1">
        <f t="array" ref="Q247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1" s="15" t="str" cm="1">
        <f t="array" ref="R247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canciones/taize/beati_voi_poveri.html</v>
      </c>
      <c r="T2471" s="1"/>
      <c r="U2471" s="1"/>
      <c r="V2471" s="32" t="s">
        <v>4205</v>
      </c>
      <c r="W247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data-nnew="Q11"&gt;&lt;a href="canciones/taize/beati_voi_poveri.html"&gt;Beati voi poveri&lt;/a&gt;&lt;/li&gt;</v>
      </c>
      <c r="X2471" s="15" t="str">
        <f>_xlfn.TEXTBEFORE(_xlfn.TEXTAFTER(CantoralDB[[#This Row],[index.html]],"&gt;"),"&gt;")&amp;"&gt;"</f>
        <v>&lt;a href="canciones/taize/beati_voi_poveri.html"&gt;</v>
      </c>
      <c r="Y2471"/>
      <c r="AC2471" s="1"/>
    </row>
    <row r="2472" spans="1:29" x14ac:dyDescent="0.3">
      <c r="A2472" s="1">
        <f>ROW(CantoralDB[[#This Row],[Título]])-1</f>
        <v>2471</v>
      </c>
      <c r="B2472" s="1" t="s">
        <v>4026</v>
      </c>
      <c r="C2472" s="1"/>
      <c r="J2472" s="1"/>
      <c r="M2472" s="15" t="s">
        <v>2130</v>
      </c>
      <c r="N2472" s="1" t="s">
        <v>4025</v>
      </c>
      <c r="O2472" s="15">
        <v>8</v>
      </c>
      <c r="P2472" s="15">
        <v>2001</v>
      </c>
      <c r="Q2472" s="15" t="str" cm="1">
        <f t="array" ref="Q247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2" s="15" t="str" cm="1">
        <f t="array" ref="R247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canciones/taize/jesu_redemptor.html</v>
      </c>
      <c r="T2472" s="1"/>
      <c r="U2472" s="1"/>
      <c r="V2472" s="32" t="s">
        <v>4206</v>
      </c>
      <c r="W247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href="canciones/taize/jesu_redemptor.html"&gt;Jesu redemptor&lt;/a&gt;&lt;/li&gt;</v>
      </c>
      <c r="X2472" s="15" t="str">
        <f>_xlfn.TEXTBEFORE(_xlfn.TEXTAFTER(CantoralDB[[#This Row],[index.html]],"&gt;"),"&gt;")&amp;"&gt;"</f>
        <v>&lt;a href="canciones/taize/jesu_redemptor.html"&gt;</v>
      </c>
      <c r="Y2472"/>
      <c r="AC2472" s="1"/>
    </row>
    <row r="2473" spans="1:29" x14ac:dyDescent="0.3">
      <c r="A2473" s="1">
        <f>ROW(CantoralDB[[#This Row],[Título]])-1</f>
        <v>2472</v>
      </c>
      <c r="B2473" s="1" t="s">
        <v>429</v>
      </c>
      <c r="C2473" s="1"/>
      <c r="J2473" s="1"/>
      <c r="M2473" s="15" t="s">
        <v>2130</v>
      </c>
      <c r="N2473" s="1" t="s">
        <v>4025</v>
      </c>
      <c r="O2473" s="15">
        <v>9</v>
      </c>
      <c r="P2473" s="15">
        <v>2001</v>
      </c>
      <c r="Q2473" s="15" t="str" cm="1">
        <f t="array" ref="Q247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3" s="15" t="str" cm="1">
        <f t="array" ref="R247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canciones/taize/qui_regarde_vers_dieu.html</v>
      </c>
      <c r="T2473" s="1"/>
      <c r="U2473" s="1"/>
      <c r="V2473" s="32" t="s">
        <v>4207</v>
      </c>
      <c r="W247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href="canciones/taize/qui_regarde_vers_dieu.html"&gt;Qui regarde vers Dieu&lt;/a&gt;&lt;/li&gt;</v>
      </c>
      <c r="X2473" s="15" t="str">
        <f>_xlfn.TEXTBEFORE(_xlfn.TEXTAFTER(CantoralDB[[#This Row],[index.html]],"&gt;"),"&gt;")&amp;"&gt;"</f>
        <v>&lt;a href="canciones/taize/qui_regarde_vers_dieu.html"&gt;</v>
      </c>
      <c r="Y2473"/>
      <c r="AC2473" s="1"/>
    </row>
    <row r="2474" spans="1:29" x14ac:dyDescent="0.3">
      <c r="A2474" s="1">
        <f>ROW(CantoralDB[[#This Row],[Título]])-1</f>
        <v>2473</v>
      </c>
      <c r="B2474" s="1" t="s">
        <v>369</v>
      </c>
      <c r="C2474" s="1" t="s">
        <v>1019</v>
      </c>
      <c r="D2474" s="1" t="s">
        <v>1126</v>
      </c>
      <c r="H2474" s="1" t="s">
        <v>529</v>
      </c>
      <c r="I2474" s="1" t="s">
        <v>2948</v>
      </c>
      <c r="J2474" s="1" t="s">
        <v>605</v>
      </c>
      <c r="M2474" s="15" t="s">
        <v>2130</v>
      </c>
      <c r="N2474" s="1" t="s">
        <v>4025</v>
      </c>
      <c r="O2474" s="15">
        <v>10</v>
      </c>
      <c r="P2474" s="15">
        <v>2001</v>
      </c>
      <c r="Q2474" s="15" t="str" cm="1">
        <f t="array" ref="Q247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4" s="15" t="str" cm="1">
        <f t="array" ref="R247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canciones/taize/in_manus_tuas.html</v>
      </c>
      <c r="T2474" s="1"/>
      <c r="U2474" s="1"/>
      <c r="V2474" s="32" t="s">
        <v>4208</v>
      </c>
      <c r="W247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data-nnew="Q45"&gt;&lt;a href="canciones/taize/in_manus_tuas.html"&gt;In manus tuas&lt;/a&gt;&lt;/li&gt;</v>
      </c>
      <c r="X2474" s="15" t="str">
        <f>_xlfn.TEXTBEFORE(_xlfn.TEXTAFTER(CantoralDB[[#This Row],[index.html]],"&gt;"),"&gt;")&amp;"&gt;"</f>
        <v>&lt;a href="canciones/taize/in_manus_tuas.html"&gt;</v>
      </c>
      <c r="Y2474"/>
      <c r="AC2474" s="1"/>
    </row>
    <row r="2475" spans="1:29" x14ac:dyDescent="0.3">
      <c r="A2475" s="1">
        <f>ROW(CantoralDB[[#This Row],[Título]])-1</f>
        <v>2474</v>
      </c>
      <c r="B2475" s="1" t="s">
        <v>4050</v>
      </c>
      <c r="C2475" s="1" t="s">
        <v>1019</v>
      </c>
      <c r="D2475" s="1" t="s">
        <v>1071</v>
      </c>
      <c r="H2475" s="1" t="s">
        <v>1024</v>
      </c>
      <c r="I2475" s="1" t="s">
        <v>2947</v>
      </c>
      <c r="J2475" s="1" t="s">
        <v>605</v>
      </c>
      <c r="M2475" s="15" t="s">
        <v>2130</v>
      </c>
      <c r="N2475" s="1" t="s">
        <v>4025</v>
      </c>
      <c r="O2475" s="15">
        <v>11</v>
      </c>
      <c r="P2475" s="15">
        <v>2001</v>
      </c>
      <c r="Q2475" s="15" t="str" cm="1">
        <f t="array" ref="Q247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5" s="15" t="str" cm="1">
        <f t="array" ref="R247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canciones/taize/jubilate_deo_omnis_terra.html</v>
      </c>
      <c r="T2475" s="1"/>
      <c r="U2475" s="1"/>
      <c r="V2475" s="32" t="s">
        <v>4209</v>
      </c>
      <c r="W247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data-nnew="Q51"&gt;&lt;a href="canciones/taize/jubilate_deo_omnis_terra.html"&gt;Jubilate Deo omnis terra&lt;/a&gt;&lt;/li&gt;</v>
      </c>
      <c r="X2475" s="15" t="str">
        <f>_xlfn.TEXTBEFORE(_xlfn.TEXTAFTER(CantoralDB[[#This Row],[index.html]],"&gt;"),"&gt;")&amp;"&gt;"</f>
        <v>&lt;a href="canciones/taize/jubilate_deo_omnis_terra.html"&gt;</v>
      </c>
      <c r="Y2475"/>
      <c r="AC2475" s="1"/>
    </row>
    <row r="2476" spans="1:29" x14ac:dyDescent="0.3">
      <c r="A2476" s="1">
        <f>ROW(CantoralDB[[#This Row],[Título]])-1</f>
        <v>2475</v>
      </c>
      <c r="B2476" s="1" t="s">
        <v>370</v>
      </c>
      <c r="C2476" s="1" t="s">
        <v>1019</v>
      </c>
      <c r="D2476" s="1" t="s">
        <v>1074</v>
      </c>
      <c r="H2476" s="1" t="s">
        <v>529</v>
      </c>
      <c r="I2476" s="1" t="s">
        <v>2948</v>
      </c>
      <c r="J2476" s="1" t="s">
        <v>605</v>
      </c>
      <c r="M2476" s="15" t="s">
        <v>2130</v>
      </c>
      <c r="N2476" s="1" t="s">
        <v>4025</v>
      </c>
      <c r="O2476" s="15">
        <v>12</v>
      </c>
      <c r="P2476" s="15">
        <v>2001</v>
      </c>
      <c r="Q2476" s="15" t="str" cm="1">
        <f t="array" ref="Q247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6" s="15" t="str" cm="1">
        <f t="array" ref="R247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canciones/taize/in_resurrectione_tua.html</v>
      </c>
      <c r="T2476" s="1"/>
      <c r="U2476" s="1"/>
      <c r="V2476" s="32" t="s">
        <v>4210</v>
      </c>
      <c r="W247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data-nnew="Q46"&gt;&lt;a href="canciones/taize/in_resurrectione_tua.html"&gt;In resurrectione tua&lt;/a&gt;&lt;/li&gt;</v>
      </c>
      <c r="X2476" s="15" t="str">
        <f>_xlfn.TEXTBEFORE(_xlfn.TEXTAFTER(CantoralDB[[#This Row],[index.html]],"&gt;"),"&gt;")&amp;"&gt;"</f>
        <v>&lt;a href="canciones/taize/in_resurrectione_tua.html"&gt;</v>
      </c>
      <c r="Y2476"/>
      <c r="AC2476" s="1"/>
    </row>
    <row r="2477" spans="1:29" x14ac:dyDescent="0.3">
      <c r="A2477" s="1">
        <f>ROW(CantoralDB[[#This Row],[Título]])-1</f>
        <v>2476</v>
      </c>
      <c r="B2477" s="1" t="s">
        <v>453</v>
      </c>
      <c r="C2477" s="1" t="s">
        <v>1019</v>
      </c>
      <c r="D2477" s="1" t="s">
        <v>1146</v>
      </c>
      <c r="H2477" s="1" t="s">
        <v>529</v>
      </c>
      <c r="I2477" s="1" t="s">
        <v>2947</v>
      </c>
      <c r="J2477" s="1" t="s">
        <v>605</v>
      </c>
      <c r="M2477" s="15" t="s">
        <v>2130</v>
      </c>
      <c r="N2477" s="1" t="s">
        <v>4025</v>
      </c>
      <c r="O2477" s="15">
        <v>13</v>
      </c>
      <c r="P2477" s="15">
        <v>2001</v>
      </c>
      <c r="Q2477" s="15" t="str" cm="1">
        <f t="array" ref="Q247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7" s="15" t="str" cm="1">
        <f t="array" ref="R247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canciones/taize/tu_sei_sorgente_viva.html</v>
      </c>
      <c r="T2477" s="1"/>
      <c r="U2477" s="1"/>
      <c r="V2477" s="32" t="s">
        <v>4211</v>
      </c>
      <c r="W247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data-nnew="Q76"&gt;&lt;a href="canciones/taize/tu_sei_sorgente_viva.html"&gt;Tu sei sorgente viva&lt;/a&gt;&lt;/li&gt;</v>
      </c>
      <c r="X2477" s="15" t="str">
        <f>_xlfn.TEXTBEFORE(_xlfn.TEXTAFTER(CantoralDB[[#This Row],[index.html]],"&gt;"),"&gt;")&amp;"&gt;"</f>
        <v>&lt;a href="canciones/taize/tu_sei_sorgente_viva.html"&gt;</v>
      </c>
      <c r="Y2477"/>
      <c r="AC2477" s="1"/>
    </row>
    <row r="2478" spans="1:29" x14ac:dyDescent="0.3">
      <c r="A2478" s="1">
        <f>ROW(CantoralDB[[#This Row],[Título]])-1</f>
        <v>2477</v>
      </c>
      <c r="B2478" s="1" t="s">
        <v>397</v>
      </c>
      <c r="C2478" s="1"/>
      <c r="J2478" s="1"/>
      <c r="M2478" s="15" t="s">
        <v>2130</v>
      </c>
      <c r="N2478" s="1" t="s">
        <v>4025</v>
      </c>
      <c r="O2478" s="15">
        <v>14</v>
      </c>
      <c r="P2478" s="15">
        <v>2001</v>
      </c>
      <c r="Q2478" s="15" t="str" cm="1">
        <f t="array" ref="Q247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8" s="15" t="str" cm="1">
        <f t="array" ref="R247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canciones/taize/kyrie_19.html</v>
      </c>
      <c r="T2478" s="1"/>
      <c r="U2478" s="1"/>
      <c r="V2478" s="32" t="s">
        <v>4212</v>
      </c>
      <c r="W247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href="canciones/taize/kyrie_19.html"&gt;Kyrie 19&lt;/a&gt;&lt;/li&gt;</v>
      </c>
      <c r="X2478" s="15" t="str">
        <f>_xlfn.TEXTBEFORE(_xlfn.TEXTAFTER(CantoralDB[[#This Row],[index.html]],"&gt;"),"&gt;")&amp;"&gt;"</f>
        <v>&lt;a href="canciones/taize/kyrie_19.html"&gt;</v>
      </c>
      <c r="Y2478"/>
      <c r="AC2478" s="1"/>
    </row>
    <row r="2479" spans="1:29" x14ac:dyDescent="0.3">
      <c r="A2479" s="1">
        <f>ROW(CantoralDB[[#This Row],[Título]])-1</f>
        <v>2478</v>
      </c>
      <c r="B2479" s="1" t="s">
        <v>4027</v>
      </c>
      <c r="C2479" s="1"/>
      <c r="J2479" s="1"/>
      <c r="M2479" s="15" t="s">
        <v>2130</v>
      </c>
      <c r="N2479" s="1" t="s">
        <v>4025</v>
      </c>
      <c r="O2479" s="15">
        <v>15</v>
      </c>
      <c r="P2479" s="15">
        <v>2001</v>
      </c>
      <c r="Q2479" s="15" t="str" cm="1">
        <f t="array" ref="Q247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79" s="15" t="str" cm="1">
        <f t="array" ref="R247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7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canciones/taize/nothing_can_ever_come_between_us.html</v>
      </c>
      <c r="T2479" s="1"/>
      <c r="U2479" s="1"/>
      <c r="V2479" s="32" t="s">
        <v>4213</v>
      </c>
      <c r="W247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href="canciones/taize/nothing_can_ever_come_between_us.html"&gt;Nothing can ever come between us&lt;/a&gt;&lt;/li&gt;</v>
      </c>
      <c r="X2479" s="15" t="str">
        <f>_xlfn.TEXTBEFORE(_xlfn.TEXTAFTER(CantoralDB[[#This Row],[index.html]],"&gt;"),"&gt;")&amp;"&gt;"</f>
        <v>&lt;a href="canciones/taize/nothing_can_ever_come_between_us.html"&gt;</v>
      </c>
      <c r="Y2479"/>
      <c r="AC2479" s="1"/>
    </row>
    <row r="2480" spans="1:29" x14ac:dyDescent="0.3">
      <c r="A2480" s="1">
        <f>ROW(CantoralDB[[#This Row],[Título]])-1</f>
        <v>2479</v>
      </c>
      <c r="B2480" s="1" t="s">
        <v>400</v>
      </c>
      <c r="C2480" s="1" t="s">
        <v>1019</v>
      </c>
      <c r="D2480" s="1" t="s">
        <v>1134</v>
      </c>
      <c r="H2480" s="1" t="s">
        <v>1026</v>
      </c>
      <c r="I2480" s="1" t="s">
        <v>2947</v>
      </c>
      <c r="J2480" s="1" t="s">
        <v>605</v>
      </c>
      <c r="M2480" s="15" t="s">
        <v>2130</v>
      </c>
      <c r="N2480" s="1" t="s">
        <v>4025</v>
      </c>
      <c r="O2480" s="15">
        <v>16</v>
      </c>
      <c r="P2480" s="15">
        <v>2001</v>
      </c>
      <c r="Q2480" s="15" t="str" cm="1">
        <f t="array" ref="Q248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0" s="15" t="str" cm="1">
        <f t="array" ref="R248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canciones/taize/l’ajuda_em_vindrà.html</v>
      </c>
      <c r="T2480" s="1"/>
      <c r="U2480" s="1"/>
      <c r="V2480" s="32" t="s">
        <v>4214</v>
      </c>
      <c r="W248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data-nnew="Q57"&gt;&lt;a href="canciones/taize/l’ajuda_em_vindrà.html"&gt;L’ajuda em vindrà&lt;/a&gt;&lt;/li&gt;</v>
      </c>
      <c r="X2480" s="15" t="str">
        <f>_xlfn.TEXTBEFORE(_xlfn.TEXTAFTER(CantoralDB[[#This Row],[index.html]],"&gt;"),"&gt;")&amp;"&gt;"</f>
        <v>&lt;a href="canciones/taize/l’ajuda_em_vindrà.html"&gt;</v>
      </c>
      <c r="Y2480"/>
      <c r="AC2480" s="1"/>
    </row>
    <row r="2481" spans="1:29" x14ac:dyDescent="0.3">
      <c r="A2481" s="1">
        <f>ROW(CantoralDB[[#This Row],[Título]])-1</f>
        <v>2480</v>
      </c>
      <c r="B2481" s="1" t="s">
        <v>312</v>
      </c>
      <c r="C2481" s="1"/>
      <c r="J2481" s="1"/>
      <c r="M2481" s="15" t="s">
        <v>2130</v>
      </c>
      <c r="N2481" s="1" t="s">
        <v>4025</v>
      </c>
      <c r="O2481" s="15">
        <v>17</v>
      </c>
      <c r="P2481" s="15">
        <v>2001</v>
      </c>
      <c r="Q2481" s="15" t="str" cm="1">
        <f t="array" ref="Q248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1" s="15" t="str" cm="1">
        <f t="array" ref="R248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canciones/taize/bendigo_al_señor.html</v>
      </c>
      <c r="T2481" s="1"/>
      <c r="U2481" s="1"/>
      <c r="V2481" s="32" t="s">
        <v>4215</v>
      </c>
      <c r="W248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original"&gt;&lt;a href="canciones/taize/bendigo_al_señor.html"&gt;Bendigo al Señor&lt;/a&gt;&lt;/li&gt;</v>
      </c>
      <c r="X2481" s="15" t="str">
        <f>_xlfn.TEXTBEFORE(_xlfn.TEXTAFTER(CantoralDB[[#This Row],[index.html]],"&gt;"),"&gt;")&amp;"&gt;"</f>
        <v>&lt;a href="canciones/taize/bendigo_al_señor.html"&gt;</v>
      </c>
      <c r="Y2481"/>
      <c r="AC2481" s="1"/>
    </row>
    <row r="2482" spans="1:29" x14ac:dyDescent="0.3">
      <c r="A2482" s="1">
        <f>ROW(CantoralDB[[#This Row],[Título]])-1</f>
        <v>2481</v>
      </c>
      <c r="B2482" s="1" t="s">
        <v>784</v>
      </c>
      <c r="C2482" s="1" t="s">
        <v>1019</v>
      </c>
      <c r="D2482" s="1" t="s">
        <v>1080</v>
      </c>
      <c r="H2482" s="1" t="s">
        <v>1027</v>
      </c>
      <c r="J2482" s="1" t="s">
        <v>605</v>
      </c>
      <c r="M2482" s="15" t="s">
        <v>2130</v>
      </c>
      <c r="N2482" s="1" t="s">
        <v>4025</v>
      </c>
      <c r="O2482" s="15">
        <v>18</v>
      </c>
      <c r="P2482" s="15">
        <v>2001</v>
      </c>
      <c r="Q2482" s="15" t="str" cm="1">
        <f t="array" ref="Q248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2" s="15" t="str" cm="1">
        <f t="array" ref="R248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canciones/taize/alleluia_96.html</v>
      </c>
      <c r="T2482" s="1"/>
      <c r="U2482" s="1"/>
      <c r="V2482" s="32" t="s">
        <v>4216</v>
      </c>
      <c r="W248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data-nnew="Q09"&gt;&lt;a href="canciones/taize/alleluia_96.html"&gt;Alleluia 96&lt;/a&gt;&lt;/li&gt;</v>
      </c>
      <c r="X2482" s="15" t="str">
        <f>_xlfn.TEXTBEFORE(_xlfn.TEXTAFTER(CantoralDB[[#This Row],[index.html]],"&gt;"),"&gt;")&amp;"&gt;"</f>
        <v>&lt;a href="canciones/taize/alleluia_96.html"&gt;</v>
      </c>
      <c r="Y2482"/>
      <c r="AC2482" s="1"/>
    </row>
    <row r="2483" spans="1:29" x14ac:dyDescent="0.3">
      <c r="A2483" s="1">
        <f>ROW(CantoralDB[[#This Row],[Título]])-1</f>
        <v>2482</v>
      </c>
      <c r="B2483" s="1" t="s">
        <v>470</v>
      </c>
      <c r="C2483" s="1" t="s">
        <v>1019</v>
      </c>
      <c r="D2483" s="1" t="s">
        <v>1072</v>
      </c>
      <c r="H2483" s="1" t="s">
        <v>1024</v>
      </c>
      <c r="I2483" s="1" t="s">
        <v>2948</v>
      </c>
      <c r="J2483" s="1" t="s">
        <v>605</v>
      </c>
      <c r="M2483" s="15" t="s">
        <v>2130</v>
      </c>
      <c r="N2483" s="1" t="s">
        <v>4025</v>
      </c>
      <c r="O2483" s="15">
        <v>19</v>
      </c>
      <c r="P2483" s="15">
        <v>2001</v>
      </c>
      <c r="Q2483" s="15" t="str" cm="1">
        <f t="array" ref="Q248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3" s="15" t="str" cm="1">
        <f t="array" ref="R248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canciones/taize/wysławiajcie_pana.html</v>
      </c>
      <c r="T2483" s="1"/>
      <c r="U2483" s="1"/>
      <c r="V2483" s="32" t="s">
        <v>4217</v>
      </c>
      <c r="W248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data-nnew="Q82"&gt;&lt;a href="canciones/taize/wysławiajcie_pana.html"&gt;Wysławiajcie Pana&lt;/a&gt;&lt;/li&gt;</v>
      </c>
      <c r="X2483" s="15" t="str">
        <f>_xlfn.TEXTBEFORE(_xlfn.TEXTAFTER(CantoralDB[[#This Row],[index.html]],"&gt;"),"&gt;")&amp;"&gt;"</f>
        <v>&lt;a href="canciones/taize/wysławiajcie_pana.html"&gt;</v>
      </c>
      <c r="Y2483"/>
      <c r="AC2483" s="1"/>
    </row>
    <row r="2484" spans="1:29" x14ac:dyDescent="0.3">
      <c r="A2484" s="1">
        <f>ROW(CantoralDB[[#This Row],[Título]])-1</f>
        <v>2483</v>
      </c>
      <c r="B2484" s="1" t="s">
        <v>783</v>
      </c>
      <c r="C2484" s="1" t="s">
        <v>1019</v>
      </c>
      <c r="D2484" s="1" t="s">
        <v>1079</v>
      </c>
      <c r="H2484" s="1" t="s">
        <v>472</v>
      </c>
      <c r="I2484" s="1" t="s">
        <v>2945</v>
      </c>
      <c r="J2484" s="1" t="s">
        <v>605</v>
      </c>
      <c r="M2484" s="15" t="s">
        <v>2130</v>
      </c>
      <c r="O2484" s="15"/>
      <c r="P2484" s="15"/>
      <c r="Q2484" s="15" t="str" cm="1">
        <f t="array" ref="Q248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4" s="15" t="str" cm="1">
        <f t="array" ref="R248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canciones/taize/alleluia_94.html</v>
      </c>
      <c r="T2484" s="1"/>
      <c r="U2484" s="1"/>
      <c r="V2484" s="32" t="s">
        <v>4218</v>
      </c>
      <c r="W248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data-nnew="Q08"&gt;&lt;a href="canciones/taize/alleluia_94.html"&gt;Alleluia 94&lt;/a&gt;&lt;/li&gt;</v>
      </c>
      <c r="X2484" s="15" t="str">
        <f>_xlfn.TEXTBEFORE(_xlfn.TEXTAFTER(CantoralDB[[#This Row],[index.html]],"&gt;"),"&gt;")&amp;"&gt;"</f>
        <v>&lt;a href="canciones/taize/alleluia_94.html"&gt;</v>
      </c>
      <c r="Y2484"/>
      <c r="AC2484" s="1"/>
    </row>
    <row r="2485" spans="1:29" x14ac:dyDescent="0.3">
      <c r="A2485" s="1">
        <f>ROW(CantoralDB[[#This Row],[Título]])-1</f>
        <v>2484</v>
      </c>
      <c r="B2485" s="1" t="s">
        <v>785</v>
      </c>
      <c r="C2485" s="1" t="s">
        <v>1019</v>
      </c>
      <c r="D2485" s="1" t="s">
        <v>1081</v>
      </c>
      <c r="H2485" s="1" t="s">
        <v>1027</v>
      </c>
      <c r="I2485" s="1" t="s">
        <v>2947</v>
      </c>
      <c r="J2485" s="1" t="s">
        <v>605</v>
      </c>
      <c r="M2485" s="15" t="s">
        <v>2130</v>
      </c>
      <c r="O2485" s="15"/>
      <c r="P2485" s="15"/>
      <c r="Q2485" s="15" t="str" cm="1">
        <f t="array" ref="Q248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5" s="15" t="str" cm="1">
        <f t="array" ref="R248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canciones/taize/alleluia_97.html</v>
      </c>
      <c r="T2485" s="1"/>
      <c r="U2485" s="1"/>
      <c r="V2485" s="32" t="s">
        <v>4219</v>
      </c>
      <c r="W248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data-nnew="Q10"&gt;&lt;a href="canciones/taize/alleluia_97.html"&gt;Alleluia 97&lt;/a&gt;&lt;/li&gt;</v>
      </c>
      <c r="X2485" s="15" t="str">
        <f>_xlfn.TEXTBEFORE(_xlfn.TEXTAFTER(CantoralDB[[#This Row],[index.html]],"&gt;"),"&gt;")&amp;"&gt;"</f>
        <v>&lt;a href="canciones/taize/alleluia_97.html"&gt;</v>
      </c>
      <c r="Y2485"/>
      <c r="AC2485" s="1"/>
    </row>
    <row r="2486" spans="1:29" x14ac:dyDescent="0.3">
      <c r="A2486" s="1">
        <f>ROW(CantoralDB[[#This Row],[Título]])-1</f>
        <v>2485</v>
      </c>
      <c r="B2486" s="1" t="s">
        <v>385</v>
      </c>
      <c r="C2486" s="1" t="s">
        <v>1019</v>
      </c>
      <c r="D2486" s="1" t="s">
        <v>1130</v>
      </c>
      <c r="H2486" s="1" t="s">
        <v>1027</v>
      </c>
      <c r="J2486" s="1" t="s">
        <v>605</v>
      </c>
      <c r="M2486" s="15" t="s">
        <v>2130</v>
      </c>
      <c r="O2486" s="15"/>
      <c r="P2486" s="15"/>
      <c r="Q2486" s="15" t="str" cm="1">
        <f t="array" ref="Q248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6" s="15" t="str" cm="1">
        <f t="array" ref="R248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canciones/taize/kyrie_1.html</v>
      </c>
      <c r="T2486" s="1"/>
      <c r="U2486" s="1"/>
      <c r="V2486" s="32" t="s">
        <v>4220</v>
      </c>
      <c r="W248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data-nnew="Q53"&gt;&lt;a href="canciones/taize/kyrie_1.html"&gt;Kyrie 1&lt;/a&gt;&lt;/li&gt;</v>
      </c>
      <c r="X2486" s="15" t="str">
        <f>_xlfn.TEXTBEFORE(_xlfn.TEXTAFTER(CantoralDB[[#This Row],[index.html]],"&gt;"),"&gt;")&amp;"&gt;"</f>
        <v>&lt;a href="canciones/taize/kyrie_1.html"&gt;</v>
      </c>
      <c r="Y2486"/>
      <c r="AC2486" s="1"/>
    </row>
    <row r="2487" spans="1:29" x14ac:dyDescent="0.3">
      <c r="A2487" s="1">
        <f>ROW(CantoralDB[[#This Row],[Título]])-1</f>
        <v>2486</v>
      </c>
      <c r="B2487" s="1" t="s">
        <v>389</v>
      </c>
      <c r="C2487" s="1" t="s">
        <v>1019</v>
      </c>
      <c r="D2487" s="1" t="s">
        <v>1133</v>
      </c>
      <c r="H2487" s="1" t="s">
        <v>529</v>
      </c>
      <c r="I2487" s="1" t="s">
        <v>2948</v>
      </c>
      <c r="J2487" s="1" t="s">
        <v>605</v>
      </c>
      <c r="M2487" s="15" t="s">
        <v>2130</v>
      </c>
      <c r="O2487" s="15"/>
      <c r="P2487" s="15"/>
      <c r="Q2487" s="15" t="str" cm="1">
        <f t="array" ref="Q248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7" s="15" t="str" cm="1">
        <f t="array" ref="R248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canciones/taize/kyrie_8.html</v>
      </c>
      <c r="T2487" s="1"/>
      <c r="U2487" s="1"/>
      <c r="V2487" s="32" t="s">
        <v>4221</v>
      </c>
      <c r="W248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data-nnew="Q55"&gt;&lt;a href="canciones/taize/kyrie_8.html"&gt;Kyrie 8&lt;/a&gt;&lt;/li&gt;</v>
      </c>
      <c r="X2487" s="15" t="str">
        <f>_xlfn.TEXTBEFORE(_xlfn.TEXTAFTER(CantoralDB[[#This Row],[index.html]],"&gt;"),"&gt;")&amp;"&gt;"</f>
        <v>&lt;a href="canciones/taize/kyrie_8.html"&gt;</v>
      </c>
      <c r="Y2487"/>
      <c r="AC2487" s="1"/>
    </row>
    <row r="2488" spans="1:29" x14ac:dyDescent="0.3">
      <c r="A2488" s="1">
        <f>ROW(CantoralDB[[#This Row],[Título]])-1</f>
        <v>2487</v>
      </c>
      <c r="B2488" s="1" t="s">
        <v>424</v>
      </c>
      <c r="C2488" s="1" t="s">
        <v>1019</v>
      </c>
      <c r="D2488" s="1" t="s">
        <v>1141</v>
      </c>
      <c r="H2488" s="1" t="s">
        <v>529</v>
      </c>
      <c r="J2488" s="1" t="s">
        <v>605</v>
      </c>
      <c r="M2488" s="15" t="s">
        <v>2130</v>
      </c>
      <c r="O2488" s="15"/>
      <c r="P2488" s="15"/>
      <c r="Q2488" s="15" t="str" cm="1">
        <f t="array" ref="Q248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8" s="15" t="str" cm="1">
        <f t="array" ref="R248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canciones/taize/para_mim_ser_feliz.html</v>
      </c>
      <c r="T2488" s="1"/>
      <c r="U2488" s="1"/>
      <c r="V2488" s="32" t="s">
        <v>4222</v>
      </c>
      <c r="W248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data-nnew="Q65"&gt;&lt;a href="canciones/taize/para_mim_ser_feliz.html"&gt;Para mim, ser feliz&lt;/a&gt;&lt;/li&gt;</v>
      </c>
      <c r="X2488" s="15" t="str">
        <f>_xlfn.TEXTBEFORE(_xlfn.TEXTAFTER(CantoralDB[[#This Row],[index.html]],"&gt;"),"&gt;")&amp;"&gt;"</f>
        <v>&lt;a href="canciones/taize/para_mim_ser_feliz.html"&gt;</v>
      </c>
      <c r="Y2488"/>
      <c r="AC2488" s="1"/>
    </row>
    <row r="2489" spans="1:29" x14ac:dyDescent="0.3">
      <c r="A2489" s="1">
        <f>ROW(CantoralDB[[#This Row],[Título]])-1</f>
        <v>2488</v>
      </c>
      <c r="B2489" s="1" t="s">
        <v>452</v>
      </c>
      <c r="C2489" s="1" t="s">
        <v>1019</v>
      </c>
      <c r="D2489" s="1" t="s">
        <v>1147</v>
      </c>
      <c r="H2489" s="1" t="s">
        <v>1025</v>
      </c>
      <c r="J2489" s="1" t="s">
        <v>605</v>
      </c>
      <c r="M2489" s="15" t="s">
        <v>2130</v>
      </c>
      <c r="O2489" s="15"/>
      <c r="P2489" s="15"/>
      <c r="Q2489" s="15" t="str" cm="1">
        <f t="array" ref="Q248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taize</v>
      </c>
      <c r="R2489" s="15" t="str" cm="1">
        <f t="array" ref="R248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taize_orig</v>
      </c>
      <c r="S248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canciones/taize/tu_palabra_señor.html</v>
      </c>
      <c r="T2489" s="1" t="s">
        <v>982</v>
      </c>
      <c r="U2489" s="1"/>
      <c r="V2489" s="32" t="s">
        <v>4223</v>
      </c>
      <c r="W248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data-author="Taizé original" data-momento="TaizéORIG" data-nnew="Q75"&gt;&lt;a href="canciones/taize/tu_palabra_señor.html"&gt;Tu palabra, Señor&lt;/a&gt;&lt;/li&gt;</v>
      </c>
      <c r="X2489" s="15" t="str">
        <f>_xlfn.TEXTBEFORE(_xlfn.TEXTAFTER(CantoralDB[[#This Row],[index.html]],"&gt;"),"&gt;")&amp;"&gt;"</f>
        <v>&lt;a href="canciones/taize/tu_palabra_señor.html"&gt;</v>
      </c>
      <c r="Y2489"/>
      <c r="AC2489" s="1"/>
    </row>
    <row r="2490" spans="1:29" x14ac:dyDescent="0.3">
      <c r="A2490" s="1">
        <f>ROW(CantoralDB[[#This Row],[Título]])-1</f>
        <v>2489</v>
      </c>
      <c r="B2490" s="1" t="s">
        <v>173</v>
      </c>
      <c r="C2490" s="1" t="s">
        <v>990</v>
      </c>
      <c r="D2490" s="1" t="s">
        <v>681</v>
      </c>
      <c r="G2490" s="1" t="s">
        <v>208</v>
      </c>
      <c r="H2490" s="1" t="s">
        <v>1027</v>
      </c>
      <c r="J2490" s="1" t="s">
        <v>605</v>
      </c>
      <c r="M2490" s="15" t="s">
        <v>481</v>
      </c>
      <c r="N2490" s="1" t="s">
        <v>5032</v>
      </c>
      <c r="O2490" s="15"/>
      <c r="P2490" s="15">
        <v>2018</v>
      </c>
      <c r="Q2490" s="15" t="str" cm="1">
        <f t="array" ref="Q249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0" s="15" t="str" cm="1">
        <f t="array" ref="R249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canciones/toño_casado/bienaventuranzas_(33_el_musical).html</v>
      </c>
      <c r="T2490" s="1" t="s">
        <v>806</v>
      </c>
      <c r="U2490" s="1"/>
      <c r="V2490" s="32" t="s">
        <v>3679</v>
      </c>
      <c r="W249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data-momento="Comunión" data-nnew="K11"&gt;&lt;a href="canciones/toño_casado/bienaventuranzas_(33_el_musical).html"&gt;Bienaventuranzas (33 El Musical)&lt;/a&gt;&lt;/li&gt;</v>
      </c>
      <c r="X2490" s="15" t="str">
        <f>_xlfn.TEXTBEFORE(_xlfn.TEXTAFTER(CantoralDB[[#This Row],[index.html]],"&gt;"),"&gt;")&amp;"&gt;"</f>
        <v>&lt;a href="canciones/toño_casado/bienaventuranzas_(33_el_musical).html"&gt;</v>
      </c>
      <c r="Y2490"/>
      <c r="AC2490" s="1"/>
    </row>
    <row r="2491" spans="1:29" x14ac:dyDescent="0.3">
      <c r="A2491" s="1">
        <f>ROW(CantoralDB[[#This Row],[Título]])-1</f>
        <v>2490</v>
      </c>
      <c r="B2491" s="1" t="s">
        <v>178</v>
      </c>
      <c r="C2491" s="1" t="s">
        <v>218</v>
      </c>
      <c r="D2491" s="1" t="s">
        <v>1409</v>
      </c>
      <c r="G2491" s="1" t="s">
        <v>208</v>
      </c>
      <c r="H2491" s="1" t="s">
        <v>529</v>
      </c>
      <c r="J2491" s="1" t="s">
        <v>605</v>
      </c>
      <c r="M2491" s="15" t="s">
        <v>481</v>
      </c>
      <c r="N2491" s="1" t="s">
        <v>5032</v>
      </c>
      <c r="O2491" s="15"/>
      <c r="P2491" s="15">
        <v>2018</v>
      </c>
      <c r="Q2491" s="15" t="str" cm="1">
        <f t="array" ref="Q249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1" s="15" t="str" cm="1">
        <f t="array" ref="R249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canciones/toño_casado/el_espiritu_de_dios_(33_el_musical).html</v>
      </c>
      <c r="T2491" s="1" t="s">
        <v>820</v>
      </c>
      <c r="U2491" s="1"/>
      <c r="V2491" s="32" t="s">
        <v>5031</v>
      </c>
      <c r="W249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data-momento="Espíritu" data-nnew="N02"&gt;&lt;a href="canciones/toño_casado/el_espiritu_de_dios_(33_el_musical).html"&gt;El Espíritu de Dios (33 El Musical)&lt;/a&gt;&lt;/li&gt;</v>
      </c>
      <c r="X2491" s="15" t="str">
        <f>_xlfn.TEXTBEFORE(_xlfn.TEXTAFTER(CantoralDB[[#This Row],[index.html]],"&gt;"),"&gt;")&amp;"&gt;"</f>
        <v>&lt;a href="canciones/toño_casado/el_espiritu_de_dios_(33_el_musical).html"&gt;</v>
      </c>
      <c r="Y2491"/>
      <c r="AC2491" s="1"/>
    </row>
    <row r="2492" spans="1:29" x14ac:dyDescent="0.3">
      <c r="A2492" s="1">
        <f>ROW(CantoralDB[[#This Row],[Título]])-1</f>
        <v>2491</v>
      </c>
      <c r="B2492" s="1" t="s">
        <v>202</v>
      </c>
      <c r="C2492" s="1" t="s">
        <v>190</v>
      </c>
      <c r="D2492" s="1" t="s">
        <v>757</v>
      </c>
      <c r="G2492" s="1" t="s">
        <v>208</v>
      </c>
      <c r="H2492" s="1" t="s">
        <v>1026</v>
      </c>
      <c r="J2492" s="1" t="s">
        <v>605</v>
      </c>
      <c r="M2492" s="15" t="s">
        <v>481</v>
      </c>
      <c r="N2492" s="1" t="s">
        <v>1840</v>
      </c>
      <c r="O2492" s="15">
        <v>1</v>
      </c>
      <c r="P2492" s="15">
        <v>2003</v>
      </c>
      <c r="Q2492" s="15" t="str" cm="1">
        <f t="array" ref="Q249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2" s="15" t="str" cm="1">
        <f t="array" ref="R249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canciones/toño_casado/ven_a_la_fiesta.html</v>
      </c>
      <c r="T2492" s="1"/>
      <c r="U2492" s="1"/>
      <c r="V2492" s="32" t="s">
        <v>3658</v>
      </c>
      <c r="W249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data-momento="Entrada" data-nnew="A40"&gt;&lt;a href="canciones/toño_casado/ven_a_la_fiesta.html"&gt;Ven a la fiesta&lt;/a&gt;&lt;/li&gt;</v>
      </c>
      <c r="X2492" s="15" t="str">
        <f>_xlfn.TEXTBEFORE(_xlfn.TEXTAFTER(CantoralDB[[#This Row],[index.html]],"&gt;"),"&gt;")&amp;"&gt;"</f>
        <v>&lt;a href="canciones/toño_casado/ven_a_la_fiesta.html"&gt;</v>
      </c>
      <c r="Y2492"/>
      <c r="AC2492" s="1"/>
    </row>
    <row r="2493" spans="1:29" x14ac:dyDescent="0.3">
      <c r="A2493" s="1">
        <f>ROW(CantoralDB[[#This Row],[Título]])-1</f>
        <v>2492</v>
      </c>
      <c r="B2493" s="1" t="s">
        <v>1848</v>
      </c>
      <c r="C2493" s="1"/>
      <c r="H2493" s="1" t="s">
        <v>1024</v>
      </c>
      <c r="J2493" s="1" t="s">
        <v>605</v>
      </c>
      <c r="M2493" s="15" t="s">
        <v>481</v>
      </c>
      <c r="N2493" s="1" t="s">
        <v>1840</v>
      </c>
      <c r="O2493" s="15">
        <v>2</v>
      </c>
      <c r="P2493" s="15">
        <v>2003</v>
      </c>
      <c r="Q2493" s="15" t="str" cm="1">
        <f t="array" ref="Q249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3" s="15" t="str" cm="1">
        <f t="array" ref="R249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49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canciones/toño_casado/señor_ten_piedad_i.html</v>
      </c>
      <c r="T2493" s="1"/>
      <c r="U2493" s="1"/>
      <c r="V2493" s="32" t="s">
        <v>3660</v>
      </c>
      <c r="W249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href="canciones/toño_casado/señor_ten_piedad_i.html"&gt;Señor, ten piedad I&lt;/a&gt;&lt;/li&gt;</v>
      </c>
      <c r="X2493" s="15" t="str">
        <f>_xlfn.TEXTBEFORE(_xlfn.TEXTAFTER(CantoralDB[[#This Row],[index.html]],"&gt;"),"&gt;")&amp;"&gt;"</f>
        <v>&lt;a href="canciones/toño_casado/señor_ten_piedad_i.html"&gt;</v>
      </c>
      <c r="Y2493"/>
      <c r="AC2493" s="1"/>
    </row>
    <row r="2494" spans="1:29" x14ac:dyDescent="0.3">
      <c r="A2494" s="1">
        <f>ROW(CantoralDB[[#This Row],[Título]])-1</f>
        <v>2493</v>
      </c>
      <c r="B2494" s="1" t="s">
        <v>238</v>
      </c>
      <c r="C2494" s="1" t="s">
        <v>192</v>
      </c>
      <c r="D2494" s="1" t="s">
        <v>1422</v>
      </c>
      <c r="G2494" s="1" t="s">
        <v>219</v>
      </c>
      <c r="H2494" s="1" t="s">
        <v>1024</v>
      </c>
      <c r="I2494" s="1" t="s">
        <v>2948</v>
      </c>
      <c r="J2494" s="1" t="s">
        <v>605</v>
      </c>
      <c r="M2494" s="15" t="s">
        <v>481</v>
      </c>
      <c r="N2494" s="1" t="s">
        <v>1840</v>
      </c>
      <c r="O2494" s="15">
        <v>3</v>
      </c>
      <c r="P2494" s="15">
        <v>2003</v>
      </c>
      <c r="Q2494" s="15" t="str" cm="1">
        <f t="array" ref="Q249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4" s="15" t="str" cm="1">
        <f t="array" ref="R249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canciones/toño_casado/gloria_gloria_a_dios.html</v>
      </c>
      <c r="T2494" s="1"/>
      <c r="U2494" s="1"/>
      <c r="V2494" s="32" t="s">
        <v>3662</v>
      </c>
      <c r="W249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data-momento="Gloria" data-nnew="C05"&gt;&lt;a href="canciones/toño_casado/gloria_gloria_a_dios.html"&gt;Gloria, gloria a Dios&lt;/a&gt;&lt;/li&gt;</v>
      </c>
      <c r="X2494" s="15" t="str">
        <f>_xlfn.TEXTBEFORE(_xlfn.TEXTAFTER(CantoralDB[[#This Row],[index.html]],"&gt;"),"&gt;")&amp;"&gt;"</f>
        <v>&lt;a href="canciones/toño_casado/gloria_gloria_a_dios.html"&gt;</v>
      </c>
      <c r="Y2494"/>
      <c r="AC2494" s="1"/>
    </row>
    <row r="2495" spans="1:29" x14ac:dyDescent="0.3">
      <c r="A2495" s="1">
        <f>ROW(CantoralDB[[#This Row],[Título]])-1</f>
        <v>2494</v>
      </c>
      <c r="B2495" s="1" t="s">
        <v>239</v>
      </c>
      <c r="C2495" s="1" t="s">
        <v>990</v>
      </c>
      <c r="D2495" s="1" t="s">
        <v>994</v>
      </c>
      <c r="G2495" s="1" t="s">
        <v>219</v>
      </c>
      <c r="H2495" s="1" t="s">
        <v>1024</v>
      </c>
      <c r="J2495" s="1" t="s">
        <v>605</v>
      </c>
      <c r="M2495" s="15" t="s">
        <v>481</v>
      </c>
      <c r="N2495" s="1" t="s">
        <v>1840</v>
      </c>
      <c r="O2495" s="15">
        <v>4</v>
      </c>
      <c r="P2495" s="15">
        <v>2003</v>
      </c>
      <c r="Q2495" s="15" t="str" cm="1">
        <f t="array" ref="Q249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5" s="15" t="str" cm="1">
        <f t="array" ref="R249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canciones/toño_casado/que_tu_palabra_nos_cambie_el_corazon.html</v>
      </c>
      <c r="T2495" s="1"/>
      <c r="U2495" s="1"/>
      <c r="V2495" s="32" t="s">
        <v>3656</v>
      </c>
      <c r="W249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data-momento="Comunión" data-nnew="K60"&gt;&lt;a href="canciones/toño_casado/que_tu_palabra_nos_cambie_el_corazon.html"&gt;Que tu palabra nos cambie el corazón&lt;/a&gt;&lt;/li&gt;</v>
      </c>
      <c r="X2495" s="15" t="str">
        <f>_xlfn.TEXTBEFORE(_xlfn.TEXTAFTER(CantoralDB[[#This Row],[index.html]],"&gt;"),"&gt;")&amp;"&gt;"</f>
        <v>&lt;a href="canciones/toño_casado/que_tu_palabra_nos_cambie_el_corazon.html"&gt;</v>
      </c>
      <c r="Y2495"/>
      <c r="AC2495" s="1"/>
    </row>
    <row r="2496" spans="1:29" x14ac:dyDescent="0.3">
      <c r="A2496" s="1">
        <f>ROW(CantoralDB[[#This Row],[Título]])-1</f>
        <v>2495</v>
      </c>
      <c r="B2496" s="1" t="s">
        <v>1850</v>
      </c>
      <c r="C2496" s="1"/>
      <c r="H2496" s="1" t="s">
        <v>1026</v>
      </c>
      <c r="J2496" s="1" t="s">
        <v>605</v>
      </c>
      <c r="M2496" s="15" t="s">
        <v>481</v>
      </c>
      <c r="N2496" s="1" t="s">
        <v>1840</v>
      </c>
      <c r="O2496" s="15">
        <v>5</v>
      </c>
      <c r="P2496" s="15">
        <v>2003</v>
      </c>
      <c r="Q2496" s="15" t="str" cm="1">
        <f t="array" ref="Q249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6" s="15" t="str" cm="1">
        <f t="array" ref="R249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49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canciones/toño_casado/aleluya_i.html</v>
      </c>
      <c r="T2496" s="1"/>
      <c r="U2496" s="1"/>
      <c r="V2496" s="32" t="s">
        <v>3661</v>
      </c>
      <c r="W249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href="canciones/toño_casado/aleluya_i.html"&gt;Aleluya I&lt;/a&gt;&lt;/li&gt;</v>
      </c>
      <c r="X2496" s="15" t="str">
        <f>_xlfn.TEXTBEFORE(_xlfn.TEXTAFTER(CantoralDB[[#This Row],[index.html]],"&gt;"),"&gt;")&amp;"&gt;"</f>
        <v>&lt;a href="canciones/toño_casado/aleluya_i.html"&gt;</v>
      </c>
      <c r="Y2496"/>
      <c r="AC2496" s="1"/>
    </row>
    <row r="2497" spans="1:29" x14ac:dyDescent="0.3">
      <c r="A2497" s="1">
        <f>ROW(CantoralDB[[#This Row],[Título]])-1</f>
        <v>2496</v>
      </c>
      <c r="B2497" s="1" t="s">
        <v>1841</v>
      </c>
      <c r="C2497" s="1" t="s">
        <v>194</v>
      </c>
      <c r="D2497" s="1" t="s">
        <v>1431</v>
      </c>
      <c r="G2497" s="1" t="s">
        <v>208</v>
      </c>
      <c r="H2497" s="1" t="s">
        <v>1024</v>
      </c>
      <c r="J2497" s="1" t="s">
        <v>605</v>
      </c>
      <c r="M2497" s="15" t="s">
        <v>481</v>
      </c>
      <c r="N2497" s="1" t="s">
        <v>1840</v>
      </c>
      <c r="O2497" s="15">
        <v>6</v>
      </c>
      <c r="P2497" s="15">
        <v>2003</v>
      </c>
      <c r="Q2497" s="15" t="str" cm="1">
        <f t="array" ref="Q249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7" s="15" t="str" cm="1">
        <f t="array" ref="R249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canciones/toño_casado/junto_al_vino_y_al_pan.html</v>
      </c>
      <c r="T2497" s="1"/>
      <c r="U2497" s="1"/>
      <c r="V2497" s="32" t="s">
        <v>3655</v>
      </c>
      <c r="W249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data-momento="Ofertorio" data-nnew="F09"&gt;&lt;a href="canciones/toño_casado/junto_al_vino_y_al_pan.html"&gt;Junto al vino y al pan&lt;/a&gt;&lt;/li&gt;</v>
      </c>
      <c r="X2497" s="15" t="str">
        <f>_xlfn.TEXTBEFORE(_xlfn.TEXTAFTER(CantoralDB[[#This Row],[index.html]],"&gt;"),"&gt;")&amp;"&gt;"</f>
        <v>&lt;a href="canciones/toño_casado/junto_al_vino_y_al_pan.html"&gt;</v>
      </c>
      <c r="Y2497"/>
      <c r="AC2497" s="1"/>
    </row>
    <row r="2498" spans="1:29" x14ac:dyDescent="0.3">
      <c r="A2498" s="1">
        <f>ROW(CantoralDB[[#This Row],[Título]])-1</f>
        <v>2497</v>
      </c>
      <c r="B2498" s="1" t="s">
        <v>526</v>
      </c>
      <c r="C2498" s="1" t="s">
        <v>195</v>
      </c>
      <c r="D2498" s="1" t="s">
        <v>1457</v>
      </c>
      <c r="G2498" s="1" t="s">
        <v>219</v>
      </c>
      <c r="H2498" s="1" t="s">
        <v>529</v>
      </c>
      <c r="I2498" s="1" t="s">
        <v>2948</v>
      </c>
      <c r="J2498" s="1" t="s">
        <v>605</v>
      </c>
      <c r="M2498" s="15" t="s">
        <v>481</v>
      </c>
      <c r="N2498" s="1" t="s">
        <v>1840</v>
      </c>
      <c r="O2498" s="15">
        <v>7</v>
      </c>
      <c r="P2498" s="15">
        <v>2003</v>
      </c>
      <c r="Q2498" s="15" t="str" cm="1">
        <f t="array" ref="Q249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8" s="15" t="str" cm="1">
        <f t="array" ref="R249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49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canciones/toño_casado/santo_(estan_llenos_de_tu_amor).html</v>
      </c>
      <c r="T2498" s="1"/>
      <c r="U2498" s="1"/>
      <c r="V2498" s="32" t="s">
        <v>3666</v>
      </c>
      <c r="W249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data-momento="Santo" data-nnew="G03"&gt;&lt;a href="canciones/toño_casado/santo_(estan_llenos_de_tu_amor).html"&gt;Santo (Están llenos de tu amor)&lt;/a&gt;&lt;/li&gt;</v>
      </c>
      <c r="X2498" s="15" t="str">
        <f>_xlfn.TEXTBEFORE(_xlfn.TEXTAFTER(CantoralDB[[#This Row],[index.html]],"&gt;"),"&gt;")&amp;"&gt;"</f>
        <v>&lt;a href="canciones/toño_casado/santo_(estan_llenos_de_tu_amor).html"&gt;</v>
      </c>
      <c r="Y2498"/>
      <c r="AC2498" s="1"/>
    </row>
    <row r="2499" spans="1:29" x14ac:dyDescent="0.3">
      <c r="A2499" s="1">
        <f>ROW(CantoralDB[[#This Row],[Título]])-1</f>
        <v>2498</v>
      </c>
      <c r="B2499" s="1" t="s">
        <v>1842</v>
      </c>
      <c r="C2499" s="1"/>
      <c r="H2499" s="1" t="s">
        <v>1026</v>
      </c>
      <c r="J2499" s="1" t="s">
        <v>605</v>
      </c>
      <c r="M2499" s="15" t="s">
        <v>481</v>
      </c>
      <c r="N2499" s="1" t="s">
        <v>1840</v>
      </c>
      <c r="O2499" s="15">
        <v>8</v>
      </c>
      <c r="P2499" s="15">
        <v>2003</v>
      </c>
      <c r="Q2499" s="15" t="str" cm="1">
        <f t="array" ref="Q249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499" s="15" t="str" cm="1">
        <f t="array" ref="R249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49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canciones/toño_casado/traeras_la_paz.html</v>
      </c>
      <c r="T2499" s="1"/>
      <c r="U2499" s="1"/>
      <c r="V2499" s="32" t="s">
        <v>3657</v>
      </c>
      <c r="W249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href="canciones/toño_casado/traeras_la_paz.html"&gt;Traerás la paz&lt;/a&gt;&lt;/li&gt;</v>
      </c>
      <c r="X2499" s="15" t="str">
        <f>_xlfn.TEXTBEFORE(_xlfn.TEXTAFTER(CantoralDB[[#This Row],[index.html]],"&gt;"),"&gt;")&amp;"&gt;"</f>
        <v>&lt;a href="canciones/toño_casado/traeras_la_paz.html"&gt;</v>
      </c>
      <c r="Y2499"/>
      <c r="AC2499" s="1"/>
    </row>
    <row r="2500" spans="1:29" x14ac:dyDescent="0.3">
      <c r="A2500" s="1">
        <f>ROW(CantoralDB[[#This Row],[Título]])-1</f>
        <v>2499</v>
      </c>
      <c r="B2500" s="1" t="s">
        <v>240</v>
      </c>
      <c r="C2500" s="1" t="s">
        <v>197</v>
      </c>
      <c r="D2500" s="1" t="s">
        <v>1405</v>
      </c>
      <c r="G2500" s="1" t="s">
        <v>219</v>
      </c>
      <c r="H2500" s="1" t="s">
        <v>1026</v>
      </c>
      <c r="J2500" s="1" t="s">
        <v>605</v>
      </c>
      <c r="M2500" s="15" t="s">
        <v>481</v>
      </c>
      <c r="N2500" s="1" t="s">
        <v>1840</v>
      </c>
      <c r="O2500" s="15">
        <v>9</v>
      </c>
      <c r="P2500" s="15">
        <v>2003</v>
      </c>
      <c r="Q2500" s="15" t="str" cm="1">
        <f t="array" ref="Q250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0" s="15" t="str" cm="1">
        <f t="array" ref="R250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canciones/toño_casado/da_la_paz_al_mundo.html</v>
      </c>
      <c r="T2500" s="1"/>
      <c r="U2500" s="1"/>
      <c r="V2500" s="32" t="s">
        <v>3665</v>
      </c>
      <c r="W250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data-momento="Paz" data-nnew="I01"&gt;&lt;a href="canciones/toño_casado/da_la_paz_al_mundo.html"&gt;Da la paz al mundo&lt;/a&gt;&lt;/li&gt;</v>
      </c>
      <c r="X2500" s="15" t="str">
        <f>_xlfn.TEXTBEFORE(_xlfn.TEXTAFTER(CantoralDB[[#This Row],[index.html]],"&gt;"),"&gt;")&amp;"&gt;"</f>
        <v>&lt;a href="canciones/toño_casado/da_la_paz_al_mundo.html"&gt;</v>
      </c>
      <c r="Y2500"/>
      <c r="AC2500" s="1"/>
    </row>
    <row r="2501" spans="1:29" x14ac:dyDescent="0.3">
      <c r="A2501" s="1">
        <f>ROW(CantoralDB[[#This Row],[Título]])-1</f>
        <v>2500</v>
      </c>
      <c r="B2501" s="1" t="s">
        <v>241</v>
      </c>
      <c r="C2501" s="1" t="s">
        <v>196</v>
      </c>
      <c r="D2501" s="1" t="s">
        <v>1444</v>
      </c>
      <c r="G2501" s="1" t="s">
        <v>219</v>
      </c>
      <c r="H2501" s="1" t="s">
        <v>529</v>
      </c>
      <c r="J2501" s="1" t="s">
        <v>605</v>
      </c>
      <c r="M2501" s="15" t="s">
        <v>481</v>
      </c>
      <c r="N2501" s="1" t="s">
        <v>1840</v>
      </c>
      <c r="O2501" s="15">
        <v>10</v>
      </c>
      <c r="P2501" s="15">
        <v>2003</v>
      </c>
      <c r="Q2501" s="15" t="str" cm="1">
        <f t="array" ref="Q250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1" s="15" t="str" cm="1">
        <f t="array" ref="R250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canciones/toño_casado/padre_nuestro_padre_nuestro.html</v>
      </c>
      <c r="T2501" s="1"/>
      <c r="U2501" s="1"/>
      <c r="V2501" s="32" t="s">
        <v>3663</v>
      </c>
      <c r="W250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data-momento="Padrenuestro" data-nnew="H05"&gt;&lt;a href="canciones/toño_casado/padre_nuestro_padre_nuestro.html"&gt;Padre nuestro, padre nuestro&lt;/a&gt;&lt;/li&gt;</v>
      </c>
      <c r="X2501" s="15" t="str">
        <f>_xlfn.TEXTBEFORE(_xlfn.TEXTAFTER(CantoralDB[[#This Row],[index.html]],"&gt;"),"&gt;")&amp;"&gt;"</f>
        <v>&lt;a href="canciones/toño_casado/padre_nuestro_padre_nuestro.html"&gt;</v>
      </c>
      <c r="Y2501"/>
      <c r="AC2501" s="1"/>
    </row>
    <row r="2502" spans="1:29" x14ac:dyDescent="0.3">
      <c r="A2502" s="1">
        <f>ROW(CantoralDB[[#This Row],[Título]])-1</f>
        <v>2501</v>
      </c>
      <c r="B2502" s="1" t="s">
        <v>242</v>
      </c>
      <c r="C2502" s="1" t="s">
        <v>990</v>
      </c>
      <c r="D2502" s="1" t="s">
        <v>714</v>
      </c>
      <c r="G2502" s="1" t="s">
        <v>219</v>
      </c>
      <c r="H2502" s="1" t="s">
        <v>1026</v>
      </c>
      <c r="J2502" s="1" t="s">
        <v>605</v>
      </c>
      <c r="M2502" s="15" t="s">
        <v>481</v>
      </c>
      <c r="N2502" s="1" t="s">
        <v>1840</v>
      </c>
      <c r="O2502" s="15">
        <v>11</v>
      </c>
      <c r="P2502" s="15">
        <v>2003</v>
      </c>
      <c r="Q2502" s="15" t="str" cm="1">
        <f t="array" ref="Q250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2" s="15" t="str" cm="1">
        <f t="array" ref="R250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canciones/toño_casado/jesus_ven_tu.html</v>
      </c>
      <c r="T2502" s="1"/>
      <c r="U2502" s="1"/>
      <c r="V2502" s="32" t="s">
        <v>3664</v>
      </c>
      <c r="W250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data-momento="Comunión" data-nnew="K44"&gt;&lt;a href="canciones/toño_casado/jesus_ven_tu.html"&gt;Jesús, ven tú&lt;/a&gt;&lt;/li&gt;</v>
      </c>
      <c r="X2502" s="15" t="str">
        <f>_xlfn.TEXTBEFORE(_xlfn.TEXTAFTER(CantoralDB[[#This Row],[index.html]],"&gt;"),"&gt;")&amp;"&gt;"</f>
        <v>&lt;a href="canciones/toño_casado/jesus_ven_tu.html"&gt;</v>
      </c>
      <c r="Y2502"/>
      <c r="AC2502" s="1"/>
    </row>
    <row r="2503" spans="1:29" x14ac:dyDescent="0.3">
      <c r="A2503" s="1">
        <f>ROW(CantoralDB[[#This Row],[Título]])-1</f>
        <v>2502</v>
      </c>
      <c r="B2503" s="1" t="s">
        <v>243</v>
      </c>
      <c r="C2503" s="1" t="s">
        <v>199</v>
      </c>
      <c r="D2503" s="1" t="s">
        <v>1044</v>
      </c>
      <c r="G2503" s="1" t="s">
        <v>219</v>
      </c>
      <c r="H2503" s="1" t="s">
        <v>1024</v>
      </c>
      <c r="J2503" s="1" t="s">
        <v>605</v>
      </c>
      <c r="M2503" s="15" t="s">
        <v>481</v>
      </c>
      <c r="N2503" s="1" t="s">
        <v>1840</v>
      </c>
      <c r="O2503" s="15">
        <v>12</v>
      </c>
      <c r="P2503" s="15">
        <v>2003</v>
      </c>
      <c r="Q2503" s="15" t="str" cm="1">
        <f t="array" ref="Q250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3" s="15" t="str" cm="1">
        <f t="array" ref="R250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canciones/toño_casado/maria_maria.html</v>
      </c>
      <c r="T2503" s="1"/>
      <c r="U2503" s="1"/>
      <c r="V2503" s="32" t="s">
        <v>3659</v>
      </c>
      <c r="W250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data-momento="María" data-nnew="M13"&gt;&lt;a href="canciones/toño_casado/maria_maria.html"&gt;María, María&lt;/a&gt;&lt;/li&gt;</v>
      </c>
      <c r="X2503" s="15" t="str">
        <f>_xlfn.TEXTBEFORE(_xlfn.TEXTAFTER(CantoralDB[[#This Row],[index.html]],"&gt;"),"&gt;")&amp;"&gt;"</f>
        <v>&lt;a href="canciones/toño_casado/maria_maria.html"&gt;</v>
      </c>
      <c r="Y2503"/>
      <c r="AC2503" s="1"/>
    </row>
    <row r="2504" spans="1:29" x14ac:dyDescent="0.3">
      <c r="A2504" s="1">
        <f>ROW(CantoralDB[[#This Row],[Título]])-1</f>
        <v>2503</v>
      </c>
      <c r="B2504" s="1" t="s">
        <v>244</v>
      </c>
      <c r="C2504" s="1" t="s">
        <v>190</v>
      </c>
      <c r="D2504" s="1" t="s">
        <v>1388</v>
      </c>
      <c r="G2504" s="1" t="s">
        <v>219</v>
      </c>
      <c r="H2504" s="1" t="s">
        <v>472</v>
      </c>
      <c r="I2504" s="1" t="s">
        <v>2947</v>
      </c>
      <c r="J2504" s="1" t="s">
        <v>605</v>
      </c>
      <c r="M2504" s="15" t="s">
        <v>481</v>
      </c>
      <c r="N2504" s="1" t="s">
        <v>1846</v>
      </c>
      <c r="O2504" s="15">
        <v>1</v>
      </c>
      <c r="P2504" s="15">
        <v>2012</v>
      </c>
      <c r="Q2504" s="15" t="str" cm="1">
        <f t="array" ref="Q250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4" s="15" t="str" cm="1">
        <f t="array" ref="R250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canciones/toño_casado/bienvenidos.html</v>
      </c>
      <c r="T2504" s="1"/>
      <c r="U2504" s="1"/>
      <c r="V2504" s="32" t="s">
        <v>3667</v>
      </c>
      <c r="W250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data-momento="Entrada" data-nnew="A08"&gt;&lt;a href="canciones/toño_casado/bienvenidos.html"&gt;Bienvenidos&lt;/a&gt;&lt;/li&gt;</v>
      </c>
      <c r="X2504" s="15" t="str">
        <f>_xlfn.TEXTBEFORE(_xlfn.TEXTAFTER(CantoralDB[[#This Row],[index.html]],"&gt;"),"&gt;")&amp;"&gt;"</f>
        <v>&lt;a href="canciones/toño_casado/bienvenidos.html"&gt;</v>
      </c>
      <c r="Y2504"/>
      <c r="AC2504" s="1"/>
    </row>
    <row r="2505" spans="1:29" x14ac:dyDescent="0.3">
      <c r="A2505" s="1">
        <f>ROW(CantoralDB[[#This Row],[Título]])-1</f>
        <v>2504</v>
      </c>
      <c r="B2505" s="1" t="s">
        <v>1849</v>
      </c>
      <c r="C2505" s="1"/>
      <c r="H2505" s="1" t="s">
        <v>529</v>
      </c>
      <c r="J2505" s="1" t="s">
        <v>605</v>
      </c>
      <c r="M2505" s="15" t="s">
        <v>481</v>
      </c>
      <c r="N2505" s="1" t="s">
        <v>1846</v>
      </c>
      <c r="O2505" s="15">
        <v>2</v>
      </c>
      <c r="P2505" s="15">
        <v>2012</v>
      </c>
      <c r="Q2505" s="15" t="str" cm="1">
        <f t="array" ref="Q250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5" s="15" t="str" cm="1">
        <f t="array" ref="R250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0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canciones/toño_casado/señor_ten_piedad_ii.html</v>
      </c>
      <c r="T2505" s="1"/>
      <c r="U2505" s="1"/>
      <c r="V2505" s="32" t="s">
        <v>3668</v>
      </c>
      <c r="W250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href="canciones/toño_casado/señor_ten_piedad_ii.html"&gt;Señor, ten piedad II&lt;/a&gt;&lt;/li&gt;</v>
      </c>
      <c r="X2505" s="15" t="str">
        <f>_xlfn.TEXTBEFORE(_xlfn.TEXTAFTER(CantoralDB[[#This Row],[index.html]],"&gt;"),"&gt;")&amp;"&gt;"</f>
        <v>&lt;a href="canciones/toño_casado/señor_ten_piedad_ii.html"&gt;</v>
      </c>
      <c r="Y2505"/>
      <c r="AC2505" s="1"/>
    </row>
    <row r="2506" spans="1:29" x14ac:dyDescent="0.3">
      <c r="A2506" s="1">
        <f>ROW(CantoralDB[[#This Row],[Título]])-1</f>
        <v>2505</v>
      </c>
      <c r="B2506" s="1" t="s">
        <v>2912</v>
      </c>
      <c r="C2506" s="1"/>
      <c r="H2506" s="1" t="s">
        <v>529</v>
      </c>
      <c r="J2506" s="1" t="s">
        <v>605</v>
      </c>
      <c r="M2506" s="15" t="s">
        <v>481</v>
      </c>
      <c r="N2506" s="1" t="s">
        <v>1846</v>
      </c>
      <c r="O2506" s="15">
        <v>3</v>
      </c>
      <c r="P2506" s="15">
        <v>2012</v>
      </c>
      <c r="Q2506" s="15" t="str" cm="1">
        <f t="array" ref="Q250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6" s="15" t="str" cm="1">
        <f t="array" ref="R250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0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canciones/toño_casado/gloria_(por_pintar_amaneceres).html</v>
      </c>
      <c r="T2506" s="1"/>
      <c r="U2506" s="1"/>
      <c r="V2506" s="32" t="s">
        <v>3669</v>
      </c>
      <c r="W250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href="canciones/toño_casado/gloria_(por_pintar_amaneceres).html"&gt;Gloria (por pintar amaneceres)&lt;/a&gt;&lt;/li&gt;</v>
      </c>
      <c r="X2506" s="15" t="str">
        <f>_xlfn.TEXTBEFORE(_xlfn.TEXTAFTER(CantoralDB[[#This Row],[index.html]],"&gt;"),"&gt;")&amp;"&gt;"</f>
        <v>&lt;a href="canciones/toño_casado/gloria_(por_pintar_amaneceres).html"&gt;</v>
      </c>
      <c r="Y2506"/>
      <c r="AC2506" s="1"/>
    </row>
    <row r="2507" spans="1:29" x14ac:dyDescent="0.3">
      <c r="A2507" s="1">
        <f>ROW(CantoralDB[[#This Row],[Título]])-1</f>
        <v>2506</v>
      </c>
      <c r="B2507" s="1" t="s">
        <v>1843</v>
      </c>
      <c r="C2507" s="1"/>
      <c r="H2507" s="1" t="s">
        <v>1025</v>
      </c>
      <c r="J2507" s="1" t="s">
        <v>605</v>
      </c>
      <c r="M2507" s="15" t="s">
        <v>481</v>
      </c>
      <c r="N2507" s="1" t="s">
        <v>1846</v>
      </c>
      <c r="O2507" s="15">
        <v>4</v>
      </c>
      <c r="P2507" s="15">
        <v>2012</v>
      </c>
      <c r="Q2507" s="15" t="str" cm="1">
        <f t="array" ref="Q250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7" s="15" t="str" cm="1">
        <f t="array" ref="R250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0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canciones/toño_casado/tu_palabra_se_hace_vida.html</v>
      </c>
      <c r="T2507" s="1"/>
      <c r="U2507" s="1"/>
      <c r="V2507" s="32" t="s">
        <v>3670</v>
      </c>
      <c r="W250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href="canciones/toño_casado/tu_palabra_se_hace_vida.html"&gt;Tu palabra se hace vida&lt;/a&gt;&lt;/li&gt;</v>
      </c>
      <c r="X2507" s="15" t="str">
        <f>_xlfn.TEXTBEFORE(_xlfn.TEXTAFTER(CantoralDB[[#This Row],[index.html]],"&gt;"),"&gt;")&amp;"&gt;"</f>
        <v>&lt;a href="canciones/toño_casado/tu_palabra_se_hace_vida.html"&gt;</v>
      </c>
      <c r="Y2507"/>
      <c r="AC2507" s="1"/>
    </row>
    <row r="2508" spans="1:29" x14ac:dyDescent="0.3">
      <c r="A2508" s="1">
        <f>ROW(CantoralDB[[#This Row],[Título]])-1</f>
        <v>2507</v>
      </c>
      <c r="B2508" s="1" t="s">
        <v>1851</v>
      </c>
      <c r="C2508" s="1"/>
      <c r="H2508" s="1" t="s">
        <v>1027</v>
      </c>
      <c r="J2508" s="1" t="s">
        <v>605</v>
      </c>
      <c r="M2508" s="15" t="s">
        <v>481</v>
      </c>
      <c r="N2508" s="1" t="s">
        <v>1846</v>
      </c>
      <c r="O2508" s="15">
        <v>5</v>
      </c>
      <c r="P2508" s="15">
        <v>2012</v>
      </c>
      <c r="Q2508" s="15" t="str" cm="1">
        <f t="array" ref="Q250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8" s="15" t="str" cm="1">
        <f t="array" ref="R250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0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canciones/toño_casado/aleluya_ii.html</v>
      </c>
      <c r="T2508" s="1"/>
      <c r="U2508" s="1"/>
      <c r="V2508" s="32" t="s">
        <v>3671</v>
      </c>
      <c r="W250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href="canciones/toño_casado/aleluya_ii.html"&gt;Aleluya II&lt;/a&gt;&lt;/li&gt;</v>
      </c>
      <c r="X2508" s="15" t="str">
        <f>_xlfn.TEXTBEFORE(_xlfn.TEXTAFTER(CantoralDB[[#This Row],[index.html]],"&gt;"),"&gt;")&amp;"&gt;"</f>
        <v>&lt;a href="canciones/toño_casado/aleluya_ii.html"&gt;</v>
      </c>
      <c r="Y2508"/>
      <c r="AC2508" s="1"/>
    </row>
    <row r="2509" spans="1:29" x14ac:dyDescent="0.3">
      <c r="A2509" s="1">
        <f>ROW(CantoralDB[[#This Row],[Título]])-1</f>
        <v>2508</v>
      </c>
      <c r="B2509" s="1" t="s">
        <v>245</v>
      </c>
      <c r="C2509" s="1" t="s">
        <v>194</v>
      </c>
      <c r="D2509" s="1" t="s">
        <v>767</v>
      </c>
      <c r="G2509" s="1" t="s">
        <v>219</v>
      </c>
      <c r="H2509" s="1" t="s">
        <v>529</v>
      </c>
      <c r="J2509" s="1" t="s">
        <v>605</v>
      </c>
      <c r="M2509" s="15" t="s">
        <v>481</v>
      </c>
      <c r="N2509" s="1" t="s">
        <v>1846</v>
      </c>
      <c r="O2509" s="15">
        <v>6</v>
      </c>
      <c r="P2509" s="15">
        <v>2012</v>
      </c>
      <c r="Q2509" s="15" t="str" cm="1">
        <f t="array" ref="Q250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09" s="15" t="str" cm="1">
        <f t="array" ref="R250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0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canciones/toño_casado/te_ofrecemos.html</v>
      </c>
      <c r="T2509" s="1"/>
      <c r="U2509" s="1"/>
      <c r="V2509" s="32" t="s">
        <v>3672</v>
      </c>
      <c r="W250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data-momento="Ofertorio" data-nnew="F15"&gt;&lt;a href="canciones/toño_casado/te_ofrecemos.html"&gt;Te ofrecemos&lt;/a&gt;&lt;/li&gt;</v>
      </c>
      <c r="X2509" s="15" t="str">
        <f>_xlfn.TEXTBEFORE(_xlfn.TEXTAFTER(CantoralDB[[#This Row],[index.html]],"&gt;"),"&gt;")&amp;"&gt;"</f>
        <v>&lt;a href="canciones/toño_casado/te_ofrecemos.html"&gt;</v>
      </c>
      <c r="Y2509"/>
      <c r="AC2509" s="1"/>
    </row>
    <row r="2510" spans="1:29" x14ac:dyDescent="0.3">
      <c r="A2510" s="1">
        <f>ROW(CantoralDB[[#This Row],[Título]])-1</f>
        <v>2509</v>
      </c>
      <c r="B2510" s="1" t="s">
        <v>527</v>
      </c>
      <c r="C2510" s="1" t="s">
        <v>195</v>
      </c>
      <c r="D2510" s="1" t="s">
        <v>1458</v>
      </c>
      <c r="G2510" s="1" t="s">
        <v>219</v>
      </c>
      <c r="H2510" s="1" t="s">
        <v>1024</v>
      </c>
      <c r="J2510" s="1" t="s">
        <v>605</v>
      </c>
      <c r="M2510" s="15" t="s">
        <v>481</v>
      </c>
      <c r="N2510" s="1" t="s">
        <v>1846</v>
      </c>
      <c r="O2510" s="15">
        <v>7</v>
      </c>
      <c r="P2510" s="15">
        <v>2012</v>
      </c>
      <c r="Q2510" s="15" t="str" cm="1">
        <f t="array" ref="Q251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0" s="15" t="str" cm="1">
        <f t="array" ref="R251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1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canciones/toño_casado/santo_(hosanna_en_el_cielo_al_señor).html</v>
      </c>
      <c r="T2510" s="1"/>
      <c r="U2510" s="1"/>
      <c r="V2510" s="32" t="s">
        <v>3673</v>
      </c>
      <c r="W251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data-momento="Santo" data-nnew="G04"&gt;&lt;a href="canciones/toño_casado/santo_(hosanna_en_el_cielo_al_señor).html"&gt;Santo (Hosanna en el Cielo al Señor)&lt;/a&gt;&lt;/li&gt;</v>
      </c>
      <c r="X2510" s="15" t="str">
        <f>_xlfn.TEXTBEFORE(_xlfn.TEXTAFTER(CantoralDB[[#This Row],[index.html]],"&gt;"),"&gt;")&amp;"&gt;"</f>
        <v>&lt;a href="canciones/toño_casado/santo_(hosanna_en_el_cielo_al_señor).html"&gt;</v>
      </c>
      <c r="Y2510"/>
      <c r="AC2510" s="1"/>
    </row>
    <row r="2511" spans="1:29" x14ac:dyDescent="0.3">
      <c r="A2511" s="1">
        <f>ROW(CantoralDB[[#This Row],[Título]])-1</f>
        <v>2510</v>
      </c>
      <c r="B2511" s="1" t="s">
        <v>2138</v>
      </c>
      <c r="C2511" s="1"/>
      <c r="H2511" s="1" t="s">
        <v>1024</v>
      </c>
      <c r="J2511" s="1" t="s">
        <v>605</v>
      </c>
      <c r="M2511" s="15" t="s">
        <v>481</v>
      </c>
      <c r="N2511" s="1" t="s">
        <v>1846</v>
      </c>
      <c r="O2511" s="15">
        <v>8</v>
      </c>
      <c r="P2511" s="15">
        <v>2012</v>
      </c>
      <c r="Q2511" s="15" t="str" cm="1">
        <f t="array" ref="Q251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1" s="15" t="str" cm="1">
        <f t="array" ref="R251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canciones/toño_casado/padre_nuestro_ii.html</v>
      </c>
      <c r="T2511" s="1"/>
      <c r="U2511" s="1"/>
      <c r="V2511" s="32" t="s">
        <v>3674</v>
      </c>
      <c r="W251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href="canciones/toño_casado/padre_nuestro_ii.html"&gt;Padre nuestro II&lt;/a&gt;&lt;/li&gt;</v>
      </c>
      <c r="X2511" s="15" t="str">
        <f>_xlfn.TEXTBEFORE(_xlfn.TEXTAFTER(CantoralDB[[#This Row],[index.html]],"&gt;"),"&gt;")&amp;"&gt;"</f>
        <v>&lt;a href="canciones/toño_casado/padre_nuestro_ii.html"&gt;</v>
      </c>
      <c r="Y2511"/>
      <c r="AC2511" s="1"/>
    </row>
    <row r="2512" spans="1:29" x14ac:dyDescent="0.3">
      <c r="A2512" s="1">
        <f>ROW(CantoralDB[[#This Row],[Título]])-1</f>
        <v>2511</v>
      </c>
      <c r="B2512" s="1" t="s">
        <v>1195</v>
      </c>
      <c r="C2512" s="1"/>
      <c r="H2512" s="1" t="s">
        <v>529</v>
      </c>
      <c r="J2512" s="1" t="s">
        <v>605</v>
      </c>
      <c r="M2512" s="15" t="s">
        <v>481</v>
      </c>
      <c r="N2512" s="1" t="s">
        <v>1846</v>
      </c>
      <c r="O2512" s="15">
        <v>9</v>
      </c>
      <c r="P2512" s="15">
        <v>2012</v>
      </c>
      <c r="Q2512" s="15" t="str" cm="1">
        <f t="array" ref="Q251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2" s="15" t="str" cm="1">
        <f t="array" ref="R251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canciones/toño_casado/danos_paz.html</v>
      </c>
      <c r="T2512" s="1"/>
      <c r="U2512" s="1"/>
      <c r="V2512" s="32" t="s">
        <v>3675</v>
      </c>
      <c r="W251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href="canciones/toño_casado/danos_paz.html"&gt;Danos paz&lt;/a&gt;&lt;/li&gt;</v>
      </c>
      <c r="X2512" s="15" t="str">
        <f>_xlfn.TEXTBEFORE(_xlfn.TEXTAFTER(CantoralDB[[#This Row],[index.html]],"&gt;"),"&gt;")&amp;"&gt;"</f>
        <v>&lt;a href="canciones/toño_casado/danos_paz.html"&gt;</v>
      </c>
      <c r="Y2512"/>
      <c r="AC2512" s="1"/>
    </row>
    <row r="2513" spans="1:29" x14ac:dyDescent="0.3">
      <c r="A2513" s="1">
        <f>ROW(CantoralDB[[#This Row],[Título]])-1</f>
        <v>2512</v>
      </c>
      <c r="B2513" s="1" t="s">
        <v>1844</v>
      </c>
      <c r="C2513" s="1"/>
      <c r="H2513" s="1" t="s">
        <v>472</v>
      </c>
      <c r="J2513" s="1" t="s">
        <v>605</v>
      </c>
      <c r="M2513" s="15" t="s">
        <v>481</v>
      </c>
      <c r="N2513" s="1" t="s">
        <v>1846</v>
      </c>
      <c r="O2513" s="15">
        <v>10</v>
      </c>
      <c r="P2513" s="15">
        <v>2012</v>
      </c>
      <c r="Q2513" s="15" t="str" cm="1">
        <f t="array" ref="Q251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3" s="15" t="str" cm="1">
        <f t="array" ref="R251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canciones/toño_casado/hoy_jesus_vendras_a_mi.html</v>
      </c>
      <c r="T2513" s="1"/>
      <c r="U2513" s="1"/>
      <c r="V2513" s="32" t="s">
        <v>3676</v>
      </c>
      <c r="W251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href="canciones/toño_casado/hoy_jesus_vendras_a_mi.html"&gt;Hoy, Jesús, vendrás a mí&lt;/a&gt;&lt;/li&gt;</v>
      </c>
      <c r="X2513" s="15" t="str">
        <f>_xlfn.TEXTBEFORE(_xlfn.TEXTAFTER(CantoralDB[[#This Row],[index.html]],"&gt;"),"&gt;")&amp;"&gt;"</f>
        <v>&lt;a href="canciones/toño_casado/hoy_jesus_vendras_a_mi.html"&gt;</v>
      </c>
      <c r="Y2513"/>
      <c r="AC2513" s="1"/>
    </row>
    <row r="2514" spans="1:29" x14ac:dyDescent="0.3">
      <c r="A2514" s="1">
        <f>ROW(CantoralDB[[#This Row],[Título]])-1</f>
        <v>2513</v>
      </c>
      <c r="B2514" s="1" t="s">
        <v>1845</v>
      </c>
      <c r="C2514" s="1"/>
      <c r="H2514" s="1" t="s">
        <v>472</v>
      </c>
      <c r="J2514" s="1" t="s">
        <v>605</v>
      </c>
      <c r="M2514" s="15" t="s">
        <v>481</v>
      </c>
      <c r="N2514" s="1" t="s">
        <v>1846</v>
      </c>
      <c r="O2514" s="15">
        <v>11</v>
      </c>
      <c r="P2514" s="15">
        <v>2012</v>
      </c>
      <c r="Q2514" s="15" t="str" cm="1">
        <f t="array" ref="Q251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4" s="15" t="str" cm="1">
        <f t="array" ref="R251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canciones/toño_casado/familia_de_dios.html</v>
      </c>
      <c r="T2514" s="1"/>
      <c r="U2514" s="1"/>
      <c r="V2514" s="32" t="s">
        <v>3677</v>
      </c>
      <c r="W251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href="canciones/toño_casado/familia_de_dios.html"&gt;Familia de Dios&lt;/a&gt;&lt;/li&gt;</v>
      </c>
      <c r="X2514" s="15" t="str">
        <f>_xlfn.TEXTBEFORE(_xlfn.TEXTAFTER(CantoralDB[[#This Row],[index.html]],"&gt;"),"&gt;")&amp;"&gt;"</f>
        <v>&lt;a href="canciones/toño_casado/familia_de_dios.html"&gt;</v>
      </c>
      <c r="Y2514"/>
      <c r="AC2514" s="1"/>
    </row>
    <row r="2515" spans="1:29" x14ac:dyDescent="0.3">
      <c r="A2515" s="1">
        <f>ROW(CantoralDB[[#This Row],[Título]])-1</f>
        <v>2514</v>
      </c>
      <c r="B2515" s="1" t="s">
        <v>496</v>
      </c>
      <c r="C2515" s="1" t="s">
        <v>199</v>
      </c>
      <c r="D2515" s="1" t="s">
        <v>1384</v>
      </c>
      <c r="G2515" s="1" t="s">
        <v>219</v>
      </c>
      <c r="H2515" s="1" t="s">
        <v>1027</v>
      </c>
      <c r="I2515" s="1" t="s">
        <v>2948</v>
      </c>
      <c r="J2515" s="1" t="s">
        <v>605</v>
      </c>
      <c r="M2515" s="15" t="s">
        <v>481</v>
      </c>
      <c r="N2515" s="1" t="s">
        <v>1847</v>
      </c>
      <c r="O2515" s="15"/>
      <c r="P2515" s="15">
        <v>2022</v>
      </c>
      <c r="Q2515" s="15" t="str" cm="1">
        <f t="array" ref="Q251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5" s="15" t="str" cm="1">
        <f t="array" ref="R251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1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canciones/toño_casado/ave_maria.html</v>
      </c>
      <c r="T2515" s="1"/>
      <c r="U2515" s="1"/>
      <c r="V2515" s="32" t="s">
        <v>3678</v>
      </c>
      <c r="W251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data-momento="María" data-nnew="M02"&gt;&lt;a href="canciones/toño_casado/ave_maria.html"&gt;Ave María&lt;/a&gt;&lt;/li&gt;</v>
      </c>
      <c r="X2515" s="15" t="str">
        <f>_xlfn.TEXTBEFORE(_xlfn.TEXTAFTER(CantoralDB[[#This Row],[index.html]],"&gt;"),"&gt;")&amp;"&gt;"</f>
        <v>&lt;a href="canciones/toño_casado/ave_maria.html"&gt;</v>
      </c>
      <c r="Y2515"/>
      <c r="AC2515" s="1"/>
    </row>
    <row r="2516" spans="1:29" x14ac:dyDescent="0.3">
      <c r="A2516" s="1">
        <f>ROW(CantoralDB[[#This Row],[Título]])-1</f>
        <v>2515</v>
      </c>
      <c r="B2516" s="1" t="s">
        <v>217</v>
      </c>
      <c r="C2516" s="1" t="s">
        <v>199</v>
      </c>
      <c r="D2516" s="1" t="s">
        <v>1053</v>
      </c>
      <c r="G2516" s="1" t="s">
        <v>219</v>
      </c>
      <c r="H2516" s="1" t="s">
        <v>1040</v>
      </c>
      <c r="J2516" s="1" t="s">
        <v>605</v>
      </c>
      <c r="M2516" s="15" t="s">
        <v>481</v>
      </c>
      <c r="N2516" s="1" t="s">
        <v>1847</v>
      </c>
      <c r="O2516" s="15"/>
      <c r="P2516" s="15">
        <v>2018</v>
      </c>
      <c r="Q2516" s="15" t="str" cm="1">
        <f t="array" ref="Q251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6" s="15" t="str" cm="1">
        <f t="array" ref="R251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1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canciones/toño_casado/siempre_estuviste_aqui_(almudena).html</v>
      </c>
      <c r="T2516" s="1"/>
      <c r="U2516" s="1"/>
      <c r="V2516" s="32" t="s">
        <v>3680</v>
      </c>
      <c r="W251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data-momento="María" data-nnew="M22"&gt;&lt;a href="canciones/toño_casado/siempre_estuviste_aqui_(almudena).html"&gt;Siempre estuviste aquí (Almudena)&lt;/a&gt;&lt;/li&gt;</v>
      </c>
      <c r="X2516" s="15" t="str">
        <f>_xlfn.TEXTBEFORE(_xlfn.TEXTAFTER(CantoralDB[[#This Row],[index.html]],"&gt;"),"&gt;")&amp;"&gt;"</f>
        <v>&lt;a href="canciones/toño_casado/siempre_estuviste_aqui_(almudena).html"&gt;</v>
      </c>
      <c r="Y2516"/>
      <c r="AC2516" s="1"/>
    </row>
    <row r="2517" spans="1:29" x14ac:dyDescent="0.3">
      <c r="A2517" s="1">
        <f>ROW(CantoralDB[[#This Row],[Título]])-1</f>
        <v>2516</v>
      </c>
      <c r="B2517" s="1" t="s">
        <v>495</v>
      </c>
      <c r="C2517" s="1" t="s">
        <v>190</v>
      </c>
      <c r="D2517" s="1" t="s">
        <v>759</v>
      </c>
      <c r="G2517" s="1" t="s">
        <v>219</v>
      </c>
      <c r="H2517" s="1" t="s">
        <v>529</v>
      </c>
      <c r="I2517" s="1" t="s">
        <v>2948</v>
      </c>
      <c r="J2517" s="1" t="s">
        <v>605</v>
      </c>
      <c r="M2517" s="15" t="s">
        <v>481</v>
      </c>
      <c r="N2517" s="1" t="s">
        <v>1847</v>
      </c>
      <c r="O2517" s="15"/>
      <c r="P2517" s="15">
        <v>2011</v>
      </c>
      <c r="Q2517" s="15" t="str" cm="1">
        <f t="array" ref="Q251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7" s="15" t="str" cm="1">
        <f t="array" ref="R251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nsb</v>
      </c>
      <c r="S251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canciones/toño_casado/viviremos_firmes_en_la_fe.html</v>
      </c>
      <c r="T2517" s="1"/>
      <c r="U2517" s="1"/>
      <c r="V2517" s="32" t="s">
        <v>3681</v>
      </c>
      <c r="W251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 data-momento="Entrada" data-nnew="A42"&gt;&lt;a href="canciones/toño_casado/viviremos_firmes_en_la_fe.html"&gt;Viviremos firmes en la fe&lt;/a&gt;&lt;/li&gt;</v>
      </c>
      <c r="X2517" s="15" t="str">
        <f>_xlfn.TEXTBEFORE(_xlfn.TEXTAFTER(CantoralDB[[#This Row],[index.html]],"&gt;"),"&gt;")&amp;"&gt;"</f>
        <v>&lt;a href="canciones/toño_casado/viviremos_firmes_en_la_fe.html"&gt;</v>
      </c>
      <c r="Y2517"/>
      <c r="AC2517" s="1"/>
    </row>
    <row r="2518" spans="1:29" x14ac:dyDescent="0.3">
      <c r="A2518" s="1">
        <f>ROW(CantoralDB[[#This Row],[Título]])-1</f>
        <v>2517</v>
      </c>
      <c r="B2518" s="1" t="s">
        <v>2914</v>
      </c>
      <c r="C2518" s="1"/>
      <c r="H2518" s="1" t="s">
        <v>1024</v>
      </c>
      <c r="J2518" s="1" t="s">
        <v>605</v>
      </c>
      <c r="M2518" s="15" t="s">
        <v>481</v>
      </c>
      <c r="N2518" s="1" t="s">
        <v>2913</v>
      </c>
      <c r="O2518" s="15">
        <v>0</v>
      </c>
      <c r="P2518" s="15">
        <v>2022</v>
      </c>
      <c r="Q2518" s="15" t="str" cm="1">
        <f t="array" ref="Q251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8" s="15" t="str" cm="1">
        <f t="array" ref="R251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canciones/toño_casado/via_crucis_introduccion.html</v>
      </c>
      <c r="T2518" s="1"/>
      <c r="U2518" s="1"/>
      <c r="V2518" s="32" t="s">
        <v>3682</v>
      </c>
      <c r="W251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href="canciones/toño_casado/via_crucis_introduccion.html"&gt;Vía Crucis Introducción&lt;/a&gt;&lt;/li&gt;</v>
      </c>
      <c r="X2518" s="15" t="str">
        <f>_xlfn.TEXTBEFORE(_xlfn.TEXTAFTER(CantoralDB[[#This Row],[index.html]],"&gt;"),"&gt;")&amp;"&gt;"</f>
        <v>&lt;a href="canciones/toño_casado/via_crucis_introduccion.html"&gt;</v>
      </c>
      <c r="Y2518"/>
      <c r="AC2518" s="1"/>
    </row>
    <row r="2519" spans="1:29" x14ac:dyDescent="0.3">
      <c r="A2519" s="1">
        <f>ROW(CantoralDB[[#This Row],[Título]])-1</f>
        <v>2518</v>
      </c>
      <c r="B2519" s="1" t="s">
        <v>2915</v>
      </c>
      <c r="C2519" s="1"/>
      <c r="H2519" s="1" t="s">
        <v>1024</v>
      </c>
      <c r="J2519" s="1" t="s">
        <v>605</v>
      </c>
      <c r="M2519" s="15" t="s">
        <v>481</v>
      </c>
      <c r="N2519" s="1" t="s">
        <v>2913</v>
      </c>
      <c r="O2519" s="15">
        <v>1</v>
      </c>
      <c r="P2519" s="15">
        <v>2022</v>
      </c>
      <c r="Q2519" s="15" t="str" cm="1">
        <f t="array" ref="Q251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19" s="15" t="str" cm="1">
        <f t="array" ref="R251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1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canciones/toño_casado/via_crucis_i_jesus_cautivo.html</v>
      </c>
      <c r="T2519" s="1"/>
      <c r="U2519" s="1"/>
      <c r="V2519" s="32" t="s">
        <v>3683</v>
      </c>
      <c r="W251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href="canciones/toño_casado/via_crucis_i_jesus_cautivo.html"&gt;Via Crucis I Jesús cautivo&lt;/a&gt;&lt;/li&gt;</v>
      </c>
      <c r="X2519" s="15" t="str">
        <f>_xlfn.TEXTBEFORE(_xlfn.TEXTAFTER(CantoralDB[[#This Row],[index.html]],"&gt;"),"&gt;")&amp;"&gt;"</f>
        <v>&lt;a href="canciones/toño_casado/via_crucis_i_jesus_cautivo.html"&gt;</v>
      </c>
      <c r="Y2519"/>
      <c r="AC2519" s="1"/>
    </row>
    <row r="2520" spans="1:29" x14ac:dyDescent="0.3">
      <c r="A2520" s="1">
        <f>ROW(CantoralDB[[#This Row],[Título]])-1</f>
        <v>2519</v>
      </c>
      <c r="B2520" s="1" t="s">
        <v>2916</v>
      </c>
      <c r="C2520" s="1"/>
      <c r="H2520" s="1" t="s">
        <v>1024</v>
      </c>
      <c r="J2520" s="1" t="s">
        <v>605</v>
      </c>
      <c r="M2520" s="15" t="s">
        <v>481</v>
      </c>
      <c r="N2520" s="1" t="s">
        <v>2913</v>
      </c>
      <c r="O2520" s="15">
        <v>2</v>
      </c>
      <c r="P2520" s="15">
        <v>2022</v>
      </c>
      <c r="Q2520" s="15" t="str" cm="1">
        <f t="array" ref="Q252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0" s="15" t="str" cm="1">
        <f t="array" ref="R252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canciones/toño_casado/via_crucis_ii_jesus_carga_con_la_cruz.html</v>
      </c>
      <c r="T2520" s="1"/>
      <c r="U2520" s="1"/>
      <c r="V2520" s="32" t="s">
        <v>3684</v>
      </c>
      <c r="W252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href="canciones/toño_casado/via_crucis_ii_jesus_carga_con_la_cruz.html"&gt;Via Crucis II Jesús carga con la Cruz&lt;/a&gt;&lt;/li&gt;</v>
      </c>
      <c r="X2520" s="15" t="str">
        <f>_xlfn.TEXTBEFORE(_xlfn.TEXTAFTER(CantoralDB[[#This Row],[index.html]],"&gt;"),"&gt;")&amp;"&gt;"</f>
        <v>&lt;a href="canciones/toño_casado/via_crucis_ii_jesus_carga_con_la_cruz.html"&gt;</v>
      </c>
      <c r="Y2520"/>
      <c r="AC2520" s="1"/>
    </row>
    <row r="2521" spans="1:29" x14ac:dyDescent="0.3">
      <c r="A2521" s="1">
        <f>ROW(CantoralDB[[#This Row],[Título]])-1</f>
        <v>2520</v>
      </c>
      <c r="B2521" s="1" t="s">
        <v>2917</v>
      </c>
      <c r="C2521" s="1"/>
      <c r="H2521" s="1" t="s">
        <v>1027</v>
      </c>
      <c r="J2521" s="1" t="s">
        <v>605</v>
      </c>
      <c r="M2521" s="15" t="s">
        <v>481</v>
      </c>
      <c r="N2521" s="1" t="s">
        <v>2913</v>
      </c>
      <c r="O2521" s="15">
        <v>3</v>
      </c>
      <c r="P2521" s="15">
        <v>2022</v>
      </c>
      <c r="Q2521" s="15" t="str" cm="1">
        <f t="array" ref="Q252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1" s="15" t="str" cm="1">
        <f t="array" ref="R252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canciones/toño_casado/via_crucis_iii_jesus_cae_por_primera_vez.html</v>
      </c>
      <c r="T2521" s="1"/>
      <c r="U2521" s="1"/>
      <c r="V2521" s="32" t="s">
        <v>3685</v>
      </c>
      <c r="W252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href="canciones/toño_casado/via_crucis_iii_jesus_cae_por_primera_vez.html"&gt;Via Crucis III Jesús cae por primera vez&lt;/a&gt;&lt;/li&gt;</v>
      </c>
      <c r="X2521" s="15" t="str">
        <f>_xlfn.TEXTBEFORE(_xlfn.TEXTAFTER(CantoralDB[[#This Row],[index.html]],"&gt;"),"&gt;")&amp;"&gt;"</f>
        <v>&lt;a href="canciones/toño_casado/via_crucis_iii_jesus_cae_por_primera_vez.html"&gt;</v>
      </c>
      <c r="Y2521"/>
      <c r="AC2521" s="1"/>
    </row>
    <row r="2522" spans="1:29" x14ac:dyDescent="0.3">
      <c r="A2522" s="1">
        <f>ROW(CantoralDB[[#This Row],[Título]])-1</f>
        <v>2521</v>
      </c>
      <c r="B2522" s="1" t="s">
        <v>2918</v>
      </c>
      <c r="C2522" s="1"/>
      <c r="H2522" s="1" t="s">
        <v>1025</v>
      </c>
      <c r="J2522" s="1" t="s">
        <v>605</v>
      </c>
      <c r="M2522" s="15" t="s">
        <v>481</v>
      </c>
      <c r="N2522" s="1" t="s">
        <v>2913</v>
      </c>
      <c r="O2522" s="15">
        <v>4</v>
      </c>
      <c r="P2522" s="15">
        <v>2022</v>
      </c>
      <c r="Q2522" s="15" t="str" cm="1">
        <f t="array" ref="Q252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2" s="15" t="str" cm="1">
        <f t="array" ref="R252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canciones/toño_casado/via_crucis_iv_jesus_se_encuentra_con_su_madre.html</v>
      </c>
      <c r="T2522" s="1"/>
      <c r="U2522" s="1"/>
      <c r="V2522" s="32" t="s">
        <v>3686</v>
      </c>
      <c r="W252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href="canciones/toño_casado/via_crucis_iv_jesus_se_encuentra_con_su_madre.html"&gt;Via Crucis IV Jesús se encuentra con su madre&lt;/a&gt;&lt;/li&gt;</v>
      </c>
      <c r="X2522" s="15" t="str">
        <f>_xlfn.TEXTBEFORE(_xlfn.TEXTAFTER(CantoralDB[[#This Row],[index.html]],"&gt;"),"&gt;")&amp;"&gt;"</f>
        <v>&lt;a href="canciones/toño_casado/via_crucis_iv_jesus_se_encuentra_con_su_madre.html"&gt;</v>
      </c>
      <c r="Y2522"/>
      <c r="AC2522" s="1"/>
    </row>
    <row r="2523" spans="1:29" x14ac:dyDescent="0.3">
      <c r="A2523" s="1">
        <f>ROW(CantoralDB[[#This Row],[Título]])-1</f>
        <v>2522</v>
      </c>
      <c r="B2523" s="1" t="s">
        <v>2919</v>
      </c>
      <c r="C2523" s="1"/>
      <c r="H2523" s="1" t="s">
        <v>2954</v>
      </c>
      <c r="J2523" s="1" t="s">
        <v>605</v>
      </c>
      <c r="M2523" s="15" t="s">
        <v>481</v>
      </c>
      <c r="N2523" s="1" t="s">
        <v>2913</v>
      </c>
      <c r="O2523" s="15">
        <v>5</v>
      </c>
      <c r="P2523" s="15">
        <v>2022</v>
      </c>
      <c r="Q2523" s="15" t="str" cm="1">
        <f t="array" ref="Q252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3" s="15" t="str" cm="1">
        <f t="array" ref="R252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canciones/toño_casado/via_crucis_v_el_cireneo.html</v>
      </c>
      <c r="T2523" s="1"/>
      <c r="U2523" s="1"/>
      <c r="V2523" s="32" t="s">
        <v>3687</v>
      </c>
      <c r="W252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href="canciones/toño_casado/via_crucis_v_el_cireneo.html"&gt;Via Crucis V El Cireneo&lt;/a&gt;&lt;/li&gt;</v>
      </c>
      <c r="X2523" s="15" t="str">
        <f>_xlfn.TEXTBEFORE(_xlfn.TEXTAFTER(CantoralDB[[#This Row],[index.html]],"&gt;"),"&gt;")&amp;"&gt;"</f>
        <v>&lt;a href="canciones/toño_casado/via_crucis_v_el_cireneo.html"&gt;</v>
      </c>
      <c r="Y2523"/>
      <c r="AC2523" s="1"/>
    </row>
    <row r="2524" spans="1:29" x14ac:dyDescent="0.3">
      <c r="A2524" s="1">
        <f>ROW(CantoralDB[[#This Row],[Título]])-1</f>
        <v>2523</v>
      </c>
      <c r="B2524" s="1" t="s">
        <v>2920</v>
      </c>
      <c r="C2524" s="1"/>
      <c r="H2524" s="1" t="s">
        <v>1024</v>
      </c>
      <c r="J2524" s="1" t="s">
        <v>605</v>
      </c>
      <c r="M2524" s="15" t="s">
        <v>481</v>
      </c>
      <c r="N2524" s="1" t="s">
        <v>2913</v>
      </c>
      <c r="O2524" s="15">
        <v>6</v>
      </c>
      <c r="P2524" s="15">
        <v>2022</v>
      </c>
      <c r="Q2524" s="15" t="str" cm="1">
        <f t="array" ref="Q252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4" s="15" t="str" cm="1">
        <f t="array" ref="R252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canciones/toño_casado/via_crucis_vi_la_veronica.html</v>
      </c>
      <c r="T2524" s="1"/>
      <c r="U2524" s="1"/>
      <c r="V2524" s="32" t="s">
        <v>3688</v>
      </c>
      <c r="W252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href="canciones/toño_casado/via_crucis_vi_la_veronica.html"&gt;Via Crucis VI La Verónica&lt;/a&gt;&lt;/li&gt;</v>
      </c>
      <c r="X2524" s="15" t="str">
        <f>_xlfn.TEXTBEFORE(_xlfn.TEXTAFTER(CantoralDB[[#This Row],[index.html]],"&gt;"),"&gt;")&amp;"&gt;"</f>
        <v>&lt;a href="canciones/toño_casado/via_crucis_vi_la_veronica.html"&gt;</v>
      </c>
      <c r="Y2524"/>
      <c r="AC2524" s="1"/>
    </row>
    <row r="2525" spans="1:29" x14ac:dyDescent="0.3">
      <c r="A2525" s="1">
        <f>ROW(CantoralDB[[#This Row],[Título]])-1</f>
        <v>2524</v>
      </c>
      <c r="B2525" s="1" t="s">
        <v>2921</v>
      </c>
      <c r="C2525" s="1"/>
      <c r="H2525" s="1" t="s">
        <v>1027</v>
      </c>
      <c r="J2525" s="1" t="s">
        <v>605</v>
      </c>
      <c r="M2525" s="15" t="s">
        <v>481</v>
      </c>
      <c r="N2525" s="1" t="s">
        <v>2913</v>
      </c>
      <c r="O2525" s="15">
        <v>7</v>
      </c>
      <c r="P2525" s="15">
        <v>2022</v>
      </c>
      <c r="Q2525" s="15" t="str" cm="1">
        <f t="array" ref="Q252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5" s="15" t="str" cm="1">
        <f t="array" ref="R252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canciones/toño_casado/via_crucis_vii_jesus_cae_por_segunda_vez.html</v>
      </c>
      <c r="T2525" s="1"/>
      <c r="U2525" s="1"/>
      <c r="V2525" s="32" t="s">
        <v>3689</v>
      </c>
      <c r="W252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href="canciones/toño_casado/via_crucis_vii_jesus_cae_por_segunda_vez.html"&gt;Via Crucis VII Jesús cae por segunda vez&lt;/a&gt;&lt;/li&gt;</v>
      </c>
      <c r="X2525" s="15" t="str">
        <f>_xlfn.TEXTBEFORE(_xlfn.TEXTAFTER(CantoralDB[[#This Row],[index.html]],"&gt;"),"&gt;")&amp;"&gt;"</f>
        <v>&lt;a href="canciones/toño_casado/via_crucis_vii_jesus_cae_por_segunda_vez.html"&gt;</v>
      </c>
      <c r="Y2525"/>
      <c r="AC2525" s="1"/>
    </row>
    <row r="2526" spans="1:29" x14ac:dyDescent="0.3">
      <c r="A2526" s="1">
        <f>ROW(CantoralDB[[#This Row],[Título]])-1</f>
        <v>2525</v>
      </c>
      <c r="B2526" s="1" t="s">
        <v>2922</v>
      </c>
      <c r="C2526" s="1"/>
      <c r="H2526" s="1" t="s">
        <v>1025</v>
      </c>
      <c r="J2526" s="1" t="s">
        <v>605</v>
      </c>
      <c r="M2526" s="15" t="s">
        <v>481</v>
      </c>
      <c r="N2526" s="1" t="s">
        <v>2913</v>
      </c>
      <c r="O2526" s="15">
        <v>8</v>
      </c>
      <c r="P2526" s="15">
        <v>2022</v>
      </c>
      <c r="Q2526" s="15" t="str" cm="1">
        <f t="array" ref="Q252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6" s="15" t="str" cm="1">
        <f t="array" ref="R252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canciones/toño_casado/via_crucis_viii_jesus_consuela_a_las_mujeres.html</v>
      </c>
      <c r="T2526" s="1"/>
      <c r="U2526" s="1"/>
      <c r="V2526" s="32" t="s">
        <v>3690</v>
      </c>
      <c r="W252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href="canciones/toño_casado/via_crucis_viii_jesus_consuela_a_las_mujeres.html"&gt;Via Crucis VIII Jesús consuela a las mujeres&lt;/a&gt;&lt;/li&gt;</v>
      </c>
      <c r="X2526" s="15" t="str">
        <f>_xlfn.TEXTBEFORE(_xlfn.TEXTAFTER(CantoralDB[[#This Row],[index.html]],"&gt;"),"&gt;")&amp;"&gt;"</f>
        <v>&lt;a href="canciones/toño_casado/via_crucis_viii_jesus_consuela_a_las_mujeres.html"&gt;</v>
      </c>
      <c r="Y2526"/>
      <c r="AC2526" s="1"/>
    </row>
    <row r="2527" spans="1:29" x14ac:dyDescent="0.3">
      <c r="A2527" s="1">
        <f>ROW(CantoralDB[[#This Row],[Título]])-1</f>
        <v>2526</v>
      </c>
      <c r="B2527" s="1" t="s">
        <v>2923</v>
      </c>
      <c r="C2527" s="1"/>
      <c r="H2527" s="1" t="s">
        <v>1027</v>
      </c>
      <c r="J2527" s="1" t="s">
        <v>605</v>
      </c>
      <c r="M2527" s="15" t="s">
        <v>481</v>
      </c>
      <c r="N2527" s="1" t="s">
        <v>2913</v>
      </c>
      <c r="O2527" s="15">
        <v>9</v>
      </c>
      <c r="P2527" s="15">
        <v>2022</v>
      </c>
      <c r="Q2527" s="15" t="str" cm="1">
        <f t="array" ref="Q252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7" s="15" t="str" cm="1">
        <f t="array" ref="R252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canciones/toño_casado/via_crucis_ix_jesus_cae_por_tercera_vez.html</v>
      </c>
      <c r="T2527" s="1"/>
      <c r="U2527" s="1"/>
      <c r="V2527" s="32" t="s">
        <v>3691</v>
      </c>
      <c r="W252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href="canciones/toño_casado/via_crucis_ix_jesus_cae_por_tercera_vez.html"&gt;Via Crucis IX Jesús cae por tercera vez&lt;/a&gt;&lt;/li&gt;</v>
      </c>
      <c r="X2527" s="15" t="str">
        <f>_xlfn.TEXTBEFORE(_xlfn.TEXTAFTER(CantoralDB[[#This Row],[index.html]],"&gt;"),"&gt;")&amp;"&gt;"</f>
        <v>&lt;a href="canciones/toño_casado/via_crucis_ix_jesus_cae_por_tercera_vez.html"&gt;</v>
      </c>
      <c r="Y2527"/>
      <c r="AC2527" s="1"/>
    </row>
    <row r="2528" spans="1:29" x14ac:dyDescent="0.3">
      <c r="A2528" s="1">
        <f>ROW(CantoralDB[[#This Row],[Título]])-1</f>
        <v>2527</v>
      </c>
      <c r="B2528" s="1" t="s">
        <v>2924</v>
      </c>
      <c r="C2528" s="1"/>
      <c r="H2528" s="1" t="s">
        <v>1024</v>
      </c>
      <c r="J2528" s="1" t="s">
        <v>605</v>
      </c>
      <c r="M2528" s="15" t="s">
        <v>481</v>
      </c>
      <c r="N2528" s="1" t="s">
        <v>2913</v>
      </c>
      <c r="O2528" s="15">
        <v>10</v>
      </c>
      <c r="P2528" s="15">
        <v>2022</v>
      </c>
      <c r="Q2528" s="15" t="str" cm="1">
        <f t="array" ref="Q252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8" s="15" t="str" cm="1">
        <f t="array" ref="R252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canciones/toño_casado/via_crucis_x_jesus_es_despojado.html</v>
      </c>
      <c r="T2528" s="1"/>
      <c r="U2528" s="1"/>
      <c r="V2528" s="32" t="s">
        <v>3692</v>
      </c>
      <c r="W252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href="canciones/toño_casado/via_crucis_x_jesus_es_despojado.html"&gt;Via Crucis X Jesús es despojado&lt;/a&gt;&lt;/li&gt;</v>
      </c>
      <c r="X2528" s="15" t="str">
        <f>_xlfn.TEXTBEFORE(_xlfn.TEXTAFTER(CantoralDB[[#This Row],[index.html]],"&gt;"),"&gt;")&amp;"&gt;"</f>
        <v>&lt;a href="canciones/toño_casado/via_crucis_x_jesus_es_despojado.html"&gt;</v>
      </c>
      <c r="Y2528"/>
      <c r="AC2528" s="1"/>
    </row>
    <row r="2529" spans="1:29" x14ac:dyDescent="0.3">
      <c r="A2529" s="1">
        <f>ROW(CantoralDB[[#This Row],[Título]])-1</f>
        <v>2528</v>
      </c>
      <c r="B2529" s="1" t="s">
        <v>2925</v>
      </c>
      <c r="C2529" s="1"/>
      <c r="H2529" s="1" t="s">
        <v>1027</v>
      </c>
      <c r="J2529" s="1" t="s">
        <v>605</v>
      </c>
      <c r="M2529" s="15" t="s">
        <v>481</v>
      </c>
      <c r="N2529" s="1" t="s">
        <v>2913</v>
      </c>
      <c r="O2529" s="15">
        <v>11</v>
      </c>
      <c r="P2529" s="15">
        <v>2022</v>
      </c>
      <c r="Q2529" s="15" t="str" cm="1">
        <f t="array" ref="Q252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29" s="15" t="str" cm="1">
        <f t="array" ref="R252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2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canciones/toño_casado/via_crucis_xi_jesus_es_clavado_en_la_cruz.html</v>
      </c>
      <c r="T2529" s="1"/>
      <c r="U2529" s="1"/>
      <c r="V2529" s="32" t="s">
        <v>3693</v>
      </c>
      <c r="W252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href="canciones/toño_casado/via_crucis_xi_jesus_es_clavado_en_la_cruz.html"&gt;Via Crucis XI Jesús es clavado en la Cruz&lt;/a&gt;&lt;/li&gt;</v>
      </c>
      <c r="X2529" s="15" t="str">
        <f>_xlfn.TEXTBEFORE(_xlfn.TEXTAFTER(CantoralDB[[#This Row],[index.html]],"&gt;"),"&gt;")&amp;"&gt;"</f>
        <v>&lt;a href="canciones/toño_casado/via_crucis_xi_jesus_es_clavado_en_la_cruz.html"&gt;</v>
      </c>
      <c r="Y2529"/>
      <c r="AC2529" s="1"/>
    </row>
    <row r="2530" spans="1:29" x14ac:dyDescent="0.3">
      <c r="A2530" s="1">
        <f>ROW(CantoralDB[[#This Row],[Título]])-1</f>
        <v>2529</v>
      </c>
      <c r="B2530" s="1" t="s">
        <v>2926</v>
      </c>
      <c r="C2530" s="1"/>
      <c r="H2530" s="1" t="s">
        <v>529</v>
      </c>
      <c r="J2530" s="1" t="s">
        <v>605</v>
      </c>
      <c r="M2530" s="15" t="s">
        <v>481</v>
      </c>
      <c r="N2530" s="1" t="s">
        <v>2913</v>
      </c>
      <c r="O2530" s="15">
        <v>12</v>
      </c>
      <c r="P2530" s="15">
        <v>2022</v>
      </c>
      <c r="Q2530" s="15" t="str" cm="1">
        <f t="array" ref="Q253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30" s="15" t="str" cm="1">
        <f t="array" ref="R253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3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canciones/toño_casado/via_crucis_xii_jesus_muere_en_la_cruz.html</v>
      </c>
      <c r="T2530" s="1"/>
      <c r="U2530" s="1"/>
      <c r="V2530" s="32" t="s">
        <v>3694</v>
      </c>
      <c r="W253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href="canciones/toño_casado/via_crucis_xii_jesus_muere_en_la_cruz.html"&gt;Via Crucis XII Jesús muere en la Cruz&lt;/a&gt;&lt;/li&gt;</v>
      </c>
      <c r="X2530" s="15" t="str">
        <f>_xlfn.TEXTBEFORE(_xlfn.TEXTAFTER(CantoralDB[[#This Row],[index.html]],"&gt;"),"&gt;")&amp;"&gt;"</f>
        <v>&lt;a href="canciones/toño_casado/via_crucis_xii_jesus_muere_en_la_cruz.html"&gt;</v>
      </c>
      <c r="Y2530"/>
      <c r="AC2530" s="1"/>
    </row>
    <row r="2531" spans="1:29" x14ac:dyDescent="0.3">
      <c r="A2531" s="1">
        <f>ROW(CantoralDB[[#This Row],[Título]])-1</f>
        <v>2530</v>
      </c>
      <c r="B2531" s="1" t="s">
        <v>2927</v>
      </c>
      <c r="C2531" s="1"/>
      <c r="H2531" s="1" t="s">
        <v>1024</v>
      </c>
      <c r="J2531" s="1" t="s">
        <v>605</v>
      </c>
      <c r="M2531" s="15" t="s">
        <v>481</v>
      </c>
      <c r="N2531" s="1" t="s">
        <v>2913</v>
      </c>
      <c r="O2531" s="15">
        <v>13</v>
      </c>
      <c r="P2531" s="15">
        <v>2022</v>
      </c>
      <c r="Q2531" s="15" t="str" cm="1">
        <f t="array" ref="Q253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31" s="15" t="str" cm="1">
        <f t="array" ref="R253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3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canciones/toño_casado/via_crucis_xiii_jesus_bajado_de_la_cruz.html</v>
      </c>
      <c r="T2531" s="1"/>
      <c r="U2531" s="1"/>
      <c r="V2531" s="32" t="s">
        <v>3695</v>
      </c>
      <c r="W253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href="canciones/toño_casado/via_crucis_xiii_jesus_bajado_de_la_cruz.html"&gt;Via Crucis XIII Jesús bajado de la Cruz&lt;/a&gt;&lt;/li&gt;</v>
      </c>
      <c r="X2531" s="15" t="str">
        <f>_xlfn.TEXTBEFORE(_xlfn.TEXTAFTER(CantoralDB[[#This Row],[index.html]],"&gt;"),"&gt;")&amp;"&gt;"</f>
        <v>&lt;a href="canciones/toño_casado/via_crucis_xiii_jesus_bajado_de_la_cruz.html"&gt;</v>
      </c>
      <c r="Y2531"/>
      <c r="AC2531" s="1"/>
    </row>
    <row r="2532" spans="1:29" x14ac:dyDescent="0.3">
      <c r="A2532" s="1">
        <f>ROW(CantoralDB[[#This Row],[Título]])-1</f>
        <v>2531</v>
      </c>
      <c r="B2532" s="1" t="s">
        <v>2928</v>
      </c>
      <c r="C2532" s="1"/>
      <c r="H2532" s="1" t="s">
        <v>1026</v>
      </c>
      <c r="J2532" s="1" t="s">
        <v>605</v>
      </c>
      <c r="M2532" s="15" t="s">
        <v>481</v>
      </c>
      <c r="N2532" s="1" t="s">
        <v>2913</v>
      </c>
      <c r="O2532" s="15">
        <v>14</v>
      </c>
      <c r="P2532" s="15">
        <v>2022</v>
      </c>
      <c r="Q2532" s="15" t="str" cm="1">
        <f t="array" ref="Q253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32" s="15" t="str" cm="1">
        <f t="array" ref="R253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3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canciones/toño_casado/via_crucis_xiv_el_cuerpo_de_jesus.html</v>
      </c>
      <c r="T2532" s="1"/>
      <c r="U2532" s="1"/>
      <c r="V2532" s="32" t="s">
        <v>3696</v>
      </c>
      <c r="W253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href="canciones/toño_casado/via_crucis_xiv_el_cuerpo_de_jesus.html"&gt;Via Crucis XIV El cuerpo de Jesús&lt;/a&gt;&lt;/li&gt;</v>
      </c>
      <c r="X2532" s="15" t="str">
        <f>_xlfn.TEXTBEFORE(_xlfn.TEXTAFTER(CantoralDB[[#This Row],[index.html]],"&gt;"),"&gt;")&amp;"&gt;"</f>
        <v>&lt;a href="canciones/toño_casado/via_crucis_xiv_el_cuerpo_de_jesus.html"&gt;</v>
      </c>
      <c r="Y2532"/>
      <c r="AC2532" s="1"/>
    </row>
    <row r="2533" spans="1:29" x14ac:dyDescent="0.3">
      <c r="A2533" s="1">
        <f>ROW(CantoralDB[[#This Row],[Título]])-1</f>
        <v>2532</v>
      </c>
      <c r="B2533" s="1" t="s">
        <v>2929</v>
      </c>
      <c r="C2533" s="1"/>
      <c r="H2533" s="1" t="s">
        <v>472</v>
      </c>
      <c r="J2533" s="1" t="s">
        <v>605</v>
      </c>
      <c r="M2533" s="15" t="s">
        <v>481</v>
      </c>
      <c r="N2533" s="1" t="s">
        <v>2913</v>
      </c>
      <c r="O2533" s="15">
        <v>15</v>
      </c>
      <c r="P2533" s="15">
        <v>2022</v>
      </c>
      <c r="Q2533" s="15" t="str" cm="1">
        <f t="array" ref="Q253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toño_casado</v>
      </c>
      <c r="R2533" s="15" t="str" cm="1">
        <f t="array" ref="R253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toño_casado</v>
      </c>
      <c r="S253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canciones/toño_casado/via_crucis_xv_la_fuerza_de_la_cruz.html</v>
      </c>
      <c r="T2533" s="1"/>
      <c r="U2533" s="1"/>
      <c r="V2533" s="32" t="s">
        <v>3697</v>
      </c>
      <c r="W253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data-author="Toño Casado"&gt;&lt;a href="canciones/toño_casado/via_crucis_xv_la_fuerza_de_la_cruz.html"&gt;Via Crucis XV La fuerza de la Cruz&lt;/a&gt;&lt;/li&gt;</v>
      </c>
      <c r="X2533" s="15" t="str">
        <f>_xlfn.TEXTBEFORE(_xlfn.TEXTAFTER(CantoralDB[[#This Row],[index.html]],"&gt;"),"&gt;")&amp;"&gt;"</f>
        <v>&lt;a href="canciones/toño_casado/via_crucis_xv_la_fuerza_de_la_cruz.html"&gt;</v>
      </c>
      <c r="Y2533"/>
      <c r="AC2533" s="1"/>
    </row>
    <row r="2534" spans="1:29" x14ac:dyDescent="0.3">
      <c r="A2534" s="1">
        <f>ROW(CantoralDB[[#This Row],[Título]])-1</f>
        <v>2533</v>
      </c>
      <c r="B2534" s="1" t="s">
        <v>543</v>
      </c>
      <c r="C2534" s="1" t="s">
        <v>475</v>
      </c>
      <c r="D2534" s="1" t="s">
        <v>1367</v>
      </c>
      <c r="H2534" s="1" t="s">
        <v>472</v>
      </c>
      <c r="J2534" s="1" t="s">
        <v>605</v>
      </c>
      <c r="M2534" s="15" t="s">
        <v>2129</v>
      </c>
      <c r="O2534" s="15"/>
      <c r="P2534" s="15"/>
      <c r="Q2534" s="15" t="str" cm="1">
        <f t="array" ref="Q253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4" s="15" t="str" cm="1">
        <f t="array" ref="R253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canciones/villancicos/alegria_alegria_alegria.html</v>
      </c>
      <c r="T2534" s="1"/>
      <c r="U2534" s="1"/>
      <c r="V2534" s="15"/>
      <c r="W253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data-nnew="O02"&gt;&lt;a href="canciones/villancicos/alegria_alegria_alegria.html"&gt;Alegría, alegría, alegría&lt;/a&gt;&lt;/li&gt;</v>
      </c>
      <c r="X2534" s="15" t="str">
        <f>_xlfn.TEXTBEFORE(_xlfn.TEXTAFTER(CantoralDB[[#This Row],[index.html]],"&gt;"),"&gt;")&amp;"&gt;"</f>
        <v>&lt;a href="canciones/villancicos/alegria_alegria_alegria.html"&gt;</v>
      </c>
      <c r="Y2534"/>
      <c r="AC2534" s="1"/>
    </row>
    <row r="2535" spans="1:29" x14ac:dyDescent="0.3">
      <c r="A2535" s="1">
        <f>ROW(CantoralDB[[#This Row],[Título]])-1</f>
        <v>2534</v>
      </c>
      <c r="B2535" s="1" t="s">
        <v>2175</v>
      </c>
      <c r="C2535" s="1"/>
      <c r="H2535" s="1" t="s">
        <v>529</v>
      </c>
      <c r="J2535" s="1" t="s">
        <v>605</v>
      </c>
      <c r="M2535" s="15" t="s">
        <v>2129</v>
      </c>
      <c r="O2535" s="15"/>
      <c r="P2535" s="15"/>
      <c r="Q2535" s="15" t="str" cm="1">
        <f t="array" ref="Q253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5" s="15" t="str" cm="1">
        <f t="array" ref="R253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canciones/villancicos/arre_borriquito.html</v>
      </c>
      <c r="T2535" s="1"/>
      <c r="U2535" s="1"/>
      <c r="V2535" s="15"/>
      <c r="W253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data-author="Villancicos"&gt;&lt;a href="canciones/villancicos/arre_borriquito.html"&gt;Arre, borriquito&lt;/a&gt;&lt;/li&gt;</v>
      </c>
      <c r="X2535" s="15" t="str">
        <f>_xlfn.TEXTBEFORE(_xlfn.TEXTAFTER(CantoralDB[[#This Row],[index.html]],"&gt;"),"&gt;")&amp;"&gt;"</f>
        <v>&lt;a href="canciones/villancicos/arre_borriquito.html"&gt;</v>
      </c>
      <c r="Y2535"/>
      <c r="AC2535" s="1"/>
    </row>
    <row r="2536" spans="1:29" x14ac:dyDescent="0.3">
      <c r="A2536" s="1">
        <f>ROW(CantoralDB[[#This Row],[Título]])-1</f>
        <v>2535</v>
      </c>
      <c r="B2536" s="1" t="s">
        <v>545</v>
      </c>
      <c r="C2536" s="1" t="s">
        <v>475</v>
      </c>
      <c r="D2536" s="1" t="s">
        <v>1385</v>
      </c>
      <c r="H2536" s="1" t="s">
        <v>1026</v>
      </c>
      <c r="J2536" s="1" t="s">
        <v>605</v>
      </c>
      <c r="M2536" s="15" t="s">
        <v>2129</v>
      </c>
      <c r="O2536" s="15"/>
      <c r="P2536" s="15"/>
      <c r="Q2536" s="15" t="str" cm="1">
        <f t="array" ref="Q253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6" s="15" t="str" cm="1">
        <f t="array" ref="R253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canciones/villancicos/ay_del_chiquirritin.html</v>
      </c>
      <c r="T2536" s="1"/>
      <c r="U2536" s="1"/>
      <c r="V2536" s="15"/>
      <c r="W253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data-nnew="O03"&gt;&lt;a href="canciones/villancicos/ay_del_chiquirritin.html"&gt;Ay, del chiquirritín&lt;/a&gt;&lt;/li&gt;</v>
      </c>
      <c r="X2536" s="15" t="str">
        <f>_xlfn.TEXTBEFORE(_xlfn.TEXTAFTER(CantoralDB[[#This Row],[index.html]],"&gt;"),"&gt;")&amp;"&gt;"</f>
        <v>&lt;a href="canciones/villancicos/ay_del_chiquirritin.html"&gt;</v>
      </c>
      <c r="Y2536"/>
      <c r="AC2536" s="1"/>
    </row>
    <row r="2537" spans="1:29" x14ac:dyDescent="0.3">
      <c r="A2537" s="1">
        <f>ROW(CantoralDB[[#This Row],[Título]])-1</f>
        <v>2536</v>
      </c>
      <c r="B2537" s="1" t="s">
        <v>544</v>
      </c>
      <c r="C2537" s="1" t="s">
        <v>475</v>
      </c>
      <c r="D2537" s="1" t="s">
        <v>1391</v>
      </c>
      <c r="E2537" s="1">
        <v>40</v>
      </c>
      <c r="H2537" s="1" t="s">
        <v>529</v>
      </c>
      <c r="J2537" s="1" t="s">
        <v>605</v>
      </c>
      <c r="M2537" s="15" t="s">
        <v>2129</v>
      </c>
      <c r="O2537" s="15"/>
      <c r="P2537" s="15"/>
      <c r="Q2537" s="15" t="str" cm="1">
        <f t="array" ref="Q253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7" s="15" t="str" cm="1">
        <f t="array" ref="R253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canciones/villancicos/campana_sobre_campana.html</v>
      </c>
      <c r="T2537" s="1"/>
      <c r="U2537" s="1"/>
      <c r="V2537" s="15"/>
      <c r="W253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data-nnew="O04" data-nold="40"&gt;&lt;a href="canciones/villancicos/campana_sobre_campana.html"&gt;Campana sobre campana&lt;/a&gt;&lt;/li&gt;</v>
      </c>
      <c r="X2537" s="15" t="str">
        <f>_xlfn.TEXTBEFORE(_xlfn.TEXTAFTER(CantoralDB[[#This Row],[index.html]],"&gt;"),"&gt;")&amp;"&gt;"</f>
        <v>&lt;a href="canciones/villancicos/campana_sobre_campana.html"&gt;</v>
      </c>
      <c r="Y2537"/>
      <c r="AC2537" s="1"/>
    </row>
    <row r="2538" spans="1:29" x14ac:dyDescent="0.3">
      <c r="A2538" s="1">
        <f>ROW(CantoralDB[[#This Row],[Título]])-1</f>
        <v>2537</v>
      </c>
      <c r="B2538" s="1" t="s">
        <v>1195</v>
      </c>
      <c r="C2538" s="1"/>
      <c r="E2538" s="1">
        <v>72</v>
      </c>
      <c r="H2538" s="1" t="s">
        <v>1027</v>
      </c>
      <c r="J2538" s="1" t="s">
        <v>605</v>
      </c>
      <c r="M2538" s="15" t="s">
        <v>2129</v>
      </c>
      <c r="O2538" s="15"/>
      <c r="P2538" s="15"/>
      <c r="Q2538" s="15" t="str" cm="1">
        <f t="array" ref="Q253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8" s="15" t="str" cm="1">
        <f t="array" ref="R253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canciones/villancicos/danos_paz.html</v>
      </c>
      <c r="T2538" s="1"/>
      <c r="U2538" s="1"/>
      <c r="V2538" s="15"/>
      <c r="W253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data-nold="72"&gt;&lt;a href="canciones/villancicos/danos_paz.html"&gt;Danos paz&lt;/a&gt;&lt;/li&gt;</v>
      </c>
      <c r="X2538" s="15" t="str">
        <f>_xlfn.TEXTBEFORE(_xlfn.TEXTAFTER(CantoralDB[[#This Row],[index.html]],"&gt;"),"&gt;")&amp;"&gt;"</f>
        <v>&lt;a href="canciones/villancicos/danos_paz.html"&gt;</v>
      </c>
      <c r="Y2538"/>
      <c r="AC2538" s="1"/>
    </row>
    <row r="2539" spans="1:29" x14ac:dyDescent="0.3">
      <c r="A2539" s="1">
        <f>ROW(CantoralDB[[#This Row],[Título]])-1</f>
        <v>2538</v>
      </c>
      <c r="B2539" s="1" t="s">
        <v>546</v>
      </c>
      <c r="C2539" s="1" t="s">
        <v>475</v>
      </c>
      <c r="D2539" s="1" t="s">
        <v>1406</v>
      </c>
      <c r="E2539" s="1">
        <v>86</v>
      </c>
      <c r="H2539" s="1" t="s">
        <v>1027</v>
      </c>
      <c r="J2539" s="1" t="s">
        <v>605</v>
      </c>
      <c r="M2539" s="15" t="s">
        <v>2129</v>
      </c>
      <c r="O2539" s="15"/>
      <c r="P2539" s="15"/>
      <c r="Q2539" s="15" t="str" cm="1">
        <f t="array" ref="Q253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39" s="15" t="str" cm="1">
        <f t="array" ref="R253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3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canciones/villancicos/dime_niño.html</v>
      </c>
      <c r="T2539" s="1"/>
      <c r="U2539" s="1"/>
      <c r="V2539" s="15"/>
      <c r="W253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data-nnew="O06" data-nold="86"&gt;&lt;a href="canciones/villancicos/dime_niño.html"&gt;Dime, niño&lt;/a&gt;&lt;/li&gt;</v>
      </c>
      <c r="X2539" s="15" t="str">
        <f>_xlfn.TEXTBEFORE(_xlfn.TEXTAFTER(CantoralDB[[#This Row],[index.html]],"&gt;"),"&gt;")&amp;"&gt;"</f>
        <v>&lt;a href="canciones/villancicos/dime_niño.html"&gt;</v>
      </c>
      <c r="Y2539"/>
      <c r="AC2539" s="1"/>
    </row>
    <row r="2540" spans="1:29" x14ac:dyDescent="0.3">
      <c r="A2540" s="1">
        <f>ROW(CantoralDB[[#This Row],[Título]])-1</f>
        <v>2539</v>
      </c>
      <c r="B2540" s="1" t="s">
        <v>55</v>
      </c>
      <c r="C2540" s="1" t="s">
        <v>475</v>
      </c>
      <c r="D2540" s="1" t="s">
        <v>1413</v>
      </c>
      <c r="E2540" s="1">
        <v>104</v>
      </c>
      <c r="G2540" s="1" t="s">
        <v>208</v>
      </c>
      <c r="H2540" s="1" t="s">
        <v>529</v>
      </c>
      <c r="J2540" s="1" t="s">
        <v>605</v>
      </c>
      <c r="M2540" s="15" t="s">
        <v>2129</v>
      </c>
      <c r="O2540" s="15"/>
      <c r="P2540" s="15"/>
      <c r="Q2540" s="15" t="str" cm="1">
        <f t="array" ref="Q254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0" s="15" t="str" cm="1">
        <f t="array" ref="R254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canciones/villancicos/el_tamborilero.html</v>
      </c>
      <c r="T2540" s="1"/>
      <c r="U2540" s="1"/>
      <c r="V2540" s="15"/>
      <c r="W254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data-nnew="O09" data-nold="104"&gt;&lt;a href="canciones/villancicos/el_tamborilero.html"&gt;El tamborilero&lt;/a&gt;&lt;/li&gt;</v>
      </c>
      <c r="X2540" s="15" t="str">
        <f>_xlfn.TEXTBEFORE(_xlfn.TEXTAFTER(CantoralDB[[#This Row],[index.html]],"&gt;"),"&gt;")&amp;"&gt;"</f>
        <v>&lt;a href="canciones/villancicos/el_tamborilero.html"&gt;</v>
      </c>
      <c r="Y2540"/>
      <c r="AC2540" s="1"/>
    </row>
    <row r="2541" spans="1:29" x14ac:dyDescent="0.3">
      <c r="A2541" s="1">
        <f>ROW(CantoralDB[[#This Row],[Título]])-1</f>
        <v>2540</v>
      </c>
      <c r="B2541" s="1" t="s">
        <v>2176</v>
      </c>
      <c r="C2541" s="1"/>
      <c r="H2541" s="1" t="s">
        <v>1027</v>
      </c>
      <c r="J2541" s="1" t="s">
        <v>605</v>
      </c>
      <c r="M2541" s="15" t="s">
        <v>2129</v>
      </c>
      <c r="O2541" s="15"/>
      <c r="P2541" s="15"/>
      <c r="Q2541" s="15" t="str" cm="1">
        <f t="array" ref="Q254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1" s="15" t="str" cm="1">
        <f t="array" ref="R254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canciones/villancicos/hacia_belen_va_una_burra.html</v>
      </c>
      <c r="T2541" s="1"/>
      <c r="U2541" s="1"/>
      <c r="V2541" s="15"/>
      <c r="W254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data-author="Villancicos"&gt;&lt;a href="canciones/villancicos/hacia_belen_va_una_burra.html"&gt;Hacia Belén va una burra&lt;/a&gt;&lt;/li&gt;</v>
      </c>
      <c r="X2541" s="15" t="str">
        <f>_xlfn.TEXTBEFORE(_xlfn.TEXTAFTER(CantoralDB[[#This Row],[index.html]],"&gt;"),"&gt;")&amp;"&gt;"</f>
        <v>&lt;a href="canciones/villancicos/hacia_belen_va_una_burra.html"&gt;</v>
      </c>
      <c r="Y2541"/>
      <c r="AC2541" s="1"/>
    </row>
    <row r="2542" spans="1:29" x14ac:dyDescent="0.3">
      <c r="A2542" s="1">
        <f>ROW(CantoralDB[[#This Row],[Título]])-1</f>
        <v>2541</v>
      </c>
      <c r="B2542" s="1" t="s">
        <v>786</v>
      </c>
      <c r="C2542" s="1" t="s">
        <v>475</v>
      </c>
      <c r="D2542" s="1" t="s">
        <v>1056</v>
      </c>
      <c r="H2542" s="1" t="s">
        <v>1027</v>
      </c>
      <c r="J2542" s="1" t="s">
        <v>605</v>
      </c>
      <c r="M2542" s="15" t="s">
        <v>2129</v>
      </c>
      <c r="O2542" s="15"/>
      <c r="P2542" s="15"/>
      <c r="Q2542" s="15" t="str" cm="1">
        <f t="array" ref="Q254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2" s="15" t="str" cm="1">
        <f t="array" ref="R254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canciones/villancicos/hoy_en_la_tierra.html</v>
      </c>
      <c r="T2542" s="1"/>
      <c r="U2542" s="1"/>
      <c r="V2542" s="15"/>
      <c r="W254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data-nnew="O10"&gt;&lt;a href="canciones/villancicos/hoy_en_la_tierra.html"&gt;Hoy en la tierra&lt;/a&gt;&lt;/li&gt;</v>
      </c>
      <c r="X2542" s="15" t="str">
        <f>_xlfn.TEXTBEFORE(_xlfn.TEXTAFTER(CantoralDB[[#This Row],[index.html]],"&gt;"),"&gt;")&amp;"&gt;"</f>
        <v>&lt;a href="canciones/villancicos/hoy_en_la_tierra.html"&gt;</v>
      </c>
      <c r="Y2542"/>
      <c r="AC2542" s="1"/>
    </row>
    <row r="2543" spans="1:29" x14ac:dyDescent="0.3">
      <c r="A2543" s="1">
        <f>ROW(CantoralDB[[#This Row],[Título]])-1</f>
        <v>2542</v>
      </c>
      <c r="B2543" s="1" t="s">
        <v>2177</v>
      </c>
      <c r="C2543" s="1"/>
      <c r="H2543" s="1" t="s">
        <v>529</v>
      </c>
      <c r="J2543" s="1" t="s">
        <v>605</v>
      </c>
      <c r="M2543" s="15" t="s">
        <v>2129</v>
      </c>
      <c r="O2543" s="15"/>
      <c r="P2543" s="15"/>
      <c r="Q2543" s="15" t="str" cm="1">
        <f t="array" ref="Q254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3" s="15" t="str" cm="1">
        <f t="array" ref="R254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canciones/villancicos/la_marimorena.html</v>
      </c>
      <c r="T2543" s="1"/>
      <c r="U2543" s="1"/>
      <c r="V2543" s="15"/>
      <c r="W254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data-author="Villancicos"&gt;&lt;a href="canciones/villancicos/la_marimorena.html"&gt;La marimorena&lt;/a&gt;&lt;/li&gt;</v>
      </c>
      <c r="X2543" s="15" t="str">
        <f>_xlfn.TEXTBEFORE(_xlfn.TEXTAFTER(CantoralDB[[#This Row],[index.html]],"&gt;"),"&gt;")&amp;"&gt;"</f>
        <v>&lt;a href="canciones/villancicos/la_marimorena.html"&gt;</v>
      </c>
      <c r="Y2543"/>
      <c r="AC2543" s="1"/>
    </row>
    <row r="2544" spans="1:29" x14ac:dyDescent="0.3">
      <c r="A2544" s="1">
        <f>ROW(CantoralDB[[#This Row],[Título]])-1</f>
        <v>2543</v>
      </c>
      <c r="B2544" s="1" t="s">
        <v>1653</v>
      </c>
      <c r="C2544" s="15"/>
      <c r="H2544" s="1" t="s">
        <v>529</v>
      </c>
      <c r="J2544" s="1" t="s">
        <v>605</v>
      </c>
      <c r="M2544" s="15" t="s">
        <v>2129</v>
      </c>
      <c r="O2544" s="15"/>
      <c r="P2544" s="15"/>
      <c r="Q2544" s="15" t="str" cm="1">
        <f t="array" ref="Q2544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4" s="15" t="str" cm="1">
        <f t="array" ref="R2544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4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canciones/villancicos/la_mula.html</v>
      </c>
      <c r="T2544" s="1"/>
      <c r="U2544" s="1"/>
      <c r="V2544" s="15"/>
      <c r="W2544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data-author="Villancicos"&gt;&lt;a href="canciones/villancicos/la_mula.html"&gt;La mula&lt;/a&gt;&lt;/li&gt;</v>
      </c>
      <c r="X2544" s="15" t="str">
        <f>_xlfn.TEXTBEFORE(_xlfn.TEXTAFTER(CantoralDB[[#This Row],[index.html]],"&gt;"),"&gt;")&amp;"&gt;"</f>
        <v>&lt;a href="canciones/villancicos/la_mula.html"&gt;</v>
      </c>
      <c r="Y2544"/>
      <c r="AC2544" s="1"/>
    </row>
    <row r="2545" spans="1:29" x14ac:dyDescent="0.3">
      <c r="A2545" s="1">
        <f>ROW(CantoralDB[[#This Row],[Título]])-1</f>
        <v>2544</v>
      </c>
      <c r="B2545" s="1" t="s">
        <v>2178</v>
      </c>
      <c r="C2545" s="1"/>
      <c r="H2545" s="1" t="s">
        <v>529</v>
      </c>
      <c r="J2545" s="1" t="s">
        <v>605</v>
      </c>
      <c r="M2545" s="15" t="s">
        <v>2129</v>
      </c>
      <c r="O2545" s="15"/>
      <c r="P2545" s="15"/>
      <c r="Q2545" s="15" t="str" cm="1">
        <f t="array" ref="Q2545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5" s="15" t="str" cm="1">
        <f t="array" ref="R2545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5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canciones/villancicos/los_peces_en_el_rio.html</v>
      </c>
      <c r="T2545" s="1"/>
      <c r="U2545" s="1"/>
      <c r="V2545" s="15"/>
      <c r="W2545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data-author="Villancicos"&gt;&lt;a href="canciones/villancicos/los_peces_en_el_rio.html"&gt;Los peces en el río&lt;/a&gt;&lt;/li&gt;</v>
      </c>
      <c r="X2545" s="15" t="str">
        <f>_xlfn.TEXTBEFORE(_xlfn.TEXTAFTER(CantoralDB[[#This Row],[index.html]],"&gt;"),"&gt;")&amp;"&gt;"</f>
        <v>&lt;a href="canciones/villancicos/los_peces_en_el_rio.html"&gt;</v>
      </c>
      <c r="Y2545"/>
      <c r="AC2545" s="1"/>
    </row>
    <row r="2546" spans="1:29" x14ac:dyDescent="0.3">
      <c r="A2546" s="1">
        <f>ROW(CantoralDB[[#This Row],[Título]])-1</f>
        <v>2545</v>
      </c>
      <c r="B2546" s="1" t="s">
        <v>251</v>
      </c>
      <c r="C2546" s="1" t="s">
        <v>475</v>
      </c>
      <c r="D2546" s="1" t="s">
        <v>1058</v>
      </c>
      <c r="G2546" s="1" t="s">
        <v>247</v>
      </c>
      <c r="H2546" s="1" t="s">
        <v>1024</v>
      </c>
      <c r="J2546" s="1" t="s">
        <v>605</v>
      </c>
      <c r="M2546" s="15" t="s">
        <v>2129</v>
      </c>
      <c r="O2546" s="15"/>
      <c r="P2546" s="15"/>
      <c r="Q2546" s="15" t="str" cm="1">
        <f t="array" ref="Q2546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6" s="15" t="str" cm="1">
        <f t="array" ref="R2546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6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canciones/villancicos/nace_el_niño_en_un_portal.html</v>
      </c>
      <c r="T2546" s="1"/>
      <c r="U2546" s="1"/>
      <c r="V2546" s="15"/>
      <c r="W2546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data-nnew="O12"&gt;&lt;a href="canciones/villancicos/nace_el_niño_en_un_portal.html"&gt;Nace el niño en un portal&lt;/a&gt;&lt;/li&gt;</v>
      </c>
      <c r="X2546" s="15" t="str">
        <f>_xlfn.TEXTBEFORE(_xlfn.TEXTAFTER(CantoralDB[[#This Row],[index.html]],"&gt;"),"&gt;")&amp;"&gt;"</f>
        <v>&lt;a href="canciones/villancicos/nace_el_niño_en_un_portal.html"&gt;</v>
      </c>
      <c r="Y2546"/>
      <c r="AC2546" s="1"/>
    </row>
    <row r="2547" spans="1:29" x14ac:dyDescent="0.3">
      <c r="A2547" s="1">
        <f>ROW(CantoralDB[[#This Row],[Título]])-1</f>
        <v>2546</v>
      </c>
      <c r="B2547" s="1" t="s">
        <v>1279</v>
      </c>
      <c r="C2547" s="1"/>
      <c r="E2547" s="1">
        <v>170</v>
      </c>
      <c r="H2547" s="1" t="s">
        <v>472</v>
      </c>
      <c r="J2547" s="1" t="s">
        <v>605</v>
      </c>
      <c r="M2547" s="15" t="s">
        <v>2129</v>
      </c>
      <c r="O2547" s="15"/>
      <c r="P2547" s="15"/>
      <c r="Q2547" s="15" t="str" cm="1">
        <f t="array" ref="Q2547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7" s="15" t="str" cm="1">
        <f t="array" ref="R2547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7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canciones/villancicos/noche_de_dios.html</v>
      </c>
      <c r="T2547" s="1"/>
      <c r="U2547" s="1"/>
      <c r="V2547" s="15"/>
      <c r="W2547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data-nold="170"&gt;&lt;a href="canciones/villancicos/noche_de_dios.html"&gt;Noche de Dios&lt;/a&gt;&lt;/li&gt;</v>
      </c>
      <c r="X2547" s="15" t="str">
        <f>_xlfn.TEXTBEFORE(_xlfn.TEXTAFTER(CantoralDB[[#This Row],[index.html]],"&gt;"),"&gt;")&amp;"&gt;"</f>
        <v>&lt;a href="canciones/villancicos/noche_de_dios.html"&gt;</v>
      </c>
      <c r="Y2547"/>
      <c r="AC2547" s="1"/>
    </row>
    <row r="2548" spans="1:29" x14ac:dyDescent="0.3">
      <c r="A2548" s="1">
        <f>ROW(CantoralDB[[#This Row],[Título]])-1</f>
        <v>2547</v>
      </c>
      <c r="B2548" s="1" t="s">
        <v>787</v>
      </c>
      <c r="C2548" s="1" t="s">
        <v>475</v>
      </c>
      <c r="D2548" s="1" t="s">
        <v>1061</v>
      </c>
      <c r="H2548" s="1" t="s">
        <v>472</v>
      </c>
      <c r="J2548" s="1" t="s">
        <v>605</v>
      </c>
      <c r="M2548" s="15" t="s">
        <v>2129</v>
      </c>
      <c r="O2548" s="15"/>
      <c r="P2548" s="15"/>
      <c r="Q2548" s="15" t="str" cm="1">
        <f t="array" ref="Q2548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8" s="15" t="str" cm="1">
        <f t="array" ref="R2548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8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canciones/villancicos/noche_de_paz.html</v>
      </c>
      <c r="T2548" s="1"/>
      <c r="U2548" s="1"/>
      <c r="V2548" s="15"/>
      <c r="W2548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data-nnew="O15"&gt;&lt;a href="canciones/villancicos/noche_de_paz.html"&gt;Noche de paz&lt;/a&gt;&lt;/li&gt;</v>
      </c>
      <c r="X2548" s="15" t="str">
        <f>_xlfn.TEXTBEFORE(_xlfn.TEXTAFTER(CantoralDB[[#This Row],[index.html]],"&gt;"),"&gt;")&amp;"&gt;"</f>
        <v>&lt;a href="canciones/villancicos/noche_de_paz.html"&gt;</v>
      </c>
      <c r="Y2548"/>
      <c r="AC2548" s="1"/>
    </row>
    <row r="2549" spans="1:29" x14ac:dyDescent="0.3">
      <c r="A2549" s="1">
        <f>ROW(CantoralDB[[#This Row],[Título]])-1</f>
        <v>2548</v>
      </c>
      <c r="B2549" s="1" t="s">
        <v>252</v>
      </c>
      <c r="C2549" s="1" t="s">
        <v>475</v>
      </c>
      <c r="D2549" s="1" t="s">
        <v>1062</v>
      </c>
      <c r="G2549" s="1" t="s">
        <v>247</v>
      </c>
      <c r="H2549" s="1" t="s">
        <v>1024</v>
      </c>
      <c r="J2549" s="1" t="s">
        <v>605</v>
      </c>
      <c r="M2549" s="15" t="s">
        <v>2129</v>
      </c>
      <c r="O2549" s="15"/>
      <c r="P2549" s="15"/>
      <c r="Q2549" s="15" t="str" cm="1">
        <f t="array" ref="Q2549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49" s="15" t="str" cm="1">
        <f t="array" ref="R2549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49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canciones/villancicos/nunca_suenan_las_campanas.html</v>
      </c>
      <c r="T2549" s="1"/>
      <c r="U2549" s="1"/>
      <c r="V2549" s="15"/>
      <c r="W2549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data-nnew="O16"&gt;&lt;a href="canciones/villancicos/nunca_suenan_las_campanas.html"&gt;Nunca suenan las campanas&lt;/a&gt;&lt;/li&gt;</v>
      </c>
      <c r="X2549" s="15" t="str">
        <f>_xlfn.TEXTBEFORE(_xlfn.TEXTAFTER(CantoralDB[[#This Row],[index.html]],"&gt;"),"&gt;")&amp;"&gt;"</f>
        <v>&lt;a href="canciones/villancicos/nunca_suenan_las_campanas.html"&gt;</v>
      </c>
      <c r="Y2549"/>
      <c r="AC2549" s="1"/>
    </row>
    <row r="2550" spans="1:29" x14ac:dyDescent="0.3">
      <c r="A2550" s="1">
        <f>ROW(CantoralDB[[#This Row],[Título]])-1</f>
        <v>2549</v>
      </c>
      <c r="B2550" s="1" t="s">
        <v>184</v>
      </c>
      <c r="C2550" s="1" t="s">
        <v>475</v>
      </c>
      <c r="D2550" s="1" t="s">
        <v>1063</v>
      </c>
      <c r="G2550" s="1" t="s">
        <v>208</v>
      </c>
      <c r="H2550" s="1" t="s">
        <v>1025</v>
      </c>
      <c r="J2550" s="1" t="s">
        <v>605</v>
      </c>
      <c r="M2550" s="15" t="s">
        <v>2129</v>
      </c>
      <c r="O2550" s="15"/>
      <c r="P2550" s="15"/>
      <c r="Q2550" s="15" t="str" cm="1">
        <f t="array" ref="Q2550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50" s="15" t="str" cm="1">
        <f t="array" ref="R2550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50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canciones/villancicos/pastores_venid.html</v>
      </c>
      <c r="T2550" s="1"/>
      <c r="U2550" s="1"/>
      <c r="V2550" s="15"/>
      <c r="W2550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data-nnew="O17"&gt;&lt;a href="canciones/villancicos/pastores_venid.html"&gt;Pastores, venid&lt;/a&gt;&lt;/li&gt;</v>
      </c>
      <c r="X2550" s="15" t="str">
        <f>_xlfn.TEXTBEFORE(_xlfn.TEXTAFTER(CantoralDB[[#This Row],[index.html]],"&gt;"),"&gt;")&amp;"&gt;"</f>
        <v>&lt;a href="canciones/villancicos/pastores_venid.html"&gt;</v>
      </c>
      <c r="Y2550"/>
      <c r="AC2550" s="1"/>
    </row>
    <row r="2551" spans="1:29" x14ac:dyDescent="0.3">
      <c r="A2551" s="1">
        <f>ROW(CantoralDB[[#This Row],[Título]])-1</f>
        <v>2550</v>
      </c>
      <c r="B2551" s="1" t="s">
        <v>2096</v>
      </c>
      <c r="C2551" s="1"/>
      <c r="E2551" s="1">
        <v>248</v>
      </c>
      <c r="J2551" s="1"/>
      <c r="M2551" s="15" t="s">
        <v>2129</v>
      </c>
      <c r="O2551" s="15"/>
      <c r="P2551" s="15"/>
      <c r="Q2551" s="15" t="str" cm="1">
        <f t="array" ref="Q2551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51" s="15" t="str" cm="1">
        <f t="array" ref="R2551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51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canciones/villancicos/soy_un_pobre_pastorcillo.html</v>
      </c>
      <c r="T2551" s="1"/>
      <c r="U2551" s="1"/>
      <c r="V2551" s="32" t="s">
        <v>5327</v>
      </c>
      <c r="W2551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data-nold="248"&gt;&lt;a href="canciones/villancicos/soy_un_pobre_pastorcillo.html"&gt;Soy un pobre pastorcillo&lt;/a&gt;&lt;/li&gt;</v>
      </c>
      <c r="X2551" s="15" t="str">
        <f>_xlfn.TEXTBEFORE(_xlfn.TEXTAFTER(CantoralDB[[#This Row],[index.html]],"&gt;"),"&gt;")&amp;"&gt;"</f>
        <v>&lt;a href="canciones/villancicos/soy_un_pobre_pastorcillo.html"&gt;</v>
      </c>
      <c r="Y2551"/>
      <c r="AC2551" s="1"/>
    </row>
    <row r="2552" spans="1:29" x14ac:dyDescent="0.3">
      <c r="A2552" s="1">
        <f>ROW(CantoralDB[[#This Row],[Título]])-1</f>
        <v>2551</v>
      </c>
      <c r="B2552" s="1" t="s">
        <v>1343</v>
      </c>
      <c r="C2552" s="1" t="s">
        <v>475</v>
      </c>
      <c r="D2552" s="1" t="s">
        <v>1064</v>
      </c>
      <c r="E2552" s="1" t="s">
        <v>2940</v>
      </c>
      <c r="H2552" s="1" t="s">
        <v>529</v>
      </c>
      <c r="J2552" s="1" t="s">
        <v>605</v>
      </c>
      <c r="M2552" s="15" t="s">
        <v>2129</v>
      </c>
      <c r="O2552" s="15"/>
      <c r="P2552" s="15"/>
      <c r="Q2552" s="15" t="str" cm="1">
        <f t="array" ref="Q2552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52" s="15" t="str" cm="1">
        <f t="array" ref="R2552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52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canciones/villancicos/venid_fieles_todos_(adeste_fideles).html</v>
      </c>
      <c r="T2552" s="1"/>
      <c r="U2552" s="1"/>
      <c r="V2552" s="15"/>
      <c r="W2552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data-nnew="O19" data-nold="17 y 289"&gt;&lt;a href="canciones/villancicos/venid_fieles_todos_(adeste_fideles).html"&gt;Venid, fieles todos (adeste fideles)&lt;/a&gt;&lt;/li&gt;</v>
      </c>
      <c r="X2552" s="15" t="str">
        <f>_xlfn.TEXTBEFORE(_xlfn.TEXTAFTER(CantoralDB[[#This Row],[index.html]],"&gt;"),"&gt;")&amp;"&gt;"</f>
        <v>&lt;a href="canciones/villancicos/venid_fieles_todos_(adeste_fideles).html"&gt;</v>
      </c>
    </row>
    <row r="2553" spans="1:29" x14ac:dyDescent="0.3">
      <c r="A2553" s="1">
        <f>ROW(CantoralDB[[#This Row],[Título]])-1</f>
        <v>2552</v>
      </c>
      <c r="B2553" s="1" t="s">
        <v>189</v>
      </c>
      <c r="C2553" s="1" t="s">
        <v>475</v>
      </c>
      <c r="D2553" s="1" t="s">
        <v>1066</v>
      </c>
      <c r="G2553" s="1" t="s">
        <v>208</v>
      </c>
      <c r="H2553" s="1" t="s">
        <v>1025</v>
      </c>
      <c r="J2553" s="1" t="s">
        <v>605</v>
      </c>
      <c r="M2553" s="15" t="s">
        <v>2129</v>
      </c>
      <c r="O2553" s="15"/>
      <c r="P2553" s="15"/>
      <c r="Q2553" s="15" t="str" cm="1">
        <f t="array" ref="Q2553">IF(OR(CantoralDB[[#This Row],[Autor]]="Taizé en español",CantoralDB[[#This Row],[Autor]]="Taizé original",CantoralDB[[#This Row],[Autor]]="Taizé"),"taize",
IFERROR(_xlfn.XLOOKUP(CantoralDB[[#This Row],[Autor]],_xlfn.CHOOSECOLS(_xlfn.ANCHORARRAY(secciones!$A$3),1),_xlfn.CHOOSECOLS(_xlfn.ANCHORARRAY(secciones!$A$3),2)),
IF(OR(CantoralDB[[#This Row],[Número antiguo]]&lt;&gt;"",CantoralDB[[#This Row],[Número]]&lt;&gt;""),"nsb","nuevas"
)))</f>
        <v>villancicos</v>
      </c>
      <c r="R2553" s="15" t="str" cm="1">
        <f t="array" ref="R2553">IF(CantoralDB[[#This Row],[Autor]]="Taizé original","taize_orig",
IF(CantoralDB[[#This Row],[Autor]]="Taizé en español","taize_esp",
IF(CantoralDB[[#This Row],[Autor]]="Villancicos","villancicos",
IF(OR(CantoralDB[[#This Row],[Número antiguo]]&lt;&gt;"",CantoralDB[[#This Row],[Número]]&lt;&gt;""),"nsb",
IF(CantoralDB[[#This Row],[Número RCC]]&lt;&gt;"","rcce",
IFERROR(_xlfn.XLOOKUP(CantoralDB[[#This Row],[Autor]],_xlfn.CHOOSECOLS(_xlfn.ANCHORARRAY(secciones!$A$3),1),_xlfn.CHOOSECOLS(_xlfn.ANCHORARRAY(secciones!$A$3),2)),"nuevas")
)))))</f>
        <v>villancicos</v>
      </c>
      <c r="S2553" s="15" t="str">
        <f>"canciones/"&amp;CantoralDB[[#This Row],[Carpeta]]&amp;"/"&amp;IF(CantoralDB[[#This Row],[Autor]]="Taizé en español",
SUBSTITUTE(SUBSTITUTE(SUBSTITUTE(SUBSTITUTE(SUBSTITUTE(SUBSTITUTE(SUBSTITUTE(SUBSTITUTE(SUBSTITUTE(SUBSTITUTE(SUBSTITUTE(LOWER(CantoralDB[[#This Row],[Linked]]),"á","a"),"é","e"),"í","i"),"ó","o"),"ú","u")," ","_"),"¿",""),"?",""),"¡",""),"!",""),",","")&amp;".html",
SUBSTITUTE(SUBSTITUTE(SUBSTITUTE(SUBSTITUTE(SUBSTITUTE(SUBSTITUTE(SUBSTITUTE(SUBSTITUTE(SUBSTITUTE(SUBSTITUTE(SUBSTITUTE(LOWER(CantoralDB[[#This Row],[Título]]),"á","a"),"é","e"),"í","i"),"ó","o"),"ú","u")," ","_"),"¿",""),"?",""),"¡",""),"!",""),",","")&amp;".html")</f>
        <v>canciones/villancicos/ya_vienen_los_reyes_magos.html</v>
      </c>
      <c r="T2553" s="1"/>
      <c r="U2553" s="1"/>
      <c r="V2553" s="15"/>
      <c r="W2553" s="15" t="str">
        <f>IF(CantoralDB[[#This Row],[Linked]]="X","","&lt;li"&amp;
IF(CantoralDB[[#This Row],[Autor]]="-",""," data-author="""&amp;CantoralDB[[#This Row],[Autor]]&amp;"""")&amp;
IF(ISBLANK(CantoralDB[[#This Row],[Momento]]),""," data-momento="""&amp;CantoralDB[[#This Row],[Momento]]&amp;"""")&amp;
IF(ISBLANK(CantoralDB[[#This Row],[Número]]),""," data-nnew="""&amp;CantoralDB[[#This Row],[Número]]&amp;"""")&amp;
IF(ISBLANK(CantoralDB[[#This Row],[Número antiguo]]),""," data-nold="""&amp;CantoralDB[[#This Row],[Número antiguo]]&amp;"""")&amp;
IF(ISBLANK(CantoralDB[[#This Row],[Número RCC]]),""," data-nrcc="""&amp;CantoralDB[[#This Row],[Número RCC]]&amp;"""")&amp;
"&gt;&lt;a href="""&amp;CantoralDB[[#This Row],[Ruta]]&amp;"""&gt;"&amp;CantoralDB[[#This Row],[Título]]&amp;"&lt;/a&gt;&lt;/li&gt;")</f>
        <v>&lt;li data-author="Villancicos" data-momento="Navidad" data-nnew="O20"&gt;&lt;a href="canciones/villancicos/ya_vienen_los_reyes_magos.html"&gt;Ya vienen los Reyes Magos&lt;/a&gt;&lt;/li&gt;</v>
      </c>
      <c r="X2553" s="15" t="str">
        <f>_xlfn.TEXTBEFORE(_xlfn.TEXTAFTER(CantoralDB[[#This Row],[index.html]],"&gt;"),"&gt;")&amp;"&gt;"</f>
        <v>&lt;a href="canciones/villancicos/ya_vienen_los_reyes_magos.html"&gt;</v>
      </c>
    </row>
  </sheetData>
  <phoneticPr fontId="2" type="noConversion"/>
  <conditionalFormatting sqref="B2453:B1048576 B1:B2450">
    <cfRule type="duplicateValues" dxfId="14" priority="7"/>
  </conditionalFormatting>
  <conditionalFormatting sqref="D1:D1048576">
    <cfRule type="duplicateValues" dxfId="13" priority="10"/>
  </conditionalFormatting>
  <conditionalFormatting sqref="E1:E1048576">
    <cfRule type="duplicateValues" dxfId="12" priority="13"/>
  </conditionalFormatting>
  <conditionalFormatting sqref="F1:F1048576">
    <cfRule type="duplicateValues" dxfId="11" priority="616"/>
  </conditionalFormatting>
  <conditionalFormatting sqref="J1441">
    <cfRule type="cellIs" dxfId="10" priority="3" operator="equal">
      <formula>"OK"</formula>
    </cfRule>
    <cfRule type="cellIs" dxfId="9" priority="4" operator="equal">
      <formula>"Letra"</formula>
    </cfRule>
    <cfRule type="cellIs" dxfId="8" priority="5" operator="equal">
      <formula>"Orden"</formula>
    </cfRule>
  </conditionalFormatting>
  <conditionalFormatting sqref="J1:L1048576">
    <cfRule type="cellIs" dxfId="7" priority="8" operator="equal">
      <formula>"OK"</formula>
    </cfRule>
  </conditionalFormatting>
  <conditionalFormatting sqref="V288:V353 V355:V426 V428:V442 V444:V471 V1:V285 V473:V1048576">
    <cfRule type="expression" dxfId="6" priority="731">
      <formula>LEN($V1)=43</formula>
    </cfRule>
  </conditionalFormatting>
  <conditionalFormatting sqref="V473:V1048576 V444:V471 V428:V442 V355:V426 V288:V353 V1:V285">
    <cfRule type="duplicateValues" dxfId="5" priority="730"/>
  </conditionalFormatting>
  <conditionalFormatting sqref="X2552:X1048576 W1:W2553">
    <cfRule type="duplicateValues" dxfId="4" priority="6"/>
  </conditionalFormatting>
  <dataValidations disablePrompts="1" count="1">
    <dataValidation type="list" allowBlank="1" showInputMessage="1" showErrorMessage="1" sqref="C2:C97 C99:C1308" xr:uid="{750FF66E-F374-4C3D-8FF6-E9D1568A2116}">
      <formula1>INDIRECT("Categorías[Categorías]")</formula1>
    </dataValidation>
  </dataValidations>
  <hyperlinks>
    <hyperlink ref="V1790" r:id="rId1" xr:uid="{DA6D7995-44D6-4045-83D4-3266E2A25FB4}"/>
    <hyperlink ref="V166" r:id="rId2" xr:uid="{21BF8848-126E-4C25-B417-5F1669A04D1C}"/>
    <hyperlink ref="V171" r:id="rId3" xr:uid="{280AE6E9-4FA8-4531-B556-D3D175297CA7}"/>
    <hyperlink ref="V462" r:id="rId4" xr:uid="{E9F3201B-715F-4098-8E6D-D392B197A5B3}"/>
    <hyperlink ref="V762" r:id="rId5" xr:uid="{490C640F-E680-4634-BB3E-AF7C0DAD88A5}"/>
    <hyperlink ref="V776" r:id="rId6" xr:uid="{F42495B3-88C6-47C8-B657-1B2B61D548EF}"/>
    <hyperlink ref="V900" r:id="rId7" xr:uid="{94DB8158-D535-4E5F-88E7-271FEE5769F3}"/>
    <hyperlink ref="V834" r:id="rId8" xr:uid="{5DD15421-192B-4611-B4D3-4D136D73D060}"/>
    <hyperlink ref="V899" r:id="rId9" xr:uid="{9C1345B1-458E-4731-A3A0-AD108D913833}"/>
    <hyperlink ref="V1237" r:id="rId10" xr:uid="{BDC4F0B6-5619-4F46-8846-DB0DDEB477A2}"/>
    <hyperlink ref="V1247" r:id="rId11" xr:uid="{94994174-E097-4F94-8378-57D9FD090C86}"/>
    <hyperlink ref="V1252" r:id="rId12" xr:uid="{25EA3260-8E29-47E7-A954-519E86C6C57B}"/>
    <hyperlink ref="V1253" r:id="rId13" xr:uid="{2343CBB7-11A5-459D-B24F-324111A058CD}"/>
    <hyperlink ref="V1257" r:id="rId14" xr:uid="{FAEE7DBE-6192-4530-B3B9-A884E45CF445}"/>
    <hyperlink ref="V1265" r:id="rId15" xr:uid="{9EEB61C2-29A9-44C0-ACC3-42D563D5D598}"/>
    <hyperlink ref="V1543" r:id="rId16" xr:uid="{079B832F-F3E7-4E4F-B070-B593E400FF2F}"/>
    <hyperlink ref="V1680" r:id="rId17" xr:uid="{2D173748-96C6-4F6A-BEE9-C674CD6EE77E}"/>
    <hyperlink ref="V1732" r:id="rId18" xr:uid="{B2CD2234-7C6A-4EF5-95C5-BAD0D6E698D3}"/>
    <hyperlink ref="V1622" r:id="rId19" xr:uid="{04A1525B-1EE5-4333-85EA-3BBDDC370940}"/>
    <hyperlink ref="V1725" r:id="rId20" xr:uid="{45561249-FC48-4E19-99EC-5B395F439E7A}"/>
    <hyperlink ref="V1772" r:id="rId21" xr:uid="{D2635188-B379-4BB5-9F10-1275A6DEA96A}"/>
    <hyperlink ref="V1773" r:id="rId22" xr:uid="{D32DD765-16D3-4FA8-97B7-1D3FA23D3793}"/>
    <hyperlink ref="V1735" r:id="rId23" xr:uid="{16E058A8-C23B-459F-A694-79F7E3F8F9AF}"/>
    <hyperlink ref="V1736" r:id="rId24" xr:uid="{CAD6B09B-7346-4426-B993-39B5BF870443}"/>
    <hyperlink ref="V1947" r:id="rId25" xr:uid="{EBCBDDB5-8CC4-4C1C-8DB2-55EC10F926DE}"/>
    <hyperlink ref="V1973" r:id="rId26" xr:uid="{449ADC59-BF0D-437B-A353-5DA2E313DAF4}"/>
    <hyperlink ref="V1976" r:id="rId27" xr:uid="{14D86472-D553-429A-9116-265BFA79E76B}"/>
    <hyperlink ref="V2083" r:id="rId28" xr:uid="{C25DA0ED-6E20-4FF1-A893-57EF7DB34D94}"/>
    <hyperlink ref="V2009" r:id="rId29" xr:uid="{F5E74ADF-BBA8-4F62-9A7E-054B5A8D4BBE}"/>
    <hyperlink ref="V1807" r:id="rId30" xr:uid="{D3A96B3B-6FAB-41D0-A6D7-F0A2AE0DBE37}"/>
    <hyperlink ref="V2075" r:id="rId31" xr:uid="{C2363F0D-7145-42BA-9539-D32E29FFBDC2}"/>
    <hyperlink ref="V2004" r:id="rId32" xr:uid="{DFE6E2EA-52EB-4198-B263-04CEE8A47BF0}"/>
    <hyperlink ref="V2030" r:id="rId33" xr:uid="{DFA6AFDA-BC2C-462D-983F-EE2812E1B83A}"/>
    <hyperlink ref="V1839" r:id="rId34" xr:uid="{9544858F-3135-4C71-98FD-6C5E15050CAB}"/>
    <hyperlink ref="V1846" r:id="rId35" xr:uid="{1F1A106B-BA63-49E7-A5E2-C73A96132505}"/>
    <hyperlink ref="V1966" r:id="rId36" xr:uid="{06D4042E-5004-4D79-A315-EDCFE6040E75}"/>
    <hyperlink ref="V1950" r:id="rId37" xr:uid="{B2475CB1-A176-4304-AB1A-2B9C73BDF901}"/>
    <hyperlink ref="V1993" r:id="rId38" xr:uid="{6509825F-6E87-42D0-A8F7-8ECE07F8ADF6}"/>
    <hyperlink ref="V1948" r:id="rId39" xr:uid="{3A203355-B934-4573-A591-BC5E56C5AC0E}"/>
    <hyperlink ref="V2151" r:id="rId40" xr:uid="{F7CCAC66-65A6-4E2A-ADE0-76D9D85C9270}"/>
    <hyperlink ref="V1670" r:id="rId41" xr:uid="{BA9E23ED-6124-4584-A61F-30294789B61D}"/>
    <hyperlink ref="V1617" r:id="rId42" xr:uid="{6D7D7613-7CA5-4548-9B11-21345A21FA85}"/>
    <hyperlink ref="V851" r:id="rId43" xr:uid="{F8AAFEA3-FE70-4F13-9AD2-ADCAA544E7E1}"/>
    <hyperlink ref="V850" r:id="rId44" xr:uid="{127EED9D-017B-4731-97C6-FBFDE3D64EBE}"/>
    <hyperlink ref="V1863" r:id="rId45" xr:uid="{7EE925C8-BF51-4642-9C9A-43569222C443}"/>
    <hyperlink ref="V2047" r:id="rId46" xr:uid="{06F19AAA-16CE-4AD1-9279-1A4012B04BE5}"/>
    <hyperlink ref="V2023" r:id="rId47" xr:uid="{F71B81CD-F255-4D0B-A3A5-E9AF34D7345A}"/>
    <hyperlink ref="V198" r:id="rId48" xr:uid="{34B857EB-4A72-49A7-A260-2226856934E4}"/>
    <hyperlink ref="V1567" r:id="rId49" xr:uid="{0F80E320-9263-4279-914F-86433DA8B6C6}"/>
    <hyperlink ref="V2052" r:id="rId50" xr:uid="{A01A0643-EDF8-437E-B5EC-E193CB0A2571}"/>
    <hyperlink ref="V636" r:id="rId51" xr:uid="{5C208C0D-6486-412F-9142-4124B23EEBD6}"/>
    <hyperlink ref="V637" r:id="rId52" xr:uid="{5F234FF5-9DD4-45CF-8F7F-38CE23D18398}"/>
    <hyperlink ref="V1724" r:id="rId53" xr:uid="{9D253E0B-31F5-472D-B007-C42B726660A5}"/>
    <hyperlink ref="V638" r:id="rId54" xr:uid="{89FADE87-83C4-4FAF-A3D5-466027642EA2}"/>
    <hyperlink ref="V852" r:id="rId55" xr:uid="{75509568-26F3-4919-873C-35DEB89C81DD}"/>
    <hyperlink ref="V853" r:id="rId56" xr:uid="{07F73227-86AE-4153-9FA4-9EAB1EF745FD}"/>
    <hyperlink ref="V854" r:id="rId57" xr:uid="{28B0DE62-C062-4DD3-815F-F21AA0914C81}"/>
    <hyperlink ref="V855" r:id="rId58" xr:uid="{820A1108-CB56-44DE-88C2-8FBDA9BDB356}"/>
    <hyperlink ref="V856" r:id="rId59" xr:uid="{2FC53817-6FEF-41CB-9C41-BCA568804A75}"/>
    <hyperlink ref="V857" r:id="rId60" xr:uid="{FFA78936-0212-4B30-B872-8A70607A597B}"/>
    <hyperlink ref="V1938" r:id="rId61" xr:uid="{464B5E3D-AFE7-4668-8F91-385748A9C9C5}"/>
    <hyperlink ref="V858" r:id="rId62" xr:uid="{FACF9609-CC95-4E88-9336-5A02D7B67D46}"/>
    <hyperlink ref="V859" r:id="rId63" xr:uid="{D3EDF185-F132-4C92-B2E9-FEA90FCF4EF5}"/>
    <hyperlink ref="V1593" r:id="rId64" xr:uid="{23063EB3-0F73-4F63-9B59-DFA945F041B2}"/>
    <hyperlink ref="V1733" r:id="rId65" xr:uid="{2667F921-65BB-4F8D-ABD1-55B6B72669CB}"/>
    <hyperlink ref="V1230" r:id="rId66" xr:uid="{5FFD04EF-BD61-44B8-9623-D93526B4E015}"/>
    <hyperlink ref="V1653" r:id="rId67" xr:uid="{972FEDEB-F03B-4663-8587-DB1B18014DC6}"/>
    <hyperlink ref="V1582" r:id="rId68" xr:uid="{5ABFD726-9ADA-4CE0-844C-2CBD282084DA}"/>
    <hyperlink ref="V1267" r:id="rId69" xr:uid="{363AC7A2-9A8B-4497-8669-20CFE34EC20B}"/>
    <hyperlink ref="V896" r:id="rId70" xr:uid="{A5DF8460-4394-4773-AA6B-6A78C3585599}"/>
    <hyperlink ref="V898" r:id="rId71" xr:uid="{900FA351-1353-4D27-899B-256B41FAE0A7}"/>
    <hyperlink ref="V897" r:id="rId72" xr:uid="{13F379FC-DD95-4F2A-9B50-DBF9EC514A6A}"/>
    <hyperlink ref="V891" r:id="rId73" xr:uid="{555A969F-AAFC-4D98-9F05-FF3EC031A868}"/>
    <hyperlink ref="V892" r:id="rId74" xr:uid="{9ABAF122-FE8A-4F71-B3F8-B6EB3D709497}"/>
    <hyperlink ref="V893" r:id="rId75" xr:uid="{7E8797EB-83AC-4F51-AC03-9CD719F2D2FF}"/>
    <hyperlink ref="V894" r:id="rId76" xr:uid="{8853B987-5865-47A6-AB6A-DC11CAB49131}"/>
    <hyperlink ref="V895" r:id="rId77" xr:uid="{32D30A0E-4A6A-4992-9BD6-B1053C511579}"/>
    <hyperlink ref="V1550" r:id="rId78" xr:uid="{33A7A773-825F-4687-9636-F8844D483EDF}"/>
    <hyperlink ref="V870" r:id="rId79" xr:uid="{492470EF-E38F-4857-A92F-4735A876AEE3}"/>
    <hyperlink ref="V871" r:id="rId80" xr:uid="{9DDE8B2D-DB45-4642-B6A0-7977FB993A52}"/>
    <hyperlink ref="V872" r:id="rId81" xr:uid="{62894734-B80A-4025-81C4-E8CDB7C15BC0}"/>
    <hyperlink ref="V873" r:id="rId82" xr:uid="{6C5F4B1E-5A3A-418C-862F-844088FDCBE8}"/>
    <hyperlink ref="V874" r:id="rId83" xr:uid="{596FC8DF-220E-41CF-AB0D-95BDD5717581}"/>
    <hyperlink ref="V875" r:id="rId84" xr:uid="{E950A1FE-2FD3-48AA-A36E-BB9C2BC62209}"/>
    <hyperlink ref="V876" r:id="rId85" xr:uid="{6C954183-99F4-4107-AC29-36014DC928AF}"/>
    <hyperlink ref="V877" r:id="rId86" xr:uid="{804B83C3-909D-47AC-8945-92A3B36314B1}"/>
    <hyperlink ref="V878" r:id="rId87" xr:uid="{58D27C17-7A5B-4862-A52C-EE439CB5394C}"/>
    <hyperlink ref="V879" r:id="rId88" xr:uid="{1DEBB616-003E-482F-833A-2589F33465D5}"/>
    <hyperlink ref="V860" r:id="rId89" xr:uid="{7B27F535-2CB2-4CD8-AFD6-BE2021B37CCE}"/>
    <hyperlink ref="V861" r:id="rId90" xr:uid="{A14571E1-37CE-4248-ACA0-9CE0C77C34AE}"/>
    <hyperlink ref="V862" r:id="rId91" xr:uid="{CA4FF4B8-78A6-4DC8-9552-8A6059D5B512}"/>
    <hyperlink ref="V863" r:id="rId92" xr:uid="{4EA4BE77-A493-47B9-A0DC-23DDA3738ED7}"/>
    <hyperlink ref="V864" r:id="rId93" xr:uid="{C72C4860-A9F4-448D-890E-6C4FFA71F243}"/>
    <hyperlink ref="V865" r:id="rId94" xr:uid="{8BCC2AE4-F9C4-44C5-986B-0A34C0C657F3}"/>
    <hyperlink ref="V866" r:id="rId95" xr:uid="{59A05759-F700-47D3-A43E-2B22309C3110}"/>
    <hyperlink ref="V867" r:id="rId96" xr:uid="{78B9912C-9F3A-4CF1-8071-A491D2616C11}"/>
    <hyperlink ref="V868" r:id="rId97" xr:uid="{4DD8E84A-C2F3-477A-9610-C823E572C8AC}"/>
    <hyperlink ref="V869" r:id="rId98" xr:uid="{3B20846D-EC01-493D-9DD3-138F24148AF4}"/>
    <hyperlink ref="V1209" r:id="rId99" xr:uid="{DB1CA5E6-42F8-4851-8059-0AB662E92A51}"/>
    <hyperlink ref="V1211" r:id="rId100" xr:uid="{220B3648-52A6-4AC3-9075-64905D7145E5}"/>
    <hyperlink ref="V1214" r:id="rId101" xr:uid="{3570CD5B-EF12-4518-908D-444E1690775D}"/>
    <hyperlink ref="V1212" r:id="rId102" xr:uid="{1942F552-3CD5-43F0-964C-4FB3B1396EC7}"/>
    <hyperlink ref="V1213" r:id="rId103" xr:uid="{CBEB0998-DF78-45D7-91ED-20EDA7279CD1}"/>
    <hyperlink ref="V1215" r:id="rId104" xr:uid="{059CE517-4420-4B62-8FE3-73BF149C8E78}"/>
    <hyperlink ref="V1217" r:id="rId105" xr:uid="{DDD69CED-B445-4185-8873-EA928424E13C}"/>
    <hyperlink ref="V1218" r:id="rId106" xr:uid="{A6250805-408E-4AD0-9848-9EFAAFE1EA31}"/>
    <hyperlink ref="V1231" r:id="rId107" xr:uid="{92785729-AFA5-4F18-9EA0-28BEEF15BCFF}"/>
    <hyperlink ref="V1232" r:id="rId108" xr:uid="{8A71B694-F49F-4E48-AE46-34F1F325311D}"/>
    <hyperlink ref="V1233" r:id="rId109" xr:uid="{BDB2C689-47C3-49F5-9084-DE1C43735A9F}"/>
    <hyperlink ref="V1234" r:id="rId110" xr:uid="{A1AAC8D4-8A0A-4409-9D63-3FA16A6626C8}"/>
    <hyperlink ref="V1235" r:id="rId111" xr:uid="{C0FA217E-20CF-411B-BA06-B6982B17720C}"/>
    <hyperlink ref="V1236" r:id="rId112" xr:uid="{44B58DD6-60BA-447F-96DF-0CCF3A8418C6}"/>
    <hyperlink ref="V1238" r:id="rId113" xr:uid="{20604009-49A1-45B8-A628-BC9F6079D96D}"/>
    <hyperlink ref="V1239" r:id="rId114" xr:uid="{8FB94D31-5392-4ED8-BEFE-A7FDCABE3960}"/>
    <hyperlink ref="V1714" r:id="rId115" xr:uid="{A736E746-C3E0-472C-A399-3C6F28CEABEF}"/>
    <hyperlink ref="V1715" r:id="rId116" xr:uid="{C2618B96-ECDC-4F2F-9E23-4AEBC7F3E8D1}"/>
    <hyperlink ref="V1716" r:id="rId117" xr:uid="{336048F5-061F-4CCA-B289-D9A0A681EAE6}"/>
    <hyperlink ref="V1705" r:id="rId118" xr:uid="{B657B32C-2439-4446-A260-E5089BC5D7B7}"/>
    <hyperlink ref="V1706" r:id="rId119" xr:uid="{97F12C0A-6CFD-421B-92D8-1412E823486E}"/>
    <hyperlink ref="V1712" r:id="rId120" xr:uid="{4C5750C4-E0BD-4B9F-AEAD-E0BC9214F8ED}"/>
    <hyperlink ref="V1049" r:id="rId121" xr:uid="{8E9A6707-B93F-4CFF-B3B3-60F7A7C9930A}"/>
    <hyperlink ref="V1127" r:id="rId122" xr:uid="{BDF044D2-FBC3-49E7-9E18-EA061A9E864B}"/>
    <hyperlink ref="V1101" r:id="rId123" xr:uid="{23A15D14-AE46-4E34-B001-CC688637FB97}"/>
    <hyperlink ref="V1093" r:id="rId124" xr:uid="{40AA1D70-A3B9-41FD-8A12-4BCC3435C117}"/>
    <hyperlink ref="V253" r:id="rId125" xr:uid="{D881F592-FB56-4C23-85A2-C953D31BE5BA}"/>
    <hyperlink ref="V255" r:id="rId126" xr:uid="{2F7673D0-50EE-4F0C-8497-E2D5239FA113}"/>
    <hyperlink ref="V1131" r:id="rId127" xr:uid="{EE56FFD6-B22E-4C19-8D92-4686F18E683E}"/>
    <hyperlink ref="V1130" r:id="rId128" xr:uid="{C2755666-85A3-4D6D-8616-761BC0B6CE9F}"/>
    <hyperlink ref="V1134" r:id="rId129" xr:uid="{38A79056-83A2-4078-B5F9-2DD915561446}"/>
    <hyperlink ref="V1135" r:id="rId130" xr:uid="{4254D9C8-8F66-4648-A4C6-906121A92762}"/>
    <hyperlink ref="V1144" r:id="rId131" xr:uid="{45552199-50BC-49F2-8A7E-D344E2821AC6}"/>
    <hyperlink ref="V1146" r:id="rId132" xr:uid="{85DA44E8-8FC7-4F25-8A1B-20712D1517B0}"/>
    <hyperlink ref="V1147" r:id="rId133" xr:uid="{A4170A61-9662-454B-8BB2-FB4E4843FE32}"/>
    <hyperlink ref="V1148" r:id="rId134" xr:uid="{F2153D84-9823-423F-8CC0-13D7E1443243}"/>
    <hyperlink ref="V1163" r:id="rId135" xr:uid="{C31537E7-7FA3-462D-80C2-8ECAA1F45486}"/>
    <hyperlink ref="V1254" r:id="rId136" xr:uid="{ACC7433C-1A0E-4F7D-9A34-CECCDE2CF7A1}"/>
    <hyperlink ref="V17" r:id="rId137" xr:uid="{AEF97D76-D32B-4DF9-BAE5-B266B6288999}"/>
    <hyperlink ref="V18" r:id="rId138" xr:uid="{B593A7B8-C33B-4605-B606-36159C75EF85}"/>
    <hyperlink ref="V19" r:id="rId139" xr:uid="{3943386F-9FAF-479F-BD47-66F4A3B5165C}"/>
    <hyperlink ref="V20" r:id="rId140" xr:uid="{F7EFF53F-13E8-4016-BFAD-52E3DAC1EDAB}"/>
    <hyperlink ref="V21" r:id="rId141" xr:uid="{A69D6966-4C49-4386-B9F5-16091C127297}"/>
    <hyperlink ref="V22" r:id="rId142" xr:uid="{CDB1F0CE-B0E7-4C1B-B760-A1C6B729B330}"/>
    <hyperlink ref="V23" r:id="rId143" xr:uid="{5FAE3771-F595-4F7D-932F-A81604EEEFBD}"/>
    <hyperlink ref="V24" r:id="rId144" xr:uid="{32485FDE-5546-4FCE-BFEC-75086D63302C}"/>
    <hyperlink ref="V25" r:id="rId145" xr:uid="{8DF716D8-5602-4F64-A393-787D5127989E}"/>
    <hyperlink ref="V26" r:id="rId146" xr:uid="{27B6F67D-AED3-431E-AA0F-C3065AC1B895}"/>
    <hyperlink ref="V27" r:id="rId147" xr:uid="{CE5E6385-17BB-478E-B3D6-3C1043F35BB0}"/>
    <hyperlink ref="V28" r:id="rId148" xr:uid="{4DDEF026-6C72-4DCA-83B0-D0AAA2D09826}"/>
    <hyperlink ref="V29" r:id="rId149" xr:uid="{13E40F29-7910-42CC-B943-C0A8AAC26366}"/>
    <hyperlink ref="V30" r:id="rId150" xr:uid="{A738A9C1-5A35-441B-8C0B-2953041A38EB}"/>
    <hyperlink ref="V31" r:id="rId151" xr:uid="{46A9C2A0-F725-4636-BAC1-7D33CE0B93D2}"/>
    <hyperlink ref="V32" r:id="rId152" xr:uid="{D7236038-4E0B-4CA0-8AB7-1ECA30DE94A4}"/>
    <hyperlink ref="V33" r:id="rId153" xr:uid="{7E4DB6F7-533E-46E6-9091-A485204E3455}"/>
    <hyperlink ref="V34" r:id="rId154" xr:uid="{0BD8B2FC-B0F7-4872-976B-7FDFD6ABB131}"/>
    <hyperlink ref="V35" r:id="rId155" xr:uid="{265E1260-8433-4F66-BEDE-5314274AA429}"/>
    <hyperlink ref="V36" r:id="rId156" xr:uid="{31AD68C9-5BAB-4497-826F-7F50B88AFD6D}"/>
    <hyperlink ref="V37" r:id="rId157" xr:uid="{BE830B89-650D-48BA-A325-64291B398A67}"/>
    <hyperlink ref="V38" r:id="rId158" xr:uid="{E741C0DE-091D-4985-B8F1-32B4A1ADF953}"/>
    <hyperlink ref="V39" r:id="rId159" xr:uid="{B2FCF8F0-EF8A-481E-926C-3F5928700CC3}"/>
    <hyperlink ref="V40" r:id="rId160" xr:uid="{DE09E872-0804-4912-99F2-0022E8F785AD}"/>
    <hyperlink ref="V41" r:id="rId161" xr:uid="{631497F8-DA95-4376-8B80-B725176F0AB3}"/>
    <hyperlink ref="V42" r:id="rId162" xr:uid="{FBD2D2FE-2FE2-438A-B9C7-ED986D044699}"/>
    <hyperlink ref="V43" r:id="rId163" xr:uid="{3B8C09E7-C394-4431-815F-E87A9F512665}"/>
    <hyperlink ref="V44" r:id="rId164" xr:uid="{98076859-15E3-48E4-BC0A-99F5D0C5B4E3}"/>
    <hyperlink ref="V45" r:id="rId165" xr:uid="{A2CD9439-1564-4D9E-8097-7CF277F50D9B}"/>
    <hyperlink ref="V46" r:id="rId166" xr:uid="{507EEA1E-2205-40EF-8C0F-39CE9A6302E2}"/>
    <hyperlink ref="V47" r:id="rId167" xr:uid="{C396DF0D-8DA9-4FD3-A9A0-468AB909C1FA}"/>
    <hyperlink ref="V48" r:id="rId168" xr:uid="{2E2FA59A-42F9-404E-AE19-F7D864AEB49F}"/>
    <hyperlink ref="V49" r:id="rId169" xr:uid="{5A1C0C09-BAB2-436E-9800-B698A7E063E4}"/>
    <hyperlink ref="V50" r:id="rId170" xr:uid="{15D8F7B0-BD5E-471A-84E9-9FF7843570BD}"/>
    <hyperlink ref="V51" r:id="rId171" xr:uid="{7AD64C9F-D434-4D89-9ADC-D4809BD3FB4B}"/>
    <hyperlink ref="V52" r:id="rId172" xr:uid="{9D2947E4-32C5-4F29-B9D8-39F217E413EB}"/>
    <hyperlink ref="V53" r:id="rId173" xr:uid="{1CD40275-4448-452E-B5C2-44BDB0B7158A}"/>
    <hyperlink ref="V54" r:id="rId174" xr:uid="{BFC57EB6-1C21-4097-BEED-DF671E315CA7}"/>
    <hyperlink ref="V55" r:id="rId175" xr:uid="{8355C40C-C39C-4E15-80E3-FDE6B93F1BD2}"/>
    <hyperlink ref="V56" r:id="rId176" xr:uid="{AC10DAA1-53D6-44E7-ABFB-7C8B942F257C}"/>
    <hyperlink ref="V57" r:id="rId177" xr:uid="{F8359D16-5892-4F73-BF50-C1261FEACA40}"/>
    <hyperlink ref="V58" r:id="rId178" xr:uid="{C69BB6D6-28C7-40C1-B1EE-9B8F512955B6}"/>
    <hyperlink ref="V59" r:id="rId179" xr:uid="{2901D054-3200-4D81-A0FF-71E7A41249D4}"/>
    <hyperlink ref="V60" r:id="rId180" xr:uid="{FEF5E6F9-9250-4841-8B0E-FE7A46BD1599}"/>
    <hyperlink ref="V61" r:id="rId181" xr:uid="{C9621907-E5F7-447B-956C-14E3F6D76AA5}"/>
    <hyperlink ref="V62" r:id="rId182" xr:uid="{C4381404-3CA2-453A-BE1D-220130D9347B}"/>
    <hyperlink ref="V63" r:id="rId183" xr:uid="{586A4C81-C13C-422C-BF4F-907C0287BD95}"/>
    <hyperlink ref="V64" r:id="rId184" xr:uid="{79C53E89-D9F0-45C6-9576-2DF80733B9C3}"/>
    <hyperlink ref="V65" r:id="rId185" xr:uid="{E81DC488-0892-42C6-9C29-A6C4726BEE01}"/>
    <hyperlink ref="V66" r:id="rId186" xr:uid="{BDA0D59A-DB36-4D8F-A1AF-BAE3FBA1A1C0}"/>
    <hyperlink ref="V67" r:id="rId187" xr:uid="{A50FB5A2-CE9C-4E55-B6A0-68F25CEBF033}"/>
    <hyperlink ref="V68" r:id="rId188" xr:uid="{35BADCC6-5838-4D5F-AEB4-117E898AE184}"/>
    <hyperlink ref="V69" r:id="rId189" xr:uid="{6F9C31DB-3388-45CC-B5BC-98948EBF595E}"/>
    <hyperlink ref="V70" r:id="rId190" xr:uid="{C0CDACC1-CBB0-4026-98F9-4D52CBD1A9CF}"/>
    <hyperlink ref="V71" r:id="rId191" xr:uid="{418FC4E4-135B-4B92-A4EB-71F139815AEB}"/>
    <hyperlink ref="V72" r:id="rId192" xr:uid="{0CFAA5FB-951F-4A94-9176-E1B22D1B990A}"/>
    <hyperlink ref="V73" r:id="rId193" xr:uid="{45F2B7FA-A8AD-4273-B755-A942D1FC7A1C}"/>
    <hyperlink ref="V74" r:id="rId194" xr:uid="{BC002B58-034D-4F0F-8A20-535E52603F3C}"/>
    <hyperlink ref="V75" r:id="rId195" xr:uid="{0F0EBBB7-3750-40F8-A075-13B6B5E95FC8}"/>
    <hyperlink ref="V76" r:id="rId196" xr:uid="{7131B0BF-A93D-49A2-A604-87B01F6B3410}"/>
    <hyperlink ref="V77" r:id="rId197" xr:uid="{E30D7756-2837-46AA-99AC-8B670B77AD8F}"/>
    <hyperlink ref="V78" r:id="rId198" xr:uid="{F364CAE6-E4F5-4BC1-86EE-D2BB282A3461}"/>
    <hyperlink ref="V79" r:id="rId199" xr:uid="{FF543705-C4E3-42E7-A1B7-B000718DF58C}"/>
    <hyperlink ref="V80" r:id="rId200" xr:uid="{7B18CC61-15BE-4254-8E08-6424D1C3A96C}"/>
    <hyperlink ref="V81" r:id="rId201" xr:uid="{A2FD6E11-F5C6-4BEE-BECB-930358D7B58C}"/>
    <hyperlink ref="V82" r:id="rId202" xr:uid="{0093CD32-D5CA-44D2-9550-04290489C354}"/>
    <hyperlink ref="V83" r:id="rId203" xr:uid="{41D5D320-1C06-442C-A7EB-6024E68BEE06}"/>
    <hyperlink ref="V84" r:id="rId204" xr:uid="{4E66FCA1-343A-41BC-958B-FF20246F818E}"/>
    <hyperlink ref="V85" r:id="rId205" xr:uid="{007B1E40-6C29-421F-A35F-B6592422D390}"/>
    <hyperlink ref="V86" r:id="rId206" xr:uid="{D80A9422-D591-4789-8AA6-8493C854204B}"/>
    <hyperlink ref="V87" r:id="rId207" xr:uid="{505C7985-D840-47FF-AE0C-A1447E025801}"/>
    <hyperlink ref="V88" r:id="rId208" xr:uid="{E59A7366-5633-4CC3-BE0C-B595B234D9C1}"/>
    <hyperlink ref="V89" r:id="rId209" xr:uid="{7DD2000F-7D7E-46E0-9CF6-55A05B5A76C7}"/>
    <hyperlink ref="V90" r:id="rId210" xr:uid="{405E297A-2D85-4D48-8D62-963F0F9CC813}"/>
    <hyperlink ref="V91" r:id="rId211" xr:uid="{9141BC7B-DD44-4BB2-87AC-03CD2514CDEA}"/>
    <hyperlink ref="V92" r:id="rId212" xr:uid="{26247246-4DDB-4CB6-BFEF-838D1039ADE4}"/>
    <hyperlink ref="V93" r:id="rId213" xr:uid="{6839F2F8-C92B-4E18-93D4-8E8B87F69B01}"/>
    <hyperlink ref="V94" r:id="rId214" xr:uid="{5CC37813-6D3C-47C0-BFC7-3582791DAFD8}"/>
    <hyperlink ref="V95" r:id="rId215" xr:uid="{170D1790-40EB-41FA-ABBD-77C88A060BAF}"/>
    <hyperlink ref="V96" r:id="rId216" xr:uid="{B64086B4-610B-47BD-84A2-B910806573D3}"/>
    <hyperlink ref="V97" r:id="rId217" xr:uid="{1A746AB3-33F9-4D96-A7BB-2D5456171F60}"/>
    <hyperlink ref="V98" r:id="rId218" xr:uid="{6B1AD784-204A-4B01-9A87-9B77D27BEB79}"/>
    <hyperlink ref="V99" r:id="rId219" xr:uid="{61E4831A-C3C7-46FD-97E3-7ABCAED3DD9C}"/>
    <hyperlink ref="V100" r:id="rId220" xr:uid="{C2ADA156-EBC6-4DC5-B293-8A398C7DAC4B}"/>
    <hyperlink ref="V101" r:id="rId221" xr:uid="{E5C3119E-23CC-4607-A257-2F779FD55B0E}"/>
    <hyperlink ref="V102" r:id="rId222" xr:uid="{04D4BE18-0EAA-4DA2-A7C8-E90347EF4737}"/>
    <hyperlink ref="V103" r:id="rId223" xr:uid="{BD9B0A58-B07E-4FA1-8BA3-3F9190FAEA1F}"/>
    <hyperlink ref="V104" r:id="rId224" xr:uid="{52ECCB49-C23B-4DF7-BEE3-766C10BE29D9}"/>
    <hyperlink ref="V105" r:id="rId225" xr:uid="{2459ADEB-7A84-4376-AA17-791EC2F9FFFC}"/>
    <hyperlink ref="V106" r:id="rId226" xr:uid="{5FA9C2FC-C873-4E41-9B6E-21743254D6CF}"/>
    <hyperlink ref="V107" r:id="rId227" xr:uid="{6F57B336-70EC-422C-82FE-FA2C8028D744}"/>
    <hyperlink ref="V108" r:id="rId228" xr:uid="{BDBE43F6-1F5D-4C0A-82DA-59B337023E53}"/>
    <hyperlink ref="V122" r:id="rId229" xr:uid="{FFC1AA01-F639-48EB-89B2-6B9F9D74D58B}"/>
    <hyperlink ref="V123" r:id="rId230" xr:uid="{870FBBC3-601A-4647-B66F-D1D8E2F91FCB}"/>
    <hyperlink ref="V124" r:id="rId231" xr:uid="{A6FB2402-451B-476B-88FE-47302489EF0D}"/>
    <hyperlink ref="V125" r:id="rId232" xr:uid="{33375AA0-8587-4591-B6C6-4064E7E073B0}"/>
    <hyperlink ref="V126" r:id="rId233" xr:uid="{8B49FAD5-D5AE-48B3-97DE-2E2B80696ADA}"/>
    <hyperlink ref="V127" r:id="rId234" xr:uid="{535354A3-816D-4390-978F-18F98ED837F4}"/>
    <hyperlink ref="V128" r:id="rId235" xr:uid="{E240D85C-B5F1-45AA-8D68-4AA010FD92AD}"/>
    <hyperlink ref="V129" r:id="rId236" xr:uid="{F0DE1EA2-A3C3-48D1-B6C1-F3B2A4A9A669}"/>
    <hyperlink ref="V130" r:id="rId237" xr:uid="{0C8554F2-2241-455A-A7DB-03926155A8E5}"/>
    <hyperlink ref="V131" r:id="rId238" xr:uid="{D5978629-6DFF-431D-8B35-3AE0BE80E082}"/>
    <hyperlink ref="V132" r:id="rId239" xr:uid="{DD1A79C0-02EC-4333-8E8B-EBDEDDD1CD91}"/>
    <hyperlink ref="V133" r:id="rId240" xr:uid="{9D9F9F4C-D8E8-4577-AC27-2221897359C6}"/>
    <hyperlink ref="V134" r:id="rId241" xr:uid="{F14EE23B-B5B6-4B5B-817D-5A85FB334292}"/>
    <hyperlink ref="V135" r:id="rId242" xr:uid="{A3726357-E0DD-4E7D-A831-C61B822D3526}"/>
    <hyperlink ref="V136" r:id="rId243" xr:uid="{6B0B45A5-3E74-4986-81F6-07E093C136BB}"/>
    <hyperlink ref="V137" r:id="rId244" xr:uid="{BE530759-6871-4C1E-86E2-C9D78A12D31D}"/>
    <hyperlink ref="V777" r:id="rId245" xr:uid="{532491CD-8CDA-4BC7-AFBF-AF9FF446CF9C}"/>
    <hyperlink ref="V778" r:id="rId246" xr:uid="{EFCFD03F-D4A8-449D-A4D9-6D3DF1FC8421}"/>
    <hyperlink ref="V779" r:id="rId247" xr:uid="{C71EDF78-6E39-4990-A80F-B8469129C0C9}"/>
    <hyperlink ref="V780" r:id="rId248" xr:uid="{925E7B04-442F-4AB9-9365-CAB56DD3CB06}"/>
    <hyperlink ref="V781" r:id="rId249" xr:uid="{4851EBA7-3F17-4861-95FA-538F3F2A70B4}"/>
    <hyperlink ref="V782" r:id="rId250" xr:uid="{B9B3D8F4-2556-4325-AC68-2995560DC57E}"/>
    <hyperlink ref="V783" r:id="rId251" xr:uid="{C4C09FF8-12F0-414E-92D9-50A3882E5650}"/>
    <hyperlink ref="V784" r:id="rId252" xr:uid="{17556313-2C04-4761-A9F0-C49AE6834B94}"/>
    <hyperlink ref="V785" r:id="rId253" xr:uid="{C0282CBE-BA9F-4F95-B751-4EB51ED13E92}"/>
    <hyperlink ref="V786" r:id="rId254" xr:uid="{9A172986-A598-441A-B88A-F150CDE85A59}"/>
    <hyperlink ref="V787" r:id="rId255" xr:uid="{FA20B21F-F934-450C-B498-4EAEAD7A6C6A}"/>
    <hyperlink ref="V822" r:id="rId256" xr:uid="{A9B12AF0-A9E1-41E8-9F1E-B5E4B88B78FF}"/>
    <hyperlink ref="V823" r:id="rId257" xr:uid="{74D4EA9C-7F5E-4D08-ABA3-BC4C8EDC4D39}"/>
    <hyperlink ref="V824" r:id="rId258" xr:uid="{6F25A3E7-C193-4AED-AA28-1E3D690A6824}"/>
    <hyperlink ref="V825" r:id="rId259" xr:uid="{F8857F0A-7818-4F4E-8BF9-52B50DD4D875}"/>
    <hyperlink ref="V826" r:id="rId260" xr:uid="{1A1EBCED-5D4A-4AF7-A4C0-F9A41EC23945}"/>
    <hyperlink ref="V827" r:id="rId261" xr:uid="{92FF67A1-BC98-4D57-9F11-6C43CD367BED}"/>
    <hyperlink ref="V828" r:id="rId262" xr:uid="{B319D587-D1E6-4B99-BE52-849C6F8B61F6}"/>
    <hyperlink ref="V829" r:id="rId263" xr:uid="{74DE9FF8-ABEF-48E4-8726-B9C749A8617D}"/>
    <hyperlink ref="V830" r:id="rId264" xr:uid="{6A09CE80-23BF-43C8-993C-DBB4F0722019}"/>
    <hyperlink ref="V831" r:id="rId265" xr:uid="{74FFBA3F-555C-4FE4-A743-D475608AD9FB}"/>
    <hyperlink ref="V832" r:id="rId266" xr:uid="{4E9C583C-D73B-45CE-A7D3-37B61C31687A}"/>
    <hyperlink ref="V833" r:id="rId267" xr:uid="{8DA1E54E-9E7D-4CB1-B583-70F511F2D150}"/>
    <hyperlink ref="V835" r:id="rId268" xr:uid="{341BC719-5236-4644-A21B-1713C0226FD6}"/>
    <hyperlink ref="V836" r:id="rId269" xr:uid="{2CC2C5AA-321A-41FE-9C55-BFA6B157D19E}"/>
    <hyperlink ref="V837" r:id="rId270" xr:uid="{2F72D0D1-B76A-4D01-B63F-EA6516E9FCCA}"/>
    <hyperlink ref="V838" r:id="rId271" xr:uid="{9D7C87FA-8E44-4660-99C2-BC4C6047683F}"/>
    <hyperlink ref="V839" r:id="rId272" xr:uid="{AFD537B7-A780-48FA-A54A-AA78BF8DBA2B}"/>
    <hyperlink ref="V840" r:id="rId273" xr:uid="{FEA7791A-4827-4DCB-8336-1656C09E36FD}"/>
    <hyperlink ref="V841" r:id="rId274" xr:uid="{18CF8C94-9020-42A7-B98E-993BEFCDBF46}"/>
    <hyperlink ref="V842" r:id="rId275" xr:uid="{90A0A106-AC1C-42BF-8FE1-6B6C306AAE9E}"/>
    <hyperlink ref="V843" r:id="rId276" xr:uid="{BDEDBB9C-2311-4BB9-BB1D-6E8AF6B54D15}"/>
    <hyperlink ref="V844" r:id="rId277" xr:uid="{0E7DCE23-82A3-4B5E-8802-D014A41F0C09}"/>
    <hyperlink ref="V845" r:id="rId278" xr:uid="{153EC89A-31D0-4551-9A61-6F0056B97006}"/>
    <hyperlink ref="V846" r:id="rId279" xr:uid="{4082489D-8792-49DC-B78B-F124C2F7450C}"/>
    <hyperlink ref="V847" r:id="rId280" xr:uid="{5A082664-BAB8-410E-8889-FC614B35742D}"/>
    <hyperlink ref="V848" r:id="rId281" xr:uid="{941FCDBC-2A05-4A7D-9644-5A1AB5C2B153}"/>
    <hyperlink ref="V849" r:id="rId282" xr:uid="{092D262F-8989-42DD-931E-B07841C297FD}"/>
    <hyperlink ref="V810" r:id="rId283" xr:uid="{C4B4FF6E-1BCE-4079-8513-0AACE43E2D64}"/>
    <hyperlink ref="V811" r:id="rId284" xr:uid="{8D282092-70DE-4D28-B0DD-6137E6EDDFC7}"/>
    <hyperlink ref="V812" r:id="rId285" xr:uid="{0B476515-ED4C-4CF9-8445-90C110C426BE}"/>
    <hyperlink ref="V813" r:id="rId286" xr:uid="{434E2E9A-7B1E-4611-BF3E-E4CEF2A14445}"/>
    <hyperlink ref="V814" r:id="rId287" xr:uid="{B3EB4EB6-C67C-4C9F-99F6-B24DA0AAD6C7}"/>
    <hyperlink ref="V815" r:id="rId288" xr:uid="{685428D2-D2A9-4F0B-BF2A-8EE406EE0290}"/>
    <hyperlink ref="V816" r:id="rId289" xr:uid="{12CCA1B7-0DE4-4967-8BAD-65F609B66021}"/>
    <hyperlink ref="V817" r:id="rId290" xr:uid="{DEEF4D09-2951-489C-9DF9-A1C182E53902}"/>
    <hyperlink ref="V818" r:id="rId291" xr:uid="{10004282-ED21-438E-B8C9-01BFF3222ED8}"/>
    <hyperlink ref="V819" r:id="rId292" xr:uid="{C8418340-D8CF-4011-9E1B-15D7978AB33F}"/>
    <hyperlink ref="V820" r:id="rId293" xr:uid="{C43FD684-C620-4D86-B4C9-54C7AB4E6610}"/>
    <hyperlink ref="V881" r:id="rId294" xr:uid="{8B8BDE55-442E-4BC8-BEE6-332684588B50}"/>
    <hyperlink ref="V882" r:id="rId295" xr:uid="{E172C5E1-51F7-4B6A-9A43-26B5958631A0}"/>
    <hyperlink ref="V883" r:id="rId296" xr:uid="{16E2A13C-C019-4FA9-9AFA-CA215971F3CC}"/>
    <hyperlink ref="V884" r:id="rId297" xr:uid="{50949CA0-892B-45B0-931E-4B30A18CBC50}"/>
    <hyperlink ref="V885" r:id="rId298" xr:uid="{A79628F2-0A29-4958-BA61-CADA3A1E2DF9}"/>
    <hyperlink ref="V886" r:id="rId299" xr:uid="{7D8FDB1F-AAAC-4EE5-AF07-F27E14ED6F5A}"/>
    <hyperlink ref="V887" r:id="rId300" xr:uid="{C08449B8-7D5A-4250-B066-79B61C128294}"/>
    <hyperlink ref="V888" r:id="rId301" xr:uid="{2B114AFE-DF39-4438-8C3E-A17BD3BF1677}"/>
    <hyperlink ref="V889" r:id="rId302" xr:uid="{F00EF2E9-8D39-40C9-A05A-C198FCD5E8A1}"/>
    <hyperlink ref="V890" r:id="rId303" xr:uid="{E700845D-DE43-47B4-90F2-AA900168D8C9}"/>
    <hyperlink ref="V1210" r:id="rId304" xr:uid="{699ADF11-3091-45D1-A5B6-DDED0E2BF930}"/>
    <hyperlink ref="V2497" r:id="rId305" xr:uid="{B78EF065-E9E6-41AC-BC24-E36C2C8037AD}"/>
    <hyperlink ref="V2495" r:id="rId306" xr:uid="{56D0A7E3-3A38-4FB3-93E0-5E9E9E9DC375}"/>
    <hyperlink ref="V2499" r:id="rId307" xr:uid="{F38F28D8-519E-434F-8BAD-252AD3A0F6AF}"/>
    <hyperlink ref="V2492" r:id="rId308" xr:uid="{5DFA8692-3A9F-4FD5-B76B-23A4EACC7DCC}"/>
    <hyperlink ref="V2503" r:id="rId309" xr:uid="{89C2710E-7A1B-4F5C-9499-B2C8C2D826EE}"/>
    <hyperlink ref="V2493" r:id="rId310" xr:uid="{6988E2E4-4BAB-4817-9D7B-D946209B0A18}"/>
    <hyperlink ref="V2496" r:id="rId311" xr:uid="{C8EED193-2205-4058-AFC7-FE0F1DA869A6}"/>
    <hyperlink ref="V2494" r:id="rId312" xr:uid="{2A3656B8-25BF-4886-A8E2-7F94A6518E76}"/>
    <hyperlink ref="V2501" r:id="rId313" xr:uid="{50B637E6-88E5-4D74-9D1C-F47826E44714}"/>
    <hyperlink ref="V2502" r:id="rId314" xr:uid="{C7F5E234-6E3D-4A8F-9356-FF545F7C9296}"/>
    <hyperlink ref="V2500" r:id="rId315" xr:uid="{F95B9E81-8744-4951-AE3D-797BD0F5C308}"/>
    <hyperlink ref="V2498" r:id="rId316" xr:uid="{5794C5BB-5F48-4CB1-AACE-ECCF6B7C6CA9}"/>
    <hyperlink ref="V2504" r:id="rId317" xr:uid="{4795BAD8-9EF3-4C50-8979-1802F99FBF9D}"/>
    <hyperlink ref="V2505" r:id="rId318" xr:uid="{B4707A4F-ECA8-4E12-8B83-15831C9729CF}"/>
    <hyperlink ref="V2506" r:id="rId319" xr:uid="{564BDDF2-510F-4446-AB4C-C81FCFB6A843}"/>
    <hyperlink ref="V2507" r:id="rId320" xr:uid="{EF8D1853-7A44-4E2C-9F6A-F91620CA84D1}"/>
    <hyperlink ref="V2508" r:id="rId321" xr:uid="{3DD87F33-6F73-4F2C-A21D-C93036264886}"/>
    <hyperlink ref="V2509" r:id="rId322" xr:uid="{B7278CF2-AAAE-431B-86CF-A6692341BDA3}"/>
    <hyperlink ref="V2510" r:id="rId323" xr:uid="{106E0A52-C70E-4608-BD51-2E8D58BD9009}"/>
    <hyperlink ref="V2511" r:id="rId324" xr:uid="{F6D8F07B-04EA-4B5B-88E7-2C14D3929636}"/>
    <hyperlink ref="V2512" r:id="rId325" xr:uid="{8F024F5D-1476-4FDE-95EC-8893E99463CE}"/>
    <hyperlink ref="V2513" r:id="rId326" xr:uid="{B316361A-9F63-408A-9272-0281BE5A0F66}"/>
    <hyperlink ref="V2514" r:id="rId327" xr:uid="{CEF45F0F-0169-4288-ABEE-D212B1462B2D}"/>
    <hyperlink ref="V2515" r:id="rId328" xr:uid="{C04F1670-2CC1-4957-BA60-39291D7C3549}"/>
    <hyperlink ref="V2490" r:id="rId329" xr:uid="{1FFDC1A9-300A-4E5D-A44A-3C0F2A2FF942}"/>
    <hyperlink ref="V2516" r:id="rId330" xr:uid="{F498906E-ADDA-4287-B593-BC11BB524BBA}"/>
    <hyperlink ref="V2517" r:id="rId331" xr:uid="{B7A99649-9402-4B22-8788-FF33651EEEE3}"/>
    <hyperlink ref="V2518" r:id="rId332" xr:uid="{6DA963E5-889E-42EB-8FAC-8FBF06158BC7}"/>
    <hyperlink ref="V2519" r:id="rId333" xr:uid="{9BF844B8-DE32-430A-9778-720F457531E1}"/>
    <hyperlink ref="V2520" r:id="rId334" xr:uid="{DAF4879A-D19E-475F-B8E7-D1563503C683}"/>
    <hyperlink ref="V2521" r:id="rId335" xr:uid="{53055D8B-C87E-4390-9FBB-8B686F575E45}"/>
    <hyperlink ref="V2522" r:id="rId336" xr:uid="{0DBE78A8-F1F9-47DE-AE97-06C2AA5D24AF}"/>
    <hyperlink ref="V2523" r:id="rId337" xr:uid="{3444DA95-525A-428A-8839-F9A9747156C8}"/>
    <hyperlink ref="V2524" r:id="rId338" xr:uid="{149A751D-BEF2-4E67-9C49-04B812714AE0}"/>
    <hyperlink ref="V2525" r:id="rId339" xr:uid="{9525E3DC-D16B-4C2A-90F8-4436FB3AD62C}"/>
    <hyperlink ref="V2526" r:id="rId340" xr:uid="{136E7EA7-F25A-4F04-9C6B-DFE0E68D6456}"/>
    <hyperlink ref="V2527" r:id="rId341" xr:uid="{6AA5BABC-1138-4673-A9AB-B6488C487CE0}"/>
    <hyperlink ref="V2528" r:id="rId342" xr:uid="{3908EDA5-58D8-43D5-BFD3-ED5BDB50C290}"/>
    <hyperlink ref="V2529" r:id="rId343" xr:uid="{B822AAB8-086C-409C-B610-A057832030CC}"/>
    <hyperlink ref="V2530" r:id="rId344" xr:uid="{47DCC9FA-ED9D-4F12-AAE5-8781B43CE3D7}"/>
    <hyperlink ref="V2531" r:id="rId345" xr:uid="{3FCEE7FF-8616-4891-AC7B-9AF06C7387E8}"/>
    <hyperlink ref="V2532" r:id="rId346" xr:uid="{BBA76DD6-06CB-4AF1-8AF1-07CB0F3B66BB}"/>
    <hyperlink ref="V2533" r:id="rId347" xr:uid="{ADC53A1C-764C-4B4E-A23E-2DC569F91236}"/>
    <hyperlink ref="V1271" r:id="rId348" xr:uid="{7C52547B-BBC0-4090-ABE9-D7A7C26660A8}"/>
    <hyperlink ref="V1272" r:id="rId349" xr:uid="{EFEBA5EB-B6E0-482D-8AC5-6A3E15DC0816}"/>
    <hyperlink ref="V1273" r:id="rId350" xr:uid="{1BE99056-D927-46F0-AE66-66B8C474DD0C}"/>
    <hyperlink ref="V1274" r:id="rId351" xr:uid="{ECC14692-2300-49CE-B400-7A3C3533B9D1}"/>
    <hyperlink ref="V1275" r:id="rId352" xr:uid="{5B1AA1E6-5710-43D2-8DB9-5F1BB5B54463}"/>
    <hyperlink ref="V1276" r:id="rId353" xr:uid="{754FEA50-D9B1-4815-8EED-C052145E084E}"/>
    <hyperlink ref="V1277" r:id="rId354" xr:uid="{49F7239D-D6EB-4EC8-A902-1F453F41A4B1}"/>
    <hyperlink ref="V1278" r:id="rId355" xr:uid="{BD3D62F3-8B4E-4F43-AF78-6A94DE95ADFD}"/>
    <hyperlink ref="V1279" r:id="rId356" xr:uid="{3F6BE81C-132A-4144-AA3E-E0014EE1C922}"/>
    <hyperlink ref="V1280" r:id="rId357" xr:uid="{F8BA96B5-FE09-4E94-A963-B8A7F3559AAC}"/>
    <hyperlink ref="V1281" r:id="rId358" xr:uid="{036A1521-E972-4B4F-994B-8DDC6F8C10A3}"/>
    <hyperlink ref="V1282" r:id="rId359" xr:uid="{2E3D524E-F816-4B36-BE5B-1E42CDBBD076}"/>
    <hyperlink ref="V1283" r:id="rId360" xr:uid="{7424C1AC-830B-40E6-A6F3-93CF2ADF67C8}"/>
    <hyperlink ref="V1284" r:id="rId361" xr:uid="{255B5A58-D9DB-4FE7-A862-39422F3B8310}"/>
    <hyperlink ref="V1285" r:id="rId362" xr:uid="{74AE49DB-C0EE-4808-A0A4-744993D7DB00}"/>
    <hyperlink ref="V1286" r:id="rId363" xr:uid="{B2D615E8-C8B5-4949-88E9-DF265FF61132}"/>
    <hyperlink ref="V1287" r:id="rId364" xr:uid="{9BE312CE-C1BB-44B5-AF62-1B353F57B980}"/>
    <hyperlink ref="V1288" r:id="rId365" xr:uid="{14338634-57CE-4504-AE69-3BA3561BC55F}"/>
    <hyperlink ref="V1289" r:id="rId366" xr:uid="{E681ADB2-109A-43E8-8A8A-27FF51821759}"/>
    <hyperlink ref="V1290" r:id="rId367" xr:uid="{CF549389-F6FF-4332-A47A-AA904F4200C1}"/>
    <hyperlink ref="V1291" r:id="rId368" xr:uid="{F85E2EBC-4F00-4181-AA35-79BB29D59A42}"/>
    <hyperlink ref="V1292" r:id="rId369" xr:uid="{A91B0CB5-82D4-4DF2-AAA9-B689FC2000B2}"/>
    <hyperlink ref="V1293" r:id="rId370" xr:uid="{D82F6F15-CA5C-4921-AB6E-503872CCA49F}"/>
    <hyperlink ref="V1294" r:id="rId371" xr:uid="{60D27208-3E0D-49B2-8556-CD91456101B6}"/>
    <hyperlink ref="V1295" r:id="rId372" xr:uid="{17BCDCA6-6C6B-4174-862A-1D95EC15EEC0}"/>
    <hyperlink ref="V1296" r:id="rId373" xr:uid="{5FAE41E2-9F15-46E1-9099-C1A200AA2941}"/>
    <hyperlink ref="V1297" r:id="rId374" xr:uid="{BA13D785-36AF-4498-B0C0-2B35C342E7E3}"/>
    <hyperlink ref="V1298" r:id="rId375" xr:uid="{810EA0E8-C8EA-4D75-A0B8-C1EDC4F496FF}"/>
    <hyperlink ref="V1299" r:id="rId376" xr:uid="{05EB10BC-CF65-475D-9F5F-F0D16785B8AE}"/>
    <hyperlink ref="V1300" r:id="rId377" xr:uid="{4084A877-7BF4-4440-A0F5-217B8FE5EF92}"/>
    <hyperlink ref="V1301" r:id="rId378" xr:uid="{8DF7E8D8-BFBE-4F1B-AA97-97EB63734AE2}"/>
    <hyperlink ref="V1302" r:id="rId379" xr:uid="{8BA5A9C9-BE9A-4FE8-89A6-1BEF68CDC89D}"/>
    <hyperlink ref="V1303" r:id="rId380" xr:uid="{028DEBFE-C8B4-4965-9D35-418365B81ECD}"/>
    <hyperlink ref="V1304" r:id="rId381" xr:uid="{34B9E5D6-88F8-4FD6-8F83-33774F3CA9B0}"/>
    <hyperlink ref="V1305" r:id="rId382" xr:uid="{C77A0FA8-7A8E-4E5C-8312-B3FA73952537}"/>
    <hyperlink ref="V1306" r:id="rId383" xr:uid="{BD1F7EDF-ADD5-4DD6-BECE-2016F2E51E2F}"/>
    <hyperlink ref="V1307" r:id="rId384" xr:uid="{2C89BFA0-6257-4D4D-B47D-0B31AD501133}"/>
    <hyperlink ref="V1308" r:id="rId385" xr:uid="{FEE41889-4195-4C9C-A23F-4C1728AA7DB2}"/>
    <hyperlink ref="V1309" r:id="rId386" xr:uid="{46C60578-E513-47AC-B1E9-5366BF698397}"/>
    <hyperlink ref="V1310" r:id="rId387" xr:uid="{EBC3C626-CD4E-4551-ABE9-1D2CB16AFC7A}"/>
    <hyperlink ref="V1311" r:id="rId388" xr:uid="{40E4B5B1-4289-4183-970F-713FE3ABE097}"/>
    <hyperlink ref="V1312" r:id="rId389" xr:uid="{9CE83437-1B61-469D-A8A3-D7E6E65250F5}"/>
    <hyperlink ref="V1313" r:id="rId390" xr:uid="{4F72FF36-DD5D-46D3-975C-EA5F54E65F4D}"/>
    <hyperlink ref="V1314" r:id="rId391" xr:uid="{AC538E1D-D13F-43E5-B93D-C88B59077C3E}"/>
    <hyperlink ref="V1315" r:id="rId392" xr:uid="{92E5599C-BE50-4948-8F25-938622647F9B}"/>
    <hyperlink ref="V1316" r:id="rId393" xr:uid="{C05B1E87-1681-4C2F-BE7C-C8C0EDFFD3EF}"/>
    <hyperlink ref="V1317" r:id="rId394" xr:uid="{C1CED728-CFCB-4470-B2E8-9EC9645634CF}"/>
    <hyperlink ref="V1318" r:id="rId395" xr:uid="{73F28728-6095-48CC-B817-0E3FBB9E4B4C}"/>
    <hyperlink ref="V1319" r:id="rId396" xr:uid="{E044B753-D5A1-4775-A197-9DE04251AF93}"/>
    <hyperlink ref="V1320" r:id="rId397" xr:uid="{1C6A89E6-76D1-4196-B73A-59CEBEA4EB99}"/>
    <hyperlink ref="V1321" r:id="rId398" xr:uid="{252A2089-6DD0-44E5-828E-DAF7A43A0B9A}"/>
    <hyperlink ref="V1322" r:id="rId399" xr:uid="{5CB8CAC6-EFDE-4F64-9F47-9B513C9CDEC8}"/>
    <hyperlink ref="V1323" r:id="rId400" xr:uid="{0328BB40-A7A0-498E-8505-F15E7A920F61}"/>
    <hyperlink ref="V1324" r:id="rId401" xr:uid="{0C6B5DEE-DC45-4A97-AEA5-032D5079DC50}"/>
    <hyperlink ref="V1325" r:id="rId402" xr:uid="{A5511225-CC32-4A43-AC3B-BAFD4A3E723C}"/>
    <hyperlink ref="V1326" r:id="rId403" xr:uid="{8B96BBFE-D498-4E95-931C-865E94E55A75}"/>
    <hyperlink ref="V1327" r:id="rId404" xr:uid="{7A1CFB71-41CA-4DBC-B7AC-BEB9FE50552C}"/>
    <hyperlink ref="V1328" r:id="rId405" xr:uid="{687C10D5-6AB8-4BD7-BE5A-6E850BBCAB9E}"/>
    <hyperlink ref="V1329" r:id="rId406" xr:uid="{41FF52AF-F983-478E-A2AC-B1EFDBC5FE22}"/>
    <hyperlink ref="V1330" r:id="rId407" xr:uid="{C8DFC26A-E786-4D54-8BED-D0F2D9C4BD6B}"/>
    <hyperlink ref="V1331" r:id="rId408" xr:uid="{717D1D9C-39CE-4945-B324-CC9CB0DDCDD5}"/>
    <hyperlink ref="V1332" r:id="rId409" xr:uid="{E3244B5F-315F-411B-9D47-632FB7FCD5D2}"/>
    <hyperlink ref="V1333" r:id="rId410" xr:uid="{9F11FB3B-9AA6-448A-8251-A2224A6845DE}"/>
    <hyperlink ref="V1334" r:id="rId411" xr:uid="{298FDBF9-17D0-49F5-BFA7-87A15EA8AFAA}"/>
    <hyperlink ref="V1335" r:id="rId412" xr:uid="{302A0DDE-6CF8-456C-917E-CB52666B2171}"/>
    <hyperlink ref="V1336" r:id="rId413" xr:uid="{26254BBD-7D83-47DE-B270-265356363F63}"/>
    <hyperlink ref="V1337" r:id="rId414" xr:uid="{CE9D971B-C4DE-4EC9-BC68-15D514F6E3C3}"/>
    <hyperlink ref="V1338" r:id="rId415" xr:uid="{4E9DDAC8-FF27-4322-BA2B-5B1F6FC63061}"/>
    <hyperlink ref="V1339" r:id="rId416" xr:uid="{F4084CF2-0474-41C0-A250-5952A08ABA5D}"/>
    <hyperlink ref="V1340" r:id="rId417" xr:uid="{D94A2878-3F6C-417F-80EF-27242A8D1CA5}"/>
    <hyperlink ref="V1341" r:id="rId418" xr:uid="{778057C0-2367-478C-A52A-418BFDA1FA74}"/>
    <hyperlink ref="V1342" r:id="rId419" xr:uid="{2727EDD2-7A61-41F9-BAB7-88127C6874E0}"/>
    <hyperlink ref="V1343" r:id="rId420" xr:uid="{D8D67392-A495-4D78-B114-D9B0EBEE920C}"/>
    <hyperlink ref="V1344" r:id="rId421" xr:uid="{16690583-6F4A-4A72-BBE3-2B561C2C20A2}"/>
    <hyperlink ref="V1345" r:id="rId422" xr:uid="{1095CA23-3F50-4D47-8128-F17B988B0229}"/>
    <hyperlink ref="V1346" r:id="rId423" xr:uid="{EA09DDAA-9C5C-4042-89BF-C08A0116FF5D}"/>
    <hyperlink ref="V1347" r:id="rId424" xr:uid="{64958BC5-7DAF-4900-969F-0F19EA7EBB6C}"/>
    <hyperlink ref="V1349" r:id="rId425" xr:uid="{0FE222DB-0FA0-433B-9406-FC7D49AE31E1}"/>
    <hyperlink ref="V1348" r:id="rId426" xr:uid="{11B64467-3E7C-484D-9D3E-F2B3D4717D7B}"/>
    <hyperlink ref="V1351" r:id="rId427" xr:uid="{5120D001-C0DA-434E-911A-FC4A964D0D7C}"/>
    <hyperlink ref="V1350" r:id="rId428" xr:uid="{BDB1D0CE-BEB0-43C0-8EC6-69B8EEF91096}"/>
    <hyperlink ref="V1352" r:id="rId429" xr:uid="{B2176BD1-3E20-483C-B326-44DB3EDB285F}"/>
    <hyperlink ref="V1353" r:id="rId430" xr:uid="{58902A7E-4F6D-4F19-8A1C-7937CD4DEF7C}"/>
    <hyperlink ref="V1354" r:id="rId431" xr:uid="{70F7E2F0-0D3C-4C7F-A457-E6928564B0C7}"/>
    <hyperlink ref="V1355" r:id="rId432" xr:uid="{2FDC8F9A-43BD-4BB7-A93B-0E82F0F554DA}"/>
    <hyperlink ref="V1356" r:id="rId433" xr:uid="{F94FF0F7-DAEF-40F4-9341-600676925336}"/>
    <hyperlink ref="V1357" r:id="rId434" xr:uid="{C39FF832-DA1F-4A71-B03E-A3D67B2544B4}"/>
    <hyperlink ref="V1358" r:id="rId435" xr:uid="{1406ADE6-AAFC-4650-A8D4-B99B3FE38878}"/>
    <hyperlink ref="V1359" r:id="rId436" xr:uid="{E70068ED-1BAA-4CCC-9933-DDD947BC7473}"/>
    <hyperlink ref="V1360" r:id="rId437" xr:uid="{C79B817F-A160-4D48-8BC5-4E23FF1E9D30}"/>
    <hyperlink ref="V1361" r:id="rId438" xr:uid="{8403BE8B-8D4F-4D04-BDB2-489A2D5EAB3C}"/>
    <hyperlink ref="V1362" r:id="rId439" xr:uid="{1B360F89-FF5C-408B-8A46-1EB0C86B7155}"/>
    <hyperlink ref="V1363" r:id="rId440" xr:uid="{F4495CF7-714E-4025-82E8-5F82C16A82B5}"/>
    <hyperlink ref="V1364" r:id="rId441" xr:uid="{B0B607DC-DE89-4308-B925-8FF33A2B06C1}"/>
    <hyperlink ref="V1365" r:id="rId442" xr:uid="{D02590BA-DEAB-47DB-8561-05BD460B3E25}"/>
    <hyperlink ref="V1366" r:id="rId443" xr:uid="{3C40B812-F4FD-4BFA-A248-503B0563543E}"/>
    <hyperlink ref="V1367" r:id="rId444" xr:uid="{92738BD2-8D5F-4B82-8CC8-24AEED2CB662}"/>
    <hyperlink ref="V1368" r:id="rId445" xr:uid="{33D106DD-9CC9-4EAB-AE00-8C99FBC2E027}"/>
    <hyperlink ref="V1369" r:id="rId446" xr:uid="{5020676A-5BF1-4579-9E38-7EB94D70AFA9}"/>
    <hyperlink ref="V1370" r:id="rId447" xr:uid="{AAC01882-E770-4F23-935C-62A177BE4655}"/>
    <hyperlink ref="V1371" r:id="rId448" xr:uid="{52F5C55C-D999-4B6E-B4F3-9737DEA326B6}"/>
    <hyperlink ref="V1372" r:id="rId449" xr:uid="{EED98927-4110-488C-AA82-BF75005FF1AE}"/>
    <hyperlink ref="V1373" r:id="rId450" xr:uid="{C743CCDF-A940-4BB5-9F2D-B321030B57BB}"/>
    <hyperlink ref="V1374" r:id="rId451" xr:uid="{F785FA7A-9784-40FD-9C67-FB762E33C6AF}"/>
    <hyperlink ref="V1375" r:id="rId452" xr:uid="{1354D961-E2E8-4EC2-A3FD-B60B1F1D1AA4}"/>
    <hyperlink ref="V1376" r:id="rId453" xr:uid="{2BB78D31-F985-4F57-A789-B0C72CAFA82C}"/>
    <hyperlink ref="V1377" r:id="rId454" xr:uid="{7114014D-BCA3-47A6-A5EA-A697494D01E0}"/>
    <hyperlink ref="V1378" r:id="rId455" xr:uid="{91D6568C-98D7-43FE-A994-7C2B1FE5D2B5}"/>
    <hyperlink ref="V1379" r:id="rId456" xr:uid="{3821F2D5-74EF-461C-A6C8-5F2975E8637E}"/>
    <hyperlink ref="V1380" r:id="rId457" xr:uid="{5398A603-4562-434E-B98A-330637BB6910}"/>
    <hyperlink ref="V1381" r:id="rId458" xr:uid="{BEA6DB65-6C20-4ED2-9C6E-A0972936B1E4}"/>
    <hyperlink ref="V1382" r:id="rId459" xr:uid="{CD58B173-45CF-4150-BF0B-3D80EAF232F7}"/>
    <hyperlink ref="V1383" r:id="rId460" xr:uid="{5B8BDFE5-29B5-487E-96DA-6711C97BB057}"/>
    <hyperlink ref="V1384" r:id="rId461" xr:uid="{C56B0547-0724-4598-8343-0C4088D502E7}"/>
    <hyperlink ref="V1385" r:id="rId462" xr:uid="{41466065-AB06-4C33-8367-D9C6FDEEC990}"/>
    <hyperlink ref="V1386" r:id="rId463" xr:uid="{E7ECF72D-B8A6-41E8-88C9-DBA95BD442A0}"/>
    <hyperlink ref="V1387" r:id="rId464" xr:uid="{75A024D7-7BBB-4055-AEE1-23A039D55B34}"/>
    <hyperlink ref="V1388" r:id="rId465" xr:uid="{8DBB5AEB-347F-4D48-A493-2A9BF41C6141}"/>
    <hyperlink ref="V1389" r:id="rId466" xr:uid="{FC1193EE-92BA-41A6-B43B-BF9BC5C98A7B}"/>
    <hyperlink ref="V1390" r:id="rId467" xr:uid="{9A483674-6055-4C41-BDEA-CBFEDF0FD860}"/>
    <hyperlink ref="V1391" r:id="rId468" xr:uid="{97CD2DDA-AE82-4058-9A52-6FBC2BF3E1DA}"/>
    <hyperlink ref="V1392" r:id="rId469" xr:uid="{20F4BD17-0651-408C-BD21-94123E6C3AC5}"/>
    <hyperlink ref="V1393" r:id="rId470" xr:uid="{3980DB79-1E85-43B1-A283-DF14EBB8085F}"/>
    <hyperlink ref="V1394" r:id="rId471" xr:uid="{300688B2-DD4E-48BD-B119-E565D6464989}"/>
    <hyperlink ref="V1395" r:id="rId472" xr:uid="{3B6DBA2E-00C1-4358-BD34-0D4F693D34F0}"/>
    <hyperlink ref="V1396" r:id="rId473" xr:uid="{EC974772-7D45-4BFB-9103-CDC9B9C5F0A8}"/>
    <hyperlink ref="V1397" r:id="rId474" xr:uid="{79A45E0E-F64E-4B33-A7DE-FDC0F31FC019}"/>
    <hyperlink ref="V1398" r:id="rId475" xr:uid="{BAC36382-85BC-4FFE-87DF-67BF1B88E2E6}"/>
    <hyperlink ref="V1399" r:id="rId476" xr:uid="{1D81934E-7D63-4E07-8C85-0D00C4E04C43}"/>
    <hyperlink ref="V1400" r:id="rId477" xr:uid="{AC3452EC-3FC8-4742-A875-1613C82EFDBA}"/>
    <hyperlink ref="V1401" r:id="rId478" xr:uid="{4ED9A609-3874-4997-B55E-41214A18D22F}"/>
    <hyperlink ref="V1402" r:id="rId479" xr:uid="{76E3F9E5-A4BD-4D1D-BA91-611C863851FD}"/>
    <hyperlink ref="V1403" r:id="rId480" xr:uid="{656658FB-11E7-48EE-BE72-FA62DA772127}"/>
    <hyperlink ref="V1404" r:id="rId481" xr:uid="{20758C52-5935-4C02-A018-E5BD4681D2BC}"/>
    <hyperlink ref="V1405" r:id="rId482" xr:uid="{9F9D50AE-CD58-47CB-81A4-985A058BDB3B}"/>
    <hyperlink ref="V1406" r:id="rId483" xr:uid="{3AD9E735-9968-4A53-869C-BD72C1CD6A22}"/>
    <hyperlink ref="V1407" r:id="rId484" xr:uid="{78B5AA52-0DF3-4AED-839E-790C5F8456FE}"/>
    <hyperlink ref="V1408" r:id="rId485" xr:uid="{5D8A5F8C-FE7C-4AB8-A699-3285806647B8}"/>
    <hyperlink ref="V1409" r:id="rId486" xr:uid="{9DEA6789-6FEA-4002-8A0A-439BF3FD872F}"/>
    <hyperlink ref="V1410" r:id="rId487" xr:uid="{91C3482F-20E0-4E3F-BEBE-0910903A82A4}"/>
    <hyperlink ref="V1411" r:id="rId488" xr:uid="{D1AE1D6E-10B6-4EB4-9E3E-0E87D419445F}"/>
    <hyperlink ref="V1412" r:id="rId489" xr:uid="{056E4C18-63A1-46B9-B7DA-37883D7C89DD}"/>
    <hyperlink ref="V1413" r:id="rId490" xr:uid="{366572F1-649C-4FEC-928D-BE8A613D3713}"/>
    <hyperlink ref="V1414" r:id="rId491" xr:uid="{50B194A0-8775-46F8-87F3-17F0752AE106}"/>
    <hyperlink ref="V1415" r:id="rId492" xr:uid="{91F98E0B-2E55-4BDA-B210-13F66E891BF9}"/>
    <hyperlink ref="V1416" r:id="rId493" xr:uid="{73EEDF3D-A871-48C5-A7F5-556625C2DFB2}"/>
    <hyperlink ref="V1417" r:id="rId494" xr:uid="{4BD890F4-44D5-4377-B597-F2ED1F5AD5E8}"/>
    <hyperlink ref="V1418" r:id="rId495" xr:uid="{01839C34-9623-49A7-A9A8-DB7F78D34A88}"/>
    <hyperlink ref="V1419" r:id="rId496" xr:uid="{B2CED520-A5AD-4B3A-ABA0-527B4B181C0B}"/>
    <hyperlink ref="V1420" r:id="rId497" xr:uid="{657BCD72-2768-4D19-AAD1-BE873C91DC68}"/>
    <hyperlink ref="V1421" r:id="rId498" xr:uid="{A3F404DC-DA0F-48D4-A5AF-45A6974A5A87}"/>
    <hyperlink ref="V1422" r:id="rId499" xr:uid="{0E7E9C63-D933-48AC-BAC1-F313471F8470}"/>
    <hyperlink ref="V1423" r:id="rId500" xr:uid="{4B16972E-7069-40F7-B977-5D8864CE3C32}"/>
    <hyperlink ref="V1424" r:id="rId501" xr:uid="{993C5EBA-8065-45F0-AA30-9F3A9183265F}"/>
    <hyperlink ref="V1425" r:id="rId502" xr:uid="{080127A5-B573-48D6-BD76-576FAC7BCFAA}"/>
    <hyperlink ref="V1426" r:id="rId503" xr:uid="{C721313C-9A02-4534-9D94-8805C26F89E9}"/>
    <hyperlink ref="V1427" r:id="rId504" xr:uid="{0BC1DA81-5D01-4370-8A81-654F8ADFD1FE}"/>
    <hyperlink ref="V1428" r:id="rId505" xr:uid="{BD5731B8-8766-44AD-9B5E-5BE6172DA448}"/>
    <hyperlink ref="V1429" r:id="rId506" xr:uid="{9097CCB6-7410-49C5-B4F6-9DA8641697D5}"/>
    <hyperlink ref="V1430" r:id="rId507" xr:uid="{54F39A8D-CE0E-45B7-8094-EBD2C878E477}"/>
    <hyperlink ref="V1431" r:id="rId508" xr:uid="{599F0F60-D507-4F34-8810-F0A5CEBADDDC}"/>
    <hyperlink ref="V1432" r:id="rId509" xr:uid="{7028F181-BB4C-4BA3-86A3-9FBA0C074A08}"/>
    <hyperlink ref="V1433" r:id="rId510" xr:uid="{18B082CB-DB14-46B6-A37F-225A73E56944}"/>
    <hyperlink ref="V1434" r:id="rId511" xr:uid="{69AB4D5D-838C-4F0F-A6CB-CDB545285F07}"/>
    <hyperlink ref="V1435" r:id="rId512" xr:uid="{16052FE4-C95D-4FBB-B9BC-DB55CB231485}"/>
    <hyperlink ref="V1436" r:id="rId513" xr:uid="{67594140-B3CE-4B42-9EA1-25FB5C2A02E8}"/>
    <hyperlink ref="V1437" r:id="rId514" xr:uid="{94BBA238-C0B4-4E6D-9004-3AA61554510A}"/>
    <hyperlink ref="V1438" r:id="rId515" xr:uid="{D074507A-08AF-44F3-81A3-DDFD5CB92A8E}"/>
    <hyperlink ref="V1439" r:id="rId516" xr:uid="{7604260F-0436-4DD7-9EB8-9D9F54CDBDA9}"/>
    <hyperlink ref="V1440" r:id="rId517" xr:uid="{C94E50C3-89E1-4BA7-BA64-31EAF8C1DB65}"/>
    <hyperlink ref="V1441" r:id="rId518" xr:uid="{19F2A8E7-385A-4369-9A4E-871243AA4E32}"/>
    <hyperlink ref="V1442" r:id="rId519" xr:uid="{CADB745A-E6A0-44E1-9BF6-B3234414EBD4}"/>
    <hyperlink ref="V1443" r:id="rId520" xr:uid="{532ED6A1-EB25-4287-B017-E2F8A4729885}"/>
    <hyperlink ref="V1444" r:id="rId521" xr:uid="{6774ABA3-066D-4B91-AD84-55F2DD573595}"/>
    <hyperlink ref="V1445" r:id="rId522" xr:uid="{B25B6871-750D-4A6A-B729-8A88118D4513}"/>
    <hyperlink ref="V1446" r:id="rId523" xr:uid="{A890C554-1D9D-4284-92D4-299D037D098A}"/>
    <hyperlink ref="V1447" r:id="rId524" xr:uid="{3D478258-C10F-4F19-9846-7B86C123AF37}"/>
    <hyperlink ref="V1448" r:id="rId525" xr:uid="{674F1043-4A29-42E1-8634-B536F4B651CB}"/>
    <hyperlink ref="V1449" r:id="rId526" xr:uid="{84958DD2-8CAD-40F1-98A4-1B84CF581B01}"/>
    <hyperlink ref="V1450" r:id="rId527" xr:uid="{AE4F7440-62ED-4F93-AE22-A341C4EA55CD}"/>
    <hyperlink ref="V1451" r:id="rId528" xr:uid="{B844D84B-AED5-48CC-A7AA-BFEBBCC67417}"/>
    <hyperlink ref="V1452" r:id="rId529" xr:uid="{CEF9C635-D058-44EB-B12F-5E6D58B64792}"/>
    <hyperlink ref="V1453" r:id="rId530" xr:uid="{8BACCF20-40FD-47AA-8721-65B07BA0EF2C}"/>
    <hyperlink ref="V1454" r:id="rId531" xr:uid="{B483FC6A-5604-4594-A5E6-C61DCDD843A3}"/>
    <hyperlink ref="V1455" r:id="rId532" xr:uid="{8E1C975A-1ED4-4AA9-BD2D-428FCAD85B04}"/>
    <hyperlink ref="V1456" r:id="rId533" xr:uid="{682AF5EA-0875-4FA1-8E3C-A8AC075B2EFE}"/>
    <hyperlink ref="V1457" r:id="rId534" xr:uid="{F9FBEFAC-6F2E-40FC-B6A4-EB51947A2D79}"/>
    <hyperlink ref="V1458" r:id="rId535" xr:uid="{FFD70AAB-150A-4C69-935E-18ACCF1EC42D}"/>
    <hyperlink ref="V1459" r:id="rId536" xr:uid="{C92FF625-711F-4AED-9A36-84BB4A96A55A}"/>
    <hyperlink ref="V1460" r:id="rId537" xr:uid="{AEA54722-6EA9-4F76-870B-7CD409748A72}"/>
    <hyperlink ref="V1461" r:id="rId538" xr:uid="{201BB3E6-F820-44B6-93E0-3CFC56ECB320}"/>
    <hyperlink ref="V1462" r:id="rId539" xr:uid="{1CE66835-D59B-4EA0-BEDD-1F76D09EB09A}"/>
    <hyperlink ref="V1463" r:id="rId540" xr:uid="{6A2F72D6-4E1D-4931-953A-A9F8CD03AFDE}"/>
    <hyperlink ref="V1464" r:id="rId541" xr:uid="{7C2C6B13-CAD7-43D7-B3AD-285C9BF68A0C}"/>
    <hyperlink ref="V1465" r:id="rId542" xr:uid="{3B0C4A16-B8E7-4F7A-9FF2-59BA5FBCB71C}"/>
    <hyperlink ref="V1466" r:id="rId543" xr:uid="{6D5F8663-7E7A-4F1B-A445-A0FA4C077AF3}"/>
    <hyperlink ref="V1467" r:id="rId544" xr:uid="{463BF7BB-FCCD-4387-B8D7-9C250C89DE8B}"/>
    <hyperlink ref="V1468" r:id="rId545" xr:uid="{C15480B7-154C-4911-97EE-3002F15B777A}"/>
    <hyperlink ref="V1469" r:id="rId546" xr:uid="{29B24352-CE26-43F9-B22C-E2B6A7B5AED1}"/>
    <hyperlink ref="V1470" r:id="rId547" xr:uid="{2C7FBE1B-74F0-4D94-80FE-5AEFE6825041}"/>
    <hyperlink ref="V1471" r:id="rId548" xr:uid="{98DA212C-287E-4477-BEE5-67251D6E9E4F}"/>
    <hyperlink ref="V1472" r:id="rId549" xr:uid="{D850E1F9-8FBC-4CB2-8882-FBA05EFA3132}"/>
    <hyperlink ref="V1473" r:id="rId550" xr:uid="{0A5E3139-384E-4B95-85A1-2101FAEAE1A3}"/>
    <hyperlink ref="V1474" r:id="rId551" xr:uid="{DD3C0761-8203-4740-A53A-F49379827E43}"/>
    <hyperlink ref="V1475" r:id="rId552" xr:uid="{FF0E046D-9A82-4B38-BE91-274977890C7D}"/>
    <hyperlink ref="V1476" r:id="rId553" xr:uid="{D4A2D750-F88B-4B11-9831-A895FAB9D28C}"/>
    <hyperlink ref="V1477" r:id="rId554" xr:uid="{CE42DF49-0950-49FD-A07F-CCFD266E4C3C}"/>
    <hyperlink ref="V1478" r:id="rId555" xr:uid="{98DEF977-195A-45D2-8B04-6B45FCCB1971}"/>
    <hyperlink ref="V1479" r:id="rId556" xr:uid="{70ADA009-1B19-4260-A15B-0CA736BA145C}"/>
    <hyperlink ref="V1480" r:id="rId557" xr:uid="{9FA4AD60-A0D4-40ED-99FB-61EF193C1989}"/>
    <hyperlink ref="V1481" r:id="rId558" xr:uid="{2FB0EB5A-E767-41B5-87A8-8DE264A5EBE7}"/>
    <hyperlink ref="V1482" r:id="rId559" xr:uid="{C14D87A3-5B9F-44D1-8158-28E61ECC3F89}"/>
    <hyperlink ref="V1483" r:id="rId560" xr:uid="{80DB5738-2E3B-4DF8-ABB1-2277187A3D44}"/>
    <hyperlink ref="V1484" r:id="rId561" xr:uid="{DB13FA15-EDD6-4D70-B8E2-ED5DDF7F5EC4}"/>
    <hyperlink ref="V1485" r:id="rId562" xr:uid="{A0348381-8277-441E-9260-AF3DE2787934}"/>
    <hyperlink ref="V1486" r:id="rId563" xr:uid="{9B32BAE5-7D20-485C-9101-6D0C13EEEEB0}"/>
    <hyperlink ref="V1487" r:id="rId564" xr:uid="{5891CB40-35D8-45DE-969A-EE864F1BE33E}"/>
    <hyperlink ref="V1488" r:id="rId565" xr:uid="{FD5BFCE3-0915-4385-A86D-3FD59A82CF1C}"/>
    <hyperlink ref="V1489" r:id="rId566" xr:uid="{A7B1C97F-27F5-4149-A732-BFFAB8EA8C74}"/>
    <hyperlink ref="V1490" r:id="rId567" xr:uid="{653E96FA-6DE4-46B8-8B0E-D0735CBEA4B6}"/>
    <hyperlink ref="V1491" r:id="rId568" xr:uid="{8CE6F52D-1C71-4E21-984B-3911E1AAB9DD}"/>
    <hyperlink ref="V1492" r:id="rId569" xr:uid="{9354329E-FC74-423D-BFEF-C38A475C7160}"/>
    <hyperlink ref="V1493" r:id="rId570" xr:uid="{8250600B-5DCC-42B1-8845-B638AD89E017}"/>
    <hyperlink ref="V1494" r:id="rId571" xr:uid="{5F383C6E-9D3F-4473-A3ED-10EEB77F0721}"/>
    <hyperlink ref="V1495" r:id="rId572" xr:uid="{5DD1289D-C7D3-4C66-A8EF-712432C79A4D}"/>
    <hyperlink ref="V1496" r:id="rId573" xr:uid="{A22DA24A-FF1A-4FA2-AB12-F6FBFAE48004}"/>
    <hyperlink ref="V1497" r:id="rId574" xr:uid="{F501B52F-4730-4E5A-87C5-E5281CE8E992}"/>
    <hyperlink ref="V1498" r:id="rId575" xr:uid="{3359FCCF-A474-48D6-AF2E-82676EAF8C31}"/>
    <hyperlink ref="V1499" r:id="rId576" xr:uid="{D022C8CB-792E-45E2-A701-E576F4994ADC}"/>
    <hyperlink ref="V1500" r:id="rId577" xr:uid="{E922E072-7013-44BF-85B8-393899160BF7}"/>
    <hyperlink ref="V1501" r:id="rId578" xr:uid="{F25220D8-EBBC-4F13-80A6-89B52A239648}"/>
    <hyperlink ref="V1502" r:id="rId579" xr:uid="{3CA88A4A-72DD-4705-A82A-391208FAFFA4}"/>
    <hyperlink ref="V1503" r:id="rId580" xr:uid="{8A55B9FF-AA8F-4EDD-9FE3-0F2E09DA91C2}"/>
    <hyperlink ref="V1504" r:id="rId581" xr:uid="{6FD32EB7-24F9-469E-97F7-FF656F28E160}"/>
    <hyperlink ref="V1505" r:id="rId582" xr:uid="{3CEA5108-3C2A-4209-AD5B-5FFC71E3FEB2}"/>
    <hyperlink ref="V1506" r:id="rId583" xr:uid="{721DBFE2-B7BD-433B-9434-2C1A517E747D}"/>
    <hyperlink ref="V1511" r:id="rId584" xr:uid="{CE6241C6-EFC8-4BD5-984C-72721A570069}"/>
    <hyperlink ref="V1512" r:id="rId585" xr:uid="{E8FE5CB4-9EE3-44E6-9C95-7973803DF9C3}"/>
    <hyperlink ref="V1503:V1506" r:id="rId586" display="https://www.maristes.cat/sites/default/files/content/nodes/recurs/file/8806/4sientotullamadaelsenoreslaesperanzaelsenorestaaquicaminadacogemedios.mp3" xr:uid="{E85CC10B-6E66-4F50-9A7E-A25A7CF1D1FD}"/>
    <hyperlink ref="V1513" r:id="rId587" xr:uid="{245799D6-A14F-47E2-87A0-F6E5DDA3EE25}"/>
    <hyperlink ref="V1514" r:id="rId588" xr:uid="{4322BE48-EC69-4DDB-B446-1936473CE0D9}"/>
    <hyperlink ref="V1515" r:id="rId589" xr:uid="{79E3483E-2D9F-4437-99D4-2034D7D9D0DA}"/>
    <hyperlink ref="V1516" r:id="rId590" xr:uid="{171F8679-4843-45A2-AF7B-470780808566}"/>
    <hyperlink ref="V1517" r:id="rId591" xr:uid="{FD6995EE-3503-4CF2-AD90-5DEA685585A7}"/>
    <hyperlink ref="V1518" r:id="rId592" xr:uid="{ADC63184-2A1A-4841-A502-C24C847B8FED}"/>
    <hyperlink ref="V1519" r:id="rId593" xr:uid="{4A0EEFCC-19FE-4098-A458-37B305C317A5}"/>
    <hyperlink ref="V1520" r:id="rId594" xr:uid="{14326AD0-E360-4624-9830-06F85D87AA00}"/>
    <hyperlink ref="V1521" r:id="rId595" xr:uid="{A1D07FCF-03F9-4A09-AA0A-E451D730ED0A}"/>
    <hyperlink ref="V1522" r:id="rId596" xr:uid="{025018D7-CDD9-4C1C-BB8B-229F53CB260D}"/>
    <hyperlink ref="V1523" r:id="rId597" xr:uid="{1DF0BE99-A4D4-4FBB-98D5-5EE250DBD2D3}"/>
    <hyperlink ref="V1524" r:id="rId598" xr:uid="{C6D453A7-5CB4-413E-9F4E-DBF5417071EB}"/>
    <hyperlink ref="V1525" r:id="rId599" xr:uid="{58923B7F-B004-4C29-B704-FB293A733A2E}"/>
    <hyperlink ref="V1526" r:id="rId600" xr:uid="{41736C35-839D-4223-B992-6F3BBD1E60C5}"/>
    <hyperlink ref="V1527" r:id="rId601" xr:uid="{DD404352-54D9-4981-A5FB-5A8F92F6F044}"/>
    <hyperlink ref="V1528" r:id="rId602" xr:uid="{CFD6164B-1B28-4D72-AF7E-9FB90341A93F}"/>
    <hyperlink ref="V1529" r:id="rId603" xr:uid="{83A555F6-81B5-4960-AFD7-9BA9822D4ED6}"/>
    <hyperlink ref="V1530" r:id="rId604" xr:uid="{2E0A7496-B5A0-4BDA-BD66-0D564E1A76D9}"/>
    <hyperlink ref="V1531" r:id="rId605" xr:uid="{9F669E67-59A7-4022-BD6D-F1EB10B31BCE}"/>
    <hyperlink ref="V1532" r:id="rId606" xr:uid="{2AF0EB5F-B336-41BF-82C5-4A20AFE6EBD8}"/>
    <hyperlink ref="V1533" r:id="rId607" xr:uid="{BD2ECE37-B23F-4857-A677-91C9508CC53C}"/>
    <hyperlink ref="V1534" r:id="rId608" xr:uid="{4B077ED8-DF32-479F-A5E4-C716D3B84567}"/>
    <hyperlink ref="V1535" r:id="rId609" xr:uid="{56618B76-D045-4856-BED0-BB648840C82D}"/>
    <hyperlink ref="V1536" r:id="rId610" xr:uid="{A5F818BF-1C97-4E35-B05F-89705BF2D8C2}"/>
    <hyperlink ref="V1537" r:id="rId611" xr:uid="{EE254A78-47E6-42A6-8753-86E08076DD98}"/>
    <hyperlink ref="V1538" r:id="rId612" xr:uid="{45BBD2E8-D3B0-4604-A5B6-060848B8D63F}"/>
    <hyperlink ref="V1539" r:id="rId613" xr:uid="{AF8AD013-D70A-4A12-BAD4-03FFBB4FFEF3}"/>
    <hyperlink ref="V1540" r:id="rId614" xr:uid="{B8F8569E-6E6C-4A0B-A53B-D758BF9507AC}"/>
    <hyperlink ref="V2175" r:id="rId615" xr:uid="{30DB36A5-ADE1-41B7-80C1-18EA50302574}"/>
    <hyperlink ref="V2182" r:id="rId616" xr:uid="{B307E342-17DD-4341-8689-E69A456D5258}"/>
    <hyperlink ref="V2170" r:id="rId617" xr:uid="{444C0A52-B266-41F5-ACE2-6D42FFF81DF5}"/>
    <hyperlink ref="V2169" r:id="rId618" xr:uid="{5DD2F6D5-6D81-4F0A-9CC8-25199D2477F0}"/>
    <hyperlink ref="V2168" r:id="rId619" xr:uid="{6ECEC4E2-3EDA-43CA-B783-26B014C960F4}"/>
    <hyperlink ref="V2235" r:id="rId620" xr:uid="{C80B01DC-C622-4CDA-B10F-198CD32232F8}"/>
    <hyperlink ref="V2221" r:id="rId621" xr:uid="{36219483-9AE3-4D1A-9065-0D5D89487E35}"/>
    <hyperlink ref="V2220" r:id="rId622" xr:uid="{D3053E53-9D44-4724-89C8-B31353709020}"/>
    <hyperlink ref="V2233" r:id="rId623" xr:uid="{8239DD82-946E-4CAF-92A9-39259B02D753}"/>
    <hyperlink ref="V2227" r:id="rId624" xr:uid="{FB532555-9DB4-4D25-BD92-CEB113C85CAA}"/>
    <hyperlink ref="V2223" r:id="rId625" xr:uid="{A800D4CB-FFB0-429D-8DCA-72DFBC595B16}"/>
    <hyperlink ref="V2222" r:id="rId626" xr:uid="{678BCD47-0A40-41EF-B25C-67B36966FE9C}"/>
    <hyperlink ref="V2234" r:id="rId627" xr:uid="{4549DD52-4C66-461A-8533-A9C54FA84B06}"/>
    <hyperlink ref="V2230" r:id="rId628" xr:uid="{05E71E6A-7C8B-48B2-9F5D-D7921CDC886E}"/>
    <hyperlink ref="V2231" r:id="rId629" xr:uid="{A709683D-4963-4DD7-B174-F4AFE1124D33}"/>
    <hyperlink ref="V2228" r:id="rId630" xr:uid="{5904DE67-E61F-4AA8-A1CC-14E26E2A9FB2}"/>
    <hyperlink ref="V2193" r:id="rId631" xr:uid="{CA3D2D81-1D0E-4750-87AB-221DDCAA94E7}"/>
    <hyperlink ref="V2192" r:id="rId632" xr:uid="{3203DE61-A0A5-4FE3-9D82-86CF4AF8631D}"/>
    <hyperlink ref="V2191" r:id="rId633" xr:uid="{006ADFD0-3036-4769-AC74-18D14DACDB11}"/>
    <hyperlink ref="V2316" r:id="rId634" xr:uid="{E5821499-DB17-4BE5-AF35-B9B7C7B19AD1}"/>
    <hyperlink ref="V2317" r:id="rId635" xr:uid="{20FFFEEC-5CDE-41B3-A78A-1FC08419B7E9}"/>
    <hyperlink ref="V2318" r:id="rId636" xr:uid="{70B6EB89-CEA2-4AA2-85B9-E0EFA69BEB5F}"/>
    <hyperlink ref="V2319" r:id="rId637" xr:uid="{92EA2C1B-3F11-410B-B84B-567048422BF9}"/>
    <hyperlink ref="V2320" r:id="rId638" xr:uid="{3870E981-1CC6-474D-9969-E30BD99BF7B3}"/>
    <hyperlink ref="V2321" r:id="rId639" xr:uid="{33302667-53ED-40AD-B6A7-4004D63C9282}"/>
    <hyperlink ref="V2322" r:id="rId640" xr:uid="{71F16430-3EB7-496D-B978-2161C4C4DE30}"/>
    <hyperlink ref="V2323" r:id="rId641" xr:uid="{763B4310-D2BE-4607-BA54-3E5723471740}"/>
    <hyperlink ref="V2324" r:id="rId642" xr:uid="{1DFA5D02-B54C-49B8-8A7D-C16644A16210}"/>
    <hyperlink ref="V2325" r:id="rId643" xr:uid="{6B1B6C00-7BB3-4FCE-8C7A-429CC72F62DC}"/>
    <hyperlink ref="V2326" r:id="rId644" xr:uid="{396725C1-6BE0-4F42-837F-B7E04FD1FBB9}"/>
    <hyperlink ref="V2327" r:id="rId645" xr:uid="{F0CB54D9-10C2-4DCB-84CB-5D4B911D51EE}"/>
    <hyperlink ref="V2328" r:id="rId646" xr:uid="{84567282-4784-411C-ABC1-236C1633C2C5}"/>
    <hyperlink ref="V2329" r:id="rId647" xr:uid="{6E711F66-B55C-43FD-AB39-77B2D7E82B67}"/>
    <hyperlink ref="V2330" r:id="rId648" xr:uid="{D2259F19-02EF-45AD-A745-41319FED2805}"/>
    <hyperlink ref="V2331" r:id="rId649" xr:uid="{D561C5D1-39F5-4DAC-8603-2ACE55411361}"/>
    <hyperlink ref="V2332" r:id="rId650" xr:uid="{916DF2FD-9C6B-4A0E-B87F-18FD4E0C5382}"/>
    <hyperlink ref="V2333" r:id="rId651" xr:uid="{57764D3F-AA32-44F5-B2BF-E77C444881C3}"/>
    <hyperlink ref="V2334" r:id="rId652" xr:uid="{F78D0B09-0B07-4832-A46A-3498FC543D4B}"/>
    <hyperlink ref="V2335" r:id="rId653" xr:uid="{E924536F-BF05-4341-984B-3EEF548DA507}"/>
    <hyperlink ref="V2336" r:id="rId654" xr:uid="{2FA4857B-0A33-4478-92A4-4B540EC42A27}"/>
    <hyperlink ref="V2337" r:id="rId655" xr:uid="{3380F35F-5C80-4215-8AF4-D2B4337B4AEC}"/>
    <hyperlink ref="V2338" r:id="rId656" xr:uid="{80C8AA08-3527-4243-A6BC-C48577C36E98}"/>
    <hyperlink ref="V2339" r:id="rId657" xr:uid="{9D0C1E8E-6716-4675-B519-2D29B535CF9B}"/>
    <hyperlink ref="V2340" r:id="rId658" xr:uid="{F4A02E00-97FD-4B54-92E2-E5B5B6B9BABD}"/>
    <hyperlink ref="V2341" r:id="rId659" xr:uid="{139C43B7-5779-4536-B39A-B85F1A63866E}"/>
    <hyperlink ref="V2342" r:id="rId660" xr:uid="{876248F2-7783-4B43-A64C-BF865C8BCD27}"/>
    <hyperlink ref="V2343" r:id="rId661" xr:uid="{122A9B2D-ACC2-48BA-92C7-4F9B04DCF909}"/>
    <hyperlink ref="V2344" r:id="rId662" xr:uid="{608B9CA1-1462-4AFE-B537-3BFB912660D4}"/>
    <hyperlink ref="V2345" r:id="rId663" xr:uid="{E95AF84D-13D8-4416-9138-87A3B6B2EB68}"/>
    <hyperlink ref="V2346" r:id="rId664" xr:uid="{D0BCF13A-170F-46B1-BBC8-5C75F1ECFEBA}"/>
    <hyperlink ref="V2347" r:id="rId665" xr:uid="{5C1F336C-5612-4C42-AFF2-4748AFC7ECC3}"/>
    <hyperlink ref="V2348" r:id="rId666" xr:uid="{1315F84D-9AD5-4366-8075-2C304F9DFCE0}"/>
    <hyperlink ref="V2349" r:id="rId667" xr:uid="{507416E7-17FC-42AC-B308-280319F7740A}"/>
    <hyperlink ref="V2350" r:id="rId668" xr:uid="{F15A20FD-B82F-49B9-8F29-08F8972EB461}"/>
    <hyperlink ref="V2351" r:id="rId669" xr:uid="{A7C37783-5729-4B22-B881-4A2468217C2F}"/>
    <hyperlink ref="V2352" r:id="rId670" xr:uid="{223966AE-5576-4971-B043-6107CEF77480}"/>
    <hyperlink ref="V2353" r:id="rId671" xr:uid="{8A34862B-00EA-4BE5-9FAB-18E07A84063E}"/>
    <hyperlink ref="V2354" r:id="rId672" xr:uid="{4EA76472-0965-4C3F-8B28-EFC21ACE4DEA}"/>
    <hyperlink ref="V2355" r:id="rId673" xr:uid="{5B3F403D-52C1-4DA4-BA3E-C7F442C5E0F5}"/>
    <hyperlink ref="V2356" r:id="rId674" xr:uid="{8FD9D7AE-FF39-4DF5-AC8E-7AAA3EF466F4}"/>
    <hyperlink ref="V2357" r:id="rId675" xr:uid="{73432C41-4011-4CC1-9B8E-2E98D51B5343}"/>
    <hyperlink ref="V2358" r:id="rId676" xr:uid="{4A8CB8C3-9661-4C98-8B77-BF0D906A7A7A}"/>
    <hyperlink ref="V2359" r:id="rId677" xr:uid="{C314EB9C-1B48-4133-9864-7C5CA94C5C6F}"/>
    <hyperlink ref="V2360" r:id="rId678" xr:uid="{354D6655-E937-4829-A230-BF8AFFCB9EC2}"/>
    <hyperlink ref="V2361" r:id="rId679" xr:uid="{21732F54-6681-45AA-8E2E-4A9FF1D1C0A5}"/>
    <hyperlink ref="V2362" r:id="rId680" xr:uid="{23E34555-B4C1-41B8-9E86-95E4B4BA4373}"/>
    <hyperlink ref="V2363" r:id="rId681" xr:uid="{0E225523-4EBE-4074-983D-42866C89646A}"/>
    <hyperlink ref="V2364" r:id="rId682" xr:uid="{143FDCC2-B962-4322-81D9-12EDECD89E9A}"/>
    <hyperlink ref="V2365" r:id="rId683" xr:uid="{26ED39C7-7815-4B09-96F1-CCC4BFA27EC8}"/>
    <hyperlink ref="V2366" r:id="rId684" xr:uid="{BAB10FA8-EFB5-4A21-B74E-913BEC0DE219}"/>
    <hyperlink ref="V2367" r:id="rId685" xr:uid="{5722D9CD-2B34-4C07-A7BB-20CFB309F523}"/>
    <hyperlink ref="V2368" r:id="rId686" xr:uid="{D3148B0F-31E9-4794-B6D8-D566BCC9295A}"/>
    <hyperlink ref="V2369" r:id="rId687" xr:uid="{EC7E7DD5-5BB0-4767-A98A-F3A1BED14EA4}"/>
    <hyperlink ref="V2370" r:id="rId688" xr:uid="{5471F980-923F-4DE6-8B20-D63715D968E8}"/>
    <hyperlink ref="V2371" r:id="rId689" xr:uid="{132FD023-B080-4423-A733-E743ECC65A78}"/>
    <hyperlink ref="V2372" r:id="rId690" xr:uid="{C59D077C-F28E-4730-B968-886D7E5264E0}"/>
    <hyperlink ref="V2373" r:id="rId691" xr:uid="{446DC2AD-4601-40D9-A8CF-1E6ADA346F86}"/>
    <hyperlink ref="V2374" r:id="rId692" xr:uid="{4EAC2161-D6F7-44DE-92E0-61E4E4A7E34A}"/>
    <hyperlink ref="V2375" r:id="rId693" xr:uid="{0EA3A307-BC41-4A53-968E-115C0B3164CF}"/>
    <hyperlink ref="V2376" r:id="rId694" xr:uid="{7536B240-57F1-42F1-8E2F-9D547BACD8C5}"/>
    <hyperlink ref="V2377" r:id="rId695" xr:uid="{0BABF9B3-40F8-4C40-BB9F-491C2AB9663B}"/>
    <hyperlink ref="V2378" r:id="rId696" xr:uid="{440F8B1C-AF4F-460C-AD7E-2FE1AD9CB159}"/>
    <hyperlink ref="V2379" r:id="rId697" xr:uid="{71418A6A-D3A0-4F10-8771-C9F14651F6FA}"/>
    <hyperlink ref="V2380" r:id="rId698" xr:uid="{3B08BDB6-46BA-4D52-9AD9-8F224A34EC85}"/>
    <hyperlink ref="V2381" r:id="rId699" xr:uid="{BB069A32-0244-47A7-ACE5-B7C7983F73BD}"/>
    <hyperlink ref="V2382" r:id="rId700" xr:uid="{58CE543D-45F9-4B6A-ADA2-ED327CFB78C5}"/>
    <hyperlink ref="V2383" r:id="rId701" xr:uid="{A8D6F1B4-72A8-4B74-B579-128C93CB106F}"/>
    <hyperlink ref="V2384" r:id="rId702" xr:uid="{37F9D667-0628-4F98-99C7-DEB0D37ACEC4}"/>
    <hyperlink ref="V2385" r:id="rId703" xr:uid="{B3A60BD1-AD84-4A17-B490-1E6EA833518C}"/>
    <hyperlink ref="V2386" r:id="rId704" xr:uid="{CACC1BDC-5854-4BE4-98C7-4BEEF9CFE1C0}"/>
    <hyperlink ref="V2387" r:id="rId705" xr:uid="{D97B63E5-F781-48F6-AB33-40874C89AEA8}"/>
    <hyperlink ref="V2388" r:id="rId706" xr:uid="{E8746BF4-324B-4FE0-8EC2-21C846469579}"/>
    <hyperlink ref="V2389" r:id="rId707" xr:uid="{FB2C16A5-DB32-4B88-A924-C143C697D179}"/>
    <hyperlink ref="V2390" r:id="rId708" xr:uid="{D9E48503-3A69-4998-A49A-FE437F1AA1E5}"/>
    <hyperlink ref="V2391" r:id="rId709" xr:uid="{04F030EF-E3ED-492F-A999-C7D4F5CF1113}"/>
    <hyperlink ref="V2392" r:id="rId710" xr:uid="{567843DD-02A3-4A01-995A-4873BA767294}"/>
    <hyperlink ref="V2393" r:id="rId711" xr:uid="{F25DDAAC-7754-4D78-8EBA-9184F4BFF3E7}"/>
    <hyperlink ref="V2394" r:id="rId712" xr:uid="{325225CB-1CEF-461B-82DB-F6DCA1210952}"/>
    <hyperlink ref="V2395" r:id="rId713" xr:uid="{9032C7F1-E6B4-476B-9603-E33C88092411}"/>
    <hyperlink ref="V2396" r:id="rId714" xr:uid="{685D0B7B-B830-4189-839A-5CD5372DFCB4}"/>
    <hyperlink ref="V2397" r:id="rId715" xr:uid="{FD2649D5-DE22-41DE-B5FB-AFD4A95F4D4E}"/>
    <hyperlink ref="V2398" r:id="rId716" xr:uid="{98232EB4-5F6D-495F-A14E-65E2724869BD}"/>
    <hyperlink ref="V2399" r:id="rId717" xr:uid="{FD0AF2F0-382A-40AF-BDEC-E25D58B60D21}"/>
    <hyperlink ref="V2400" r:id="rId718" xr:uid="{B97A1CCD-0583-4980-A502-135802BFFCED}"/>
    <hyperlink ref="V2401" r:id="rId719" xr:uid="{EC383024-E90C-49A2-A003-4A4A8F1A3CAA}"/>
    <hyperlink ref="V2402" r:id="rId720" xr:uid="{D9DC95EA-E291-4D67-866A-5147B456E5D3}"/>
    <hyperlink ref="V2403" r:id="rId721" xr:uid="{10650BCB-3F8B-4A44-8BC9-C0FA33DB7E60}"/>
    <hyperlink ref="V2404" r:id="rId722" xr:uid="{94EF0E46-1F49-45DC-BAA6-9EABDFFE0101}"/>
    <hyperlink ref="V2405" r:id="rId723" xr:uid="{BB1520D1-882E-4073-B436-215BBAAEBD8C}"/>
    <hyperlink ref="V2406" r:id="rId724" xr:uid="{A168BC73-7ADD-47AD-9C9C-5CA7A0B7C1E6}"/>
    <hyperlink ref="V2407" r:id="rId725" xr:uid="{CAA78420-2F53-41D2-A8AB-365F60BFEAA7}"/>
    <hyperlink ref="V2408" r:id="rId726" xr:uid="{A5290396-C0AA-46F0-B197-40431E5042EC}"/>
    <hyperlink ref="V2409" r:id="rId727" xr:uid="{27C5465D-F4E6-41BD-8AC9-815F7B8BB0B7}"/>
    <hyperlink ref="V2410" r:id="rId728" xr:uid="{96557932-FAEC-4239-B14E-2627A5B5EF82}"/>
    <hyperlink ref="V2411" r:id="rId729" xr:uid="{83D2F954-20A3-4E87-A9B7-07FF23EACE59}"/>
    <hyperlink ref="V2412" r:id="rId730" xr:uid="{E02A1B31-DDA0-4924-ACBE-2946CE0324C6}"/>
    <hyperlink ref="V2413" r:id="rId731" xr:uid="{A40753B0-EB89-4693-B7D8-52CC743BBC9D}"/>
    <hyperlink ref="V2414" r:id="rId732" xr:uid="{F43B1679-E38A-4498-AA98-CB0E68BACCCA}"/>
    <hyperlink ref="V2415" r:id="rId733" xr:uid="{BFF6A4EE-8407-467A-8FF1-7F49EFFF8CC9}"/>
    <hyperlink ref="V2416" r:id="rId734" xr:uid="{FD706E8C-A195-438E-8584-D843B416EDB8}"/>
    <hyperlink ref="V2417" r:id="rId735" xr:uid="{6D9F2480-976D-4B17-B5FE-967F1008EEA8}"/>
    <hyperlink ref="V2418" r:id="rId736" xr:uid="{5C4370FD-A50E-4EA7-A415-75B7AD6B5323}"/>
    <hyperlink ref="V2419" r:id="rId737" xr:uid="{E7376C61-8297-4B24-9803-4CAEDCCC15C0}"/>
    <hyperlink ref="V2420" r:id="rId738" xr:uid="{5B9442A7-01C8-4316-8138-8F536DD709F7}"/>
    <hyperlink ref="V2421" r:id="rId739" xr:uid="{B7AEF782-0BCC-4D08-97DA-7A7F4F9647E6}"/>
    <hyperlink ref="V2422" r:id="rId740" xr:uid="{700703D0-CE5B-48C1-914E-060DAA970429}"/>
    <hyperlink ref="V2423" r:id="rId741" xr:uid="{99D07750-54FB-42EE-8C18-432A8D4C3F32}"/>
    <hyperlink ref="V2424" r:id="rId742" xr:uid="{495E8C50-8B8B-4686-A3C8-51CD5CF64B50}"/>
    <hyperlink ref="V2425" r:id="rId743" xr:uid="{AF921894-8614-413F-9903-B15B9BF26C38}"/>
    <hyperlink ref="V2426" r:id="rId744" xr:uid="{79D256B0-0ABD-4E72-BB54-595C8ED2C842}"/>
    <hyperlink ref="V2427" r:id="rId745" xr:uid="{2FF3C0B7-73D6-4CD8-A127-E37B80B0D435}"/>
    <hyperlink ref="V2428" r:id="rId746" xr:uid="{88A812F0-8863-4D9A-A1CB-F8FB8D0BCE72}"/>
    <hyperlink ref="V2429" r:id="rId747" xr:uid="{D2F06BFE-3B6F-41E6-8A4C-9755C2D45BA6}"/>
    <hyperlink ref="V2430" r:id="rId748" xr:uid="{BC3832C4-7C7B-44A4-9BC3-E17DE3BE5830}"/>
    <hyperlink ref="V2431" r:id="rId749" xr:uid="{7E09CCDB-7942-40EF-9FE4-8E8C62103C32}"/>
    <hyperlink ref="V2432" r:id="rId750" xr:uid="{8E2FAB1C-C42A-4453-AB1E-9053E46B888F}"/>
    <hyperlink ref="V2433" r:id="rId751" xr:uid="{79EF42D3-8722-4CC7-BBB9-546001A71294}"/>
    <hyperlink ref="V2434" r:id="rId752" xr:uid="{5F2A622D-5C9B-47E7-B178-45B64881BEB0}"/>
    <hyperlink ref="V2435" r:id="rId753" xr:uid="{DA4533E4-9764-4766-8202-B29CD46E800B}"/>
    <hyperlink ref="V2436" r:id="rId754" xr:uid="{76B7A4A0-703A-4967-8CD8-96CFF6CD324E}"/>
    <hyperlink ref="V2437" r:id="rId755" xr:uid="{B77A629E-1CB6-404B-8BAB-49B6EF6F0EAC}"/>
    <hyperlink ref="V2438" r:id="rId756" xr:uid="{3E6ED38A-48FB-4FAA-A0EB-9CA419FC1EEF}"/>
    <hyperlink ref="V2439" r:id="rId757" xr:uid="{886A494B-A3E9-4960-88D6-54EB7902BBA4}"/>
    <hyperlink ref="V2440" r:id="rId758" xr:uid="{9F77F6B4-099A-451F-920B-29E0950D29C9}"/>
    <hyperlink ref="V2441" r:id="rId759" xr:uid="{27B872F3-35D2-4D93-BC59-0EECBE7D44E3}"/>
    <hyperlink ref="V2442" r:id="rId760" xr:uid="{5B6AD654-D8B3-4634-9657-451EEBA3B4C4}"/>
    <hyperlink ref="V2443" r:id="rId761" xr:uid="{7864FF5A-688B-4313-9130-B5E0E77F61D4}"/>
    <hyperlink ref="V2444" r:id="rId762" xr:uid="{22F7E1B4-046A-4247-8774-777BB7F1D5BF}"/>
    <hyperlink ref="V2445" r:id="rId763" xr:uid="{EDBE6B55-F7FF-4BF4-B1E2-6BFC63542686}"/>
    <hyperlink ref="V2446" r:id="rId764" xr:uid="{B9CF0D73-59F4-4878-9003-70706981DC2E}"/>
    <hyperlink ref="V2447" r:id="rId765" xr:uid="{2ADC9DFF-FAA4-46DF-A49D-8482295868F0}"/>
    <hyperlink ref="V2448" r:id="rId766" xr:uid="{0F1B60AE-2963-4705-9650-CD00F2514F59}"/>
    <hyperlink ref="V2449" r:id="rId767" xr:uid="{776C681D-E7DF-4BB0-80CE-A3EADCC7B139}"/>
    <hyperlink ref="V2450" r:id="rId768" xr:uid="{6AC3545B-866D-4C5E-90D7-E9F61F45E653}"/>
    <hyperlink ref="V2451" r:id="rId769" xr:uid="{5CA517C7-012B-48C0-80CB-C61F254CC5C5}"/>
    <hyperlink ref="V2452" r:id="rId770" xr:uid="{DB7AD119-C15A-462A-B10D-ED2AD5086453}"/>
    <hyperlink ref="V2453" r:id="rId771" xr:uid="{E9E5098E-C29D-43CC-A8C4-C802647DA31B}"/>
    <hyperlink ref="V2454" r:id="rId772" xr:uid="{4A0EDD80-10B7-429D-BE9F-4897CE4AC972}"/>
    <hyperlink ref="V2455" r:id="rId773" xr:uid="{2C65525E-3616-4B08-9A66-7386546AA188}"/>
    <hyperlink ref="V2456" r:id="rId774" xr:uid="{CB1D029B-F109-44D9-9271-B1133C92D946}"/>
    <hyperlink ref="V2457" r:id="rId775" xr:uid="{3272A8EF-84A7-4D55-B89B-A984FD30E243}"/>
    <hyperlink ref="V2458" r:id="rId776" xr:uid="{6C5F7518-63BA-4006-957B-D501D7825CDB}"/>
    <hyperlink ref="V2459" r:id="rId777" xr:uid="{49E9F684-012D-4559-827B-D0B44F87C676}"/>
    <hyperlink ref="V2460" r:id="rId778" xr:uid="{850C5FE4-71BE-4502-8C50-AD983D08D39D}"/>
    <hyperlink ref="V2461" r:id="rId779" xr:uid="{386A331F-3322-400E-8FCA-0F82E00517D6}"/>
    <hyperlink ref="V2462" r:id="rId780" xr:uid="{6393C2C1-16D0-4565-B5DA-6A6151BBEA1B}"/>
    <hyperlink ref="V2463" r:id="rId781" xr:uid="{A2EF6D69-1009-4188-A2AB-A1A550652D2E}"/>
    <hyperlink ref="V2464" r:id="rId782" xr:uid="{CD2EA02E-127E-4CA9-8314-6576DC37A074}"/>
    <hyperlink ref="V2465" r:id="rId783" xr:uid="{15BC6B79-BABD-4F1D-ABE1-6F73840C5FC2}"/>
    <hyperlink ref="V2466" r:id="rId784" xr:uid="{7B5574DF-B79F-49A5-848D-1034D6C6A76A}"/>
    <hyperlink ref="V2467" r:id="rId785" xr:uid="{888670BF-4769-4C5B-BFB7-B02C3B64D20A}"/>
    <hyperlink ref="V2468" r:id="rId786" xr:uid="{CF39516A-E16B-4325-A556-F3A157F9819C}"/>
    <hyperlink ref="V2469" r:id="rId787" xr:uid="{CA7F3187-315C-441F-9A88-00F3BD6AB1E3}"/>
    <hyperlink ref="V2470" r:id="rId788" xr:uid="{B951C62F-B4D5-4883-A449-105C40C669CA}"/>
    <hyperlink ref="V2471" r:id="rId789" xr:uid="{AD3ABC71-6157-4FA1-874D-06F2DF57FF17}"/>
    <hyperlink ref="V2472" r:id="rId790" xr:uid="{552479C3-70B8-4A2D-8E34-127B737FAC0A}"/>
    <hyperlink ref="V2473" r:id="rId791" xr:uid="{78986405-589E-413E-A21F-90DAA1028BFC}"/>
    <hyperlink ref="V2474" r:id="rId792" xr:uid="{3F6589BA-7CCC-4300-8914-9EB4234C76F1}"/>
    <hyperlink ref="V2475" r:id="rId793" xr:uid="{7ABE003F-62BC-44FE-9E33-36BC5D26D09D}"/>
    <hyperlink ref="V2476" r:id="rId794" xr:uid="{8481821A-9AA9-4836-A907-1CE13BC59526}"/>
    <hyperlink ref="V2477" r:id="rId795" xr:uid="{ADD89ADF-AB8A-4CC8-8441-0EF16FC17A8C}"/>
    <hyperlink ref="V2478" r:id="rId796" xr:uid="{0149AAF0-C327-4739-8DB8-D544B4D56C62}"/>
    <hyperlink ref="V2479" r:id="rId797" xr:uid="{B35B55A0-6FE0-4E06-B53F-C811B8142C03}"/>
    <hyperlink ref="V2480" r:id="rId798" xr:uid="{93513300-B2A6-4E76-8172-EDC203D53E13}"/>
    <hyperlink ref="V2481" r:id="rId799" xr:uid="{C25FEAB1-DC59-4AEB-B7E2-90BDC7624F71}"/>
    <hyperlink ref="V2482" r:id="rId800" xr:uid="{F0034CF3-8E17-4A26-A65C-53BF607ED7EA}"/>
    <hyperlink ref="V2483" r:id="rId801" xr:uid="{277C0C9D-19CB-41F6-9C7C-4AE70F0AD6E8}"/>
    <hyperlink ref="V2484" r:id="rId802" xr:uid="{8CB3D681-9EC3-47F4-8608-BF1A3111E4DA}"/>
    <hyperlink ref="V2485" r:id="rId803" xr:uid="{298D827D-50F8-411B-89D5-96B8D3A740B3}"/>
    <hyperlink ref="V2486" r:id="rId804" xr:uid="{02D847C3-8274-489E-B42C-FC9EF73EE7B6}"/>
    <hyperlink ref="V2487" r:id="rId805" xr:uid="{46C91C24-9CA0-4EEB-BE30-FFD4BD6F6FF8}"/>
    <hyperlink ref="V2488" r:id="rId806" xr:uid="{BE489BE0-581E-457E-88C1-9455B3793E4F}"/>
    <hyperlink ref="V2489" r:id="rId807" xr:uid="{B3E7D97E-4349-4DE5-B36E-BD6B1490CAC1}"/>
    <hyperlink ref="V2242" r:id="rId808" xr:uid="{0B6E3658-B905-4D7D-AFF8-D4ED80B423C1}"/>
    <hyperlink ref="V788" r:id="rId809" xr:uid="{6641FBF0-DE48-417F-BD89-ADA754975109}"/>
    <hyperlink ref="V789" r:id="rId810" xr:uid="{12243F9A-C2C6-4BEC-B87A-523C09FCCBEE}"/>
    <hyperlink ref="V790" r:id="rId811" xr:uid="{C133D276-191B-4334-B1DA-6AEC0C9758AC}"/>
    <hyperlink ref="V791" r:id="rId812" xr:uid="{5758C7A3-6562-4B01-996F-1926BB836B8E}"/>
    <hyperlink ref="V792" r:id="rId813" xr:uid="{745081E0-F47D-4BE2-B2A7-50B490248345}"/>
    <hyperlink ref="V793" r:id="rId814" xr:uid="{429F64F7-AA78-492C-B514-E3E1B0A559E1}"/>
    <hyperlink ref="V794" r:id="rId815" xr:uid="{2EBA88EE-D98E-48BA-8A42-E66BE5E6E4AD}"/>
    <hyperlink ref="V795" r:id="rId816" xr:uid="{F60A3081-A30A-4A46-B4AC-845C6D9C68A6}"/>
    <hyperlink ref="V796" r:id="rId817" xr:uid="{121E117D-AF0B-4173-BC96-95A236B7CF3E}"/>
    <hyperlink ref="V797" r:id="rId818" xr:uid="{8BF023F3-DE70-4E8F-8403-4814817CAB5F}"/>
    <hyperlink ref="V798" r:id="rId819" xr:uid="{86802FDB-F913-4107-903F-FB1F84D1D9C7}"/>
    <hyperlink ref="V799" r:id="rId820" xr:uid="{19A5EE07-47D2-448D-8D5C-938543C25149}"/>
    <hyperlink ref="V907" r:id="rId821" xr:uid="{011308BA-0E1F-48CE-B515-90F6032E0446}"/>
    <hyperlink ref="V908" r:id="rId822" xr:uid="{6250A098-F91A-4D07-990B-B569AC161F67}"/>
    <hyperlink ref="V909" r:id="rId823" xr:uid="{6424553E-19A9-4ADA-956E-0112FE6B6745}"/>
    <hyperlink ref="V910" r:id="rId824" xr:uid="{6167B7F5-5087-45A3-88C4-56678434518A}"/>
    <hyperlink ref="V911" r:id="rId825" xr:uid="{F4616DF7-4A60-4572-A0C5-CD9209585660}"/>
    <hyperlink ref="V912" r:id="rId826" xr:uid="{3F2A8902-935F-494A-A13A-5BF19D37A86B}"/>
    <hyperlink ref="V913" r:id="rId827" xr:uid="{70C6C1E2-DBD8-401C-80D1-25EB33D6759C}"/>
    <hyperlink ref="V914" r:id="rId828" xr:uid="{2C64AAFB-3AA0-4BBD-8C4F-D9C71F3FE7E1}"/>
    <hyperlink ref="V915" r:id="rId829" xr:uid="{7A7E7326-343E-4377-A851-C9BCA13AABEC}"/>
    <hyperlink ref="V916" r:id="rId830" xr:uid="{F4AD215A-16E2-49FD-B330-8655789A0590}"/>
    <hyperlink ref="V917" r:id="rId831" xr:uid="{CB133F5E-AC7A-451E-95FD-B95173979483}"/>
    <hyperlink ref="V918" r:id="rId832" xr:uid="{144358AB-1319-4123-A17B-77A89066710F}"/>
    <hyperlink ref="V919" r:id="rId833" xr:uid="{EB37B87C-7A8E-4DC9-A0C1-77DCBA339D93}"/>
    <hyperlink ref="V920" r:id="rId834" xr:uid="{4B13DA3B-172B-4D1A-9EB2-9F99F05BE667}"/>
    <hyperlink ref="V921" r:id="rId835" xr:uid="{EE2595F4-921E-4336-AE0E-6FA3AD40A81D}"/>
    <hyperlink ref="V922" r:id="rId836" xr:uid="{4000A1BE-632D-45EF-9556-492CDEB640C5}"/>
    <hyperlink ref="V923" r:id="rId837" xr:uid="{048F6C0C-E7F8-476C-AB34-70189DC51C2E}"/>
    <hyperlink ref="V924" r:id="rId838" xr:uid="{FF40B6E1-E426-4DFF-A646-EDAFA9BE512F}"/>
    <hyperlink ref="V925" r:id="rId839" xr:uid="{5C9067CE-A94C-4105-9D6C-2341E5A3113A}"/>
    <hyperlink ref="V926" r:id="rId840" xr:uid="{C09F1D4F-830C-41BF-8711-61DB55226146}"/>
    <hyperlink ref="V934" r:id="rId841" xr:uid="{F3316D42-05B5-4140-883E-45607EFFE5F6}"/>
    <hyperlink ref="V929" r:id="rId842" xr:uid="{1BAAECF9-B62C-440A-9B97-7985C9509882}"/>
    <hyperlink ref="V935" r:id="rId843" xr:uid="{D0751C1C-A39E-4769-9003-FBEFBACAA1BE}"/>
    <hyperlink ref="V927" r:id="rId844" xr:uid="{BFAF52A6-4881-4C42-A39D-EEBDF41AD68D}"/>
    <hyperlink ref="V932" r:id="rId845" xr:uid="{1E1BDCBE-5EB2-4197-ABF4-3E732FDD1664}"/>
    <hyperlink ref="V933" r:id="rId846" xr:uid="{60BBFAD3-8FB4-48B7-9D4E-8E27A1680621}"/>
    <hyperlink ref="V928" r:id="rId847" xr:uid="{440E0BC3-3E17-49DC-9633-DD1A31F6A4FA}"/>
    <hyperlink ref="V936" r:id="rId848" xr:uid="{22DB5213-69E9-48FE-B617-B7CA664078D5}"/>
    <hyperlink ref="V937" r:id="rId849" xr:uid="{7E72E25C-D7FA-4EA6-9A44-AAFA4012E82A}"/>
    <hyperlink ref="V931" r:id="rId850" xr:uid="{3BEEAAA7-0B2B-4C95-83C9-01B97444B324}"/>
    <hyperlink ref="V930" r:id="rId851" xr:uid="{5803E638-912D-4F98-9290-841153996840}"/>
    <hyperlink ref="V944" r:id="rId852" xr:uid="{4940DB29-4C7F-4DD8-9B28-04F9774CFED1}"/>
    <hyperlink ref="V947" r:id="rId853" xr:uid="{253025CE-5B7C-45BA-8D8C-9B0D38FDB4D0}"/>
    <hyperlink ref="V943" r:id="rId854" xr:uid="{4395983A-1BB9-4648-BFD2-9783BECBE48E}"/>
    <hyperlink ref="V939" r:id="rId855" xr:uid="{82DC9A7D-451E-4E39-86F9-DDE9CB8C6BAB}"/>
    <hyperlink ref="V942" r:id="rId856" xr:uid="{8E35539D-E28B-44BB-B942-299B4F2FF4C4}"/>
    <hyperlink ref="V940" r:id="rId857" xr:uid="{70A9A085-869F-4BE1-A847-A44027399F6D}"/>
    <hyperlink ref="V938" r:id="rId858" xr:uid="{1C309152-770E-4A3E-BA0D-2DA5D0A6DC27}"/>
    <hyperlink ref="V948" r:id="rId859" xr:uid="{3AF782A5-8F2E-46DD-9BB0-89D686CA53D1}"/>
    <hyperlink ref="V945" r:id="rId860" xr:uid="{13886018-5151-4583-969B-26AFA2B0E9CB}"/>
    <hyperlink ref="V946" r:id="rId861" xr:uid="{2A24D7D8-AA69-4CB2-A516-EB4F58FFA240}"/>
    <hyperlink ref="V941" r:id="rId862" xr:uid="{034287A2-F473-42FC-BFF9-839CF18A322F}"/>
    <hyperlink ref="V949" r:id="rId863" xr:uid="{3FFF6F91-B89A-45CD-8957-441B98BFB405}"/>
    <hyperlink ref="V950" r:id="rId864" xr:uid="{32DE1E30-DDC4-4549-99D7-921445089C72}"/>
    <hyperlink ref="V951" r:id="rId865" xr:uid="{2C10394A-636B-43A0-B14B-6B34DCFB7A57}"/>
    <hyperlink ref="V952" r:id="rId866" xr:uid="{66DC9AEA-DB90-415C-8B34-8735071087E3}"/>
    <hyperlink ref="V953" r:id="rId867" xr:uid="{DE07C4A8-0D4C-47C9-9581-A98D81985F05}"/>
    <hyperlink ref="V954" r:id="rId868" xr:uid="{CB3E8A0D-21CB-472C-B573-B3A8616B3E42}"/>
    <hyperlink ref="V955" r:id="rId869" xr:uid="{1C40DA77-6D15-4108-8447-B4FB9A932FF9}"/>
    <hyperlink ref="V956" r:id="rId870" xr:uid="{82F14CDA-1749-4D86-B89D-34DD990D5FC1}"/>
    <hyperlink ref="V957" r:id="rId871" xr:uid="{1C197F23-2E8B-491C-ABC9-CA94F239CDFD}"/>
    <hyperlink ref="V958" r:id="rId872" xr:uid="{7F348158-5A66-462A-9534-6EE32D797D66}"/>
    <hyperlink ref="V959" r:id="rId873" xr:uid="{AA39844A-6C15-490D-BDCF-AF6EA82C9CEB}"/>
    <hyperlink ref="V960" r:id="rId874" xr:uid="{CFC4ADB4-7273-4648-B5C0-E5E295B3A61D}"/>
    <hyperlink ref="V961" r:id="rId875" xr:uid="{E4AC8DD5-85CA-4216-AC18-29B2CB7C2735}"/>
    <hyperlink ref="V962" r:id="rId876" xr:uid="{6DF845A9-1624-4F00-BD3A-0DC4DE0E81D2}"/>
    <hyperlink ref="V963" r:id="rId877" xr:uid="{9E2843B8-BDDB-4901-8CCE-5DBF1DD67CF3}"/>
    <hyperlink ref="V964" r:id="rId878" xr:uid="{E9C0D330-A99C-44EF-84B9-154D9B7F1019}"/>
    <hyperlink ref="V965" r:id="rId879" xr:uid="{310F278F-E39E-4A33-97EB-7E68B5F303D7}"/>
    <hyperlink ref="V966" r:id="rId880" xr:uid="{DAF8FD54-49E8-44AB-96CD-9D0FE0DD468B}"/>
    <hyperlink ref="V967" r:id="rId881" xr:uid="{38824320-52F7-45D8-81B8-D42CE1BAFEE3}"/>
    <hyperlink ref="V968" r:id="rId882" xr:uid="{5C8FC5B9-FD4C-41E1-A485-B0B4C72CBA4A}"/>
    <hyperlink ref="V969" r:id="rId883" xr:uid="{8DC9282D-5B68-4959-A2BD-52D3368F17F8}"/>
    <hyperlink ref="V970" r:id="rId884" xr:uid="{EA4370BD-8881-49A4-8E50-BCFDE7B4E291}"/>
    <hyperlink ref="V971" r:id="rId885" xr:uid="{EAF63BA7-3741-4532-BC1D-653474076573}"/>
    <hyperlink ref="V972" r:id="rId886" xr:uid="{4CD8231E-7B0A-4F98-8AD4-9D6190697BD5}"/>
    <hyperlink ref="V973" r:id="rId887" xr:uid="{383FE596-950B-43CE-92A4-B2E173C1C713}"/>
    <hyperlink ref="V974" r:id="rId888" xr:uid="{8FEA21C3-45B0-4E5A-BF55-4BC6D33E2C72}"/>
    <hyperlink ref="V975" r:id="rId889" xr:uid="{DD4B4131-3831-475B-B8FC-069B9025F947}"/>
    <hyperlink ref="V976" r:id="rId890" xr:uid="{D23CFE23-65CF-4DEB-80C8-06A2DB0A4660}"/>
    <hyperlink ref="V977" r:id="rId891" xr:uid="{0A2E556E-FE11-4B86-93AD-5C064910F14A}"/>
    <hyperlink ref="V978" r:id="rId892" xr:uid="{887FEB75-B50A-40EB-9590-864567A86FB4}"/>
    <hyperlink ref="V979" r:id="rId893" xr:uid="{9E8BFDF6-A577-4D37-A230-E5AE3275875A}"/>
    <hyperlink ref="V980" r:id="rId894" xr:uid="{63CF5F1F-0282-4292-9356-511161849951}"/>
    <hyperlink ref="V981" r:id="rId895" xr:uid="{DFE2090E-A52C-47DA-B58E-C98ED59E3901}"/>
    <hyperlink ref="V982" r:id="rId896" xr:uid="{7E9B4126-92B7-44F9-A856-9CDE782F4069}"/>
    <hyperlink ref="V983" r:id="rId897" xr:uid="{DC9BCB5D-FD95-46DC-AF41-CBA1FAB3F3B7}"/>
    <hyperlink ref="V984" r:id="rId898" xr:uid="{61CFDD98-00EA-4ED1-B5EE-EF50DE2ECE72}"/>
    <hyperlink ref="V985" r:id="rId899" xr:uid="{F627E6EB-8C1F-4045-AD58-BB9EA75AEB8A}"/>
    <hyperlink ref="V986" r:id="rId900" xr:uid="{9BCACF86-4119-483F-AE0E-94175C63EC90}"/>
    <hyperlink ref="V987" r:id="rId901" xr:uid="{63504AA0-D5B9-4999-A12A-A609B622BC6C}"/>
    <hyperlink ref="V988" r:id="rId902" xr:uid="{80251F18-3399-4F36-8EAC-1427C25DFE47}"/>
    <hyperlink ref="V989" r:id="rId903" xr:uid="{594E836E-54B3-424C-BC8B-6AE8BD111A9E}"/>
    <hyperlink ref="V990" r:id="rId904" xr:uid="{D34A8B74-7807-4F64-9870-F2A51592C21E}"/>
    <hyperlink ref="V991" r:id="rId905" xr:uid="{B638E483-8EA0-463A-B49E-B7F0E6FE2768}"/>
    <hyperlink ref="V992" r:id="rId906" xr:uid="{DBC5C138-7975-46E2-8E18-324BD21C6AAC}"/>
    <hyperlink ref="V993" r:id="rId907" xr:uid="{01F3639E-EBE7-4206-9B4B-16BDC980B316}"/>
    <hyperlink ref="V994" r:id="rId908" xr:uid="{4F62A486-73A0-4AC1-88F4-1DC01818E917}"/>
    <hyperlink ref="V995" r:id="rId909" xr:uid="{BC1D8425-99AC-4823-852B-9DF42D0AC7E2}"/>
    <hyperlink ref="V996" r:id="rId910" xr:uid="{F287C399-BF70-464A-AD4A-8C665604D713}"/>
    <hyperlink ref="V997" r:id="rId911" xr:uid="{14839C1D-9FDA-4551-9AEC-5B875F956AB4}"/>
    <hyperlink ref="V998" r:id="rId912" xr:uid="{0261D0B9-4351-49AB-BC46-50DF3962ACEA}"/>
    <hyperlink ref="V999" r:id="rId913" xr:uid="{8C714AE3-068E-4844-B76D-0D7BA59B8BE1}"/>
    <hyperlink ref="V1000" r:id="rId914" xr:uid="{410D0D9A-AB1F-4FCA-9290-5D536CBBE806}"/>
    <hyperlink ref="V1001" r:id="rId915" xr:uid="{6432FB5D-C9DA-4041-AAEA-DEEB8432056A}"/>
    <hyperlink ref="V201" r:id="rId916" xr:uid="{C6A67FAD-E0C1-4CBF-A925-E95FED0C675D}"/>
    <hyperlink ref="V202" r:id="rId917" xr:uid="{0C5F4250-1784-446F-98D7-5ACDB89CA3AC}"/>
    <hyperlink ref="V203" r:id="rId918" xr:uid="{323C0BB1-A550-4A12-B6A3-90AF8E2588C1}"/>
    <hyperlink ref="V204" r:id="rId919" xr:uid="{BDDCD808-7866-4777-848B-F359A6C9702B}"/>
    <hyperlink ref="V205" r:id="rId920" xr:uid="{69152727-D4F4-4DC3-94E5-D8B9B37894EE}"/>
    <hyperlink ref="V206" r:id="rId921" xr:uid="{CA7C01F5-A5AB-4C9E-A813-4B759CAE1840}"/>
    <hyperlink ref="V207" r:id="rId922" xr:uid="{F74046E4-1753-4593-9AEB-8F7A12FB6AAD}"/>
    <hyperlink ref="V208" r:id="rId923" xr:uid="{2AF3958C-5053-4BAB-86A5-37785C6E7162}"/>
    <hyperlink ref="V209" r:id="rId924" xr:uid="{9A8211CD-C7C0-4E9D-8639-9A931BD9CAB1}"/>
    <hyperlink ref="V210" r:id="rId925" xr:uid="{708C6ED8-20D2-44C9-B8F2-5F8E6B457E0B}"/>
    <hyperlink ref="V211" r:id="rId926" xr:uid="{1618D22F-33E3-47E9-BFB8-B5EAF44B8F3E}"/>
    <hyperlink ref="V212" r:id="rId927" xr:uid="{17B70DD7-31C0-4B61-9B52-4C9E8F5A1A84}"/>
    <hyperlink ref="V213" r:id="rId928" xr:uid="{A02C7C4E-8583-4537-9434-3C0C4CF5B6F1}"/>
    <hyperlink ref="V214" r:id="rId929" xr:uid="{79BD81AC-FA51-4373-A209-A3FD12137447}"/>
    <hyperlink ref="V215" r:id="rId930" xr:uid="{2FCF2A5C-D539-401A-85BC-7D335C8BA38F}"/>
    <hyperlink ref="V216" r:id="rId931" xr:uid="{3DA06E99-8B7A-4994-A445-D6ABD9015099}"/>
    <hyperlink ref="V217" r:id="rId932" xr:uid="{E1E18EBD-B380-4952-9195-725CF7B4EE29}"/>
    <hyperlink ref="V218" r:id="rId933" xr:uid="{619CABF8-B967-4204-9F48-2E9FD2CD52E5}"/>
    <hyperlink ref="V219" r:id="rId934" xr:uid="{5BAE7FDA-7A16-4D60-BE7A-BA3D027FD042}"/>
    <hyperlink ref="V220" r:id="rId935" xr:uid="{D3DD0923-471D-49BF-A827-AC896889A2AF}"/>
    <hyperlink ref="V221" r:id="rId936" xr:uid="{989FE31F-E285-4CF3-AFF8-A71337C28E58}"/>
    <hyperlink ref="V222" r:id="rId937" xr:uid="{4F5928AD-2DE8-4495-9D63-1C884370DF7C}"/>
    <hyperlink ref="V223" r:id="rId938" xr:uid="{91B40822-BC3D-4FF0-9842-971B5E77BEAD}"/>
    <hyperlink ref="V224" r:id="rId939" xr:uid="{3D5F57CE-1AE3-46A4-A2A9-303265D403A8}"/>
    <hyperlink ref="V225" r:id="rId940" xr:uid="{C903E0DB-C5B6-48EE-9F5E-8674DC73E674}"/>
    <hyperlink ref="V226" r:id="rId941" xr:uid="{E1B2E341-1F1D-44F0-B537-66A0ECEC02DE}"/>
    <hyperlink ref="V227" r:id="rId942" xr:uid="{968AFB46-6475-48D8-837B-2F300947E966}"/>
    <hyperlink ref="V228" r:id="rId943" xr:uid="{F4E192F2-5BAF-429E-BE1C-0CE37AB4B1F1}"/>
    <hyperlink ref="V254" r:id="rId944" xr:uid="{363F0C2D-FE4F-46CE-AACF-B1BB281040A3}"/>
    <hyperlink ref="V256" r:id="rId945" xr:uid="{B2F82778-7265-46DD-A10F-E090486F23C2}"/>
    <hyperlink ref="V257" r:id="rId946" xr:uid="{B907A71A-15FF-49D5-8BBE-D7AD429E72DA}"/>
    <hyperlink ref="V258" r:id="rId947" xr:uid="{D9274257-6596-4CF4-9041-E550FFBDA634}"/>
    <hyperlink ref="V259" r:id="rId948" xr:uid="{9A9D4664-AE75-4BEB-BD5C-A433874B4FE6}"/>
    <hyperlink ref="V260" r:id="rId949" xr:uid="{898D4079-B6F5-44F5-9481-4A2218191F21}"/>
    <hyperlink ref="V261" r:id="rId950" xr:uid="{4DE3490C-8467-446B-A25F-A99E5A3D3E29}"/>
    <hyperlink ref="V262" r:id="rId951" xr:uid="{4DC97940-87CB-41E5-8E4F-C95997FADE1E}"/>
    <hyperlink ref="V263" r:id="rId952" xr:uid="{8EDFFF0A-B1E9-4187-AADD-0C5A37DD07C0}"/>
    <hyperlink ref="V264" r:id="rId953" xr:uid="{781FE1AB-4E27-4C8C-BB2B-F6FD701462DE}"/>
    <hyperlink ref="V265" r:id="rId954" xr:uid="{F004317E-29A8-41DF-A35F-52DE522B8D52}"/>
    <hyperlink ref="V197" r:id="rId955" xr:uid="{459850ED-3534-4222-A286-43A0B815EC3F}"/>
    <hyperlink ref="V252" r:id="rId956" xr:uid="{F343E84B-989A-49C6-B3B0-FADF20C51903}"/>
    <hyperlink ref="V1815" r:id="rId957" xr:uid="{5609C672-1D35-4669-A7EE-596CE7D5F34A}"/>
    <hyperlink ref="V199" r:id="rId958" xr:uid="{4E0E962C-AE62-4CE3-A448-EA51A5C97551}"/>
    <hyperlink ref="V266" r:id="rId959" xr:uid="{66BF1686-CB28-452F-B74E-D7A4AB49F4B7}"/>
    <hyperlink ref="V179" r:id="rId960" xr:uid="{7F5E2BA2-8E18-49ED-96D9-4BDB2BB77E34}"/>
    <hyperlink ref="V195" r:id="rId961" xr:uid="{451E63F0-D850-4FBC-BE33-AB73C19654FB}"/>
    <hyperlink ref="V267" r:id="rId962" xr:uid="{F3739A56-F9D3-48D9-A7DB-626EEFD6E705}"/>
    <hyperlink ref="V268" r:id="rId963" xr:uid="{A69F4E81-A2E7-4813-8CCE-026E3891FF6E}"/>
    <hyperlink ref="V176" r:id="rId964" xr:uid="{F79BCAA7-16AF-416B-9D35-DF95162D54A9}"/>
    <hyperlink ref="V200" r:id="rId965" xr:uid="{5CC50F9F-D271-4423-AC1D-D39EAB2F23D7}"/>
    <hyperlink ref="V233" r:id="rId966" xr:uid="{D2FBEE92-84D8-49A8-A27F-BAA872B3F5F8}"/>
    <hyperlink ref="V269" r:id="rId967" xr:uid="{46A92031-C76D-4DCE-A05F-6371C3186B98}"/>
    <hyperlink ref="V905" r:id="rId968" xr:uid="{7F37928A-5EFC-4C53-97FC-365A3C7F0066}"/>
    <hyperlink ref="V906" r:id="rId969" xr:uid="{684E253A-4C17-4108-A323-E7923EE1B8CB}"/>
    <hyperlink ref="V904" r:id="rId970" xr:uid="{01E7E675-5DAB-4BC0-BB44-C1EA76062334}"/>
    <hyperlink ref="V880" r:id="rId971" xr:uid="{9E49B2C4-CED1-4D37-8848-76C99B4C41E8}"/>
    <hyperlink ref="V2" r:id="rId972" xr:uid="{EA0FF0B8-DD8D-47C3-AD7F-468EA60FE0B9}"/>
    <hyperlink ref="V3" r:id="rId973" xr:uid="{F2BA9561-0C68-4E2A-A452-AE4E724A4967}"/>
    <hyperlink ref="V4" r:id="rId974" xr:uid="{2C1C705E-0C77-4224-9A2B-E0510777A3B7}"/>
    <hyperlink ref="V5" r:id="rId975" xr:uid="{69A93DC3-7905-4A2B-8149-CC92883CB3A0}"/>
    <hyperlink ref="V6" r:id="rId976" xr:uid="{ACE9A5D5-E4C1-4415-A11C-96BC494796F2}"/>
    <hyperlink ref="V7" r:id="rId977" xr:uid="{C548EE2A-6C1D-4F5D-B9A9-B5F28665BB93}"/>
    <hyperlink ref="V8" r:id="rId978" xr:uid="{30C61721-D48A-4D2E-AB1A-307AE690BEC0}"/>
    <hyperlink ref="V9" r:id="rId979" xr:uid="{B335FA5D-5358-4651-9F94-D8A255E43A62}"/>
    <hyperlink ref="V10" r:id="rId980" xr:uid="{CF2A7F79-BA98-43D6-BE80-64D99AFB0DD2}"/>
    <hyperlink ref="V11" r:id="rId981" xr:uid="{54B02615-2D88-421C-B7A0-EB5F17866F12}"/>
    <hyperlink ref="V12" r:id="rId982" xr:uid="{CB9E1D9B-B383-434B-AA21-B0FCA8B8F262}"/>
    <hyperlink ref="V13" r:id="rId983" xr:uid="{EDF00CE9-BC88-4BA2-AF24-369E57671CC1}"/>
    <hyperlink ref="V14" r:id="rId984" xr:uid="{E2C0ECFB-5259-4641-973A-0E1E1E35C96C}"/>
    <hyperlink ref="V15" r:id="rId985" xr:uid="{DEF3D2B2-118E-4747-AE5C-9E6434D99762}"/>
    <hyperlink ref="V16" r:id="rId986" xr:uid="{CB1E1813-0DFF-4F49-AFE9-722F124DB901}"/>
    <hyperlink ref="V109" r:id="rId987" xr:uid="{B8A0D2F7-7D45-4DAC-A32E-5BDAF48FE7E7}"/>
    <hyperlink ref="V110" r:id="rId988" xr:uid="{94232F0B-1470-4738-9A98-0296D802A672}"/>
    <hyperlink ref="V111" r:id="rId989" xr:uid="{19A26C4D-F9A8-4F15-8F74-4D2CFADBB6DB}"/>
    <hyperlink ref="V112" r:id="rId990" xr:uid="{CC7ACCBA-B753-4C08-9859-80D24318AEF4}"/>
    <hyperlink ref="V113" r:id="rId991" xr:uid="{BA1B4870-91D0-45D4-985F-00BBB2BBBDE9}"/>
    <hyperlink ref="V114" r:id="rId992" xr:uid="{C17A45A4-3016-4C0A-9AD9-A45126BA07B7}"/>
    <hyperlink ref="V115" r:id="rId993" xr:uid="{A1A5092B-5B89-4100-8E09-8A785449B016}"/>
    <hyperlink ref="V116" r:id="rId994" xr:uid="{2CE94F7E-6B22-4A95-85AA-F8AF7F057AC7}"/>
    <hyperlink ref="V117" r:id="rId995" xr:uid="{B1DD925B-DB5D-4FE8-94A8-5CC9AFFADEB8}"/>
    <hyperlink ref="V118" r:id="rId996" xr:uid="{F24D6A37-2414-4DBA-B2B5-94CAC1537BA2}"/>
    <hyperlink ref="V119" r:id="rId997" xr:uid="{C58B3CE6-267E-4CD4-B877-9B5A3A5BFDA6}"/>
    <hyperlink ref="V120" r:id="rId998" xr:uid="{1EFB7BD4-4C9E-4039-9F14-6F172D2EFE02}"/>
    <hyperlink ref="V121" r:id="rId999" xr:uid="{4794572C-75C3-4AA9-AFFD-4CF3F48182AF}"/>
    <hyperlink ref="V139" r:id="rId1000" xr:uid="{00103CC6-A479-4167-9080-96864AD9D09A}"/>
    <hyperlink ref="V1548" r:id="rId1001" xr:uid="{9FECFC07-2F85-47A9-AEC5-6C17B1942971}"/>
    <hyperlink ref="V1542" r:id="rId1002" xr:uid="{728576CF-8136-4EA0-8295-D4722045F1FA}"/>
    <hyperlink ref="V1978" r:id="rId1003" xr:uid="{7CB430B2-7F9F-42A6-970C-842B4CF5A0FC}"/>
    <hyperlink ref="V1958" r:id="rId1004" xr:uid="{DB8CE47B-AE39-4C19-9B08-DB2FDE08C604}"/>
    <hyperlink ref="V1943" r:id="rId1005" xr:uid="{910D823A-0421-4034-A53A-B8AA1E33C856}"/>
    <hyperlink ref="V1812" r:id="rId1006" xr:uid="{72135BA7-C3AD-4D59-8BA6-CB2B6B1600D9}"/>
    <hyperlink ref="V1710" r:id="rId1007" xr:uid="{1A011214-BC95-4F77-9F66-9CF072486674}"/>
    <hyperlink ref="V1819" r:id="rId1008" xr:uid="{74CA1D29-C6CD-4995-9039-B871CA6A49F2}"/>
    <hyperlink ref="V1896" r:id="rId1009" xr:uid="{5EA9A12E-EFFF-459D-86EB-FF03B703E8BF}"/>
    <hyperlink ref="V2071" r:id="rId1010" xr:uid="{3915929D-BD95-42CB-86C1-B4CB9BE41849}"/>
    <hyperlink ref="V1780" r:id="rId1011" xr:uid="{8187FE64-A231-40D6-8C96-9DB0A41F9E3F}"/>
    <hyperlink ref="V2105" r:id="rId1012" xr:uid="{D326F2D3-FAD3-44D6-9F80-6AF0378A7969}"/>
    <hyperlink ref="V1968" r:id="rId1013" xr:uid="{63C60C1A-64A7-4730-8E3B-38CEA017AC47}"/>
    <hyperlink ref="V1546" r:id="rId1014" xr:uid="{848767DC-8C48-44A2-9D49-B00A1356447D}"/>
    <hyperlink ref="V2165" r:id="rId1015" xr:uid="{12AA1976-591F-49DB-91F7-42C5A6AB3529}"/>
    <hyperlink ref="V1799" r:id="rId1016" xr:uid="{84EE44FC-04F4-409F-B079-81356016F73C}"/>
    <hyperlink ref="V1878" r:id="rId1017" xr:uid="{462D1122-AED8-423F-B7ED-FF892D35D152}"/>
    <hyperlink ref="V1965" r:id="rId1018" xr:uid="{0A44D34F-8BEE-4F86-BE40-0E0602970365}"/>
    <hyperlink ref="V153" r:id="rId1019" xr:uid="{5C446341-2045-4B17-A313-A8E67B174FF5}"/>
    <hyperlink ref="V1849" r:id="rId1020" xr:uid="{554564B3-0260-4B57-A6E0-4287AF3D3D74}"/>
    <hyperlink ref="V1784" r:id="rId1021" xr:uid="{4B501970-6439-498D-992D-2EE560AF9ADB}"/>
    <hyperlink ref="V2020" r:id="rId1022" xr:uid="{66D373FF-D8C2-475D-9AEC-9FD0AD7168D7}"/>
    <hyperlink ref="V2113" r:id="rId1023" xr:uid="{88725E63-5F9A-4C14-9E39-087B4A282653}"/>
    <hyperlink ref="V1562" r:id="rId1024" xr:uid="{F145EFAE-38F5-44DC-AD62-9FDA25A1FFFD}"/>
    <hyperlink ref="V1982" r:id="rId1025" xr:uid="{F992D74D-3DFA-464C-B49F-4838304CFA7D}"/>
    <hyperlink ref="V1822" r:id="rId1026" xr:uid="{A2B325C9-0BF4-4B29-BA7B-C537EFCE0969}"/>
    <hyperlink ref="V150" r:id="rId1027" xr:uid="{109A0CC6-55FF-4A5B-BCE2-B8F20E23FC2A}"/>
    <hyperlink ref="V2064" r:id="rId1028" xr:uid="{8FA35E08-0303-4136-A5B3-11D09821A1A8}"/>
    <hyperlink ref="V2021" r:id="rId1029" xr:uid="{408B75DC-8853-4307-88D7-6F3E90B0FF51}"/>
    <hyperlink ref="V2098" r:id="rId1030" xr:uid="{E0023A25-BE63-44F7-8508-2FEAD98C6933}"/>
    <hyperlink ref="V2039" r:id="rId1031" xr:uid="{D37B4DED-DAFF-49CE-98C7-735B8DCEF3EF}"/>
    <hyperlink ref="V142" r:id="rId1032" xr:uid="{97AF494D-12A1-4881-A35C-71EFC95BB2F0}"/>
    <hyperlink ref="V1959" r:id="rId1033" xr:uid="{B5167267-E095-419B-862F-D090C5B34262}"/>
    <hyperlink ref="V2156" r:id="rId1034" xr:uid="{3F8124C0-4F0B-4F47-9B2E-D753C63BE0F2}"/>
    <hyperlink ref="V568" r:id="rId1035" xr:uid="{BDA86D32-1DBC-41DE-905A-2EDDA6C526E7}"/>
    <hyperlink ref="V1873" r:id="rId1036" xr:uid="{62B09C5C-D8F7-4850-8D23-A22254DB92ED}"/>
    <hyperlink ref="V1899" r:id="rId1037" xr:uid="{19DCED60-CBF9-4185-93A8-C7F3CD1CD6C0}"/>
    <hyperlink ref="V2157" r:id="rId1038" xr:uid="{A6091FEA-7BE7-4FD9-9D60-D7F145D48EA8}"/>
    <hyperlink ref="V1897" r:id="rId1039" xr:uid="{EF777794-6E5E-4FF8-A00F-CBF0D37EB6C5}"/>
    <hyperlink ref="V1949" r:id="rId1040" xr:uid="{11C729E8-FCDD-403A-97A1-9447D8E61A8E}"/>
    <hyperlink ref="V1579" r:id="rId1041" xr:uid="{70887437-895A-4F39-9524-E6DB29A1A937}"/>
    <hyperlink ref="V1847" r:id="rId1042" xr:uid="{9B016608-16CD-4174-B3CE-BC2A8AD35E97}"/>
    <hyperlink ref="V148" r:id="rId1043" xr:uid="{390FD63F-77C0-41DC-81FA-1713CED0E59C}"/>
    <hyperlink ref="V2067" r:id="rId1044" xr:uid="{961DE93A-C3B1-4BC6-95CA-7144C2DED6B9}"/>
    <hyperlink ref="V1841" r:id="rId1045" xr:uid="{4347E476-8A9B-4357-844E-54F8B487AA58}"/>
    <hyperlink ref="V1963" r:id="rId1046" xr:uid="{D9550CF7-0E56-494F-B619-EADD852869BD}"/>
    <hyperlink ref="V1814" r:id="rId1047" xr:uid="{1060A1F8-E796-458B-B2B7-578500672EBD}"/>
    <hyperlink ref="V1566" r:id="rId1048" xr:uid="{2654EED9-87FC-4FF6-B177-13307F150CF4}"/>
    <hyperlink ref="V1556" r:id="rId1049" xr:uid="{CEF1951E-5976-4C55-AEBF-FF6692BA8163}"/>
    <hyperlink ref="V1580" r:id="rId1050" xr:uid="{2E633E58-0308-418E-B189-2BB9188DBF59}"/>
    <hyperlink ref="V1997" r:id="rId1051" xr:uid="{F3419334-2370-40AF-B14C-1E5A2351DCA0}"/>
    <hyperlink ref="V2022" r:id="rId1052" xr:uid="{EB9F31A3-E270-4150-9E0C-D03A339C0B8C}"/>
    <hyperlink ref="V1945" r:id="rId1053" xr:uid="{A6257259-D2C0-4A9D-9F53-350AC7A518B5}"/>
    <hyperlink ref="V1995" r:id="rId1054" xr:uid="{8CA8F9F5-E86E-4495-8A4E-D5C37BAD080E}"/>
    <hyperlink ref="V2069" r:id="rId1055" xr:uid="{A2C44949-B835-401A-842A-5B9BA5B82A51}"/>
    <hyperlink ref="V1541" r:id="rId1056" xr:uid="{F88EB262-E836-4BD9-9722-E7A65F17304A}"/>
    <hyperlink ref="V1988" r:id="rId1057" xr:uid="{BD99ABED-DB66-4775-8C6A-77D93DF20D4D}"/>
    <hyperlink ref="V147" r:id="rId1058" xr:uid="{A639A52F-CD4B-48E4-9FB3-912157FA8A67}"/>
    <hyperlink ref="V143" r:id="rId1059" xr:uid="{B474E42B-163A-4E21-8E57-F191ED6A0A36}"/>
    <hyperlink ref="V2026" r:id="rId1060" xr:uid="{01B2AB72-3D4D-45B2-90A4-1B35B0F01E3B}"/>
    <hyperlink ref="V1555" r:id="rId1061" xr:uid="{CF508FEE-2DD2-4CA1-8EC5-1A50436FF861}"/>
    <hyperlink ref="V1885" r:id="rId1062" xr:uid="{71F043F1-403B-416D-A782-193117DEAFB7}"/>
    <hyperlink ref="V1816" r:id="rId1063" xr:uid="{53F67C1C-8EB0-4C64-8C0A-5D80D24D3A98}"/>
    <hyperlink ref="V2001" r:id="rId1064" xr:uid="{648DF8DF-0000-4997-8952-AF96D71FB4EE}"/>
    <hyperlink ref="V1856" r:id="rId1065" xr:uid="{139023ED-512E-434A-A5B1-4020B3FFFD2C}"/>
    <hyperlink ref="V1920" r:id="rId1066" xr:uid="{6227BD09-D77E-4CA6-AD0C-7852B5D6F6D0}"/>
    <hyperlink ref="V2045" r:id="rId1067" xr:uid="{68E722AA-BDDF-4793-B7AC-A319AC36EA37}"/>
    <hyperlink ref="V1902" r:id="rId1068" xr:uid="{08FF2CCC-7C06-490B-BB81-A98021BE9765}"/>
    <hyperlink ref="V1574" r:id="rId1069" xr:uid="{26277C10-30DE-48E7-9767-16458AA21A0B}"/>
    <hyperlink ref="V2044" r:id="rId1070" xr:uid="{B2E019CA-69D2-414C-9A41-EFE60A05BF82}"/>
    <hyperlink ref="V1576" r:id="rId1071" xr:uid="{1BE04B98-4275-4139-90BE-608C3669AEB1}"/>
    <hyperlink ref="V2006" r:id="rId1072" xr:uid="{13DBE713-75FD-4E9B-9CBE-6D06A342D0C5}"/>
    <hyperlink ref="V1586" r:id="rId1073" xr:uid="{D2225FD6-9A11-43E4-A809-3AED42653F61}"/>
    <hyperlink ref="V1560" r:id="rId1074" xr:uid="{1E512260-4F96-4012-8DCB-44B692340DAC}"/>
    <hyperlink ref="V2037" r:id="rId1075" xr:uid="{6985B8CC-E03F-4DA9-A8DD-1E435C2213CF}"/>
    <hyperlink ref="V2015" r:id="rId1076" xr:uid="{10E2DFEF-D0B5-4E02-8C01-CFA8D95FBF93}"/>
    <hyperlink ref="V2079" r:id="rId1077" xr:uid="{5C8B8C20-2714-4B2F-AF4F-28CCBB271B40}"/>
    <hyperlink ref="V1561" r:id="rId1078" xr:uid="{F40E63FB-B4B4-4B63-8162-4D708E7C681C}"/>
    <hyperlink ref="V1589" r:id="rId1079" xr:uid="{ADCC9E06-BAFF-40FA-828E-2262944F7720}"/>
    <hyperlink ref="V2062" r:id="rId1080" xr:uid="{F7AB22F0-2CEE-41A0-9EBD-540598DA31AF}"/>
    <hyperlink ref="V1930" r:id="rId1081" xr:uid="{9C90CA2D-F9ED-4BB1-89CA-5B4CECFFECB3}"/>
    <hyperlink ref="V1843" r:id="rId1082" xr:uid="{861B14D9-EF15-42C9-B794-BFB42AB21294}"/>
    <hyperlink ref="V1797" r:id="rId1083" xr:uid="{F382F9C4-8C89-4072-B4B4-07CB8948885A}"/>
    <hyperlink ref="V1901" r:id="rId1084" xr:uid="{30B966F4-D457-45AF-9AC6-A9D042F47766}"/>
    <hyperlink ref="V2103" r:id="rId1085" xr:uid="{B2736B21-38BF-47F9-92E7-047DF3766BF2}"/>
    <hyperlink ref="V2002" r:id="rId1086" xr:uid="{9E2E1020-9491-48FA-8515-F1F9BD94E668}"/>
    <hyperlink ref="V1547" r:id="rId1087" xr:uid="{647F20D6-7739-4E21-92CC-27A43C293486}"/>
    <hyperlink ref="V2077" r:id="rId1088" xr:uid="{F362BD57-F4C4-46FA-85E3-AA058B36A4A7}"/>
    <hyperlink ref="V1592" r:id="rId1089" xr:uid="{F9A0A346-2CE6-471C-9AA5-973CE3526810}"/>
    <hyperlink ref="V1953" r:id="rId1090" xr:uid="{DC39D57A-0D41-4D41-B551-1BFEFE162A7C}"/>
    <hyperlink ref="V1577" r:id="rId1091" xr:uid="{0D32EF45-C0AE-4337-85F5-82215FBB1365}"/>
    <hyperlink ref="V1907" r:id="rId1092" xr:uid="{4A88A1A2-E4CA-4AA4-A4D0-24BAC8F64C76}"/>
    <hyperlink ref="V1687" r:id="rId1093" xr:uid="{354B3F23-AF85-441D-B09C-7E419D845C27}"/>
    <hyperlink ref="V2038" r:id="rId1094" xr:uid="{4B10636A-288F-4337-B6C1-AC126ACB762A}"/>
    <hyperlink ref="V2017" r:id="rId1095" xr:uid="{4E5E8610-5809-4F62-BBCB-00204DEDDAFB}"/>
    <hyperlink ref="V1564" r:id="rId1096" xr:uid="{D38B29D7-097C-4200-9BEB-9536F5CCBEE9}"/>
    <hyperlink ref="V1892" r:id="rId1097" xr:uid="{0FE0A9E8-C3BE-4847-8CDE-E3AA8114817D}"/>
    <hyperlink ref="V1825" r:id="rId1098" xr:uid="{1D0EF051-D063-42B0-B7DA-13475E2C93AD}"/>
    <hyperlink ref="V1804" r:id="rId1099" xr:uid="{9E7C6376-92FD-42B4-812E-2514DCA5C1EA}"/>
    <hyperlink ref="V1986" r:id="rId1100" xr:uid="{1E610EF1-AA5A-446F-8255-ECD91AA8711D}"/>
    <hyperlink ref="V1585" r:id="rId1101" xr:uid="{A43028C2-9FAB-48A5-806F-561986DB9BCD}"/>
    <hyperlink ref="V1573" r:id="rId1102" xr:uid="{574A8085-EA2D-4593-B7F4-B4A50C1715B5}"/>
    <hyperlink ref="V2097" r:id="rId1103" xr:uid="{A8FE9E78-E29F-4EE8-B088-AC3B562949EB}"/>
    <hyperlink ref="V2158" r:id="rId1104" xr:uid="{8281D2F7-33C3-4623-B502-F9F0324760AC}"/>
    <hyperlink ref="V1937" r:id="rId1105" xr:uid="{0147BD12-9495-4677-915B-2DB868066C50}"/>
    <hyperlink ref="V2159" r:id="rId1106" xr:uid="{6A99CC27-0E3B-4B4C-B441-70E2526987A6}"/>
    <hyperlink ref="V1994" r:id="rId1107" xr:uid="{F44DA20B-CC7D-43C8-B8CE-E9A0C0AA333C}"/>
    <hyperlink ref="V1992" r:id="rId1108" xr:uid="{71A74163-C01C-4BDF-99D2-5F5580164B15}"/>
    <hyperlink ref="V2109" r:id="rId1109" xr:uid="{7DB7674B-310E-4F18-98A2-68E5B502890B}"/>
    <hyperlink ref="V1798" r:id="rId1110" xr:uid="{ABF4AEFC-7808-4E9D-AF71-313598661699}"/>
    <hyperlink ref="V1552" r:id="rId1111" xr:uid="{99498378-31F7-46EB-9E30-E016F8B1C087}"/>
    <hyperlink ref="V1845" r:id="rId1112" xr:uid="{B16675D4-2E68-4A95-8550-B4560A595622}"/>
    <hyperlink ref="V1805" r:id="rId1113" xr:uid="{36ECE9CA-2269-4059-A155-A61DC3E1FB32}"/>
    <hyperlink ref="V2112" r:id="rId1114" xr:uid="{AF7B0654-40F1-4D28-83CD-B53B04FA9155}"/>
    <hyperlink ref="V1865" r:id="rId1115" xr:uid="{DFC7A83D-4E8F-4BEA-B2C9-7ABB32789656}"/>
    <hyperlink ref="V2106" r:id="rId1116" xr:uid="{2EEE3C0B-8E36-4BB8-90C3-1E588713CEF9}"/>
    <hyperlink ref="V1866" r:id="rId1117" xr:uid="{EAE036B1-8CA4-43C5-A90B-20726B2763BE}"/>
    <hyperlink ref="V1876" r:id="rId1118" xr:uid="{30E34B37-E9A8-48D7-BFE3-3A7C4F233E16}"/>
    <hyperlink ref="V1668" r:id="rId1119" xr:uid="{658A5C6E-E99F-4CEA-BE46-671C128E8A46}"/>
    <hyperlink ref="V2117" r:id="rId1120" xr:uid="{E150FFC6-8AC9-40EF-BD3A-744E9AD5B110}"/>
    <hyperlink ref="V1563" r:id="rId1121" xr:uid="{E9E4C998-D6B0-4F86-AD6D-E7BD301A31D2}"/>
    <hyperlink ref="V144" r:id="rId1122" xr:uid="{8EEC0770-582A-4697-A3EF-6A80CB37D778}"/>
    <hyperlink ref="V1744" r:id="rId1123" xr:uid="{12A5EE69-F3B9-4C66-A042-45B08626B0C0}"/>
    <hyperlink ref="V2035" r:id="rId1124" xr:uid="{6AFAFA51-9588-4B8B-BF27-A5484FFAC224}"/>
    <hyperlink ref="V1800" r:id="rId1125" xr:uid="{7DAD100F-16AE-4915-B43B-EEF656EEB80E}"/>
    <hyperlink ref="V1832" r:id="rId1126" xr:uid="{1A623AE6-64F5-44FC-89F9-208320CECDA1}"/>
    <hyperlink ref="V2008" r:id="rId1127" xr:uid="{C72C7E38-F284-4855-96F0-9AADC313FEB4}"/>
    <hyperlink ref="V1731" r:id="rId1128" xr:uid="{4A4C286D-5DEE-49E4-9FE0-EC7FE01E2C87}"/>
    <hyperlink ref="V1864" r:id="rId1129" xr:uid="{5B3520B7-F1E6-4FF2-A810-4AF2236B4EB4}"/>
    <hyperlink ref="V1852" r:id="rId1130" xr:uid="{E225B610-0AA2-42CE-B3C1-FF81FDE10F2C}"/>
    <hyperlink ref="V1905" r:id="rId1131" xr:uid="{D611A15A-C644-4335-9825-A847D4F61FC5}"/>
    <hyperlink ref="V1940" r:id="rId1132" xr:uid="{B5F30DF4-9175-4512-AF39-0F10A7EA8775}"/>
    <hyperlink ref="V1559" r:id="rId1133" xr:uid="{6478074F-7B60-49E4-AD23-B729B718F7F0}"/>
    <hyperlink ref="V1975" r:id="rId1134" xr:uid="{DFE812B6-83F3-470D-9463-4248833E7671}"/>
    <hyperlink ref="V1923" r:id="rId1135" xr:uid="{525A8D13-5D1E-4880-9567-8F88CB013CB0}"/>
    <hyperlink ref="V1954" r:id="rId1136" xr:uid="{AB5DDF3D-1AFA-49D0-85C6-D529E0164CF3}"/>
    <hyperlink ref="V1588" r:id="rId1137" xr:uid="{A62F6C16-97AD-46EF-B9DA-9716E3F9C495}"/>
    <hyperlink ref="V1730" r:id="rId1138" xr:uid="{7C70B945-539A-406C-9A60-9EE14BBD6CD4}"/>
    <hyperlink ref="V2096" r:id="rId1139" xr:uid="{52754352-D06D-4B99-B682-6C0D90BDF933}"/>
    <hyperlink ref="V2072" r:id="rId1140" xr:uid="{14D7BD17-14AD-4B64-A42F-F3B83F3E00DA}"/>
    <hyperlink ref="V1008" r:id="rId1141" xr:uid="{7415124E-203C-4B1B-A08A-4825D3499FD2}"/>
    <hyperlink ref="V2055" r:id="rId1142" xr:uid="{20928CAF-68CE-4359-8A34-650C6D15D3E3}"/>
    <hyperlink ref="V2046" r:id="rId1143" xr:uid="{51AFB13C-1626-4B17-937B-91ADC5C5FFB1}"/>
    <hyperlink ref="V1572" r:id="rId1144" xr:uid="{7C0B23F2-4D2A-4F36-8BAE-B4FC8CE1AA08}"/>
    <hyperlink ref="V1999" r:id="rId1145" xr:uid="{54CAD043-8B7C-40E9-B9FD-11C9596B690D}"/>
    <hyperlink ref="V2014" r:id="rId1146" xr:uid="{5DF2E705-92A0-4983-871C-7BEE80DEDB0A}"/>
    <hyperlink ref="V1823" r:id="rId1147" xr:uid="{7D780A57-14D9-4FE2-91B8-CB8D09AB243B}"/>
    <hyperlink ref="V1640" r:id="rId1148" xr:uid="{38A11373-F094-4348-951C-ABB172A752E8}"/>
    <hyperlink ref="V1554" r:id="rId1149" xr:uid="{EBAD23DE-12D9-430B-AE11-CB38CF26D9BB}"/>
    <hyperlink ref="V1820" r:id="rId1150" xr:uid="{23ADC2DD-D230-4D5D-8B69-27BE8943B8CA}"/>
    <hyperlink ref="V2036" r:id="rId1151" xr:uid="{833132DB-2D01-4340-94E1-32D4ABFCF0E4}"/>
    <hyperlink ref="V2167" r:id="rId1152" xr:uid="{C2493C0E-6747-41D2-A1B0-A38D2436937D}"/>
    <hyperlink ref="V1013" r:id="rId1153" xr:uid="{107CDB4A-8A79-472C-AC6C-1EE191A04935}"/>
    <hyperlink ref="V2040" r:id="rId1154" xr:uid="{7C8A305F-305E-4A90-8DCE-32D27352F7D9}"/>
    <hyperlink ref="V1882" r:id="rId1155" xr:uid="{45951BE7-08A0-4DF4-B2ED-B69C3C0C8C02}"/>
    <hyperlink ref="V1227" r:id="rId1156" xr:uid="{BB952B83-97F2-451B-AA04-C375BFD679AB}"/>
    <hyperlink ref="V1838" r:id="rId1157" xr:uid="{2FA680E9-0BBC-49AB-AE57-9A6686A023C8}"/>
    <hyperlink ref="V1861" r:id="rId1158" xr:uid="{3E3DCB96-B464-4AD8-A699-57E7D3625D52}"/>
    <hyperlink ref="V1011" r:id="rId1159" xr:uid="{19045BE3-EA5A-443D-9708-4FD1D5CF6721}"/>
    <hyperlink ref="V2101" r:id="rId1160" xr:uid="{3284B3F9-84E6-4BAC-9142-EF902CA0F75C}"/>
    <hyperlink ref="V1223" r:id="rId1161" xr:uid="{28CA7A5C-05D1-4AB8-BCD3-D3009CA557DB}"/>
    <hyperlink ref="V2110" r:id="rId1162" xr:uid="{AA9CA32A-8370-4F74-B44C-0DD3495A6FBC}"/>
    <hyperlink ref="V149" r:id="rId1163" xr:uid="{AB64C20E-6A33-4DF6-864C-FFC59012813C}"/>
    <hyperlink ref="V1974" r:id="rId1164" xr:uid="{84C19D6F-234F-43A1-A72A-1B360A4CB8A1}"/>
    <hyperlink ref="V1989" r:id="rId1165" xr:uid="{DBCA648A-9902-4A89-BE76-A1CC876CA756}"/>
    <hyperlink ref="V1987" r:id="rId1166" xr:uid="{56D4F81F-55A8-4BC2-8D73-0FBC87754AF6}"/>
    <hyperlink ref="V2010" r:id="rId1167" xr:uid="{E779924A-FA7D-4009-8569-FC92705182E2}"/>
    <hyperlink ref="V1688" r:id="rId1168" xr:uid="{BE1C4D43-25CB-410E-A132-A69BB7E97426}"/>
    <hyperlink ref="V2032" r:id="rId1169" xr:uid="{47F09463-FC9E-4612-920E-E474BE4F896E}"/>
    <hyperlink ref="V146" r:id="rId1170" xr:uid="{989F9CE9-75F0-4420-B392-2F77CCA4DD0C}"/>
    <hyperlink ref="V1860" r:id="rId1171" xr:uid="{0E34DC9A-DFFC-49D4-965B-7180EEC8397A}"/>
    <hyperlink ref="V1811" r:id="rId1172" xr:uid="{6454EAEA-C6F4-4A0A-A915-0CF73D8B4C8A}"/>
    <hyperlink ref="V1848" r:id="rId1173" xr:uid="{EFD62F7C-0CDF-4E0B-B360-4560E119D670}"/>
    <hyperlink ref="V1955" r:id="rId1174" xr:uid="{3F34E295-598B-4075-8C48-95604BF91AF6}"/>
    <hyperlink ref="V629" r:id="rId1175" xr:uid="{C7CB6962-FE62-4612-81EA-5A901859EDCD}"/>
    <hyperlink ref="V503" r:id="rId1176" xr:uid="{8BF72E16-B251-419F-B37B-FF6337F3A2FD}"/>
    <hyperlink ref="V567" r:id="rId1177" xr:uid="{EE2410E9-6F54-4570-983F-7433E7777BB3}"/>
    <hyperlink ref="V624" r:id="rId1178" xr:uid="{2E32F706-9C9B-4365-938C-ADF8C72B8D8C}"/>
    <hyperlink ref="V615" r:id="rId1179" xr:uid="{65C28658-D8B2-4019-9C5C-5FB807B5F706}"/>
    <hyperlink ref="V630" r:id="rId1180" xr:uid="{78FF60A1-3DFD-48A0-B75B-83F0DE7A6169}"/>
    <hyperlink ref="V668" r:id="rId1181" xr:uid="{4A7A94F3-3B1B-4250-A617-B775C9636E5D}"/>
    <hyperlink ref="V593" r:id="rId1182" xr:uid="{0364C385-5F70-45AD-842F-F66D0ED0B796}"/>
    <hyperlink ref="V626" r:id="rId1183" xr:uid="{B7891CDF-2024-4107-929F-74D4E1AC95B9}"/>
    <hyperlink ref="V657" r:id="rId1184" xr:uid="{42349F2C-859E-454A-836A-A053F432D283}"/>
    <hyperlink ref="V628" r:id="rId1185" xr:uid="{5C6E5E91-4A90-4EF0-813D-6BD750760356}"/>
    <hyperlink ref="V747" r:id="rId1186" xr:uid="{C67C0DDC-B7E1-4302-883A-75FA79F19C2D}"/>
    <hyperlink ref="V633" r:id="rId1187" xr:uid="{5FA76909-1A8D-49A0-B3AA-63521C02DFA1}"/>
    <hyperlink ref="V644" r:id="rId1188" xr:uid="{9419B0B8-EC3C-4942-A4B8-94F6CA22BCB8}"/>
    <hyperlink ref="V649" r:id="rId1189" xr:uid="{989CD02E-477F-447A-A19A-476C59626741}"/>
    <hyperlink ref="V561" r:id="rId1190" xr:uid="{4C78BAA5-C64C-4002-A889-59C037ADC0EF}"/>
    <hyperlink ref="V571" r:id="rId1191" xr:uid="{41FDDC68-8317-4362-A36A-8405BFF9BE8A}"/>
    <hyperlink ref="V516" r:id="rId1192" xr:uid="{80AFD278-D642-4EDE-83A4-0E5054DFE30C}"/>
    <hyperlink ref="V517" r:id="rId1193" xr:uid="{63498E28-C120-48A8-B619-CB41AD2D8063}"/>
    <hyperlink ref="V569" r:id="rId1194" xr:uid="{0991198F-A435-4E1A-8A02-C14D17D35407}"/>
    <hyperlink ref="V634" r:id="rId1195" xr:uid="{AA492096-D232-4BD5-9C8F-37BC406AEF1A}"/>
    <hyperlink ref="V640" r:id="rId1196" xr:uid="{E4376B0B-7DE7-4442-8A00-92B61967AAC2}"/>
    <hyperlink ref="V663" r:id="rId1197" xr:uid="{B5F8EA37-B3C4-431D-9F92-A191C3AFB910}"/>
    <hyperlink ref="V662" r:id="rId1198" xr:uid="{D8E6CC3A-89E2-4F56-A767-407437455FEF}"/>
    <hyperlink ref="V614" r:id="rId1199" xr:uid="{1459359C-BB3E-4A09-9ABB-739F39DC6D83}"/>
    <hyperlink ref="V647" r:id="rId1200" xr:uid="{4E83917F-2722-4BB3-B2F5-C4E4819A82EA}"/>
    <hyperlink ref="V578" r:id="rId1201" xr:uid="{9D55C664-4C7B-4F93-80C8-C9F5E17DBF1C}"/>
    <hyperlink ref="V618" r:id="rId1202" xr:uid="{E3CFC0CB-0F45-4D1C-AD2D-D68EA9008B94}"/>
    <hyperlink ref="V482" r:id="rId1203" xr:uid="{BB67BB73-6A53-4420-B747-F287687F7CD0}"/>
    <hyperlink ref="V483" r:id="rId1204" xr:uid="{B18C3832-8266-467B-90D5-14A04E3731DA}"/>
    <hyperlink ref="V484" r:id="rId1205" xr:uid="{D45ABC75-EDA7-427B-B279-78A3EA045FCE}"/>
    <hyperlink ref="V485" r:id="rId1206" xr:uid="{0ED80E6E-AF26-4C1E-ACBC-ADEB66D21D75}"/>
    <hyperlink ref="V486" r:id="rId1207" xr:uid="{C159A3DD-0A55-4F1B-8E7D-D347EBD5EFB3}"/>
    <hyperlink ref="V487" r:id="rId1208" xr:uid="{A56C535F-1F10-44B0-B613-84119275DB83}"/>
    <hyperlink ref="V488" r:id="rId1209" xr:uid="{E284E318-5BB4-48DE-A109-8FCF86F7B814}"/>
    <hyperlink ref="V489" r:id="rId1210" xr:uid="{AC1BA351-E424-4EE9-A08C-4A911E069FBE}"/>
    <hyperlink ref="V490" r:id="rId1211" xr:uid="{89337BB6-EB3A-4177-B2B2-0035325219AA}"/>
    <hyperlink ref="V491" r:id="rId1212" xr:uid="{8BB7ACBF-E603-41BE-94C3-DB3E69C43F25}"/>
    <hyperlink ref="V492" r:id="rId1213" xr:uid="{B41C6C85-3271-4C4B-8028-A19DA628CFF5}"/>
    <hyperlink ref="V493" r:id="rId1214" xr:uid="{8FF89388-1F1A-4617-8D16-286C154B69BF}"/>
    <hyperlink ref="V494" r:id="rId1215" xr:uid="{18337B67-8C07-4B94-8EBB-A5584611DEB0}"/>
    <hyperlink ref="V495" r:id="rId1216" xr:uid="{9CA7FB41-2841-48D3-A80A-6DB9E89432AC}"/>
    <hyperlink ref="V496" r:id="rId1217" xr:uid="{D93654E0-5AC4-40BF-92F8-76250C23F7AA}"/>
    <hyperlink ref="V497" r:id="rId1218" xr:uid="{4899BCFB-E865-41C9-BB10-7F696D9807F4}"/>
    <hyperlink ref="V498" r:id="rId1219" xr:uid="{EE3B562C-1BCA-4593-AEEC-E2D1FB4B248E}"/>
    <hyperlink ref="V499" r:id="rId1220" xr:uid="{E239AE8F-D70F-4193-AFF2-2FB86E4FFEAF}"/>
    <hyperlink ref="V500" r:id="rId1221" xr:uid="{23C0A779-5AC9-4956-B411-DBABD9BC9740}"/>
    <hyperlink ref="V501" r:id="rId1222" xr:uid="{257D464F-ACDE-423F-AA37-CF67F0094DEA}"/>
    <hyperlink ref="V2024" r:id="rId1223" xr:uid="{3F836FA5-648F-4ADB-8345-0EE7D992692B}"/>
    <hyperlink ref="V504" r:id="rId1224" xr:uid="{E96B2FD3-A1EF-4A92-82F9-DAECD032BD20}"/>
    <hyperlink ref="V505" r:id="rId1225" xr:uid="{26464DAD-FCD8-47AC-BE52-F776F23EDB0E}"/>
    <hyperlink ref="V506" r:id="rId1226" xr:uid="{DC730BD0-4E68-4201-B0F5-3BD3F81B5F53}"/>
    <hyperlink ref="V507" r:id="rId1227" xr:uid="{CF76E529-D646-4019-922B-D79DE801D475}"/>
    <hyperlink ref="V508" r:id="rId1228" xr:uid="{5302B3CE-5616-4B06-9C17-C9391805A8B2}"/>
    <hyperlink ref="V509" r:id="rId1229" xr:uid="{365DA841-94DA-40E5-97A5-8DF5658F121B}"/>
    <hyperlink ref="V510" r:id="rId1230" xr:uid="{DB751E31-AE14-45B6-8B80-533BDBFE2BC8}"/>
    <hyperlink ref="V511" r:id="rId1231" xr:uid="{99FE573B-82D3-46C5-8430-7916A73446D5}"/>
    <hyperlink ref="V512" r:id="rId1232" xr:uid="{613B4D2A-1B7B-4BA6-A246-1E4FA876E08A}"/>
    <hyperlink ref="V513" r:id="rId1233" xr:uid="{D0E2B0F3-9BEF-47CB-A422-FB8AFAAE84EB}"/>
    <hyperlink ref="V514" r:id="rId1234" xr:uid="{877D54A3-30BA-4168-964A-BC73230D12D9}"/>
    <hyperlink ref="V515" r:id="rId1235" xr:uid="{F17C9F7C-7A11-4A81-8C0E-679985E10508}"/>
    <hyperlink ref="V518" r:id="rId1236" xr:uid="{5F85E8FF-CC0B-4ACA-8D0D-C9A992929DCA}"/>
    <hyperlink ref="V519" r:id="rId1237" xr:uid="{ACC155D4-6E2B-4186-96F8-899AE2D7EBA2}"/>
    <hyperlink ref="V520" r:id="rId1238" xr:uid="{7BF0DE98-4E45-402B-857A-36AB663F6424}"/>
    <hyperlink ref="V521" r:id="rId1239" xr:uid="{4A02397B-C62E-483A-9066-892BB3D1075C}"/>
    <hyperlink ref="V522" r:id="rId1240" xr:uid="{C75F8344-C983-4ABC-AD5B-8FB7D5C093B5}"/>
    <hyperlink ref="V523" r:id="rId1241" xr:uid="{43FF52E4-C5AD-478C-840A-6D253241AEB6}"/>
    <hyperlink ref="V524" r:id="rId1242" xr:uid="{64D4D6A6-EFB2-4FD3-92B8-C4E89962BA73}"/>
    <hyperlink ref="V525" r:id="rId1243" xr:uid="{8053A140-B361-474C-9DDC-72487385B9D2}"/>
    <hyperlink ref="V526" r:id="rId1244" xr:uid="{D8A2E2B6-D26E-4E22-AF4A-0CCFEE1741CF}"/>
    <hyperlink ref="V527" r:id="rId1245" xr:uid="{1BD5B068-BF47-4F19-962A-FE882472F57B}"/>
    <hyperlink ref="V528" r:id="rId1246" xr:uid="{3E4F0886-B57A-4E8B-9A6D-9483320284C1}"/>
    <hyperlink ref="V529" r:id="rId1247" xr:uid="{5211E0A6-033D-444F-A92B-4D9A3E528E5A}"/>
    <hyperlink ref="V530" r:id="rId1248" xr:uid="{656AF594-20EF-47AF-83C8-5A276181D279}"/>
    <hyperlink ref="V531" r:id="rId1249" xr:uid="{F07CA0BD-37A7-4397-BC4C-3B0CBC808F84}"/>
    <hyperlink ref="V532" r:id="rId1250" xr:uid="{51BB2A12-E616-4722-BE9C-16AC3D938608}"/>
    <hyperlink ref="V533" r:id="rId1251" xr:uid="{40336F19-925C-4353-B8A5-6A4F063472E4}"/>
    <hyperlink ref="V534" r:id="rId1252" xr:uid="{685767EE-72D4-4266-BBAA-7F480CC1BA26}"/>
    <hyperlink ref="V547" r:id="rId1253" xr:uid="{D50BB509-967A-44AB-B66B-C0DA4005AEFE}"/>
    <hyperlink ref="V548" r:id="rId1254" xr:uid="{95069698-A5C2-4F3D-9277-88700CE0D297}"/>
    <hyperlink ref="V549" r:id="rId1255" xr:uid="{95042A3B-1640-4505-B3B1-4C948A589BE2}"/>
    <hyperlink ref="V550" r:id="rId1256" xr:uid="{8C1821DE-09A0-4104-852E-BBCAB208B323}"/>
    <hyperlink ref="V551" r:id="rId1257" xr:uid="{4E6D2D8B-D2E9-46E8-B84E-2ADF35793060}"/>
    <hyperlink ref="V552" r:id="rId1258" xr:uid="{F899EDCD-9595-4596-87F9-14AA9972185B}"/>
    <hyperlink ref="V553" r:id="rId1259" xr:uid="{AA8445A8-1380-4C12-98C2-61AE812C5809}"/>
    <hyperlink ref="V554" r:id="rId1260" xr:uid="{92F3C5C3-3AF7-4250-A5DD-42E2D78CB1EA}"/>
    <hyperlink ref="V555" r:id="rId1261" xr:uid="{3904714C-7EF6-4213-BB2E-FB39E1860EBD}"/>
    <hyperlink ref="V556" r:id="rId1262" xr:uid="{1D060A50-A9C1-4FBB-A1CA-951867C31A6D}"/>
    <hyperlink ref="V557" r:id="rId1263" xr:uid="{BCA8B0CC-F27C-435C-B83D-C9AC716D63FC}"/>
    <hyperlink ref="V558" r:id="rId1264" xr:uid="{50BD6B7F-1277-402E-8223-076E9A26C4A0}"/>
    <hyperlink ref="V559" r:id="rId1265" xr:uid="{E05E324F-D0BB-4F23-9BA7-7AFD355E5F4A}"/>
    <hyperlink ref="V560" r:id="rId1266" xr:uid="{1CE0C2DD-8739-43B7-92C0-0286903B19B6}"/>
    <hyperlink ref="V562" r:id="rId1267" xr:uid="{40B4F068-366B-4DCE-BD1B-3807E2459812}"/>
    <hyperlink ref="V563" r:id="rId1268" xr:uid="{CB0D828F-FBAA-416A-9E2B-B8670079FAF7}"/>
    <hyperlink ref="V564" r:id="rId1269" xr:uid="{010A3470-D5E9-47AA-831A-93AE57778FA2}"/>
    <hyperlink ref="V565" r:id="rId1270" xr:uid="{23244EE1-2F0B-4220-B458-DED265E3D9A8}"/>
    <hyperlink ref="V566" r:id="rId1271" xr:uid="{A8313D9E-3304-4230-942C-A96AD0B13C60}"/>
    <hyperlink ref="V570" r:id="rId1272" xr:uid="{59E09519-DC97-49D7-8E10-4A0D7279A63C}"/>
    <hyperlink ref="V572" r:id="rId1273" xr:uid="{E83228BB-6276-4064-A88B-DBD06F1D0EF2}"/>
    <hyperlink ref="V573" r:id="rId1274" xr:uid="{5C8A65D6-C112-40A3-AD79-E7D61ACFC6CE}"/>
    <hyperlink ref="V574" r:id="rId1275" xr:uid="{DF611A3F-AB00-4C43-9CF5-31C8C6D41B0D}"/>
    <hyperlink ref="V575" r:id="rId1276" xr:uid="{4A023D35-FF12-40EC-8AC3-64DA7FC9A6E8}"/>
    <hyperlink ref="V576" r:id="rId1277" xr:uid="{6E1AA846-7820-4F08-A0C7-0BB9940A39E0}"/>
    <hyperlink ref="V577" r:id="rId1278" xr:uid="{43D45864-7402-4FF0-893D-6F9DA804F3F1}"/>
    <hyperlink ref="V579" r:id="rId1279" xr:uid="{2986FFF5-F42F-4AC5-AD57-1F7BB4F44BE8}"/>
    <hyperlink ref="V581" r:id="rId1280" xr:uid="{9941178C-2454-424F-8201-E003CED9628F}"/>
    <hyperlink ref="V580" r:id="rId1281" xr:uid="{093ADA25-D467-4C21-8577-0DCBD1DD154B}"/>
    <hyperlink ref="V1612" r:id="rId1282" xr:uid="{8D2C7684-A218-45CF-8649-81737AF809D2}"/>
    <hyperlink ref="V172" r:id="rId1283" xr:uid="{336350AD-57A9-4424-9CE7-19F7DB87C478}"/>
    <hyperlink ref="V173" r:id="rId1284" xr:uid="{BB522A45-B36D-4B52-9AD2-1596873E8E2F}"/>
    <hyperlink ref="V174" r:id="rId1285" xr:uid="{1A8F3D54-C4F4-47E7-9F1B-DB606445C33E}"/>
    <hyperlink ref="V175" r:id="rId1286" xr:uid="{49076892-8869-4948-A55B-E9BF43FDB374}"/>
    <hyperlink ref="V177" r:id="rId1287" xr:uid="{8B4DB837-7AA1-4C16-9F0F-EC3C3671ECF6}"/>
    <hyperlink ref="V178" r:id="rId1288" xr:uid="{5BD3BEC7-40B8-4BF9-918C-1BC7CCB4F54D}"/>
    <hyperlink ref="V180" r:id="rId1289" xr:uid="{576FB712-C798-4CD8-BE65-2A7EF6BC0E27}"/>
    <hyperlink ref="V181" r:id="rId1290" xr:uid="{47386DA9-DB65-4C85-9A9E-057C88E719D0}"/>
    <hyperlink ref="V182" r:id="rId1291" xr:uid="{3A748456-10B5-45BA-979B-7EF4FA1A49DD}"/>
    <hyperlink ref="V183" r:id="rId1292" xr:uid="{F4472390-ABB3-43F0-818E-FEDA87A131E0}"/>
    <hyperlink ref="V184" r:id="rId1293" xr:uid="{044234EA-F618-4710-B217-A22DEF2FA6DD}"/>
    <hyperlink ref="V185" r:id="rId1294" xr:uid="{F83CA5E0-ACC9-4E8E-B504-810F314B8660}"/>
    <hyperlink ref="V186" r:id="rId1295" xr:uid="{8D6ABC06-7649-4AD8-8DA8-AC9C40DA1AA2}"/>
    <hyperlink ref="V187" r:id="rId1296" xr:uid="{1AD8910E-739D-4E5C-9F08-6CCDFC08B355}"/>
    <hyperlink ref="V188" r:id="rId1297" xr:uid="{F5E9764E-310C-4DF5-ADB3-DC32FCF02C22}"/>
    <hyperlink ref="V189" r:id="rId1298" xr:uid="{A39EC9D0-8752-4DAF-9756-6CF69BD56BA6}"/>
    <hyperlink ref="V190" r:id="rId1299" xr:uid="{C730E262-85B1-4A4D-9CD3-31FE88A0BF56}"/>
    <hyperlink ref="V191" r:id="rId1300" xr:uid="{C6217503-9FDC-429F-81F2-E0FF8FDDFE02}"/>
    <hyperlink ref="V192" r:id="rId1301" xr:uid="{0AE8BEC4-00CD-4CAE-B705-7713C1D52A72}"/>
    <hyperlink ref="V193" r:id="rId1302" xr:uid="{7FC2D0DD-C145-4E00-9D77-66659A0AAF73}"/>
    <hyperlink ref="V194" r:id="rId1303" xr:uid="{1440A5C3-6054-4307-9377-853D38D20CA7}"/>
    <hyperlink ref="V196" r:id="rId1304" xr:uid="{8CEB2EB3-C90E-4449-AC3B-AA08FAB15E94}"/>
    <hyperlink ref="V229" r:id="rId1305" xr:uid="{0D3CE4D1-C8B8-49E8-A3EA-AC21D15AE7BC}"/>
    <hyperlink ref="V230" r:id="rId1306" xr:uid="{FD19BB12-C19E-4A2D-B8CE-C00231600475}"/>
    <hyperlink ref="V231" r:id="rId1307" xr:uid="{D6B7E3DC-081D-49C3-98DF-C899D61D7926}"/>
    <hyperlink ref="V1667" r:id="rId1308" xr:uid="{4EA30D59-DA88-4FE6-AE33-B86086E85195}"/>
    <hyperlink ref="V1678" r:id="rId1309" xr:uid="{E891F1E0-5B3B-42C2-9EE8-CABDFCD36A4E}"/>
    <hyperlink ref="V1679" r:id="rId1310" xr:uid="{7A3A9DCA-2A28-46AE-B1DC-ADFBCAB2E7A5}"/>
    <hyperlink ref="V1675" r:id="rId1311" xr:uid="{DDD02745-FD29-4EF4-8C37-1581D3E2C72A}"/>
    <hyperlink ref="V1676" r:id="rId1312" xr:uid="{13A034EA-E100-4000-942C-4B45CC074858}"/>
    <hyperlink ref="V1594" r:id="rId1313" xr:uid="{912CCCA7-2DAC-4FAC-8657-85D97632CFAC}"/>
    <hyperlink ref="V1595" r:id="rId1314" xr:uid="{704A50B9-D6C9-46C4-98D7-25A00F408CED}"/>
    <hyperlink ref="V1596" r:id="rId1315" xr:uid="{EE9DA8F2-22FF-4C91-917E-2CB3550A67E8}"/>
    <hyperlink ref="V1597" r:id="rId1316" xr:uid="{BE829337-1BD2-4C4E-A770-723F6E2EE09E}"/>
    <hyperlink ref="V1598" r:id="rId1317" xr:uid="{DB01B7B9-DB53-43F0-B794-C35BFF5B77F1}"/>
    <hyperlink ref="V1599" r:id="rId1318" xr:uid="{EA1FE993-2839-4316-84DC-0957E81A9047}"/>
    <hyperlink ref="V1600" r:id="rId1319" xr:uid="{3BDD23F2-1FBC-4195-B2CE-5A98BA5A85EF}"/>
    <hyperlink ref="V1601" r:id="rId1320" xr:uid="{91B80CDA-AF7D-4AB1-83E2-F55B165E4EF6}"/>
    <hyperlink ref="V1602" r:id="rId1321" xr:uid="{646571A0-E691-4B73-B9DA-B818EEB3CEEC}"/>
    <hyperlink ref="V1603" r:id="rId1322" xr:uid="{C432D2CE-FDEF-495C-8CA3-B21823E4CB8C}"/>
    <hyperlink ref="V1604" r:id="rId1323" xr:uid="{C031C474-652A-4E71-AB94-E742008F9FC2}"/>
    <hyperlink ref="V1607" r:id="rId1324" xr:uid="{CBD284AB-C815-4BB2-94B6-611495FF6CDB}"/>
    <hyperlink ref="V1609" r:id="rId1325" xr:uid="{15228C2F-0164-48C5-B6F8-78A3733F0465}"/>
    <hyperlink ref="V1611" r:id="rId1326" xr:uid="{38DE27A1-306D-4A66-81A8-08DA1AA4A13A}"/>
    <hyperlink ref="V1606" r:id="rId1327" xr:uid="{B41F7AC0-8EAC-40B6-AC9B-30FF327BF85F}"/>
    <hyperlink ref="V1661" r:id="rId1328" xr:uid="{87D2CD50-7CD5-4644-8595-3B0673D0EF25}"/>
    <hyperlink ref="V1757" r:id="rId1329" xr:uid="{4047698A-0013-49B7-B7A4-F074BD69A7ED}"/>
    <hyperlink ref="V1748" r:id="rId1330" xr:uid="{906FC3BF-3D60-4ADA-9121-3AABCC298205}"/>
    <hyperlink ref="V1749" r:id="rId1331" xr:uid="{746A8E54-FF04-4EFA-BA67-4C88814F0EDA}"/>
    <hyperlink ref="V1750" r:id="rId1332" xr:uid="{5289258B-1643-4F68-B1CC-9D013B058018}"/>
    <hyperlink ref="V1751" r:id="rId1333" xr:uid="{6B55A5AD-AA72-4F73-BD7C-B5D78FF93986}"/>
    <hyperlink ref="V1742" r:id="rId1334" xr:uid="{F44CF488-4A8B-414D-A54B-ECFE22638040}"/>
    <hyperlink ref="V1741" r:id="rId1335" xr:uid="{F68BEAC1-26EB-4219-9073-07BFD0320B89}"/>
    <hyperlink ref="V1740" r:id="rId1336" xr:uid="{D9001FE6-1D56-4D4B-8F62-8B795C00BB55}"/>
    <hyperlink ref="V1739" r:id="rId1337" xr:uid="{6BB54B77-562D-43BA-A4C4-10EB6F9EFA9B}"/>
    <hyperlink ref="V1738" r:id="rId1338" xr:uid="{7DBB888A-2331-4281-86A1-7581286C52BC}"/>
    <hyperlink ref="V1737" r:id="rId1339" xr:uid="{8A186DCA-A483-45CF-8EFA-ED7C15653274}"/>
    <hyperlink ref="V1734" r:id="rId1340" xr:uid="{2FB483B2-4DE9-4BE9-A2E5-B69F7C8EE9FB}"/>
    <hyperlink ref="V1728" r:id="rId1341" xr:uid="{B755F563-53AE-4887-B95F-D8A8F510D633}"/>
    <hyperlink ref="V1726" r:id="rId1342" xr:uid="{FAEF2321-A8FA-443B-9EFF-34F4FB1ACCC0}"/>
    <hyperlink ref="V1727" r:id="rId1343" xr:uid="{AA8972CE-3D65-4392-9765-D6AFA0C566A8}"/>
    <hyperlink ref="V1718" r:id="rId1344" xr:uid="{D44076DC-9DB6-4208-829B-43BDAFDC1C16}"/>
    <hyperlink ref="V1719" r:id="rId1345" xr:uid="{58DE518D-F9C4-4A10-89D5-9ED82951D76C}"/>
    <hyperlink ref="V1720" r:id="rId1346" xr:uid="{409953B1-A7AC-4025-ACA8-478CDE26E025}"/>
    <hyperlink ref="V1717" r:id="rId1347" xr:uid="{A874E5FA-0184-4B51-ADE1-E5553F5CFE71}"/>
    <hyperlink ref="V1721" r:id="rId1348" xr:uid="{9FAF4841-8C61-45DF-A8B3-15D06ADD579C}"/>
    <hyperlink ref="V1722" r:id="rId1349" xr:uid="{BF183F01-6A53-499E-8C7C-FAD3B905DB5F}"/>
    <hyperlink ref="V1723" r:id="rId1350" xr:uid="{C65CAB6A-8537-4D87-AD4D-19EA64216E39}"/>
    <hyperlink ref="V1743" r:id="rId1351" xr:uid="{816B4DEF-C01B-42E6-827C-3F014A809670}"/>
    <hyperlink ref="V1752" r:id="rId1352" xr:uid="{0A41DFE1-FF18-486A-93BF-5B9FA431F7C2}"/>
    <hyperlink ref="V1753" r:id="rId1353" xr:uid="{50DAD390-AABA-453C-BCAC-EC34832420EF}"/>
    <hyperlink ref="V1754" r:id="rId1354" xr:uid="{709D33F7-F0DE-4561-860F-433CBF473430}"/>
    <hyperlink ref="V1755" r:id="rId1355" xr:uid="{79FFB0B5-22B0-4AD1-84C2-48B246DAC18F}"/>
    <hyperlink ref="V1756" r:id="rId1356" xr:uid="{BBE7AEEA-9F64-4430-8576-AAFF2F2F8E9F}"/>
    <hyperlink ref="V1758" r:id="rId1357" xr:uid="{13EB27D1-0917-41A8-8875-B2D192FF77EF}"/>
    <hyperlink ref="V1759" r:id="rId1358" xr:uid="{B2E21935-38EC-439B-8D77-DD8EAE04F5D6}"/>
    <hyperlink ref="V1760" r:id="rId1359" xr:uid="{A82D6426-F61F-4B1A-A190-E48BABB44864}"/>
    <hyperlink ref="V1761" r:id="rId1360" xr:uid="{E1550FBD-D761-4B71-A5D1-DBEEBA9E3A12}"/>
    <hyperlink ref="V1764" r:id="rId1361" xr:uid="{16586FAE-872E-48CF-9073-17E05958D7F3}"/>
    <hyperlink ref="V1765" r:id="rId1362" xr:uid="{3A555CE2-69B8-4EC3-B3F1-D855E00F79F2}"/>
    <hyperlink ref="V1766" r:id="rId1363" xr:uid="{AC7E71DB-A17B-41DF-AAE5-3FA3EC6569D2}"/>
    <hyperlink ref="V1767" r:id="rId1364" xr:uid="{5B9287BE-A3A5-4080-9267-3911D299C640}"/>
    <hyperlink ref="V1768" r:id="rId1365" xr:uid="{DF218D0B-B53A-4FDA-BC82-2CB2BA6C3BEE}"/>
    <hyperlink ref="V1769" r:id="rId1366" xr:uid="{FC705290-9DEE-430B-8082-E0385EA101F0}"/>
    <hyperlink ref="V1770" r:id="rId1367" xr:uid="{C1183F4E-8DDD-446F-86EA-51AE2CD61385}"/>
    <hyperlink ref="V1771" r:id="rId1368" xr:uid="{E63C4623-4001-40D3-92FA-DFB998457CCB}"/>
    <hyperlink ref="V1774" r:id="rId1369" xr:uid="{43082168-249D-4096-A29C-73EEBAC1E435}"/>
    <hyperlink ref="V1782" r:id="rId1370" xr:uid="{7F3BA878-C58A-4D7A-B5C7-3CC3A2819507}"/>
    <hyperlink ref="V1783" r:id="rId1371" xr:uid="{6F9542F5-800A-4230-A9F7-DA3AF49BD154}"/>
    <hyperlink ref="V1785" r:id="rId1372" xr:uid="{0F507B6F-D174-403F-B14F-AEDC79066F6B}"/>
    <hyperlink ref="V1786" r:id="rId1373" xr:uid="{72BC7AE7-643A-4CA4-875C-E18DF808C4B4}"/>
    <hyperlink ref="V1787" r:id="rId1374" xr:uid="{5AA1F1A5-EA7D-4A64-808C-E1CBDEF8261D}"/>
    <hyperlink ref="V1788" r:id="rId1375" xr:uid="{5D3AAF63-5D71-44A7-B76C-C8D727AB1573}"/>
    <hyperlink ref="V1789" r:id="rId1376" xr:uid="{9E3D75D4-D42E-4033-9419-7DE95E743B01}"/>
    <hyperlink ref="V1791" r:id="rId1377" xr:uid="{FA490A7D-AD62-44EA-A5F0-65F45BF80ECE}"/>
    <hyperlink ref="V1792" r:id="rId1378" xr:uid="{79C4C8AF-A5C4-4BC3-8630-9723C17CA136}"/>
    <hyperlink ref="V1941" r:id="rId1379" xr:uid="{A0BF69C9-CB01-4244-A3D2-7CEFFEDCD6C2}"/>
    <hyperlink ref="V2104" r:id="rId1380" xr:uid="{CAAB204F-C3EA-4AFB-9790-CECAFE9C1EF6}"/>
    <hyperlink ref="V2108" r:id="rId1381" xr:uid="{EF424563-65E0-49E1-9DC0-BCB2DDA0F741}"/>
    <hyperlink ref="V2111" r:id="rId1382" xr:uid="{ABCA0463-8D5C-4F64-869A-2519B7CE37BA}"/>
    <hyperlink ref="V2125" r:id="rId1383" xr:uid="{6F5F5E45-B9A0-4807-AF71-4D67F78DFA51}"/>
    <hyperlink ref="V2153" r:id="rId1384" xr:uid="{92475101-D5F7-4FC6-B957-BE842B3A9141}"/>
    <hyperlink ref="V2146" r:id="rId1385" xr:uid="{0B080095-383C-4B7C-ADF9-DCFC4C861BA1}"/>
    <hyperlink ref="V2144" r:id="rId1386" xr:uid="{7AF23B6F-CE5A-4B9F-92A0-7983774EA09E}"/>
    <hyperlink ref="V2145" r:id="rId1387" xr:uid="{8CFB5DB0-E5C9-45D8-8BD2-96407A40EC45}"/>
    <hyperlink ref="V2148" r:id="rId1388" xr:uid="{D6501A96-1486-4D05-8324-4E13364D145D}"/>
    <hyperlink ref="V2152" r:id="rId1389" xr:uid="{9A110173-5E66-4AE1-8B0D-4E56C3571A8D}"/>
    <hyperlink ref="V2122" r:id="rId1390" xr:uid="{E566FA1A-083A-4B3A-851B-BC4105792922}"/>
    <hyperlink ref="V2236" r:id="rId1391" xr:uid="{982CCC37-DD2C-45C7-9B27-6141C7D7D1E5}"/>
    <hyperlink ref="V138" r:id="rId1392" xr:uid="{B3502FD2-7476-4D46-8571-D89AA535758C}"/>
    <hyperlink ref="V154" r:id="rId1393" xr:uid="{921884E5-E32D-4C50-B840-E69477846BCE}"/>
    <hyperlink ref="V157" r:id="rId1394" xr:uid="{A4B6C713-45E6-463B-A34A-2EF31F6047E1}"/>
    <hyperlink ref="V158" r:id="rId1395" xr:uid="{0257A49F-E8A4-4A57-8457-458D25F6A090}"/>
    <hyperlink ref="V159" r:id="rId1396" xr:uid="{AEC1FD3C-0ED0-4715-834C-A0E0F7758023}"/>
    <hyperlink ref="V161" r:id="rId1397" xr:uid="{8C5DF04F-2787-4C9C-8A88-9197D3A0ED8D}"/>
    <hyperlink ref="V163" r:id="rId1398" xr:uid="{638E9EBE-47AF-4A88-86E7-CE3B3E78687A}"/>
    <hyperlink ref="V165" r:id="rId1399" xr:uid="{BB682723-2F41-40C3-946F-E27698858B03}"/>
    <hyperlink ref="V167" r:id="rId1400" xr:uid="{BC952A81-43C3-4CC7-B628-7D71019C36DF}"/>
    <hyperlink ref="V168" r:id="rId1401" xr:uid="{7D2A29F5-7484-4023-B323-B5B59B081B37}"/>
    <hyperlink ref="V232" r:id="rId1402" xr:uid="{15435891-32A9-4D56-9394-31D439F17BFC}"/>
    <hyperlink ref="V234" r:id="rId1403" xr:uid="{5100B1D9-92D9-48BB-AAD9-BD46FBAAB6E7}"/>
    <hyperlink ref="V235" r:id="rId1404" xr:uid="{1AB65058-A780-4773-9FF9-D9A4C7E034BC}"/>
    <hyperlink ref="V236" r:id="rId1405" xr:uid="{E45378D9-6455-46D6-9A74-4E316A273DBF}"/>
    <hyperlink ref="V237" r:id="rId1406" xr:uid="{25AE2CC5-353D-4434-9DF2-27F8BC36B563}"/>
    <hyperlink ref="V238" r:id="rId1407" xr:uid="{8B5DC71F-5A73-4C75-AD81-98781E1C2A39}"/>
    <hyperlink ref="V239" r:id="rId1408" xr:uid="{B20E2D9F-157B-4CD5-9DE2-6302B316E49F}"/>
    <hyperlink ref="V240" r:id="rId1409" xr:uid="{F648FE15-66CC-427A-A3C1-9084F466DDE1}"/>
    <hyperlink ref="V241" r:id="rId1410" xr:uid="{E9314138-1B29-4959-969E-2614D2E1D889}"/>
    <hyperlink ref="V242" r:id="rId1411" xr:uid="{8097CC27-2DED-4442-9EB6-3C8CA9E1D364}"/>
    <hyperlink ref="V243" r:id="rId1412" xr:uid="{092EA477-01EB-414A-AF43-7252A8E8D41B}"/>
    <hyperlink ref="V244" r:id="rId1413" xr:uid="{25899B8B-7D71-44ED-9BBE-4BD73ED039E5}"/>
    <hyperlink ref="V245" r:id="rId1414" xr:uid="{ED166017-37FB-4516-A055-5CEDEC2537CB}"/>
    <hyperlink ref="V246" r:id="rId1415" xr:uid="{F10B01A6-6131-45FC-85F0-641D2851F9AF}"/>
    <hyperlink ref="V247" r:id="rId1416" xr:uid="{8648B305-24E6-4355-AD2A-C577872F2D23}"/>
    <hyperlink ref="V248" r:id="rId1417" xr:uid="{A94D4585-1604-43AA-BB89-B4392034298A}"/>
    <hyperlink ref="V249" r:id="rId1418" xr:uid="{44A095E4-7AAE-425A-B3D8-BA2FC31C04D8}"/>
    <hyperlink ref="V250" r:id="rId1419" xr:uid="{0EBCE391-2F61-4184-8B42-2C673EBB324F}"/>
    <hyperlink ref="V251" r:id="rId1420" xr:uid="{E3107DBA-B35C-40EA-A007-E050D1953023}"/>
    <hyperlink ref="V141" r:id="rId1421" xr:uid="{3ADE5464-7476-43F7-AF13-2E71E0BEC25D}"/>
    <hyperlink ref="V151" r:id="rId1422" xr:uid="{0859D1DB-D612-42C0-AAEE-C87BFEEDF714}"/>
    <hyperlink ref="V152" r:id="rId1423" xr:uid="{C0DE2A79-DE55-4E17-84E9-84D434629AA0}"/>
    <hyperlink ref="V156" r:id="rId1424" xr:uid="{00F723BD-83ED-400D-9AA2-FD7B8B393B33}"/>
    <hyperlink ref="V582" r:id="rId1425" xr:uid="{ECF873EF-1369-4150-9E34-7EA3C1BE8ADF}"/>
    <hyperlink ref="V583" r:id="rId1426" xr:uid="{8DE6C58B-5AB4-42D1-8ADB-6F2D62C9D7AD}"/>
    <hyperlink ref="V584" r:id="rId1427" xr:uid="{99C1099B-989C-4A6D-84AD-05695B817A84}"/>
    <hyperlink ref="V585" r:id="rId1428" xr:uid="{065D2EA6-72EA-48AE-880A-478555A90158}"/>
    <hyperlink ref="V586" r:id="rId1429" xr:uid="{AE789C44-F89A-4D40-B07B-62F2489C01A2}"/>
    <hyperlink ref="V587" r:id="rId1430" xr:uid="{2084389A-41DB-4006-83A3-E941FE55B573}"/>
    <hyperlink ref="V588" r:id="rId1431" xr:uid="{6F3F7DED-8660-4E1C-97D1-285ABAAE324B}"/>
    <hyperlink ref="V589" r:id="rId1432" xr:uid="{C94301E9-5D5F-4E14-8C53-3C6FD01642AA}"/>
    <hyperlink ref="V590" r:id="rId1433" xr:uid="{BA591D5C-D882-4BCE-A027-1F34AAA1955B}"/>
    <hyperlink ref="V591" r:id="rId1434" xr:uid="{ED1B2D63-3A9D-4D74-A38F-03F4EAA6EAF0}"/>
    <hyperlink ref="V592" r:id="rId1435" xr:uid="{D7C09F1A-1CB9-4062-A88F-8234F3542BCB}"/>
    <hyperlink ref="V594" r:id="rId1436" xr:uid="{EE837C1A-35BD-4E01-8ECB-B5AB41FAB667}"/>
    <hyperlink ref="V595" r:id="rId1437" xr:uid="{C497B9F8-D708-4481-A583-8E54B76784D0}"/>
    <hyperlink ref="V596" r:id="rId1438" xr:uid="{6454180D-8F6B-4070-9771-192E0CE2A621}"/>
    <hyperlink ref="V597" r:id="rId1439" xr:uid="{908E12CD-624C-4A8B-BE3A-6AEFA45EF691}"/>
    <hyperlink ref="V598" r:id="rId1440" xr:uid="{92EFC68A-4D3B-49EC-9B8F-1731820BF647}"/>
    <hyperlink ref="V599" r:id="rId1441" xr:uid="{DBB860C6-216D-4346-8B3D-FC252952868E}"/>
    <hyperlink ref="V600" r:id="rId1442" xr:uid="{A16238B4-7AD4-480F-9E8C-C54B394B15D0}"/>
    <hyperlink ref="V601" r:id="rId1443" xr:uid="{48DF986D-3F74-41C9-91C4-0DF9F9E50041}"/>
    <hyperlink ref="V535" r:id="rId1444" xr:uid="{D9610D33-89C5-46A6-8B97-3C6EBE5C48D4}"/>
    <hyperlink ref="V536" r:id="rId1445" xr:uid="{E0E2B656-C257-444E-903B-F52F4B3A925F}"/>
    <hyperlink ref="V537" r:id="rId1446" xr:uid="{CEA069DC-E718-410E-9516-8BB9FB5E3091}"/>
    <hyperlink ref="V538" r:id="rId1447" xr:uid="{930FEAFD-40EE-434E-9142-A1CA162E9874}"/>
    <hyperlink ref="V539" r:id="rId1448" xr:uid="{E3D544BD-B248-4750-82AD-81CCB4C6D925}"/>
    <hyperlink ref="V538:V539" r:id="rId1449" display="https://www.mercaba.org/Musica/Cesareo%20Gabarain/Cantos%20de%20Entrada%20y%20Comunion/05%20-%20Antes%20del%20evangelio%20(Adviento,%20Navidad,%20Cuaresma%20Pascua%20y%20Pentecost%C3%A9s).mp3" xr:uid="{DA10264A-56C8-4E84-B7C1-AD11BF78490E}"/>
    <hyperlink ref="V542" r:id="rId1450" xr:uid="{5F4546CB-712A-4C26-B9B4-CD34E4F1385B}"/>
    <hyperlink ref="V543" r:id="rId1451" xr:uid="{0FF45BD6-8E3A-4653-917C-6A2DF3432A4B}"/>
    <hyperlink ref="V544" r:id="rId1452" xr:uid="{804CF3E2-2023-4FDD-B35D-0E7239A7D00D}"/>
    <hyperlink ref="V545" r:id="rId1453" xr:uid="{844116CC-0935-4F61-BAA0-26AC436117B7}"/>
    <hyperlink ref="V546" r:id="rId1454" xr:uid="{544D781D-10AA-474C-9F79-3E93850CB7A8}"/>
    <hyperlink ref="V2491" r:id="rId1455" xr:uid="{73145DEE-F443-4C44-A135-AC0523FE5329}"/>
    <hyperlink ref="V635" r:id="rId1456" xr:uid="{4A95E567-2401-4061-BF47-4786F1B5EC95}"/>
    <hyperlink ref="V639" r:id="rId1457" xr:uid="{988AE2A8-B2D0-460B-B4B2-3A6BC50B0630}"/>
    <hyperlink ref="V641" r:id="rId1458" xr:uid="{0D73C0E9-53AF-4292-94B3-6A6B7B9C8B6F}"/>
    <hyperlink ref="V656" r:id="rId1459" xr:uid="{EAA78442-5E29-45E1-B05A-64F68AD89D98}"/>
    <hyperlink ref="V642" r:id="rId1460" xr:uid="{48836DF7-FC19-4B8D-AE38-5EA5DC3C6D85}"/>
    <hyperlink ref="V645" r:id="rId1461" xr:uid="{123DEFCE-5E0B-4843-9230-58FF623A4B85}"/>
    <hyperlink ref="V646" r:id="rId1462" xr:uid="{73641A67-2E18-49DD-B806-BBA86061B0F7}"/>
    <hyperlink ref="V648" r:id="rId1463" xr:uid="{D09B5E52-ED90-4808-A15D-0BA9F2CD551F}"/>
    <hyperlink ref="V643" r:id="rId1464" xr:uid="{EA85A6D5-42C7-4026-BC72-AC89643D4A64}"/>
    <hyperlink ref="V653" r:id="rId1465" xr:uid="{431E917C-C131-4D88-8B8C-29E685A0232B}"/>
    <hyperlink ref="V650" r:id="rId1466" xr:uid="{95DDE0BE-7938-4FF0-939C-E58F7ED869E1}"/>
    <hyperlink ref="V651" r:id="rId1467" xr:uid="{FFBA3080-3C65-411B-A7DC-61EAC1C258F2}"/>
    <hyperlink ref="V652" r:id="rId1468" xr:uid="{47984F60-E4FB-4A3B-B2C5-A03E7BF32F5C}"/>
    <hyperlink ref="V654" r:id="rId1469" xr:uid="{FE18ED98-90A5-453A-8379-B368C45B01E7}"/>
    <hyperlink ref="V655" r:id="rId1470" xr:uid="{AABC15A7-4F08-421C-ADCD-FCBBD924AA3E}"/>
    <hyperlink ref="V1260" r:id="rId1471" xr:uid="{8B74E560-4CF2-41A4-8BD3-76DC35E7F957}"/>
    <hyperlink ref="V502" r:id="rId1472" xr:uid="{701DDCD8-BB2B-482E-9448-427780D1A8DC}"/>
    <hyperlink ref="V1615" r:id="rId1473" xr:uid="{9A69155B-3025-4FE3-9B3C-A83EF52FE79C}"/>
    <hyperlink ref="V1616" r:id="rId1474" xr:uid="{2C4F16B9-5BEA-45ED-85DC-6DB88F43EFA9}"/>
    <hyperlink ref="V1618" r:id="rId1475" xr:uid="{80DC72F1-760D-466F-A0D6-065454D05CFC}"/>
    <hyperlink ref="V903" r:id="rId1476" xr:uid="{31CDA490-6BE3-467A-BB60-43CCCC5BE2DC}"/>
    <hyperlink ref="V727" r:id="rId1477" xr:uid="{A0723000-E40C-4E91-BE86-39E1F6194DBE}"/>
    <hyperlink ref="V1621" r:id="rId1478" xr:uid="{E960C7D1-48CE-4F9B-AC5A-8B92E69FA390}"/>
    <hyperlink ref="V1216" r:id="rId1479" xr:uid="{9CFCFC1E-0A74-47CE-8DF7-BE5464BA42CB}"/>
    <hyperlink ref="V1623" r:id="rId1480" xr:uid="{5CABFA1B-E624-4FB9-AF4E-37296742017C}"/>
    <hyperlink ref="V1625" r:id="rId1481" xr:uid="{3FE321BA-972E-4176-AD87-37D2B9145C4C}"/>
    <hyperlink ref="V1626" r:id="rId1482" xr:uid="{5201C27A-59FE-4D38-A28A-D13FEED9C700}"/>
    <hyperlink ref="V1628" r:id="rId1483" xr:uid="{4A069949-2E92-4F23-8A42-B94E9663F093}"/>
    <hyperlink ref="V1631" r:id="rId1484" xr:uid="{620FE607-4ED5-4DE0-AD5E-547845D8B4F6}"/>
    <hyperlink ref="V1633" r:id="rId1485" xr:uid="{E7C4A408-F3DA-4B72-B4A9-98DE3CB91063}"/>
    <hyperlink ref="V1634" r:id="rId1486" xr:uid="{9B452683-4D0F-4FDD-B646-40985FD15A22}"/>
    <hyperlink ref="V1635" r:id="rId1487" xr:uid="{145EF60D-6752-4943-A838-6046CCD53B5B}"/>
    <hyperlink ref="V1636" r:id="rId1488" xr:uid="{ACDB9237-3A37-427D-B4CC-589261C69D1C}"/>
    <hyperlink ref="V1638" r:id="rId1489" xr:uid="{22E82908-8B9D-4F82-B6FC-8555E47FE3AD}"/>
    <hyperlink ref="V1639" r:id="rId1490" xr:uid="{74103A6F-6217-4838-8093-88AF9AE117B1}"/>
    <hyperlink ref="V1642" r:id="rId1491" xr:uid="{EB86B516-3789-4402-B0A5-DF5706C8C027}"/>
    <hyperlink ref="V1643" r:id="rId1492" xr:uid="{3191ACC4-0DAC-4BE2-B005-30722F4018F0}"/>
    <hyperlink ref="V1686" r:id="rId1493" xr:uid="{9FCC4250-68E2-4130-AB12-FEB3BB14B1C9}"/>
    <hyperlink ref="V2551" r:id="rId1494" xr:uid="{A01A8306-5FE5-4067-A1DA-AEAF09163B08}"/>
    <hyperlink ref="V1646" r:id="rId1495" xr:uid="{872BA9C0-C53D-4660-B7C2-EC5504836196}"/>
    <hyperlink ref="V1690" r:id="rId1496" xr:uid="{4DDE0343-76B3-482E-9980-7ED2D7883F55}"/>
    <hyperlink ref="V1208" r:id="rId1497" xr:uid="{35E6A400-8AD1-48E4-B4CC-EDD1CBE4C2EF}"/>
    <hyperlink ref="V1647" r:id="rId1498" xr:uid="{FA3DE849-67EE-4E88-967E-A2B2D32055D7}"/>
    <hyperlink ref="V1729" r:id="rId1499" xr:uid="{6BA92619-F8EE-43CE-B8C4-12466332FAA8}"/>
    <hyperlink ref="V1649" r:id="rId1500" xr:uid="{BA2FEC52-1F57-487D-8290-0E3B6441E805}"/>
    <hyperlink ref="V1650" r:id="rId1501" xr:uid="{20616BBD-F56F-418A-B62C-E58C9A253779}"/>
    <hyperlink ref="V1651" r:id="rId1502" xr:uid="{10D12569-1F00-4540-B21D-4ADFE8A99893}"/>
    <hyperlink ref="V1657" r:id="rId1503" xr:uid="{3F6F7EDB-5DAA-4149-8A79-04E38810E400}"/>
    <hyperlink ref="V1655" r:id="rId1504" xr:uid="{C4EFDFEB-926E-47D8-ACF4-429C2976225F}"/>
    <hyperlink ref="V1654" r:id="rId1505" xr:uid="{06BE5CBF-EF3A-47AB-A905-9931A5FDCB9D}"/>
    <hyperlink ref="V1656" r:id="rId1506" xr:uid="{EA36376E-C7F1-4DDC-906C-7516E69C728E}"/>
    <hyperlink ref="V1658" r:id="rId1507" xr:uid="{D5A07B3D-ADDF-4D0F-AD33-808124092308}"/>
    <hyperlink ref="V1659" r:id="rId1508" xr:uid="{E369494F-8124-4720-A173-B59F9ACDA149}"/>
    <hyperlink ref="V1660" r:id="rId1509" xr:uid="{94A1FA6E-BB40-4694-94DE-83AEA798CF6A}"/>
    <hyperlink ref="V1662" r:id="rId1510" xr:uid="{8A2FA8CE-2296-4574-9A17-1B9B81C74053}"/>
    <hyperlink ref="V1663" r:id="rId1511" xr:uid="{0C641166-0146-4E59-A421-B43B8369A861}"/>
    <hyperlink ref="V1664" r:id="rId1512" xr:uid="{E6D47A30-5880-4349-B985-40B3A51B21C8}"/>
    <hyperlink ref="V1665" r:id="rId1513" xr:uid="{810835F8-5089-44B8-832D-DFD5EEC914F7}"/>
    <hyperlink ref="V1666" r:id="rId1514" xr:uid="{5B2980C8-95D2-4E26-9B92-941A6CCDD15D}"/>
    <hyperlink ref="V1673" r:id="rId1515" xr:uid="{850705BA-D972-4EC5-8E99-2DFE9E6E0DB8}"/>
    <hyperlink ref="V1681" r:id="rId1516" xr:uid="{4502160C-E843-406C-9334-7C04D6A09A70}"/>
    <hyperlink ref="V1682" r:id="rId1517" xr:uid="{D010D229-670A-4A40-9E6D-0CAEEAC595A0}"/>
    <hyperlink ref="V1683" r:id="rId1518" xr:uid="{06E2499C-DAE3-43E5-A537-69C256D6B599}"/>
    <hyperlink ref="V1685" r:id="rId1519" xr:uid="{C316EBC6-4A8E-48D7-995B-892461EF9076}"/>
    <hyperlink ref="V1684" r:id="rId1520" xr:uid="{8F3CA65D-A1F1-4B70-9658-14CD472058D7}"/>
    <hyperlink ref="V1689" r:id="rId1521" xr:uid="{05648C3E-4B16-4DA5-8B25-4E83090192A5}"/>
    <hyperlink ref="V1691" r:id="rId1522" xr:uid="{80D0E55B-7664-4DC4-9536-C808055C9E8C}"/>
    <hyperlink ref="V1693" r:id="rId1523" xr:uid="{44413B78-8B99-424A-A4DB-D758C652F038}"/>
    <hyperlink ref="V1695" r:id="rId1524" xr:uid="{DC51AD36-5535-4071-BD80-3B3C862ADF04}"/>
    <hyperlink ref="V1694" r:id="rId1525" xr:uid="{F57F8C12-00F5-44A2-A5CC-EC35E3062F4B}"/>
    <hyperlink ref="V1698" r:id="rId1526" xr:uid="{1BE92D64-631E-4D26-928B-2FF14027BC0C}"/>
    <hyperlink ref="V1699" r:id="rId1527" xr:uid="{3C1D672D-145B-4CA6-A7F5-2F75495EDB26}"/>
    <hyperlink ref="V1700" r:id="rId1528" xr:uid="{AA3EF0EA-C560-4414-859C-CB6E2DB0018D}"/>
    <hyperlink ref="V1701" r:id="rId1529" xr:uid="{C5D30397-F2A2-4EC0-9932-2841BF945E9F}"/>
    <hyperlink ref="V1702" r:id="rId1530" xr:uid="{5A34BC9E-D465-41D7-B4A7-946B0D22764D}"/>
    <hyperlink ref="V1704" r:id="rId1531" xr:uid="{7582B51C-BDC0-4458-A61E-9705D4810285}"/>
    <hyperlink ref="V1709" r:id="rId1532" xr:uid="{5949A5C4-221B-45C6-A665-2BE87529C0E4}"/>
    <hyperlink ref="V1711" r:id="rId1533" xr:uid="{14489881-2FFE-4962-87A2-383813323327}"/>
    <hyperlink ref="V1713" r:id="rId1534" xr:uid="{E5D8A0B7-8315-41D0-86D0-137AF791FDAC}"/>
    <hyperlink ref="V1779" r:id="rId1535" xr:uid="{D7501087-74BF-442F-8449-19F6875020AB}"/>
    <hyperlink ref="V1781" r:id="rId1536" xr:uid="{3F30C5FC-72E8-4ECA-B8B9-774AB58E35D1}"/>
    <hyperlink ref="V2133" r:id="rId1537" xr:uid="{AD1CD9DE-DCA7-4AC0-BD74-39CC59E7F368}"/>
    <hyperlink ref="V2129" r:id="rId1538" xr:uid="{35F8B041-7051-4F51-94DE-DB5968DDBF62}"/>
    <hyperlink ref="V2120" r:id="rId1539" xr:uid="{39572FAF-43D0-4819-A503-1AF1F0A408D8}"/>
    <hyperlink ref="V2121" r:id="rId1540" xr:uid="{02A05ED2-57A3-4BA1-BE43-41FDB02DC962}"/>
    <hyperlink ref="V2123" r:id="rId1541" xr:uid="{6F10C8DD-6408-48BD-A8F4-021790F235FD}"/>
    <hyperlink ref="V2124" r:id="rId1542" xr:uid="{93E25742-A6D1-4FA8-9F7C-F98DED5422EC}"/>
    <hyperlink ref="V2126" r:id="rId1543" xr:uid="{CE6D3A11-2E58-4EEF-B81B-A0D76FC5E997}"/>
    <hyperlink ref="V2127" r:id="rId1544" xr:uid="{E7BBBFD4-2C88-441F-850E-A7E3506CFD90}"/>
    <hyperlink ref="V2137" r:id="rId1545" xr:uid="{80A93A6F-75F4-46D4-BD4E-B65C7EA41572}"/>
    <hyperlink ref="V2128" r:id="rId1546" xr:uid="{6427DBA0-ECD7-4C4B-997F-9FF46B8E973F}"/>
    <hyperlink ref="V2130" r:id="rId1547" xr:uid="{FE976BE0-8D8B-41D4-B0AC-CDA0BC4C91E8}"/>
    <hyperlink ref="V2131" r:id="rId1548" xr:uid="{3A80EA83-AE17-42BA-9244-21A82A288E24}"/>
    <hyperlink ref="V2132" r:id="rId1549" xr:uid="{C8EB39A3-0F8A-4276-87FB-C04FB093F6FA}"/>
    <hyperlink ref="V2134" r:id="rId1550" xr:uid="{9C0DF3AF-2BA5-4935-94EA-954C36DCE55D}"/>
    <hyperlink ref="V2135" r:id="rId1551" xr:uid="{9487FFF5-2FE7-4AAA-ADA3-243F18BEF799}"/>
    <hyperlink ref="V2136" r:id="rId1552" xr:uid="{1CE0CD4B-91A7-4647-9F07-C9708E26BE3C}"/>
    <hyperlink ref="V2138" r:id="rId1553" xr:uid="{A579968D-FDBD-4367-85FD-D32F08C990ED}"/>
    <hyperlink ref="V2139" r:id="rId1554" xr:uid="{49A0C964-85FD-479D-BD42-BEFC2FA32846}"/>
    <hyperlink ref="V2140" r:id="rId1555" xr:uid="{C2D06BEF-6A3E-4D95-9F9F-CDAE0EF86B9F}"/>
    <hyperlink ref="V2141" r:id="rId1556" xr:uid="{69DE3037-9AD5-4C7C-BD4A-214225D39EBC}"/>
    <hyperlink ref="V2142" r:id="rId1557" xr:uid="{B0B80817-F7F7-4398-965B-78AF2C44E448}"/>
    <hyperlink ref="V2143" r:id="rId1558" xr:uid="{CCCB866F-AFF0-4415-8405-09F2E53851D8}"/>
    <hyperlink ref="V2147" r:id="rId1559" xr:uid="{F1C48285-CEB7-4DF2-973A-7F95E0BAAA01}"/>
    <hyperlink ref="V2149" r:id="rId1560" xr:uid="{F2F55C32-18FD-4C43-8278-47EA58E57100}"/>
    <hyperlink ref="V2150" r:id="rId1561" xr:uid="{00AD55CD-2478-4310-ACF2-F659046C2202}"/>
    <hyperlink ref="V2154" r:id="rId1562" xr:uid="{0A83C44D-608E-4CC0-A0AF-538A2824E031}"/>
    <hyperlink ref="V2155" r:id="rId1563" xr:uid="{0F81D637-88CC-41B3-83DC-583F335AE91E}"/>
    <hyperlink ref="V2205" r:id="rId1564" xr:uid="{32D5169F-5E48-4991-8696-52C476BCE0E0}"/>
    <hyperlink ref="V2206" r:id="rId1565" xr:uid="{2E986A80-DBAC-4463-A6D2-9D6AA03A0724}"/>
    <hyperlink ref="V2207" r:id="rId1566" xr:uid="{350A7505-704B-4C15-856C-36DAE2C3C930}"/>
    <hyperlink ref="V2208" r:id="rId1567" xr:uid="{4CF69B5E-2A0E-4787-98F7-EFCE2BEF97A4}"/>
    <hyperlink ref="V2209" r:id="rId1568" xr:uid="{6E182C6F-1BF9-46D8-8546-DF6140B67667}"/>
    <hyperlink ref="V2210" r:id="rId1569" xr:uid="{88CC15E1-E5B3-463E-9AD8-495D4E524889}"/>
    <hyperlink ref="V2211" r:id="rId1570" xr:uid="{E13E7E6E-8D2E-4176-B57E-5B407BA4F083}"/>
    <hyperlink ref="V2212" r:id="rId1571" xr:uid="{8B60FDAC-03C2-4F55-ADF5-E69193909B95}"/>
    <hyperlink ref="V2213" r:id="rId1572" xr:uid="{4CEC8C4E-016F-4698-B20F-51AD7BC2AEDA}"/>
    <hyperlink ref="V2214" r:id="rId1573" xr:uid="{1D5488EA-8B81-49E9-A22A-CCCB92A3F126}"/>
    <hyperlink ref="V2215" r:id="rId1574" xr:uid="{964F30D4-E039-4C63-B386-32D49E5B80B0}"/>
    <hyperlink ref="V2216" r:id="rId1575" xr:uid="{30B7E45E-1EE3-40E0-AD72-AD7D30191C30}"/>
    <hyperlink ref="V2217" r:id="rId1576" xr:uid="{23DD99E1-6060-4C63-87FE-48341DF0B305}"/>
    <hyperlink ref="V2218" r:id="rId1577" xr:uid="{4890066A-428A-4AE2-981F-5E144D2DF08A}"/>
    <hyperlink ref="V2219" r:id="rId1578" xr:uid="{512858E1-DDC8-4326-A98A-30C1E994BD9F}"/>
    <hyperlink ref="V2194" r:id="rId1579" xr:uid="{EF619789-3CD9-4DE7-BC62-6E8FD0DB986F}"/>
    <hyperlink ref="V2195" r:id="rId1580" xr:uid="{137830CF-479B-4B75-9F26-4D6A49D3C6E4}"/>
    <hyperlink ref="V2196" r:id="rId1581" xr:uid="{DF2441D8-C128-48A2-B42B-FEEF9EFA6160}"/>
    <hyperlink ref="V2197" r:id="rId1582" xr:uid="{F25ACA74-5AF3-4605-96AB-E485CDA1E03D}"/>
    <hyperlink ref="V2198" r:id="rId1583" xr:uid="{67914289-61D1-4506-AB1E-C42E5566E39C}"/>
    <hyperlink ref="V2199" r:id="rId1584" xr:uid="{3E9EF239-F13A-48E0-ACF9-11F83F5AB12D}"/>
    <hyperlink ref="V2200" r:id="rId1585" xr:uid="{C4E2CF7F-8673-49C9-A2A2-4A2564575CBE}"/>
    <hyperlink ref="V2201" r:id="rId1586" xr:uid="{7CAE388E-E34A-4A56-8B59-630F39CAD430}"/>
    <hyperlink ref="V2202" r:id="rId1587" xr:uid="{05662C74-AC44-4241-93B5-070B28930677}"/>
    <hyperlink ref="V2203" r:id="rId1588" xr:uid="{3ED16C36-2301-4434-8D19-9FFCE5F7E7CA}"/>
    <hyperlink ref="V2204" r:id="rId1589" xr:uid="{6844886F-1456-4FA3-A86D-455C8137F21A}"/>
    <hyperlink ref="V2183" r:id="rId1590" xr:uid="{B845F8BB-F111-4BF4-AFA6-62C0491D6EA1}"/>
    <hyperlink ref="V2184" r:id="rId1591" xr:uid="{EBDA7B13-93A3-4413-BF6A-F326464151F4}"/>
    <hyperlink ref="V2185" r:id="rId1592" xr:uid="{78AD652B-736C-4989-9C0F-D945C65DD28A}"/>
    <hyperlink ref="V2186" r:id="rId1593" xr:uid="{87F61E07-DD90-4449-8CB3-5BEE34E6E7F1}"/>
    <hyperlink ref="V2187" r:id="rId1594" xr:uid="{BE561DC2-37C0-46A4-8C1E-8099729C8705}"/>
    <hyperlink ref="V2188" r:id="rId1595" xr:uid="{DB63B2EC-03DF-419F-915E-FF775DB17545}"/>
    <hyperlink ref="V2189" r:id="rId1596" xr:uid="{2B32C099-2F4F-4893-8B74-49002FA0D2CA}"/>
    <hyperlink ref="V2190" r:id="rId1597" xr:uid="{C844F17F-B0AB-4BA4-A212-91B210C0F2B2}"/>
    <hyperlink ref="V2177" r:id="rId1598" xr:uid="{B10F6FC9-9A4F-4691-BF88-EBEC4990380A}"/>
    <hyperlink ref="V2178" r:id="rId1599" xr:uid="{3AA48A3B-C2AA-4DF9-A2C0-0A39EB1CD4FB}"/>
    <hyperlink ref="V2180" r:id="rId1600" xr:uid="{A12AD2B8-9BED-4162-A6E0-EC01CB3FF6A3}"/>
    <hyperlink ref="V2181" r:id="rId1601" xr:uid="{DBA25418-797D-488C-9953-FD155C15943D}"/>
    <hyperlink ref="V2173" r:id="rId1602" xr:uid="{6EF2C2A9-0517-47BB-85E0-D9452F9E9AA4}"/>
    <hyperlink ref="V2172" r:id="rId1603" xr:uid="{63997080-8D5B-4AEE-AD5A-F94BF7FE0782}"/>
    <hyperlink ref="V2171" r:id="rId1604" xr:uid="{7E4230CB-6EEE-4555-89F5-3128AFD538A6}"/>
    <hyperlink ref="V2174" r:id="rId1605" xr:uid="{F3283E98-4F89-441D-B577-BB61BB7A632D}"/>
    <hyperlink ref="V2176" r:id="rId1606" xr:uid="{A0735D81-1505-41A2-A622-B31ACFA86986}"/>
    <hyperlink ref="V2179" r:id="rId1607" xr:uid="{D11FD8F7-897D-40D6-A311-4449DB7A4A3E}"/>
    <hyperlink ref="V2224" r:id="rId1608" xr:uid="{27A93CD2-EDE7-4274-89F0-49DB94408001}"/>
    <hyperlink ref="V2225" r:id="rId1609" xr:uid="{5261C8E1-C36E-4799-B2FD-7C0605FCB522}"/>
    <hyperlink ref="V2226" r:id="rId1610" xr:uid="{8999E53E-D04A-45CE-BC77-A0E01D7D6074}"/>
    <hyperlink ref="V2229" r:id="rId1611" xr:uid="{C7930585-433B-4171-A90E-38B7624FED7E}"/>
    <hyperlink ref="V2232" r:id="rId1612" xr:uid="{D5F80C00-C6E3-4CE9-99B0-AABFE914AC27}"/>
    <hyperlink ref="V2041" r:id="rId1613" xr:uid="{0B5CA2DC-32B3-4DB6-BC04-87A1B25BD9F9}"/>
    <hyperlink ref="V2042" r:id="rId1614" xr:uid="{352BEA2E-9C8F-4D0B-ACE9-2C2BC7E147A1}"/>
    <hyperlink ref="V2043" r:id="rId1615" xr:uid="{30649256-464B-4E3D-9EA0-B36D13E2688F}"/>
    <hyperlink ref="V2092" r:id="rId1616" xr:uid="{5EC80263-19F4-45A1-BC37-3E24DEBCF3FC}"/>
    <hyperlink ref="V2074" r:id="rId1617" xr:uid="{EF06DBB8-BFD0-4EBC-B64C-08B119CCEA59}"/>
    <hyperlink ref="V270" r:id="rId1618" xr:uid="{B58BDE3A-19EF-4DDF-86CD-941122DE6FFA}"/>
    <hyperlink ref="V271" r:id="rId1619" xr:uid="{F117BEFF-E94A-4FCF-AB9B-0DBC075B5672}"/>
    <hyperlink ref="V272" r:id="rId1620" xr:uid="{D0ADA5A1-B78F-4B71-B6A2-9E72C5884758}"/>
    <hyperlink ref="V273" r:id="rId1621" xr:uid="{472271E6-E012-4D84-A091-5FED5FCA5BE4}"/>
    <hyperlink ref="V274" r:id="rId1622" xr:uid="{395009A5-D809-4596-807E-C43247D069A0}"/>
    <hyperlink ref="V275" r:id="rId1623" xr:uid="{0C4B901C-5DEA-4EAD-8E5E-105C7976F0D2}"/>
    <hyperlink ref="V276" r:id="rId1624" xr:uid="{E7BB826D-1071-4E54-8307-47D322050AC2}"/>
    <hyperlink ref="V277" r:id="rId1625" xr:uid="{68D98EE5-4200-41E0-A01C-BBFB0550A9C9}"/>
    <hyperlink ref="V278" r:id="rId1626" xr:uid="{1E1D277B-A352-429E-998E-1B9C77BDCC8F}"/>
    <hyperlink ref="V279" r:id="rId1627" xr:uid="{D94DF300-345D-40D2-8AB4-0982299BB4A0}"/>
    <hyperlink ref="V280" r:id="rId1628" xr:uid="{DFDA5E6B-CE50-4BB6-99D2-BF67DB4E931D}"/>
    <hyperlink ref="V281" r:id="rId1629" xr:uid="{34BED1B0-651F-4DCB-A0CF-37276D71A17E}"/>
    <hyperlink ref="V282" r:id="rId1630" xr:uid="{910D8DDA-E6E5-44BC-AE14-2E8D5C917BED}"/>
    <hyperlink ref="V283" r:id="rId1631" xr:uid="{6FFA3623-CC23-4948-B204-B3ED577172FB}"/>
    <hyperlink ref="V284" r:id="rId1632" xr:uid="{5DF11EE0-9E18-4AD3-A38D-9446039511F4}"/>
    <hyperlink ref="V285" r:id="rId1633" xr:uid="{77D88DFD-A954-4400-9381-B521E050B482}"/>
    <hyperlink ref="V286" r:id="rId1634" xr:uid="{1669167B-3DE2-4AB4-A718-C11432616504}"/>
    <hyperlink ref="V287" r:id="rId1635" xr:uid="{6057B331-A930-4E46-984C-27EDFFBC3494}"/>
    <hyperlink ref="V288" r:id="rId1636" xr:uid="{E4352894-D7A1-44A6-9B14-7F26E7E4F3BC}"/>
    <hyperlink ref="V289" r:id="rId1637" xr:uid="{9634A36D-8CF3-488B-B8B7-570742E6BB04}"/>
    <hyperlink ref="V290" r:id="rId1638" xr:uid="{42C44502-B101-4628-AE9B-8CC4910D60FF}"/>
    <hyperlink ref="V291" r:id="rId1639" xr:uid="{602F6CA5-F0F1-4638-9752-9DE3BA575EB4}"/>
    <hyperlink ref="V292" r:id="rId1640" xr:uid="{174CFEB4-B174-4E4A-BD37-FB6BEE5B9808}"/>
    <hyperlink ref="V293" r:id="rId1641" xr:uid="{7F0F1891-7F06-45AD-BAB0-06B20895C437}"/>
    <hyperlink ref="V294" r:id="rId1642" xr:uid="{33560644-2793-42FE-A934-8A19FBA31FB4}"/>
    <hyperlink ref="V295" r:id="rId1643" xr:uid="{2139077B-65A7-48D2-9D5B-EA34719005AF}"/>
    <hyperlink ref="V296" r:id="rId1644" xr:uid="{F0B14816-DAE1-455B-B785-60DB95351632}"/>
    <hyperlink ref="V297" r:id="rId1645" xr:uid="{B92CAD6F-7A42-4B47-B6CA-92516063F8D8}"/>
    <hyperlink ref="V298" r:id="rId1646" xr:uid="{16EBEDDA-1C3F-4770-84C0-D09B59052694}"/>
    <hyperlink ref="V299" r:id="rId1647" xr:uid="{3EAEE6B2-B0EC-426B-B686-B520E87F36FB}"/>
    <hyperlink ref="V300" r:id="rId1648" xr:uid="{5EEB01EA-799A-43A7-BA3B-8257F9168937}"/>
    <hyperlink ref="V308" r:id="rId1649" xr:uid="{011FAE41-E695-4AF4-B8EC-20BADC7C681C}"/>
    <hyperlink ref="V309" r:id="rId1650" xr:uid="{BCF5C490-3DC3-46F3-830C-6E9767932785}"/>
    <hyperlink ref="V318" r:id="rId1651" xr:uid="{E90556B5-ADC3-4CB6-B79D-8DD995C2515C}"/>
    <hyperlink ref="V319" r:id="rId1652" xr:uid="{44E124E9-F907-4E94-84C6-EC9F2C70B55B}"/>
    <hyperlink ref="V320" r:id="rId1653" xr:uid="{CD27F119-5277-4B3A-BDB9-15808F8117E4}"/>
    <hyperlink ref="V321" r:id="rId1654" xr:uid="{5E45658A-E1EC-4619-86C1-52AFCD937A01}"/>
    <hyperlink ref="V322" r:id="rId1655" xr:uid="{DD77A92D-E84A-475F-8D1F-A36CE6111552}"/>
    <hyperlink ref="V323" r:id="rId1656" xr:uid="{4E0D96A9-DEDB-4378-9E06-463CBCD61638}"/>
    <hyperlink ref="V324" r:id="rId1657" xr:uid="{8B1E6D2C-0CFB-4EFF-A814-62576C020883}"/>
    <hyperlink ref="V325" r:id="rId1658" xr:uid="{B3306CD8-178F-4D2A-9B89-07E7B689D853}"/>
    <hyperlink ref="V326" r:id="rId1659" xr:uid="{0D1A0AB6-3A64-420E-B3F7-F35D0C5CF634}"/>
    <hyperlink ref="V327" r:id="rId1660" xr:uid="{1C616918-9C80-4F37-84F8-4394E191DADD}"/>
    <hyperlink ref="V328" r:id="rId1661" xr:uid="{60614691-A093-4E24-9806-2CB18101EB89}"/>
    <hyperlink ref="V329" r:id="rId1662" xr:uid="{08AB7C48-1ECA-4307-B961-309EB913A668}"/>
    <hyperlink ref="V330" r:id="rId1663" xr:uid="{FA18A473-2AE8-45A8-ACD5-CDC73BB5C840}"/>
    <hyperlink ref="V331" r:id="rId1664" xr:uid="{F9161485-EC41-45BE-AE6E-9126761B4EF7}"/>
    <hyperlink ref="V332" r:id="rId1665" xr:uid="{1C984645-F32B-4ED0-BC16-7F025541476A}"/>
    <hyperlink ref="V333" r:id="rId1666" xr:uid="{56FDA21A-68C2-44DD-B7FA-F35A27C5501E}"/>
    <hyperlink ref="V334" r:id="rId1667" xr:uid="{75C72295-2AFF-419B-9FBE-F2A9EA5CF019}"/>
    <hyperlink ref="V341" r:id="rId1668" xr:uid="{CF96BC7D-5632-45FE-80F2-BE702F5D0915}"/>
    <hyperlink ref="V342" r:id="rId1669" xr:uid="{E48E74F7-7674-4BFC-8F68-C6EEAE8E2283}"/>
    <hyperlink ref="V403" r:id="rId1670" xr:uid="{2E354AC9-4625-423A-B00C-60991AFDD711}"/>
    <hyperlink ref="V306" r:id="rId1671" xr:uid="{407AD81F-36F0-482C-BEED-1B665D8A50AA}"/>
    <hyperlink ref="V307" r:id="rId1672" xr:uid="{7431522D-1A54-4CAC-80EC-362E7B194BF8}"/>
    <hyperlink ref="V310" r:id="rId1673" xr:uid="{F41BA986-12CE-4ABA-B87D-940DE7C61848}"/>
    <hyperlink ref="V311" r:id="rId1674" xr:uid="{2CD6ADB3-3EBE-4808-80B1-9D1C7AEFE9E5}"/>
    <hyperlink ref="V312" r:id="rId1675" xr:uid="{8913B2BA-AE14-49D3-9B49-89AB6CA5840C}"/>
    <hyperlink ref="V313" r:id="rId1676" xr:uid="{12438A12-0B21-46D1-A968-5062C340C281}"/>
    <hyperlink ref="V314" r:id="rId1677" xr:uid="{5DB2948E-CA23-40E8-B39A-09D8AB179525}"/>
    <hyperlink ref="V315" r:id="rId1678" xr:uid="{F2AA14DA-7033-4F68-B8A0-557D0FE5AF36}"/>
    <hyperlink ref="V316" r:id="rId1679" xr:uid="{5B50FC0F-AFBF-4F82-9023-A02DC457574C}"/>
    <hyperlink ref="V317" r:id="rId1680" xr:uid="{8FBC1B8A-EA7E-40D8-805E-99485C89F7A7}"/>
    <hyperlink ref="V335" r:id="rId1681" xr:uid="{350A6565-50F6-4EF4-8510-E4B95EC45B29}"/>
    <hyperlink ref="V336" r:id="rId1682" xr:uid="{DF45F24C-DA5A-42D6-80A9-6F56A79CCE44}"/>
    <hyperlink ref="V337" r:id="rId1683" xr:uid="{4D1FAB27-F67D-4453-8BC4-F0DDEB92B529}"/>
    <hyperlink ref="V338" r:id="rId1684" xr:uid="{72B085C3-4710-420F-A91C-5EFF7EFA2519}"/>
    <hyperlink ref="V339" r:id="rId1685" xr:uid="{7202B482-EE3F-43B5-9009-398B088007E8}"/>
    <hyperlink ref="V343" r:id="rId1686" xr:uid="{E06C731D-418A-4FE7-9915-DBF1D635D1E0}"/>
    <hyperlink ref="V344" r:id="rId1687" xr:uid="{036F5BA7-76CB-4A07-BF18-C13AE217EA58}"/>
    <hyperlink ref="V345" r:id="rId1688" xr:uid="{78493AA3-7C27-4FE2-B0B6-5F72C85BDDEB}"/>
    <hyperlink ref="V346" r:id="rId1689" xr:uid="{3E966E0D-5E9C-4A9D-AB34-F0BAC70E6BFC}"/>
    <hyperlink ref="V347" r:id="rId1690" xr:uid="{6C60FD1F-83EE-4EDA-B5A3-EC29E5AC5FCA}"/>
    <hyperlink ref="V348" r:id="rId1691" xr:uid="{57CFD359-BF47-461D-AEAB-337DFE7FEA14}"/>
    <hyperlink ref="V349" r:id="rId1692" xr:uid="{75003CF8-4D17-43F0-8CB6-3E35321391EE}"/>
    <hyperlink ref="V350" r:id="rId1693" xr:uid="{C92E7835-C320-48C6-818F-13C981DB5D28}"/>
    <hyperlink ref="V351" r:id="rId1694" xr:uid="{90D6EF5C-0F9C-4527-8200-7258DEB05763}"/>
    <hyperlink ref="V352" r:id="rId1695" xr:uid="{D57721CE-8642-4C4A-8EEE-D8A7D21661BB}"/>
    <hyperlink ref="V353" r:id="rId1696" xr:uid="{BAD08C29-C967-4EE7-8684-077587292A50}"/>
    <hyperlink ref="V354" r:id="rId1697" xr:uid="{BF1CA8EA-604D-444F-ABFF-E341C4633912}"/>
    <hyperlink ref="V355" r:id="rId1698" xr:uid="{A81DF584-35BF-4506-812A-05987CED925A}"/>
    <hyperlink ref="V356" r:id="rId1699" xr:uid="{F00645B4-915D-4F18-813C-37DA308120BE}"/>
    <hyperlink ref="V357" r:id="rId1700" xr:uid="{C1515062-BD0A-46F8-A2C1-D030480E8441}"/>
    <hyperlink ref="V358" r:id="rId1701" xr:uid="{1B095806-4914-4C34-9112-A270985575A0}"/>
    <hyperlink ref="V359" r:id="rId1702" xr:uid="{BA175160-59A4-47DB-A629-152831F105EC}"/>
    <hyperlink ref="V360" r:id="rId1703" xr:uid="{41129A9C-792C-492D-866D-EC949FF53DBF}"/>
    <hyperlink ref="V361" r:id="rId1704" xr:uid="{8A84AE1A-263F-45AA-8BF7-AEFE2E7C2907}"/>
    <hyperlink ref="V362" r:id="rId1705" xr:uid="{1D0A7631-F31C-4425-9E8E-F536B2560249}"/>
    <hyperlink ref="V363" r:id="rId1706" xr:uid="{79A71755-EC5C-4382-A9FF-ABDE10737BF5}"/>
    <hyperlink ref="V364" r:id="rId1707" xr:uid="{06472C7F-8B79-43AE-AB0B-F2E97C08FD0E}"/>
    <hyperlink ref="V365" r:id="rId1708" xr:uid="{4706BE6D-D76D-4F4C-86F9-AFAFDE32233F}"/>
    <hyperlink ref="V366" r:id="rId1709" xr:uid="{49E8FD5A-7CD8-42D6-9CCC-35E3DB002B35}"/>
    <hyperlink ref="V367" r:id="rId1710" xr:uid="{A5AC0F29-3F5D-41A2-AE6A-679C72BF70AC}"/>
    <hyperlink ref="V368" r:id="rId1711" xr:uid="{14B222D2-9F50-42FD-BAEA-F87371314830}"/>
    <hyperlink ref="V369" r:id="rId1712" xr:uid="{371DE1CE-5286-4624-B56C-429E1EAF76D1}"/>
    <hyperlink ref="V391" r:id="rId1713" xr:uid="{EC7E3870-E274-44E5-82AE-B2C539050F3E}"/>
    <hyperlink ref="V392" r:id="rId1714" xr:uid="{FB2BD65A-6855-4345-8356-B68365F7D935}"/>
    <hyperlink ref="V393" r:id="rId1715" xr:uid="{5F287ED6-913E-47EA-B08C-F0967A99BB3C}"/>
    <hyperlink ref="V394" r:id="rId1716" xr:uid="{D44F5878-1994-495F-A130-A764F43D09C1}"/>
    <hyperlink ref="V395" r:id="rId1717" xr:uid="{D94C48B7-7E6B-45B9-A695-C36AC141027D}"/>
    <hyperlink ref="V396" r:id="rId1718" xr:uid="{D6A4093D-A0EC-4932-8141-9672EA9CDABB}"/>
    <hyperlink ref="V397" r:id="rId1719" xr:uid="{2975ECC4-E727-4D16-B33D-3980445F9277}"/>
    <hyperlink ref="V398" r:id="rId1720" xr:uid="{6E3660F8-2848-4AEF-87E9-58C646C16540}"/>
    <hyperlink ref="V399" r:id="rId1721" xr:uid="{4016F183-0C8F-41A8-A0BE-BF490CD7A7B0}"/>
    <hyperlink ref="V400" r:id="rId1722" xr:uid="{AC52AD63-C010-47D2-84CD-84572EA99B60}"/>
    <hyperlink ref="V401" r:id="rId1723" xr:uid="{BA7A0791-1698-40B8-9E5D-ECD7F8203935}"/>
    <hyperlink ref="V402" r:id="rId1724" xr:uid="{8B085AE7-0DB2-4323-A9ED-56A0600C06F3}"/>
    <hyperlink ref="V405" r:id="rId1725" xr:uid="{3F8DBB9D-56DD-41ED-8E29-002651A01945}"/>
    <hyperlink ref="V406" r:id="rId1726" xr:uid="{157BDD28-F9C0-408A-AD57-AA5A1923F8AC}"/>
    <hyperlink ref="V407" r:id="rId1727" xr:uid="{E076845A-18DF-4E22-8BE1-CBDEBF879D4A}"/>
    <hyperlink ref="V408" r:id="rId1728" xr:uid="{7A3FAE28-BB1F-4363-9E62-F275F8A9493F}"/>
    <hyperlink ref="V409" r:id="rId1729" xr:uid="{F4FB133D-36C5-4D1C-9EDF-765C64284FA3}"/>
    <hyperlink ref="V410" r:id="rId1730" xr:uid="{E74FA082-FE6C-4480-A6BF-175566A7F369}"/>
    <hyperlink ref="V411" r:id="rId1731" xr:uid="{9230F58C-6336-465A-975F-C5907EA24CA0}"/>
    <hyperlink ref="V412" r:id="rId1732" xr:uid="{9AF974F4-E084-4BAB-87EF-34E2212CE907}"/>
    <hyperlink ref="V413" r:id="rId1733" xr:uid="{879AE9AA-89DD-4BCF-A3ED-D20BADFD6954}"/>
    <hyperlink ref="V414" r:id="rId1734" xr:uid="{8AEEAFB1-56F7-46FF-9ABE-B28B0AB44D0F}"/>
    <hyperlink ref="V415" r:id="rId1735" xr:uid="{8FEF6706-277E-4408-8351-2984C51219F3}"/>
    <hyperlink ref="V416" r:id="rId1736" xr:uid="{E2D561C7-3C07-4F50-9BBA-C75D15B5DF86}"/>
    <hyperlink ref="V417" r:id="rId1737" xr:uid="{3ECE76D6-5A08-4C60-8DE0-548807647B09}"/>
    <hyperlink ref="V418" r:id="rId1738" xr:uid="{504AD125-6796-4413-9D5F-3BFA51F93B35}"/>
    <hyperlink ref="V419" r:id="rId1739" xr:uid="{44AE155E-155A-40E5-908C-83363C6E2442}"/>
    <hyperlink ref="V420" r:id="rId1740" xr:uid="{3B03A9A1-89EB-460E-8F69-A541C9910040}"/>
    <hyperlink ref="V421" r:id="rId1741" xr:uid="{22E7C58D-F373-4541-A52C-5AFFB694F0CC}"/>
    <hyperlink ref="V422" r:id="rId1742" xr:uid="{D732F576-88ED-4D67-A4C3-0D0813EF0D30}"/>
    <hyperlink ref="V423" r:id="rId1743" xr:uid="{5A18794B-6522-4E1E-A6E1-0C0FDA35BDAB}"/>
    <hyperlink ref="V424" r:id="rId1744" xr:uid="{667E6A7D-5E88-4303-A988-0B2D942D5771}"/>
    <hyperlink ref="V425" r:id="rId1745" xr:uid="{726B5732-C351-41F7-9279-4A4167D2CE11}"/>
    <hyperlink ref="V426" r:id="rId1746" xr:uid="{9B273073-2063-48F1-9E9C-C6A4F8476065}"/>
    <hyperlink ref="V427" r:id="rId1747" xr:uid="{53638965-3541-4931-8DFB-B85D084A74A0}"/>
    <hyperlink ref="V428" r:id="rId1748" xr:uid="{19745304-10DC-4DF1-AC6E-F9684B37AEA2}"/>
    <hyperlink ref="V429" r:id="rId1749" xr:uid="{74095F83-1EC6-4E37-B04F-168AAC821F79}"/>
    <hyperlink ref="V430" r:id="rId1750" xr:uid="{4303BA51-4D3D-4BAF-B077-60149DBDBD2F}"/>
    <hyperlink ref="V431" r:id="rId1751" xr:uid="{3D4D3C34-3E61-46DF-BA22-9C0C459C7888}"/>
    <hyperlink ref="V449" r:id="rId1752" xr:uid="{4F17FACA-853D-4DEC-B98D-5FF4A2921C87}"/>
    <hyperlink ref="V450" r:id="rId1753" xr:uid="{383FB586-2709-42A7-8ED4-58694817F4B9}"/>
    <hyperlink ref="V452" r:id="rId1754" xr:uid="{1A2CD9DA-08AF-4270-B47C-6154540DC933}"/>
    <hyperlink ref="V454" r:id="rId1755" xr:uid="{21CA4FC5-8B8F-4CA8-9280-7AB3EF91157C}"/>
    <hyperlink ref="V455" r:id="rId1756" xr:uid="{D2D253E0-2C58-4222-ABA1-FB2B63DCAB56}"/>
    <hyperlink ref="V456" r:id="rId1757" xr:uid="{188484F3-DBC5-4FC9-B5AB-0D1A03EADFDC}"/>
    <hyperlink ref="V457" r:id="rId1758" xr:uid="{640DFDC2-48EC-4D51-8B23-F188C4FA222A}"/>
    <hyperlink ref="V458" r:id="rId1759" xr:uid="{52329CBA-BD02-41C5-BD93-6D7EC19104CA}"/>
    <hyperlink ref="V464" r:id="rId1760" xr:uid="{448A03CD-7E75-4E6E-90EE-95BA7832DD0B}"/>
    <hyperlink ref="V465" r:id="rId1761" xr:uid="{41A17040-8354-4C36-8162-C393DB672DEC}"/>
    <hyperlink ref="V466" r:id="rId1762" xr:uid="{C15041AB-3B1E-4FD3-A59D-A386AB3EDEE2}"/>
    <hyperlink ref="V467" r:id="rId1763" xr:uid="{A42A0046-C4CC-4BBC-8454-335F85AC64FF}"/>
    <hyperlink ref="V468" r:id="rId1764" xr:uid="{C7D92022-D6E8-4CA4-874E-FC5FC9E079A2}"/>
    <hyperlink ref="V469" r:id="rId1765" xr:uid="{26DF5CDF-5CFC-4615-80F1-8F77571ED260}"/>
    <hyperlink ref="V470" r:id="rId1766" xr:uid="{64B17C5F-2BCD-4982-A63C-C27075CF511F}"/>
    <hyperlink ref="V471" r:id="rId1767" xr:uid="{7C5629AF-B860-4763-B404-43ADD8988F60}"/>
    <hyperlink ref="V472" r:id="rId1768" xr:uid="{31A8A9E4-53D4-4F7F-8E61-F0336FF4DC37}"/>
    <hyperlink ref="V372" r:id="rId1769" xr:uid="{A059FDC5-745E-42A8-9C23-EA6747AEAFF7}"/>
    <hyperlink ref="V373" r:id="rId1770" xr:uid="{20D50CCF-A215-4C33-A890-25C3264B0FB2}"/>
    <hyperlink ref="V370" r:id="rId1771" xr:uid="{8FCE777D-6467-4EA3-ACFE-626F739D4DBE}"/>
    <hyperlink ref="V377" r:id="rId1772" xr:uid="{2F8DA9AB-2FF8-4768-9609-71FCC8B72412}"/>
    <hyperlink ref="V371" r:id="rId1773" xr:uid="{4C96D2C7-15A2-40EE-A95A-A0E592339D7A}"/>
    <hyperlink ref="V374" r:id="rId1774" xr:uid="{D16444CB-F5CC-4BC8-B49D-9BF5460E6840}"/>
    <hyperlink ref="V378" r:id="rId1775" xr:uid="{93779DCC-6829-4593-B274-6382A2997904}"/>
    <hyperlink ref="V375" r:id="rId1776" xr:uid="{0F7E66B1-F639-4FB3-BCD2-824609ECA466}"/>
    <hyperlink ref="V379" r:id="rId1777" xr:uid="{9AB224B6-CD34-450C-8D6E-DF0955884D81}"/>
    <hyperlink ref="V376" r:id="rId1778" xr:uid="{D21F805E-2EF0-407A-A6DB-4D2F8D819C64}"/>
    <hyperlink ref="V380" r:id="rId1779" xr:uid="{805D78A8-991A-4CDB-B54D-19A472448B4C}"/>
    <hyperlink ref="V381" r:id="rId1780" xr:uid="{3CFA0B64-C3FA-4F4A-8479-A15991C1697D}"/>
    <hyperlink ref="V382" r:id="rId1781" xr:uid="{0CFE2D7C-9620-4AC3-A392-22CD3463CF75}"/>
    <hyperlink ref="V383" r:id="rId1782" xr:uid="{9DBC5305-2739-46C6-8879-F4A077BFDB61}"/>
    <hyperlink ref="V384" r:id="rId1783" xr:uid="{53B846D1-378A-427B-85ED-5495D8B9DA0B}"/>
    <hyperlink ref="V385" r:id="rId1784" xr:uid="{96DBCD0F-E395-4A39-9889-BAB2359B7AB6}"/>
    <hyperlink ref="V386" r:id="rId1785" xr:uid="{DCE6C4CE-EDA2-42D5-8E3B-41670A7F1C27}"/>
    <hyperlink ref="V387" r:id="rId1786" xr:uid="{28D8BAAE-0DC7-41D5-9AE6-2B2C68486155}"/>
    <hyperlink ref="V388" r:id="rId1787" xr:uid="{5AB398A4-36DB-4370-A0F6-BD2703F31537}"/>
    <hyperlink ref="V389" r:id="rId1788" xr:uid="{27CCA9B1-5D3A-457A-8BEC-20C4F61AD224}"/>
    <hyperlink ref="V390" r:id="rId1789" xr:uid="{97A583D1-6C30-49EA-B720-5B2FBA9EFDF3}"/>
    <hyperlink ref="V404" r:id="rId1790" xr:uid="{30D27622-E81D-4800-8664-3F7B445D4788}"/>
    <hyperlink ref="V451" r:id="rId1791" xr:uid="{9C29F8F0-F4CB-4CFD-9505-CF5D4A358DDD}"/>
    <hyperlink ref="V453" r:id="rId1792" xr:uid="{DFD39F0E-565C-4D94-84D0-E47B11504BB1}"/>
    <hyperlink ref="V463" r:id="rId1793" xr:uid="{66565070-4C09-44EB-83A3-408B66E12738}"/>
    <hyperlink ref="V476" r:id="rId1794" xr:uid="{6AA3253E-A4A7-4179-BEDC-E6279B7D9DCD}"/>
    <hyperlink ref="V479" r:id="rId1795" xr:uid="{087DBD60-FC9E-4297-9D11-3B99C9434F35}"/>
    <hyperlink ref="V481" r:id="rId1796" xr:uid="{7A087C6E-6968-4480-A7C0-DD9DB07D916E}"/>
    <hyperlink ref="V473" r:id="rId1797" xr:uid="{0EF4BEF0-09F8-4DAE-88B0-D0FD1C49D802}"/>
    <hyperlink ref="V474" r:id="rId1798" xr:uid="{2B6B4B0D-47B3-4722-893B-553B92419054}"/>
    <hyperlink ref="V475" r:id="rId1799" xr:uid="{A8A04F29-8039-4F7A-8F95-039570724418}"/>
    <hyperlink ref="V477" r:id="rId1800" xr:uid="{FFD1ACE9-D2BF-4B17-83E6-8EB085EAEC89}"/>
    <hyperlink ref="V478" r:id="rId1801" xr:uid="{BD360FB6-1304-457A-9B1A-CC1763E85625}"/>
    <hyperlink ref="V480" r:id="rId1802" xr:uid="{9679081D-FF88-4EFC-8F34-03E5B3DFE198}"/>
    <hyperlink ref="V305" r:id="rId1803" xr:uid="{77CAB594-1EA6-44F9-B54B-51B184BD7A6B}"/>
    <hyperlink ref="V301" r:id="rId1804" xr:uid="{876E04EF-B964-48CB-8E9A-4B132892326F}"/>
    <hyperlink ref="V302" r:id="rId1805" xr:uid="{353BA741-012A-46C4-80A6-A9729BDDEA05}"/>
    <hyperlink ref="V432" r:id="rId1806" xr:uid="{BAEAE3AC-CCA6-456C-B749-B43A41952C51}"/>
    <hyperlink ref="V460" r:id="rId1807" xr:uid="{6BE90E1A-3876-4013-93FA-E53D4CE9BFD6}"/>
    <hyperlink ref="V304" r:id="rId1808" xr:uid="{7BC097EB-A779-4766-8DD1-036D9984DA34}"/>
    <hyperlink ref="V461" r:id="rId1809" xr:uid="{96A12B66-7DA8-49EE-9652-08993F6EB35A}"/>
    <hyperlink ref="V1939" r:id="rId1810" xr:uid="{3848D6A9-C26B-4FF6-825D-424B6E0007EE}"/>
    <hyperlink ref="V1707" r:id="rId1811" xr:uid="{BD05F581-1AC0-4C3F-A0AF-BF18D2B794E1}"/>
    <hyperlink ref="V1972" r:id="rId1812" xr:uid="{F41A33DE-B031-4421-B6C0-2843527C2A3D}"/>
    <hyperlink ref="V1221" r:id="rId1813" xr:uid="{69128274-CA8F-4BBC-8C0F-89213FC60CA9}"/>
    <hyperlink ref="V1220" r:id="rId1814" xr:uid="{EA5600B6-C0B6-47BF-ADD1-7C1190846E05}"/>
    <hyperlink ref="V1222" r:id="rId1815" xr:uid="{AE6BA7A3-17E7-4F51-A30F-10883EF67A1D}"/>
    <hyperlink ref="V1224" r:id="rId1816" xr:uid="{61C35895-F37E-4620-B346-70D807171E98}"/>
    <hyperlink ref="V1225" r:id="rId1817" xr:uid="{A9096043-28CA-477B-8239-499D3B6586B9}"/>
    <hyperlink ref="V1226" r:id="rId1818" xr:uid="{1123768A-FEA9-4F6F-87E5-2A0202688620}"/>
    <hyperlink ref="V1544" r:id="rId1819" xr:uid="{98AA5FC3-0649-4F20-BD45-FA807CD994A8}"/>
  </hyperlinks>
  <pageMargins left="0.7" right="0.7" top="0.75" bottom="0.75" header="0.3" footer="0.3"/>
  <pageSetup paperSize="9" orientation="portrait" r:id="rId1820"/>
  <tableParts count="1">
    <tablePart r:id="rId18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C54-F950-44BC-96AA-BA32BD01CD3A}">
  <sheetPr codeName="Hoja10"/>
  <dimension ref="A1:AB265"/>
  <sheetViews>
    <sheetView topLeftCell="J1" workbookViewId="0">
      <selection activeCell="N4" sqref="N4"/>
    </sheetView>
    <sheetView workbookViewId="1"/>
  </sheetViews>
  <sheetFormatPr baseColWidth="10" defaultRowHeight="14.4" x14ac:dyDescent="0.3"/>
  <cols>
    <col min="1" max="1" width="14.6640625" style="1" bestFit="1" customWidth="1"/>
    <col min="2" max="2" width="5" style="1" bestFit="1" customWidth="1"/>
    <col min="3" max="3" width="7.44140625" style="1" bestFit="1" customWidth="1"/>
    <col min="4" max="9" width="11.5546875" style="1"/>
    <col min="10" max="11" width="26.88671875" style="1" customWidth="1"/>
    <col min="12" max="12" width="11.5546875" style="1"/>
    <col min="13" max="13" width="11.5546875" style="16"/>
    <col min="14" max="14" width="11.5546875" style="22"/>
    <col min="15" max="15" width="11.5546875" style="18"/>
  </cols>
  <sheetData>
    <row r="1" spans="1:28" x14ac:dyDescent="0.3">
      <c r="A1" s="1" t="s">
        <v>204</v>
      </c>
      <c r="B1" s="1">
        <f>COUNTA(CantoralDB[Título])</f>
        <v>2551</v>
      </c>
      <c r="G1" s="14" t="s">
        <v>638</v>
      </c>
      <c r="Y1" t="s">
        <v>2898</v>
      </c>
    </row>
    <row r="2" spans="1:28" x14ac:dyDescent="0.3">
      <c r="A2" s="1" t="s">
        <v>205</v>
      </c>
      <c r="B2" s="1">
        <f>SUM(B5:B25)</f>
        <v>482</v>
      </c>
      <c r="G2" s="14" t="s">
        <v>639</v>
      </c>
      <c r="L2" s="1">
        <f>secciones!C1</f>
        <v>6</v>
      </c>
      <c r="Y2" t="s">
        <v>2295</v>
      </c>
      <c r="Z2" t="s">
        <v>2219</v>
      </c>
      <c r="AA2" t="s">
        <v>53</v>
      </c>
      <c r="AB2">
        <v>7</v>
      </c>
    </row>
    <row r="3" spans="1:28" x14ac:dyDescent="0.3">
      <c r="D3" s="1" t="s">
        <v>473</v>
      </c>
      <c r="J3" s="3" t="s">
        <v>477</v>
      </c>
      <c r="K3" s="3" t="s">
        <v>2934</v>
      </c>
      <c r="L3" s="3" t="s">
        <v>2860</v>
      </c>
      <c r="M3" s="23" t="s">
        <v>605</v>
      </c>
      <c r="N3" s="24" t="s">
        <v>2861</v>
      </c>
      <c r="U3" s="3" t="s">
        <v>2860</v>
      </c>
      <c r="V3" s="23" t="s">
        <v>605</v>
      </c>
      <c r="W3" s="24" t="s">
        <v>2861</v>
      </c>
      <c r="Y3" t="s">
        <v>2253</v>
      </c>
      <c r="Z3" t="s">
        <v>2219</v>
      </c>
      <c r="AA3" t="s">
        <v>2251</v>
      </c>
      <c r="AB3">
        <v>2</v>
      </c>
    </row>
    <row r="4" spans="1:28" x14ac:dyDescent="0.3">
      <c r="A4" s="1" t="s">
        <v>206</v>
      </c>
      <c r="B4" s="1">
        <f>B1-B2</f>
        <v>2069</v>
      </c>
      <c r="C4" s="2">
        <f t="shared" ref="C4:C20" si="0">B4/$B$1</f>
        <v>0.81105448843590744</v>
      </c>
      <c r="D4" s="1" t="str">
        <f t="shared" ref="D4:D20" si="1">_xlfn.XLOOKUP(A4,$F$5:$F$21,$G$5:$G$21,"-")</f>
        <v>-</v>
      </c>
      <c r="G4" s="1" t="s">
        <v>474</v>
      </c>
      <c r="J4" s="1" t="s">
        <v>792</v>
      </c>
      <c r="K4" s="1" t="s">
        <v>792</v>
      </c>
      <c r="L4" s="1">
        <f>COUNTIF(CantoralDB[Autor],J4)</f>
        <v>179</v>
      </c>
      <c r="M4" s="16">
        <f>COUNTIFS(CantoralDB[Autor],J4,CantoralDB[html],"OK")</f>
        <v>44</v>
      </c>
      <c r="N4" s="22">
        <f>M4/L4</f>
        <v>0.24581005586592178</v>
      </c>
      <c r="O4" s="19">
        <f>O7/O6</f>
        <v>0.61560226354082459</v>
      </c>
      <c r="P4" s="21" t="s">
        <v>2859</v>
      </c>
      <c r="T4" t="s">
        <v>2900</v>
      </c>
      <c r="U4">
        <f>COUNTA(CantoralDB[Número antiguo])</f>
        <v>382</v>
      </c>
      <c r="V4">
        <f>COUNTIFS(CantoralDB[Número antiguo],"&lt;&gt;",CantoralDB[html],"OK")</f>
        <v>367</v>
      </c>
      <c r="W4" s="25">
        <f>V4/U4</f>
        <v>0.96073298429319376</v>
      </c>
      <c r="Y4" t="s">
        <v>2272</v>
      </c>
      <c r="Z4" t="s">
        <v>2219</v>
      </c>
      <c r="AA4" t="s">
        <v>2249</v>
      </c>
      <c r="AB4">
        <v>13</v>
      </c>
    </row>
    <row r="5" spans="1:28" x14ac:dyDescent="0.3">
      <c r="A5" s="1" t="str" cm="1">
        <f t="array" ref="A5:A23">_xlfn._xlws.SORT(_xlfn.UNIQUE(CantoralDB[Momento]))</f>
        <v>Aleluya</v>
      </c>
      <c r="B5" s="1">
        <f>COUNTIF(CantoralDB[Momento],A5)</f>
        <v>11</v>
      </c>
      <c r="C5" s="2">
        <f t="shared" si="0"/>
        <v>4.3120344962759702E-3</v>
      </c>
      <c r="D5" s="1" t="str">
        <f t="shared" si="1"/>
        <v>E</v>
      </c>
      <c r="F5" s="1" t="s">
        <v>190</v>
      </c>
      <c r="G5" s="1" t="str" cm="1">
        <f t="array" ref="G5:G21">CHAR(_xlfn.SEQUENCE(COUNTA($F$5:$F$22),1,65,1))</f>
        <v>A</v>
      </c>
      <c r="J5" s="1" t="str" cm="1">
        <f t="array" ref="J5:J265">_xlfn.DROP(_xlfn._xlws.SORT(_xlfn.UNIQUE(CantoralDB[Autor])),1)</f>
        <v>A. B. Celada Alonso</v>
      </c>
      <c r="K5" s="1" t="str" cm="1">
        <f t="array" ref="K5:K265">LOWER(SUBSTITUTE(SUBSTITUTE(SUBSTITUTE(SUBSTITUTE(SUBSTITUTE(SUBSTITUTE(SUBSTITUTE(SUBSTITUTE(SUBSTITUTE(SUBSTITUTE(SUBSTITUTE(SUBSTITUTE(_xlfn.ANCHORARRAY(J5),".",""),"á","a"),"é","e"),"í","i"),"ó","o"),"ú","u")," ","_"),"¿",""),"?",""),"¡",""),"!",""),",",""))</f>
        <v>a_b_celada_alonso</v>
      </c>
      <c r="L5" s="1" cm="1">
        <f t="array" ref="L5:L265">COUNTIF(CantoralDB[Autor],_xlfn.ANCHORARRAY(J5))</f>
        <v>1</v>
      </c>
      <c r="M5" s="16" cm="1">
        <f t="array" ref="M5:M265">COUNTIFS(CantoralDB[Autor],_xlfn.ANCHORARRAY(J5),CantoralDB[html],"OK")</f>
        <v>1</v>
      </c>
      <c r="N5" s="22" cm="1">
        <f t="array" ref="N5:N265">_xlfn.ANCHORARRAY(M5)/_xlfn.ANCHORARRAY(L5)</f>
        <v>1</v>
      </c>
      <c r="T5" t="s">
        <v>2901</v>
      </c>
      <c r="U5">
        <f>COUNTA(CantoralDB[Número])</f>
        <v>480</v>
      </c>
      <c r="V5">
        <f>COUNTIFS(CantoralDB[Número],"&lt;&gt;",CantoralDB[html],"OK")</f>
        <v>480</v>
      </c>
      <c r="W5" s="25">
        <f t="shared" ref="W5" si="2">V5/U5</f>
        <v>1</v>
      </c>
      <c r="Y5" t="s">
        <v>2235</v>
      </c>
      <c r="Z5" t="s">
        <v>2219</v>
      </c>
      <c r="AA5" t="s">
        <v>2234</v>
      </c>
      <c r="AB5">
        <v>2</v>
      </c>
    </row>
    <row r="6" spans="1:28" x14ac:dyDescent="0.3">
      <c r="A6" s="1" t="str">
        <v>Antífonas</v>
      </c>
      <c r="B6" s="1">
        <f>COUNTIF(CantoralDB[Momento],A6)</f>
        <v>44</v>
      </c>
      <c r="C6" s="2">
        <f t="shared" si="0"/>
        <v>1.7248137985103881E-2</v>
      </c>
      <c r="D6" s="1" t="str">
        <f t="shared" si="1"/>
        <v>D</v>
      </c>
      <c r="F6" s="1" t="s">
        <v>191</v>
      </c>
      <c r="G6" s="1" t="str">
        <v>B</v>
      </c>
      <c r="J6" s="1" t="str">
        <v>Ain Karem</v>
      </c>
      <c r="K6" s="1" t="str">
        <v>ain_karem</v>
      </c>
      <c r="L6" s="1">
        <v>137</v>
      </c>
      <c r="M6" s="16">
        <v>129</v>
      </c>
      <c r="N6" s="22">
        <v>0.94160583941605835</v>
      </c>
      <c r="O6" s="20" cm="1">
        <f t="array" ref="O6">L4+SUM(_xlfn.ANCHORARRAY(L5))-_xlfn.XLOOKUP("Taizé en Español",_xlfn.ANCHORARRAY(J5),_xlfn.ANCHORARRAY(L5))</f>
        <v>2474</v>
      </c>
      <c r="P6" t="s">
        <v>2860</v>
      </c>
      <c r="Q6" cm="1">
        <f t="array" ref="Q6">_xlfn.XLOOKUP("Taizé en Español",_xlfn.ANCHORARRAY(J5),_xlfn.ANCHORARRAY(L5))</f>
        <v>78</v>
      </c>
      <c r="R6" t="s">
        <v>2884</v>
      </c>
      <c r="T6" t="s">
        <v>2166</v>
      </c>
      <c r="U6">
        <f>COUNTA(CantoralDB[Número RCC])</f>
        <v>451</v>
      </c>
      <c r="V6">
        <f>COUNTIFS(CantoralDB[Número RCC],"&lt;&gt;",CantoralDB[html],"OK")</f>
        <v>114</v>
      </c>
      <c r="W6" s="25">
        <f>V6/U6</f>
        <v>0.25277161862527714</v>
      </c>
      <c r="Y6" t="s">
        <v>2231</v>
      </c>
      <c r="Z6" t="s">
        <v>2219</v>
      </c>
      <c r="AA6" t="s">
        <v>2220</v>
      </c>
      <c r="AB6">
        <v>12</v>
      </c>
    </row>
    <row r="7" spans="1:28" x14ac:dyDescent="0.3">
      <c r="A7" s="1" t="str">
        <v>Comunión</v>
      </c>
      <c r="B7" s="1">
        <f>COUNTIF(CantoralDB[Momento],A7)</f>
        <v>83</v>
      </c>
      <c r="C7" s="2">
        <f t="shared" si="0"/>
        <v>3.2536260290082324E-2</v>
      </c>
      <c r="D7" s="1" t="str">
        <f t="shared" si="1"/>
        <v>K</v>
      </c>
      <c r="F7" s="1" t="s">
        <v>192</v>
      </c>
      <c r="G7" s="1" t="str">
        <v>C</v>
      </c>
      <c r="J7" s="1" t="str">
        <v>Akepsimas</v>
      </c>
      <c r="K7" s="1" t="str">
        <v>akepsimas</v>
      </c>
      <c r="L7" s="1">
        <v>2</v>
      </c>
      <c r="M7" s="16">
        <v>2</v>
      </c>
      <c r="N7" s="22">
        <v>1</v>
      </c>
      <c r="O7" s="18" cm="1">
        <f t="array" ref="O7">M4+SUM(_xlfn.ANCHORARRAY(M5))-_xlfn.XLOOKUP("Taizé en Español",_xlfn.ANCHORARRAY(J5),_xlfn.ANCHORARRAY(M5))</f>
        <v>1523</v>
      </c>
      <c r="P7" t="s">
        <v>2863</v>
      </c>
      <c r="Q7">
        <f>O6+Q6</f>
        <v>2552</v>
      </c>
      <c r="R7" t="s">
        <v>2885</v>
      </c>
      <c r="T7" t="s">
        <v>4415</v>
      </c>
      <c r="U7">
        <f>COUNTIFS(CantoralDB[html],"OK",CantoralDB[link],"&lt;&gt;")</f>
        <v>1468</v>
      </c>
      <c r="W7" s="25">
        <f>U7/Q8</f>
        <v>0.91692692067457837</v>
      </c>
      <c r="Y7" t="s">
        <v>2300</v>
      </c>
      <c r="Z7" t="s">
        <v>2219</v>
      </c>
      <c r="AA7" t="s">
        <v>2300</v>
      </c>
      <c r="AB7">
        <v>1</v>
      </c>
    </row>
    <row r="8" spans="1:28" x14ac:dyDescent="0.3">
      <c r="A8" s="1" t="str">
        <v>Cordero de Dios</v>
      </c>
      <c r="B8" s="1">
        <f>COUNTIF(CantoralDB[Momento],A8)</f>
        <v>6</v>
      </c>
      <c r="C8" s="2">
        <f t="shared" si="0"/>
        <v>2.3520188161505291E-3</v>
      </c>
      <c r="D8" s="1" t="str">
        <f t="shared" si="1"/>
        <v>J</v>
      </c>
      <c r="F8" s="1" t="s">
        <v>200</v>
      </c>
      <c r="G8" s="1" t="str">
        <v>D</v>
      </c>
      <c r="J8" s="1" t="str">
        <v>Albert Coppo</v>
      </c>
      <c r="K8" s="1" t="str">
        <v>albert_coppo</v>
      </c>
      <c r="L8" s="1">
        <v>1</v>
      </c>
      <c r="M8" s="16">
        <v>1</v>
      </c>
      <c r="N8" s="22">
        <v>1</v>
      </c>
      <c r="Q8">
        <f>O7+Q6</f>
        <v>1601</v>
      </c>
      <c r="R8" t="s">
        <v>2937</v>
      </c>
      <c r="T8" t="s">
        <v>4416</v>
      </c>
      <c r="U8">
        <f>Q8-U7</f>
        <v>133</v>
      </c>
      <c r="Y8" t="s">
        <v>1870</v>
      </c>
      <c r="Z8" t="s">
        <v>2219</v>
      </c>
      <c r="AA8" t="s">
        <v>2300</v>
      </c>
      <c r="AB8">
        <v>10</v>
      </c>
    </row>
    <row r="9" spans="1:28" x14ac:dyDescent="0.3">
      <c r="A9" s="1" t="str">
        <v>Despedida</v>
      </c>
      <c r="B9" s="1">
        <f>COUNTIF(CantoralDB[Momento],A9)</f>
        <v>9</v>
      </c>
      <c r="C9" s="2">
        <f t="shared" si="0"/>
        <v>3.5280282242257936E-3</v>
      </c>
      <c r="D9" s="1" t="str">
        <f t="shared" si="1"/>
        <v>L</v>
      </c>
      <c r="F9" s="1" t="s">
        <v>193</v>
      </c>
      <c r="G9" s="1" t="str">
        <v>E</v>
      </c>
      <c r="J9" s="1" t="str">
        <v>Alberto Taulé</v>
      </c>
      <c r="K9" s="1" t="str">
        <v>alberto_taule</v>
      </c>
      <c r="L9" s="1">
        <v>4</v>
      </c>
      <c r="M9" s="16">
        <v>4</v>
      </c>
      <c r="N9" s="22">
        <v>1</v>
      </c>
      <c r="Y9" t="s">
        <v>2350</v>
      </c>
      <c r="Z9" t="s">
        <v>2219</v>
      </c>
      <c r="AA9" t="s">
        <v>2344</v>
      </c>
      <c r="AB9">
        <v>16</v>
      </c>
    </row>
    <row r="10" spans="1:28" x14ac:dyDescent="0.3">
      <c r="A10" s="1" t="str">
        <v>Entrada</v>
      </c>
      <c r="B10" s="1">
        <f>COUNTIF(CantoralDB[Momento],A10)</f>
        <v>44</v>
      </c>
      <c r="C10" s="2">
        <f t="shared" si="0"/>
        <v>1.7248137985103881E-2</v>
      </c>
      <c r="D10" s="1" t="str">
        <f t="shared" si="1"/>
        <v>A</v>
      </c>
      <c r="F10" s="1" t="s">
        <v>194</v>
      </c>
      <c r="G10" s="1" t="str">
        <v>F</v>
      </c>
      <c r="J10" s="1" t="str">
        <v>Alberto y Emilia</v>
      </c>
      <c r="K10" s="1" t="str">
        <v>alberto_y_emilia</v>
      </c>
      <c r="L10" s="1">
        <v>2</v>
      </c>
      <c r="M10" s="16">
        <v>2</v>
      </c>
      <c r="N10" s="22">
        <v>1</v>
      </c>
      <c r="Y10" t="s">
        <v>2260</v>
      </c>
      <c r="Z10" t="s">
        <v>2219</v>
      </c>
      <c r="AA10" t="s">
        <v>2251</v>
      </c>
      <c r="AB10">
        <v>9</v>
      </c>
    </row>
    <row r="11" spans="1:28" x14ac:dyDescent="0.3">
      <c r="A11" s="1" t="str">
        <v>Especiales</v>
      </c>
      <c r="B11" s="1">
        <f>COUNTIF(CantoralDB[Momento],A11)</f>
        <v>6</v>
      </c>
      <c r="C11" s="2">
        <f t="shared" si="0"/>
        <v>2.3520188161505291E-3</v>
      </c>
      <c r="D11" s="1" t="str">
        <f t="shared" si="1"/>
        <v>P</v>
      </c>
      <c r="F11" s="1" t="s">
        <v>195</v>
      </c>
      <c r="G11" s="1" t="str">
        <v>G</v>
      </c>
      <c r="J11" s="1" t="str">
        <v>Alborada</v>
      </c>
      <c r="K11" s="1" t="str">
        <v>alborada</v>
      </c>
      <c r="L11" s="1">
        <v>2</v>
      </c>
      <c r="M11" s="16">
        <v>2</v>
      </c>
      <c r="N11" s="22">
        <v>1</v>
      </c>
      <c r="Y11" t="s">
        <v>1933</v>
      </c>
      <c r="Z11" t="s">
        <v>2219</v>
      </c>
      <c r="AA11" t="s">
        <v>2249</v>
      </c>
      <c r="AB11">
        <v>12</v>
      </c>
    </row>
    <row r="12" spans="1:28" x14ac:dyDescent="0.3">
      <c r="A12" s="1" t="str">
        <v>Espíritu</v>
      </c>
      <c r="B12" s="1">
        <f>COUNTIF(CantoralDB[Momento],A12)</f>
        <v>5</v>
      </c>
      <c r="C12" s="2">
        <f t="shared" si="0"/>
        <v>1.9600156801254411E-3</v>
      </c>
      <c r="D12" s="1" t="str">
        <f t="shared" si="1"/>
        <v>N</v>
      </c>
      <c r="F12" s="1" t="s">
        <v>196</v>
      </c>
      <c r="G12" s="1" t="str">
        <v>H</v>
      </c>
      <c r="J12" s="1" t="str">
        <v>Alejandro Labajos</v>
      </c>
      <c r="K12" s="1" t="str">
        <v>alejandro_labajos</v>
      </c>
      <c r="L12" s="1">
        <v>1</v>
      </c>
      <c r="M12" s="16">
        <v>1</v>
      </c>
      <c r="N12" s="22">
        <v>1</v>
      </c>
      <c r="Y12" t="s">
        <v>312</v>
      </c>
      <c r="Z12" t="s">
        <v>2219</v>
      </c>
      <c r="AA12" t="s">
        <v>884</v>
      </c>
      <c r="AB12">
        <v>5</v>
      </c>
    </row>
    <row r="13" spans="1:28" x14ac:dyDescent="0.3">
      <c r="A13" s="1" t="str">
        <v>Gloria</v>
      </c>
      <c r="B13" s="1">
        <f>COUNTIF(CantoralDB[Momento],A13)</f>
        <v>8</v>
      </c>
      <c r="C13" s="2">
        <f t="shared" si="0"/>
        <v>3.1360250882007056E-3</v>
      </c>
      <c r="D13" s="1" t="str">
        <f t="shared" si="1"/>
        <v>C</v>
      </c>
      <c r="F13" s="1" t="s">
        <v>197</v>
      </c>
      <c r="G13" s="1" t="str">
        <v>I</v>
      </c>
      <c r="J13" s="1" t="str">
        <v>Alejandro Mejía</v>
      </c>
      <c r="K13" s="1" t="str">
        <v>alejandro_mejia</v>
      </c>
      <c r="L13" s="1">
        <v>1</v>
      </c>
      <c r="M13" s="16">
        <v>1</v>
      </c>
      <c r="N13" s="22">
        <v>1</v>
      </c>
      <c r="Y13" t="s">
        <v>1218</v>
      </c>
      <c r="Z13" t="s">
        <v>2219</v>
      </c>
      <c r="AA13" t="s">
        <v>2249</v>
      </c>
      <c r="AB13">
        <v>6</v>
      </c>
    </row>
    <row r="14" spans="1:28" x14ac:dyDescent="0.3">
      <c r="A14" s="1" t="str">
        <v>María</v>
      </c>
      <c r="B14" s="1">
        <f>COUNTIF(CantoralDB[Momento],A14)</f>
        <v>24</v>
      </c>
      <c r="C14" s="2">
        <f t="shared" si="0"/>
        <v>9.4080752646021164E-3</v>
      </c>
      <c r="D14" s="1" t="str">
        <f t="shared" si="1"/>
        <v>M</v>
      </c>
      <c r="F14" s="1" t="s">
        <v>201</v>
      </c>
      <c r="G14" s="1" t="str">
        <v>J</v>
      </c>
      <c r="J14" s="1" t="str">
        <v>Alejandro Ruiz</v>
      </c>
      <c r="K14" s="1" t="str">
        <v>alejandro_ruiz</v>
      </c>
      <c r="L14" s="1">
        <v>15</v>
      </c>
      <c r="M14" s="16">
        <v>6</v>
      </c>
      <c r="N14" s="22">
        <v>0.4</v>
      </c>
      <c r="Y14" t="s">
        <v>2244</v>
      </c>
      <c r="Z14" t="s">
        <v>2219</v>
      </c>
      <c r="AA14" t="s">
        <v>2234</v>
      </c>
      <c r="AB14">
        <v>11</v>
      </c>
    </row>
    <row r="15" spans="1:28" x14ac:dyDescent="0.3">
      <c r="A15" s="1" t="str">
        <v>Navidad</v>
      </c>
      <c r="B15" s="1">
        <f>COUNTIF(CantoralDB[Momento],A15)</f>
        <v>20</v>
      </c>
      <c r="C15" s="2">
        <f t="shared" si="0"/>
        <v>7.8400627205017642E-3</v>
      </c>
      <c r="D15" s="1" t="str">
        <f t="shared" si="1"/>
        <v>O</v>
      </c>
      <c r="F15" s="1" t="s">
        <v>990</v>
      </c>
      <c r="G15" s="1" t="str">
        <v>K</v>
      </c>
      <c r="J15" s="1" t="str">
        <v>Alfonso Luna</v>
      </c>
      <c r="K15" s="1" t="str">
        <v>alfonso_luna</v>
      </c>
      <c r="L15" s="1">
        <v>1</v>
      </c>
      <c r="M15" s="16">
        <v>1</v>
      </c>
      <c r="N15" s="22">
        <v>1</v>
      </c>
      <c r="Y15" t="s">
        <v>2324</v>
      </c>
      <c r="Z15" t="s">
        <v>2219</v>
      </c>
      <c r="AA15" t="s">
        <v>414</v>
      </c>
      <c r="AB15">
        <v>11</v>
      </c>
    </row>
    <row r="16" spans="1:28" x14ac:dyDescent="0.3">
      <c r="A16" s="1" t="str">
        <v>Ofertorio</v>
      </c>
      <c r="B16" s="1">
        <f>COUNTIF(CantoralDB[Momento],A16)</f>
        <v>20</v>
      </c>
      <c r="C16" s="2">
        <f t="shared" si="0"/>
        <v>7.8400627205017642E-3</v>
      </c>
      <c r="D16" s="1" t="str">
        <f t="shared" si="1"/>
        <v>F</v>
      </c>
      <c r="F16" s="1" t="s">
        <v>198</v>
      </c>
      <c r="G16" s="1" t="str">
        <v>L</v>
      </c>
      <c r="J16" s="1" t="str">
        <v>Alfredo García</v>
      </c>
      <c r="K16" s="1" t="str">
        <v>alfredo_garcia</v>
      </c>
      <c r="L16" s="1">
        <v>1</v>
      </c>
      <c r="M16" s="16">
        <v>0</v>
      </c>
      <c r="N16" s="22">
        <v>0</v>
      </c>
      <c r="Y16" t="s">
        <v>2306</v>
      </c>
      <c r="Z16" t="s">
        <v>2219</v>
      </c>
      <c r="AA16" t="s">
        <v>2300</v>
      </c>
      <c r="AB16">
        <v>7</v>
      </c>
    </row>
    <row r="17" spans="1:28" x14ac:dyDescent="0.3">
      <c r="A17" s="1" t="str">
        <v>Padrenuestro</v>
      </c>
      <c r="B17" s="1">
        <f>COUNTIF(CantoralDB[Momento],A17)</f>
        <v>6</v>
      </c>
      <c r="C17" s="2">
        <f t="shared" si="0"/>
        <v>2.3520188161505291E-3</v>
      </c>
      <c r="D17" s="1" t="str">
        <f t="shared" si="1"/>
        <v>H</v>
      </c>
      <c r="F17" s="1" t="s">
        <v>199</v>
      </c>
      <c r="G17" s="1" t="str">
        <v>M</v>
      </c>
      <c r="J17" s="1" t="str">
        <v>Al-Haraca</v>
      </c>
      <c r="K17" s="1" t="str">
        <v>al-haraca</v>
      </c>
      <c r="L17" s="1">
        <v>8</v>
      </c>
      <c r="M17" s="16">
        <v>6</v>
      </c>
      <c r="N17" s="22">
        <v>0.75</v>
      </c>
      <c r="Y17" t="s">
        <v>2335</v>
      </c>
      <c r="Z17" t="s">
        <v>2219</v>
      </c>
      <c r="AA17" t="s">
        <v>2247</v>
      </c>
      <c r="AB17">
        <v>1</v>
      </c>
    </row>
    <row r="18" spans="1:28" x14ac:dyDescent="0.3">
      <c r="A18" s="1" t="str">
        <v>Paz</v>
      </c>
      <c r="B18" s="1">
        <f>COUNTIF(CantoralDB[Momento],A18)</f>
        <v>10</v>
      </c>
      <c r="C18" s="2">
        <f t="shared" si="0"/>
        <v>3.9200313602508821E-3</v>
      </c>
      <c r="D18" s="1" t="str">
        <f t="shared" si="1"/>
        <v>I</v>
      </c>
      <c r="F18" s="1" t="s">
        <v>218</v>
      </c>
      <c r="G18" s="1" t="str">
        <v>N</v>
      </c>
      <c r="J18" s="1" t="str">
        <v>Alicia Mendoza</v>
      </c>
      <c r="K18" s="1" t="str">
        <v>alicia_mendoza</v>
      </c>
      <c r="L18" s="1">
        <v>1</v>
      </c>
      <c r="M18" s="16">
        <v>1</v>
      </c>
      <c r="N18" s="22">
        <v>1</v>
      </c>
      <c r="Y18" t="s">
        <v>2327</v>
      </c>
      <c r="Z18" t="s">
        <v>2219</v>
      </c>
      <c r="AA18" t="s">
        <v>414</v>
      </c>
      <c r="AB18">
        <v>14</v>
      </c>
    </row>
    <row r="19" spans="1:28" x14ac:dyDescent="0.3">
      <c r="A19" s="1" t="str">
        <v>Perdón - Agua</v>
      </c>
      <c r="B19" s="1">
        <f>COUNTIF(CantoralDB[Momento],A19)</f>
        <v>9</v>
      </c>
      <c r="C19" s="2">
        <f t="shared" si="0"/>
        <v>3.5280282242257936E-3</v>
      </c>
      <c r="D19" s="1" t="str">
        <f t="shared" si="1"/>
        <v>B</v>
      </c>
      <c r="F19" s="1" t="s">
        <v>475</v>
      </c>
      <c r="G19" s="1" t="str">
        <v>O</v>
      </c>
      <c r="J19" s="1" t="str">
        <v>Álvaro Fraile</v>
      </c>
      <c r="K19" s="1" t="str">
        <v>álvaro_fraile</v>
      </c>
      <c r="L19" s="1">
        <v>1</v>
      </c>
      <c r="M19" s="16">
        <v>1</v>
      </c>
      <c r="N19" s="22">
        <v>1</v>
      </c>
      <c r="Y19" t="s">
        <v>2332</v>
      </c>
      <c r="Z19" t="s">
        <v>2219</v>
      </c>
      <c r="AA19" t="s">
        <v>884</v>
      </c>
      <c r="AB19">
        <v>10</v>
      </c>
    </row>
    <row r="20" spans="1:28" x14ac:dyDescent="0.3">
      <c r="A20" s="1" t="str">
        <v>Santo</v>
      </c>
      <c r="B20" s="1">
        <f>COUNTIF(CantoralDB[Momento],A20)</f>
        <v>14</v>
      </c>
      <c r="C20" s="2">
        <f t="shared" si="0"/>
        <v>5.4880439043512351E-3</v>
      </c>
      <c r="D20" s="1" t="str">
        <f t="shared" si="1"/>
        <v>G</v>
      </c>
      <c r="F20" s="1" t="s">
        <v>210</v>
      </c>
      <c r="G20" s="1" t="str">
        <v>P</v>
      </c>
      <c r="J20" s="1" t="str">
        <v>Andree Gouzes</v>
      </c>
      <c r="K20" s="1" t="str">
        <v>andree_gouzes</v>
      </c>
      <c r="L20" s="1">
        <v>1</v>
      </c>
      <c r="M20" s="16">
        <v>0</v>
      </c>
      <c r="N20" s="22">
        <v>0</v>
      </c>
      <c r="Y20" t="s">
        <v>2313</v>
      </c>
      <c r="Z20" t="s">
        <v>2219</v>
      </c>
      <c r="AA20" t="s">
        <v>2300</v>
      </c>
      <c r="AB20">
        <v>15</v>
      </c>
    </row>
    <row r="21" spans="1:28" x14ac:dyDescent="0.3">
      <c r="A21" s="1" t="str">
        <v>TaizéESP</v>
      </c>
      <c r="B21" s="1">
        <f>COUNTIF(CantoralDB[Momento],A21)</f>
        <v>78</v>
      </c>
      <c r="C21" s="2">
        <f>B21/$B$1</f>
        <v>3.0576244609956879E-2</v>
      </c>
      <c r="D21" s="1" t="s">
        <v>1021</v>
      </c>
      <c r="F21" s="1" t="s">
        <v>267</v>
      </c>
      <c r="G21" s="1" t="str">
        <v>Q</v>
      </c>
      <c r="J21" s="1" t="str">
        <v>Andrés Barriales</v>
      </c>
      <c r="K21" s="1" t="str">
        <v>andres_barriales</v>
      </c>
      <c r="L21" s="1">
        <v>3</v>
      </c>
      <c r="M21" s="16">
        <v>3</v>
      </c>
      <c r="N21" s="22">
        <v>1</v>
      </c>
      <c r="Y21" t="s">
        <v>2348</v>
      </c>
      <c r="Z21" t="s">
        <v>2219</v>
      </c>
      <c r="AA21" t="s">
        <v>2344</v>
      </c>
      <c r="AB21">
        <v>11</v>
      </c>
    </row>
    <row r="22" spans="1:28" x14ac:dyDescent="0.3">
      <c r="A22" s="1" t="str">
        <v>TaizéORIG</v>
      </c>
      <c r="B22" s="1">
        <f>COUNTIF(CantoralDB[Momento],A22)</f>
        <v>85</v>
      </c>
      <c r="C22" s="2">
        <f>B22/$B$1</f>
        <v>3.3320266562132494E-2</v>
      </c>
      <c r="D22" s="1" t="s">
        <v>1021</v>
      </c>
      <c r="J22" s="1" t="str">
        <v>Andrés Parra</v>
      </c>
      <c r="K22" s="1" t="str">
        <v>andres_parra</v>
      </c>
      <c r="L22" s="1">
        <v>1</v>
      </c>
      <c r="M22" s="16">
        <v>0</v>
      </c>
      <c r="N22" s="22">
        <v>0</v>
      </c>
      <c r="Y22" t="s">
        <v>2241</v>
      </c>
      <c r="Z22" t="s">
        <v>2219</v>
      </c>
      <c r="AA22" t="s">
        <v>2234</v>
      </c>
      <c r="AB22">
        <v>8</v>
      </c>
    </row>
    <row r="23" spans="1:28" x14ac:dyDescent="0.3">
      <c r="A23" s="1">
        <v>0</v>
      </c>
      <c r="C23" s="2"/>
      <c r="J23" s="1" t="str">
        <v>Andrew Cauchi</v>
      </c>
      <c r="K23" s="1" t="str">
        <v>andrew_cauchi</v>
      </c>
      <c r="L23" s="1">
        <v>1</v>
      </c>
      <c r="M23" s="16">
        <v>0</v>
      </c>
      <c r="N23" s="22">
        <v>0</v>
      </c>
      <c r="Y23" t="s">
        <v>2259</v>
      </c>
      <c r="Z23" t="s">
        <v>2219</v>
      </c>
      <c r="AA23" t="s">
        <v>2251</v>
      </c>
      <c r="AB23">
        <v>8</v>
      </c>
    </row>
    <row r="24" spans="1:28" x14ac:dyDescent="0.3">
      <c r="C24" s="2"/>
      <c r="J24" s="1" t="str">
        <v>Andy Carter</v>
      </c>
      <c r="K24" s="1" t="str">
        <v>andy_carter</v>
      </c>
      <c r="L24" s="1">
        <v>1</v>
      </c>
      <c r="M24" s="16">
        <v>0</v>
      </c>
      <c r="N24" s="22">
        <v>0</v>
      </c>
      <c r="Y24" t="s">
        <v>2301</v>
      </c>
      <c r="Z24" t="s">
        <v>2219</v>
      </c>
      <c r="AA24" t="s">
        <v>2300</v>
      </c>
      <c r="AB24">
        <v>2</v>
      </c>
    </row>
    <row r="25" spans="1:28" x14ac:dyDescent="0.3">
      <c r="C25" s="2"/>
      <c r="J25" s="1" t="str">
        <v>Annemarie Bambino</v>
      </c>
      <c r="K25" s="1" t="str">
        <v>annemarie_bambino</v>
      </c>
      <c r="L25" s="1">
        <v>1</v>
      </c>
      <c r="M25" s="16">
        <v>0</v>
      </c>
      <c r="N25" s="22">
        <v>0</v>
      </c>
      <c r="Y25" t="s">
        <v>2333</v>
      </c>
      <c r="Z25" t="s">
        <v>2219</v>
      </c>
      <c r="AA25" t="s">
        <v>884</v>
      </c>
      <c r="AB25">
        <v>6</v>
      </c>
    </row>
    <row r="26" spans="1:28" x14ac:dyDescent="0.3">
      <c r="J26" s="1" t="str">
        <v>Antonio Alcalde</v>
      </c>
      <c r="K26" s="1" t="str">
        <v>antonio_alcalde</v>
      </c>
      <c r="L26" s="1">
        <v>10</v>
      </c>
      <c r="M26" s="16">
        <v>7</v>
      </c>
      <c r="N26" s="22">
        <v>0.7</v>
      </c>
      <c r="Y26" t="s">
        <v>2349</v>
      </c>
      <c r="Z26" t="s">
        <v>2219</v>
      </c>
      <c r="AA26" t="s">
        <v>2344</v>
      </c>
      <c r="AB26">
        <v>14</v>
      </c>
    </row>
    <row r="27" spans="1:28" x14ac:dyDescent="0.3">
      <c r="J27" s="1" t="str">
        <v>Athenas</v>
      </c>
      <c r="K27" s="1" t="str">
        <v>athenas</v>
      </c>
      <c r="L27" s="1">
        <v>3</v>
      </c>
      <c r="M27" s="16">
        <v>3</v>
      </c>
      <c r="N27" s="22">
        <v>1</v>
      </c>
      <c r="Y27" t="s">
        <v>2269</v>
      </c>
      <c r="Z27" t="s">
        <v>2219</v>
      </c>
      <c r="AA27" t="s">
        <v>2249</v>
      </c>
      <c r="AB27">
        <v>9</v>
      </c>
    </row>
    <row r="28" spans="1:28" x14ac:dyDescent="0.3">
      <c r="J28" s="1" t="str">
        <v>Benedetto Conte</v>
      </c>
      <c r="K28" s="1" t="str">
        <v>benedetto_conte</v>
      </c>
      <c r="L28" s="1">
        <v>2</v>
      </c>
      <c r="M28" s="16">
        <v>1</v>
      </c>
      <c r="N28" s="22">
        <v>0.5</v>
      </c>
      <c r="Y28" t="s">
        <v>2277</v>
      </c>
      <c r="Z28" t="s">
        <v>2219</v>
      </c>
      <c r="AA28" t="s">
        <v>2250</v>
      </c>
      <c r="AB28">
        <v>6</v>
      </c>
    </row>
    <row r="29" spans="1:28" x14ac:dyDescent="0.3">
      <c r="J29" s="1" t="str">
        <v>Bill Sprouse</v>
      </c>
      <c r="K29" s="1" t="str">
        <v>bill_sprouse</v>
      </c>
      <c r="L29" s="1">
        <v>1</v>
      </c>
      <c r="M29" s="16">
        <v>0</v>
      </c>
      <c r="N29" s="22">
        <v>0</v>
      </c>
      <c r="Y29" t="s">
        <v>2254</v>
      </c>
      <c r="Z29" t="s">
        <v>2219</v>
      </c>
      <c r="AA29" t="s">
        <v>2251</v>
      </c>
      <c r="AB29">
        <v>3</v>
      </c>
    </row>
    <row r="30" spans="1:28" x14ac:dyDescent="0.3">
      <c r="J30" s="1" t="str">
        <v>Blest</v>
      </c>
      <c r="K30" s="1" t="str">
        <v>blest</v>
      </c>
      <c r="L30" s="1">
        <v>1</v>
      </c>
      <c r="M30" s="16">
        <v>0</v>
      </c>
      <c r="N30" s="22">
        <v>0</v>
      </c>
      <c r="Y30" t="s">
        <v>2236</v>
      </c>
      <c r="Z30" t="s">
        <v>2219</v>
      </c>
      <c r="AA30" t="s">
        <v>2234</v>
      </c>
      <c r="AB30">
        <v>3</v>
      </c>
    </row>
    <row r="31" spans="1:28" x14ac:dyDescent="0.3">
      <c r="J31" s="1" t="str">
        <v>Bob Fitts</v>
      </c>
      <c r="K31" s="1" t="str">
        <v>bob_fitts</v>
      </c>
      <c r="L31" s="1">
        <v>1</v>
      </c>
      <c r="M31" s="16">
        <v>0</v>
      </c>
      <c r="N31" s="22">
        <v>0</v>
      </c>
      <c r="Y31" t="s">
        <v>2299</v>
      </c>
      <c r="Z31" t="s">
        <v>2219</v>
      </c>
      <c r="AA31" t="s">
        <v>53</v>
      </c>
      <c r="AB31">
        <v>12</v>
      </c>
    </row>
    <row r="32" spans="1:28" x14ac:dyDescent="0.3">
      <c r="J32" s="1" t="str">
        <v>Bob Fitts y Gary Sadler</v>
      </c>
      <c r="K32" s="1" t="str">
        <v>bob_fitts_y_gary_sadler</v>
      </c>
      <c r="L32" s="1">
        <v>1</v>
      </c>
      <c r="M32" s="16">
        <v>1</v>
      </c>
      <c r="N32" s="22">
        <v>1</v>
      </c>
      <c r="Y32" t="s">
        <v>52</v>
      </c>
      <c r="Z32" t="s">
        <v>2219</v>
      </c>
      <c r="AA32" t="s">
        <v>53</v>
      </c>
      <c r="AB32">
        <v>10</v>
      </c>
    </row>
    <row r="33" spans="10:28" x14ac:dyDescent="0.3">
      <c r="J33" s="1" t="str">
        <v>Bob Probert</v>
      </c>
      <c r="K33" s="1" t="str">
        <v>bob_probert</v>
      </c>
      <c r="L33" s="1">
        <v>1</v>
      </c>
      <c r="M33" s="16">
        <v>0</v>
      </c>
      <c r="N33" s="22">
        <v>0</v>
      </c>
      <c r="Y33" t="s">
        <v>2315</v>
      </c>
      <c r="Z33" t="s">
        <v>2219</v>
      </c>
      <c r="AA33" t="s">
        <v>414</v>
      </c>
      <c r="AB33">
        <v>1</v>
      </c>
    </row>
    <row r="34" spans="10:28" x14ac:dyDescent="0.3">
      <c r="J34" s="1" t="str">
        <v>Brent Chambers</v>
      </c>
      <c r="K34" s="1" t="str">
        <v>brent_chambers</v>
      </c>
      <c r="L34" s="1">
        <v>1</v>
      </c>
      <c r="M34" s="16">
        <v>0</v>
      </c>
      <c r="N34" s="22">
        <v>0</v>
      </c>
      <c r="Y34" t="s">
        <v>2347</v>
      </c>
      <c r="Z34" t="s">
        <v>2219</v>
      </c>
      <c r="AA34" t="s">
        <v>2344</v>
      </c>
      <c r="AB34">
        <v>5</v>
      </c>
    </row>
    <row r="35" spans="10:28" x14ac:dyDescent="0.3">
      <c r="J35" s="1" t="str">
        <v>Brian Doerksen</v>
      </c>
      <c r="K35" s="1" t="str">
        <v>brian_doerksen</v>
      </c>
      <c r="L35" s="1">
        <v>1</v>
      </c>
      <c r="M35" s="16">
        <v>0</v>
      </c>
      <c r="N35" s="22">
        <v>0</v>
      </c>
      <c r="Y35" t="s">
        <v>2311</v>
      </c>
      <c r="Z35" t="s">
        <v>2219</v>
      </c>
      <c r="AA35" t="s">
        <v>2300</v>
      </c>
      <c r="AB35">
        <v>13</v>
      </c>
    </row>
    <row r="36" spans="10:28" x14ac:dyDescent="0.3">
      <c r="J36" s="1" t="str">
        <v>Brotes de Olivo</v>
      </c>
      <c r="K36" s="1" t="str">
        <v>brotes_de_olivo</v>
      </c>
      <c r="L36" s="1">
        <v>98</v>
      </c>
      <c r="M36" s="16">
        <v>80</v>
      </c>
      <c r="N36" s="22">
        <v>0.81632653061224492</v>
      </c>
      <c r="Y36" t="s">
        <v>2227</v>
      </c>
      <c r="Z36" t="s">
        <v>2219</v>
      </c>
      <c r="AA36" t="s">
        <v>2220</v>
      </c>
      <c r="AB36">
        <v>7</v>
      </c>
    </row>
    <row r="37" spans="10:28" x14ac:dyDescent="0.3">
      <c r="J37" s="1" t="str">
        <v>Bruce y Jude Borneman</v>
      </c>
      <c r="K37" s="1" t="str">
        <v>bruce_y_jude_borneman</v>
      </c>
      <c r="L37" s="1">
        <v>1</v>
      </c>
      <c r="M37" s="16">
        <v>0</v>
      </c>
      <c r="N37" s="22">
        <v>0</v>
      </c>
      <c r="Y37" t="s">
        <v>2242</v>
      </c>
      <c r="Z37" t="s">
        <v>2219</v>
      </c>
      <c r="AA37" t="s">
        <v>2234</v>
      </c>
      <c r="AB37">
        <v>9</v>
      </c>
    </row>
    <row r="38" spans="10:28" x14ac:dyDescent="0.3">
      <c r="J38" s="1" t="str">
        <v>Cantos S Cateq</v>
      </c>
      <c r="K38" s="1" t="str">
        <v>cantos_s_cateq</v>
      </c>
      <c r="L38" s="1">
        <v>2</v>
      </c>
      <c r="M38" s="16">
        <v>2</v>
      </c>
      <c r="N38" s="22">
        <v>1</v>
      </c>
      <c r="Y38" t="s">
        <v>2302</v>
      </c>
      <c r="Z38" t="s">
        <v>2219</v>
      </c>
      <c r="AA38" t="s">
        <v>2300</v>
      </c>
      <c r="AB38">
        <v>3</v>
      </c>
    </row>
    <row r="39" spans="10:28" x14ac:dyDescent="0.3">
      <c r="J39" s="1" t="str">
        <v>Carl Tuttle</v>
      </c>
      <c r="K39" s="1" t="str">
        <v>carl_tuttle</v>
      </c>
      <c r="L39" s="1">
        <v>1</v>
      </c>
      <c r="M39" s="16">
        <v>0</v>
      </c>
      <c r="N39" s="22">
        <v>0</v>
      </c>
      <c r="Y39" t="s">
        <v>2337</v>
      </c>
      <c r="Z39" t="s">
        <v>2219</v>
      </c>
      <c r="AA39" t="s">
        <v>2336</v>
      </c>
      <c r="AB39">
        <v>1</v>
      </c>
    </row>
    <row r="40" spans="10:28" x14ac:dyDescent="0.3">
      <c r="J40" s="1" t="str">
        <v>Carmelo Erdozáin</v>
      </c>
      <c r="K40" s="1" t="str">
        <v>carmelo_erdozain</v>
      </c>
      <c r="L40" s="1">
        <v>212</v>
      </c>
      <c r="M40" s="16">
        <v>57</v>
      </c>
      <c r="N40" s="22">
        <v>0.26886792452830188</v>
      </c>
      <c r="Y40" t="s">
        <v>2303</v>
      </c>
      <c r="Z40" t="s">
        <v>2219</v>
      </c>
      <c r="AA40" t="s">
        <v>2300</v>
      </c>
      <c r="AB40">
        <v>4</v>
      </c>
    </row>
    <row r="41" spans="10:28" x14ac:dyDescent="0.3">
      <c r="J41" s="1" t="str">
        <v>Carolina Martínez</v>
      </c>
      <c r="K41" s="1" t="str">
        <v>carolina_martinez</v>
      </c>
      <c r="L41" s="1">
        <v>1</v>
      </c>
      <c r="M41" s="16">
        <v>0</v>
      </c>
      <c r="N41" s="22">
        <v>0</v>
      </c>
      <c r="Y41" t="s">
        <v>2331</v>
      </c>
      <c r="Z41" t="s">
        <v>2219</v>
      </c>
      <c r="AA41" t="s">
        <v>884</v>
      </c>
      <c r="AB41">
        <v>8</v>
      </c>
    </row>
    <row r="42" spans="10:28" x14ac:dyDescent="0.3">
      <c r="J42" s="1" t="str">
        <v>César Nebot</v>
      </c>
      <c r="K42" s="1" t="str">
        <v>cesar_nebot</v>
      </c>
      <c r="L42" s="1">
        <v>3</v>
      </c>
      <c r="M42" s="16">
        <v>0</v>
      </c>
      <c r="N42" s="22">
        <v>0</v>
      </c>
      <c r="Y42" t="s">
        <v>2267</v>
      </c>
      <c r="Z42" t="s">
        <v>2219</v>
      </c>
      <c r="AA42" t="s">
        <v>2249</v>
      </c>
      <c r="AB42">
        <v>4</v>
      </c>
    </row>
    <row r="43" spans="10:28" x14ac:dyDescent="0.3">
      <c r="J43" s="1" t="str">
        <v>Cesáreo Gabarain</v>
      </c>
      <c r="K43" s="1" t="str">
        <v>cesareo_gabarain</v>
      </c>
      <c r="L43" s="1">
        <v>277</v>
      </c>
      <c r="M43" s="16">
        <v>122</v>
      </c>
      <c r="N43" s="22">
        <v>0.44043321299638988</v>
      </c>
      <c r="Y43" t="s">
        <v>2273</v>
      </c>
      <c r="Z43" t="s">
        <v>2219</v>
      </c>
      <c r="AA43" t="s">
        <v>2249</v>
      </c>
      <c r="AB43">
        <v>14</v>
      </c>
    </row>
    <row r="44" spans="10:28" x14ac:dyDescent="0.3">
      <c r="J44" s="1" t="str">
        <v>Chantal Guerret</v>
      </c>
      <c r="K44" s="1" t="str">
        <v>chantal_guerret</v>
      </c>
      <c r="L44" s="1">
        <v>1</v>
      </c>
      <c r="M44" s="16">
        <v>0</v>
      </c>
      <c r="N44" s="22">
        <v>0</v>
      </c>
      <c r="Y44" t="s">
        <v>2266</v>
      </c>
      <c r="Z44" t="s">
        <v>2219</v>
      </c>
      <c r="AA44" t="s">
        <v>2249</v>
      </c>
      <c r="AB44">
        <v>2</v>
      </c>
    </row>
    <row r="45" spans="10:28" x14ac:dyDescent="0.3">
      <c r="J45" s="1" t="str">
        <v>Charlotte Exon</v>
      </c>
      <c r="K45" s="1" t="str">
        <v>charlotte_exon</v>
      </c>
      <c r="L45" s="1">
        <v>1</v>
      </c>
      <c r="M45" s="16">
        <v>0</v>
      </c>
      <c r="N45" s="22">
        <v>0</v>
      </c>
      <c r="Y45" t="s">
        <v>2292</v>
      </c>
      <c r="Z45" t="s">
        <v>2219</v>
      </c>
      <c r="AA45" t="s">
        <v>53</v>
      </c>
      <c r="AB45">
        <v>4</v>
      </c>
    </row>
    <row r="46" spans="10:28" x14ac:dyDescent="0.3">
      <c r="J46" s="1" t="str">
        <v>Charo Moreno</v>
      </c>
      <c r="K46" s="1" t="str">
        <v>charo_moreno</v>
      </c>
      <c r="L46" s="1">
        <v>1</v>
      </c>
      <c r="M46" s="16">
        <v>0</v>
      </c>
      <c r="N46" s="22">
        <v>0</v>
      </c>
      <c r="Y46" t="s">
        <v>2318</v>
      </c>
      <c r="Z46" t="s">
        <v>2219</v>
      </c>
      <c r="AA46" t="s">
        <v>414</v>
      </c>
      <c r="AB46">
        <v>5</v>
      </c>
    </row>
    <row r="47" spans="10:28" x14ac:dyDescent="0.3">
      <c r="J47" s="1" t="str">
        <v>Chema</v>
      </c>
      <c r="K47" s="1" t="str">
        <v>chema</v>
      </c>
      <c r="L47" s="1">
        <v>1</v>
      </c>
      <c r="M47" s="16">
        <v>1</v>
      </c>
      <c r="N47" s="22">
        <v>1</v>
      </c>
      <c r="Y47" t="s">
        <v>2237</v>
      </c>
      <c r="Z47" t="s">
        <v>2219</v>
      </c>
      <c r="AA47" t="s">
        <v>2234</v>
      </c>
      <c r="AB47">
        <v>4</v>
      </c>
    </row>
    <row r="48" spans="10:28" x14ac:dyDescent="0.3">
      <c r="J48" s="1" t="str">
        <v>Chiquito Villalba</v>
      </c>
      <c r="K48" s="1" t="str">
        <v>chiquito_villalba</v>
      </c>
      <c r="L48" s="1">
        <v>1</v>
      </c>
      <c r="M48" s="16">
        <v>0</v>
      </c>
      <c r="N48" s="22">
        <v>0</v>
      </c>
      <c r="Y48" t="s">
        <v>2268</v>
      </c>
      <c r="Z48" t="s">
        <v>2219</v>
      </c>
      <c r="AA48" t="s">
        <v>2249</v>
      </c>
      <c r="AB48">
        <v>5</v>
      </c>
    </row>
    <row r="49" spans="10:28" x14ac:dyDescent="0.3">
      <c r="J49" s="1" t="str">
        <v>Claude Fraysse</v>
      </c>
      <c r="K49" s="1" t="str">
        <v>claude_fraysse</v>
      </c>
      <c r="L49" s="1">
        <v>1</v>
      </c>
      <c r="M49" s="16">
        <v>0</v>
      </c>
      <c r="N49" s="22">
        <v>0</v>
      </c>
      <c r="Y49" t="s">
        <v>588</v>
      </c>
      <c r="Z49" t="s">
        <v>2219</v>
      </c>
      <c r="AA49" t="s">
        <v>2249</v>
      </c>
      <c r="AB49">
        <v>7</v>
      </c>
    </row>
    <row r="50" spans="10:28" x14ac:dyDescent="0.3">
      <c r="J50" s="1" t="str">
        <v>Clint Brown</v>
      </c>
      <c r="K50" s="1" t="str">
        <v>clint_brown</v>
      </c>
      <c r="L50" s="1">
        <v>1</v>
      </c>
      <c r="M50" s="16">
        <v>0</v>
      </c>
      <c r="N50" s="22">
        <v>0</v>
      </c>
      <c r="Y50" t="s">
        <v>2262</v>
      </c>
      <c r="Z50" t="s">
        <v>2219</v>
      </c>
      <c r="AA50" t="s">
        <v>2251</v>
      </c>
      <c r="AB50">
        <v>12</v>
      </c>
    </row>
    <row r="51" spans="10:28" x14ac:dyDescent="0.3">
      <c r="J51" s="1" t="str">
        <v>Comunidad San Pedro</v>
      </c>
      <c r="K51" s="1" t="str">
        <v>comunidad_san_pedro</v>
      </c>
      <c r="L51" s="1">
        <v>2</v>
      </c>
      <c r="M51" s="16">
        <v>2</v>
      </c>
      <c r="N51" s="22">
        <v>1</v>
      </c>
      <c r="Y51" t="s">
        <v>1816</v>
      </c>
      <c r="Z51" t="s">
        <v>2219</v>
      </c>
      <c r="AA51" t="s">
        <v>2251</v>
      </c>
      <c r="AB51">
        <v>10</v>
      </c>
    </row>
    <row r="52" spans="10:28" x14ac:dyDescent="0.3">
      <c r="J52" s="1" t="str">
        <v>Coral Católica Juvenil</v>
      </c>
      <c r="K52" s="1" t="str">
        <v>coral_catolica_juvenil</v>
      </c>
      <c r="L52" s="1">
        <v>1</v>
      </c>
      <c r="M52" s="16">
        <v>1</v>
      </c>
      <c r="N52" s="22">
        <v>1</v>
      </c>
      <c r="Y52" t="s">
        <v>2271</v>
      </c>
      <c r="Z52" t="s">
        <v>2219</v>
      </c>
      <c r="AA52" t="s">
        <v>2249</v>
      </c>
      <c r="AB52">
        <v>11</v>
      </c>
    </row>
    <row r="53" spans="10:28" x14ac:dyDescent="0.3">
      <c r="J53" s="1" t="str">
        <v>Coro Niño Jesús (Cádiz)</v>
      </c>
      <c r="K53" s="1" t="str">
        <v>coro_niño_jesus_(cadiz)</v>
      </c>
      <c r="L53" s="1">
        <v>1</v>
      </c>
      <c r="M53" s="16">
        <v>1</v>
      </c>
      <c r="N53" s="22">
        <v>1</v>
      </c>
      <c r="Y53" t="s">
        <v>1541</v>
      </c>
      <c r="Z53" t="s">
        <v>2219</v>
      </c>
      <c r="AA53" t="s">
        <v>2249</v>
      </c>
      <c r="AB53">
        <v>3</v>
      </c>
    </row>
    <row r="54" spans="10:28" x14ac:dyDescent="0.3">
      <c r="J54" s="1" t="str">
        <v>Coro Parroquial San Miguel</v>
      </c>
      <c r="K54" s="1" t="str">
        <v>coro_parroquial_san_miguel</v>
      </c>
      <c r="L54" s="1">
        <v>1</v>
      </c>
      <c r="M54" s="16">
        <v>1</v>
      </c>
      <c r="N54" s="22">
        <v>1</v>
      </c>
      <c r="Y54" t="s">
        <v>2226</v>
      </c>
      <c r="Z54" t="s">
        <v>2219</v>
      </c>
      <c r="AA54" t="s">
        <v>2220</v>
      </c>
      <c r="AB54">
        <v>6</v>
      </c>
    </row>
    <row r="55" spans="10:28" x14ac:dyDescent="0.3">
      <c r="J55" s="1" t="str">
        <v>Daniel Iverson</v>
      </c>
      <c r="K55" s="1" t="str">
        <v>daniel_iverson</v>
      </c>
      <c r="L55" s="1">
        <v>1</v>
      </c>
      <c r="M55" s="16">
        <v>0</v>
      </c>
      <c r="N55" s="22">
        <v>0</v>
      </c>
      <c r="Y55" t="s">
        <v>199</v>
      </c>
      <c r="Z55" t="s">
        <v>2219</v>
      </c>
      <c r="AA55" t="s">
        <v>2249</v>
      </c>
      <c r="AB55">
        <v>8</v>
      </c>
    </row>
    <row r="56" spans="10:28" x14ac:dyDescent="0.3">
      <c r="J56" s="1" t="str">
        <v>Darlene Zschech</v>
      </c>
      <c r="K56" s="1" t="str">
        <v>darlene_zschech</v>
      </c>
      <c r="L56" s="1">
        <v>1</v>
      </c>
      <c r="M56" s="16">
        <v>0</v>
      </c>
      <c r="N56" s="22">
        <v>0</v>
      </c>
      <c r="Y56" t="s">
        <v>2246</v>
      </c>
      <c r="Z56" t="s">
        <v>2219</v>
      </c>
      <c r="AA56" t="s">
        <v>2234</v>
      </c>
      <c r="AB56">
        <v>13</v>
      </c>
    </row>
    <row r="57" spans="10:28" x14ac:dyDescent="0.3">
      <c r="J57" s="1" t="str">
        <v>David Graham</v>
      </c>
      <c r="K57" s="1" t="str">
        <v>david_graham</v>
      </c>
      <c r="L57" s="1">
        <v>1</v>
      </c>
      <c r="M57" s="16">
        <v>0</v>
      </c>
      <c r="N57" s="22">
        <v>0</v>
      </c>
      <c r="Y57" t="s">
        <v>2320</v>
      </c>
      <c r="Z57" t="s">
        <v>2219</v>
      </c>
      <c r="AA57" t="s">
        <v>414</v>
      </c>
      <c r="AB57">
        <v>7</v>
      </c>
    </row>
    <row r="58" spans="10:28" x14ac:dyDescent="0.3">
      <c r="J58" s="1" t="str">
        <v>David Julien</v>
      </c>
      <c r="K58" s="1" t="str">
        <v>david_julien</v>
      </c>
      <c r="L58" s="1">
        <v>1</v>
      </c>
      <c r="M58" s="16">
        <v>1</v>
      </c>
      <c r="N58" s="22">
        <v>1</v>
      </c>
      <c r="Y58" t="s">
        <v>2222</v>
      </c>
      <c r="Z58" t="s">
        <v>2219</v>
      </c>
      <c r="AA58" t="s">
        <v>2220</v>
      </c>
      <c r="AB58">
        <v>2</v>
      </c>
    </row>
    <row r="59" spans="10:28" x14ac:dyDescent="0.3">
      <c r="J59" s="1" t="str">
        <v>Debbye Graafsma</v>
      </c>
      <c r="K59" s="1" t="str">
        <v>debbye_graafsma</v>
      </c>
      <c r="L59" s="1">
        <v>1</v>
      </c>
      <c r="M59" s="16">
        <v>1</v>
      </c>
      <c r="N59" s="22">
        <v>1</v>
      </c>
      <c r="Y59" t="s">
        <v>2275</v>
      </c>
      <c r="Z59" t="s">
        <v>2219</v>
      </c>
      <c r="AA59" t="s">
        <v>2250</v>
      </c>
      <c r="AB59">
        <v>3</v>
      </c>
    </row>
    <row r="60" spans="10:28" x14ac:dyDescent="0.3">
      <c r="J60" s="1" t="str">
        <v>Don Harris</v>
      </c>
      <c r="K60" s="1" t="str">
        <v>don_harris</v>
      </c>
      <c r="L60" s="1">
        <v>1</v>
      </c>
      <c r="M60" s="16">
        <v>0</v>
      </c>
      <c r="N60" s="22">
        <v>0</v>
      </c>
      <c r="Y60" t="s">
        <v>2240</v>
      </c>
      <c r="Z60" t="s">
        <v>2219</v>
      </c>
      <c r="AA60" t="s">
        <v>2234</v>
      </c>
      <c r="AB60">
        <v>7</v>
      </c>
    </row>
    <row r="61" spans="10:28" x14ac:dyDescent="0.3">
      <c r="J61" s="1" t="str">
        <v>Don Moen</v>
      </c>
      <c r="K61" s="1" t="str">
        <v>don_moen</v>
      </c>
      <c r="L61" s="1">
        <v>1</v>
      </c>
      <c r="M61" s="16">
        <v>0</v>
      </c>
      <c r="N61" s="22">
        <v>0</v>
      </c>
      <c r="Y61" t="s">
        <v>2256</v>
      </c>
      <c r="Z61" t="s">
        <v>2219</v>
      </c>
      <c r="AA61" t="s">
        <v>2251</v>
      </c>
      <c r="AB61">
        <v>5</v>
      </c>
    </row>
    <row r="62" spans="10:28" x14ac:dyDescent="0.3">
      <c r="J62" s="1" t="str">
        <v>Donald Fishel</v>
      </c>
      <c r="K62" s="1" t="str">
        <v>donald_fishel</v>
      </c>
      <c r="L62" s="1">
        <v>1</v>
      </c>
      <c r="M62" s="16">
        <v>1</v>
      </c>
      <c r="N62" s="22">
        <v>1</v>
      </c>
      <c r="Y62" t="s">
        <v>2225</v>
      </c>
      <c r="Z62" t="s">
        <v>2219</v>
      </c>
      <c r="AA62" t="s">
        <v>2220</v>
      </c>
      <c r="AB62">
        <v>5</v>
      </c>
    </row>
    <row r="63" spans="10:28" x14ac:dyDescent="0.3">
      <c r="J63" s="1" t="str">
        <v>Doug Horley</v>
      </c>
      <c r="K63" s="1" t="str">
        <v>doug_horley</v>
      </c>
      <c r="L63" s="1">
        <v>1</v>
      </c>
      <c r="M63" s="16">
        <v>0</v>
      </c>
      <c r="N63" s="22">
        <v>0</v>
      </c>
      <c r="Y63" t="s">
        <v>2343</v>
      </c>
      <c r="Z63" t="s">
        <v>2219</v>
      </c>
      <c r="AA63" t="s">
        <v>2336</v>
      </c>
      <c r="AB63">
        <v>12</v>
      </c>
    </row>
    <row r="64" spans="10:28" x14ac:dyDescent="0.3">
      <c r="J64" s="1" t="str">
        <v>Dubé</v>
      </c>
      <c r="K64" s="1" t="str">
        <v>dube</v>
      </c>
      <c r="L64" s="1">
        <v>1</v>
      </c>
      <c r="M64" s="16">
        <v>0</v>
      </c>
      <c r="N64" s="22">
        <v>0</v>
      </c>
      <c r="Y64" t="s">
        <v>2310</v>
      </c>
      <c r="Z64" t="s">
        <v>2219</v>
      </c>
      <c r="AA64" t="s">
        <v>2300</v>
      </c>
      <c r="AB64">
        <v>12</v>
      </c>
    </row>
    <row r="65" spans="10:28" x14ac:dyDescent="0.3">
      <c r="J65" s="1" t="str">
        <v>Edith McNeill</v>
      </c>
      <c r="K65" s="1" t="str">
        <v>edith_mcneill</v>
      </c>
      <c r="L65" s="1">
        <v>1</v>
      </c>
      <c r="M65" s="16">
        <v>0</v>
      </c>
      <c r="N65" s="22">
        <v>0</v>
      </c>
      <c r="Y65" t="s">
        <v>2323</v>
      </c>
      <c r="Z65" t="s">
        <v>2219</v>
      </c>
      <c r="AA65" t="s">
        <v>414</v>
      </c>
      <c r="AB65">
        <v>10</v>
      </c>
    </row>
    <row r="66" spans="10:28" x14ac:dyDescent="0.3">
      <c r="J66" s="1" t="str">
        <v>Eduardo Meana</v>
      </c>
      <c r="K66" s="1" t="str">
        <v>eduardo_meana</v>
      </c>
      <c r="L66" s="1">
        <v>2</v>
      </c>
      <c r="M66" s="16">
        <v>2</v>
      </c>
      <c r="N66" s="22">
        <v>1</v>
      </c>
      <c r="Y66" t="s">
        <v>2290</v>
      </c>
      <c r="Z66" t="s">
        <v>2219</v>
      </c>
      <c r="AA66" t="s">
        <v>53</v>
      </c>
      <c r="AB66">
        <v>2</v>
      </c>
    </row>
    <row r="67" spans="10:28" x14ac:dyDescent="0.3">
      <c r="J67" s="1" t="str">
        <v>Eduardo Ortiz</v>
      </c>
      <c r="K67" s="1" t="str">
        <v>eduardo_ortiz</v>
      </c>
      <c r="L67" s="1">
        <v>1</v>
      </c>
      <c r="M67" s="16">
        <v>1</v>
      </c>
      <c r="N67" s="22">
        <v>1</v>
      </c>
      <c r="Y67" t="s">
        <v>2280</v>
      </c>
      <c r="Z67" t="s">
        <v>2219</v>
      </c>
      <c r="AA67" t="s">
        <v>2250</v>
      </c>
      <c r="AB67">
        <v>9</v>
      </c>
    </row>
    <row r="68" spans="10:28" x14ac:dyDescent="0.3">
      <c r="J68" s="1" t="str">
        <v>Elena Andrés</v>
      </c>
      <c r="K68" s="1" t="str">
        <v>elena_andres</v>
      </c>
      <c r="L68" s="1">
        <v>2</v>
      </c>
      <c r="M68" s="16">
        <v>0</v>
      </c>
      <c r="N68" s="22">
        <v>0</v>
      </c>
      <c r="Y68" t="s">
        <v>414</v>
      </c>
      <c r="Z68" t="s">
        <v>2219</v>
      </c>
      <c r="AA68" t="s">
        <v>414</v>
      </c>
      <c r="AB68">
        <v>2</v>
      </c>
    </row>
    <row r="69" spans="10:28" x14ac:dyDescent="0.3">
      <c r="J69" s="1" t="str">
        <v>Elena Ráfales</v>
      </c>
      <c r="K69" s="1" t="str">
        <v>elena_rafales</v>
      </c>
      <c r="L69" s="1">
        <v>1</v>
      </c>
      <c r="M69" s="16">
        <v>1</v>
      </c>
      <c r="N69" s="22">
        <v>1</v>
      </c>
      <c r="Y69" t="s">
        <v>2339</v>
      </c>
      <c r="Z69" t="s">
        <v>2219</v>
      </c>
      <c r="AA69" t="s">
        <v>2336</v>
      </c>
      <c r="AB69">
        <v>5</v>
      </c>
    </row>
    <row r="70" spans="10:28" x14ac:dyDescent="0.3">
      <c r="J70" s="1" t="str">
        <v>Emilio Vicente Mateu</v>
      </c>
      <c r="K70" s="1" t="str">
        <v>emilio_vicente_mateu</v>
      </c>
      <c r="L70" s="1">
        <v>12</v>
      </c>
      <c r="M70" s="16">
        <v>11</v>
      </c>
      <c r="N70" s="22">
        <v>0.91666666666666663</v>
      </c>
      <c r="Y70" t="s">
        <v>2243</v>
      </c>
      <c r="Z70" t="s">
        <v>2219</v>
      </c>
      <c r="AA70" t="s">
        <v>2234</v>
      </c>
      <c r="AB70">
        <v>10</v>
      </c>
    </row>
    <row r="71" spans="10:28" x14ac:dyDescent="0.3">
      <c r="J71" s="1" t="str">
        <v>Enrique García Vélez</v>
      </c>
      <c r="K71" s="1" t="str">
        <v>enrique_garcia_velez</v>
      </c>
      <c r="L71" s="1">
        <v>1</v>
      </c>
      <c r="M71" s="16">
        <v>1</v>
      </c>
      <c r="N71" s="22">
        <v>1</v>
      </c>
      <c r="Y71" t="s">
        <v>2270</v>
      </c>
      <c r="Z71" t="s">
        <v>2219</v>
      </c>
      <c r="AA71" t="s">
        <v>2249</v>
      </c>
      <c r="AB71">
        <v>10</v>
      </c>
    </row>
    <row r="72" spans="10:28" x14ac:dyDescent="0.3">
      <c r="J72" s="1" t="str">
        <v>Eric Nuzum</v>
      </c>
      <c r="K72" s="1" t="str">
        <v>eric_nuzum</v>
      </c>
      <c r="L72" s="1">
        <v>1</v>
      </c>
      <c r="M72" s="16">
        <v>0</v>
      </c>
      <c r="N72" s="22">
        <v>0</v>
      </c>
      <c r="Y72" t="s">
        <v>2257</v>
      </c>
      <c r="Z72" t="s">
        <v>2219</v>
      </c>
      <c r="AA72" t="s">
        <v>2251</v>
      </c>
      <c r="AB72">
        <v>7</v>
      </c>
    </row>
    <row r="73" spans="10:28" x14ac:dyDescent="0.3">
      <c r="J73" s="1" t="str">
        <v>Esther Watanabe</v>
      </c>
      <c r="K73" s="1" t="str">
        <v>esther_watanabe</v>
      </c>
      <c r="L73" s="1">
        <v>1</v>
      </c>
      <c r="M73" s="16">
        <v>1</v>
      </c>
      <c r="N73" s="22">
        <v>1</v>
      </c>
      <c r="Y73" t="s">
        <v>2255</v>
      </c>
      <c r="Z73" t="s">
        <v>2219</v>
      </c>
      <c r="AA73" t="s">
        <v>2251</v>
      </c>
      <c r="AB73">
        <v>4</v>
      </c>
    </row>
    <row r="74" spans="10:28" x14ac:dyDescent="0.3">
      <c r="J74" s="1" t="str">
        <v>Eugene Greco</v>
      </c>
      <c r="K74" s="1" t="str">
        <v>eugene_greco</v>
      </c>
      <c r="L74" s="1">
        <v>1</v>
      </c>
      <c r="M74" s="16">
        <v>0</v>
      </c>
      <c r="N74" s="22">
        <v>0</v>
      </c>
      <c r="Y74" t="s">
        <v>2304</v>
      </c>
      <c r="Z74" t="s">
        <v>2219</v>
      </c>
      <c r="AA74" t="s">
        <v>2300</v>
      </c>
      <c r="AB74">
        <v>5</v>
      </c>
    </row>
    <row r="75" spans="10:28" x14ac:dyDescent="0.3">
      <c r="J75" s="1" t="str">
        <v>Fausto Pflucker</v>
      </c>
      <c r="K75" s="1" t="str">
        <v>fausto_pflucker</v>
      </c>
      <c r="L75" s="1">
        <v>1</v>
      </c>
      <c r="M75" s="16">
        <v>0</v>
      </c>
      <c r="N75" s="22">
        <v>0</v>
      </c>
      <c r="Y75" t="s">
        <v>2325</v>
      </c>
      <c r="Z75" t="s">
        <v>2219</v>
      </c>
      <c r="AA75" t="s">
        <v>414</v>
      </c>
      <c r="AB75">
        <v>12</v>
      </c>
    </row>
    <row r="76" spans="10:28" x14ac:dyDescent="0.3">
      <c r="J76" s="1" t="str">
        <v>Fermín García</v>
      </c>
      <c r="K76" s="1" t="str">
        <v>fermin_garcia</v>
      </c>
      <c r="L76" s="1">
        <v>1</v>
      </c>
      <c r="M76" s="16">
        <v>0</v>
      </c>
      <c r="N76" s="22">
        <v>0</v>
      </c>
      <c r="Y76" t="s">
        <v>2252</v>
      </c>
      <c r="Z76" t="s">
        <v>2219</v>
      </c>
      <c r="AA76" t="s">
        <v>2251</v>
      </c>
      <c r="AB76">
        <v>1</v>
      </c>
    </row>
    <row r="77" spans="10:28" x14ac:dyDescent="0.3">
      <c r="J77" s="1" t="str">
        <v>Fernando Viejo</v>
      </c>
      <c r="K77" s="1" t="str">
        <v>fernando_viejo</v>
      </c>
      <c r="L77" s="1">
        <v>6</v>
      </c>
      <c r="M77" s="16">
        <v>6</v>
      </c>
      <c r="N77" s="22">
        <v>1</v>
      </c>
      <c r="Y77" t="s">
        <v>2261</v>
      </c>
      <c r="Z77" t="s">
        <v>2219</v>
      </c>
      <c r="AA77" t="s">
        <v>2251</v>
      </c>
      <c r="AB77">
        <v>11</v>
      </c>
    </row>
    <row r="78" spans="10:28" x14ac:dyDescent="0.3">
      <c r="J78" s="1" t="str">
        <v>Francisco Alvarado (Schönstatt)</v>
      </c>
      <c r="K78" s="1" t="str">
        <v>francisco_alvarado_(schönstatt)</v>
      </c>
      <c r="L78" s="1">
        <v>1</v>
      </c>
      <c r="M78" s="16">
        <v>1</v>
      </c>
      <c r="N78" s="22">
        <v>1</v>
      </c>
      <c r="Y78" t="s">
        <v>2263</v>
      </c>
      <c r="Z78" t="s">
        <v>2219</v>
      </c>
      <c r="AA78" t="s">
        <v>2251</v>
      </c>
      <c r="AB78">
        <v>13</v>
      </c>
    </row>
    <row r="79" spans="10:28" x14ac:dyDescent="0.3">
      <c r="J79" s="1" t="str">
        <v>Francisco de Asís</v>
      </c>
      <c r="K79" s="1" t="str">
        <v>francisco_de_asis</v>
      </c>
      <c r="L79" s="1">
        <v>1</v>
      </c>
      <c r="M79" s="16">
        <v>1</v>
      </c>
      <c r="N79" s="22">
        <v>1</v>
      </c>
      <c r="Y79" t="s">
        <v>2283</v>
      </c>
      <c r="Z79" t="s">
        <v>2219</v>
      </c>
      <c r="AA79" t="s">
        <v>2250</v>
      </c>
      <c r="AB79">
        <v>12</v>
      </c>
    </row>
    <row r="80" spans="10:28" x14ac:dyDescent="0.3">
      <c r="J80" s="1" t="str">
        <v>Francisco Palazón</v>
      </c>
      <c r="K80" s="1" t="str">
        <v>francisco_palazon</v>
      </c>
      <c r="L80" s="1">
        <v>130</v>
      </c>
      <c r="M80" s="16">
        <v>111</v>
      </c>
      <c r="N80" s="22">
        <v>0.85384615384615381</v>
      </c>
      <c r="Y80" t="s">
        <v>2248</v>
      </c>
      <c r="Z80" t="s">
        <v>2219</v>
      </c>
      <c r="AA80" t="s">
        <v>53</v>
      </c>
      <c r="AB80">
        <v>8</v>
      </c>
    </row>
    <row r="81" spans="10:28" x14ac:dyDescent="0.3">
      <c r="J81" s="1" t="str">
        <v>Frank Hernández</v>
      </c>
      <c r="K81" s="1" t="str">
        <v>frank_hernandez</v>
      </c>
      <c r="L81" s="1">
        <v>1</v>
      </c>
      <c r="M81" s="16">
        <v>0</v>
      </c>
      <c r="N81" s="22">
        <v>0</v>
      </c>
      <c r="Y81" t="s">
        <v>2258</v>
      </c>
      <c r="Z81" t="s">
        <v>2219</v>
      </c>
      <c r="AA81" t="s">
        <v>2251</v>
      </c>
      <c r="AB81">
        <v>6</v>
      </c>
    </row>
    <row r="82" spans="10:28" x14ac:dyDescent="0.3">
      <c r="J82" s="1" t="str">
        <v>Fray André Gouze - Gocam</v>
      </c>
      <c r="K82" s="1" t="str">
        <v>fray_andre_gouze_-_gocam</v>
      </c>
      <c r="L82" s="1">
        <v>2</v>
      </c>
      <c r="M82" s="16">
        <v>0</v>
      </c>
      <c r="N82" s="22">
        <v>0</v>
      </c>
      <c r="Y82" t="s">
        <v>2278</v>
      </c>
      <c r="Z82" t="s">
        <v>2219</v>
      </c>
      <c r="AA82" t="s">
        <v>2250</v>
      </c>
      <c r="AB82">
        <v>7</v>
      </c>
    </row>
    <row r="83" spans="10:28" x14ac:dyDescent="0.3">
      <c r="J83" s="1" t="str">
        <v>Fray Nacho</v>
      </c>
      <c r="K83" s="1" t="str">
        <v>fray_nacho</v>
      </c>
      <c r="L83" s="1">
        <v>1</v>
      </c>
      <c r="M83" s="16">
        <v>0</v>
      </c>
      <c r="N83" s="22">
        <v>0</v>
      </c>
      <c r="Y83" t="s">
        <v>2317</v>
      </c>
      <c r="Z83" t="s">
        <v>2219</v>
      </c>
      <c r="AA83" t="s">
        <v>414</v>
      </c>
      <c r="AB83">
        <v>4</v>
      </c>
    </row>
    <row r="84" spans="10:28" x14ac:dyDescent="0.3">
      <c r="J84" s="1" t="str">
        <v>G Gancho</v>
      </c>
      <c r="K84" s="1" t="str">
        <v>g_gancho</v>
      </c>
      <c r="L84" s="1">
        <v>1</v>
      </c>
      <c r="M84" s="16">
        <v>0</v>
      </c>
      <c r="N84" s="22">
        <v>0</v>
      </c>
      <c r="Y84" t="s">
        <v>2322</v>
      </c>
      <c r="Z84" t="s">
        <v>2219</v>
      </c>
      <c r="AA84" t="s">
        <v>414</v>
      </c>
      <c r="AB84">
        <v>9</v>
      </c>
    </row>
    <row r="85" spans="10:28" x14ac:dyDescent="0.3">
      <c r="J85" s="1" t="str">
        <v>Gary Oliver</v>
      </c>
      <c r="K85" s="1" t="str">
        <v>gary_oliver</v>
      </c>
      <c r="L85" s="1">
        <v>1</v>
      </c>
      <c r="M85" s="16">
        <v>0</v>
      </c>
      <c r="N85" s="22">
        <v>0</v>
      </c>
      <c r="Y85" t="s">
        <v>2328</v>
      </c>
      <c r="Z85" t="s">
        <v>2219</v>
      </c>
      <c r="AA85" t="s">
        <v>414</v>
      </c>
      <c r="AB85">
        <v>15</v>
      </c>
    </row>
    <row r="86" spans="10:28" x14ac:dyDescent="0.3">
      <c r="J86" s="1" t="str">
        <v>Gen Rosso</v>
      </c>
      <c r="K86" s="1" t="str">
        <v>gen_rosso</v>
      </c>
      <c r="L86" s="1">
        <v>2</v>
      </c>
      <c r="M86" s="16">
        <v>2</v>
      </c>
      <c r="N86" s="22">
        <v>1</v>
      </c>
      <c r="Y86" t="s">
        <v>2330</v>
      </c>
      <c r="Z86" t="s">
        <v>2219</v>
      </c>
      <c r="AA86" t="s">
        <v>884</v>
      </c>
      <c r="AB86">
        <v>7</v>
      </c>
    </row>
    <row r="87" spans="10:28" x14ac:dyDescent="0.3">
      <c r="J87" s="1" t="str">
        <v>Gen Verde</v>
      </c>
      <c r="K87" s="1" t="str">
        <v>gen_verde</v>
      </c>
      <c r="L87" s="1">
        <v>2</v>
      </c>
      <c r="M87" s="16">
        <v>2</v>
      </c>
      <c r="N87" s="22">
        <v>1</v>
      </c>
      <c r="Y87" t="s">
        <v>2264</v>
      </c>
      <c r="Z87" t="s">
        <v>2219</v>
      </c>
      <c r="AA87" t="s">
        <v>2251</v>
      </c>
      <c r="AB87">
        <v>14</v>
      </c>
    </row>
    <row r="88" spans="10:28" x14ac:dyDescent="0.3">
      <c r="J88" s="1" t="str">
        <v>Georg Friedrich Händel</v>
      </c>
      <c r="K88" s="1" t="str">
        <v>georg_friedrich_händel</v>
      </c>
      <c r="L88" s="1">
        <v>1</v>
      </c>
      <c r="M88" s="16">
        <v>1</v>
      </c>
      <c r="N88" s="22">
        <v>1</v>
      </c>
      <c r="Y88" t="s">
        <v>2314</v>
      </c>
      <c r="Z88" t="s">
        <v>2219</v>
      </c>
      <c r="AA88" t="s">
        <v>2300</v>
      </c>
      <c r="AB88">
        <v>16</v>
      </c>
    </row>
    <row r="89" spans="10:28" x14ac:dyDescent="0.3">
      <c r="J89" s="1" t="str">
        <v>Getsemaní</v>
      </c>
      <c r="K89" s="1" t="str">
        <v>getsemani</v>
      </c>
      <c r="L89" s="1">
        <v>1</v>
      </c>
      <c r="M89" s="16">
        <v>1</v>
      </c>
      <c r="N89" s="22">
        <v>1</v>
      </c>
      <c r="Y89" t="s">
        <v>2346</v>
      </c>
      <c r="Z89" t="s">
        <v>2219</v>
      </c>
      <c r="AA89" t="s">
        <v>2344</v>
      </c>
      <c r="AB89">
        <v>4</v>
      </c>
    </row>
    <row r="90" spans="10:28" x14ac:dyDescent="0.3">
      <c r="J90" s="1" t="str">
        <v>Gian Franco Pagliardo</v>
      </c>
      <c r="K90" s="1" t="str">
        <v>gian_franco_pagliardo</v>
      </c>
      <c r="L90" s="1">
        <v>1</v>
      </c>
      <c r="M90" s="16">
        <v>1</v>
      </c>
      <c r="N90" s="22">
        <v>1</v>
      </c>
      <c r="Y90" t="s">
        <v>2251</v>
      </c>
      <c r="Z90" t="s">
        <v>2219</v>
      </c>
      <c r="AA90" t="s">
        <v>2251</v>
      </c>
      <c r="AB90">
        <v>15</v>
      </c>
    </row>
    <row r="91" spans="10:28" x14ac:dyDescent="0.3">
      <c r="J91" s="1" t="str">
        <v>Gilmer Torres Ruiz</v>
      </c>
      <c r="K91" s="1" t="str">
        <v>gilmer_torres_ruiz</v>
      </c>
      <c r="L91" s="1">
        <v>1</v>
      </c>
      <c r="M91" s="16">
        <v>1</v>
      </c>
      <c r="N91" s="22">
        <v>1</v>
      </c>
      <c r="Y91" t="s">
        <v>2239</v>
      </c>
      <c r="Z91" t="s">
        <v>2219</v>
      </c>
      <c r="AA91" t="s">
        <v>2234</v>
      </c>
      <c r="AB91">
        <v>6</v>
      </c>
    </row>
    <row r="92" spans="10:28" x14ac:dyDescent="0.3">
      <c r="J92" s="1" t="str">
        <v>Gina Fernández</v>
      </c>
      <c r="K92" s="1" t="str">
        <v>gina_fernandez</v>
      </c>
      <c r="L92" s="1">
        <v>1</v>
      </c>
      <c r="M92" s="16">
        <v>1</v>
      </c>
      <c r="N92" s="22">
        <v>1</v>
      </c>
      <c r="Y92" t="s">
        <v>2340</v>
      </c>
      <c r="Z92" t="s">
        <v>2219</v>
      </c>
      <c r="AA92" t="s">
        <v>2336</v>
      </c>
      <c r="AB92">
        <v>6</v>
      </c>
    </row>
    <row r="93" spans="10:28" x14ac:dyDescent="0.3">
      <c r="J93" s="1" t="str">
        <v>Gonzalo González</v>
      </c>
      <c r="K93" s="1" t="str">
        <v>gonzalo_gonzalez</v>
      </c>
      <c r="L93" s="1">
        <v>1</v>
      </c>
      <c r="M93" s="16">
        <v>1</v>
      </c>
      <c r="N93" s="22">
        <v>1</v>
      </c>
      <c r="Y93" t="s">
        <v>2298</v>
      </c>
      <c r="Z93" t="s">
        <v>2219</v>
      </c>
      <c r="AA93" t="s">
        <v>53</v>
      </c>
      <c r="AB93">
        <v>9</v>
      </c>
    </row>
    <row r="94" spans="10:28" x14ac:dyDescent="0.3">
      <c r="J94" s="1" t="str">
        <v>Graham Kendrick</v>
      </c>
      <c r="K94" s="1" t="str">
        <v>graham_kendrick</v>
      </c>
      <c r="L94" s="1">
        <v>2</v>
      </c>
      <c r="M94" s="16">
        <v>2</v>
      </c>
      <c r="N94" s="22">
        <v>1</v>
      </c>
      <c r="Y94" t="s">
        <v>2229</v>
      </c>
      <c r="Z94" t="s">
        <v>2219</v>
      </c>
      <c r="AA94" t="s">
        <v>2220</v>
      </c>
      <c r="AB94">
        <v>9</v>
      </c>
    </row>
    <row r="95" spans="10:28" x14ac:dyDescent="0.3">
      <c r="J95" s="1" t="str">
        <v>Gregorio Fernández</v>
      </c>
      <c r="K95" s="1" t="str">
        <v>gregorio_fernandez</v>
      </c>
      <c r="L95" s="1">
        <v>5</v>
      </c>
      <c r="M95" s="16">
        <v>5</v>
      </c>
      <c r="N95" s="22">
        <v>1</v>
      </c>
      <c r="Y95" t="s">
        <v>2274</v>
      </c>
      <c r="Z95" t="s">
        <v>2219</v>
      </c>
      <c r="AA95" t="s">
        <v>2250</v>
      </c>
      <c r="AB95">
        <v>1</v>
      </c>
    </row>
    <row r="96" spans="10:28" x14ac:dyDescent="0.3">
      <c r="J96" s="1" t="str">
        <v>Grupo Betsaida</v>
      </c>
      <c r="K96" s="1" t="str">
        <v>grupo_betsaida</v>
      </c>
      <c r="L96" s="1">
        <v>1</v>
      </c>
      <c r="M96" s="16">
        <v>1</v>
      </c>
      <c r="N96" s="22">
        <v>1</v>
      </c>
      <c r="Y96" t="s">
        <v>2223</v>
      </c>
      <c r="Z96" t="s">
        <v>2219</v>
      </c>
      <c r="AA96" t="s">
        <v>2220</v>
      </c>
      <c r="AB96">
        <v>3</v>
      </c>
    </row>
    <row r="97" spans="10:28" x14ac:dyDescent="0.3">
      <c r="J97" s="1" t="str">
        <v>Grupo Gente Nueva</v>
      </c>
      <c r="K97" s="1" t="str">
        <v>grupo_gente_nueva</v>
      </c>
      <c r="L97" s="1">
        <v>1</v>
      </c>
      <c r="M97" s="16">
        <v>1</v>
      </c>
      <c r="N97" s="22">
        <v>1</v>
      </c>
      <c r="Y97" t="s">
        <v>2245</v>
      </c>
      <c r="Z97" t="s">
        <v>2219</v>
      </c>
      <c r="AA97" t="s">
        <v>2234</v>
      </c>
      <c r="AB97">
        <v>12</v>
      </c>
    </row>
    <row r="98" spans="10:28" x14ac:dyDescent="0.3">
      <c r="J98" s="1" t="str">
        <v>Grupo Loyola Valladolid</v>
      </c>
      <c r="K98" s="1" t="str">
        <v>grupo_loyola_valladolid</v>
      </c>
      <c r="L98" s="1">
        <v>1</v>
      </c>
      <c r="M98" s="16">
        <v>1</v>
      </c>
      <c r="N98" s="22">
        <v>1</v>
      </c>
      <c r="Y98" t="s">
        <v>2307</v>
      </c>
      <c r="Z98" t="s">
        <v>2219</v>
      </c>
      <c r="AA98" t="s">
        <v>2300</v>
      </c>
      <c r="AB98">
        <v>8</v>
      </c>
    </row>
    <row r="99" spans="10:28" x14ac:dyDescent="0.3">
      <c r="J99" s="1" t="str">
        <v>Grupo Nueva Vida</v>
      </c>
      <c r="K99" s="1" t="str">
        <v>grupo_nueva_vida</v>
      </c>
      <c r="L99" s="1">
        <v>1</v>
      </c>
      <c r="M99" s="16">
        <v>1</v>
      </c>
      <c r="N99" s="22">
        <v>1</v>
      </c>
      <c r="Y99" t="s">
        <v>2308</v>
      </c>
      <c r="Z99" t="s">
        <v>2219</v>
      </c>
      <c r="AA99" t="s">
        <v>2300</v>
      </c>
      <c r="AB99">
        <v>9</v>
      </c>
    </row>
    <row r="100" spans="10:28" x14ac:dyDescent="0.3">
      <c r="J100" s="1" t="str">
        <v>Hakuna</v>
      </c>
      <c r="K100" s="1" t="str">
        <v>hakuna</v>
      </c>
      <c r="L100" s="1">
        <v>95</v>
      </c>
      <c r="M100" s="16">
        <v>94</v>
      </c>
      <c r="N100" s="22">
        <v>0.98947368421052628</v>
      </c>
      <c r="Y100" t="s">
        <v>2321</v>
      </c>
      <c r="Z100" t="s">
        <v>2219</v>
      </c>
      <c r="AA100" t="s">
        <v>414</v>
      </c>
      <c r="AB100">
        <v>8</v>
      </c>
    </row>
    <row r="101" spans="10:28" x14ac:dyDescent="0.3">
      <c r="J101" s="1" t="str">
        <v>Héctor Hermosillo</v>
      </c>
      <c r="K101" s="1" t="str">
        <v>hector_hermosillo</v>
      </c>
      <c r="L101" s="1">
        <v>1</v>
      </c>
      <c r="M101" s="16">
        <v>0</v>
      </c>
      <c r="N101" s="22">
        <v>0</v>
      </c>
      <c r="Y101" t="s">
        <v>884</v>
      </c>
      <c r="Z101" t="s">
        <v>2219</v>
      </c>
      <c r="AA101" t="s">
        <v>884</v>
      </c>
      <c r="AB101">
        <v>2</v>
      </c>
    </row>
    <row r="102" spans="10:28" x14ac:dyDescent="0.3">
      <c r="J102" s="1" t="str">
        <v>Henry Smith</v>
      </c>
      <c r="K102" s="1" t="str">
        <v>henry_smith</v>
      </c>
      <c r="L102" s="1">
        <v>1</v>
      </c>
      <c r="M102" s="16">
        <v>0</v>
      </c>
      <c r="N102" s="22">
        <v>0</v>
      </c>
      <c r="Y102" t="s">
        <v>2312</v>
      </c>
      <c r="Z102" t="s">
        <v>2219</v>
      </c>
      <c r="AA102" t="s">
        <v>2300</v>
      </c>
      <c r="AB102">
        <v>14</v>
      </c>
    </row>
    <row r="103" spans="10:28" x14ac:dyDescent="0.3">
      <c r="J103" s="1" t="str">
        <v>Hermana Glenda</v>
      </c>
      <c r="K103" s="1" t="str">
        <v>hermana_glenda</v>
      </c>
      <c r="L103" s="1">
        <v>12</v>
      </c>
      <c r="M103" s="16">
        <v>2</v>
      </c>
      <c r="N103" s="22">
        <v>0.16666666666666666</v>
      </c>
      <c r="Y103" t="s">
        <v>2341</v>
      </c>
      <c r="Z103" t="s">
        <v>2219</v>
      </c>
      <c r="AA103" t="s">
        <v>2336</v>
      </c>
      <c r="AB103">
        <v>8</v>
      </c>
    </row>
    <row r="104" spans="10:28" x14ac:dyDescent="0.3">
      <c r="J104" s="1" t="str">
        <v>Ignacio Busca de Sagastizábal</v>
      </c>
      <c r="K104" s="1" t="str">
        <v>ignacio_busca_de_sagastizabal</v>
      </c>
      <c r="L104" s="1">
        <v>1</v>
      </c>
      <c r="M104" s="16">
        <v>1</v>
      </c>
      <c r="N104" s="22">
        <v>1</v>
      </c>
      <c r="Y104" t="s">
        <v>2338</v>
      </c>
      <c r="Z104" t="s">
        <v>2219</v>
      </c>
      <c r="AA104" t="s">
        <v>2336</v>
      </c>
      <c r="AB104">
        <v>3</v>
      </c>
    </row>
    <row r="105" spans="10:28" x14ac:dyDescent="0.3">
      <c r="J105" s="1" t="str">
        <v>Inmaculada Estévez</v>
      </c>
      <c r="K105" s="1" t="str">
        <v>inmaculada_estevez</v>
      </c>
      <c r="L105" s="1">
        <v>1</v>
      </c>
      <c r="M105" s="16">
        <v>0</v>
      </c>
      <c r="N105" s="22">
        <v>0</v>
      </c>
      <c r="Y105" t="s">
        <v>2316</v>
      </c>
      <c r="Z105" t="s">
        <v>2219</v>
      </c>
      <c r="AA105" t="s">
        <v>414</v>
      </c>
      <c r="AB105">
        <v>3</v>
      </c>
    </row>
    <row r="106" spans="10:28" x14ac:dyDescent="0.3">
      <c r="J106" s="1" t="str">
        <v>IS Pastoral</v>
      </c>
      <c r="K106" s="1" t="str">
        <v>is_pastoral</v>
      </c>
      <c r="L106" s="1">
        <v>1</v>
      </c>
      <c r="M106" s="16">
        <v>0</v>
      </c>
      <c r="N106" s="22">
        <v>0</v>
      </c>
      <c r="Y106" t="s">
        <v>2326</v>
      </c>
      <c r="Z106" t="s">
        <v>2219</v>
      </c>
      <c r="AA106" t="s">
        <v>414</v>
      </c>
      <c r="AB106">
        <v>13</v>
      </c>
    </row>
    <row r="107" spans="10:28" x14ac:dyDescent="0.3">
      <c r="J107" s="1" t="str">
        <v>Ixcís</v>
      </c>
      <c r="K107" s="1" t="str">
        <v>ixcis</v>
      </c>
      <c r="L107" s="1">
        <v>194</v>
      </c>
      <c r="M107" s="16">
        <v>194</v>
      </c>
      <c r="N107" s="22">
        <v>1</v>
      </c>
      <c r="Y107" t="s">
        <v>2284</v>
      </c>
      <c r="Z107" t="s">
        <v>2219</v>
      </c>
      <c r="AA107" t="s">
        <v>2250</v>
      </c>
      <c r="AB107">
        <v>13</v>
      </c>
    </row>
    <row r="108" spans="10:28" x14ac:dyDescent="0.3">
      <c r="J108" s="1" t="str">
        <v>J F Martínez</v>
      </c>
      <c r="K108" s="1" t="str">
        <v>j_f_martinez</v>
      </c>
      <c r="L108" s="1">
        <v>1</v>
      </c>
      <c r="M108" s="16">
        <v>0</v>
      </c>
      <c r="N108" s="22">
        <v>0</v>
      </c>
      <c r="Y108" t="s">
        <v>2329</v>
      </c>
      <c r="Z108" t="s">
        <v>2219</v>
      </c>
      <c r="AA108" t="s">
        <v>884</v>
      </c>
      <c r="AB108">
        <v>4</v>
      </c>
    </row>
    <row r="109" spans="10:28" x14ac:dyDescent="0.3">
      <c r="J109" s="1" t="str">
        <v>Jack Hayford</v>
      </c>
      <c r="K109" s="1" t="str">
        <v>jack_hayford</v>
      </c>
      <c r="L109" s="1">
        <v>1</v>
      </c>
      <c r="M109" s="16">
        <v>0</v>
      </c>
      <c r="N109" s="22">
        <v>0</v>
      </c>
      <c r="Y109" t="s">
        <v>2291</v>
      </c>
      <c r="Z109" t="s">
        <v>2219</v>
      </c>
      <c r="AA109" t="s">
        <v>53</v>
      </c>
      <c r="AB109">
        <v>3</v>
      </c>
    </row>
    <row r="110" spans="10:28" x14ac:dyDescent="0.3">
      <c r="J110" s="1" t="str">
        <v>Jaime Espino</v>
      </c>
      <c r="K110" s="1" t="str">
        <v>jaime_espino</v>
      </c>
      <c r="L110" s="1">
        <v>1</v>
      </c>
      <c r="M110" s="16">
        <v>1</v>
      </c>
      <c r="N110" s="22">
        <v>1</v>
      </c>
      <c r="Y110" t="s">
        <v>2293</v>
      </c>
      <c r="Z110" t="s">
        <v>2219</v>
      </c>
      <c r="AA110" t="s">
        <v>53</v>
      </c>
      <c r="AB110">
        <v>5</v>
      </c>
    </row>
    <row r="111" spans="10:28" x14ac:dyDescent="0.3">
      <c r="J111" s="1" t="str">
        <v>Jaime Olguín</v>
      </c>
      <c r="K111" s="1" t="str">
        <v>jaime_olguin</v>
      </c>
      <c r="L111" s="1">
        <v>2</v>
      </c>
      <c r="M111" s="16">
        <v>2</v>
      </c>
      <c r="N111" s="22">
        <v>1</v>
      </c>
      <c r="Y111" t="s">
        <v>2238</v>
      </c>
      <c r="Z111" t="s">
        <v>2219</v>
      </c>
      <c r="AA111" t="s">
        <v>2234</v>
      </c>
      <c r="AB111">
        <v>5</v>
      </c>
    </row>
    <row r="112" spans="10:28" x14ac:dyDescent="0.3">
      <c r="J112" s="1" t="str">
        <v>Janet Lunt</v>
      </c>
      <c r="K112" s="1" t="str">
        <v>janet_lunt</v>
      </c>
      <c r="L112" s="1">
        <v>1</v>
      </c>
      <c r="M112" s="16">
        <v>0</v>
      </c>
      <c r="N112" s="22">
        <v>0</v>
      </c>
      <c r="Y112" t="s">
        <v>2309</v>
      </c>
      <c r="Z112" t="s">
        <v>2219</v>
      </c>
      <c r="AA112" t="s">
        <v>2300</v>
      </c>
      <c r="AB112">
        <v>11</v>
      </c>
    </row>
    <row r="113" spans="10:28" x14ac:dyDescent="0.3">
      <c r="J113" s="1" t="str">
        <v>Javier Gacías</v>
      </c>
      <c r="K113" s="1" t="str">
        <v>javier_gacias</v>
      </c>
      <c r="L113" s="1">
        <v>1</v>
      </c>
      <c r="M113" s="16">
        <v>1</v>
      </c>
      <c r="N113" s="22">
        <v>1</v>
      </c>
      <c r="Y113" t="s">
        <v>2342</v>
      </c>
      <c r="Z113" t="s">
        <v>2219</v>
      </c>
      <c r="AA113" t="s">
        <v>2336</v>
      </c>
      <c r="AB113">
        <v>11</v>
      </c>
    </row>
    <row r="114" spans="10:28" x14ac:dyDescent="0.3">
      <c r="J114" s="1" t="str">
        <v>Javier Rodríguez</v>
      </c>
      <c r="K114" s="1" t="str">
        <v>javier_rodriguez</v>
      </c>
      <c r="L114" s="1">
        <v>1</v>
      </c>
      <c r="M114" s="16">
        <v>0</v>
      </c>
      <c r="N114" s="22">
        <v>0</v>
      </c>
      <c r="Y114" t="s">
        <v>2294</v>
      </c>
      <c r="Z114" t="s">
        <v>2219</v>
      </c>
      <c r="AA114" t="s">
        <v>53</v>
      </c>
      <c r="AB114">
        <v>6</v>
      </c>
    </row>
    <row r="115" spans="10:28" x14ac:dyDescent="0.3">
      <c r="J115" s="1" t="str">
        <v>JEC</v>
      </c>
      <c r="K115" s="1" t="str">
        <v>jec</v>
      </c>
      <c r="L115" s="1">
        <v>1</v>
      </c>
      <c r="M115" s="16">
        <v>1</v>
      </c>
      <c r="N115" s="22">
        <v>1</v>
      </c>
      <c r="Y115" t="s">
        <v>2288</v>
      </c>
      <c r="Z115" t="s">
        <v>2219</v>
      </c>
      <c r="AA115" t="s">
        <v>2250</v>
      </c>
      <c r="AB115">
        <v>17</v>
      </c>
    </row>
    <row r="116" spans="10:28" x14ac:dyDescent="0.3">
      <c r="J116" s="1" t="str">
        <v>Jesucristo Superstar</v>
      </c>
      <c r="K116" s="1" t="str">
        <v>jesucristo_superstar</v>
      </c>
      <c r="L116" s="1">
        <v>1</v>
      </c>
      <c r="M116" s="16">
        <v>1</v>
      </c>
      <c r="N116" s="22">
        <v>1</v>
      </c>
      <c r="Y116" t="s">
        <v>2279</v>
      </c>
      <c r="Z116" t="s">
        <v>2219</v>
      </c>
      <c r="AA116" t="s">
        <v>2250</v>
      </c>
      <c r="AB116">
        <v>8</v>
      </c>
    </row>
    <row r="117" spans="10:28" x14ac:dyDescent="0.3">
      <c r="J117" s="1" t="str">
        <v>Jesús Adrián Romero</v>
      </c>
      <c r="K117" s="1" t="str">
        <v>jesus_adrian_romero</v>
      </c>
      <c r="L117" s="1">
        <v>3</v>
      </c>
      <c r="M117" s="16">
        <v>1</v>
      </c>
      <c r="N117" s="22">
        <v>0.33333333333333331</v>
      </c>
      <c r="Y117" t="s">
        <v>2287</v>
      </c>
      <c r="Z117" t="s">
        <v>2219</v>
      </c>
      <c r="AA117" t="s">
        <v>2250</v>
      </c>
      <c r="AB117">
        <v>16</v>
      </c>
    </row>
    <row r="118" spans="10:28" x14ac:dyDescent="0.3">
      <c r="J118" s="1" t="str">
        <v>Jesús Cardeñoso</v>
      </c>
      <c r="K118" s="1" t="str">
        <v>jesus_cardeñoso</v>
      </c>
      <c r="L118" s="1">
        <v>1</v>
      </c>
      <c r="M118" s="16">
        <v>1</v>
      </c>
      <c r="N118" s="22">
        <v>1</v>
      </c>
      <c r="Y118" t="s">
        <v>2281</v>
      </c>
      <c r="Z118" t="s">
        <v>2219</v>
      </c>
      <c r="AA118" t="s">
        <v>2250</v>
      </c>
      <c r="AB118">
        <v>10</v>
      </c>
    </row>
    <row r="119" spans="10:28" x14ac:dyDescent="0.3">
      <c r="J119" s="1" t="str">
        <v>Joanne Boyce</v>
      </c>
      <c r="K119" s="1" t="str">
        <v>joanne_boyce</v>
      </c>
      <c r="L119" s="1">
        <v>1</v>
      </c>
      <c r="M119" s="16">
        <v>0</v>
      </c>
      <c r="N119" s="22">
        <v>0</v>
      </c>
      <c r="Y119" t="s">
        <v>2230</v>
      </c>
      <c r="Z119" t="s">
        <v>2219</v>
      </c>
      <c r="AA119" t="s">
        <v>2220</v>
      </c>
      <c r="AB119">
        <v>10</v>
      </c>
    </row>
    <row r="120" spans="10:28" x14ac:dyDescent="0.3">
      <c r="J120" s="1" t="str">
        <v>Joaquín Madurga</v>
      </c>
      <c r="K120" s="1" t="str">
        <v>joaquin_madurga</v>
      </c>
      <c r="L120" s="1">
        <v>11</v>
      </c>
      <c r="M120" s="16">
        <v>10</v>
      </c>
      <c r="N120" s="22">
        <v>0.90909090909090906</v>
      </c>
      <c r="Y120" t="s">
        <v>2345</v>
      </c>
      <c r="Z120" t="s">
        <v>2219</v>
      </c>
      <c r="AA120" t="s">
        <v>2344</v>
      </c>
      <c r="AB120">
        <v>3</v>
      </c>
    </row>
    <row r="121" spans="10:28" x14ac:dyDescent="0.3">
      <c r="J121" s="1" t="str">
        <v>Joaquín Santos</v>
      </c>
      <c r="K121" s="1" t="str">
        <v>joaquin_santos</v>
      </c>
      <c r="L121" s="1">
        <v>1</v>
      </c>
      <c r="M121" s="16">
        <v>1</v>
      </c>
      <c r="N121" s="22">
        <v>1</v>
      </c>
      <c r="Y121" t="s">
        <v>2221</v>
      </c>
      <c r="Z121" t="s">
        <v>2219</v>
      </c>
      <c r="AA121" t="s">
        <v>2220</v>
      </c>
      <c r="AB121">
        <v>1</v>
      </c>
    </row>
    <row r="122" spans="10:28" x14ac:dyDescent="0.3">
      <c r="J122" s="1" t="str">
        <v>John Newton</v>
      </c>
      <c r="K122" s="1" t="str">
        <v>john_newton</v>
      </c>
      <c r="L122" s="1">
        <v>1</v>
      </c>
      <c r="M122" s="16">
        <v>0</v>
      </c>
      <c r="N122" s="22">
        <v>0</v>
      </c>
      <c r="Y122" t="s">
        <v>2232</v>
      </c>
      <c r="Z122" t="s">
        <v>2219</v>
      </c>
      <c r="AA122" t="s">
        <v>2220</v>
      </c>
      <c r="AB122">
        <v>13</v>
      </c>
    </row>
    <row r="123" spans="10:28" x14ac:dyDescent="0.3">
      <c r="J123" s="1" t="str">
        <v>John Wimber</v>
      </c>
      <c r="K123" s="1" t="str">
        <v>john_wimber</v>
      </c>
      <c r="L123" s="1">
        <v>1</v>
      </c>
      <c r="M123" s="16">
        <v>0</v>
      </c>
      <c r="N123" s="22">
        <v>0</v>
      </c>
      <c r="Y123" t="s">
        <v>1535</v>
      </c>
      <c r="Z123" t="s">
        <v>2219</v>
      </c>
      <c r="AA123" t="s">
        <v>2220</v>
      </c>
      <c r="AB123">
        <v>11</v>
      </c>
    </row>
    <row r="124" spans="10:28" x14ac:dyDescent="0.3">
      <c r="J124" s="1" t="str">
        <v>José Antonio Labordeta</v>
      </c>
      <c r="K124" s="1" t="str">
        <v>jose_antonio_labordeta</v>
      </c>
      <c r="L124" s="1">
        <v>1</v>
      </c>
      <c r="M124" s="16">
        <v>1</v>
      </c>
      <c r="N124" s="22">
        <v>1</v>
      </c>
      <c r="Y124" t="s">
        <v>2224</v>
      </c>
      <c r="Z124" t="s">
        <v>2219</v>
      </c>
      <c r="AA124" t="s">
        <v>2220</v>
      </c>
      <c r="AB124">
        <v>4</v>
      </c>
    </row>
    <row r="125" spans="10:28" x14ac:dyDescent="0.3">
      <c r="J125" s="1" t="str">
        <v>José Antonio Poblete</v>
      </c>
      <c r="K125" s="1" t="str">
        <v>jose_antonio_poblete</v>
      </c>
      <c r="L125" s="1">
        <v>1</v>
      </c>
      <c r="M125" s="16">
        <v>1</v>
      </c>
      <c r="N125" s="22">
        <v>1</v>
      </c>
      <c r="Y125" t="s">
        <v>2305</v>
      </c>
      <c r="Z125" t="s">
        <v>2219</v>
      </c>
      <c r="AA125" t="s">
        <v>2300</v>
      </c>
      <c r="AB125">
        <v>6</v>
      </c>
    </row>
    <row r="126" spans="10:28" x14ac:dyDescent="0.3">
      <c r="J126" s="1" t="str">
        <v>José Luis Perales</v>
      </c>
      <c r="K126" s="1" t="str">
        <v>jose_luis_perales</v>
      </c>
      <c r="L126" s="1">
        <v>2</v>
      </c>
      <c r="M126" s="16">
        <v>2</v>
      </c>
      <c r="N126" s="22">
        <v>1</v>
      </c>
      <c r="Y126" t="s">
        <v>2334</v>
      </c>
      <c r="Z126" t="s">
        <v>2219</v>
      </c>
      <c r="AA126" t="s">
        <v>884</v>
      </c>
      <c r="AB126">
        <v>11</v>
      </c>
    </row>
    <row r="127" spans="10:28" x14ac:dyDescent="0.3">
      <c r="J127" s="1" t="str">
        <v>José Luis Reyes</v>
      </c>
      <c r="K127" s="1" t="str">
        <v>jose_luis_reyes</v>
      </c>
      <c r="L127" s="1">
        <v>1</v>
      </c>
      <c r="M127" s="16">
        <v>1</v>
      </c>
      <c r="N127" s="22">
        <v>1</v>
      </c>
      <c r="Y127" t="s">
        <v>2319</v>
      </c>
      <c r="Z127" t="s">
        <v>2219</v>
      </c>
      <c r="AA127" t="s">
        <v>414</v>
      </c>
      <c r="AB127">
        <v>6</v>
      </c>
    </row>
    <row r="128" spans="10:28" x14ac:dyDescent="0.3">
      <c r="J128" s="1" t="str">
        <v>José Luis Villalaín</v>
      </c>
      <c r="K128" s="1" t="str">
        <v>jose_luis_villalain</v>
      </c>
      <c r="L128" s="1">
        <v>1</v>
      </c>
      <c r="M128" s="16">
        <v>0</v>
      </c>
      <c r="N128" s="22">
        <v>0</v>
      </c>
    </row>
    <row r="129" spans="10:14" x14ac:dyDescent="0.3">
      <c r="J129" s="1" t="str">
        <v>José Manuel Culebras</v>
      </c>
      <c r="K129" s="1" t="str">
        <v>jose_manuel_culebras</v>
      </c>
      <c r="L129" s="1">
        <v>3</v>
      </c>
      <c r="M129" s="16">
        <v>0</v>
      </c>
      <c r="N129" s="22">
        <v>0</v>
      </c>
    </row>
    <row r="130" spans="10:14" x14ac:dyDescent="0.3">
      <c r="J130" s="1" t="str">
        <v>José María Monedero</v>
      </c>
      <c r="K130" s="1" t="str">
        <v>jose_maria_monedero</v>
      </c>
      <c r="L130" s="1">
        <v>2</v>
      </c>
      <c r="M130" s="16">
        <v>0</v>
      </c>
      <c r="N130" s="22">
        <v>0</v>
      </c>
    </row>
    <row r="131" spans="10:14" x14ac:dyDescent="0.3">
      <c r="J131" s="1" t="str">
        <v>José María Olaizola</v>
      </c>
      <c r="K131" s="1" t="str">
        <v>jose_maria_olaizola</v>
      </c>
      <c r="L131" s="1">
        <v>1</v>
      </c>
      <c r="M131" s="16">
        <v>1</v>
      </c>
      <c r="N131" s="22">
        <v>1</v>
      </c>
    </row>
    <row r="132" spans="10:14" x14ac:dyDescent="0.3">
      <c r="J132" s="1" t="str">
        <v>José Pedro Martins</v>
      </c>
      <c r="K132" s="1" t="str">
        <v>jose_pedro_martins</v>
      </c>
      <c r="L132" s="1">
        <v>4</v>
      </c>
      <c r="M132" s="16">
        <v>4</v>
      </c>
      <c r="N132" s="22">
        <v>1</v>
      </c>
    </row>
    <row r="133" spans="10:14" x14ac:dyDescent="0.3">
      <c r="J133" s="1" t="str">
        <v>José Vives</v>
      </c>
      <c r="K133" s="1" t="str">
        <v>jose_vives</v>
      </c>
      <c r="L133" s="1">
        <v>1</v>
      </c>
      <c r="M133" s="16">
        <v>1</v>
      </c>
      <c r="N133" s="22">
        <v>1</v>
      </c>
    </row>
    <row r="134" spans="10:14" x14ac:dyDescent="0.3">
      <c r="J134" s="1" t="str">
        <v>Josep Asunción</v>
      </c>
      <c r="K134" s="1" t="str">
        <v>josep_asuncion</v>
      </c>
      <c r="L134" s="1">
        <v>11</v>
      </c>
      <c r="M134" s="16">
        <v>11</v>
      </c>
      <c r="N134" s="22">
        <v>1</v>
      </c>
    </row>
    <row r="135" spans="10:14" x14ac:dyDescent="0.3">
      <c r="J135" s="1" t="str">
        <v>Juan Alfonso Greis</v>
      </c>
      <c r="K135" s="1" t="str">
        <v>juan_alfonso_greis</v>
      </c>
      <c r="L135" s="1">
        <v>1</v>
      </c>
      <c r="M135" s="16">
        <v>0</v>
      </c>
      <c r="N135" s="22">
        <v>0</v>
      </c>
    </row>
    <row r="136" spans="10:14" x14ac:dyDescent="0.3">
      <c r="J136" s="1" t="str">
        <v>Juan Antonio Espinosa</v>
      </c>
      <c r="K136" s="1" t="str">
        <v>juan_antonio_espinosa</v>
      </c>
      <c r="L136" s="1">
        <v>30</v>
      </c>
      <c r="M136" s="16">
        <v>30</v>
      </c>
      <c r="N136" s="22">
        <v>1</v>
      </c>
    </row>
    <row r="137" spans="10:14" x14ac:dyDescent="0.3">
      <c r="J137" s="1" t="str">
        <v>Juan Carlos Ayala</v>
      </c>
      <c r="K137" s="1" t="str">
        <v>juan_carlos_ayala</v>
      </c>
      <c r="L137" s="1">
        <v>1</v>
      </c>
      <c r="M137" s="16">
        <v>1</v>
      </c>
      <c r="N137" s="22">
        <v>1</v>
      </c>
    </row>
    <row r="138" spans="10:14" x14ac:dyDescent="0.3">
      <c r="J138" s="1" t="str">
        <v>Juan Erasmo Mochi</v>
      </c>
      <c r="K138" s="1" t="str">
        <v>juan_erasmo_mochi</v>
      </c>
      <c r="L138" s="1">
        <v>1</v>
      </c>
      <c r="M138" s="16">
        <v>1</v>
      </c>
      <c r="N138" s="22">
        <v>1</v>
      </c>
    </row>
    <row r="139" spans="10:14" x14ac:dyDescent="0.3">
      <c r="J139" s="1" t="str">
        <v>Juan Jáuregui</v>
      </c>
      <c r="K139" s="1" t="str">
        <v>juan_jauregui</v>
      </c>
      <c r="L139" s="1">
        <v>4</v>
      </c>
      <c r="M139" s="16">
        <v>4</v>
      </c>
      <c r="N139" s="22">
        <v>1</v>
      </c>
    </row>
    <row r="140" spans="10:14" x14ac:dyDescent="0.3">
      <c r="J140" s="1" t="str">
        <v>Juan Manuel Martín</v>
      </c>
      <c r="K140" s="1" t="str">
        <v>juan_manuel_martin</v>
      </c>
      <c r="L140" s="1">
        <v>1</v>
      </c>
      <c r="M140" s="16">
        <v>0</v>
      </c>
      <c r="N140" s="22">
        <v>0</v>
      </c>
    </row>
    <row r="141" spans="10:14" x14ac:dyDescent="0.3">
      <c r="J141" s="1" t="str">
        <v>Juan Pablo Culebras</v>
      </c>
      <c r="K141" s="1" t="str">
        <v>juan_pablo_culebras</v>
      </c>
      <c r="L141" s="1">
        <v>1</v>
      </c>
      <c r="M141" s="16">
        <v>0</v>
      </c>
      <c r="N141" s="22">
        <v>0</v>
      </c>
    </row>
    <row r="142" spans="10:14" x14ac:dyDescent="0.3">
      <c r="J142" s="1" t="str">
        <v>Juanjo Elezkano</v>
      </c>
      <c r="K142" s="1" t="str">
        <v>juanjo_elezkano</v>
      </c>
      <c r="L142" s="1">
        <v>11</v>
      </c>
      <c r="M142" s="16">
        <v>9</v>
      </c>
      <c r="N142" s="22">
        <v>0.81818181818181823</v>
      </c>
    </row>
    <row r="143" spans="10:14" x14ac:dyDescent="0.3">
      <c r="J143" s="1" t="str">
        <v>Julián Huete</v>
      </c>
      <c r="K143" s="1" t="str">
        <v>julian_huete</v>
      </c>
      <c r="L143" s="1">
        <v>2</v>
      </c>
      <c r="M143" s="16">
        <v>0</v>
      </c>
      <c r="N143" s="22">
        <v>0</v>
      </c>
    </row>
    <row r="144" spans="10:14" x14ac:dyDescent="0.3">
      <c r="J144" s="1" t="str">
        <v>Kairoi</v>
      </c>
      <c r="K144" s="1" t="str">
        <v>kairoi</v>
      </c>
      <c r="L144" s="1">
        <v>270</v>
      </c>
      <c r="M144" s="16">
        <v>144</v>
      </c>
      <c r="N144" s="22">
        <v>0.53333333333333333</v>
      </c>
    </row>
    <row r="145" spans="10:14" x14ac:dyDescent="0.3">
      <c r="J145" s="1" t="str">
        <v>Karen Lafferty</v>
      </c>
      <c r="K145" s="1" t="str">
        <v>karen_lafferty</v>
      </c>
      <c r="L145" s="1">
        <v>1</v>
      </c>
      <c r="M145" s="16">
        <v>1</v>
      </c>
      <c r="N145" s="22">
        <v>1</v>
      </c>
    </row>
    <row r="146" spans="10:14" x14ac:dyDescent="0.3">
      <c r="J146" s="1" t="str">
        <v>Keith Routledge</v>
      </c>
      <c r="K146" s="1" t="str">
        <v>keith_routledge</v>
      </c>
      <c r="L146" s="1">
        <v>1</v>
      </c>
      <c r="M146" s="16">
        <v>0</v>
      </c>
      <c r="N146" s="22">
        <v>0</v>
      </c>
    </row>
    <row r="147" spans="10:14" x14ac:dyDescent="0.3">
      <c r="J147" s="1" t="str">
        <v>Kent Leroy</v>
      </c>
      <c r="K147" s="1" t="str">
        <v>kent_leroy</v>
      </c>
      <c r="L147" s="1">
        <v>1</v>
      </c>
      <c r="M147" s="16">
        <v>1</v>
      </c>
      <c r="N147" s="22">
        <v>1</v>
      </c>
    </row>
    <row r="148" spans="10:14" x14ac:dyDescent="0.3">
      <c r="J148" s="1" t="str">
        <v>Kiko Argüello</v>
      </c>
      <c r="K148" s="1" t="str">
        <v>kiko_argüello</v>
      </c>
      <c r="L148" s="1">
        <v>2</v>
      </c>
      <c r="M148" s="16">
        <v>2</v>
      </c>
      <c r="N148" s="22">
        <v>1</v>
      </c>
    </row>
    <row r="149" spans="10:14" x14ac:dyDescent="0.3">
      <c r="J149" s="1" t="str">
        <v>Laurie Klein</v>
      </c>
      <c r="K149" s="1" t="str">
        <v>laurie_klein</v>
      </c>
      <c r="L149" s="1">
        <v>1</v>
      </c>
      <c r="M149" s="16">
        <v>0</v>
      </c>
      <c r="N149" s="22">
        <v>0</v>
      </c>
    </row>
    <row r="150" spans="10:14" x14ac:dyDescent="0.3">
      <c r="J150" s="1" t="str">
        <v>Lázaro Iparraguirre</v>
      </c>
      <c r="K150" s="1" t="str">
        <v>lazaro_iparraguirre</v>
      </c>
      <c r="L150" s="1">
        <v>14</v>
      </c>
      <c r="M150" s="16">
        <v>10</v>
      </c>
      <c r="N150" s="22">
        <v>0.7142857142857143</v>
      </c>
    </row>
    <row r="151" spans="10:14" x14ac:dyDescent="0.3">
      <c r="J151" s="1" t="str">
        <v>Léah Pavageau</v>
      </c>
      <c r="K151" s="1" t="str">
        <v>leah_pavageau</v>
      </c>
      <c r="L151" s="1">
        <v>1</v>
      </c>
      <c r="M151" s="16">
        <v>1</v>
      </c>
      <c r="N151" s="22">
        <v>1</v>
      </c>
    </row>
    <row r="152" spans="10:14" x14ac:dyDescent="0.3">
      <c r="J152" s="1" t="str">
        <v>Leona von Brethorst</v>
      </c>
      <c r="K152" s="1" t="str">
        <v>leona_von_brethorst</v>
      </c>
      <c r="L152" s="1">
        <v>1</v>
      </c>
      <c r="M152" s="16">
        <v>0</v>
      </c>
      <c r="N152" s="22">
        <v>0</v>
      </c>
    </row>
    <row r="153" spans="10:14" x14ac:dyDescent="0.3">
      <c r="J153" s="1" t="str">
        <v>Leonard Cohen</v>
      </c>
      <c r="K153" s="1" t="str">
        <v>leonard_cohen</v>
      </c>
      <c r="L153" s="1">
        <v>1</v>
      </c>
      <c r="M153" s="16">
        <v>1</v>
      </c>
      <c r="N153" s="22">
        <v>1</v>
      </c>
    </row>
    <row r="154" spans="10:14" x14ac:dyDescent="0.3">
      <c r="J154" s="1" t="str">
        <v>Leonard Smith</v>
      </c>
      <c r="K154" s="1" t="str">
        <v>leonard_smith</v>
      </c>
      <c r="L154" s="1">
        <v>1</v>
      </c>
      <c r="M154" s="16">
        <v>0</v>
      </c>
      <c r="N154" s="22">
        <v>0</v>
      </c>
    </row>
    <row r="155" spans="10:14" x14ac:dyDescent="0.3">
      <c r="J155" s="1" t="str">
        <v>Lewis Jones</v>
      </c>
      <c r="K155" s="1" t="str">
        <v>lewis_jones</v>
      </c>
      <c r="L155" s="1">
        <v>1</v>
      </c>
      <c r="M155" s="16">
        <v>0</v>
      </c>
      <c r="N155" s="22">
        <v>0</v>
      </c>
    </row>
    <row r="156" spans="10:14" x14ac:dyDescent="0.3">
      <c r="J156" s="1" t="str">
        <v>Lili Zaidín</v>
      </c>
      <c r="K156" s="1" t="str">
        <v>lili_zaidin</v>
      </c>
      <c r="L156" s="1">
        <v>1</v>
      </c>
      <c r="M156" s="16">
        <v>1</v>
      </c>
      <c r="N156" s="22">
        <v>1</v>
      </c>
    </row>
    <row r="157" spans="10:14" x14ac:dyDescent="0.3">
      <c r="J157" s="1" t="str">
        <v>Linda Duval</v>
      </c>
      <c r="K157" s="1" t="str">
        <v>linda_duval</v>
      </c>
      <c r="L157" s="1">
        <v>1</v>
      </c>
      <c r="M157" s="16">
        <v>1</v>
      </c>
      <c r="N157" s="22">
        <v>1</v>
      </c>
    </row>
    <row r="158" spans="10:14" x14ac:dyDescent="0.3">
      <c r="J158" s="1" t="str">
        <v>Linda Stassen</v>
      </c>
      <c r="K158" s="1" t="str">
        <v>linda_stassen</v>
      </c>
      <c r="L158" s="1">
        <v>1</v>
      </c>
      <c r="M158" s="16">
        <v>1</v>
      </c>
      <c r="N158" s="22">
        <v>1</v>
      </c>
    </row>
    <row r="159" spans="10:14" x14ac:dyDescent="0.3">
      <c r="J159" s="1" t="str">
        <v>Lluís Llach</v>
      </c>
      <c r="K159" s="1" t="str">
        <v>lluis_llach</v>
      </c>
      <c r="L159" s="1">
        <v>1</v>
      </c>
      <c r="M159" s="16">
        <v>1</v>
      </c>
      <c r="N159" s="22">
        <v>1</v>
      </c>
    </row>
    <row r="160" spans="10:14" x14ac:dyDescent="0.3">
      <c r="J160" s="1" t="str">
        <v>Lola Tomillo</v>
      </c>
      <c r="K160" s="1" t="str">
        <v>lola_tomillo</v>
      </c>
      <c r="L160" s="1">
        <v>1</v>
      </c>
      <c r="M160" s="16">
        <v>0</v>
      </c>
      <c r="N160" s="22">
        <v>0</v>
      </c>
    </row>
    <row r="161" spans="10:14" x14ac:dyDescent="0.3">
      <c r="J161" s="1" t="str">
        <v>Lori Black Mathis</v>
      </c>
      <c r="K161" s="1" t="str">
        <v>lori_black_mathis</v>
      </c>
      <c r="L161" s="1">
        <v>1</v>
      </c>
      <c r="M161" s="16">
        <v>0</v>
      </c>
      <c r="N161" s="22">
        <v>0</v>
      </c>
    </row>
    <row r="162" spans="10:14" x14ac:dyDescent="0.3">
      <c r="J162" s="1" t="str">
        <v>Lourdes Fonteriz</v>
      </c>
      <c r="K162" s="1" t="str">
        <v>lourdes_fonteriz</v>
      </c>
      <c r="L162" s="1">
        <v>1</v>
      </c>
      <c r="M162" s="16">
        <v>0</v>
      </c>
      <c r="N162" s="22">
        <v>0</v>
      </c>
    </row>
    <row r="163" spans="10:14" x14ac:dyDescent="0.3">
      <c r="J163" s="1" t="str">
        <v>Lucas Casaert</v>
      </c>
      <c r="K163" s="1" t="str">
        <v>lucas_casaert</v>
      </c>
      <c r="L163" s="1">
        <v>4</v>
      </c>
      <c r="M163" s="16">
        <v>0</v>
      </c>
      <c r="N163" s="22">
        <v>0</v>
      </c>
    </row>
    <row r="164" spans="10:14" x14ac:dyDescent="0.3">
      <c r="J164" s="1" t="str">
        <v>Lucía Asturias</v>
      </c>
      <c r="K164" s="1" t="str">
        <v>lucia_asturias</v>
      </c>
      <c r="L164" s="1">
        <v>1</v>
      </c>
      <c r="M164" s="16">
        <v>0</v>
      </c>
      <c r="N164" s="22">
        <v>0</v>
      </c>
    </row>
    <row r="165" spans="10:14" x14ac:dyDescent="0.3">
      <c r="J165" s="1" t="str">
        <v>Lucien Deiss</v>
      </c>
      <c r="K165" s="1" t="str">
        <v>lucien_deiss</v>
      </c>
      <c r="L165" s="1">
        <v>4</v>
      </c>
      <c r="M165" s="16">
        <v>4</v>
      </c>
      <c r="N165" s="22">
        <v>1</v>
      </c>
    </row>
    <row r="166" spans="10:14" x14ac:dyDescent="0.3">
      <c r="J166" s="1" t="str">
        <v>Luis Alberto González</v>
      </c>
      <c r="K166" s="1" t="str">
        <v>luis_alberto_gonzalez</v>
      </c>
      <c r="L166" s="1">
        <v>1</v>
      </c>
      <c r="M166" s="16">
        <v>0</v>
      </c>
      <c r="N166" s="22">
        <v>0</v>
      </c>
    </row>
    <row r="167" spans="10:14" x14ac:dyDescent="0.3">
      <c r="J167" s="1" t="str">
        <v>Luis Alfredo Díaz</v>
      </c>
      <c r="K167" s="1" t="str">
        <v>luis_alfredo_diaz</v>
      </c>
      <c r="L167" s="1">
        <v>19</v>
      </c>
      <c r="M167" s="16">
        <v>6</v>
      </c>
      <c r="N167" s="22">
        <v>0.31578947368421051</v>
      </c>
    </row>
    <row r="168" spans="10:14" x14ac:dyDescent="0.3">
      <c r="J168" s="1" t="str">
        <v>Luis Enrique Ascoy</v>
      </c>
      <c r="K168" s="1" t="str">
        <v>luis_enrique_ascoy</v>
      </c>
      <c r="L168" s="1">
        <v>1</v>
      </c>
      <c r="M168" s="16">
        <v>0</v>
      </c>
      <c r="N168" s="22">
        <v>0</v>
      </c>
    </row>
    <row r="169" spans="10:14" x14ac:dyDescent="0.3">
      <c r="J169" s="1" t="str">
        <v>Luis Guitarra</v>
      </c>
      <c r="K169" s="1" t="str">
        <v>luis_guitarra</v>
      </c>
      <c r="L169" s="1">
        <v>1</v>
      </c>
      <c r="M169" s="16">
        <v>1</v>
      </c>
      <c r="N169" s="22">
        <v>1</v>
      </c>
    </row>
    <row r="170" spans="10:14" x14ac:dyDescent="0.3">
      <c r="J170" s="1" t="str">
        <v>Luispo</v>
      </c>
      <c r="K170" s="1" t="str">
        <v>luispo</v>
      </c>
      <c r="L170" s="1">
        <v>3</v>
      </c>
      <c r="M170" s="16">
        <v>3</v>
      </c>
      <c r="N170" s="22">
        <v>1</v>
      </c>
    </row>
    <row r="171" spans="10:14" x14ac:dyDescent="0.3">
      <c r="J171" s="1" t="str">
        <v>Lynn Baird</v>
      </c>
      <c r="K171" s="1" t="str">
        <v>lynn_baird</v>
      </c>
      <c r="L171" s="1">
        <v>1</v>
      </c>
      <c r="M171" s="16">
        <v>0</v>
      </c>
      <c r="N171" s="22">
        <v>0</v>
      </c>
    </row>
    <row r="172" spans="10:14" x14ac:dyDescent="0.3">
      <c r="J172" s="1" t="str">
        <v>Maite López</v>
      </c>
      <c r="K172" s="1" t="str">
        <v>maite_lopez</v>
      </c>
      <c r="L172" s="1">
        <v>1</v>
      </c>
      <c r="M172" s="16">
        <v>1</v>
      </c>
      <c r="N172" s="22">
        <v>1</v>
      </c>
    </row>
    <row r="173" spans="10:14" x14ac:dyDescent="0.3">
      <c r="J173" s="1" t="str">
        <v>Manuel Rosa</v>
      </c>
      <c r="K173" s="1" t="str">
        <v>manuel_rosa</v>
      </c>
      <c r="L173" s="1">
        <v>2</v>
      </c>
      <c r="M173" s="16">
        <v>0</v>
      </c>
      <c r="N173" s="22">
        <v>0</v>
      </c>
    </row>
    <row r="174" spans="10:14" x14ac:dyDescent="0.3">
      <c r="J174" s="1" t="str">
        <v>Maranatha</v>
      </c>
      <c r="K174" s="1" t="str">
        <v>maranatha</v>
      </c>
      <c r="L174" s="1">
        <v>3</v>
      </c>
      <c r="M174" s="16">
        <v>2</v>
      </c>
      <c r="N174" s="22">
        <v>0.66666666666666663</v>
      </c>
    </row>
    <row r="175" spans="10:14" x14ac:dyDescent="0.3">
      <c r="J175" s="1" t="str">
        <v>Marcela de María</v>
      </c>
      <c r="K175" s="1" t="str">
        <v>marcela_de_maria</v>
      </c>
      <c r="L175" s="1">
        <v>1</v>
      </c>
      <c r="M175" s="16">
        <v>1</v>
      </c>
      <c r="N175" s="22">
        <v>1</v>
      </c>
    </row>
    <row r="176" spans="10:14" x14ac:dyDescent="0.3">
      <c r="J176" s="1" t="str">
        <v>Marcela Jobe</v>
      </c>
      <c r="K176" s="1" t="str">
        <v>marcela_jobe</v>
      </c>
      <c r="L176" s="1">
        <v>1</v>
      </c>
      <c r="M176" s="16">
        <v>0</v>
      </c>
      <c r="N176" s="22">
        <v>0</v>
      </c>
    </row>
    <row r="177" spans="10:14" x14ac:dyDescent="0.3">
      <c r="J177" s="1" t="str">
        <v>Marcelino García</v>
      </c>
      <c r="K177" s="1" t="str">
        <v>marcelino_garcia</v>
      </c>
      <c r="L177" s="1">
        <v>1</v>
      </c>
      <c r="M177" s="16">
        <v>0</v>
      </c>
      <c r="N177" s="22">
        <v>0</v>
      </c>
    </row>
    <row r="178" spans="10:14" x14ac:dyDescent="0.3">
      <c r="J178" s="1" t="str">
        <v>Marco Barrientos</v>
      </c>
      <c r="K178" s="1" t="str">
        <v>marco_barrientos</v>
      </c>
      <c r="L178" s="1">
        <v>3</v>
      </c>
      <c r="M178" s="16">
        <v>1</v>
      </c>
      <c r="N178" s="22">
        <v>0.33333333333333331</v>
      </c>
    </row>
    <row r="179" spans="10:14" x14ac:dyDescent="0.3">
      <c r="J179" s="1" t="str">
        <v>Marco López</v>
      </c>
      <c r="K179" s="1" t="str">
        <v>marco_lopez</v>
      </c>
      <c r="L179" s="1">
        <v>1</v>
      </c>
      <c r="M179" s="16">
        <v>1</v>
      </c>
      <c r="N179" s="22">
        <v>1</v>
      </c>
    </row>
    <row r="180" spans="10:14" x14ac:dyDescent="0.3">
      <c r="J180" s="1" t="str">
        <v>Marcos Frisina</v>
      </c>
      <c r="K180" s="1" t="str">
        <v>marcos_frisina</v>
      </c>
      <c r="L180" s="1">
        <v>1</v>
      </c>
      <c r="M180" s="16">
        <v>1</v>
      </c>
      <c r="N180" s="22">
        <v>1</v>
      </c>
    </row>
    <row r="181" spans="10:14" x14ac:dyDescent="0.3">
      <c r="J181" s="1" t="str">
        <v>Marcos Witt</v>
      </c>
      <c r="K181" s="1" t="str">
        <v>marcos_witt</v>
      </c>
      <c r="L181" s="1">
        <v>9</v>
      </c>
      <c r="M181" s="16">
        <v>2</v>
      </c>
      <c r="N181" s="22">
        <v>0.22222222222222221</v>
      </c>
    </row>
    <row r="182" spans="10:14" x14ac:dyDescent="0.3">
      <c r="J182" s="1" t="str">
        <v>Marga Trufero</v>
      </c>
      <c r="K182" s="1" t="str">
        <v>marga_trufero</v>
      </c>
      <c r="L182" s="1">
        <v>1</v>
      </c>
      <c r="M182" s="16">
        <v>0</v>
      </c>
      <c r="N182" s="22">
        <v>0</v>
      </c>
    </row>
    <row r="183" spans="10:14" x14ac:dyDescent="0.3">
      <c r="J183" s="1" t="str">
        <v>Mari Puy Montaner</v>
      </c>
      <c r="K183" s="1" t="str">
        <v>mari_puy_montaner</v>
      </c>
      <c r="L183" s="1">
        <v>1</v>
      </c>
      <c r="M183" s="16">
        <v>0</v>
      </c>
      <c r="N183" s="22">
        <v>0</v>
      </c>
    </row>
    <row r="184" spans="10:14" x14ac:dyDescent="0.3">
      <c r="J184" s="1" t="str">
        <v>María Parkinson</v>
      </c>
      <c r="K184" s="1" t="str">
        <v>maria_parkinson</v>
      </c>
      <c r="L184" s="1">
        <v>1</v>
      </c>
      <c r="M184" s="16">
        <v>0</v>
      </c>
      <c r="N184" s="22">
        <v>0</v>
      </c>
    </row>
    <row r="185" spans="10:14" x14ac:dyDescent="0.3">
      <c r="J185" s="1" t="str">
        <v>Mariano Fuertes</v>
      </c>
      <c r="K185" s="1" t="str">
        <v>mariano_fuertes</v>
      </c>
      <c r="L185" s="1">
        <v>1</v>
      </c>
      <c r="M185" s="16">
        <v>1</v>
      </c>
      <c r="N185" s="22">
        <v>1</v>
      </c>
    </row>
    <row r="186" spans="10:14" x14ac:dyDescent="0.3">
      <c r="J186" s="1" t="str">
        <v>Marie Barnett</v>
      </c>
      <c r="K186" s="1" t="str">
        <v>marie_barnett</v>
      </c>
      <c r="L186" s="1">
        <v>1</v>
      </c>
      <c r="M186" s="16">
        <v>0</v>
      </c>
      <c r="N186" s="22">
        <v>0</v>
      </c>
    </row>
    <row r="187" spans="10:14" x14ac:dyDescent="0.3">
      <c r="J187" s="1" t="str">
        <v>Marisa Cecilia</v>
      </c>
      <c r="K187" s="1" t="str">
        <v>marisa_cecilia</v>
      </c>
      <c r="L187" s="1">
        <v>1</v>
      </c>
      <c r="M187" s="16">
        <v>0</v>
      </c>
      <c r="N187" s="22">
        <v>0</v>
      </c>
    </row>
    <row r="188" spans="10:14" x14ac:dyDescent="0.3">
      <c r="J188" s="1" t="str">
        <v>Marisa Liste</v>
      </c>
      <c r="K188" s="1" t="str">
        <v>marisa_liste</v>
      </c>
      <c r="L188" s="1">
        <v>1</v>
      </c>
      <c r="M188" s="16">
        <v>0</v>
      </c>
      <c r="N188" s="22">
        <v>0</v>
      </c>
    </row>
    <row r="189" spans="10:14" x14ac:dyDescent="0.3">
      <c r="J189" s="1" t="str">
        <v>Marisa y Noemí</v>
      </c>
      <c r="K189" s="1" t="str">
        <v>marisa_y_noemi</v>
      </c>
      <c r="L189" s="1">
        <v>2</v>
      </c>
      <c r="M189" s="16">
        <v>0</v>
      </c>
      <c r="N189" s="22">
        <v>0</v>
      </c>
    </row>
    <row r="190" spans="10:14" x14ac:dyDescent="0.3">
      <c r="J190" s="1" t="str">
        <v>Mark Altragge</v>
      </c>
      <c r="K190" s="1" t="str">
        <v>mark_altragge</v>
      </c>
      <c r="L190" s="1">
        <v>1</v>
      </c>
      <c r="M190" s="16">
        <v>0</v>
      </c>
      <c r="N190" s="22">
        <v>0</v>
      </c>
    </row>
    <row r="191" spans="10:14" x14ac:dyDescent="0.3">
      <c r="J191" s="1" t="str">
        <v>Marta Calvo</v>
      </c>
      <c r="K191" s="1" t="str">
        <v>marta_calvo</v>
      </c>
      <c r="L191" s="1">
        <v>1</v>
      </c>
      <c r="M191" s="16">
        <v>0</v>
      </c>
      <c r="N191" s="22">
        <v>0</v>
      </c>
    </row>
    <row r="192" spans="10:14" x14ac:dyDescent="0.3">
      <c r="J192" s="1" t="str">
        <v>Marta Gil-Delgado</v>
      </c>
      <c r="K192" s="1" t="str">
        <v>marta_gil-delgado</v>
      </c>
      <c r="L192" s="1">
        <v>10</v>
      </c>
      <c r="M192" s="16">
        <v>0</v>
      </c>
      <c r="N192" s="22">
        <v>0</v>
      </c>
    </row>
    <row r="193" spans="10:14" x14ac:dyDescent="0.3">
      <c r="J193" s="1" t="str">
        <v>Martín Valverde</v>
      </c>
      <c r="K193" s="1" t="str">
        <v>martin_valverde</v>
      </c>
      <c r="L193" s="1">
        <v>3</v>
      </c>
      <c r="M193" s="16">
        <v>1</v>
      </c>
      <c r="N193" s="22">
        <v>0.33333333333333331</v>
      </c>
    </row>
    <row r="194" spans="10:14" x14ac:dyDescent="0.3">
      <c r="J194" s="1" t="str">
        <v>Marvin Frey</v>
      </c>
      <c r="K194" s="1" t="str">
        <v>marvin_frey</v>
      </c>
      <c r="L194" s="1">
        <v>1</v>
      </c>
      <c r="M194" s="16">
        <v>0</v>
      </c>
      <c r="N194" s="22">
        <v>0</v>
      </c>
    </row>
    <row r="195" spans="10:14" x14ac:dyDescent="0.3">
      <c r="J195" s="1" t="str">
        <v>Mercedes González</v>
      </c>
      <c r="K195" s="1" t="str">
        <v>mercedes_gonzalez</v>
      </c>
      <c r="L195" s="1">
        <v>3</v>
      </c>
      <c r="M195" s="16">
        <v>3</v>
      </c>
      <c r="N195" s="22">
        <v>1</v>
      </c>
    </row>
    <row r="196" spans="10:14" x14ac:dyDescent="0.3">
      <c r="J196" s="1" t="str">
        <v>Merla Watson</v>
      </c>
      <c r="K196" s="1" t="str">
        <v>merla_watson</v>
      </c>
      <c r="L196" s="1">
        <v>1</v>
      </c>
      <c r="M196" s="16">
        <v>0</v>
      </c>
      <c r="N196" s="22">
        <v>0</v>
      </c>
    </row>
    <row r="197" spans="10:14" x14ac:dyDescent="0.3">
      <c r="J197" s="1" t="str">
        <v>Michael O'Shields</v>
      </c>
      <c r="K197" s="1" t="str">
        <v>michael_o'shields</v>
      </c>
      <c r="L197" s="1">
        <v>1</v>
      </c>
      <c r="M197" s="16">
        <v>0</v>
      </c>
      <c r="N197" s="22">
        <v>0</v>
      </c>
    </row>
    <row r="198" spans="10:14" x14ac:dyDescent="0.3">
      <c r="J198" s="1" t="str">
        <v>Michael W. Smith</v>
      </c>
      <c r="K198" s="1" t="str">
        <v>michael_w_smith</v>
      </c>
      <c r="L198" s="1">
        <v>1</v>
      </c>
      <c r="M198" s="16">
        <v>0</v>
      </c>
      <c r="N198" s="22">
        <v>0</v>
      </c>
    </row>
    <row r="199" spans="10:14" x14ac:dyDescent="0.3">
      <c r="J199" s="1" t="str">
        <v>Miguel Casina</v>
      </c>
      <c r="K199" s="1" t="str">
        <v>miguel_casina</v>
      </c>
      <c r="L199" s="1">
        <v>2</v>
      </c>
      <c r="M199" s="16">
        <v>0</v>
      </c>
      <c r="N199" s="22">
        <v>0</v>
      </c>
    </row>
    <row r="200" spans="10:14" x14ac:dyDescent="0.3">
      <c r="J200" s="1" t="str">
        <v>Miguel Manzano</v>
      </c>
      <c r="K200" s="1" t="str">
        <v>miguel_manzano</v>
      </c>
      <c r="L200" s="1">
        <v>19</v>
      </c>
      <c r="M200" s="16">
        <v>19</v>
      </c>
      <c r="N200" s="22">
        <v>1</v>
      </c>
    </row>
    <row r="201" spans="10:14" x14ac:dyDescent="0.3">
      <c r="J201" s="1" t="str">
        <v>Migueli</v>
      </c>
      <c r="K201" s="1" t="str">
        <v>migueli</v>
      </c>
      <c r="L201" s="1">
        <v>4</v>
      </c>
      <c r="M201" s="16">
        <v>4</v>
      </c>
      <c r="N201" s="22">
        <v>1</v>
      </c>
    </row>
    <row r="202" spans="10:14" x14ac:dyDescent="0.3">
      <c r="J202" s="1" t="str">
        <v>Milagros Rosa</v>
      </c>
      <c r="K202" s="1" t="str">
        <v>milagros_rosa</v>
      </c>
      <c r="L202" s="1">
        <v>1</v>
      </c>
      <c r="M202" s="16">
        <v>0</v>
      </c>
      <c r="N202" s="22">
        <v>0</v>
      </c>
    </row>
    <row r="203" spans="10:14" x14ac:dyDescent="0.3">
      <c r="J203" s="1" t="str">
        <v>Misa nicaragüense</v>
      </c>
      <c r="K203" s="1" t="str">
        <v>misa_nicaragüense</v>
      </c>
      <c r="L203" s="1">
        <v>3</v>
      </c>
      <c r="M203" s="16">
        <v>2</v>
      </c>
      <c r="N203" s="22">
        <v>0.66666666666666663</v>
      </c>
    </row>
    <row r="204" spans="10:14" x14ac:dyDescent="0.3">
      <c r="J204" s="1" t="str">
        <v>Misa salvadoreña</v>
      </c>
      <c r="K204" s="1" t="str">
        <v>misa_salvadoreña</v>
      </c>
      <c r="L204" s="1">
        <v>2</v>
      </c>
      <c r="M204" s="16">
        <v>2</v>
      </c>
      <c r="N204" s="22">
        <v>1</v>
      </c>
    </row>
    <row r="205" spans="10:14" x14ac:dyDescent="0.3">
      <c r="J205" s="1" t="str">
        <v>Misioneros de la Esperanza</v>
      </c>
      <c r="K205" s="1" t="str">
        <v>misioneros_de_la_esperanza</v>
      </c>
      <c r="L205" s="1">
        <v>1</v>
      </c>
      <c r="M205" s="16">
        <v>1</v>
      </c>
      <c r="N205" s="22">
        <v>1</v>
      </c>
    </row>
    <row r="206" spans="10:14" x14ac:dyDescent="0.3">
      <c r="J206" s="1" t="str">
        <v>Mocedades</v>
      </c>
      <c r="K206" s="1" t="str">
        <v>mocedades</v>
      </c>
      <c r="L206" s="1">
        <v>1</v>
      </c>
      <c r="M206" s="16">
        <v>1</v>
      </c>
      <c r="N206" s="22">
        <v>1</v>
      </c>
    </row>
    <row r="207" spans="10:14" x14ac:dyDescent="0.3">
      <c r="J207" s="1" t="str">
        <v>Nico Montero</v>
      </c>
      <c r="K207" s="1" t="str">
        <v>nico_montero</v>
      </c>
      <c r="L207" s="1">
        <v>2</v>
      </c>
      <c r="M207" s="16">
        <v>2</v>
      </c>
      <c r="N207" s="22">
        <v>1</v>
      </c>
    </row>
    <row r="208" spans="10:14" x14ac:dyDescent="0.3">
      <c r="J208" s="1" t="str">
        <v>Noemí Liste</v>
      </c>
      <c r="K208" s="1" t="str">
        <v>noemi_liste</v>
      </c>
      <c r="L208" s="1">
        <v>1</v>
      </c>
      <c r="M208" s="16">
        <v>0</v>
      </c>
      <c r="N208" s="22">
        <v>0</v>
      </c>
    </row>
    <row r="209" spans="10:14" x14ac:dyDescent="0.3">
      <c r="J209" s="1" t="str">
        <v>Obras Misionales Pontificias</v>
      </c>
      <c r="K209" s="1" t="str">
        <v>obras_misionales_pontificias</v>
      </c>
      <c r="L209" s="1">
        <v>1</v>
      </c>
      <c r="M209" s="16">
        <v>0</v>
      </c>
      <c r="N209" s="22">
        <v>0</v>
      </c>
    </row>
    <row r="210" spans="10:14" x14ac:dyDescent="0.3">
      <c r="J210" s="1" t="str">
        <v>Oscar Palomares</v>
      </c>
      <c r="K210" s="1" t="str">
        <v>oscar_palomares</v>
      </c>
      <c r="L210" s="1">
        <v>1</v>
      </c>
      <c r="M210" s="16">
        <v>1</v>
      </c>
      <c r="N210" s="22">
        <v>1</v>
      </c>
    </row>
    <row r="211" spans="10:14" x14ac:dyDescent="0.3">
      <c r="J211" s="1" t="str">
        <v>P Buen Pastor</v>
      </c>
      <c r="K211" s="1" t="str">
        <v>p_buen_pastor</v>
      </c>
      <c r="L211" s="1">
        <v>2</v>
      </c>
      <c r="M211" s="16">
        <v>2</v>
      </c>
      <c r="N211" s="22">
        <v>1</v>
      </c>
    </row>
    <row r="212" spans="10:14" x14ac:dyDescent="0.3">
      <c r="J212" s="1" t="str">
        <v>Pablo Cebrián</v>
      </c>
      <c r="K212" s="1" t="str">
        <v>pablo_cebrian</v>
      </c>
      <c r="L212" s="1">
        <v>1</v>
      </c>
      <c r="M212" s="16">
        <v>1</v>
      </c>
      <c r="N212" s="22">
        <v>1</v>
      </c>
    </row>
    <row r="213" spans="10:14" x14ac:dyDescent="0.3">
      <c r="J213" s="1" t="str">
        <v>Pablo Coloma</v>
      </c>
      <c r="K213" s="1" t="str">
        <v>pablo_coloma</v>
      </c>
      <c r="L213" s="1">
        <v>1</v>
      </c>
      <c r="M213" s="16">
        <v>1</v>
      </c>
      <c r="N213" s="22">
        <v>1</v>
      </c>
    </row>
    <row r="214" spans="10:14" x14ac:dyDescent="0.3">
      <c r="J214" s="1" t="str">
        <v>Padre Ernesto</v>
      </c>
      <c r="K214" s="1" t="str">
        <v>padre_ernesto</v>
      </c>
      <c r="L214" s="1">
        <v>1</v>
      </c>
      <c r="M214" s="16">
        <v>1</v>
      </c>
      <c r="N214" s="22">
        <v>1</v>
      </c>
    </row>
    <row r="215" spans="10:14" x14ac:dyDescent="0.3">
      <c r="J215" s="1" t="str">
        <v>Paloma Falconi</v>
      </c>
      <c r="K215" s="1" t="str">
        <v>paloma_falconi</v>
      </c>
      <c r="L215" s="1">
        <v>1</v>
      </c>
      <c r="M215" s="16">
        <v>1</v>
      </c>
      <c r="N215" s="22">
        <v>1</v>
      </c>
    </row>
    <row r="216" spans="10:14" x14ac:dyDescent="0.3">
      <c r="J216" s="1" t="str">
        <v>Parroquia San Juan de Ávila</v>
      </c>
      <c r="K216" s="1" t="str">
        <v>parroquia_san_juan_de_ávila</v>
      </c>
      <c r="L216" s="1">
        <v>1</v>
      </c>
      <c r="M216" s="16">
        <v>1</v>
      </c>
      <c r="N216" s="22">
        <v>1</v>
      </c>
    </row>
    <row r="217" spans="10:14" x14ac:dyDescent="0.3">
      <c r="J217" s="1" t="str">
        <v>Paul S. Morton</v>
      </c>
      <c r="K217" s="1" t="str">
        <v>paul_s_morton</v>
      </c>
      <c r="L217" s="1">
        <v>1</v>
      </c>
      <c r="M217" s="16">
        <v>0</v>
      </c>
      <c r="N217" s="22">
        <v>0</v>
      </c>
    </row>
    <row r="218" spans="10:14" x14ac:dyDescent="0.3">
      <c r="J218" s="1" t="str">
        <v>Paul Smith</v>
      </c>
      <c r="K218" s="1" t="str">
        <v>paul_smith</v>
      </c>
      <c r="L218" s="1">
        <v>1</v>
      </c>
      <c r="M218" s="16">
        <v>0</v>
      </c>
      <c r="N218" s="22">
        <v>0</v>
      </c>
    </row>
    <row r="219" spans="10:14" x14ac:dyDescent="0.3">
      <c r="J219" s="1" t="str">
        <v>Pauline Michael Mills</v>
      </c>
      <c r="K219" s="1" t="str">
        <v>pauline_michael_mills</v>
      </c>
      <c r="L219" s="1">
        <v>1</v>
      </c>
      <c r="M219" s="16">
        <v>0</v>
      </c>
      <c r="N219" s="22">
        <v>0</v>
      </c>
    </row>
    <row r="220" spans="10:14" x14ac:dyDescent="0.3">
      <c r="J220" s="1" t="str">
        <v>Pedro Antonio Garza</v>
      </c>
      <c r="K220" s="1" t="str">
        <v>pedro_antonio_garza</v>
      </c>
      <c r="L220" s="1">
        <v>1</v>
      </c>
      <c r="M220" s="16">
        <v>1</v>
      </c>
      <c r="N220" s="22">
        <v>1</v>
      </c>
    </row>
    <row r="221" spans="10:14" x14ac:dyDescent="0.3">
      <c r="J221" s="1" t="str">
        <v>Pedro Luis Asturias</v>
      </c>
      <c r="K221" s="1" t="str">
        <v>pedro_luis_asturias</v>
      </c>
      <c r="L221" s="1">
        <v>1</v>
      </c>
      <c r="M221" s="16">
        <v>0</v>
      </c>
      <c r="N221" s="22">
        <v>0</v>
      </c>
    </row>
    <row r="222" spans="10:14" x14ac:dyDescent="0.3">
      <c r="J222" s="1" t="str">
        <v>Pedro Núñez</v>
      </c>
      <c r="K222" s="1" t="str">
        <v>pedro_nuñez</v>
      </c>
      <c r="L222" s="1">
        <v>5</v>
      </c>
      <c r="M222" s="16">
        <v>5</v>
      </c>
      <c r="N222" s="22">
        <v>1</v>
      </c>
    </row>
    <row r="223" spans="10:14" x14ac:dyDescent="0.3">
      <c r="J223" s="1" t="str">
        <v>Pelayo Sánchez</v>
      </c>
      <c r="K223" s="1" t="str">
        <v>pelayo_sanchez</v>
      </c>
      <c r="L223" s="1">
        <v>10</v>
      </c>
      <c r="M223" s="16">
        <v>4</v>
      </c>
      <c r="N223" s="22">
        <v>0.4</v>
      </c>
    </row>
    <row r="224" spans="10:14" x14ac:dyDescent="0.3">
      <c r="J224" s="1" t="str">
        <v>Perpetuo Socorro</v>
      </c>
      <c r="K224" s="1" t="str">
        <v>perpetuo_socorro</v>
      </c>
      <c r="L224" s="1">
        <v>6</v>
      </c>
      <c r="M224" s="16">
        <v>6</v>
      </c>
      <c r="N224" s="22">
        <v>1</v>
      </c>
    </row>
    <row r="225" spans="10:14" x14ac:dyDescent="0.3">
      <c r="J225" s="1" t="str">
        <v>Rafael de la Hoz</v>
      </c>
      <c r="K225" s="1" t="str">
        <v>rafael_de_la_hoz</v>
      </c>
      <c r="L225" s="1">
        <v>2</v>
      </c>
      <c r="M225" s="16">
        <v>0</v>
      </c>
      <c r="N225" s="22">
        <v>0</v>
      </c>
    </row>
    <row r="226" spans="10:14" x14ac:dyDescent="0.3">
      <c r="J226" s="1" t="str">
        <v>Rafael Espinosa</v>
      </c>
      <c r="K226" s="1" t="str">
        <v>rafael_espinosa</v>
      </c>
      <c r="L226" s="1">
        <v>1</v>
      </c>
      <c r="M226" s="16">
        <v>1</v>
      </c>
      <c r="N226" s="22">
        <v>1</v>
      </c>
    </row>
    <row r="227" spans="10:14" x14ac:dyDescent="0.3">
      <c r="J227" s="1" t="str">
        <v>Ramón Capilla</v>
      </c>
      <c r="K227" s="1" t="str">
        <v>ramon_capilla</v>
      </c>
      <c r="L227" s="1">
        <v>4</v>
      </c>
      <c r="M227" s="16">
        <v>3</v>
      </c>
      <c r="N227" s="22">
        <v>0.75</v>
      </c>
    </row>
    <row r="228" spans="10:14" x14ac:dyDescent="0.3">
      <c r="J228" s="1" t="str">
        <v>Randal Calderón</v>
      </c>
      <c r="K228" s="1" t="str">
        <v>randal_calderon</v>
      </c>
      <c r="L228" s="1">
        <v>1</v>
      </c>
      <c r="M228" s="16">
        <v>0</v>
      </c>
      <c r="N228" s="22">
        <v>0</v>
      </c>
    </row>
    <row r="229" spans="10:14" x14ac:dyDescent="0.3">
      <c r="J229" s="1" t="str">
        <v>RCCE</v>
      </c>
      <c r="K229" s="1" t="str">
        <v>rcce</v>
      </c>
      <c r="L229" s="1">
        <v>4</v>
      </c>
      <c r="M229" s="16">
        <v>4</v>
      </c>
      <c r="N229" s="22">
        <v>1</v>
      </c>
    </row>
    <row r="230" spans="10:14" x14ac:dyDescent="0.3">
      <c r="J230" s="1" t="str">
        <v>Renato Vizuet</v>
      </c>
      <c r="K230" s="1" t="str">
        <v>renato_vizuet</v>
      </c>
      <c r="L230" s="1">
        <v>1</v>
      </c>
      <c r="M230" s="16">
        <v>0</v>
      </c>
      <c r="N230" s="22">
        <v>0</v>
      </c>
    </row>
    <row r="231" spans="10:14" x14ac:dyDescent="0.3">
      <c r="J231" s="1" t="str">
        <v>Reuben Morgan</v>
      </c>
      <c r="K231" s="1" t="str">
        <v>reuben_morgan</v>
      </c>
      <c r="L231" s="1">
        <v>1</v>
      </c>
      <c r="M231" s="16">
        <v>1</v>
      </c>
      <c r="N231" s="22">
        <v>1</v>
      </c>
    </row>
    <row r="232" spans="10:14" x14ac:dyDescent="0.3">
      <c r="J232" s="1" t="str">
        <v>Ribcah Anafah</v>
      </c>
      <c r="K232" s="1" t="str">
        <v>ribcah_anafah</v>
      </c>
      <c r="L232" s="1">
        <v>1</v>
      </c>
      <c r="M232" s="16">
        <v>0</v>
      </c>
      <c r="N232" s="22">
        <v>0</v>
      </c>
    </row>
    <row r="233" spans="10:14" x14ac:dyDescent="0.3">
      <c r="J233" s="1" t="str">
        <v>Ricardo Cantalapiedra</v>
      </c>
      <c r="K233" s="1" t="str">
        <v>ricardo_cantalapiedra</v>
      </c>
      <c r="L233" s="1">
        <v>36</v>
      </c>
      <c r="M233" s="16">
        <v>12</v>
      </c>
      <c r="N233" s="22">
        <v>0.33333333333333331</v>
      </c>
    </row>
    <row r="234" spans="10:14" x14ac:dyDescent="0.3">
      <c r="J234" s="1" t="str">
        <v>Ricardo de la Fuente</v>
      </c>
      <c r="K234" s="1" t="str">
        <v>ricardo_de_la_fuente</v>
      </c>
      <c r="L234" s="1">
        <v>1</v>
      </c>
      <c r="M234" s="16">
        <v>1</v>
      </c>
      <c r="N234" s="22">
        <v>1</v>
      </c>
    </row>
    <row r="235" spans="10:14" x14ac:dyDescent="0.3">
      <c r="J235" s="1" t="str">
        <v>Ricardo Solans</v>
      </c>
      <c r="K235" s="1" t="str">
        <v>ricardo_solans</v>
      </c>
      <c r="L235" s="1">
        <v>2</v>
      </c>
      <c r="M235" s="16">
        <v>0</v>
      </c>
      <c r="N235" s="22">
        <v>0</v>
      </c>
    </row>
    <row r="236" spans="10:14" x14ac:dyDescent="0.3">
      <c r="J236" s="1" t="str">
        <v>Ron Colie</v>
      </c>
      <c r="K236" s="1" t="str">
        <v>ron_colie</v>
      </c>
      <c r="L236" s="1">
        <v>1</v>
      </c>
      <c r="M236" s="16">
        <v>0</v>
      </c>
      <c r="N236" s="22">
        <v>0</v>
      </c>
    </row>
    <row r="237" spans="10:14" x14ac:dyDescent="0.3">
      <c r="J237" s="1" t="str">
        <v>Ron Kenoly</v>
      </c>
      <c r="K237" s="1" t="str">
        <v>ron_kenoly</v>
      </c>
      <c r="L237" s="1">
        <v>1</v>
      </c>
      <c r="M237" s="16">
        <v>0</v>
      </c>
      <c r="N237" s="22">
        <v>0</v>
      </c>
    </row>
    <row r="238" spans="10:14" x14ac:dyDescent="0.3">
      <c r="J238" s="1" t="str">
        <v>Rosa Cruz</v>
      </c>
      <c r="K238" s="1" t="str">
        <v>rosa_cruz</v>
      </c>
      <c r="L238" s="1">
        <v>12</v>
      </c>
      <c r="M238" s="16">
        <v>0</v>
      </c>
      <c r="N238" s="22">
        <v>0</v>
      </c>
    </row>
    <row r="239" spans="10:14" x14ac:dyDescent="0.3">
      <c r="J239" s="1" t="str">
        <v>Ruah</v>
      </c>
      <c r="K239" s="1" t="str">
        <v>ruah</v>
      </c>
      <c r="L239" s="1">
        <v>68</v>
      </c>
      <c r="M239" s="16">
        <v>65</v>
      </c>
      <c r="N239" s="22">
        <v>0.95588235294117652</v>
      </c>
    </row>
    <row r="240" spans="10:14" x14ac:dyDescent="0.3">
      <c r="J240" s="1" t="str">
        <v>Sagrada Familia</v>
      </c>
      <c r="K240" s="1" t="str">
        <v>sagrada_familia</v>
      </c>
      <c r="L240" s="1">
        <v>1</v>
      </c>
      <c r="M240" s="16">
        <v>1</v>
      </c>
      <c r="N240" s="22">
        <v>1</v>
      </c>
    </row>
    <row r="241" spans="10:14" x14ac:dyDescent="0.3">
      <c r="J241" s="1" t="str">
        <v>Sagrario Ruiz</v>
      </c>
      <c r="K241" s="1" t="str">
        <v>sagrario_ruiz</v>
      </c>
      <c r="L241" s="1">
        <v>1</v>
      </c>
      <c r="M241" s="16">
        <v>0</v>
      </c>
      <c r="N241" s="22">
        <v>0</v>
      </c>
    </row>
    <row r="242" spans="10:14" x14ac:dyDescent="0.3">
      <c r="J242" s="1" t="str">
        <v>Salomé Arricibita</v>
      </c>
      <c r="K242" s="1" t="str">
        <v>salome_arricibita</v>
      </c>
      <c r="L242" s="1">
        <v>2</v>
      </c>
      <c r="M242" s="16">
        <v>2</v>
      </c>
      <c r="N242" s="22">
        <v>1</v>
      </c>
    </row>
    <row r="243" spans="10:14" x14ac:dyDescent="0.3">
      <c r="J243" s="1" t="str">
        <v>Salvatore Martínez</v>
      </c>
      <c r="K243" s="1" t="str">
        <v>salvatore_martinez</v>
      </c>
      <c r="L243" s="1">
        <v>2</v>
      </c>
      <c r="M243" s="16">
        <v>2</v>
      </c>
      <c r="N243" s="22">
        <v>1</v>
      </c>
    </row>
    <row r="244" spans="10:14" x14ac:dyDescent="0.3">
      <c r="J244" s="1" t="str">
        <v>Sarah Flower Adams</v>
      </c>
      <c r="K244" s="1" t="str">
        <v>sarah_flower_adams</v>
      </c>
      <c r="L244" s="1">
        <v>1</v>
      </c>
      <c r="M244" s="16">
        <v>1</v>
      </c>
      <c r="N244" s="22">
        <v>1</v>
      </c>
    </row>
    <row r="245" spans="10:14" x14ac:dyDescent="0.3">
      <c r="J245" s="1" t="str">
        <v>Sebastián Temple</v>
      </c>
      <c r="K245" s="1" t="str">
        <v>sebastian_temple</v>
      </c>
      <c r="L245" s="1">
        <v>1</v>
      </c>
      <c r="M245" s="16">
        <v>0</v>
      </c>
      <c r="N245" s="22">
        <v>0</v>
      </c>
    </row>
    <row r="246" spans="10:14" x14ac:dyDescent="0.3">
      <c r="J246" s="1" t="str">
        <v>Simon y Garfunkel</v>
      </c>
      <c r="K246" s="1" t="str">
        <v>simon_y_garfunkel</v>
      </c>
      <c r="L246" s="1">
        <v>1</v>
      </c>
      <c r="M246" s="16">
        <v>1</v>
      </c>
      <c r="N246" s="22">
        <v>1</v>
      </c>
    </row>
    <row r="247" spans="10:14" x14ac:dyDescent="0.3">
      <c r="J247" s="1" t="str">
        <v>Sor Trini - Hijas de la Caridad</v>
      </c>
      <c r="K247" s="1" t="str">
        <v>sor_trini_-_hijas_de_la_caridad</v>
      </c>
      <c r="L247" s="1">
        <v>1</v>
      </c>
      <c r="M247" s="16">
        <v>1</v>
      </c>
      <c r="N247" s="22">
        <v>1</v>
      </c>
    </row>
    <row r="248" spans="10:14" x14ac:dyDescent="0.3">
      <c r="J248" s="1" t="str">
        <v>Steve McEwan</v>
      </c>
      <c r="K248" s="1" t="str">
        <v>steve_mcewan</v>
      </c>
      <c r="L248" s="1">
        <v>1</v>
      </c>
      <c r="M248" s="16">
        <v>0</v>
      </c>
      <c r="N248" s="22">
        <v>0</v>
      </c>
    </row>
    <row r="249" spans="10:14" x14ac:dyDescent="0.3">
      <c r="J249" s="1" t="str">
        <v>Steve Merkel</v>
      </c>
      <c r="K249" s="1" t="str">
        <v>steve_merkel</v>
      </c>
      <c r="L249" s="1">
        <v>1</v>
      </c>
      <c r="M249" s="16">
        <v>1</v>
      </c>
      <c r="N249" s="22">
        <v>1</v>
      </c>
    </row>
    <row r="250" spans="10:14" x14ac:dyDescent="0.3">
      <c r="J250" s="1" t="str">
        <v>Suzanne Toolan</v>
      </c>
      <c r="K250" s="1" t="str">
        <v>suzanne_toolan</v>
      </c>
      <c r="L250" s="1">
        <v>1</v>
      </c>
      <c r="M250" s="16">
        <v>1</v>
      </c>
      <c r="N250" s="22">
        <v>1</v>
      </c>
    </row>
    <row r="251" spans="10:14" x14ac:dyDescent="0.3">
      <c r="J251" s="1" t="str">
        <v>Taizé</v>
      </c>
      <c r="K251" s="1" t="str">
        <v>taize</v>
      </c>
      <c r="L251" s="1">
        <v>2</v>
      </c>
      <c r="M251" s="16">
        <v>1</v>
      </c>
      <c r="N251" s="22">
        <v>0.5</v>
      </c>
    </row>
    <row r="252" spans="10:14" x14ac:dyDescent="0.3">
      <c r="J252" s="1" t="str">
        <v>Taizé en español</v>
      </c>
      <c r="K252" s="1" t="str">
        <v>taize_en_español</v>
      </c>
      <c r="L252" s="1">
        <v>78</v>
      </c>
      <c r="M252" s="16">
        <v>78</v>
      </c>
      <c r="N252" s="22">
        <v>1</v>
      </c>
    </row>
    <row r="253" spans="10:14" x14ac:dyDescent="0.3">
      <c r="J253" s="1" t="str">
        <v>Taizé original</v>
      </c>
      <c r="K253" s="1" t="str">
        <v>taize_original</v>
      </c>
      <c r="L253" s="1">
        <v>174</v>
      </c>
      <c r="M253" s="16">
        <v>85</v>
      </c>
      <c r="N253" s="22">
        <v>0.4885057471264368</v>
      </c>
    </row>
    <row r="254" spans="10:14" x14ac:dyDescent="0.3">
      <c r="J254" s="1" t="str">
        <v>Terrye Coelho</v>
      </c>
      <c r="K254" s="1" t="str">
        <v>terrye_coelho</v>
      </c>
      <c r="L254" s="1">
        <v>1</v>
      </c>
      <c r="M254" s="16">
        <v>0</v>
      </c>
      <c r="N254" s="22">
        <v>0</v>
      </c>
    </row>
    <row r="255" spans="10:14" x14ac:dyDescent="0.3">
      <c r="J255" s="1" t="str">
        <v>The Beatles</v>
      </c>
      <c r="K255" s="1" t="str">
        <v>the_beatles</v>
      </c>
      <c r="L255" s="1">
        <v>1</v>
      </c>
      <c r="M255" s="16">
        <v>1</v>
      </c>
      <c r="N255" s="22">
        <v>1</v>
      </c>
    </row>
    <row r="256" spans="10:14" x14ac:dyDescent="0.3">
      <c r="J256" s="1" t="str">
        <v>Tim Hughes</v>
      </c>
      <c r="K256" s="1" t="str">
        <v>tim_hughes</v>
      </c>
      <c r="L256" s="1">
        <v>1</v>
      </c>
      <c r="M256" s="16">
        <v>0</v>
      </c>
      <c r="N256" s="22">
        <v>0</v>
      </c>
    </row>
    <row r="257" spans="10:14" x14ac:dyDescent="0.3">
      <c r="J257" s="1" t="str">
        <v>Tim Smith</v>
      </c>
      <c r="K257" s="1" t="str">
        <v>tim_smith</v>
      </c>
      <c r="L257" s="1">
        <v>1</v>
      </c>
      <c r="M257" s="16">
        <v>0</v>
      </c>
      <c r="N257" s="22">
        <v>0</v>
      </c>
    </row>
    <row r="258" spans="10:14" x14ac:dyDescent="0.3">
      <c r="J258" s="1" t="str">
        <v>Tomás Aragüés</v>
      </c>
      <c r="K258" s="1" t="str">
        <v>tomas_aragües</v>
      </c>
      <c r="L258" s="1">
        <v>2</v>
      </c>
      <c r="M258" s="16">
        <v>2</v>
      </c>
      <c r="N258" s="22">
        <v>1</v>
      </c>
    </row>
    <row r="259" spans="10:14" x14ac:dyDescent="0.3">
      <c r="J259" s="1" t="str">
        <v>Toño Casado</v>
      </c>
      <c r="K259" s="1" t="str">
        <v>toño_casado</v>
      </c>
      <c r="L259" s="1">
        <v>44</v>
      </c>
      <c r="M259" s="16">
        <v>44</v>
      </c>
      <c r="N259" s="22">
        <v>1</v>
      </c>
    </row>
    <row r="260" spans="10:14" x14ac:dyDescent="0.3">
      <c r="J260" s="1" t="str">
        <v>TSNC</v>
      </c>
      <c r="K260" s="1" t="str">
        <v>tsnc</v>
      </c>
      <c r="L260" s="1">
        <v>3</v>
      </c>
      <c r="M260" s="16">
        <v>3</v>
      </c>
      <c r="N260" s="22">
        <v>1</v>
      </c>
    </row>
    <row r="261" spans="10:14" x14ac:dyDescent="0.3">
      <c r="J261" s="1" t="str">
        <v>Twila Paris</v>
      </c>
      <c r="K261" s="1" t="str">
        <v>twila_paris</v>
      </c>
      <c r="L261" s="1">
        <v>1</v>
      </c>
      <c r="M261" s="16">
        <v>0</v>
      </c>
      <c r="N261" s="22">
        <v>0</v>
      </c>
    </row>
    <row r="262" spans="10:14" x14ac:dyDescent="0.3">
      <c r="J262" s="1" t="str">
        <v>Valentín Elizalde</v>
      </c>
      <c r="K262" s="1" t="str">
        <v>valentin_elizalde</v>
      </c>
      <c r="L262" s="1">
        <v>1</v>
      </c>
      <c r="M262" s="16">
        <v>1</v>
      </c>
      <c r="N262" s="22">
        <v>1</v>
      </c>
    </row>
    <row r="263" spans="10:14" x14ac:dyDescent="0.3">
      <c r="J263" s="1" t="str">
        <v>Valmaseda</v>
      </c>
      <c r="K263" s="1" t="str">
        <v>valmaseda</v>
      </c>
      <c r="L263" s="1">
        <v>2</v>
      </c>
      <c r="M263" s="16">
        <v>1</v>
      </c>
      <c r="N263" s="22">
        <v>0.5</v>
      </c>
    </row>
    <row r="264" spans="10:14" x14ac:dyDescent="0.3">
      <c r="J264" s="1" t="str">
        <v>Villancicos</v>
      </c>
      <c r="K264" s="1" t="str">
        <v>villancicos</v>
      </c>
      <c r="L264" s="1">
        <v>20</v>
      </c>
      <c r="M264" s="16">
        <v>19</v>
      </c>
      <c r="N264" s="22">
        <v>0.95</v>
      </c>
    </row>
    <row r="265" spans="10:14" x14ac:dyDescent="0.3">
      <c r="J265" s="1" t="str">
        <v>Vincent</v>
      </c>
      <c r="K265" s="1" t="str">
        <v>vincent</v>
      </c>
      <c r="L265" s="1">
        <v>1</v>
      </c>
      <c r="M265" s="16">
        <v>1</v>
      </c>
      <c r="N265" s="22">
        <v>1</v>
      </c>
    </row>
  </sheetData>
  <conditionalFormatting sqref="N1:N1048576 O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" r:id="rId1" xr:uid="{3D3A2C83-3710-42B3-BE50-8A98D17655DA}"/>
    <hyperlink ref="G2" r:id="rId2" xr:uid="{27C56294-50FB-4757-9D94-0B76BC09325E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FB9A-9337-4F59-865C-61EAB83FC532}">
  <sheetPr codeName="Hoja3"/>
  <dimension ref="A1:AE479"/>
  <sheetViews>
    <sheetView workbookViewId="0"/>
    <sheetView workbookViewId="1"/>
  </sheetViews>
  <sheetFormatPr baseColWidth="10" defaultRowHeight="14.4" x14ac:dyDescent="0.3"/>
  <cols>
    <col min="1" max="4" width="11.5546875" style="16"/>
    <col min="8" max="8" width="11.5546875" style="16"/>
    <col min="9" max="15" width="11.5546875" style="17"/>
    <col min="16" max="16" width="11.5546875" style="17" customWidth="1"/>
    <col min="17" max="31" width="11.5546875" style="17"/>
  </cols>
  <sheetData>
    <row r="1" spans="1:31" x14ac:dyDescent="0.3">
      <c r="A1" s="23" t="s">
        <v>2932</v>
      </c>
      <c r="B1" s="26" t="s">
        <v>2931</v>
      </c>
      <c r="C1" s="26">
        <v>6</v>
      </c>
      <c r="H1" s="16">
        <f>SUM(I1:AE1)-Resumen!$Q$6</f>
        <v>1506</v>
      </c>
      <c r="I1" s="17">
        <f>COUNTA(_xlfn.ANCHORARRAY(I3))</f>
        <v>127</v>
      </c>
      <c r="J1" s="17">
        <f t="shared" ref="J1:Z1" si="0">COUNTA(_xlfn.ANCHORARRAY(J3))</f>
        <v>1</v>
      </c>
      <c r="K1" s="17">
        <f t="shared" si="0"/>
        <v>68</v>
      </c>
      <c r="L1" s="17">
        <f t="shared" si="0"/>
        <v>18</v>
      </c>
      <c r="M1" s="17">
        <f t="shared" si="0"/>
        <v>88</v>
      </c>
      <c r="N1" s="17">
        <f t="shared" si="0"/>
        <v>78</v>
      </c>
      <c r="O1" s="17">
        <f t="shared" si="0"/>
        <v>91</v>
      </c>
      <c r="P1" s="17">
        <f t="shared" si="0"/>
        <v>2</v>
      </c>
      <c r="Q1" s="17">
        <f t="shared" si="0"/>
        <v>190</v>
      </c>
      <c r="R1" s="17">
        <f t="shared" si="0"/>
        <v>112</v>
      </c>
      <c r="S1" s="17">
        <f t="shared" si="0"/>
        <v>477</v>
      </c>
      <c r="T1" s="17">
        <f t="shared" si="0"/>
        <v>22</v>
      </c>
      <c r="U1" s="17">
        <f t="shared" si="0"/>
        <v>54</v>
      </c>
      <c r="V1" s="17">
        <f t="shared" si="0"/>
        <v>1</v>
      </c>
      <c r="W1" s="17">
        <f t="shared" si="0"/>
        <v>65</v>
      </c>
      <c r="X1" s="17">
        <f t="shared" si="0"/>
        <v>78</v>
      </c>
      <c r="Y1" s="17">
        <f t="shared" si="0"/>
        <v>85</v>
      </c>
      <c r="Z1" s="17">
        <f t="shared" si="0"/>
        <v>27</v>
      </c>
    </row>
    <row r="2" spans="1:31" x14ac:dyDescent="0.3">
      <c r="A2" s="23" t="s">
        <v>477</v>
      </c>
      <c r="B2" s="23" t="s">
        <v>2934</v>
      </c>
      <c r="C2" s="23" t="s">
        <v>2860</v>
      </c>
      <c r="D2" s="23" t="s">
        <v>605</v>
      </c>
      <c r="F2" s="29" t="s">
        <v>2935</v>
      </c>
      <c r="G2" s="30">
        <v>0</v>
      </c>
      <c r="H2" s="23" t="s">
        <v>2932</v>
      </c>
      <c r="I2" s="28" t="str" cm="1">
        <f t="array" ref="I2:AA2">TRANSPOSE(_xlfn._xlws.SORT(_xlfn.UNIQUE(CantoralDB[Sección])))</f>
        <v>ain_karem</v>
      </c>
      <c r="J2" s="28" t="str">
        <v>al-haraca</v>
      </c>
      <c r="K2" s="28" t="str">
        <v>brotes_de_olivo</v>
      </c>
      <c r="L2" s="28" t="str">
        <v>carmelo_erdozain</v>
      </c>
      <c r="M2" s="28" t="str">
        <v>cesareo_gabarain</v>
      </c>
      <c r="N2" s="28" t="str">
        <v>francisco_palazon</v>
      </c>
      <c r="O2" s="28" t="str">
        <v>hakuna</v>
      </c>
      <c r="P2" s="28" t="str">
        <v>hermana_glenda</v>
      </c>
      <c r="Q2" s="28" t="str">
        <v>ixcis</v>
      </c>
      <c r="R2" s="28" t="str">
        <v>kairoi</v>
      </c>
      <c r="S2" s="28" t="str">
        <v>nsb</v>
      </c>
      <c r="T2" s="28" t="str">
        <v>nuevas</v>
      </c>
      <c r="U2" s="28" t="str">
        <v>rcce</v>
      </c>
      <c r="V2" s="28" t="str">
        <v>ricardo_cantalapiedra</v>
      </c>
      <c r="W2" s="28" t="str">
        <v>ruah</v>
      </c>
      <c r="X2" s="28" t="str">
        <v>taize_esp</v>
      </c>
      <c r="Y2" s="28" t="str">
        <v>taize_orig</v>
      </c>
      <c r="Z2" s="28" t="str">
        <v>toño_casado</v>
      </c>
      <c r="AA2" s="28" t="str">
        <v>villancicos</v>
      </c>
      <c r="AB2" s="28"/>
      <c r="AC2" s="28"/>
      <c r="AD2" s="28"/>
      <c r="AE2" s="28"/>
    </row>
    <row r="3" spans="1:31" x14ac:dyDescent="0.3">
      <c r="A3" s="16" t="str" cm="1">
        <f t="array" ref="A3:D34">_xlfn._xlws.FILTER(_xlfn.HSTACK(_xlfn.ANCHORARRAY(Resumen!J5),_xlfn.ANCHORARRAY(Resumen!K5),_xlfn.ANCHORARRAY(Resumen!L5),_xlfn.ANCHORARRAY(Resumen!M5)),_xlfn.ANCHORARRAY(Resumen!L5)&gt;=C1)</f>
        <v>Ain Karem</v>
      </c>
      <c r="B3" s="16" t="str">
        <v>ain_karem</v>
      </c>
      <c r="C3" s="16">
        <v>137</v>
      </c>
      <c r="D3" s="16">
        <v>129</v>
      </c>
      <c r="F3" s="31" t="s">
        <v>2936</v>
      </c>
      <c r="G3" s="30">
        <v>1</v>
      </c>
      <c r="I3" s="17" t="str" cm="1">
        <f t="array" ref="I3:I129">IF($G$2=1,
_xlfn.CHOOSECOLS(_xlfn._xlws.FILTER(CantoralDB[],CantoralDB[Sección]=secciones!I2),IF($G$3=1,23,2)),
_xlfn.CHOOSECOLS(_xlfn._xlws.FILTER(CantoralDB[],(CantoralDB[Sección]=secciones!I2)*(CantoralDB[html]="OK")),IF($G$3=1,23,2)))</f>
        <v>&lt;li data-author="Ain Karem"&gt;&lt;a href="canciones/ain_karem/yo_soy_el_que_vive.html"&gt;Yo soy el que vive&lt;/a&gt;&lt;/li&gt;</v>
      </c>
      <c r="J3" s="17" t="e" cm="1" vm="1">
        <f t="array" ref="J3">IF($G$2=1,
_xlfn.CHOOSECOLS(_xlfn._xlws.FILTER(CantoralDB[],CantoralDB[Sección]=secciones!J2),IF($G$3=1,23,2)),
_xlfn.CHOOSECOLS(_xlfn._xlws.FILTER(CantoralDB[],(CantoralDB[Sección]=secciones!J2)*(CantoralDB[html]="OK")),IF($G$3=1,23,2)))</f>
        <v>#VALUE!</v>
      </c>
      <c r="K3" s="17" t="str" cm="1">
        <f t="array" ref="K3:K70">IF($G$2=1,
_xlfn.CHOOSECOLS(_xlfn._xlws.FILTER(CantoralDB[],CantoralDB[Sección]=secciones!K2),IF($G$3=1,23,2)),
_xlfn.CHOOSECOLS(_xlfn._xlws.FILTER(CantoralDB[],(CantoralDB[Sección]=secciones!K2)*(CantoralDB[html]="OK")),IF($G$3=1,23,2)))</f>
        <v>&lt;li data-author="Brotes de Olivo"&gt;&lt;a href="canciones/brotes_de_olivo/como_te_podre_pagar.html"&gt;Cómo te podré pagar&lt;/a&gt;&lt;/li&gt;</v>
      </c>
      <c r="L3" s="17" t="str" cm="1">
        <f t="array" ref="L3:L20">IF($G$2=1,
_xlfn.CHOOSECOLS(_xlfn._xlws.FILTER(CantoralDB[],CantoralDB[Sección]=secciones!L2),IF($G$3=1,23,2)),
_xlfn.CHOOSECOLS(_xlfn._xlws.FILTER(CantoralDB[],(CantoralDB[Sección]=secciones!L2)*(CantoralDB[html]="OK")),IF($G$3=1,23,2)))</f>
        <v>&lt;li data-author="Carmelo Erdozáin"&gt;&lt;a href="canciones/carmelo_erdozain/himno_a_jesucristo.html"&gt;Himno a Jesucristo&lt;/a&gt;&lt;/li&gt;</v>
      </c>
      <c r="M3" s="17" t="str" cm="1">
        <f t="array" ref="M3:M90">IF($G$2=1,
_xlfn.CHOOSECOLS(_xlfn._xlws.FILTER(CantoralDB[],CantoralDB[Sección]=secciones!M2),IF($G$3=1,23,2)),
_xlfn.CHOOSECOLS(_xlfn._xlws.FILTER(CantoralDB[],(CantoralDB[Sección]=secciones!M2)*(CantoralDB[html]="OK")),IF($G$3=1,23,2)))</f>
        <v>&lt;li data-author="Cesáreo Gabarain"&gt;&lt;a href="canciones/cesareo_gabarain/porque_nos_invitas.html"&gt;Porque nos invitas&lt;/a&gt;&lt;/li&gt;</v>
      </c>
      <c r="N3" s="17" t="str" cm="1">
        <f t="array" ref="N3:N80">IF($G$2=1,
_xlfn.CHOOSECOLS(_xlfn._xlws.FILTER(CantoralDB[],CantoralDB[Sección]=secciones!N2),IF($G$3=1,23,2)),
_xlfn.CHOOSECOLS(_xlfn._xlws.FILTER(CantoralDB[],(CantoralDB[Sección]=secciones!N2)*(CantoralDB[html]="OK")),IF($G$3=1,23,2)))</f>
        <v>&lt;li data-author="Francisco Palazón"&gt;&lt;a href="canciones/francisco_palazon/señor_ten_piedad_(alrededor_de_tu_mesa).html"&gt;Señor, ten piedad (Alrededor de tu mesa)&lt;/a&gt;&lt;/li&gt;</v>
      </c>
      <c r="O3" s="17" t="str" cm="1">
        <f t="array" ref="O3:O93">IF($G$2=1,
_xlfn.CHOOSECOLS(_xlfn._xlws.FILTER(CantoralDB[],CantoralDB[Sección]=secciones!O2),IF($G$3=1,23,2)),
_xlfn.CHOOSECOLS(_xlfn._xlws.FILTER(CantoralDB[],(CantoralDB[Sección]=secciones!O2)*(CantoralDB[html]="OK")),IF($G$3=1,23,2)))</f>
        <v>&lt;li data-author="Hakuna"&gt;&lt;a href="canciones/hakuna/olor_a_tostadas.html"&gt;Olor a tostadas&lt;/a&gt;&lt;/li&gt;</v>
      </c>
      <c r="P3" s="17" t="str" cm="1">
        <f t="array" ref="P3:P4">IF($G$2=1,
_xlfn.CHOOSECOLS(_xlfn._xlws.FILTER(CantoralDB[],CantoralDB[Sección]=secciones!P2),IF($G$3=1,23,2)),
_xlfn.CHOOSECOLS(_xlfn._xlws.FILTER(CantoralDB[],(CantoralDB[Sección]=secciones!P2)*(CantoralDB[html]="OK")),IF($G$3=1,23,2)))</f>
        <v>&lt;li data-author="Hermana Glenda"&gt;&lt;a href="canciones/hermana_glenda/el_señor_es_mi_pastor.html"&gt;El Señor es mi pastor&lt;/a&gt;&lt;/li&gt;</v>
      </c>
      <c r="Q3" s="17" t="str" cm="1">
        <f t="array" ref="Q3:Q192">IF($G$2=1,
_xlfn.CHOOSECOLS(_xlfn._xlws.FILTER(CantoralDB[],CantoralDB[Sección]=secciones!Q2),IF($G$3=1,23,2)),
_xlfn.CHOOSECOLS(_xlfn._xlws.FILTER(CantoralDB[],(CantoralDB[Sección]=secciones!Q2)*(CantoralDB[html]="OK")),IF($G$3=1,23,2)))</f>
        <v>&lt;li data-author="Ixcís"&gt;&lt;a href="canciones/ixcis/entra_en_mi_noche.html"&gt;Entra en mi noche&lt;/a&gt;&lt;/li&gt;</v>
      </c>
      <c r="R3" s="17" t="str" cm="1">
        <f t="array" ref="R3:R114">IF($G$2=1,
_xlfn.CHOOSECOLS(_xlfn._xlws.FILTER(CantoralDB[],CantoralDB[Sección]=secciones!R2),IF($G$3=1,23,2)),
_xlfn.CHOOSECOLS(_xlfn._xlws.FILTER(CantoralDB[],(CantoralDB[Sección]=secciones!R2)*(CantoralDB[html]="OK")),IF($G$3=1,23,2)))</f>
        <v>&lt;li data-author="Kairoi"&gt;&lt;a href="canciones/kairoi/vamos_hacia_ti_(gloria_a_dios).html"&gt;Vamos hacia ti (gloria a Dios)&lt;/a&gt;&lt;/li&gt;</v>
      </c>
      <c r="S3" s="17" t="str" cm="1">
        <f t="array" ref="S3:S479">IF($G$2=1,
_xlfn.CHOOSECOLS(_xlfn._xlws.FILTER(CantoralDB[],CantoralDB[Sección]=secciones!S2),IF($G$3=1,23,2)),
_xlfn.CHOOSECOLS(_xlfn._xlws.FILTER(CantoralDB[],(CantoralDB[Sección]=secciones!S2)*(CantoralDB[html]="OK")),IF($G$3=1,23,2)))</f>
        <v>&lt;li data-author="Ain Karem" data-momento="Antífonas" data-nnew="D20"&gt;&lt;a href="canciones/ain_karem/he_venido_a_servir.html"&gt;He venido a servir&lt;/a&gt;&lt;/li&gt;</v>
      </c>
      <c r="T3" s="17" t="str" cm="1">
        <f t="array" ref="T3:T24">IF($G$2=1,
_xlfn.CHOOSECOLS(_xlfn._xlws.FILTER(CantoralDB[],CantoralDB[Sección]=secciones!T2),IF($G$3=1,23,2)),
_xlfn.CHOOSECOLS(_xlfn._xlws.FILTER(CantoralDB[],(CantoralDB[Sección]=secciones!T2)*(CantoralDB[html]="OK")),IF($G$3=1,23,2)))</f>
        <v>&lt;li&gt;&lt;a href="canciones/nuevas/alma_de_cristo.html"&gt;Alma de Cristo&lt;/a&gt;&lt;/li&gt;</v>
      </c>
      <c r="U3" s="17" t="str" cm="1">
        <f t="array" ref="U3:U56">IF($G$2=1,
_xlfn.CHOOSECOLS(_xlfn._xlws.FILTER(CantoralDB[],CantoralDB[Sección]=secciones!U2),IF($G$3=1,23,2)),
_xlfn.CHOOSECOLS(_xlfn._xlws.FILTER(CantoralDB[],(CantoralDB[Sección]=secciones!U2)*(CantoralDB[html]="OK")),IF($G$3=1,23,2)))</f>
        <v>&lt;li data-author="Alejandro Ruiz" data-nrcc="332"&gt;&lt;a href="canciones/alejandro_ruiz/arranca_de_mi_pecho.html"&gt;Arranca de mi pecho&lt;/a&gt;&lt;/li&gt;</v>
      </c>
      <c r="V3" s="17" t="e" cm="1" vm="1">
        <f t="array" ref="V3">IF($G$2=1,
_xlfn.CHOOSECOLS(_xlfn._xlws.FILTER(CantoralDB[],CantoralDB[Sección]=secciones!V2),IF($G$3=1,23,2)),
_xlfn.CHOOSECOLS(_xlfn._xlws.FILTER(CantoralDB[],(CantoralDB[Sección]=secciones!V2)*(CantoralDB[html]="OK")),IF($G$3=1,23,2)))</f>
        <v>#VALUE!</v>
      </c>
      <c r="W3" s="17" t="str" cm="1">
        <f t="array" ref="W3:W67">IF($G$2=1,
_xlfn.CHOOSECOLS(_xlfn._xlws.FILTER(CantoralDB[],CantoralDB[Sección]=secciones!W2),IF($G$3=1,23,2)),
_xlfn.CHOOSECOLS(_xlfn._xlws.FILTER(CantoralDB[],(CantoralDB[Sección]=secciones!W2)*(CantoralDB[html]="OK")),IF($G$3=1,23,2)))</f>
        <v>&lt;li data-author="Ruah"&gt;&lt;a href="canciones/ruah/adentrate.html"&gt;Adéntrate&lt;/a&gt;&lt;/li&gt;</v>
      </c>
      <c r="X3" s="17" t="str" cm="1">
        <f t="array" ref="X3:X80">IF($G$2=1,
_xlfn.CHOOSECOLS(_xlfn._xlws.FILTER(CantoralDB[],CantoralDB[Sección]=secciones!X2),IF($G$3=1,23,2)),
_xlfn.CHOOSECOLS(_xlfn._xlws.FILTER(CantoralDB[],(CantoralDB[Sección]=secciones!X2)*(CantoralDB[html]="OK")),IF($G$3=1,23,2)))</f>
        <v>&lt;li data-author="Taizé en español" data-momento="TaizéESP" data-nnew="Q17"&gt;&lt;a href="canciones/taize/bless_the_lord.html"&gt;Tengo sed de ti&lt;/a&gt;&lt;/li&gt;</v>
      </c>
      <c r="Y3" s="17" t="str" cm="1">
        <f t="array" ref="Y3:Y87">IF($G$2=1,
_xlfn.CHOOSECOLS(_xlfn._xlws.FILTER(CantoralDB[],CantoralDB[Sección]=secciones!Y2),IF($G$3=1,23,2)),
_xlfn.CHOOSECOLS(_xlfn._xlws.FILTER(CantoralDB[],(CantoralDB[Sección]=secciones!Y2)*(CantoralDB[html]="OK")),IF($G$3=1,23,2)))</f>
        <v>&lt;li data-author="Taizé original" data-momento="TaizéORIG" data-nnew="Q17"&gt;&lt;a href="canciones/taize/bless_the_lord.html"&gt;Bless the Lord&lt;/a&gt;&lt;/li&gt;</v>
      </c>
      <c r="Z3" s="17" t="str" cm="1">
        <f t="array" ref="Z3:Z29">IF($G$2=1,
_xlfn.CHOOSECOLS(_xlfn._xlws.FILTER(CantoralDB[],CantoralDB[Sección]=secciones!Z2),IF($G$3=1,23,2)),
_xlfn.CHOOSECOLS(_xlfn._xlws.FILTER(CantoralDB[],(CantoralDB[Sección]=secciones!Z2)*(CantoralDB[html]="OK")),IF($G$3=1,23,2)))</f>
        <v>&lt;li data-author="Toño Casado"&gt;&lt;a href="canciones/toño_casado/señor_ten_piedad_i.html"&gt;Señor, ten piedad I&lt;/a&gt;&lt;/li&gt;</v>
      </c>
    </row>
    <row r="4" spans="1:31" x14ac:dyDescent="0.3">
      <c r="A4" s="16" t="str">
        <v>Alejandro Ruiz</v>
      </c>
      <c r="B4" s="16" t="str">
        <v>alejandro_ruiz</v>
      </c>
      <c r="C4" s="16">
        <v>15</v>
      </c>
      <c r="D4" s="16">
        <v>6</v>
      </c>
      <c r="I4" s="17" t="str">
        <v>&lt;li data-author="Ain Karem"&gt;&lt;a href="canciones/ain_karem/que_se_alegren_tus_entrañas.html"&gt;Que se alegren tus entrañas&lt;/a&gt;&lt;/li&gt;</v>
      </c>
      <c r="K4" s="17" t="str">
        <v>&lt;li data-author="Brotes de Olivo"&gt;&lt;a href="canciones/brotes_de_olivo/ver_con_claridad.html"&gt;Ver con claridad&lt;/a&gt;&lt;/li&gt;</v>
      </c>
      <c r="L4" s="17" t="str">
        <v>&lt;li data-author="Carmelo Erdozáin"&gt;&lt;a href="canciones/carmelo_erdozain/proclama_mi_alma.html"&gt;Proclama mi alma&lt;/a&gt;&lt;/li&gt;</v>
      </c>
      <c r="M4" s="17" t="str">
        <v>&lt;li data-author="Cesáreo Gabarain"&gt;&lt;a href="canciones/cesareo_gabarain/señor_ten_piedad.html"&gt;Señor, ten piedad&lt;/a&gt;&lt;/li&gt;</v>
      </c>
      <c r="N4" s="17" t="str">
        <v>&lt;li data-author="Francisco Palazón"&gt;&lt;a href="canciones/francisco_palazon/acabamos_de_oir_tu_palabra.html"&gt;Acabamos de oír tu palabra&lt;/a&gt;&lt;/li&gt;</v>
      </c>
      <c r="O4" s="17" t="str">
        <v>&lt;li data-author="Hakuna"&gt;&lt;a href="canciones/hakuna/baila_y_dejate_de_historias.html"&gt;Baila y déjate de historias&lt;/a&gt;&lt;/li&gt;</v>
      </c>
      <c r="P4" s="17" t="str">
        <v>&lt;li data-author="Hermana Glenda"&gt;&lt;a href="canciones/hermana_glenda/ahi_tienes_a_tu_madre.html"&gt;Ahí tienes a tu madre&lt;/a&gt;&lt;/li&gt;</v>
      </c>
      <c r="Q4" s="17" t="str">
        <v>&lt;li data-author="Ixcís"&gt;&lt;a href="canciones/ixcis/como_la_lluvia.html"&gt;Como la lluvia&lt;/a&gt;&lt;/li&gt;</v>
      </c>
      <c r="R4" s="17" t="str">
        <v>&lt;li data-author="Kairoi"&gt;&lt;a href="canciones/kairoi/quedate_aqui_señor.html"&gt;Quédate aquí, Señor&lt;/a&gt;&lt;/li&gt;</v>
      </c>
      <c r="S4" s="17" t="str">
        <v>&lt;li data-author="Ain Karem" data-momento="Antífonas" data-nnew="D22"&gt;&lt;a href="canciones/ain_karem/lampara_es_tu_palabra.html"&gt;Lámpara es tu palabra&lt;/a&gt;&lt;/li&gt;</v>
      </c>
      <c r="T4" s="17" t="str">
        <v>&lt;li&gt;&lt;a href="canciones/nuevas/en_los_brazos_de_una_virgen.html"&gt;En los brazos de una virgen&lt;/a&gt;&lt;/li&gt;</v>
      </c>
      <c r="U4" s="17" t="str">
        <v>&lt;li data-author="Alejandro Ruiz" data-nrcc="312"&gt;&lt;a href="canciones/alejandro_ruiz/no_hay_nadie_como_tu.html"&gt;No hay nadie como tú&lt;/a&gt;&lt;/li&gt;</v>
      </c>
      <c r="W4" s="17" t="str">
        <v>&lt;li data-author="Ruah"&gt;&lt;a href="canciones/ruah/pedid_y_se_os_dara.html"&gt;Pedid y se os dará&lt;/a&gt;&lt;/li&gt;</v>
      </c>
      <c r="X4" s="17" t="str">
        <v>&lt;li data-author="Taizé en español" data-momento="TaizéESP" data-nnew="Q05"&gt;&lt;a href="canciones/taize/alleluia_11.html"&gt;Aleluya 11&lt;/a&gt;&lt;/li&gt;</v>
      </c>
      <c r="Y4" s="17" t="str">
        <v>&lt;li data-author="Taizé original" data-momento="TaizéORIG" data-nnew="Q05"&gt;&lt;a href="canciones/taize/alleluia_11.html"&gt;Alleluia 11&lt;/a&gt;&lt;/li&gt;</v>
      </c>
      <c r="Z4" s="17" t="str">
        <v>&lt;li data-author="Toño Casado"&gt;&lt;a href="canciones/toño_casado/aleluya_i.html"&gt;Aleluya I&lt;/a&gt;&lt;/li&gt;</v>
      </c>
    </row>
    <row r="5" spans="1:31" x14ac:dyDescent="0.3">
      <c r="A5" s="16" t="str">
        <v>Al-Haraca</v>
      </c>
      <c r="B5" s="16" t="str">
        <v>al-haraca</v>
      </c>
      <c r="C5" s="16">
        <v>8</v>
      </c>
      <c r="D5" s="16">
        <v>6</v>
      </c>
      <c r="I5" s="17" t="str">
        <v>&lt;li data-author="Ain Karem"&gt;&lt;a href="canciones/ain_karem/palabra.html"&gt;Palabra&lt;/a&gt;&lt;/li&gt;</v>
      </c>
      <c r="K5" s="17" t="str">
        <v>&lt;li data-author="Brotes de Olivo"&gt;&lt;a href="canciones/brotes_de_olivo/quiero_ser.html"&gt;Quiero ser&lt;/a&gt;&lt;/li&gt;</v>
      </c>
      <c r="L5" s="17" t="str">
        <v>&lt;li data-author="Carmelo Erdozáin"&gt;&lt;a href="canciones/carmelo_erdozain/se_acercaron_los_niños_al_señor.html"&gt;Se acercaron los niños al Señor&lt;/a&gt;&lt;/li&gt;</v>
      </c>
      <c r="M5" s="17" t="str">
        <v>&lt;li data-author="Cesáreo Gabarain"&gt;&lt;a href="canciones/cesareo_gabarain/gloria.html"&gt;Gloria&lt;/a&gt;&lt;/li&gt;</v>
      </c>
      <c r="N5" s="17" t="str">
        <v>&lt;li data-author="Francisco Palazón"&gt;&lt;a href="canciones/francisco_palazon/bendito_seas_señor.html"&gt;Bendito seas, Señor&lt;/a&gt;&lt;/li&gt;</v>
      </c>
      <c r="O5" s="17" t="str">
        <v>&lt;li data-author="Hakuna"&gt;&lt;a href="canciones/hakuna/ojala.html"&gt;Ojalá&lt;/a&gt;&lt;/li&gt;</v>
      </c>
      <c r="Q5" s="17" t="str">
        <v>&lt;li data-author="Ixcís"&gt;&lt;a href="canciones/ixcis/vuelvo.html"&gt;Vuelvo&lt;/a&gt;&lt;/li&gt;</v>
      </c>
      <c r="R5" s="17" t="str">
        <v>&lt;li data-author="Kairoi"&gt;&lt;a href="canciones/kairoi/a_tu_lado_señor.html"&gt;A tu lado, Señor&lt;/a&gt;&lt;/li&gt;</v>
      </c>
      <c r="S5" s="17" t="str">
        <v>&lt;li data-author="Alejandro Ruiz" data-momento="Entrada" data-nnew="A02" data-nold="401" data-nrcc="365"&gt;&lt;a href="canciones/alejandro_ruiz/abba_padre.html"&gt;Abbá, Padre&lt;/a&gt;&lt;/li&gt;</v>
      </c>
      <c r="T5" s="17" t="str">
        <v>&lt;li&gt;&lt;a href="canciones/nuevas/es_maria_la_blanca_paloma.html"&gt;Es María la blanca paloma&lt;/a&gt;&lt;/li&gt;</v>
      </c>
      <c r="U5" s="17" t="str">
        <v>&lt;li data-author="Alejandro Ruiz" data-nrcc="2"&gt;&lt;a href="canciones/alejandro_ruiz/tu_rompes_cadenas.html"&gt;Tú rompes cadenas&lt;/a&gt;&lt;/li&gt;</v>
      </c>
      <c r="W5" s="17" t="str">
        <v>&lt;li data-author="Ruah"&gt;&lt;a href="canciones/ruah/cada_mañana.html"&gt;Cada mañana&lt;/a&gt;&lt;/li&gt;</v>
      </c>
      <c r="X5" s="17" t="str">
        <v>&lt;li data-author="Taizé en español" data-momento="TaizéESP" data-nnew="Q28"&gt;&lt;a href="canciones/taize/dans_nos_obscurites.html"&gt;En nuestra oscuridad&lt;/a&gt;&lt;/li&gt;</v>
      </c>
      <c r="Y5" s="17" t="str">
        <v>&lt;li data-author="Taizé original" data-momento="TaizéORIG" data-nnew="Q28"&gt;&lt;a href="canciones/taize/dans_nos_obscurites.html"&gt;Dans nos obscurités&lt;/a&gt;&lt;/li&gt;</v>
      </c>
      <c r="Z5" s="17" t="str">
        <v>&lt;li data-author="Toño Casado"&gt;&lt;a href="canciones/toño_casado/traeras_la_paz.html"&gt;Traerás la paz&lt;/a&gt;&lt;/li&gt;</v>
      </c>
    </row>
    <row r="6" spans="1:31" x14ac:dyDescent="0.3">
      <c r="A6" s="16" t="str">
        <v>Antonio Alcalde</v>
      </c>
      <c r="B6" s="16" t="str">
        <v>antonio_alcalde</v>
      </c>
      <c r="C6" s="16">
        <v>10</v>
      </c>
      <c r="D6" s="16">
        <v>7</v>
      </c>
      <c r="I6" s="17" t="str">
        <v>&lt;li data-author="Ain Karem"&gt;&lt;a href="canciones/ain_karem/atraviesas.html"&gt;Atraviesas&lt;/a&gt;&lt;/li&gt;</v>
      </c>
      <c r="K6" s="17" t="str">
        <v>&lt;li data-author="Brotes de Olivo"&gt;&lt;a href="canciones/brotes_de_olivo/en_el_mismo_barco.html"&gt;En el mismo barco&lt;/a&gt;&lt;/li&gt;</v>
      </c>
      <c r="L6" s="17" t="str">
        <v>&lt;li data-author="Carmelo Erdozáin"&gt;&lt;a href="canciones/carmelo_erdozain/dia_de_fiesta_en_tu_altar.html"&gt;Día de fiesta en tu altar&lt;/a&gt;&lt;/li&gt;</v>
      </c>
      <c r="M6" s="17" t="str">
        <v>&lt;li data-author="Cesáreo Gabarain"&gt;&lt;a href="canciones/cesareo_gabarain/se_acerca_el_señor.html"&gt;Se acerca el Señor&lt;/a&gt;&lt;/li&gt;</v>
      </c>
      <c r="N6" s="17" t="str">
        <v>&lt;li data-author="Francisco Palazón"&gt;&lt;a href="canciones/francisco_palazon/anunciamos_tu_muerte.html"&gt;Anunciamos tu muerte&lt;/a&gt;&lt;/li&gt;</v>
      </c>
      <c r="O6" s="17" t="str">
        <v>&lt;li data-author="Hakuna"&gt;&lt;a href="canciones/hakuna/cuarto_lugar.html"&gt;Cuarto lugar&lt;/a&gt;&lt;/li&gt;</v>
      </c>
      <c r="Q6" s="17" t="str">
        <v>&lt;li data-author="Ixcís"&gt;&lt;a href="canciones/ixcis/vengo_a_orar.html"&gt;Vengo a orar&lt;/a&gt;&lt;/li&gt;</v>
      </c>
      <c r="R6" s="17" t="str">
        <v>&lt;li data-author="Kairoi"&gt;&lt;a href="canciones/kairoi/canto_de_maria.html"&gt;Canto de María&lt;/a&gt;&lt;/li&gt;</v>
      </c>
      <c r="S6" s="17" t="str">
        <v>&lt;li data-author="Al-Haraca" data-nold="56"&gt;&lt;a href="canciones/al-haraca/como_jonas.html"&gt;Como Jonás&lt;/a&gt;&lt;/li&gt;</v>
      </c>
      <c r="T6" s="17" t="str">
        <v>&lt;li&gt;&lt;a href="canciones/nuevas/evenu_shalom_alejem.html"&gt;Evenu shalom alejem&lt;/a&gt;&lt;/li&gt;</v>
      </c>
      <c r="U6" s="17" t="str">
        <v>&lt;li data-author="Alejandro Ruiz" data-nrcc="277"&gt;&lt;a href="canciones/alejandro_ruiz/tuya_es_la_victoria.html"&gt;Tuya es la victoria&lt;/a&gt;&lt;/li&gt;</v>
      </c>
      <c r="W6" s="17" t="str">
        <v>&lt;li data-author="Ruah"&gt;&lt;a href="canciones/ruah/fija_en_ti.html"&gt;Fija en ti&lt;/a&gt;&lt;/li&gt;</v>
      </c>
      <c r="X6" s="17" t="str">
        <v>&lt;li data-author="Taizé en español" data-momento="TaizéESP" data-nnew="Q24" data-nrcc="423"&gt;&lt;a href="canciones/taize/confitemini_domino.html"&gt;Llénanos, Señor, de tu paz&lt;/a&gt;&lt;/li&gt;</v>
      </c>
      <c r="Y6" s="17" t="str">
        <v>&lt;li data-author="Taizé original" data-momento="TaizéORIG" data-nnew="Q24" data-nrcc="423"&gt;&lt;a href="canciones/taize/confitemini_domino.html"&gt;Confitemini Domino&lt;/a&gt;&lt;/li&gt;</v>
      </c>
      <c r="Z6" s="17" t="str">
        <v>&lt;li data-author="Toño Casado"&gt;&lt;a href="canciones/toño_casado/señor_ten_piedad_ii.html"&gt;Señor, ten piedad II&lt;/a&gt;&lt;/li&gt;</v>
      </c>
    </row>
    <row r="7" spans="1:31" x14ac:dyDescent="0.3">
      <c r="A7" s="16" t="str">
        <v>Brotes de Olivo</v>
      </c>
      <c r="B7" s="16" t="str">
        <v>brotes_de_olivo</v>
      </c>
      <c r="C7" s="16">
        <v>98</v>
      </c>
      <c r="D7" s="16">
        <v>80</v>
      </c>
      <c r="I7" s="17" t="str">
        <v>&lt;li data-author="Ain Karem"&gt;&lt;a href="canciones/ain_karem/los_incontables.html"&gt;Los incontables&lt;/a&gt;&lt;/li&gt;</v>
      </c>
      <c r="K7" s="17" t="str">
        <v>&lt;li data-author="Brotes de Olivo"&gt;&lt;a href="canciones/brotes_de_olivo/sea.html"&gt;Sea&lt;/a&gt;&lt;/li&gt;</v>
      </c>
      <c r="L7" s="17" t="str">
        <v>&lt;li data-author="Carmelo Erdozáin"&gt;&lt;a href="canciones/carmelo_erdozain/señor_ten_piedad_(i).html"&gt;Señor, ten piedad (I)&lt;/a&gt;&lt;/li&gt;</v>
      </c>
      <c r="M7" s="17" t="str">
        <v>&lt;li data-author="Cesáreo Gabarain"&gt;&lt;a href="canciones/cesareo_gabarain/el_señor_es_bueno.html"&gt;El Señor es bueno&lt;/a&gt;&lt;/li&gt;</v>
      </c>
      <c r="N7" s="17" t="str">
        <v>&lt;li data-author="Francisco Palazón"&gt;&lt;a href="canciones/francisco_palazon/padre_nuestro.html"&gt;Padre nuestro&lt;/a&gt;&lt;/li&gt;</v>
      </c>
      <c r="O7" s="17" t="str">
        <v>&lt;li data-author="Hakuna"&gt;&lt;a href="canciones/hakuna/capricho.html"&gt;Capricho&lt;/a&gt;&lt;/li&gt;</v>
      </c>
      <c r="Q7" s="17" t="str">
        <v>&lt;li data-author="Ixcís"&gt;&lt;a href="canciones/ixcis/despiertame.html"&gt;Despiértame&lt;/a&gt;&lt;/li&gt;</v>
      </c>
      <c r="R7" s="17" t="str">
        <v>&lt;li data-author="Kairoi"&gt;&lt;a href="canciones/kairoi/tu_jesus.html"&gt;Tú, Jesús&lt;/a&gt;&lt;/li&gt;</v>
      </c>
      <c r="S7" s="17" t="str">
        <v>&lt;li data-author="Al-Haraca" data-nold="114"&gt;&lt;a href="canciones/al-haraca/en_esto_conoceran.html"&gt;En esto conocerán&lt;/a&gt;&lt;/li&gt;</v>
      </c>
      <c r="T7" s="17" t="str">
        <v>&lt;li&gt;&lt;a href="canciones/nuevas/vamos_amigos.html"&gt;Vamos, amigos&lt;/a&gt;&lt;/li&gt;</v>
      </c>
      <c r="U7" s="17" t="str">
        <v>&lt;li data-author="Alejandro Ruiz" data-nrcc="175"&gt;&lt;a href="canciones/alejandro_ruiz/ven_espiritu.html"&gt;Ven, Espíritu&lt;/a&gt;&lt;/li&gt;</v>
      </c>
      <c r="W7" s="17" t="str">
        <v>&lt;li data-author="Ruah"&gt;&lt;a href="canciones/ruah/tu_y_no_yo.html"&gt;Tú y no yo&lt;/a&gt;&lt;/li&gt;</v>
      </c>
      <c r="X7" s="17" t="str">
        <v>&lt;li data-author="Taizé en español" data-momento="TaizéESP" data-nnew="Q61" data-nrcc="68"&gt;&lt;a href="canciones/taize/magnificat_(canon).html"&gt;Magnificat (canon)&lt;/a&gt;&lt;/li&gt;</v>
      </c>
      <c r="Y7" s="17" t="str">
        <v>&lt;li data-author="Taizé original" data-momento="TaizéORIG" data-nnew="Q61" data-nrcc="68"&gt;&lt;a href="canciones/taize/magnificat_(canon).html"&gt;Magnificat (canon)&lt;/a&gt;&lt;/li&gt;</v>
      </c>
      <c r="Z7" s="17" t="str">
        <v>&lt;li data-author="Toño Casado"&gt;&lt;a href="canciones/toño_casado/gloria_(por_pintar_amaneceres).html"&gt;Gloria (por pintar amaneceres)&lt;/a&gt;&lt;/li&gt;</v>
      </c>
    </row>
    <row r="8" spans="1:31" x14ac:dyDescent="0.3">
      <c r="A8" s="16" t="str">
        <v>Carmelo Erdozáin</v>
      </c>
      <c r="B8" s="16" t="str">
        <v>carmelo_erdozain</v>
      </c>
      <c r="C8" s="16">
        <v>212</v>
      </c>
      <c r="D8" s="16">
        <v>57</v>
      </c>
      <c r="I8" s="17" t="str">
        <v>&lt;li data-author="Ain Karem"&gt;&lt;a href="canciones/ain_karem/palabra_encarnada.html"&gt;Palabra encarnada&lt;/a&gt;&lt;/li&gt;</v>
      </c>
      <c r="K8" s="17" t="str">
        <v>&lt;li data-author="Brotes de Olivo"&gt;&lt;a href="canciones/brotes_de_olivo/causa_de_tu_providencia.html"&gt;Causa de tu providencia&lt;/a&gt;&lt;/li&gt;</v>
      </c>
      <c r="L8" s="17" t="str">
        <v>&lt;li data-author="Carmelo Erdozáin"&gt;&lt;a href="canciones/carmelo_erdozain/aleluya_(i).html"&gt;Aleluya (I)&lt;/a&gt;&lt;/li&gt;</v>
      </c>
      <c r="M8" s="17" t="str">
        <v>&lt;li data-author="Cesáreo Gabarain"&gt;&lt;a href="canciones/cesareo_gabarain/aclama_al_señor_tierra_entera.html"&gt;Aclama al Señor tierra entera&lt;/a&gt;&lt;/li&gt;</v>
      </c>
      <c r="N8" s="17" t="str">
        <v>&lt;li data-author="Francisco Palazón"&gt;&lt;a href="canciones/francisco_palazon/cordero_de_dios.html"&gt;Cordero de Dios&lt;/a&gt;&lt;/li&gt;</v>
      </c>
      <c r="O8" s="17" t="str">
        <v>&lt;li data-author="Hakuna"&gt;&lt;a href="canciones/hakuna/pluma_de_escribano.html"&gt;Pluma de escribano&lt;/a&gt;&lt;/li&gt;</v>
      </c>
      <c r="Q8" s="17" t="str">
        <v>&lt;li data-author="Ixcís"&gt;&lt;a href="canciones/ixcis/deja_tus_redes.html"&gt;Deja tus redes&lt;/a&gt;&lt;/li&gt;</v>
      </c>
      <c r="R8" s="17" t="str">
        <v>&lt;li data-author="Kairoi"&gt;&lt;a href="canciones/kairoi/confianza_en_dios.html"&gt;Confianza en Dios&lt;/a&gt;&lt;/li&gt;</v>
      </c>
      <c r="S8" s="17" t="str">
        <v>&lt;li data-author="Al-Haraca" data-nold="197"&gt;&lt;a href="canciones/al-haraca/padre_me_pongo_en_tu_regazo.html"&gt;Padre, me pongo en tu regazo&lt;/a&gt;&lt;/li&gt;</v>
      </c>
      <c r="T8" s="17" t="str">
        <v>&lt;li data-author="Alberto Taulé"&gt;&lt;a href="canciones/nuevas/el_señor_nos_llama_y_nos_reune.html"&gt;El Señor nos llama y nos reúne&lt;/a&gt;&lt;/li&gt;</v>
      </c>
      <c r="U8" s="17" t="str">
        <v>&lt;li data-author="Brotes de Olivo" data-nrcc="13"&gt;&lt;a href="canciones/brotes_de_olivo/se_que_voy_contigo.html"&gt;Sé que voy contigo&lt;/a&gt;&lt;/li&gt;</v>
      </c>
      <c r="W8" s="17" t="str">
        <v>&lt;li data-author="Ruah"&gt;&lt;a href="canciones/ruah/tu_me_sondeas.html"&gt;Tú me sondeas&lt;/a&gt;&lt;/li&gt;</v>
      </c>
      <c r="X8" s="17" t="str">
        <v>&lt;li data-author="Taizé en español" data-momento="TaizéESP" data-nnew="Q66"&gt;&lt;a href="canciones/taize/per_crucem.html"&gt;Por tu Cruz&lt;/a&gt;&lt;/li&gt;</v>
      </c>
      <c r="Y8" s="17" t="str">
        <v>&lt;li data-author="Taizé original" data-momento="TaizéORIG" data-nnew="Q29" data-nrcc="415"&gt;&lt;a href="canciones/taize/de_noche.html"&gt;De noche&lt;/a&gt;&lt;/li&gt;</v>
      </c>
      <c r="Z8" s="17" t="str">
        <v>&lt;li data-author="Toño Casado"&gt;&lt;a href="canciones/toño_casado/tu_palabra_se_hace_vida.html"&gt;Tu palabra se hace vida&lt;/a&gt;&lt;/li&gt;</v>
      </c>
    </row>
    <row r="9" spans="1:31" x14ac:dyDescent="0.3">
      <c r="A9" s="16" t="str">
        <v>Cesáreo Gabarain</v>
      </c>
      <c r="B9" s="16" t="str">
        <v>cesareo_gabarain</v>
      </c>
      <c r="C9" s="16">
        <v>277</v>
      </c>
      <c r="D9" s="16">
        <v>122</v>
      </c>
      <c r="I9" s="17" t="str">
        <v>&lt;li data-author="Ain Karem"&gt;&lt;a href="canciones/ain_karem/la_mujer_cananea.html"&gt;La mujer cananea&lt;/a&gt;&lt;/li&gt;</v>
      </c>
      <c r="K9" s="17" t="str">
        <v>&lt;li data-author="Brotes de Olivo"&gt;&lt;a href="canciones/brotes_de_olivo/no_se_hablan.html"&gt;No se hablan&lt;/a&gt;&lt;/li&gt;</v>
      </c>
      <c r="L9" s="17" t="str">
        <v>&lt;li data-author="Carmelo Erdozáin"&gt;&lt;a href="canciones/carmelo_erdozain/santo_(iv).html"&gt;Santo (IV)&lt;/a&gt;&lt;/li&gt;</v>
      </c>
      <c r="M9" s="17" t="str">
        <v>&lt;li data-author="Cesáreo Gabarain"&gt;&lt;a href="canciones/cesareo_gabarain/envia_tu_espiritu_señor.html"&gt;Envía tu Espíritu, Señor&lt;/a&gt;&lt;/li&gt;</v>
      </c>
      <c r="N9" s="17" t="str">
        <v>&lt;li data-author="Francisco Palazón"&gt;&lt;a href="canciones/francisco_palazon/anunciando_tu_venida.html"&gt;Anunciando tu venida&lt;/a&gt;&lt;/li&gt;</v>
      </c>
      <c r="O9" s="17" t="str">
        <v>&lt;li data-author="Hakuna"&gt;&lt;a href="canciones/hakuna/nacidos_de_lo_alto.html"&gt;Nacidos de lo alto&lt;/a&gt;&lt;/li&gt;</v>
      </c>
      <c r="Q9" s="17" t="str">
        <v>&lt;li data-author="Ixcís"&gt;&lt;a href="canciones/ixcis/ven_serename.html"&gt;Ven, seréname&lt;/a&gt;&lt;/li&gt;</v>
      </c>
      <c r="R9" s="17" t="str">
        <v>&lt;li data-author="Kairoi"&gt;&lt;a href="canciones/kairoi/en_la_esperanza_madre.html"&gt;En la esperanza, Madre&lt;/a&gt;&lt;/li&gt;</v>
      </c>
      <c r="S9" s="17" t="str">
        <v>&lt;li data-author="Al-Haraca" data-momento="Paz" data-nnew="I09" data-nold="209"&gt;&lt;a href="canciones/al-haraca/por_la_paz_no_callare.html"&gt;Por la paz no callaré&lt;/a&gt;&lt;/li&gt;</v>
      </c>
      <c r="T9" s="17" t="str">
        <v>&lt;li data-author="Alejandro Labajos"&gt;&lt;a href="canciones/nuevas/te_seguire.html"&gt;Te seguiré&lt;/a&gt;&lt;/li&gt;</v>
      </c>
      <c r="U9" s="17" t="str">
        <v>&lt;li data-author="Josep Asunción" data-nrcc="291"&gt;&lt;a href="canciones/josep_asuncion/alabandote.html"&gt;Alabándote&lt;/a&gt;&lt;/li&gt;</v>
      </c>
      <c r="W9" s="17" t="str">
        <v>&lt;li data-author="Ruah"&gt;&lt;a href="canciones/ruah/ten_compasion.html"&gt;Ten compasión&lt;/a&gt;&lt;/li&gt;</v>
      </c>
      <c r="X9" s="17" t="str">
        <v>&lt;li data-author="Taizé en español" data-momento="TaizéESP" data-nnew="Q59" data-nrcc="429"&gt;&lt;a href="canciones/taize/laudate_omnes_gentes.html"&gt;Que todo el mundo alabe&lt;/a&gt;&lt;/li&gt;</v>
      </c>
      <c r="Y9" s="17" t="str">
        <v>&lt;li data-author="Taizé original" data-momento="TaizéORIG" data-nnew="Q66"&gt;&lt;a href="canciones/taize/per_crucem.html"&gt;Per crucem&lt;/a&gt;&lt;/li&gt;</v>
      </c>
      <c r="Z9" s="17" t="str">
        <v>&lt;li data-author="Toño Casado"&gt;&lt;a href="canciones/toño_casado/aleluya_ii.html"&gt;Aleluya II&lt;/a&gt;&lt;/li&gt;</v>
      </c>
    </row>
    <row r="10" spans="1:31" x14ac:dyDescent="0.3">
      <c r="A10" s="16" t="str">
        <v>Emilio Vicente Mateu</v>
      </c>
      <c r="B10" s="16" t="str">
        <v>emilio_vicente_mateu</v>
      </c>
      <c r="C10" s="16">
        <v>12</v>
      </c>
      <c r="D10" s="16">
        <v>11</v>
      </c>
      <c r="I10" s="17" t="str">
        <v>&lt;li data-author="Ain Karem"&gt;&lt;a href="canciones/ain_karem/el_siervo.html"&gt;El siervo&lt;/a&gt;&lt;/li&gt;</v>
      </c>
      <c r="K10" s="17" t="str">
        <v>&lt;li data-author="Brotes de Olivo"&gt;&lt;a href="canciones/brotes_de_olivo/liberame.html"&gt;Libérame&lt;/a&gt;&lt;/li&gt;</v>
      </c>
      <c r="L10" s="17" t="str">
        <v>&lt;li data-author="Carmelo Erdozáin"&gt;&lt;a href="canciones/carmelo_erdozain/somos_hermanas_en_cristo.html"&gt;Somos hermanas en Cristo&lt;/a&gt;&lt;/li&gt;</v>
      </c>
      <c r="M10" s="17" t="str">
        <v>&lt;li data-author="Cesáreo Gabarain"&gt;&lt;a href="canciones/cesareo_gabarain/aleluya_i.html"&gt;Aleluya I&lt;/a&gt;&lt;/li&gt;</v>
      </c>
      <c r="N10" s="17" t="str">
        <v>&lt;li data-author="Francisco Palazón"&gt;&lt;a href="canciones/francisco_palazon/junto_a_los_canales_de_babilonia.html"&gt;Junto a los canales de Babilonia&lt;/a&gt;&lt;/li&gt;</v>
      </c>
      <c r="O10" s="17" t="str">
        <v>&lt;li data-author="Hakuna"&gt;&lt;a href="canciones/hakuna/por_que_lloras.html"&gt;Por qué lloras&lt;/a&gt;&lt;/li&gt;</v>
      </c>
      <c r="Q10" s="17" t="str">
        <v>&lt;li data-author="Ixcís"&gt;&lt;a href="canciones/ixcis/quiero_verte.html"&gt;Quiero verte&lt;/a&gt;&lt;/li&gt;</v>
      </c>
      <c r="R10" s="17" t="str">
        <v>&lt;li data-author="Kairoi"&gt;&lt;a href="canciones/kairoi/con_sencillo_corazon.html"&gt;Con sencillo corazón&lt;/a&gt;&lt;/li&gt;</v>
      </c>
      <c r="S10" s="17" t="str">
        <v>&lt;li data-author="Al-Haraca" data-nold="213"&gt;&lt;a href="canciones/al-haraca/santa_maria_servidora.html"&gt;Santa María, servidora&lt;/a&gt;&lt;/li&gt;</v>
      </c>
      <c r="T10" s="17" t="str">
        <v>&lt;li data-author="Álvaro Fraile"&gt;&lt;a href="canciones/nuevas/contigo_me_la_juego.html"&gt;Contigo me la juego&lt;/a&gt;&lt;/li&gt;</v>
      </c>
      <c r="U10" s="17" t="str">
        <v>&lt;li data-author="Josep Asunción" data-nrcc="94"&gt;&lt;a href="canciones/josep_asuncion/amor_loco.html"&gt;Amor loco&lt;/a&gt;&lt;/li&gt;</v>
      </c>
      <c r="W10" s="17" t="str">
        <v>&lt;li data-author="Ruah"&gt;&lt;a href="canciones/ruah/a_fuego.html"&gt;A fuego&lt;/a&gt;&lt;/li&gt;</v>
      </c>
      <c r="X10" s="17" t="str">
        <v>&lt;li data-author="Taizé en español" data-momento="TaizéESP" data-nnew="Q38"&gt;&lt;a href="canciones/taize/el_senyor.html"&gt;El Señor es mi fortaleza&lt;/a&gt;&lt;/li&gt;</v>
      </c>
      <c r="Y10" s="17" t="str">
        <v>&lt;li data-author="Taizé original" data-momento="TaizéORIG" data-nnew="Q59" data-nrcc="429"&gt;&lt;a href="canciones/taize/laudate_omnes_gentes.html"&gt;Laudate omnes gentes&lt;/a&gt;&lt;/li&gt;</v>
      </c>
      <c r="Z10" s="17" t="str">
        <v>&lt;li data-author="Toño Casado"&gt;&lt;a href="canciones/toño_casado/padre_nuestro_ii.html"&gt;Padre nuestro II&lt;/a&gt;&lt;/li&gt;</v>
      </c>
    </row>
    <row r="11" spans="1:31" x14ac:dyDescent="0.3">
      <c r="A11" s="16" t="str">
        <v>Fernando Viejo</v>
      </c>
      <c r="B11" s="16" t="str">
        <v>fernando_viejo</v>
      </c>
      <c r="C11" s="16">
        <v>6</v>
      </c>
      <c r="D11" s="16">
        <v>6</v>
      </c>
      <c r="I11" s="17" t="str">
        <v>&lt;li data-author="Ain Karem"&gt;&lt;a href="canciones/ain_karem/la_moneda_perdida.html"&gt;La moneda perdida&lt;/a&gt;&lt;/li&gt;</v>
      </c>
      <c r="K11" s="17" t="str">
        <v>&lt;li data-author="Brotes de Olivo"&gt;&lt;a href="canciones/brotes_de_olivo/si_no_tengo_amor.html"&gt;Si no tengo amor&lt;/a&gt;&lt;/li&gt;</v>
      </c>
      <c r="L11" s="17" t="str">
        <v>&lt;li data-author="Carmelo Erdozáin"&gt;&lt;a href="canciones/carmelo_erdozain/llega_la_luz.html"&gt;Llega la luz&lt;/a&gt;&lt;/li&gt;</v>
      </c>
      <c r="M11" s="17" t="str">
        <v>&lt;li data-author="Cesáreo Gabarain"&gt;&lt;a href="canciones/cesareo_gabarain/habla_señor_que_tu_siervo_escucha.html"&gt;Habla, Señor, que tu siervo escucha&lt;/a&gt;&lt;/li&gt;</v>
      </c>
      <c r="N11" s="17" t="str">
        <v>&lt;li data-author="Francisco Palazón"&gt;&lt;a href="canciones/francisco_palazon/dichoso_quien_se_acuerda_del_hermano.html"&gt;Dichoso quien se acuerda del hermano&lt;/a&gt;&lt;/li&gt;</v>
      </c>
      <c r="O11" s="17" t="str">
        <v>&lt;li data-author="Hakuna"&gt;&lt;a href="canciones/hakuna/entre_anestesias.html"&gt;Entre anestesias&lt;/a&gt;&lt;/li&gt;</v>
      </c>
      <c r="Q11" s="17" t="str">
        <v>&lt;li data-author="Ixcís"&gt;&lt;a href="canciones/ixcis/ellos_son_tu_rostro.html"&gt;Ellos son tu rostro&lt;/a&gt;&lt;/li&gt;</v>
      </c>
      <c r="R11" s="17" t="str">
        <v>&lt;li data-author="Kairoi"&gt;&lt;a href="canciones/kairoi/fraternidad.html"&gt;Fraternidad&lt;/a&gt;&lt;/li&gt;</v>
      </c>
      <c r="S11" s="17" t="str">
        <v>&lt;li data-author="Al-Haraca" data-momento="Entrada" data-nnew="A44" data-nold="294"&gt;&lt;a href="canciones/al-haraca/yo_soy_la_luz_del_mundo.html"&gt;Yo soy la luz del mundo&lt;/a&gt;&lt;/li&gt;</v>
      </c>
      <c r="T11" s="17" t="str">
        <v>&lt;li data-author="Athenas"&gt;&lt;a href="canciones/nuevas/acaso_no_estoy_yo_aqui_que_soy_tu_madre.html"&gt;Acaso no estoy yo aquí que soy tu madre&lt;/a&gt;&lt;/li&gt;</v>
      </c>
      <c r="U11" s="17" t="str">
        <v>&lt;li data-author="Josep Asunción" data-nrcc="141"&gt;&lt;a href="canciones/josep_asuncion/como_las_tiendas_de_quedar.html"&gt;Como las tiendas de Quedar&lt;/a&gt;&lt;/li&gt;</v>
      </c>
      <c r="W11" s="17" t="str">
        <v>&lt;li data-author="Ruah"&gt;&lt;a href="canciones/ruah/aprendiendo.html"&gt;Aprendiendo&lt;/a&gt;&lt;/li&gt;</v>
      </c>
      <c r="X11" s="17" t="str">
        <v>&lt;li data-author="Taizé en español" data-momento="TaizéESP" data-nnew="Q02"&gt;&lt;a href="canciones/taize/adoramus_te_o_christe.html"&gt;Te adoramos&lt;/a&gt;&lt;/li&gt;</v>
      </c>
      <c r="Y11" s="17" t="str">
        <v>&lt;li data-author="Taizé original" data-momento="TaizéORIG" data-nnew="Q38"&gt;&lt;a href="canciones/taize/el_senyor.html"&gt;El Senyor&lt;/a&gt;&lt;/li&gt;</v>
      </c>
      <c r="Z11" s="17" t="str">
        <v>&lt;li data-author="Toño Casado"&gt;&lt;a href="canciones/toño_casado/danos_paz.html"&gt;Danos paz&lt;/a&gt;&lt;/li&gt;</v>
      </c>
    </row>
    <row r="12" spans="1:31" x14ac:dyDescent="0.3">
      <c r="A12" s="16" t="str">
        <v>Francisco Palazón</v>
      </c>
      <c r="B12" s="16" t="str">
        <v>francisco_palazon</v>
      </c>
      <c r="C12" s="16">
        <v>130</v>
      </c>
      <c r="D12" s="16">
        <v>111</v>
      </c>
      <c r="I12" s="17" t="str">
        <v>&lt;li data-author="Ain Karem"&gt;&lt;a href="canciones/ain_karem/señor_mio_y_dios_mio.html"&gt;Señor mío y Dios mío&lt;/a&gt;&lt;/li&gt;</v>
      </c>
      <c r="K12" s="17" t="str">
        <v>&lt;li data-author="Brotes de Olivo"&gt;&lt;a href="canciones/brotes_de_olivo/vejados_y_abatidos.html"&gt;Vejados y abatidos&lt;/a&gt;&lt;/li&gt;</v>
      </c>
      <c r="L12" s="17" t="str">
        <v>&lt;li data-author="Carmelo Erdozáin"&gt;&lt;a href="canciones/carmelo_erdozain/me_ilamaste.html"&gt;Me Ilamaste&lt;/a&gt;&lt;/li&gt;</v>
      </c>
      <c r="M12" s="17" t="str">
        <v>&lt;li data-author="Cesáreo Gabarain"&gt;&lt;a href="canciones/cesareo_gabarain/palabra_del_señor.html"&gt;Palabra del Señor&lt;/a&gt;&lt;/li&gt;</v>
      </c>
      <c r="N12" s="17" t="str">
        <v>&lt;li data-author="Francisco Palazón"&gt;&lt;a href="canciones/francisco_palazon/señor_escucha_mi_oracion.html"&gt;Señor, escucha mi oración&lt;/a&gt;&lt;/li&gt;</v>
      </c>
      <c r="O12" s="17" t="str">
        <v>&lt;li data-author="Hakuna"&gt;&lt;a href="canciones/hakuna/dime_padre.html"&gt;Dime, Padre&lt;/a&gt;&lt;/li&gt;</v>
      </c>
      <c r="Q12" s="17" t="str">
        <v>&lt;li data-author="Ixcís"&gt;&lt;a href="canciones/ixcis/mas_que_el_oro.html"&gt;Más que el oro&lt;/a&gt;&lt;/li&gt;</v>
      </c>
      <c r="R12" s="17" t="str">
        <v>&lt;li data-author="Kairoi"&gt;&lt;a href="canciones/kairoi/mantas_de_carton.html"&gt;Mantas de cartón&lt;/a&gt;&lt;/li&gt;</v>
      </c>
      <c r="S12" s="17" t="str">
        <v>&lt;li data-author="Antonio Alcalde" data-nold="88"&gt;&lt;a href="canciones/antonio_alcalde/de_la_virgen_ha_nacido_el_niño.html"&gt;De la Virgen ha nacido el Niño&lt;/a&gt;&lt;/li&gt;</v>
      </c>
      <c r="T12" s="17" t="str">
        <v>&lt;li data-author="Athenas"&gt;&lt;a href="canciones/nuevas/todo_es_tuyo.html"&gt;Todo es tuyo&lt;/a&gt;&lt;/li&gt;</v>
      </c>
      <c r="U12" s="17" t="str">
        <v>&lt;li data-author="Josep Asunción" data-nrcc="165"&gt;&lt;a href="canciones/josep_asuncion/dos_mil_años_de_luz.html"&gt;Dos mil años de luz&lt;/a&gt;&lt;/li&gt;</v>
      </c>
      <c r="W12" s="17" t="str">
        <v>&lt;li data-author="Ruah"&gt;&lt;a href="canciones/ruah/alianza.html"&gt;Alianza&lt;/a&gt;&lt;/li&gt;</v>
      </c>
      <c r="X12" s="17" t="str">
        <v>&lt;li data-author="Taizé en español" data-momento="TaizéESP" data-nnew="Q20"&gt;&lt;a href="canciones/taize/cantarei_ao_senhor.html"&gt;Cantaré al Señor&lt;/a&gt;&lt;/li&gt;</v>
      </c>
      <c r="Y12" s="17" t="str">
        <v>&lt;li data-author="Taizé original" data-momento="TaizéORIG" data-nnew="Q02"&gt;&lt;a href="canciones/taize/adoramus_te_o_christe.html"&gt;Adoramus te O Christe&lt;/a&gt;&lt;/li&gt;</v>
      </c>
      <c r="Z12" s="17" t="str">
        <v>&lt;li data-author="Toño Casado"&gt;&lt;a href="canciones/toño_casado/hoy_jesus_vendras_a_mi.html"&gt;Hoy, Jesús, vendrás a mí&lt;/a&gt;&lt;/li&gt;</v>
      </c>
    </row>
    <row r="13" spans="1:31" x14ac:dyDescent="0.3">
      <c r="A13" s="16" t="str">
        <v>Hakuna</v>
      </c>
      <c r="B13" s="16" t="str">
        <v>hakuna</v>
      </c>
      <c r="C13" s="16">
        <v>95</v>
      </c>
      <c r="D13" s="16">
        <v>94</v>
      </c>
      <c r="I13" s="17" t="str">
        <v>&lt;li data-author="Ain Karem"&gt;&lt;a href="canciones/ain_karem/dame_una_palabra.html"&gt;Dame una palabra&lt;/a&gt;&lt;/li&gt;</v>
      </c>
      <c r="K13" s="17" t="str">
        <v>&lt;li data-author="Brotes de Olivo"&gt;&lt;a href="canciones/brotes_de_olivo/cuanto_dura_el_amor.html"&gt;Cuánto dura el amor&lt;/a&gt;&lt;/li&gt;</v>
      </c>
      <c r="L13" s="17" t="str">
        <v>&lt;li data-author="Carmelo Erdozáin"&gt;&lt;a href="canciones/carmelo_erdozain/la_noche_ya_se_acerca.html"&gt;La noche ya se acerca&lt;/a&gt;&lt;/li&gt;</v>
      </c>
      <c r="M13" s="17" t="str">
        <v>&lt;li data-author="Cesáreo Gabarain"&gt;&lt;a href="canciones/cesareo_gabarain/tu_palabra_señor_es_la_verdad.html"&gt;Tu Palabra, Señor, es la verdad&lt;/a&gt;&lt;/li&gt;</v>
      </c>
      <c r="N13" s="17" t="str">
        <v>&lt;li data-author="Francisco Palazón"&gt;&lt;a href="canciones/francisco_palazon/es_bueno_dar_gracias_al_señor.html"&gt;Es bueno dar gracias al Señor&lt;/a&gt;&lt;/li&gt;</v>
      </c>
      <c r="O13" s="17" t="str">
        <v>&lt;li data-author="Hakuna"&gt;&lt;a href="canciones/hakuna/exulte_mi_alma.html"&gt;Exulte mi alma&lt;/a&gt;&lt;/li&gt;</v>
      </c>
      <c r="Q13" s="17" t="str">
        <v>&lt;li data-author="Ixcís"&gt;&lt;a href="canciones/ixcis/mi_roca.html"&gt;Mi roca&lt;/a&gt;&lt;/li&gt;</v>
      </c>
      <c r="R13" s="17" t="str">
        <v>&lt;li data-author="Kairoi"&gt;&lt;a href="canciones/kairoi/soñar_un_mundo_mas_feliz.html"&gt;Soñar un mundo más feliz&lt;/a&gt;&lt;/li&gt;</v>
      </c>
      <c r="S13" s="17" t="str">
        <v>&lt;li data-author="Antonio Alcalde" data-momento="Despedida" data-nnew="L05" data-nold="152"&gt;&lt;a href="canciones/antonio_alcalde/lo_que_hemos_visto_y_oido.html"&gt;Lo que hemos visto y oído&lt;/a&gt;&lt;/li&gt;</v>
      </c>
      <c r="T13" s="17" t="str">
        <v>&lt;li data-author="Jesús Adrián Romero"&gt;&lt;a href="canciones/nuevas/enamorame_de_ti.html"&gt;Enamórame de ti&lt;/a&gt;&lt;/li&gt;</v>
      </c>
      <c r="U13" s="17" t="str">
        <v>&lt;li data-author="Josep Asunción" data-nrcc="34"&gt;&lt;a href="canciones/josep_asuncion/en_quien_me_fijare.html"&gt;En quién me fijaré&lt;/a&gt;&lt;/li&gt;</v>
      </c>
      <c r="W13" s="17" t="str">
        <v>&lt;li data-author="Ruah"&gt;&lt;a href="canciones/ruah/gracias.html"&gt;Gracias&lt;/a&gt;&lt;/li&gt;</v>
      </c>
      <c r="X13" s="17" t="str">
        <v>&lt;li data-author="Taizé en español" data-momento="TaizéESP" data-nnew="Q12"&gt;&lt;a href="canciones/taize/behüte_mich_gott.html"&gt;Protégeme, Dios&lt;/a&gt;&lt;/li&gt;</v>
      </c>
      <c r="Y13" s="17" t="str">
        <v>&lt;li data-author="Taizé original" data-momento="TaizéORIG" data-nnew="Q20"&gt;&lt;a href="canciones/taize/cantarei_ao_senhor.html"&gt;Cantarei ao Senhor&lt;/a&gt;&lt;/li&gt;</v>
      </c>
      <c r="Z13" s="17" t="str">
        <v>&lt;li data-author="Toño Casado"&gt;&lt;a href="canciones/toño_casado/familia_de_dios.html"&gt;Familia de Dios&lt;/a&gt;&lt;/li&gt;</v>
      </c>
    </row>
    <row r="14" spans="1:31" x14ac:dyDescent="0.3">
      <c r="A14" s="16" t="str">
        <v>Hermana Glenda</v>
      </c>
      <c r="B14" s="16" t="str">
        <v>hermana_glenda</v>
      </c>
      <c r="C14" s="16">
        <v>12</v>
      </c>
      <c r="D14" s="16">
        <v>2</v>
      </c>
      <c r="I14" s="17" t="str">
        <v>&lt;li data-author="Ain Karem"&gt;&lt;a href="canciones/ain_karem/somos_del_señor.html"&gt;Somos del Señor&lt;/a&gt;&lt;/li&gt;</v>
      </c>
      <c r="K14" s="17" t="str">
        <v>&lt;li data-author="Brotes de Olivo"&gt;&lt;a href="canciones/brotes_de_olivo/tu_mi_pilar.html"&gt;Tú, mi pilar&lt;/a&gt;&lt;/li&gt;</v>
      </c>
      <c r="L14" s="17" t="str">
        <v>&lt;li data-author="Carmelo Erdozáin"&gt;&lt;a href="canciones/carmelo_erdozain/en_el_nombre_del_padre.html"&gt;En el nombre del Padre&lt;/a&gt;&lt;/li&gt;</v>
      </c>
      <c r="M14" s="17" t="str">
        <v>&lt;li data-author="Cesáreo Gabarain"&gt;&lt;a href="canciones/cesareo_gabarain/aclamad_el_misterio.html"&gt;Aclamad el misterio&lt;/a&gt;&lt;/li&gt;</v>
      </c>
      <c r="N14" s="17" t="str">
        <v>&lt;li data-author="Francisco Palazón"&gt;&lt;a href="canciones/francisco_palazon/el_cielo_proclama_la_gloria_de_dios.html"&gt;El cielo proclama la gloria de Dios&lt;/a&gt;&lt;/li&gt;</v>
      </c>
      <c r="O14" s="17" t="str">
        <v>&lt;li data-author="Hakuna"&gt;&lt;a href="canciones/hakuna/un_sitio.html"&gt;Un sitio&lt;/a&gt;&lt;/li&gt;</v>
      </c>
      <c r="Q14" s="17" t="str">
        <v>&lt;li data-author="Ixcís"&gt;&lt;a href="canciones/ixcis/danos_pastores.html"&gt;Danos pastores&lt;/a&gt;&lt;/li&gt;</v>
      </c>
      <c r="R14" s="17" t="str">
        <v>&lt;li data-author="Kairoi"&gt;&lt;a href="canciones/kairoi/somos_cancion.html"&gt;Somos canción&lt;/a&gt;&lt;/li&gt;</v>
      </c>
      <c r="S14" s="17" t="str">
        <v>&lt;li data-author="Antonio Alcalde" data-nold="181"&gt;&lt;a href="canciones/antonio_alcalde/nos_has_llamado_al_desierto.html"&gt;Nos has llamado al desierto&lt;/a&gt;&lt;/li&gt;</v>
      </c>
      <c r="T14" s="17" t="str">
        <v>&lt;li data-author="José Luis Reyes"&gt;&lt;a href="canciones/nuevas/algo_esta_cayendo_aqui.html"&gt;Algo está cayendo aquí&lt;/a&gt;&lt;/li&gt;</v>
      </c>
      <c r="U14" s="17" t="str">
        <v>&lt;li data-author="Josep Asunción" data-nrcc="282"&gt;&lt;a href="canciones/josep_asuncion/gloriosa_luz_de_dios.html"&gt;Gloriosa luz de Dios&lt;/a&gt;&lt;/li&gt;</v>
      </c>
      <c r="W14" s="17" t="str">
        <v>&lt;li data-author="Ruah"&gt;&lt;a href="canciones/ruah/dios_de_la_historia.html"&gt;Dios de la Historia&lt;/a&gt;&lt;/li&gt;</v>
      </c>
      <c r="X14" s="17" t="str">
        <v>&lt;li data-author="Taizé en español" data-momento="TaizéESP" data-nnew="Q42"&gt;&lt;a href="canciones/taize/i_am_sure_i_shall_see.html"&gt;Yo ya sé qué veré&lt;/a&gt;&lt;/li&gt;</v>
      </c>
      <c r="Y14" s="17" t="str">
        <v>&lt;li data-author="Taizé original" data-momento="TaizéORIG" data-nnew="Q12"&gt;&lt;a href="canciones/taize/behüte_mich_gott.html"&gt;Behüte mich Gott&lt;/a&gt;&lt;/li&gt;</v>
      </c>
      <c r="Z14" s="17" t="str">
        <v>&lt;li data-author="Toño Casado"&gt;&lt;a href="canciones/toño_casado/via_crucis_introduccion.html"&gt;Vía Crucis Introducción&lt;/a&gt;&lt;/li&gt;</v>
      </c>
    </row>
    <row r="15" spans="1:31" x14ac:dyDescent="0.3">
      <c r="A15" s="16" t="str">
        <v>Ixcís</v>
      </c>
      <c r="B15" s="16" t="str">
        <v>ixcis</v>
      </c>
      <c r="C15" s="16">
        <v>194</v>
      </c>
      <c r="D15" s="16">
        <v>194</v>
      </c>
      <c r="I15" s="17" t="str">
        <v>&lt;li data-author="Ain Karem"&gt;&lt;a href="canciones/ain_karem/fuertes_humildes_y_diligentes.html"&gt;Fuertes, humildes y diligentes&lt;/a&gt;&lt;/li&gt;</v>
      </c>
      <c r="K15" s="17" t="str">
        <v>&lt;li data-author="Brotes de Olivo"&gt;&lt;a href="canciones/brotes_de_olivo/que_mas_quieres.html"&gt;Qué mas quieres&lt;/a&gt;&lt;/li&gt;</v>
      </c>
      <c r="L15" s="17" t="str">
        <v>&lt;li data-author="Carmelo Erdozáin"&gt;&lt;a href="canciones/carmelo_erdozain/alaba_al_señor_alma_mia.html"&gt;Alaba al Señor, alma mía&lt;/a&gt;&lt;/li&gt;</v>
      </c>
      <c r="M15" s="17" t="str">
        <v>&lt;li data-author="Cesáreo Gabarain"&gt;&lt;a href="canciones/cesareo_gabarain/cristo_se_entrego_por_nosotros.html"&gt;Cristo se entregó por nosotros&lt;/a&gt;&lt;/li&gt;</v>
      </c>
      <c r="N15" s="17" t="str">
        <v>&lt;li data-author="Francisco Palazón"&gt;&lt;a href="canciones/francisco_palazon/llena_esta_la_tierra_de_tus_criaturas.html"&gt;Llena está la tierra de tus criaturas&lt;/a&gt;&lt;/li&gt;</v>
      </c>
      <c r="O15" s="17" t="str">
        <v>&lt;li data-author="Hakuna"&gt;&lt;a href="canciones/hakuna/el_arte_de_vivir.html"&gt;El arte de vivir&lt;/a&gt;&lt;/li&gt;</v>
      </c>
      <c r="Q15" s="17" t="str">
        <v>&lt;li data-author="Ixcís"&gt;&lt;a href="canciones/ixcis/cinco_panes_y_dos_peces.html"&gt;Cinco panes y dos peces&lt;/a&gt;&lt;/li&gt;</v>
      </c>
      <c r="R15" s="17" t="str">
        <v>&lt;li data-author="Kairoi"&gt;&lt;a href="canciones/kairoi/ten_piedad_de_mi.html"&gt;Ten piedad de mí&lt;/a&gt;&lt;/li&gt;</v>
      </c>
      <c r="S15" s="17" t="str">
        <v>&lt;li data-author="Antonio Alcalde" data-momento="Entrada" data-nnew="A26" data-nold="208"&gt;&lt;a href="canciones/antonio_alcalde/peregrinos_de_la_paz_y_la_alegria.html"&gt;Peregrinos de la paz y la alegría&lt;/a&gt;&lt;/li&gt;</v>
      </c>
      <c r="T15" s="17" t="str">
        <v>&lt;li data-author="Kiko Argüello"&gt;&lt;a href="canciones/nuevas/hacia_ti_morada_santa.html"&gt;Hacia ti, morada santa&lt;/a&gt;&lt;/li&gt;</v>
      </c>
      <c r="U15" s="17" t="str">
        <v>&lt;li data-author="Josep Asunción" data-nrcc="295"&gt;&lt;a href="canciones/josep_asuncion/me_basta_tu_presencia_y_tu_figura.html"&gt;Me basta tu presencia y tu figura&lt;/a&gt;&lt;/li&gt;</v>
      </c>
      <c r="W15" s="17" t="str">
        <v>&lt;li data-author="Ruah"&gt;&lt;a href="canciones/ruah/para_estar_contigo.html"&gt;Para estar contigo&lt;/a&gt;&lt;/li&gt;</v>
      </c>
      <c r="X15" s="17" t="str">
        <v>&lt;li data-author="Taizé en español" data-momento="TaizéESP" data-nnew="Q22"&gt;&lt;a href="canciones/taize/cantate_domino_canticum_novum.html"&gt;Un canto nuevo&lt;/a&gt;&lt;/li&gt;</v>
      </c>
      <c r="Y15" s="17" t="str">
        <v>&lt;li data-author="Taizé original" data-momento="TaizéORIG" data-nnew="Q42"&gt;&lt;a href="canciones/taize/i_am_sure_i_shall_see.html"&gt;I am sure I shall see&lt;/a&gt;&lt;/li&gt;</v>
      </c>
      <c r="Z15" s="17" t="str">
        <v>&lt;li data-author="Toño Casado"&gt;&lt;a href="canciones/toño_casado/via_crucis_i_jesus_cautivo.html"&gt;Via Crucis I Jesús cautivo&lt;/a&gt;&lt;/li&gt;</v>
      </c>
    </row>
    <row r="16" spans="1:31" x14ac:dyDescent="0.3">
      <c r="A16" s="16" t="str">
        <v>Joaquín Madurga</v>
      </c>
      <c r="B16" s="16" t="str">
        <v>joaquin_madurga</v>
      </c>
      <c r="C16" s="16">
        <v>11</v>
      </c>
      <c r="D16" s="16">
        <v>10</v>
      </c>
      <c r="I16" s="17" t="str">
        <v>&lt;li data-author="Ain Karem"&gt;&lt;a href="canciones/ain_karem/ain_karem.html"&gt;Ain Karem&lt;/a&gt;&lt;/li&gt;</v>
      </c>
      <c r="K16" s="17" t="str">
        <v>&lt;li data-author="Brotes de Olivo"&gt;&lt;a href="canciones/brotes_de_olivo/cincuenta.html"&gt;Cincuenta&lt;/a&gt;&lt;/li&gt;</v>
      </c>
      <c r="L16" s="17" t="str">
        <v>&lt;li data-author="Carmelo Erdozáin"&gt;&lt;a href="canciones/carmelo_erdozain/aleluya_(iii).html"&gt;Aleluya (III)&lt;/a&gt;&lt;/li&gt;</v>
      </c>
      <c r="M16" s="17" t="str">
        <v>&lt;li data-author="Cesáreo Gabarain"&gt;&lt;a href="canciones/cesareo_gabarain/cordero_de_dios.html"&gt;Cordero de Dios&lt;/a&gt;&lt;/li&gt;</v>
      </c>
      <c r="N16" s="17" t="str">
        <v>&lt;li data-author="Francisco Palazón"&gt;&lt;a href="canciones/francisco_palazon/quien_puede_entrar_en_tu_templo.html"&gt;Quién puede entrar en tu templo&lt;/a&gt;&lt;/li&gt;</v>
      </c>
      <c r="O16" s="17" t="str">
        <v>&lt;li data-author="Hakuna"&gt;&lt;a href="canciones/hakuna/mi_amado.html"&gt;Mi amado&lt;/a&gt;&lt;/li&gt;</v>
      </c>
      <c r="Q16" s="17" t="str">
        <v>&lt;li data-author="Ixcís"&gt;&lt;a href="canciones/ixcis/ven_a_mi.html"&gt;Ven a mí&lt;/a&gt;&lt;/li&gt;</v>
      </c>
      <c r="R16" s="17" t="str">
        <v>&lt;li data-author="Kairoi"&gt;&lt;a href="canciones/kairoi/gloria.html"&gt;Gloria&lt;/a&gt;&lt;/li&gt;</v>
      </c>
      <c r="S16" s="17" t="str">
        <v>&lt;li data-author="Antonio Alcalde" data-momento="Comunión" data-nnew="K59" data-nold="217"&gt;&lt;a href="canciones/antonio_alcalde/que_tendra_lo_pequeño.html"&gt;Qué tendrá lo pequeño&lt;/a&gt;&lt;/li&gt;</v>
      </c>
      <c r="T16" s="17" t="str">
        <v>&lt;li data-author="Leonard Cohen"&gt;&lt;a href="canciones/nuevas/aleluya_(cohen).html"&gt;Aleluya (Cohen)&lt;/a&gt;&lt;/li&gt;</v>
      </c>
      <c r="U16" s="17" t="str">
        <v>&lt;li data-author="Josep Asunción" data-nrcc="118"&gt;&lt;a href="canciones/josep_asuncion/te_cubrire.html"&gt;Te cubriré&lt;/a&gt;&lt;/li&gt;</v>
      </c>
      <c r="W16" s="17" t="str">
        <v>&lt;li data-author="Ruah"&gt;&lt;a href="canciones/ruah/no_lo_notais.html"&gt;No lo notáis&lt;/a&gt;&lt;/li&gt;</v>
      </c>
      <c r="X16" s="17" t="str">
        <v>&lt;li data-author="Taizé en español" data-momento="TaizéESP" data-nnew="Q56"&gt;&lt;a href="canciones/taize/kyrie_20.html"&gt;Ten piedad, Señor 20&lt;/a&gt;&lt;/li&gt;</v>
      </c>
      <c r="Y16" s="17" t="str">
        <v>&lt;li data-author="Taizé original" data-momento="TaizéORIG" data-nnew="Q22"&gt;&lt;a href="canciones/taize/cantate_domino_canticum_novum.html"&gt;Cantate Domino canticum novum&lt;/a&gt;&lt;/li&gt;</v>
      </c>
      <c r="Z16" s="17" t="str">
        <v>&lt;li data-author="Toño Casado"&gt;&lt;a href="canciones/toño_casado/via_crucis_ii_jesus_carga_con_la_cruz.html"&gt;Via Crucis II Jesús carga con la Cruz&lt;/a&gt;&lt;/li&gt;</v>
      </c>
    </row>
    <row r="17" spans="1:26" x14ac:dyDescent="0.3">
      <c r="A17" s="16" t="str">
        <v>Josep Asunción</v>
      </c>
      <c r="B17" s="16" t="str">
        <v>josep_asuncion</v>
      </c>
      <c r="C17" s="16">
        <v>11</v>
      </c>
      <c r="D17" s="16">
        <v>11</v>
      </c>
      <c r="I17" s="17" t="str">
        <v>&lt;li data-author="Ain Karem"&gt;&lt;a href="canciones/ain_karem/te_basta_mi_gracia.html"&gt;Te basta mi gracia&lt;/a&gt;&lt;/li&gt;</v>
      </c>
      <c r="K17" s="17" t="str">
        <v>&lt;li data-author="Brotes de Olivo"&gt;&lt;a href="canciones/brotes_de_olivo/padre_y_madre.html"&gt;Padre y madre&lt;/a&gt;&lt;/li&gt;</v>
      </c>
      <c r="L17" s="17" t="str">
        <v>&lt;li data-author="Carmelo Erdozáin"&gt;&lt;a href="canciones/carmelo_erdozain/tu_eres_el_dios_de_los_pobres.html"&gt;Tú eres el Dios de los pobres&lt;/a&gt;&lt;/li&gt;</v>
      </c>
      <c r="M17" s="17" t="str">
        <v>&lt;li data-author="Cesáreo Gabarain"&gt;&lt;a href="canciones/cesareo_gabarain/esperamos_tu_venida.html"&gt;Esperamos tu venida&lt;/a&gt;&lt;/li&gt;</v>
      </c>
      <c r="N17" s="17" t="str">
        <v>&lt;li data-author="Francisco Palazón"&gt;&lt;a href="canciones/francisco_palazon/alabad_siervos_de_dios.html"&gt;Alabad, siervos de Dios&lt;/a&gt;&lt;/li&gt;</v>
      </c>
      <c r="O17" s="17" t="str">
        <v>&lt;li data-author="Hakuna"&gt;&lt;a href="canciones/hakuna/la_fila.html"&gt;La fila&lt;/a&gt;&lt;/li&gt;</v>
      </c>
      <c r="Q17" s="17" t="str">
        <v>&lt;li data-author="Ixcís"&gt;&lt;a href="canciones/ixcis/morir.html"&gt;Morir&lt;/a&gt;&lt;/li&gt;</v>
      </c>
      <c r="R17" s="17" t="str">
        <v>&lt;li data-author="Kairoi"&gt;&lt;a href="canciones/kairoi/aleluya.html"&gt;Aleluya&lt;/a&gt;&lt;/li&gt;</v>
      </c>
      <c r="S17" s="17" t="str">
        <v>&lt;li data-author="Antonio Alcalde" data-nold="246b"&gt;&lt;a href="canciones/antonio_alcalde/señor_dios_nuestro_restauranos.html"&gt;Señor, Dios nuestro, restáuranos&lt;/a&gt;&lt;/li&gt;</v>
      </c>
      <c r="T17" s="17" t="str">
        <v>&lt;li data-author="Lili Zaidín"&gt;&lt;a href="canciones/nuevas/entra_en_el_corazon_de_dios.html"&gt;Entra en el corazón de Dios&lt;/a&gt;&lt;/li&gt;</v>
      </c>
      <c r="U17" s="17" t="str">
        <v>&lt;li data-author="Josep Asunción" data-nrcc="77"&gt;&lt;a href="canciones/josep_asuncion/ven_y_dejate_llevar.html"&gt;Ven y déjate llevar&lt;/a&gt;&lt;/li&gt;</v>
      </c>
      <c r="W17" s="17" t="str">
        <v>&lt;li data-author="Ruah"&gt;&lt;a href="canciones/ruah/mirame.html"&gt;Mírame&lt;/a&gt;&lt;/li&gt;</v>
      </c>
      <c r="X17" s="17" t="str">
        <v>&lt;li data-author="Taizé en español" data-momento="TaizéESP" data-nnew="Q21"&gt;&lt;a href="canciones/taize/christe_lux_mundi.html"&gt;Tú, luz del mundo&lt;/a&gt;&lt;/li&gt;</v>
      </c>
      <c r="Y17" s="17" t="str">
        <v>&lt;li data-author="Taizé original" data-momento="TaizéORIG" data-nnew="Q56"&gt;&lt;a href="canciones/taize/kyrie_20.html"&gt;Kyrie 20&lt;/a&gt;&lt;/li&gt;</v>
      </c>
      <c r="Z17" s="17" t="str">
        <v>&lt;li data-author="Toño Casado"&gt;&lt;a href="canciones/toño_casado/via_crucis_iii_jesus_cae_por_primera_vez.html"&gt;Via Crucis III Jesús cae por primera vez&lt;/a&gt;&lt;/li&gt;</v>
      </c>
    </row>
    <row r="18" spans="1:26" x14ac:dyDescent="0.3">
      <c r="A18" s="16" t="str">
        <v>Juan Antonio Espinosa</v>
      </c>
      <c r="B18" s="16" t="str">
        <v>juan_antonio_espinosa</v>
      </c>
      <c r="C18" s="16">
        <v>30</v>
      </c>
      <c r="D18" s="16">
        <v>30</v>
      </c>
      <c r="I18" s="17" t="str">
        <v>&lt;li data-author="Ain Karem"&gt;&lt;a href="canciones/ain_karem/poneos_en_pie.html"&gt;Poneos en pie&lt;/a&gt;&lt;/li&gt;</v>
      </c>
      <c r="K18" s="17" t="str">
        <v>&lt;li data-author="Brotes de Olivo"&gt;&lt;a href="canciones/brotes_de_olivo/se_fiel.html"&gt;Sé fiel&lt;/a&gt;&lt;/li&gt;</v>
      </c>
      <c r="L18" s="17" t="str">
        <v>&lt;li data-author="Carmelo Erdozáin"&gt;&lt;a href="canciones/carmelo_erdozain/viva_la_gente.html"&gt;Viva la gente&lt;/a&gt;&lt;/li&gt;</v>
      </c>
      <c r="M18" s="17" t="str">
        <v>&lt;li data-author="Cesáreo Gabarain"&gt;&lt;a href="canciones/cesareo_gabarain/alegrese_el_cielo.html"&gt;Alégrese el cielo&lt;/a&gt;&lt;/li&gt;</v>
      </c>
      <c r="N18" s="17" t="str">
        <v>&lt;li data-author="Francisco Palazón"&gt;&lt;a href="canciones/francisco_palazon/que_en_nuestros_dias_reine_la_paz.html"&gt;Que en nuestros días reine la paz&lt;/a&gt;&lt;/li&gt;</v>
      </c>
      <c r="O18" s="17" t="str">
        <v>&lt;li data-author="Hakuna"&gt;&lt;a href="canciones/hakuna/loco.html"&gt;Loco&lt;/a&gt;&lt;/li&gt;</v>
      </c>
      <c r="Q18" s="17" t="str">
        <v>&lt;li data-author="Ixcís"&gt;&lt;a href="canciones/ixcis/mi_vida_es_cristo.html"&gt;Mi vida es Cristo&lt;/a&gt;&lt;/li&gt;</v>
      </c>
      <c r="R18" s="17" t="str">
        <v>&lt;li data-author="Kairoi"&gt;&lt;a href="canciones/kairoi/estoy_creyendo_en_ti_(credo).html"&gt;Estoy creyendo en ti (credo)&lt;/a&gt;&lt;/li&gt;</v>
      </c>
      <c r="S18" s="17" t="str">
        <v>&lt;li data-author="Antonio Alcalde" data-nold="291"&gt;&lt;a href="canciones/antonio_alcalde/ven_señor_a_nuestra_vida.html"&gt;Ven, Señor, a nuestra vida&lt;/a&gt;&lt;/li&gt;</v>
      </c>
      <c r="T18" s="17" t="str">
        <v>&lt;li data-author="Luispo"&gt;&lt;a href="canciones/nuevas/dijiste_si.html"&gt;Dijiste sí&lt;/a&gt;&lt;/li&gt;</v>
      </c>
      <c r="U18" s="17" t="str">
        <v>&lt;li data-author="Juanjo Elezkano" data-nrcc="18"&gt;&lt;a href="canciones/juanjo_elezkano/santo_tu_eres_señor.html"&gt;Santo tú eres, Señor&lt;/a&gt;&lt;/li&gt;</v>
      </c>
      <c r="W18" s="17" t="str">
        <v>&lt;li data-author="Ruah"&gt;&lt;a href="canciones/ruah/suelta_el_timon.html"&gt;Suelta el timón&lt;/a&gt;&lt;/li&gt;</v>
      </c>
      <c r="X18" s="17" t="str">
        <v>&lt;li data-author="Taizé en español" data-momento="TaizéESP" data-nnew="Q33"&gt;&lt;a href="canciones/taize/dominus_spiritus_est.html"&gt;Cristo es Espíritu y Dios&lt;/a&gt;&lt;/li&gt;</v>
      </c>
      <c r="Y18" s="17" t="str">
        <v>&lt;li data-author="Taizé original" data-momento="TaizéORIG" data-nnew="Q21"&gt;&lt;a href="canciones/taize/christe_lux_mundi.html"&gt;Christe, lux mundi&lt;/a&gt;&lt;/li&gt;</v>
      </c>
      <c r="Z18" s="17" t="str">
        <v>&lt;li data-author="Toño Casado"&gt;&lt;a href="canciones/toño_casado/via_crucis_iv_jesus_se_encuentra_con_su_madre.html"&gt;Via Crucis IV Jesús se encuentra con su madre&lt;/a&gt;&lt;/li&gt;</v>
      </c>
    </row>
    <row r="19" spans="1:26" x14ac:dyDescent="0.3">
      <c r="A19" s="16" t="str">
        <v>Juanjo Elezkano</v>
      </c>
      <c r="B19" s="16" t="str">
        <v>juanjo_elezkano</v>
      </c>
      <c r="C19" s="16">
        <v>11</v>
      </c>
      <c r="D19" s="16">
        <v>9</v>
      </c>
      <c r="I19" s="17" t="str">
        <v>&lt;li data-author="Ain Karem"&gt;&lt;a href="canciones/ain_karem/se_mi_luz.html"&gt;Sé mi luz&lt;/a&gt;&lt;/li&gt;</v>
      </c>
      <c r="K19" s="17" t="str">
        <v>&lt;li data-author="Brotes de Olivo"&gt;&lt;a href="canciones/brotes_de_olivo/donde_tu_quieras.html"&gt;Donde tú quieras&lt;/a&gt;&lt;/li&gt;</v>
      </c>
      <c r="L19" s="17" t="str">
        <v>&lt;li data-author="Carmelo Erdozáin"&gt;&lt;a href="canciones/carmelo_erdozain/cristo_nos_une_en_torno_a_su_altar.html"&gt;Cristo nos une en torno a su altar&lt;/a&gt;&lt;/li&gt;</v>
      </c>
      <c r="M19" s="17" t="str">
        <v>&lt;li data-author="Cesáreo Gabarain"&gt;&lt;a href="canciones/cesareo_gabarain/dios_no_quiere_la_muerte.html"&gt;Dios no quiere la muerte&lt;/a&gt;&lt;/li&gt;</v>
      </c>
      <c r="N19" s="17" t="str">
        <v>&lt;li data-author="Francisco Palazón"&gt;&lt;a href="canciones/francisco_palazon/contra_ti_solo_peque.html"&gt;Contra ti solo pequé&lt;/a&gt;&lt;/li&gt;</v>
      </c>
      <c r="O19" s="17" t="str">
        <v>&lt;li data-author="Hakuna"&gt;&lt;a href="canciones/hakuna/no_te_vas.html"&gt;No te vas&lt;/a&gt;&lt;/li&gt;</v>
      </c>
      <c r="Q19" s="17" t="str">
        <v>&lt;li data-author="Ixcís"&gt;&lt;a href="canciones/ixcis/solo_el_amor.html"&gt;Sólo el amor&lt;/a&gt;&lt;/li&gt;</v>
      </c>
      <c r="R19" s="17" t="str">
        <v>&lt;li data-author="Kairoi"&gt;&lt;a href="canciones/kairoi/conviviendo_en_armonia.html"&gt;Conviviendo en armonía&lt;/a&gt;&lt;/li&gt;</v>
      </c>
      <c r="S19" s="17" t="str">
        <v>&lt;li data-author="Brotes de Olivo" data-momento="Antífonas" data-nnew="D25"&gt;&lt;a href="canciones/brotes_de_olivo/nada_has_pensado.html"&gt;Nada has pensado&lt;/a&gt;&lt;/li&gt;</v>
      </c>
      <c r="T19" s="17" t="str">
        <v>&lt;li data-author="Luispo"&gt;&lt;a href="canciones/nuevas/petrus_(in_illo_uno_unum).html"&gt;Petrus (In illo uno unum)&lt;/a&gt;&lt;/li&gt;</v>
      </c>
      <c r="U19" s="17" t="str">
        <v>&lt;li data-author="Kairoi" data-nrcc="232"&gt;&lt;a href="canciones/kairoi/himno_a_dios.html"&gt;Himno a Dios&lt;/a&gt;&lt;/li&gt;</v>
      </c>
      <c r="W19" s="17" t="str">
        <v>&lt;li data-author="Ruah"&gt;&lt;a href="canciones/ruah/quiero_confiar.html"&gt;Quiero confiar&lt;/a&gt;&lt;/li&gt;</v>
      </c>
      <c r="X19" s="17" t="str">
        <v>&lt;li data-author="Taizé en español" data-momento="TaizéESP" data-nnew="Q40"&gt;&lt;a href="canciones/taize/herre_visa_mig_vägen.html"&gt;Dios, muéstrame tu senda&lt;/a&gt;&lt;/li&gt;</v>
      </c>
      <c r="Y19" s="17" t="str">
        <v>&lt;li data-author="Taizé original" data-momento="TaizéORIG" data-nnew="Q33"&gt;&lt;a href="canciones/taize/dominus_spiritus_est.html"&gt;Dominus spiritus est&lt;/a&gt;&lt;/li&gt;</v>
      </c>
      <c r="Z19" s="17" t="str">
        <v>&lt;li data-author="Toño Casado"&gt;&lt;a href="canciones/toño_casado/via_crucis_v_el_cireneo.html"&gt;Via Crucis V El Cireneo&lt;/a&gt;&lt;/li&gt;</v>
      </c>
    </row>
    <row r="20" spans="1:26" x14ac:dyDescent="0.3">
      <c r="A20" s="16" t="str">
        <v>Kairoi</v>
      </c>
      <c r="B20" s="16" t="str">
        <v>kairoi</v>
      </c>
      <c r="C20" s="16">
        <v>270</v>
      </c>
      <c r="D20" s="16">
        <v>144</v>
      </c>
      <c r="I20" s="17" t="str">
        <v>&lt;li data-author="Ain Karem"&gt;&lt;a href="canciones/ain_karem/como_podre_pagarte.html"&gt;Cómo podré pagarte&lt;/a&gt;&lt;/li&gt;</v>
      </c>
      <c r="K20" s="17" t="str">
        <v>&lt;li data-author="Brotes de Olivo"&gt;&lt;a href="canciones/brotes_de_olivo/renacer_en_libertad.html"&gt;Renacer en libertad&lt;/a&gt;&lt;/li&gt;</v>
      </c>
      <c r="L20" s="17" t="str">
        <v>&lt;li data-author="Carmelo Erdozáin"&gt;&lt;a href="canciones/carmelo_erdozain/este_pan_y_vino.html"&gt;Este pan y vino&lt;/a&gt;&lt;/li&gt;</v>
      </c>
      <c r="M20" s="17" t="str">
        <v>&lt;li data-author="Cesáreo Gabarain"&gt;&lt;a href="canciones/cesareo_gabarain/cristo_resucito_(i).html"&gt;Cristo resucitó (I)&lt;/a&gt;&lt;/li&gt;</v>
      </c>
      <c r="N20" s="17" t="str">
        <v>&lt;li data-author="Francisco Palazón"&gt;&lt;a href="canciones/francisco_palazon/cantare_eternamente_(ii).html"&gt;Cantaré eternamente (II)&lt;/a&gt;&lt;/li&gt;</v>
      </c>
      <c r="O20" s="17" t="str">
        <v>&lt;li data-author="Hakuna"&gt;&lt;a href="canciones/hakuna/nada.html"&gt;Nada&lt;/a&gt;&lt;/li&gt;</v>
      </c>
      <c r="Q20" s="17" t="str">
        <v>&lt;li data-author="Ixcís"&gt;&lt;a href="canciones/ixcis/como_maria.html"&gt;Como María&lt;/a&gt;&lt;/li&gt;</v>
      </c>
      <c r="R20" s="17" t="str">
        <v>&lt;li data-author="Kairoi"&gt;&lt;a href="canciones/kairoi/padre_nuestro_ii.html"&gt;Padre nuestro II&lt;/a&gt;&lt;/li&gt;</v>
      </c>
      <c r="S20" s="17" t="str">
        <v>&lt;li data-author="Brotes de Olivo" data-momento="Antífonas" data-nnew="D16" data-nold="423"&gt;&lt;a href="canciones/brotes_de_olivo/en_mi_debilidad.html"&gt;En mi debilidad&lt;/a&gt;&lt;/li&gt;</v>
      </c>
      <c r="T20" s="17" t="str">
        <v>&lt;li data-author="Luispo"&gt;&lt;a href="canciones/nuevas/ungidos.html"&gt;Ungidos&lt;/a&gt;&lt;/li&gt;</v>
      </c>
      <c r="U20" s="17" t="str">
        <v>&lt;li data-author="Kairoi" data-nrcc="137"&gt;&lt;a href="canciones/kairoi/padre_me_pongo_en_tus_manos.html"&gt;Padre, me pongo en tus manos&lt;/a&gt;&lt;/li&gt;</v>
      </c>
      <c r="W20" s="17" t="str">
        <v>&lt;li data-author="Ruah"&gt;&lt;a href="canciones/ruah/soy_de_ti.html"&gt;Soy de ti&lt;/a&gt;&lt;/li&gt;</v>
      </c>
      <c r="X20" s="17" t="str">
        <v>&lt;li data-author="Taizé en español" data-momento="TaizéESP" data-nnew="Q80"&gt;&lt;a href="canciones/taize/vieni_spirito_creatore_(canon).html"&gt;Ven, Espíritu (canon)&lt;/a&gt;&lt;/li&gt;</v>
      </c>
      <c r="Y20" s="17" t="str">
        <v>&lt;li data-author="Taizé original" data-momento="TaizéORIG" data-nnew="Q40"&gt;&lt;a href="canciones/taize/herre_visa_mig_vägen.html"&gt;Herre, visa mig vägen&lt;/a&gt;&lt;/li&gt;</v>
      </c>
      <c r="Z20" s="17" t="str">
        <v>&lt;li data-author="Toño Casado"&gt;&lt;a href="canciones/toño_casado/via_crucis_vi_la_veronica.html"&gt;Via Crucis VI La Verónica&lt;/a&gt;&lt;/li&gt;</v>
      </c>
    </row>
    <row r="21" spans="1:26" x14ac:dyDescent="0.3">
      <c r="A21" s="16" t="str">
        <v>Lázaro Iparraguirre</v>
      </c>
      <c r="B21" s="16" t="str">
        <v>lazaro_iparraguirre</v>
      </c>
      <c r="C21" s="16">
        <v>14</v>
      </c>
      <c r="D21" s="16">
        <v>10</v>
      </c>
      <c r="I21" s="17" t="str">
        <v>&lt;li data-author="Ain Karem"&gt;&lt;a href="canciones/ain_karem/palabras_de_vida.html"&gt;Palabras de vida&lt;/a&gt;&lt;/li&gt;</v>
      </c>
      <c r="K21" s="17" t="str">
        <v>&lt;li data-author="Brotes de Olivo"&gt;&lt;a href="canciones/brotes_de_olivo/quien_puede_amar.html"&gt;Quién puede amar&lt;/a&gt;&lt;/li&gt;</v>
      </c>
      <c r="M21" s="17" t="str">
        <v>&lt;li data-author="Cesáreo Gabarain"&gt;&lt;a href="canciones/cesareo_gabarain/id_por_el_mundo.html"&gt;Id por el mundo&lt;/a&gt;&lt;/li&gt;</v>
      </c>
      <c r="N21" s="17" t="str">
        <v>&lt;li data-author="Francisco Palazón"&gt;&lt;a href="canciones/francisco_palazon/acuerdate_señor.html"&gt;Acuérdate, Señor&lt;/a&gt;&lt;/li&gt;</v>
      </c>
      <c r="O21" s="17" t="str">
        <v>&lt;li data-author="Hakuna"&gt;&lt;a href="canciones/hakuna/trueno.html"&gt;Trueno&lt;/a&gt;&lt;/li&gt;</v>
      </c>
      <c r="Q21" s="17" t="str">
        <v>&lt;li data-author="Ixcís"&gt;&lt;a href="canciones/ixcis/todos_uno.html"&gt;Todos uno&lt;/a&gt;&lt;/li&gt;</v>
      </c>
      <c r="R21" s="17" t="str">
        <v>&lt;li data-author="Kairoi"&gt;&lt;a href="canciones/kairoi/te_agradezco.html"&gt;Te agradezco&lt;/a&gt;&lt;/li&gt;</v>
      </c>
      <c r="S21" s="17" t="str">
        <v>&lt;li data-author="Brotes de Olivo" data-momento="Comunión" data-nnew="K31"&gt;&lt;a href="canciones/brotes_de_olivo/enviame.html"&gt;Envíame&lt;/a&gt;&lt;/li&gt;</v>
      </c>
      <c r="T21" s="17" t="str">
        <v>&lt;li data-author="Pablo Cebrián"&gt;&lt;a href="canciones/nuevas/alza_la_mirada.html"&gt;Alza la mirada&lt;/a&gt;&lt;/li&gt;</v>
      </c>
      <c r="U21" s="17" t="str">
        <v>&lt;li data-author="Kairoi" data-nrcc="265"&gt;&lt;a href="canciones/kairoi/tu_me_sondeas.html"&gt;Tú me sondeas&lt;/a&gt;&lt;/li&gt;</v>
      </c>
      <c r="W21" s="17" t="str">
        <v>&lt;li data-author="Ruah"&gt;&lt;a href="canciones/ruah/tuya_y_nueva.html"&gt;Tuya y nueva&lt;/a&gt;&lt;/li&gt;</v>
      </c>
      <c r="X21" s="17" t="str">
        <v>&lt;li data-author="Taizé en español" data-momento="TaizéESP" data-nnew="Q31"&gt;&lt;a href="canciones/taize/deus_deus_meus_(canon).html"&gt;Oh, Dios, tú, Dios mío (canon)&lt;/a&gt;&lt;/li&gt;</v>
      </c>
      <c r="Y21" s="17" t="str">
        <v>&lt;li data-author="Taizé original" data-momento="TaizéORIG" data-nnew="Q80"&gt;&lt;a href="canciones/taize/vieni_spirito_creatore_(canon).html"&gt;Vieni Spirito creatore (canon)&lt;/a&gt;&lt;/li&gt;</v>
      </c>
      <c r="Z21" s="17" t="str">
        <v>&lt;li data-author="Toño Casado"&gt;&lt;a href="canciones/toño_casado/via_crucis_vii_jesus_cae_por_segunda_vez.html"&gt;Via Crucis VII Jesús cae por segunda vez&lt;/a&gt;&lt;/li&gt;</v>
      </c>
    </row>
    <row r="22" spans="1:26" x14ac:dyDescent="0.3">
      <c r="A22" s="16" t="str">
        <v>Luis Alfredo Díaz</v>
      </c>
      <c r="B22" s="16" t="str">
        <v>luis_alfredo_diaz</v>
      </c>
      <c r="C22" s="16">
        <v>19</v>
      </c>
      <c r="D22" s="16">
        <v>6</v>
      </c>
      <c r="I22" s="17" t="str">
        <v>&lt;li data-author="Ain Karem"&gt;&lt;a href="canciones/ain_karem/seducida.html"&gt;Seducida&lt;/a&gt;&lt;/li&gt;</v>
      </c>
      <c r="K22" s="17" t="str">
        <v>&lt;li data-author="Brotes de Olivo"&gt;&lt;a href="canciones/brotes_de_olivo/y_alli_estas_tu.html"&gt;Y allí estás tú&lt;/a&gt;&lt;/li&gt;</v>
      </c>
      <c r="M22" s="17" t="str">
        <v>&lt;li data-author="Cesáreo Gabarain"&gt;&lt;a href="canciones/cesareo_gabarain/concedele_señor_el_descanso_eterno.html"&gt;Concédele, Señor, el descanso eterno&lt;/a&gt;&lt;/li&gt;</v>
      </c>
      <c r="N22" s="17" t="str">
        <v>&lt;li data-author="Francisco Palazón"&gt;&lt;a href="canciones/francisco_palazon/pidamos_al_señor.html"&gt;Pidamos al Señor&lt;/a&gt;&lt;/li&gt;</v>
      </c>
      <c r="O22" s="17" t="str">
        <v>&lt;li data-author="Hakuna"&gt;&lt;a href="canciones/hakuna/el_rey_de_la_gloria.html"&gt;El Rey de la Gloria&lt;/a&gt;&lt;/li&gt;</v>
      </c>
      <c r="Q22" s="17" t="str">
        <v>&lt;li data-author="Ixcís"&gt;&lt;a href="canciones/ixcis/nada.html"&gt;Nada&lt;/a&gt;&lt;/li&gt;</v>
      </c>
      <c r="R22" s="17" t="str">
        <v>&lt;li data-author="Kairoi"&gt;&lt;a href="canciones/kairoi/escucha_maria.html"&gt;Escucha, María&lt;/a&gt;&lt;/li&gt;</v>
      </c>
      <c r="S22" s="17" t="str">
        <v>&lt;li data-author="Brotes de Olivo" data-momento="Perdón - Agua" data-nnew="B01" data-nrcc="431"&gt;&lt;a href="canciones/brotes_de_olivo/agua_lavame.html"&gt;Agua, lávame&lt;/a&gt;&lt;/li&gt;</v>
      </c>
      <c r="T22" s="17" t="str">
        <v>&lt;li data-author="RCCE"&gt;&lt;a href="canciones/nuevas/pregon_pascual_(neocatecumenal).html"&gt;Pregón Pascual (neocatecumenal)&lt;/a&gt;&lt;/li&gt;</v>
      </c>
      <c r="U22" s="17" t="str">
        <v>&lt;li data-author="Kairoi" data-nrcc="22"&gt;&lt;a href="canciones/kairoi/el_agua_del_señor.html"&gt;El agua del Señor&lt;/a&gt;&lt;/li&gt;</v>
      </c>
      <c r="W22" s="17" t="str">
        <v>&lt;li data-author="Ruah"&gt;&lt;a href="canciones/ruah/no_os_preocupeis.html"&gt;No os preocupéis&lt;/a&gt;&lt;/li&gt;</v>
      </c>
      <c r="X22" s="17" t="str">
        <v>&lt;li data-author="Taizé en español" data-momento="TaizéESP" data-nnew="Q79"&gt;&lt;a href="canciones/taize/v_tebi_je_izvir_življenja.html"&gt;Dentro llevas la fuente de vida&lt;/a&gt;&lt;/li&gt;</v>
      </c>
      <c r="Y22" s="17" t="str">
        <v>&lt;li data-author="Taizé original" data-momento="TaizéORIG" data-nnew="Q31"&gt;&lt;a href="canciones/taize/deus_deus_meus_(canon).html"&gt;Deus, Deus meus (canon)&lt;/a&gt;&lt;/li&gt;</v>
      </c>
      <c r="Z22" s="17" t="str">
        <v>&lt;li data-author="Toño Casado"&gt;&lt;a href="canciones/toño_casado/via_crucis_viii_jesus_consuela_a_las_mujeres.html"&gt;Via Crucis VIII Jesús consuela a las mujeres&lt;/a&gt;&lt;/li&gt;</v>
      </c>
    </row>
    <row r="23" spans="1:26" x14ac:dyDescent="0.3">
      <c r="A23" s="16" t="str">
        <v>Marcos Witt</v>
      </c>
      <c r="B23" s="16" t="str">
        <v>marcos_witt</v>
      </c>
      <c r="C23" s="16">
        <v>9</v>
      </c>
      <c r="D23" s="16">
        <v>2</v>
      </c>
      <c r="I23" s="17" t="str">
        <v>&lt;li data-author="Ain Karem"&gt;&lt;a href="canciones/ain_karem/escucha.html"&gt;Escucha&lt;/a&gt;&lt;/li&gt;</v>
      </c>
      <c r="K23" s="17" t="str">
        <v>&lt;li data-author="Brotes de Olivo"&gt;&lt;a href="canciones/brotes_de_olivo/fuente_viva.html"&gt;Fuente viva&lt;/a&gt;&lt;/li&gt;</v>
      </c>
      <c r="M23" s="17" t="str">
        <v>&lt;li data-author="Cesáreo Gabarain"&gt;&lt;a href="canciones/cesareo_gabarain/que_los_angeles_te_lleven.html"&gt;Que los ángeles te lleven&lt;/a&gt;&lt;/li&gt;</v>
      </c>
      <c r="N23" s="17" t="str">
        <v>&lt;li data-author="Francisco Palazón"&gt;&lt;a href="canciones/francisco_palazon/tu_palabra_señor_es_gozo.html"&gt;Tu Palabra, Señor, es gozo&lt;/a&gt;&lt;/li&gt;</v>
      </c>
      <c r="O23" s="17" t="str">
        <v>&lt;li data-author="Hakuna"&gt;&lt;a href="canciones/hakuna/al_estar_en_la_presencia.html"&gt;Al estar en la presencia&lt;/a&gt;&lt;/li&gt;</v>
      </c>
      <c r="Q23" s="17" t="str">
        <v>&lt;li data-author="Ixcís"&gt;&lt;a href="canciones/ixcis/donde_este_yo.html"&gt;Donde esté yo&lt;/a&gt;&lt;/li&gt;</v>
      </c>
      <c r="R23" s="17" t="str">
        <v>&lt;li data-author="Kairoi"&gt;&lt;a href="canciones/kairoi/jesus_te_ama.html"&gt;Jesús te ama&lt;/a&gt;&lt;/li&gt;</v>
      </c>
      <c r="S23" s="17" t="str">
        <v>&lt;li data-author="Brotes de Olivo" data-momento="Antífonas" data-nnew="D26" data-nold="438" data-nrcc="317"&gt;&lt;a href="canciones/brotes_de_olivo/nada_nos_separara.html"&gt;Nada nos separará&lt;/a&gt;&lt;/li&gt;</v>
      </c>
      <c r="T23" s="17" t="str">
        <v>&lt;li data-author="Sagrada Familia"&gt;&lt;a href="canciones/nuevas/haz_de_tu_casa_un_nazaret.html"&gt;Haz de tu casa un Nazaret&lt;/a&gt;&lt;/li&gt;</v>
      </c>
      <c r="U23" s="17" t="str">
        <v>&lt;li data-author="Kairoi" data-nrcc="306"&gt;&lt;a href="canciones/kairoi/padre_nuestro_i.html"&gt;Padre nuestro I&lt;/a&gt;&lt;/li&gt;</v>
      </c>
      <c r="W23" s="17" t="str">
        <v>&lt;li data-author="Ruah"&gt;&lt;a href="canciones/ruah/sabes_bien.html"&gt;Sabes bien&lt;/a&gt;&lt;/li&gt;</v>
      </c>
      <c r="X23" s="17" t="str">
        <v>&lt;li data-author="Taizé en español" data-momento="TaizéESP" data-nnew="Q83"&gt;&lt;a href="canciones/taize/zu_wem_sollen_wir_gehen.html"&gt;A quién iremos, Señor&lt;/a&gt;&lt;/li&gt;</v>
      </c>
      <c r="Y23" s="17" t="str">
        <v>&lt;li data-author="Taizé original" data-momento="TaizéORIG" data-nnew="Q79"&gt;&lt;a href="canciones/taize/v_tebi_je_izvir_življenja.html"&gt;V tebi je izvir življenja&lt;/a&gt;&lt;/li&gt;</v>
      </c>
      <c r="Z23" s="17" t="str">
        <v>&lt;li data-author="Toño Casado"&gt;&lt;a href="canciones/toño_casado/via_crucis_ix_jesus_cae_por_tercera_vez.html"&gt;Via Crucis IX Jesús cae por tercera vez&lt;/a&gt;&lt;/li&gt;</v>
      </c>
    </row>
    <row r="24" spans="1:26" x14ac:dyDescent="0.3">
      <c r="A24" s="16" t="str">
        <v>Marta Gil-Delgado</v>
      </c>
      <c r="B24" s="16" t="str">
        <v>marta_gil-delgado</v>
      </c>
      <c r="C24" s="16">
        <v>10</v>
      </c>
      <c r="D24" s="16">
        <v>0</v>
      </c>
      <c r="I24" s="17" t="str">
        <v>&lt;li data-author="Ain Karem"&gt;&lt;a href="canciones/ain_karem/ruah.html"&gt;Ruah&lt;/a&gt;&lt;/li&gt;</v>
      </c>
      <c r="K24" s="17" t="str">
        <v>&lt;li data-author="Brotes de Olivo"&gt;&lt;a href="canciones/brotes_de_olivo/uno_en_el_amor.html"&gt;Uno en el amor&lt;/a&gt;&lt;/li&gt;</v>
      </c>
      <c r="M24" s="17" t="str">
        <v>&lt;li data-author="Cesáreo Gabarain"&gt;&lt;a href="canciones/cesareo_gabarain/morimos_para_vivir.html"&gt;Morimos para vivir&lt;/a&gt;&lt;/li&gt;</v>
      </c>
      <c r="N24" s="17" t="str">
        <v>&lt;li data-author="Francisco Palazón"&gt;&lt;a href="canciones/francisco_palazon/vuelve_hacia_nosotros.html"&gt;Vuelve hacia nosotros&lt;/a&gt;&lt;/li&gt;</v>
      </c>
      <c r="O24" s="17" t="str">
        <v>&lt;li data-author="Hakuna"&gt;&lt;a href="canciones/hakuna/deseo.html"&gt;Deseo&lt;/a&gt;&lt;/li&gt;</v>
      </c>
      <c r="Q24" s="17" t="str">
        <v>&lt;li data-author="Ixcís"&gt;&lt;a href="canciones/ixcis/fiate.html"&gt;Fíate&lt;/a&gt;&lt;/li&gt;</v>
      </c>
      <c r="R24" s="17" t="str">
        <v>&lt;li data-author="Kairoi"&gt;&lt;a href="canciones/kairoi/cantico_de_las_criaturas.html"&gt;Cántico de las criaturas&lt;/a&gt;&lt;/li&gt;</v>
      </c>
      <c r="S24" s="17" t="str">
        <v>&lt;li data-author="Brotes de Olivo" data-momento="Despedida" data-nnew="L07"&gt;&lt;a href="canciones/brotes_de_olivo/que_sea_mi_vida_la_sal.html"&gt;Que sea mi vida la sal&lt;/a&gt;&lt;/li&gt;</v>
      </c>
      <c r="T24" s="17" t="str">
        <v>&lt;li data-author="Salomé Arricibita"&gt;&lt;a href="canciones/nuevas/estas_aqui_jesus.html"&gt;Estás aquí, Jesús&lt;/a&gt;&lt;/li&gt;</v>
      </c>
      <c r="U24" s="17" t="str">
        <v>&lt;li data-author="Lázaro Iparraguirre" data-nrcc="35"&gt;&lt;a href="canciones/lazaro_iparraguirre/aleluya_mirad_la_muerte.html"&gt;Aleluya, mirad la muerte&lt;/a&gt;&lt;/li&gt;</v>
      </c>
      <c r="W24" s="17" t="str">
        <v>&lt;li data-author="Ruah"&gt;&lt;a href="canciones/ruah/alegraos.html"&gt;Alegraos&lt;/a&gt;&lt;/li&gt;</v>
      </c>
      <c r="X24" s="17" t="str">
        <v>&lt;li data-author="Taizé en español" data-momento="TaizéESP" data-nnew="Q47"&gt;&lt;a href="canciones/taize/jesus_le_christ.html"&gt;Cristo Jesús&lt;/a&gt;&lt;/li&gt;</v>
      </c>
      <c r="Y24" s="17" t="str">
        <v>&lt;li data-author="Taizé original" data-momento="TaizéORIG" data-nnew="Q30"&gt;&lt;a href="canciones/taize/despierta_tu_que_duermes.html"&gt;Despierta tú que duermes&lt;/a&gt;&lt;/li&gt;</v>
      </c>
      <c r="Z24" s="17" t="str">
        <v>&lt;li data-author="Toño Casado"&gt;&lt;a href="canciones/toño_casado/via_crucis_x_jesus_es_despojado.html"&gt;Via Crucis X Jesús es despojado&lt;/a&gt;&lt;/li&gt;</v>
      </c>
    </row>
    <row r="25" spans="1:26" x14ac:dyDescent="0.3">
      <c r="A25" s="16" t="str">
        <v>Miguel Manzano</v>
      </c>
      <c r="B25" s="16" t="str">
        <v>miguel_manzano</v>
      </c>
      <c r="C25" s="16">
        <v>19</v>
      </c>
      <c r="D25" s="16">
        <v>19</v>
      </c>
      <c r="I25" s="17" t="str">
        <v>&lt;li data-author="Ain Karem"&gt;&lt;a href="canciones/ain_karem/no_guardes_tu_vida.html"&gt;No guardes tu vida&lt;/a&gt;&lt;/li&gt;</v>
      </c>
      <c r="K25" s="17" t="str">
        <v>&lt;li data-author="Brotes de Olivo"&gt;&lt;a href="canciones/brotes_de_olivo/señor_mirame.html"&gt;Señor, mírame&lt;/a&gt;&lt;/li&gt;</v>
      </c>
      <c r="M25" s="17" t="str">
        <v>&lt;li data-author="Cesáreo Gabarain"&gt;&lt;a href="canciones/cesareo_gabarain/abridme_las_puertas_del_triunfo.html"&gt;Abridme las puertas del triunfo&lt;/a&gt;&lt;/li&gt;</v>
      </c>
      <c r="N25" s="17" t="str">
        <v>&lt;li data-author="Francisco Palazón"&gt;&lt;a href="canciones/francisco_palazon/de_la_gloria_del_señor_llena_esta_la_tierra.html"&gt;De la gloria del Señor llena está la tierra&lt;/a&gt;&lt;/li&gt;</v>
      </c>
      <c r="O25" s="17" t="str">
        <v>&lt;li data-author="Hakuna"&gt;&lt;a href="canciones/hakuna/bien_amado_señor.html"&gt;Bien amado Señor&lt;/a&gt;&lt;/li&gt;</v>
      </c>
      <c r="Q25" s="17" t="str">
        <v>&lt;li data-author="Ixcís"&gt;&lt;a href="canciones/ixcis/tu_eres_mi_fuerza.html"&gt;Tú eres mi fuerza&lt;/a&gt;&lt;/li&gt;</v>
      </c>
      <c r="R25" s="17" t="str">
        <v>&lt;li data-author="Kairoi"&gt;&lt;a href="canciones/kairoi/ya_no_te_queda_tiempo.html"&gt;Ya no te queda tiempo&lt;/a&gt;&lt;/li&gt;</v>
      </c>
      <c r="S25" s="17" t="str">
        <v>&lt;li data-author="Brotes de Olivo" data-momento="Aleluya" data-nnew="E04" data-nold="405"&gt;&lt;a href="canciones/brotes_de_olivo/aleluya_cantara.html"&gt;Aleluya cantará&lt;/a&gt;&lt;/li&gt;</v>
      </c>
      <c r="U25" s="17" t="str">
        <v>&lt;li data-author="Lázaro Iparraguirre" data-nrcc="133"&gt;&lt;a href="canciones/lazaro_iparraguirre/bendecid_al_señor_proclamad_su_amor.html"&gt;Bendecid al Señor, proclamad su amor&lt;/a&gt;&lt;/li&gt;</v>
      </c>
      <c r="W25" s="17" t="str">
        <v>&lt;li data-author="Ruah"&gt;&lt;a href="canciones/ruah/envianos_sin_miedo.html"&gt;Envíanos sin miedo&lt;/a&gt;&lt;/li&gt;</v>
      </c>
      <c r="X25" s="17" t="str">
        <v>&lt;li data-author="Taizé en español" data-momento="TaizéESP" data-nnew="Q58"&gt;&lt;a href="canciones/taize/laudate_dominum.html"&gt;Que alabe al Señor&lt;/a&gt;&lt;/li&gt;</v>
      </c>
      <c r="Y25" s="17" t="str">
        <v>&lt;li data-author="Taizé original" data-momento="TaizéORIG" data-nnew="Q83"&gt;&lt;a href="canciones/taize/zu_wem_sollen_wir_gehen.html"&gt;Zu wem sollen wir gehen&lt;/a&gt;&lt;/li&gt;</v>
      </c>
      <c r="Z25" s="17" t="str">
        <v>&lt;li data-author="Toño Casado"&gt;&lt;a href="canciones/toño_casado/via_crucis_xi_jesus_es_clavado_en_la_cruz.html"&gt;Via Crucis XI Jesús es clavado en la Cruz&lt;/a&gt;&lt;/li&gt;</v>
      </c>
    </row>
    <row r="26" spans="1:26" x14ac:dyDescent="0.3">
      <c r="A26" s="16" t="str">
        <v>Pelayo Sánchez</v>
      </c>
      <c r="B26" s="16" t="str">
        <v>pelayo_sanchez</v>
      </c>
      <c r="C26" s="16">
        <v>10</v>
      </c>
      <c r="D26" s="16">
        <v>4</v>
      </c>
      <c r="I26" s="17" t="str">
        <v>&lt;li data-author="Ain Karem"&gt;&lt;a href="canciones/ain_karem/atraeme.html"&gt;Atráeme&lt;/a&gt;&lt;/li&gt;</v>
      </c>
      <c r="K26" s="17" t="str">
        <v>&lt;li data-author="Brotes de Olivo"&gt;&lt;a href="canciones/brotes_de_olivo/ten_piedad.html"&gt;Ten piedad&lt;/a&gt;&lt;/li&gt;</v>
      </c>
      <c r="M26" s="17" t="str">
        <v>&lt;li data-author="Cesáreo Gabarain"&gt;&lt;a href="canciones/cesareo_gabarain/no_he_de_morir_vivire.html"&gt;No he de morir, viviré&lt;/a&gt;&lt;/li&gt;</v>
      </c>
      <c r="N26" s="17" t="str">
        <v>&lt;li data-author="Francisco Palazón"&gt;&lt;a href="canciones/francisco_palazon/te_damos_gracias_señor.html"&gt;Te damos gracias, Señor&lt;/a&gt;&lt;/li&gt;</v>
      </c>
      <c r="O26" s="17" t="str">
        <v>&lt;li data-author="Hakuna"&gt;&lt;a href="canciones/hakuna/que_bien_se_esta_cuando_se_esta_bien.html"&gt;Qué bien se está cuando se está bien&lt;/a&gt;&lt;/li&gt;</v>
      </c>
      <c r="Q26" s="17" t="str">
        <v>&lt;li data-author="Ixcís"&gt;&lt;a href="canciones/ixcis/al_otro_lado_del_mar.html"&gt;Al otro lado del mar&lt;/a&gt;&lt;/li&gt;</v>
      </c>
      <c r="R26" s="17" t="str">
        <v>&lt;li data-author="Kairoi"&gt;&lt;a href="canciones/kairoi/el_don_de_la_fraternidad.html"&gt;El don de la fraternidad&lt;/a&gt;&lt;/li&gt;</v>
      </c>
      <c r="S26" s="17" t="str">
        <v>&lt;li data-author="Brotes de Olivo" data-momento="Comunión" data-nnew="K25" data-nold="419"&gt;&lt;a href="canciones/brotes_de_olivo/el_calor_de_tu_palabra.html"&gt;El calor de tu palabra&lt;/a&gt;&lt;/li&gt;</v>
      </c>
      <c r="U26" s="17" t="str">
        <v>&lt;li data-author="Lázaro Iparraguirre" data-nrcc="142"&gt;&lt;a href="canciones/lazaro_iparraguirre/caminaremos.html"&gt;Caminaremos&lt;/a&gt;&lt;/li&gt;</v>
      </c>
      <c r="W26" s="17" t="str">
        <v>&lt;li data-author="Ruah"&gt;&lt;a href="canciones/ruah/aqui_y_ahora.html"&gt;Aquí y ahora&lt;/a&gt;&lt;/li&gt;</v>
      </c>
      <c r="X26" s="17" t="str">
        <v>&lt;li data-author="Taizé en español" data-momento="TaizéESP" data-nnew="Q15"&gt;&lt;a href="canciones/taize/benissez_le_seigneur.html"&gt;Bendecid al Señor&lt;/a&gt;&lt;/li&gt;</v>
      </c>
      <c r="Y26" s="17" t="str">
        <v>&lt;li data-author="Taizé original" data-momento="TaizéORIG" data-nnew="Q47"&gt;&lt;a href="canciones/taize/jesus_le_christ.html"&gt;Jésus le Christ&lt;/a&gt;&lt;/li&gt;</v>
      </c>
      <c r="Z26" s="17" t="str">
        <v>&lt;li data-author="Toño Casado"&gt;&lt;a href="canciones/toño_casado/via_crucis_xii_jesus_muere_en_la_cruz.html"&gt;Via Crucis XII Jesús muere en la Cruz&lt;/a&gt;&lt;/li&gt;</v>
      </c>
    </row>
    <row r="27" spans="1:26" x14ac:dyDescent="0.3">
      <c r="A27" s="16" t="str">
        <v>Perpetuo Socorro</v>
      </c>
      <c r="B27" s="16" t="str">
        <v>perpetuo_socorro</v>
      </c>
      <c r="C27" s="16">
        <v>6</v>
      </c>
      <c r="D27" s="16">
        <v>6</v>
      </c>
      <c r="I27" s="17" t="str">
        <v>&lt;li data-author="Ain Karem"&gt;&lt;a href="canciones/ain_karem/dios_de_la_historia_bendice.html"&gt;Dios de la historia, bendice&lt;/a&gt;&lt;/li&gt;</v>
      </c>
      <c r="K27" s="17" t="str">
        <v>&lt;li data-author="Brotes de Olivo"&gt;&lt;a href="canciones/brotes_de_olivo/he_oido_tu_voz.html"&gt;He oído tu voz&lt;/a&gt;&lt;/li&gt;</v>
      </c>
      <c r="M27" s="17" t="str">
        <v>&lt;li data-author="Cesáreo Gabarain"&gt;&lt;a href="canciones/cesareo_gabarain/yo_soy_el_pan_de_la_vida.html"&gt;Yo soy el pan de la vida&lt;/a&gt;&lt;/li&gt;</v>
      </c>
      <c r="N27" s="17" t="str">
        <v>&lt;li data-author="Francisco Palazón"&gt;&lt;a href="canciones/francisco_palazon/escucha_señor.html"&gt;Escucha, Señor&lt;/a&gt;&lt;/li&gt;</v>
      </c>
      <c r="O27" s="17" t="str">
        <v>&lt;li data-author="Hakuna"&gt;&lt;a href="canciones/hakuna/libertad.html"&gt;Libertad&lt;/a&gt;&lt;/li&gt;</v>
      </c>
      <c r="Q27" s="17" t="str">
        <v>&lt;li data-author="Ixcís"&gt;&lt;a href="canciones/ixcis/y_mientras.html"&gt;Y mientras&lt;/a&gt;&lt;/li&gt;</v>
      </c>
      <c r="R27" s="17" t="str">
        <v>&lt;li data-author="Kairoi"&gt;&lt;a href="canciones/kairoi/niño.html"&gt;Niño&lt;/a&gt;&lt;/li&gt;</v>
      </c>
      <c r="S27" s="17" t="str">
        <v>&lt;li data-author="Brotes de Olivo" data-momento="Comunión" data-nnew="K37" data-nrcc="339"&gt;&lt;a href="canciones/brotes_de_olivo/hoy_señor_te_dare.html"&gt;Hoy, Señor, te daré&lt;/a&gt;&lt;/li&gt;</v>
      </c>
      <c r="U27" s="17" t="str">
        <v>&lt;li data-author="Lázaro Iparraguirre" data-nrcc="229"&gt;&lt;a href="canciones/lazaro_iparraguirre/maestro_te_seguire.html"&gt;Maestro, te seguiré&lt;/a&gt;&lt;/li&gt;</v>
      </c>
      <c r="W27" s="17" t="str">
        <v>&lt;li data-author="Ruah"&gt;&lt;a href="canciones/ruah/te_seguire_llamando.html"&gt;Te seguiré llamando&lt;/a&gt;&lt;/li&gt;</v>
      </c>
      <c r="X27" s="17" t="str">
        <v>&lt;li data-author="Taizé en español" data-momento="TaizéESP" data-nnew="Q19"&gt;&lt;a href="canciones/taize/bonum_est_confidere.html"&gt;Qué bueno es confiar en ti&lt;/a&gt;&lt;/li&gt;</v>
      </c>
      <c r="Y27" s="17" t="str">
        <v>&lt;li data-author="Taizé original" data-momento="TaizéORIG" data-nnew="Q58"&gt;&lt;a href="canciones/taize/laudate_dominum.html"&gt;Laudate Dominum&lt;/a&gt;&lt;/li&gt;</v>
      </c>
      <c r="Z27" s="17" t="str">
        <v>&lt;li data-author="Toño Casado"&gt;&lt;a href="canciones/toño_casado/via_crucis_xiii_jesus_bajado_de_la_cruz.html"&gt;Via Crucis XIII Jesús bajado de la Cruz&lt;/a&gt;&lt;/li&gt;</v>
      </c>
    </row>
    <row r="28" spans="1:26" x14ac:dyDescent="0.3">
      <c r="A28" s="16" t="str">
        <v>Ricardo Cantalapiedra</v>
      </c>
      <c r="B28" s="16" t="str">
        <v>ricardo_cantalapiedra</v>
      </c>
      <c r="C28" s="16">
        <v>36</v>
      </c>
      <c r="D28" s="16">
        <v>12</v>
      </c>
      <c r="I28" s="17" t="str">
        <v>&lt;li data-author="Ain Karem"&gt;&lt;a href="canciones/ain_karem/levantad_las_piedras.html"&gt;Levantad las piedras&lt;/a&gt;&lt;/li&gt;</v>
      </c>
      <c r="K28" s="17" t="str">
        <v>&lt;li data-author="Brotes de Olivo"&gt;&lt;a href="canciones/brotes_de_olivo/pan_y_vino_de_amor.html"&gt;Pan y vino de amor&lt;/a&gt;&lt;/li&gt;</v>
      </c>
      <c r="M28" s="17" t="str">
        <v>&lt;li data-author="Cesáreo Gabarain"&gt;&lt;a href="canciones/cesareo_gabarain/yo_soy_la_resurreccion_y_la_vida.html"&gt;Yo soy la resurrección y la vida&lt;/a&gt;&lt;/li&gt;</v>
      </c>
      <c r="N28" s="17" t="str">
        <v>&lt;li data-author="Francisco Palazón"&gt;&lt;a href="canciones/francisco_palazon/cuando_bajas_señor.html"&gt;Cuando bajas, Señor&lt;/a&gt;&lt;/li&gt;</v>
      </c>
      <c r="O28" s="17" t="str">
        <v>&lt;li data-author="Hakuna"&gt;&lt;a href="canciones/hakuna/tan_cerca.html"&gt;Tan cerca&lt;/a&gt;&lt;/li&gt;</v>
      </c>
      <c r="Q28" s="17" t="str">
        <v>&lt;li data-author="Ixcís"&gt;&lt;a href="canciones/ixcis/renovaos.html"&gt;Renovaos&lt;/a&gt;&lt;/li&gt;</v>
      </c>
      <c r="R28" s="17" t="str">
        <v>&lt;li data-author="Kairoi"&gt;&lt;a href="canciones/kairoi/una_vida.html"&gt;Una vida&lt;/a&gt;&lt;/li&gt;</v>
      </c>
      <c r="S28" s="17" t="str">
        <v>&lt;li data-author="Brotes de Olivo" data-momento="Antífonas" data-nnew="D23"&gt;&lt;a href="canciones/brotes_de_olivo/me_levantare.html"&gt;Me levantaré&lt;/a&gt;&lt;/li&gt;</v>
      </c>
      <c r="U28" s="17" t="str">
        <v>&lt;li data-author="Lázaro Iparraguirre" data-nrcc="384"&gt;&lt;a href="canciones/lazaro_iparraguirre/nos_dejaste_señor.html"&gt;Nos dejaste, Señor&lt;/a&gt;&lt;/li&gt;</v>
      </c>
      <c r="W28" s="17" t="str">
        <v>&lt;li data-author="Ruah"&gt;&lt;a href="canciones/ruah/no_volvera_vacia.html"&gt;No volverá vacía&lt;/a&gt;&lt;/li&gt;</v>
      </c>
      <c r="X28" s="17" t="str">
        <v>&lt;li data-author="Taizé en español" data-momento="TaizéESP" data-nnew="Q49"&gt;&lt;a href="canciones/taize/jesus_remember_me.html"&gt;Jesús, acuérdate de mí&lt;/a&gt;&lt;/li&gt;</v>
      </c>
      <c r="Y28" s="17" t="str">
        <v>&lt;li data-author="Taizé original" data-momento="TaizéORIG" data-nnew="Q15"&gt;&lt;a href="canciones/taize/benissez_le_seigneur.html"&gt;Bénissez le Seigneur&lt;/a&gt;&lt;/li&gt;</v>
      </c>
      <c r="Z28" s="17" t="str">
        <v>&lt;li data-author="Toño Casado"&gt;&lt;a href="canciones/toño_casado/via_crucis_xiv_el_cuerpo_de_jesus.html"&gt;Via Crucis XIV El cuerpo de Jesús&lt;/a&gt;&lt;/li&gt;</v>
      </c>
    </row>
    <row r="29" spans="1:26" x14ac:dyDescent="0.3">
      <c r="A29" s="16" t="str">
        <v>Rosa Cruz</v>
      </c>
      <c r="B29" s="16" t="str">
        <v>rosa_cruz</v>
      </c>
      <c r="C29" s="16">
        <v>12</v>
      </c>
      <c r="D29" s="16">
        <v>0</v>
      </c>
      <c r="I29" s="17" t="str">
        <v>&lt;li data-author="Ain Karem"&gt;&lt;a href="canciones/ain_karem/aleluya.html"&gt;Aleluya&lt;/a&gt;&lt;/li&gt;</v>
      </c>
      <c r="K29" s="17" t="str">
        <v>&lt;li data-author="Brotes de Olivo"&gt;&lt;a href="canciones/brotes_de_olivo/santo.html"&gt;Santo&lt;/a&gt;&lt;/li&gt;</v>
      </c>
      <c r="M29" s="17" t="str">
        <v>&lt;li data-author="Cesáreo Gabarain"&gt;&lt;a href="canciones/cesareo_gabarain/dichosos_los_que_mueren_en_el_señor.html"&gt;Dichosos los que mueren en el Señor&lt;/a&gt;&lt;/li&gt;</v>
      </c>
      <c r="N29" s="17" t="str">
        <v>&lt;li data-author="Francisco Palazón"&gt;&lt;a href="canciones/francisco_palazon/bendigamos_al_señor.html"&gt;Bendigamos al Señor&lt;/a&gt;&lt;/li&gt;</v>
      </c>
      <c r="O29" s="17" t="str">
        <v>&lt;li data-author="Hakuna"&gt;&lt;a href="canciones/hakuna/hoy_te_dejo.html"&gt;Hoy te dejo&lt;/a&gt;&lt;/li&gt;</v>
      </c>
      <c r="Q29" s="17" t="str">
        <v>&lt;li data-author="Ixcís"&gt;&lt;a href="canciones/ixcis/agujas_del_reloj.html"&gt;Agujas del reloj&lt;/a&gt;&lt;/li&gt;</v>
      </c>
      <c r="R29" s="17" t="str">
        <v>&lt;li data-author="Kairoi"&gt;&lt;a href="canciones/kairoi/dios_en_la_ciudad.html"&gt;Dios en la ciudad&lt;/a&gt;&lt;/li&gt;</v>
      </c>
      <c r="S29" s="17" t="str">
        <v>&lt;li data-author="Brotes de Olivo" data-momento="Antífonas" data-nnew="D40"&gt;&lt;a href="canciones/brotes_de_olivo/ven_no_apartes_de_mi_los_ojos.html"&gt;Ven, no apartes de mí los ojos&lt;/a&gt;&lt;/li&gt;</v>
      </c>
      <c r="U29" s="17" t="str">
        <v>&lt;li data-author="Lázaro Iparraguirre" data-nrcc="140"&gt;&lt;a href="canciones/lazaro_iparraguirre/que_deseables.html"&gt;Qué deseables&lt;/a&gt;&lt;/li&gt;</v>
      </c>
      <c r="W29" s="17" t="str">
        <v>&lt;li data-author="Ruah"&gt;&lt;a href="canciones/ruah/grietas.html"&gt;Grietas&lt;/a&gt;&lt;/li&gt;</v>
      </c>
      <c r="X29" s="17" t="str">
        <v>&lt;li data-author="Taizé en español" data-momento="TaizéESP" data-nnew="Q50"&gt;&lt;a href="canciones/taize/jubelt_und_freut_euch.html"&gt;Alégrate y goza en el Señor&lt;/a&gt;&lt;/li&gt;</v>
      </c>
      <c r="Y29" s="17" t="str">
        <v>&lt;li data-author="Taizé original" data-momento="TaizéORIG" data-nnew="Q19"&gt;&lt;a href="canciones/taize/bonum_est_confidere.html"&gt;Bonum est confidere&lt;/a&gt;&lt;/li&gt;</v>
      </c>
      <c r="Z29" s="17" t="str">
        <v>&lt;li data-author="Toño Casado"&gt;&lt;a href="canciones/toño_casado/via_crucis_xv_la_fuerza_de_la_cruz.html"&gt;Via Crucis XV La fuerza de la Cruz&lt;/a&gt;&lt;/li&gt;</v>
      </c>
    </row>
    <row r="30" spans="1:26" x14ac:dyDescent="0.3">
      <c r="A30" s="16" t="str">
        <v>Ruah</v>
      </c>
      <c r="B30" s="16" t="str">
        <v>ruah</v>
      </c>
      <c r="C30" s="16">
        <v>68</v>
      </c>
      <c r="D30" s="16">
        <v>65</v>
      </c>
      <c r="I30" s="17" t="str">
        <v>&lt;li data-author="Ain Karem"&gt;&lt;a href="canciones/ain_karem/tu_eres_mi_bien.html"&gt;Tú eres mi bien&lt;/a&gt;&lt;/li&gt;</v>
      </c>
      <c r="K30" s="17" t="str">
        <v>&lt;li data-author="Brotes de Olivo"&gt;&lt;a href="canciones/brotes_de_olivo/padre_nuestro.html"&gt;Padre nuestro&lt;/a&gt;&lt;/li&gt;</v>
      </c>
      <c r="M30" s="17" t="str">
        <v>&lt;li data-author="Cesáreo Gabarain"&gt;&lt;a href="canciones/cesareo_gabarain/el_descanso_eterno.html"&gt;El descanso eterno&lt;/a&gt;&lt;/li&gt;</v>
      </c>
      <c r="N30" s="17" t="str">
        <v>&lt;li data-author="Francisco Palazón"&gt;&lt;a href="canciones/francisco_palazon/el_alzar_de_mis_manos.html"&gt;El alzar de mis manos&lt;/a&gt;&lt;/li&gt;</v>
      </c>
      <c r="O30" s="17" t="str">
        <v>&lt;li data-author="Hakuna"&gt;&lt;a href="canciones/hakuna/pasion_de_dios.html"&gt;Pasión de Dios&lt;/a&gt;&lt;/li&gt;</v>
      </c>
      <c r="Q30" s="17" t="str">
        <v>&lt;li data-author="Ixcís"&gt;&lt;a href="canciones/ixcis/dejarme_hacer.html"&gt;Dejarme hacer&lt;/a&gt;&lt;/li&gt;</v>
      </c>
      <c r="R30" s="17" t="str">
        <v>&lt;li data-author="Kairoi"&gt;&lt;a href="canciones/kairoi/somos_una_familia.html"&gt;Somos una familia&lt;/a&gt;&lt;/li&gt;</v>
      </c>
      <c r="S30" s="17" t="str">
        <v>&lt;li data-author="Carmelo Erdozáin" data-momento="Ofertorio" data-nnew="F03" data-nold="24"&gt;&lt;a href="canciones/carmelo_erdozain/ante_ti_señor.html"&gt;Ante ti, Señor&lt;/a&gt;&lt;/li&gt;</v>
      </c>
      <c r="U30" s="17" t="str">
        <v>&lt;li data-author="Lázaro Iparraguirre" data-nrcc="308"&gt;&lt;a href="canciones/lazaro_iparraguirre/resucito.html"&gt;Resucitó&lt;/a&gt;&lt;/li&gt;</v>
      </c>
      <c r="W30" s="17" t="str">
        <v>&lt;li data-author="Ruah"&gt;&lt;a href="canciones/ruah/en_parabolas.html"&gt;En parábolas&lt;/a&gt;&lt;/li&gt;</v>
      </c>
      <c r="X30" s="17" t="str">
        <v>&lt;li data-author="Taizé en español" data-momento="TaizéESP" data-nnew="Q68"&gt;&lt;a href="canciones/taize/sanasi_on_lamppu.html"&gt;Tu palabra alumbra&lt;/a&gt;&lt;/li&gt;</v>
      </c>
      <c r="Y30" s="17" t="str">
        <v>&lt;li data-author="Taizé original" data-momento="TaizéORIG" data-nnew="Q49"&gt;&lt;a href="canciones/taize/jesus_remember_me.html"&gt;Jesus, remember me&lt;/a&gt;&lt;/li&gt;</v>
      </c>
    </row>
    <row r="31" spans="1:26" x14ac:dyDescent="0.3">
      <c r="A31" s="16" t="str">
        <v>Taizé en español</v>
      </c>
      <c r="B31" s="16" t="str">
        <v>taize_en_español</v>
      </c>
      <c r="C31" s="16">
        <v>78</v>
      </c>
      <c r="D31" s="16">
        <v>78</v>
      </c>
      <c r="I31" s="17" t="str">
        <v>&lt;li data-author="Ain Karem"&gt;&lt;a href="canciones/ain_karem/desde_abajo.html"&gt;Desde abajo&lt;/a&gt;&lt;/li&gt;</v>
      </c>
      <c r="K31" s="17" t="str">
        <v>&lt;li data-author="Brotes de Olivo"&gt;&lt;a href="canciones/brotes_de_olivo/ven_junto_a_mi.html"&gt;Ven junto a mí&lt;/a&gt;&lt;/li&gt;</v>
      </c>
      <c r="M31" s="17" t="str">
        <v>&lt;li data-author="Cesáreo Gabarain"&gt;&lt;a href="canciones/cesareo_gabarain/recibe_a_tu_siervo.html"&gt;Recibe a tu siervo&lt;/a&gt;&lt;/li&gt;</v>
      </c>
      <c r="N31" s="17" t="str">
        <v>&lt;li data-author="Francisco Palazón"&gt;&lt;a href="canciones/francisco_palazon/el_señor_de_los_ejercitos.html"&gt;El Señor de los ejércitos&lt;/a&gt;&lt;/li&gt;</v>
      </c>
      <c r="O31" s="17" t="str">
        <v>&lt;li data-author="Hakuna"&gt;&lt;a href="canciones/hakuna/bendita_sea_tu_pureza.html"&gt;Bendita sea tu pureza&lt;/a&gt;&lt;/li&gt;</v>
      </c>
      <c r="Q31" s="17" t="str">
        <v>&lt;li data-author="Ixcís"&gt;&lt;a href="canciones/ixcis/la_razon.html"&gt;La razón&lt;/a&gt;&lt;/li&gt;</v>
      </c>
      <c r="R31" s="17" t="str">
        <v>&lt;li data-author="Kairoi"&gt;&lt;a href="canciones/kairoi/me_has_seducido_señor.html"&gt;Me has seducido, Señor&lt;/a&gt;&lt;/li&gt;</v>
      </c>
      <c r="S31" s="17" t="str">
        <v>&lt;li data-author="Carmelo Erdozáin" data-nold="58"&gt;&lt;a href="canciones/carmelo_erdozain/cristo_es_la_imagen_de_dios.html"&gt;Cristo es la imagen de Dios&lt;/a&gt;&lt;/li&gt;</v>
      </c>
      <c r="U31" s="17" t="str">
        <v>&lt;li data-author="Lázaro Iparraguirre" data-nrcc="96"&gt;&lt;a href="canciones/lazaro_iparraguirre/si_estas_buscando.html"&gt;Si estás buscando&lt;/a&gt;&lt;/li&gt;</v>
      </c>
      <c r="W31" s="17" t="str">
        <v>&lt;li data-author="Ruah"&gt;&lt;a href="canciones/ruah/oyeme.html"&gt;Óyeme&lt;/a&gt;&lt;/li&gt;</v>
      </c>
      <c r="X31" s="17" t="str">
        <v>&lt;li data-author="Taizé en español" data-momento="TaizéESP" data-nnew="Q41"&gt;&lt;a href="canciones/taize/heureux_qui_s’abandonne_à_toi.html"&gt;Feliz quien se abandona&lt;/a&gt;&lt;/li&gt;</v>
      </c>
      <c r="Y31" s="17" t="str">
        <v>&lt;li data-author="Taizé original" data-momento="TaizéORIG" data-nnew="Q50"&gt;&lt;a href="canciones/taize/jubelt_und_freut_euch.html"&gt;Jubelt und freut euch&lt;/a&gt;&lt;/li&gt;</v>
      </c>
    </row>
    <row r="32" spans="1:26" x14ac:dyDescent="0.3">
      <c r="A32" s="16" t="str">
        <v>Taizé original</v>
      </c>
      <c r="B32" s="16" t="str">
        <v>taize_original</v>
      </c>
      <c r="C32" s="16">
        <v>174</v>
      </c>
      <c r="D32" s="16">
        <v>85</v>
      </c>
      <c r="I32" s="17" t="str">
        <v>&lt;li data-author="Ain Karem"&gt;&lt;a href="canciones/ain_karem/como_la_cierva.html"&gt;Como la cierva&lt;/a&gt;&lt;/li&gt;</v>
      </c>
      <c r="K32" s="17" t="str">
        <v>&lt;li data-author="Brotes de Olivo"&gt;&lt;a href="canciones/brotes_de_olivo/nadie_contesto.html"&gt;Nadie contestó&lt;/a&gt;&lt;/li&gt;</v>
      </c>
      <c r="M32" s="17" t="str">
        <v>&lt;li data-author="Cesáreo Gabarain"&gt;&lt;a href="canciones/cesareo_gabarain/vive_con_cristo.html"&gt;Vive con Cristo&lt;/a&gt;&lt;/li&gt;</v>
      </c>
      <c r="N32" s="17" t="str">
        <v>&lt;li data-author="Francisco Palazón"&gt;&lt;a href="canciones/francisco_palazon/a_ti_suspiramos.html"&gt;A ti suspiramos&lt;/a&gt;&lt;/li&gt;</v>
      </c>
      <c r="O32" s="17" t="str">
        <v>&lt;li data-author="Hakuna"&gt;&lt;a href="canciones/hakuna/tu_misericordia.html"&gt;Tu misericordia&lt;/a&gt;&lt;/li&gt;</v>
      </c>
      <c r="Q32" s="17" t="str">
        <v>&lt;li data-author="Ixcís"&gt;&lt;a href="canciones/ixcis/acercate.html"&gt;Acércate&lt;/a&gt;&lt;/li&gt;</v>
      </c>
      <c r="R32" s="17" t="str">
        <v>&lt;li data-author="Kairoi"&gt;&lt;a href="canciones/kairoi/una_vida_que_busca_libertad.html"&gt;Una vida que busca libertad&lt;/a&gt;&lt;/li&gt;</v>
      </c>
      <c r="S32" s="17" t="str">
        <v>&lt;li data-author="Carmelo Erdozáin" data-nold="57"&gt;&lt;a href="canciones/carmelo_erdozain/cristo_se_entrego_por_nosotros.html"&gt;Cristo se entregó por nosotros&lt;/a&gt;&lt;/li&gt;</v>
      </c>
      <c r="U32" s="17" t="str">
        <v>&lt;li data-author="Lázaro Iparraguirre" data-nrcc="19"&gt;&lt;a href="canciones/lazaro_iparraguirre/si_lo_que_buscas.html"&gt;Si lo que buscas&lt;/a&gt;&lt;/li&gt;</v>
      </c>
      <c r="W32" s="17" t="str">
        <v>&lt;li data-author="Ruah"&gt;&lt;a href="canciones/ruah/bosque.html"&gt;Bosque&lt;/a&gt;&lt;/li&gt;</v>
      </c>
      <c r="X32" s="17" t="str">
        <v>&lt;li data-author="Taizé en español" data-momento="TaizéESP" data-nnew="Q81"&gt;&lt;a href="canciones/taize/voici_dieu_qui_vient_à_mon_secours.html"&gt;El Señor, que viene en mi ayuda&lt;/a&gt;&lt;/li&gt;</v>
      </c>
      <c r="Y32" s="17" t="str">
        <v>&lt;li data-author="Taizé original" data-momento="TaizéORIG" data-nnew="Q68"&gt;&lt;a href="canciones/taize/sanasi_on_lamppu.html"&gt;Sanasi on lamppu&lt;/a&gt;&lt;/li&gt;</v>
      </c>
    </row>
    <row r="33" spans="1:25" x14ac:dyDescent="0.3">
      <c r="A33" s="16" t="str">
        <v>Toño Casado</v>
      </c>
      <c r="B33" s="16" t="str">
        <v>toño_casado</v>
      </c>
      <c r="C33" s="16">
        <v>44</v>
      </c>
      <c r="D33" s="16">
        <v>44</v>
      </c>
      <c r="I33" s="17" t="str">
        <v>&lt;li data-author="Ain Karem"&gt;&lt;a href="canciones/ain_karem/solo_tu.html"&gt;Sólo Tú&lt;/a&gt;&lt;/li&gt;</v>
      </c>
      <c r="K33" s="17" t="str">
        <v>&lt;li data-author="Brotes de Olivo"&gt;&lt;a href="canciones/brotes_de_olivo/tras_las_huellas_del_padre.html"&gt;Tras las huellas del Padre&lt;/a&gt;&lt;/li&gt;</v>
      </c>
      <c r="M33" s="17" t="str">
        <v>&lt;li data-author="Cesáreo Gabarain"&gt;&lt;a href="canciones/cesareo_gabarain/en_los_brazos_de_dios.html"&gt;En los brazos de Dios&lt;/a&gt;&lt;/li&gt;</v>
      </c>
      <c r="N33" s="17" t="str">
        <v>&lt;li data-author="Francisco Palazón"&gt;&lt;a href="canciones/francisco_palazon/magnificat.html"&gt;Magnificat&lt;/a&gt;&lt;/li&gt;</v>
      </c>
      <c r="O33" s="17" t="str">
        <v>&lt;li data-author="Hakuna"&gt;&lt;a href="canciones/hakuna/quiero_cenar_contigo.html"&gt;Quiero cenar contigo&lt;/a&gt;&lt;/li&gt;</v>
      </c>
      <c r="Q33" s="17" t="str">
        <v>&lt;li data-author="Ixcís"&gt;&lt;a href="canciones/ixcis/por_que.html"&gt;Por qué&lt;/a&gt;&lt;/li&gt;</v>
      </c>
      <c r="R33" s="17" t="str">
        <v>&lt;li data-author="Kairoi"&gt;&lt;a href="canciones/kairoi/nuestra_buena_madre.html"&gt;Nuestra buena madre&lt;/a&gt;&lt;/li&gt;</v>
      </c>
      <c r="S33" s="17" t="str">
        <v>&lt;li data-author="Carmelo Erdozáin" data-momento="Antífonas" data-nnew="D17" data-nold="116"&gt;&lt;a href="canciones/carmelo_erdozain/escucha_tu_la_palabra_de_dios.html"&gt;Escucha tú la Palabra de Dios&lt;/a&gt;&lt;/li&gt;</v>
      </c>
      <c r="U33" s="17" t="str">
        <v>&lt;li data-author="Lázaro Iparraguirre" data-nrcc="119"&gt;&lt;a href="canciones/lazaro_iparraguirre/vino_un_hombre_a_nuestro_mundo.html"&gt;Vino un hombre a nuestro mundo&lt;/a&gt;&lt;/li&gt;</v>
      </c>
      <c r="W33" s="17" t="str">
        <v>&lt;li data-author="Ruah"&gt;&lt;a href="canciones/ruah/nuestro_lugar.html"&gt;Nuestro lugar&lt;/a&gt;&lt;/li&gt;</v>
      </c>
      <c r="X33" s="17" t="str">
        <v>&lt;li data-author="Taizé en español" data-momento="TaizéESP" data-nnew="Q71"&gt;&lt;a href="canciones/taize/staňte_se_soli.html"&gt;Sé sal que sala&lt;/a&gt;&lt;/li&gt;</v>
      </c>
      <c r="Y33" s="17" t="str">
        <v>&lt;li data-author="Taizé original" data-momento="TaizéORIG" data-nnew="Q69"&gt;&lt;a href="canciones/taize/señor_que_florezca_tu_justicia.html"&gt;Señor, que florezca tu justicia&lt;/a&gt;&lt;/li&gt;</v>
      </c>
    </row>
    <row r="34" spans="1:25" x14ac:dyDescent="0.3">
      <c r="A34" s="16" t="str">
        <v>Villancicos</v>
      </c>
      <c r="B34" s="16" t="str">
        <v>villancicos</v>
      </c>
      <c r="C34" s="16">
        <v>20</v>
      </c>
      <c r="D34" s="16">
        <v>19</v>
      </c>
      <c r="I34" s="17" t="str">
        <v>&lt;li data-author="Ain Karem"&gt;&lt;a href="canciones/ain_karem/sed_felices.html"&gt;Sed felices&lt;/a&gt;&lt;/li&gt;</v>
      </c>
      <c r="K34" s="17" t="str">
        <v>&lt;li data-author="Brotes de Olivo"&gt;&lt;a href="canciones/brotes_de_olivo/tierra.html"&gt;Tierra&lt;/a&gt;&lt;/li&gt;</v>
      </c>
      <c r="M34" s="17" t="str">
        <v>&lt;li data-author="Cesáreo Gabarain"&gt;&lt;a href="canciones/cesareo_gabarain/la_alegria_en_el_perdon.html"&gt;La alegría en el perdón&lt;/a&gt;&lt;/li&gt;</v>
      </c>
      <c r="N34" s="17" t="str">
        <v>&lt;li data-author="Francisco Palazón"&gt;&lt;a href="canciones/francisco_palazon/morada_de_la_luz.html"&gt;Morada de la luz&lt;/a&gt;&lt;/li&gt;</v>
      </c>
      <c r="O34" s="17" t="str">
        <v>&lt;li data-author="Hakuna"&gt;&lt;a href="canciones/hakuna/un_paso_mas.html"&gt;Un paso más&lt;/a&gt;&lt;/li&gt;</v>
      </c>
      <c r="Q34" s="17" t="str">
        <v>&lt;li data-author="Ixcís"&gt;&lt;a href="canciones/ixcis/una_vez_mas.html"&gt;Una vez más&lt;/a&gt;&lt;/li&gt;</v>
      </c>
      <c r="R34" s="17" t="str">
        <v>&lt;li data-author="Kairoi"&gt;&lt;a href="canciones/kairoi/señor_yo_no_soy_digno.html"&gt;Señor, yo no soy digno&lt;/a&gt;&lt;/li&gt;</v>
      </c>
      <c r="S34" s="17" t="str">
        <v>&lt;li data-author="Carmelo Erdozáin" data-momento="Entrada" data-nnew="A14"&gt;&lt;a href="canciones/carmelo_erdozain/dios_nos_convoca.html"&gt;Dios nos convoca&lt;/a&gt;&lt;/li&gt;</v>
      </c>
      <c r="U34" s="17" t="str">
        <v>&lt;li data-author="Luis Alfredo Díaz" data-nrcc="14"&gt;&lt;a href="canciones/luis_alfredo_diaz/quiero_decir_que_si.html"&gt;Quiero decir que sí&lt;/a&gt;&lt;/li&gt;</v>
      </c>
      <c r="W34" s="17" t="str">
        <v>&lt;li data-author="Ruah"&gt;&lt;a href="canciones/ruah/a_tu_medida.html"&gt;A tu medida&lt;/a&gt;&lt;/li&gt;</v>
      </c>
      <c r="X34" s="17" t="str">
        <v>&lt;li data-author="Taizé en español" data-momento="TaizéESP" data-nnew="Q78" data-nold="466"&gt;&lt;a href="canciones/taize/ubi_caritas.html"&gt;Donde hay amor&lt;/a&gt;&lt;/li&gt;</v>
      </c>
      <c r="Y34" s="17" t="str">
        <v>&lt;li data-author="Taizé original" data-momento="TaizéORIG" data-nnew="Q41"&gt;&lt;a href="canciones/taize/heureux_qui_s’abandonne_à_toi.html"&gt;Heureux qui s’abandonne à toi&lt;/a&gt;&lt;/li&gt;</v>
      </c>
    </row>
    <row r="35" spans="1:25" x14ac:dyDescent="0.3">
      <c r="I35" s="17" t="str">
        <v>&lt;li data-author="Ain Karem"&gt;&lt;a href="canciones/ain_karem/ten_piedad.html"&gt;Ten piedad&lt;/a&gt;&lt;/li&gt;</v>
      </c>
      <c r="K35" s="17" t="str">
        <v>&lt;li data-author="Brotes de Olivo"&gt;&lt;a href="canciones/brotes_de_olivo/todos_juntos.html"&gt;Todos juntos&lt;/a&gt;&lt;/li&gt;</v>
      </c>
      <c r="M35" s="17" t="str">
        <v>&lt;li data-author="Cesáreo Gabarain"&gt;&lt;a href="canciones/cesareo_gabarain/el_joven_rico.html"&gt;El joven rico&lt;/a&gt;&lt;/li&gt;</v>
      </c>
      <c r="N35" s="17" t="str">
        <v>&lt;li data-author="Francisco Palazón"&gt;&lt;a href="canciones/francisco_palazon/madre_del_redentor.html"&gt;Madre del Redentor&lt;/a&gt;&lt;/li&gt;</v>
      </c>
      <c r="O35" s="17" t="str">
        <v>&lt;li data-author="Hakuna"&gt;&lt;a href="canciones/hakuna/cuatro_vientos.html"&gt;Cuatro vientos&lt;/a&gt;&lt;/li&gt;</v>
      </c>
      <c r="Q35" s="17" t="str">
        <v>&lt;li data-author="Ixcís"&gt;&lt;a href="canciones/ixcis/el_labrador.html"&gt;El labrador&lt;/a&gt;&lt;/li&gt;</v>
      </c>
      <c r="R35" s="17" t="str">
        <v>&lt;li data-author="Kairoi"&gt;&lt;a href="canciones/kairoi/no_durmais.html"&gt;No durmáis&lt;/a&gt;&lt;/li&gt;</v>
      </c>
      <c r="S35" s="17" t="str">
        <v>&lt;li data-author="Carmelo Erdozáin" data-momento="Entrada" data-nnew="A27" data-nold="449" data-nrcc="215"&gt;&lt;a href="canciones/carmelo_erdozain/preparad_el_camino_al_señor.html"&gt;Preparad el camino al Señor&lt;/a&gt;&lt;/li&gt;</v>
      </c>
      <c r="U35" s="17" t="str">
        <v>&lt;li data-author="Marcos Witt" data-nrcc="7"&gt;&lt;a href="canciones/marcos_witt/heme_aqui.html"&gt;Heme aquí&lt;/a&gt;&lt;/li&gt;</v>
      </c>
      <c r="W35" s="17" t="str">
        <v>&lt;li data-author="Ruah"&gt;&lt;a href="canciones/ruah/mayor_que_todo.html"&gt;Mayor que todo&lt;/a&gt;&lt;/li&gt;</v>
      </c>
      <c r="X35" s="17" t="str">
        <v>&lt;li data-author="Taizé en español" data-momento="TaizéESP" data-nnew="Q73"&gt;&lt;a href="canciones/taize/surrexit_dominus_vere_(canon).html"&gt;Cristo ha resucitado (canon)&lt;/a&gt;&lt;/li&gt;</v>
      </c>
      <c r="Y35" s="17" t="str">
        <v>&lt;li data-author="Taizé original" data-momento="TaizéORIG" data-nnew="Q81"&gt;&lt;a href="canciones/taize/voici_dieu_qui_vient_à_mon_secours.html"&gt;Voici Dieu qui vient à mon secours&lt;/a&gt;&lt;/li&gt;</v>
      </c>
    </row>
    <row r="36" spans="1:25" x14ac:dyDescent="0.3">
      <c r="I36" s="17" t="str">
        <v>&lt;li data-author="Ain Karem"&gt;&lt;a href="canciones/ain_karem/busca_mi_rostro.html"&gt;Busca mi rostro&lt;/a&gt;&lt;/li&gt;</v>
      </c>
      <c r="K36" s="17" t="str">
        <v>&lt;li data-author="Brotes de Olivo"&gt;&lt;a href="canciones/brotes_de_olivo/allanad_los_caminos.html"&gt;Allanad los caminos&lt;/a&gt;&lt;/li&gt;</v>
      </c>
      <c r="M36" s="17" t="str">
        <v>&lt;li data-author="Cesáreo Gabarain"&gt;&lt;a href="canciones/cesareo_gabarain/tuve_hambre_y_me_diste_de_comer.html"&gt;Tuve hambre y me diste de comer&lt;/a&gt;&lt;/li&gt;</v>
      </c>
      <c r="N36" s="17" t="str">
        <v>&lt;li data-author="Francisco Palazón"&gt;&lt;a href="canciones/francisco_palazon/angelus.html"&gt;Ángelus&lt;/a&gt;&lt;/li&gt;</v>
      </c>
      <c r="O36" s="17" t="str">
        <v>&lt;li data-author="Hakuna"&gt;&lt;a href="canciones/hakuna/siempre_imagine.html"&gt;Siempre imaginé&lt;/a&gt;&lt;/li&gt;</v>
      </c>
      <c r="Q36" s="17" t="str">
        <v>&lt;li data-author="Ixcís"&gt;&lt;a href="canciones/ixcis/maria_enseñame.html"&gt;María, enséñame&lt;/a&gt;&lt;/li&gt;</v>
      </c>
      <c r="R36" s="17" t="str">
        <v>&lt;li data-author="Kairoi"&gt;&lt;a href="canciones/kairoi/señor_dios_me_tienes_ante_ti.html"&gt;Señor Dios, me tienes ante ti&lt;/a&gt;&lt;/li&gt;</v>
      </c>
      <c r="S36" s="17" t="str">
        <v>&lt;li data-author="Carmelo Erdozáin" data-momento="Entrada" data-nnew="A03" data-nold="8"&gt;&lt;a href="canciones/carmelo_erdozain/abre_tu_tienda_al_señor.html"&gt;Abre tu tienda al Señor&lt;/a&gt;&lt;/li&gt;</v>
      </c>
      <c r="U36" s="17" t="str">
        <v>&lt;li data-author="Marcos Witt" data-nrcc="16"&gt;&lt;a href="canciones/marcos_witt/yeshua.html"&gt;Yeshua&lt;/a&gt;&lt;/li&gt;</v>
      </c>
      <c r="W36" s="17" t="str">
        <v>&lt;li data-author="Ruah"&gt;&lt;a href="canciones/ruah/seas.html"&gt;Seas&lt;/a&gt;&lt;/li&gt;</v>
      </c>
      <c r="X36" s="17" t="str">
        <v>&lt;li data-author="Taizé en español" data-momento="TaizéESP" data-nnew="Q23"&gt;&lt;a href="canciones/taize/christe_salvator.html"&gt;Dios de la vida&lt;/a&gt;&lt;/li&gt;</v>
      </c>
      <c r="Y36" s="17" t="str">
        <v>&lt;li data-author="Taizé original" data-momento="TaizéORIG" data-nnew="Q71"&gt;&lt;a href="canciones/taize/staňte_se_soli.html"&gt;Staňte se solí&lt;/a&gt;&lt;/li&gt;</v>
      </c>
    </row>
    <row r="37" spans="1:25" x14ac:dyDescent="0.3">
      <c r="I37" s="17" t="str">
        <v>&lt;li data-author="Ain Karem"&gt;&lt;a href="canciones/ain_karem/señor_de_la_sabiduria.html"&gt;Señor de la sabiduría&lt;/a&gt;&lt;/li&gt;</v>
      </c>
      <c r="K37" s="17" t="str">
        <v>&lt;li data-author="Brotes de Olivo"&gt;&lt;a href="canciones/brotes_de_olivo/las_bodas_de_cana.html"&gt;Las bodas de Caná&lt;/a&gt;&lt;/li&gt;</v>
      </c>
      <c r="M37" s="17" t="str">
        <v>&lt;li data-author="Cesáreo Gabarain"&gt;&lt;a href="canciones/cesareo_gabarain/señor_tu_tienes_palabras_de_vida_eterna.html"&gt;Señor, Tú tienes palabras de vida eterna&lt;/a&gt;&lt;/li&gt;</v>
      </c>
      <c r="N37" s="17" t="str">
        <v>&lt;li data-author="Francisco Palazón"&gt;&lt;a href="canciones/francisco_palazon/madre_nuestra.html"&gt;Madre nuestra&lt;/a&gt;&lt;/li&gt;</v>
      </c>
      <c r="O37" s="17" t="str">
        <v>&lt;li data-author="Hakuna"&gt;&lt;a href="canciones/hakuna/que_no_se_pierda_ninguno.html"&gt;Que no se pierda ninguno&lt;/a&gt;&lt;/li&gt;</v>
      </c>
      <c r="Q37" s="17" t="str">
        <v>&lt;li data-author="Ixcís"&gt;&lt;a href="canciones/ixcis/mucho_mas.html"&gt;Mucho más&lt;/a&gt;&lt;/li&gt;</v>
      </c>
      <c r="R37" s="17" t="str">
        <v>&lt;li data-author="Kairoi"&gt;&lt;a href="canciones/kairoi/tu_llamada.html"&gt;Tu llamada&lt;/a&gt;&lt;/li&gt;</v>
      </c>
      <c r="S37" s="17" t="str">
        <v>&lt;li data-author="Carmelo Erdozáin" data-nold="82"&gt;&lt;a href="canciones/carmelo_erdozain/dios_te_salve_maria.html"&gt;Dios te salve, María&lt;/a&gt;&lt;/li&gt;</v>
      </c>
      <c r="U37" s="17" t="str">
        <v>&lt;li data-nrcc="8"&gt;&lt;a href="canciones/nuevas/estamos_de_fiesta.html"&gt;Estamos de fiesta&lt;/a&gt;&lt;/li&gt;</v>
      </c>
      <c r="W37" s="17" t="str">
        <v>&lt;li data-author="Ruah"&gt;&lt;a href="canciones/ruah/brasas.html"&gt;Brasas&lt;/a&gt;&lt;/li&gt;</v>
      </c>
      <c r="X37" s="17" t="str">
        <v>&lt;li data-author="Taizé en español" data-momento="TaizéESP" data-nnew="Q13"&gt;&lt;a href="canciones/taize/benedictus_qui_venit_(canon).html"&gt;Bendito el que viene (canon)&lt;/a&gt;&lt;/li&gt;</v>
      </c>
      <c r="Y37" s="17" t="str">
        <v>&lt;li data-author="Taizé original" data-momento="TaizéORIG" data-nnew="Q78" data-nold="466"&gt;&lt;a href="canciones/taize/ubi_caritas.html"&gt;Ubi caritas&lt;/a&gt;&lt;/li&gt;</v>
      </c>
    </row>
    <row r="38" spans="1:25" x14ac:dyDescent="0.3">
      <c r="I38" s="17" t="str">
        <v>&lt;li data-author="Ain Karem"&gt;&lt;a href="canciones/ain_karem/descansa_en_ti_su_mirada.html"&gt;Descansa en ti su mirada&lt;/a&gt;&lt;/li&gt;</v>
      </c>
      <c r="K38" s="17" t="str">
        <v>&lt;li data-author="Brotes de Olivo"&gt;&lt;a href="canciones/brotes_de_olivo/el_soplo_de_dios.html"&gt;El soplo de Dios&lt;/a&gt;&lt;/li&gt;</v>
      </c>
      <c r="M38" s="17" t="str">
        <v>&lt;li data-author="Cesáreo Gabarain"&gt;&lt;a href="canciones/cesareo_gabarain/cantando_de_alegria.html"&gt;Cantando de alegría&lt;/a&gt;&lt;/li&gt;</v>
      </c>
      <c r="N38" s="17" t="str">
        <v>&lt;li data-author="Francisco Palazón"&gt;&lt;a href="canciones/francisco_palazon/ave_maria.html"&gt;Ave María&lt;/a&gt;&lt;/li&gt;</v>
      </c>
      <c r="O38" s="17" t="str">
        <v>&lt;li data-author="Hakuna"&gt;&lt;a href="canciones/hakuna/nombre_sobre_todo_nombre.html"&gt;Nombre sobre todo nombre&lt;/a&gt;&lt;/li&gt;</v>
      </c>
      <c r="Q38" s="17" t="str">
        <v>&lt;li data-author="Ixcís"&gt;&lt;a href="canciones/ixcis/dame_señor.html"&gt;Dame, Señor&lt;/a&gt;&lt;/li&gt;</v>
      </c>
      <c r="R38" s="17" t="str">
        <v>&lt;li data-author="Kairoi"&gt;&lt;a href="canciones/kairoi/no_es_facil.html"&gt;No es fácil&lt;/a&gt;&lt;/li&gt;</v>
      </c>
      <c r="S38" s="17" t="str">
        <v>&lt;li data-author="Carmelo Erdozáin" data-nold="159"&gt;&lt;a href="canciones/carmelo_erdozain/llego_la_noche.html"&gt;Llegó la noche&lt;/a&gt;&lt;/li&gt;</v>
      </c>
      <c r="U38" s="17" t="str">
        <v>&lt;li data-nrcc="6"&gt;&lt;a href="canciones/nuevas/llename_señor.html"&gt;Lléname, Señor&lt;/a&gt;&lt;/li&gt;</v>
      </c>
      <c r="W38" s="17" t="str">
        <v>&lt;li data-author="Ruah"&gt;&lt;a href="canciones/ruah/de_ida_y_vuelta.html"&gt;De ida y vuelta&lt;/a&gt;&lt;/li&gt;</v>
      </c>
      <c r="X38" s="17" t="str">
        <v>&lt;li data-author="Taizé en español" data-momento="TaizéESP" data-nnew="Q64"&gt;&lt;a href="canciones/taize/nunc_dimittis.html"&gt;Deja ahora&lt;/a&gt;&lt;/li&gt;</v>
      </c>
      <c r="Y38" s="17" t="str">
        <v>&lt;li data-author="Taizé original" data-momento="TaizéORIG" data-nnew="Q73"&gt;&lt;a href="canciones/taize/surrexit_dominus_vere_(canon).html"&gt;Surrexit Dominus vere (canon)&lt;/a&gt;&lt;/li&gt;</v>
      </c>
    </row>
    <row r="39" spans="1:25" x14ac:dyDescent="0.3">
      <c r="I39" s="17" t="str">
        <v>&lt;li data-author="Ain Karem"&gt;&lt;a href="canciones/ain_karem/el_amor.html"&gt;El amor&lt;/a&gt;&lt;/li&gt;</v>
      </c>
      <c r="K39" s="17" t="str">
        <v>&lt;li data-author="Brotes de Olivo"&gt;&lt;a href="canciones/brotes_de_olivo/el_agua_viva.html"&gt;El agua viva&lt;/a&gt;&lt;/li&gt;</v>
      </c>
      <c r="M39" s="17" t="str">
        <v>&lt;li data-author="Cesáreo Gabarain"&gt;&lt;a href="canciones/cesareo_gabarain/solo_tu.html"&gt;Solo Tú&lt;/a&gt;&lt;/li&gt;</v>
      </c>
      <c r="N39" s="17" t="str">
        <v>&lt;li data-author="Francisco Palazón"&gt;&lt;a href="canciones/francisco_palazon/unidos_por_la_fe_y_el_amor.html"&gt;Unidos por la fe y el amor&lt;/a&gt;&lt;/li&gt;</v>
      </c>
      <c r="O39" s="17" t="str">
        <v>&lt;li data-author="Hakuna"&gt;&lt;a href="canciones/hakuna/tu_rostro.html"&gt;Tu rostro&lt;/a&gt;&lt;/li&gt;</v>
      </c>
      <c r="Q39" s="17" t="str">
        <v>&lt;li data-author="Ixcís"&gt;&lt;a href="canciones/ixcis/sin_amarras.html"&gt;Sin amarras&lt;/a&gt;&lt;/li&gt;</v>
      </c>
      <c r="R39" s="17" t="str">
        <v>&lt;li data-author="Kairoi"&gt;&lt;a href="canciones/kairoi/nacidos_de_la_cruz.html"&gt;Nacidos de la cruz&lt;/a&gt;&lt;/li&gt;</v>
      </c>
      <c r="S39" s="17" t="str">
        <v>&lt;li data-author="Carmelo Erdozáin" data-nold="81b"&gt;&lt;a href="canciones/carmelo_erdozain/tened_encendida_la_lampara.html"&gt;Tened encendida la lámpara&lt;/a&gt;&lt;/li&gt;</v>
      </c>
      <c r="U39" s="17" t="str">
        <v>&lt;li data-author="Benedetto Conte" data-nrcc="380"&gt;&lt;a href="canciones/nuevas/shalom_te_doy_la_paz.html"&gt;Shalom, te doy la paz&lt;/a&gt;&lt;/li&gt;</v>
      </c>
      <c r="W39" s="17" t="str">
        <v>&lt;li data-author="Ruah"&gt;&lt;a href="canciones/ruah/mañana.html"&gt;Mañana&lt;/a&gt;&lt;/li&gt;</v>
      </c>
      <c r="X39" s="17" t="str">
        <v>&lt;li data-author="Taizé en español" data-momento="TaizéESP" data-nnew="Q03"&gt;&lt;a href="canciones/taize/ad_te_jesu_christe.html"&gt;Levanto mi alma&lt;/a&gt;&lt;/li&gt;</v>
      </c>
      <c r="Y39" s="17" t="str">
        <v>&lt;li data-author="Taizé original" data-momento="TaizéORIG" data-nnew="Q23"&gt;&lt;a href="canciones/taize/christe_salvator.html"&gt;Christe Salvator&lt;/a&gt;&lt;/li&gt;</v>
      </c>
    </row>
    <row r="40" spans="1:25" x14ac:dyDescent="0.3">
      <c r="I40" s="17" t="str">
        <v>&lt;li data-author="Ain Karem"&gt;&lt;a href="canciones/ain_karem/maria_de_nazaret.html"&gt;María de Nazaret&lt;/a&gt;&lt;/li&gt;</v>
      </c>
      <c r="K40" s="17" t="str">
        <v>&lt;li data-author="Brotes de Olivo"&gt;&lt;a href="canciones/brotes_de_olivo/el_pan_de_vida.html"&gt;El pan de vida&lt;/a&gt;&lt;/li&gt;</v>
      </c>
      <c r="M40" s="17" t="str">
        <v>&lt;li data-author="Cesáreo Gabarain"&gt;&lt;a href="canciones/cesareo_gabarain/tu_que_caminas_sobre_la_mar.html"&gt;Tú que caminas sobre la mar&lt;/a&gt;&lt;/li&gt;</v>
      </c>
      <c r="N40" s="17" t="str">
        <v>&lt;li data-author="Francisco Palazón"&gt;&lt;a href="canciones/francisco_palazon/ten_piedad.html"&gt;Ten piedad&lt;/a&gt;&lt;/li&gt;</v>
      </c>
      <c r="O40" s="17" t="str">
        <v>&lt;li data-author="Hakuna"&gt;&lt;a href="canciones/hakuna/tonto.html"&gt;Tonto&lt;/a&gt;&lt;/li&gt;</v>
      </c>
      <c r="Q40" s="17" t="str">
        <v>&lt;li data-author="Ixcís"&gt;&lt;a href="canciones/ixcis/no_temas.html"&gt;No temas&lt;/a&gt;&lt;/li&gt;</v>
      </c>
      <c r="R40" s="17" t="str">
        <v>&lt;li data-author="Kairoi"&gt;&lt;a href="canciones/kairoi/ven_señor_jesus.html"&gt;Ven, Señor Jesús&lt;/a&gt;&lt;/li&gt;</v>
      </c>
      <c r="S40" s="17" t="str">
        <v>&lt;li data-author="Carmelo Erdozáin" data-nold="167"&gt;&lt;a href="canciones/carmelo_erdozain/mas_alla_las_redes_mas_alla.html"&gt;Más allá, las redes más allá&lt;/a&gt;&lt;/li&gt;</v>
      </c>
      <c r="U40" s="17" t="str">
        <v>&lt;li data-author="Chema" data-nrcc="244"&gt;&lt;a href="canciones/nuevas/salvame.html"&gt;Sálvame&lt;/a&gt;&lt;/li&gt;</v>
      </c>
      <c r="W40" s="17" t="str">
        <v>&lt;li data-author="Ruah"&gt;&lt;a href="canciones/ruah/el_que_amas_esta_enfermo.html"&gt;El que amas está enfermo&lt;/a&gt;&lt;/li&gt;</v>
      </c>
      <c r="X40" s="17" t="str">
        <v>&lt;li data-author="Taizé en español" data-momento="TaizéESP" data-nnew="Q44"&gt;&lt;a href="canciones/taize/il_signore_ti_ristora.html"&gt;El Señor es quien restaura&lt;/a&gt;&lt;/li&gt;</v>
      </c>
      <c r="Y40" s="17" t="str">
        <v>&lt;li data-author="Taizé original" data-momento="TaizéORIG" data-nnew="Q13"&gt;&lt;a href="canciones/taize/benedictus_qui_venit_(canon).html"&gt;Benedictus qui venit (canon)&lt;/a&gt;&lt;/li&gt;</v>
      </c>
    </row>
    <row r="41" spans="1:25" x14ac:dyDescent="0.3">
      <c r="I41" s="17" t="str">
        <v>&lt;li data-author="Ain Karem"&gt;&lt;a href="canciones/ain_karem/miradle.html"&gt;Miradle&lt;/a&gt;&lt;/li&gt;</v>
      </c>
      <c r="K41" s="17" t="str">
        <v>&lt;li data-author="Brotes de Olivo"&gt;&lt;a href="canciones/brotes_de_olivo/quien_tirara_la_primera_piedra.html"&gt;Quién tirará la primera piedra&lt;/a&gt;&lt;/li&gt;</v>
      </c>
      <c r="M41" s="17" t="str">
        <v>&lt;li data-author="Cesáreo Gabarain"&gt;&lt;a href="canciones/cesareo_gabarain/levantate_y_anda.html"&gt;Levántate y anda&lt;/a&gt;&lt;/li&gt;</v>
      </c>
      <c r="N41" s="17" t="str">
        <v>&lt;li data-author="Francisco Palazón"&gt;&lt;a href="canciones/francisco_palazon/gloria_(misa_coral_en_re).html"&gt;Gloria (misa coral en Re)&lt;/a&gt;&lt;/li&gt;</v>
      </c>
      <c r="O41" s="17" t="str">
        <v>&lt;li data-author="Hakuna"&gt;&lt;a href="canciones/hakuna/mi_pobre_loco.html"&gt;Mi pobre loco&lt;/a&gt;&lt;/li&gt;</v>
      </c>
      <c r="Q41" s="17" t="str">
        <v>&lt;li data-author="Ixcís"&gt;&lt;a href="canciones/ixcis/desde_el_silencio.html"&gt;Desde el silencio&lt;/a&gt;&lt;/li&gt;</v>
      </c>
      <c r="R41" s="17" t="str">
        <v>&lt;li data-author="Kairoi"&gt;&lt;a href="canciones/kairoi/canta_jerusalen.html"&gt;Canta Jerusalén&lt;/a&gt;&lt;/li&gt;</v>
      </c>
      <c r="S41" s="17" t="str">
        <v>&lt;li data-author="Carmelo Erdozáin" data-momento="Comunión" data-nnew="K15" data-nold="52"&gt;&lt;a href="canciones/carmelo_erdozain/cerca_esta_el_señor.html"&gt;Cerca está el Señor&lt;/a&gt;&lt;/li&gt;</v>
      </c>
      <c r="U41" s="17" t="str">
        <v>&lt;li data-author="Debbye Graafsma" data-nrcc="205"&gt;&lt;a href="canciones/nuevas/al_que_esta_sentado_en_el_trono_y_al_cordero.html"&gt;Al que está sentado en el trono y al cordero&lt;/a&gt;&lt;/li&gt;</v>
      </c>
      <c r="W41" s="17" t="str">
        <v>&lt;li data-author="Ruah"&gt;&lt;a href="canciones/ruah/confia_en_mi.html"&gt;Confía en mí&lt;/a&gt;&lt;/li&gt;</v>
      </c>
      <c r="X41" s="17" t="str">
        <v>&lt;li data-author="Taizé en español" data-momento="TaizéESP" data-nnew="Q07"&gt;&lt;a href="canciones/taize/alleluia_22.html"&gt;Aleluya 22&lt;/a&gt;&lt;/li&gt;</v>
      </c>
      <c r="Y41" s="17" t="str">
        <v>&lt;li data-author="Taizé original" data-momento="TaizéORIG" data-nnew="Q64"&gt;&lt;a href="canciones/taize/nunc_dimittis.html"&gt;Nunc dimittis&lt;/a&gt;&lt;/li&gt;</v>
      </c>
    </row>
    <row r="42" spans="1:25" x14ac:dyDescent="0.3">
      <c r="I42" s="17" t="str">
        <v>&lt;li data-author="Ain Karem"&gt;&lt;a href="canciones/ain_karem/venid_conmigo.html"&gt;Venid conmigo&lt;/a&gt;&lt;/li&gt;</v>
      </c>
      <c r="K42" s="17" t="str">
        <v>&lt;li data-author="Brotes de Olivo"&gt;&lt;a href="canciones/brotes_de_olivo/el_buen_pastor.html"&gt;El buen pastor&lt;/a&gt;&lt;/li&gt;</v>
      </c>
      <c r="M42" s="17" t="str">
        <v>&lt;li data-author="Cesáreo Gabarain"&gt;&lt;a href="canciones/cesareo_gabarain/bendito_eres_señor.html"&gt;Bendito eres, Señor&lt;/a&gt;&lt;/li&gt;</v>
      </c>
      <c r="N42" s="17" t="str">
        <v>&lt;li data-author="Francisco Palazón"&gt;&lt;a href="canciones/francisco_palazon/aleluya_(misa_coral_en_re).html"&gt;Aleluya (misa coral en Re)&lt;/a&gt;&lt;/li&gt;</v>
      </c>
      <c r="O42" s="17" t="str">
        <v>&lt;li data-author="Hakuna"&gt;&lt;a href="canciones/hakuna/revolucion.html"&gt;Revolución&lt;/a&gt;&lt;/li&gt;</v>
      </c>
      <c r="Q42" s="17" t="str">
        <v>&lt;li data-author="Ixcís"&gt;&lt;a href="canciones/ixcis/desierto.html"&gt;Desierto&lt;/a&gt;&lt;/li&gt;</v>
      </c>
      <c r="R42" s="17" t="str">
        <v>&lt;li data-author="Kairoi"&gt;&lt;a href="canciones/kairoi/diremos_que_si.html"&gt;Diremos que sí&lt;/a&gt;&lt;/li&gt;</v>
      </c>
      <c r="S42" s="17" t="str">
        <v>&lt;li data-author="Carmelo Erdozáin" data-nold="261"&gt;&lt;a href="canciones/carmelo_erdozain/arriesgate.html"&gt;Arriésgate&lt;/a&gt;&lt;/li&gt;</v>
      </c>
      <c r="U42" s="17" t="str">
        <v>&lt;li data-author="Donald Fishel" data-nrcc="297"&gt;&lt;a href="canciones/nuevas/aleluya_demos_gracias.html"&gt;Aleluya, demos gracias&lt;/a&gt;&lt;/li&gt;</v>
      </c>
      <c r="W42" s="17" t="str">
        <v>&lt;li data-author="Ruah"&gt;&lt;a href="canciones/ruah/incansable.html"&gt;Incansable&lt;/a&gt;&lt;/li&gt;</v>
      </c>
      <c r="X42" s="17" t="str">
        <v>&lt;li data-author="Taizé en español" data-momento="TaizéESP" data-nnew="Q43"&gt;&lt;a href="canciones/taize/iedere_nacht_verlang_ik.html"&gt;Mi corazón te anhela&lt;/a&gt;&lt;/li&gt;</v>
      </c>
      <c r="Y42" s="17" t="str">
        <v>&lt;li data-author="Taizé original" data-momento="TaizéORIG" data-nnew="Q03"&gt;&lt;a href="canciones/taize/ad_te_jesu_christe.html"&gt;Ad te Jesu Christe&lt;/a&gt;&lt;/li&gt;</v>
      </c>
    </row>
    <row r="43" spans="1:25" x14ac:dyDescent="0.3">
      <c r="I43" s="17" t="str">
        <v>&lt;li data-author="Ain Karem"&gt;&lt;a href="canciones/ain_karem/dios_fiel.html"&gt;Dios fiel&lt;/a&gt;&lt;/li&gt;</v>
      </c>
      <c r="K43" s="17" t="str">
        <v>&lt;li data-author="Brotes de Olivo"&gt;&lt;a href="canciones/brotes_de_olivo/vivir_en_el_señor.html"&gt;Vivir en el Señor&lt;/a&gt;&lt;/li&gt;</v>
      </c>
      <c r="M43" s="17" t="str">
        <v>&lt;li data-author="Cesáreo Gabarain"&gt;&lt;a href="canciones/cesareo_gabarain/camino_de_emaus.html"&gt;Camino de Emaús&lt;/a&gt;&lt;/li&gt;</v>
      </c>
      <c r="N43" s="17" t="str">
        <v>&lt;li data-author="Francisco Palazón"&gt;&lt;a href="canciones/francisco_palazon/santo_(misa_coral_en_re).html"&gt;Santo (misa coral en Re)&lt;/a&gt;&lt;/li&gt;</v>
      </c>
      <c r="O43" s="17" t="str">
        <v>&lt;li data-author="Hakuna"&gt;&lt;a href="canciones/hakuna/imprescindible.html"&gt;Imprescindible&lt;/a&gt;&lt;/li&gt;</v>
      </c>
      <c r="Q43" s="17" t="str">
        <v>&lt;li data-author="Ixcís"&gt;&lt;a href="canciones/ixcis/en_comun.html"&gt;En común&lt;/a&gt;&lt;/li&gt;</v>
      </c>
      <c r="R43" s="17" t="str">
        <v>&lt;li data-author="Kairoi"&gt;&lt;a href="canciones/kairoi/gracias_por_tu_don.html"&gt;Gracias por tu don&lt;/a&gt;&lt;/li&gt;</v>
      </c>
      <c r="S43" s="17" t="str">
        <v>&lt;li data-author="Carmelo Erdozáin" data-momento="Aleluya" data-nnew="E08" data-nold="13"&gt;&lt;a href="canciones/carmelo_erdozain/aleluya_es_la_fiesta_del_señor.html"&gt;Aleluya, es la fiesta del Señor&lt;/a&gt;&lt;/li&gt;</v>
      </c>
      <c r="U43" s="17" t="str">
        <v>&lt;li data-author="Esther Watanabe" data-nrcc="3"&gt;&lt;a href="canciones/nuevas/con_mis_manos_alzadas.html"&gt;Con mis manos alzadas&lt;/a&gt;&lt;/li&gt;</v>
      </c>
      <c r="W43" s="17" t="str">
        <v>&lt;li data-author="Ruah"&gt;&lt;a href="canciones/ruah/rutinas.html"&gt;Rutinas&lt;/a&gt;&lt;/li&gt;</v>
      </c>
      <c r="X43" s="17" t="str">
        <v>&lt;li data-author="Taizé en español" data-momento="TaizéESP" data-nnew="Q01"&gt;&lt;a href="canciones/taize/aber_du_weisst_den_weg_für_mich.html"&gt;Mas tú sabes que senda es para mí&lt;/a&gt;&lt;/li&gt;</v>
      </c>
      <c r="Y43" s="17" t="str">
        <v>&lt;li data-author="Taizé original" data-momento="TaizéORIG" data-nnew="Q44"&gt;&lt;a href="canciones/taize/il_signore_ti_ristora.html"&gt;Il Signore ti ristora&lt;/a&gt;&lt;/li&gt;</v>
      </c>
    </row>
    <row r="44" spans="1:25" x14ac:dyDescent="0.3">
      <c r="I44" s="17" t="str">
        <v>&lt;li data-author="Ain Karem"&gt;&lt;a href="canciones/ain_karem/hambre_y_sed_de_ti.html"&gt;Hambre y sed de Ti&lt;/a&gt;&lt;/li&gt;</v>
      </c>
      <c r="K44" s="17" t="str">
        <v>&lt;li data-author="Brotes de Olivo"&gt;&lt;a href="canciones/brotes_de_olivo/amaos_unos_a_otros.html"&gt;Amaos unos a otros&lt;/a&gt;&lt;/li&gt;</v>
      </c>
      <c r="M44" s="17" t="str">
        <v>&lt;li data-author="Cesáreo Gabarain"&gt;&lt;a href="canciones/cesareo_gabarain/cantando_venimos.html"&gt;Cantando venimos&lt;/a&gt;&lt;/li&gt;</v>
      </c>
      <c r="N44" s="17" t="str">
        <v>&lt;li data-author="Francisco Palazón"&gt;&lt;a href="canciones/francisco_palazon/padre_nuestro_(misa_coral_en_re).html"&gt;Padre nuestro (misa coral en Re)&lt;/a&gt;&lt;/li&gt;</v>
      </c>
      <c r="O44" s="17" t="str">
        <v>&lt;li data-author="Hakuna"&gt;&lt;a href="canciones/hakuna/pasion_i_no_se_que_viste_en_mi.html"&gt;Pasión I No sé qué viste en mí&lt;/a&gt;&lt;/li&gt;</v>
      </c>
      <c r="Q44" s="17" t="str">
        <v>&lt;li data-author="Ixcís"&gt;&lt;a href="canciones/ixcis/el_tesoro.html"&gt;El tesoro&lt;/a&gt;&lt;/li&gt;</v>
      </c>
      <c r="R44" s="17" t="str">
        <v>&lt;li data-author="Kairoi"&gt;&lt;a href="canciones/kairoi/corto_la_roca.html"&gt;Cortó la roca&lt;/a&gt;&lt;/li&gt;</v>
      </c>
      <c r="S44" s="17" t="str">
        <v>&lt;li data-author="Carmelo Erdozáin" data-nold="301"&gt;&lt;a href="canciones/carmelo_erdozain/creo_en_jesus.html"&gt;Creo en Jesús&lt;/a&gt;&lt;/li&gt;</v>
      </c>
      <c r="U44" s="17" t="str">
        <v>&lt;li data-author="Gen Rosso" data-nrcc="113"&gt;&lt;a href="canciones/nuevas/santo_(gen_rosso).html"&gt;Santo (Gen Rosso)&lt;/a&gt;&lt;/li&gt;</v>
      </c>
      <c r="W44" s="17" t="str">
        <v>&lt;li data-author="Ruah"&gt;&lt;a href="canciones/ruah/montaña.html"&gt;Montaña&lt;/a&gt;&lt;/li&gt;</v>
      </c>
      <c r="X44" s="17" t="str">
        <v>&lt;li data-author="Taizé en español" data-momento="TaizéESP" data-nnew="Q36"&gt;&lt;a href="canciones/taize/eat_this_bread.html"&gt;Come este pan&lt;/a&gt;&lt;/li&gt;</v>
      </c>
      <c r="Y44" s="17" t="str">
        <v>&lt;li data-author="Taizé original" data-momento="TaizéORIG" data-nnew="Q07"&gt;&lt;a href="canciones/taize/alleluia_22.html"&gt;Alleluia 22&lt;/a&gt;&lt;/li&gt;</v>
      </c>
    </row>
    <row r="45" spans="1:25" x14ac:dyDescent="0.3">
      <c r="I45" s="17" t="str">
        <v>&lt;li data-author="Ain Karem"&gt;&lt;a href="canciones/ain_karem/confianza.html"&gt;Confianza&lt;/a&gt;&lt;/li&gt;</v>
      </c>
      <c r="K45" s="17" t="str">
        <v>&lt;li data-author="Brotes de Olivo"&gt;&lt;a href="canciones/brotes_de_olivo/yo_soy_el_que_sirve.html"&gt;Yo soy el que sirve&lt;/a&gt;&lt;/li&gt;</v>
      </c>
      <c r="M45" s="17" t="str">
        <v>&lt;li data-author="Cesáreo Gabarain"&gt;&lt;a href="canciones/cesareo_gabarain/gloria_a_dios.html"&gt;Gloria a Dios&lt;/a&gt;&lt;/li&gt;</v>
      </c>
      <c r="N45" s="17" t="str">
        <v>&lt;li data-author="Francisco Palazón"&gt;&lt;a href="canciones/francisco_palazon/cordero_de_dios_(misa_coral_en_re).html"&gt;Cordero de Dios (misa coral en Re)&lt;/a&gt;&lt;/li&gt;</v>
      </c>
      <c r="O45" s="17" t="str">
        <v>&lt;li data-author="Hakuna"&gt;&lt;a href="canciones/hakuna/pasion_ii_mi_peso_en_tus_hombros.html"&gt;Pasión II Mi peso en tus hombros&lt;/a&gt;&lt;/li&gt;</v>
      </c>
      <c r="Q45" s="17" t="str">
        <v>&lt;li data-author="Ixcís"&gt;&lt;a href="canciones/ixcis/alegrate.html"&gt;Alégrate&lt;/a&gt;&lt;/li&gt;</v>
      </c>
      <c r="R45" s="17" t="str">
        <v>&lt;li data-author="Kairoi"&gt;&lt;a href="canciones/kairoi/ave_maria_i.html"&gt;Ave María I&lt;/a&gt;&lt;/li&gt;</v>
      </c>
      <c r="S45" s="17" t="str">
        <v>&lt;li data-author="Carmelo Erdozáin" data-nold="55"&gt;&lt;a href="canciones/carmelo_erdozain/cristo_fue_sincero.html"&gt;Cristo fue sincero&lt;/a&gt;&lt;/li&gt;</v>
      </c>
      <c r="U45" s="17" t="str">
        <v>&lt;li data-author="Getsemaní" data-nrcc="157"&gt;&lt;a href="canciones/nuevas/tierra_firme_(getsemani).html"&gt;Tierra firme (Getsemaní)&lt;/a&gt;&lt;/li&gt;</v>
      </c>
      <c r="W45" s="17" t="str">
        <v>&lt;li data-author="Ruah"&gt;&lt;a href="canciones/ruah/dragones.html"&gt;Dragones&lt;/a&gt;&lt;/li&gt;</v>
      </c>
      <c r="X45" s="17" t="str">
        <v>&lt;li data-author="Taizé en español" data-momento="TaizéESP" data-nnew="Q39"&gt;&lt;a href="canciones/taize/esprit_consolateur.html"&gt;Oh, Dios consolador&lt;/a&gt;&lt;/li&gt;</v>
      </c>
      <c r="Y45" s="17" t="str">
        <v>&lt;li data-author="Taizé original" data-momento="TaizéORIG" data-nnew="Q43"&gt;&lt;a href="canciones/taize/iedere_nacht_verlang_ik.html"&gt;Iedere nacht verlang ik&lt;/a&gt;&lt;/li&gt;</v>
      </c>
    </row>
    <row r="46" spans="1:25" x14ac:dyDescent="0.3">
      <c r="I46" s="17" t="str">
        <v>&lt;li data-author="Ain Karem"&gt;&lt;a href="canciones/ain_karem/pan_compartido.html"&gt;Pan compartido&lt;/a&gt;&lt;/li&gt;</v>
      </c>
      <c r="K46" s="17" t="str">
        <v>&lt;li data-author="Brotes de Olivo"&gt;&lt;a href="canciones/brotes_de_olivo/la_vid_y_los_sarmientos.html"&gt;La vid y los sarmientos&lt;/a&gt;&lt;/li&gt;</v>
      </c>
      <c r="M46" s="17" t="str">
        <v>&lt;li data-author="Cesáreo Gabarain"&gt;&lt;a href="canciones/cesareo_gabarain/yo_quisiera_escuchar.html"&gt;Yo quisiera escuchar&lt;/a&gt;&lt;/li&gt;</v>
      </c>
      <c r="N46" s="17" t="str">
        <v>&lt;li data-author="Francisco Palazón"&gt;&lt;a href="canciones/francisco_palazon/dales_señor_el_descanso_eterno.html"&gt;Dales, Señor, el descanso eterno&lt;/a&gt;&lt;/li&gt;</v>
      </c>
      <c r="O46" s="17" t="str">
        <v>&lt;li data-author="Hakuna"&gt;&lt;a href="canciones/hakuna/pasion_iii_paraisos_sin_tu_rostro.html"&gt;Pasión III Paraísos sin tu rostro&lt;/a&gt;&lt;/li&gt;</v>
      </c>
      <c r="Q46" s="17" t="str">
        <v>&lt;li data-author="Ixcís"&gt;&lt;a href="canciones/ixcis/tu_ternura.html"&gt;Tu ternura&lt;/a&gt;&lt;/li&gt;</v>
      </c>
      <c r="R46" s="17" t="str">
        <v>&lt;li data-author="Kairoi"&gt;&lt;a href="canciones/kairoi/tu_estas_cerca.html"&gt;Tú estás cerca&lt;/a&gt;&lt;/li&gt;</v>
      </c>
      <c r="S46" s="17" t="str">
        <v>&lt;li data-author="Carmelo Erdozáin" data-momento="Comunión" data-nnew="K19" data-nold="63"&gt;&lt;a href="canciones/carmelo_erdozain/cristo_nos_da_la_libertad.html"&gt;Cristo nos da la libertad&lt;/a&gt;&lt;/li&gt;</v>
      </c>
      <c r="U46" s="17" t="str">
        <v>&lt;li data-author="Graham Kendrick" data-nrcc="12"&gt;&lt;a href="canciones/nuevas/brilla_jesus.html"&gt;Brilla, Jesús&lt;/a&gt;&lt;/li&gt;</v>
      </c>
      <c r="W46" s="17" t="str">
        <v>&lt;li data-author="Ruah"&gt;&lt;a href="canciones/ruah/la_barca_y_el_mar.html"&gt;La barca y el mar&lt;/a&gt;&lt;/li&gt;</v>
      </c>
      <c r="X46" s="17" t="str">
        <v>&lt;li data-author="Taizé en español" data-momento="TaizéESP" data-nnew="Q60"&gt;&lt;a href="canciones/taize/let_all_who_are_thirsty_come.html"&gt;Que venga a ti&lt;/a&gt;&lt;/li&gt;</v>
      </c>
      <c r="Y46" s="17" t="str">
        <v>&lt;li data-author="Taizé original" data-momento="TaizéORIG" data-nnew="Q01"&gt;&lt;a href="canciones/taize/aber_du_weisst_den_weg_für_mich.html"&gt;Aber du weisst den Weg für mich&lt;/a&gt;&lt;/li&gt;</v>
      </c>
    </row>
    <row r="47" spans="1:25" x14ac:dyDescent="0.3">
      <c r="I47" s="17" t="str">
        <v>&lt;li data-author="Ain Karem"&gt;&lt;a href="canciones/ain_karem/gloria_trinitario.html"&gt;Gloria Trinitario&lt;/a&gt;&lt;/li&gt;</v>
      </c>
      <c r="K47" s="17" t="str">
        <v>&lt;li data-author="Brotes de Olivo"&gt;&lt;a href="canciones/brotes_de_olivo/siempre_estare_con_vosotros.html"&gt;Siempre estaré con vosotros&lt;/a&gt;&lt;/li&gt;</v>
      </c>
      <c r="M47" s="17" t="str">
        <v>&lt;li data-author="Cesáreo Gabarain"&gt;&lt;a href="canciones/cesareo_gabarain/gracias_por_tu_palabra.html"&gt;Gracias por tu palabra&lt;/a&gt;&lt;/li&gt;</v>
      </c>
      <c r="N47" s="17" t="str">
        <v>&lt;li data-author="Francisco Palazón"&gt;&lt;a href="canciones/francisco_palazon/dale_señor.html"&gt;Dale, Señor&lt;/a&gt;&lt;/li&gt;</v>
      </c>
      <c r="O47" s="17" t="str">
        <v>&lt;li data-author="Hakuna"&gt;&lt;a href="canciones/hakuna/pasion_iv_un_dios_debil.html"&gt;Pasión IV Un dios débil&lt;/a&gt;&lt;/li&gt;</v>
      </c>
      <c r="Q47" s="17" t="str">
        <v>&lt;li data-author="Ixcís"&gt;&lt;a href="canciones/ixcis/creadores.html"&gt;Creadores&lt;/a&gt;&lt;/li&gt;</v>
      </c>
      <c r="R47" s="17" t="str">
        <v>&lt;li data-author="Kairoi"&gt;&lt;a href="canciones/kairoi/madre_de_los_hijos_pobres.html"&gt;Madre de los hijos pobres&lt;/a&gt;&lt;/li&gt;</v>
      </c>
      <c r="S47" s="17" t="str">
        <v>&lt;li data-author="Carmelo Erdozáin" data-nold="179"&gt;&lt;a href="canciones/carmelo_erdozain/nochebuena_nochebuena.html"&gt;Nochebuena, nochebuena&lt;/a&gt;&lt;/li&gt;</v>
      </c>
      <c r="U47" s="17" t="str">
        <v>&lt;li data-author="Graham Kendrick" data-nrcc="248"&gt;&lt;a href="canciones/nuevas/seduce_mi_corazon.html"&gt;Seduce mi corazón&lt;/a&gt;&lt;/li&gt;</v>
      </c>
      <c r="W47" s="17" t="str">
        <v>&lt;li data-author="Ruah"&gt;&lt;a href="canciones/ruah/nunca_solas.html"&gt;Nunca solas&lt;/a&gt;&lt;/li&gt;</v>
      </c>
      <c r="X47" s="17" t="str">
        <v>&lt;li data-author="Taizé en español" data-momento="TaizéESP" data-nnew="Q06"&gt;&lt;a href="canciones/taize/alleluia_17.html"&gt;Aleluya 17&lt;/a&gt;&lt;/li&gt;</v>
      </c>
      <c r="Y47" s="17" t="str">
        <v>&lt;li data-author="Taizé original" data-momento="TaizéORIG" data-nnew="Q36"&gt;&lt;a href="canciones/taize/eat_this_bread.html"&gt;Eat this bread&lt;/a&gt;&lt;/li&gt;</v>
      </c>
    </row>
    <row r="48" spans="1:25" x14ac:dyDescent="0.3">
      <c r="I48" s="17" t="str">
        <v>&lt;li data-author="Ain Karem"&gt;&lt;a href="canciones/ain_karem/a_ti.html"&gt;A Ti&lt;/a&gt;&lt;/li&gt;</v>
      </c>
      <c r="K48" s="17" t="str">
        <v>&lt;li data-author="Brotes de Olivo"&gt;&lt;a href="canciones/brotes_de_olivo/el_juicio_de_cristo.html"&gt;El juicio de Cristo&lt;/a&gt;&lt;/li&gt;</v>
      </c>
      <c r="M48" s="17" t="str">
        <v>&lt;li data-author="Cesáreo Gabarain"&gt;&lt;a href="canciones/cesareo_gabarain/padre_nuestro_(cantando_venimos).html"&gt;Padre nuestro (Cantando venimos)&lt;/a&gt;&lt;/li&gt;</v>
      </c>
      <c r="N48" s="17" t="str">
        <v>&lt;li data-author="Francisco Palazón"&gt;&lt;a href="canciones/francisco_palazon/dichosos_los_que_mueren_en_el_señor.html"&gt;Dichosos los que mueren en el Señor&lt;/a&gt;&lt;/li&gt;</v>
      </c>
      <c r="O48" s="17" t="str">
        <v>&lt;li data-author="Hakuna"&gt;&lt;a href="canciones/hakuna/pasion_v_cirineo.html"&gt;Pasión V Cirineo&lt;/a&gt;&lt;/li&gt;</v>
      </c>
      <c r="Q48" s="17" t="str">
        <v>&lt;li data-author="Ixcís"&gt;&lt;a href="canciones/ixcis/desde_mi_balcon.html"&gt;Desde mi balcón&lt;/a&gt;&lt;/li&gt;</v>
      </c>
      <c r="R48" s="17" t="str">
        <v>&lt;li data-author="Kairoi"&gt;&lt;a href="canciones/kairoi/magnificat.html"&gt;Magnificat&lt;/a&gt;&lt;/li&gt;</v>
      </c>
      <c r="S48" s="17" t="str">
        <v>&lt;li data-author="Carmelo Erdozáin" data-momento="Comunión" data-nnew="K38" data-nold="138"&gt;&lt;a href="canciones/carmelo_erdozain/hoy_vuelvo_de_lejos.html"&gt;Hoy vuelvo de lejos&lt;/a&gt;&lt;/li&gt;</v>
      </c>
      <c r="U48" s="17" t="str">
        <v>&lt;li data-author="Juan Carlos Ayala" data-nrcc="4"&gt;&lt;a href="canciones/nuevas/se_fue_pero_a_nuestro_lado_esta.html"&gt;Se fue pero a nuestro lado está&lt;/a&gt;&lt;/li&gt;</v>
      </c>
      <c r="W48" s="17" t="str">
        <v>&lt;li data-author="Ruah"&gt;&lt;a href="canciones/ruah/parece_la_vida.html"&gt;Parece la vida&lt;/a&gt;&lt;/li&gt;</v>
      </c>
      <c r="X48" s="17" t="str">
        <v>&lt;li data-author="Taizé en español" data-momento="TaizéESP" data-nnew="Q48"&gt;&lt;a href="canciones/taize/jesus_ma_joie.html"&gt;Jesús, mi vida&lt;/a&gt;&lt;/li&gt;</v>
      </c>
      <c r="Y48" s="17" t="str">
        <v>&lt;li data-author="Taizé original" data-momento="TaizéORIG" data-nnew="Q36"&gt;&lt;a href="canciones/taize/jesus_christ_bread_of_life.html"&gt;Jesus Christ, bread of life&lt;/a&gt;&lt;/li&gt;</v>
      </c>
    </row>
    <row r="49" spans="9:25" x14ac:dyDescent="0.3">
      <c r="I49" s="17" t="str">
        <v>&lt;li data-author="Ain Karem"&gt;&lt;a href="canciones/ain_karem/tu_lo_sabes.html"&gt;Tú lo sabes&lt;/a&gt;&lt;/li&gt;</v>
      </c>
      <c r="K49" s="17" t="str">
        <v>&lt;li data-author="Brotes de Olivo"&gt;&lt;a href="canciones/brotes_de_olivo/aleluya_el_señor_resucito.html"&gt;Aleluya, el Señor resucitó&lt;/a&gt;&lt;/li&gt;</v>
      </c>
      <c r="M49" s="17" t="str">
        <v>&lt;li data-author="Cesáreo Gabarain"&gt;&lt;a href="canciones/cesareo_gabarain/como_cantan_los_pajaros.html"&gt;Como cantan los pájaros&lt;/a&gt;&lt;/li&gt;</v>
      </c>
      <c r="N49" s="17" t="str">
        <v>&lt;li data-author="Francisco Palazón"&gt;&lt;a href="canciones/francisco_palazon/kyrie_eleison.html"&gt;Kyrie eleison&lt;/a&gt;&lt;/li&gt;</v>
      </c>
      <c r="O49" s="17" t="str">
        <v>&lt;li data-author="Hakuna"&gt;&lt;a href="canciones/hakuna/pasion_vi_veronica.html"&gt;Pasión VI Verónica&lt;/a&gt;&lt;/li&gt;</v>
      </c>
      <c r="Q49" s="17" t="str">
        <v>&lt;li data-author="Ixcís"&gt;&lt;a href="canciones/ixcis/nadie_me_podra_robar.html"&gt;Nadie me podrá robar&lt;/a&gt;&lt;/li&gt;</v>
      </c>
      <c r="R49" s="17" t="str">
        <v>&lt;li data-author="Kairoi"&gt;&lt;a href="canciones/kairoi/angelus.html"&gt;Angelus&lt;/a&gt;&lt;/li&gt;</v>
      </c>
      <c r="S49" s="17" t="str">
        <v>&lt;li data-author="Carmelo Erdozáin" data-momento="Antífonas" data-nnew="D10" data-nold="51"&gt;&lt;a href="canciones/carmelo_erdozain/compartir_junto_al_señor.html"&gt;Compartir junto al Señor&lt;/a&gt;&lt;/li&gt;</v>
      </c>
      <c r="U49" s="17" t="str">
        <v>&lt;li data-author="Kent Leroy" data-nrcc="10"&gt;&lt;a href="canciones/nuevas/mejor_que_vida_es_tu_misericordia.html"&gt;Mejor que vida es tu misericordia&lt;/a&gt;&lt;/li&gt;</v>
      </c>
      <c r="W49" s="17" t="str">
        <v>&lt;li data-author="Ruah"&gt;&lt;a href="canciones/ruah/tenemos_un_dios.html"&gt;Tenemos un dios&lt;/a&gt;&lt;/li&gt;</v>
      </c>
      <c r="X49" s="17" t="str">
        <v>&lt;li data-author="Taizé en español" data-momento="TaizéESP" data-nnew="Q54"&gt;&lt;a href="canciones/taize/kyrie_6.html"&gt;Ten piedad, Señor 6&lt;/a&gt;&lt;/li&gt;</v>
      </c>
      <c r="Y49" s="17" t="str">
        <v>&lt;li data-author="Taizé original" data-momento="TaizéORIG" data-nnew="Q39"&gt;&lt;a href="canciones/taize/esprit_consolateur.html"&gt;Esprit consolateur&lt;/a&gt;&lt;/li&gt;</v>
      </c>
    </row>
    <row r="50" spans="9:25" x14ac:dyDescent="0.3">
      <c r="I50" s="17" t="str">
        <v>&lt;li data-author="Ain Karem"&gt;&lt;a href="canciones/ain_karem/cana.html"&gt;Caná&lt;/a&gt;&lt;/li&gt;</v>
      </c>
      <c r="K50" s="17" t="str">
        <v>&lt;li data-author="Brotes de Olivo"&gt;&lt;a href="canciones/brotes_de_olivo/jesus_quien_eres_tu.html"&gt;Jesús, quién eres tú&lt;/a&gt;&lt;/li&gt;</v>
      </c>
      <c r="M50" s="17" t="str">
        <v>&lt;li data-author="Cesáreo Gabarain"&gt;&lt;a href="canciones/cesareo_gabarain/somos_un_pueblo_nacido.html"&gt;Somos un pueblo nacido&lt;/a&gt;&lt;/li&gt;</v>
      </c>
      <c r="N50" s="17" t="str">
        <v>&lt;li data-author="Francisco Palazón"&gt;&lt;a href="canciones/francisco_palazon/te_ofrecemos_señor_sacrificios_y_oblaciones.html"&gt;Te ofrecemos, Señor, sacrificios y oblaciones&lt;/a&gt;&lt;/li&gt;</v>
      </c>
      <c r="O50" s="17" t="str">
        <v>&lt;li data-author="Hakuna"&gt;&lt;a href="canciones/hakuna/pasion_vii_y_te_caes.html"&gt;Pasión VII Y te caes&lt;/a&gt;&lt;/li&gt;</v>
      </c>
      <c r="Q50" s="17" t="str">
        <v>&lt;li data-author="Ixcís"&gt;&lt;a href="canciones/ixcis/llega_el_reino_de_dios.html"&gt;Llega el Reino de Dios&lt;/a&gt;&lt;/li&gt;</v>
      </c>
      <c r="R50" s="17" t="str">
        <v>&lt;li data-author="Kairoi"&gt;&lt;a href="canciones/kairoi/gracias_madre.html"&gt;Gracias, Madre&lt;/a&gt;&lt;/li&gt;</v>
      </c>
      <c r="S50" s="17" t="str">
        <v>&lt;li data-author="Carmelo Erdozáin" data-momento="Especiales" data-nnew="P02" data-nold="136"&gt;&lt;a href="canciones/carmelo_erdozain/hosanna_hosanna_hosanna.html"&gt;Hosanna, hosanna, hosanna&lt;/a&gt;&lt;/li&gt;</v>
      </c>
      <c r="U50" s="17" t="str">
        <v>&lt;li data-author="Maranatha" data-nrcc="9"&gt;&lt;a href="canciones/nuevas/alegrate.html"&gt;Alégrate&lt;/a&gt;&lt;/li&gt;</v>
      </c>
      <c r="W50" s="17" t="str">
        <v>&lt;li data-author="Ruah"&gt;&lt;a href="canciones/ruah/transformaras.html"&gt;Transformarás&lt;/a&gt;&lt;/li&gt;</v>
      </c>
      <c r="X50" s="17" t="str">
        <v>&lt;li data-author="Taizé en español" data-momento="TaizéESP" data-nnew="Q34"&gt;&lt;a href="canciones/taize/dona_la_pace.html"&gt;Danos la paz, oh, Señor&lt;/a&gt;&lt;/li&gt;</v>
      </c>
      <c r="Y50" s="17" t="str">
        <v>&lt;li data-author="Taizé original" data-momento="TaizéORIG" data-nnew="Q60"&gt;&lt;a href="canciones/taize/let_all_who_are_thirsty_come.html"&gt;Let all who are thirsty come&lt;/a&gt;&lt;/li&gt;</v>
      </c>
    </row>
    <row r="51" spans="9:25" x14ac:dyDescent="0.3">
      <c r="I51" s="17" t="str">
        <v>&lt;li data-author="Ain Karem"&gt;&lt;a href="canciones/ain_karem/animo_soy_yo.html"&gt;Ánimo, soy yo&lt;/a&gt;&lt;/li&gt;</v>
      </c>
      <c r="K51" s="17" t="str">
        <v>&lt;li data-author="Brotes de Olivo"&gt;&lt;a href="canciones/brotes_de_olivo/el_reino_esta_cerca.html"&gt;El Reino está cerca&lt;/a&gt;&lt;/li&gt;</v>
      </c>
      <c r="M51" s="17" t="str">
        <v>&lt;li data-author="Cesáreo Gabarain"&gt;&lt;a href="canciones/cesareo_gabarain/ven_señor_no_tardes_mas.html"&gt;Ven, Señor, no tardes más&lt;/a&gt;&lt;/li&gt;</v>
      </c>
      <c r="N51" s="17" t="str">
        <v>&lt;li data-author="Francisco Palazón"&gt;&lt;a href="canciones/francisco_palazon/santo_(requiem).html"&gt;Santo (Réquiem)&lt;/a&gt;&lt;/li&gt;</v>
      </c>
      <c r="O51" s="17" t="str">
        <v>&lt;li data-author="Hakuna"&gt;&lt;a href="canciones/hakuna/pasion_viii_jerusalen.html"&gt;Pasión VIII Jerusalén&lt;/a&gt;&lt;/li&gt;</v>
      </c>
      <c r="Q51" s="17" t="str">
        <v>&lt;li data-author="Ixcís"&gt;&lt;a href="canciones/ixcis/dame_de_beber.html"&gt;Dame de beber&lt;/a&gt;&lt;/li&gt;</v>
      </c>
      <c r="R51" s="17" t="str">
        <v>&lt;li data-author="Kairoi"&gt;&lt;a href="canciones/kairoi/arcilla_entre_sus_manos.html"&gt;Arcilla entre sus manos&lt;/a&gt;&lt;/li&gt;</v>
      </c>
      <c r="S51" s="17" t="str">
        <v>&lt;li data-author="Carmelo Erdozáin" data-momento="Antífonas" data-nnew="D11" data-nold="59"&gt;&lt;a href="canciones/carmelo_erdozain/cristo_por_nosotros.html"&gt;Cristo por nosotros&lt;/a&gt;&lt;/li&gt;</v>
      </c>
      <c r="U51" s="17" t="str">
        <v>&lt;li data-author="Marco Barrientos" data-nrcc="15"&gt;&lt;a href="canciones/nuevas/cristo_heme_aqui.html"&gt;Cristo, heme aquí&lt;/a&gt;&lt;/li&gt;</v>
      </c>
      <c r="W51" s="17" t="str">
        <v>&lt;li data-author="Ruah"&gt;&lt;a href="canciones/ruah/tu_casa.html"&gt;Tu casa&lt;/a&gt;&lt;/li&gt;</v>
      </c>
      <c r="X51" s="17" t="str">
        <v>&lt;li data-author="Taizé en español" data-momento="TaizéESP" data-nnew="Q14"&gt;&lt;a href="canciones/taize/bleibet_hier.html"&gt;Permaneced conmigo&lt;/a&gt;&lt;/li&gt;</v>
      </c>
      <c r="Y51" s="17" t="str">
        <v>&lt;li data-author="Taizé original" data-momento="TaizéORIG" data-nnew="Q06"&gt;&lt;a href="canciones/taize/alleluia_17.html"&gt;Alleluia 17&lt;/a&gt;&lt;/li&gt;</v>
      </c>
    </row>
    <row r="52" spans="9:25" x14ac:dyDescent="0.3">
      <c r="I52" s="17" t="str">
        <v>&lt;li data-author="Ain Karem"&gt;&lt;a href="canciones/ain_karem/santo.html"&gt;Santo&lt;/a&gt;&lt;/li&gt;</v>
      </c>
      <c r="K52" s="17" t="str">
        <v>&lt;li data-author="Brotes de Olivo"&gt;&lt;a href="canciones/brotes_de_olivo/nadie_es_profeta_en_su_tierra.html"&gt;Nadie es profeta en su tierra&lt;/a&gt;&lt;/li&gt;</v>
      </c>
      <c r="M52" s="17" t="str">
        <v>&lt;li data-author="Cesáreo Gabarain"&gt;&lt;a href="canciones/cesareo_gabarain/levantate_que_esta_llegando.html"&gt;Levántate, que está llegando&lt;/a&gt;&lt;/li&gt;</v>
      </c>
      <c r="N52" s="17" t="str">
        <v>&lt;li data-author="Francisco Palazón"&gt;&lt;a href="canciones/francisco_palazon/cordero_de_dios_(requiem).html"&gt;Cordero de Dios (Réquiem)&lt;/a&gt;&lt;/li&gt;</v>
      </c>
      <c r="O52" s="17" t="str">
        <v>&lt;li data-author="Hakuna"&gt;&lt;a href="canciones/hakuna/pasion_ix_por_que.html"&gt;Pasión IX Por qué&lt;/a&gt;&lt;/li&gt;</v>
      </c>
      <c r="Q52" s="17" t="str">
        <v>&lt;li data-author="Ixcís"&gt;&lt;a href="canciones/ixcis/monte_horeb.html"&gt;Monte Horeb&lt;/a&gt;&lt;/li&gt;</v>
      </c>
      <c r="R52" s="17" t="str">
        <v>&lt;li data-author="Kairoi"&gt;&lt;a href="canciones/kairoi/tu_eres_del_señor.html"&gt;Tú eres del Señor&lt;/a&gt;&lt;/li&gt;</v>
      </c>
      <c r="S52" s="17" t="str">
        <v>&lt;li data-author="Carmelo Erdozáin" data-nold="126"&gt;&lt;a href="canciones/carmelo_erdozain/gracias_señor_por_tu_palabra.html"&gt;Gracias, Señor, por tu Palabra&lt;/a&gt;&lt;/li&gt;</v>
      </c>
      <c r="U52" s="17" t="str">
        <v>&lt;li data-author="RCCE" data-nrcc="315"&gt;&lt;a href="canciones/nuevas/aleluya_yo_creo_en_tu_amor.html"&gt;Aleluya, yo creo en tu amor&lt;/a&gt;&lt;/li&gt;</v>
      </c>
      <c r="W52" s="17" t="str">
        <v>&lt;li data-author="Ruah"&gt;&lt;a href="canciones/ruah/a_todos_los_idiomas.html"&gt;A todos los idiomas&lt;/a&gt;&lt;/li&gt;</v>
      </c>
      <c r="X52" s="17" t="str">
        <v>&lt;li data-author="Taizé en español" data-momento="TaizéESP" data-nnew="Q72"&gt;&lt;a href="canciones/taize/surrexit_christus.html"&gt;Cristo está vivo&lt;/a&gt;&lt;/li&gt;</v>
      </c>
      <c r="Y52" s="17" t="str">
        <v>&lt;li data-author="Taizé original" data-momento="TaizéORIG" data-nnew="Q48"&gt;&lt;a href="canciones/taize/jesus_ma_joie.html"&gt;Jésus, ma joie&lt;/a&gt;&lt;/li&gt;</v>
      </c>
    </row>
    <row r="53" spans="9:25" x14ac:dyDescent="0.3">
      <c r="I53" s="17" t="str">
        <v>&lt;li data-author="Ain Karem"&gt;&lt;a href="canciones/ain_karem/la_mujer_del_perfume.html"&gt;La mujer del perfume&lt;/a&gt;&lt;/li&gt;</v>
      </c>
      <c r="K53" s="17" t="str">
        <v>&lt;li data-author="Brotes de Olivo"&gt;&lt;a href="canciones/brotes_de_olivo/los_mercaderes_del_templo.html"&gt;Los mercaderes del templo&lt;/a&gt;&lt;/li&gt;</v>
      </c>
      <c r="M53" s="17" t="str">
        <v>&lt;li data-author="Cesáreo Gabarain"&gt;&lt;a href="canciones/cesareo_gabarain/un_niño_nos_ha_nacido.html"&gt;Un niño nos ha nacido&lt;/a&gt;&lt;/li&gt;</v>
      </c>
      <c r="N53" s="17" t="str">
        <v>&lt;li data-author="Francisco Palazón"&gt;&lt;a href="canciones/francisco_palazon/este_es_el_pan_que_nos_da_jesus.html"&gt;Este es el Pan que nos da Jesús&lt;/a&gt;&lt;/li&gt;</v>
      </c>
      <c r="O53" s="17" t="str">
        <v>&lt;li data-author="Hakuna"&gt;&lt;a href="canciones/hakuna/pasion_x_despojado.html"&gt;Pasión X Despojado&lt;/a&gt;&lt;/li&gt;</v>
      </c>
      <c r="Q53" s="17" t="str">
        <v>&lt;li data-author="Ixcís"&gt;&lt;a href="canciones/ixcis/mi_dios_en_una_cruz.html"&gt;Mi Dios en una Cruz&lt;/a&gt;&lt;/li&gt;</v>
      </c>
      <c r="R53" s="17" t="str">
        <v>&lt;li data-author="Kairoi"&gt;&lt;a href="canciones/kairoi/tu_eres_maria.html"&gt;Tú eres María&lt;/a&gt;&lt;/li&gt;</v>
      </c>
      <c r="S53" s="17" t="str">
        <v>&lt;li data-author="Carmelo Erdozáin" data-nold="244"&gt;&lt;a href="canciones/carmelo_erdozain/se_acerca_el_reino_de_dios.html"&gt;Se acerca el reino de Dios&lt;/a&gt;&lt;/li&gt;</v>
      </c>
      <c r="U53" s="17" t="str">
        <v>&lt;li data-author="Reuben Morgan" data-nrcc="439"&gt;&lt;a href="canciones/nuevas/te_doy_mi_corazon.html"&gt;Te doy mi corazón&lt;/a&gt;&lt;/li&gt;</v>
      </c>
      <c r="W53" s="17" t="str">
        <v>&lt;li data-author="Ruah"&gt;&lt;a href="canciones/ruah/si_tu_quieres.html"&gt;Si tú quieres&lt;/a&gt;&lt;/li&gt;</v>
      </c>
      <c r="X53" s="17" t="str">
        <v>&lt;li data-author="Taizé en español" data-momento="TaizéESP" data-nold="187"&gt;&lt;a href="canciones/taize/o_christe_domine_jesu.html"&gt;Tú, Cristo, oh, Jesucristo&lt;/a&gt;&lt;/li&gt;</v>
      </c>
      <c r="Y53" s="17" t="str">
        <v>&lt;li data-author="Taizé original" data-momento="TaizéORIG" data-nnew="Q54"&gt;&lt;a href="canciones/taize/kyrie_6.html"&gt;Kyrie 6&lt;/a&gt;&lt;/li&gt;</v>
      </c>
    </row>
    <row r="54" spans="9:25" x14ac:dyDescent="0.3">
      <c r="I54" s="17" t="str">
        <v>&lt;li data-author="Ain Karem"&gt;&lt;a href="canciones/ain_karem/para_estar_contigo.html"&gt;Para estar contigo&lt;/a&gt;&lt;/li&gt;</v>
      </c>
      <c r="K54" s="17" t="str">
        <v>&lt;li data-author="Brotes de Olivo"&gt;&lt;a href="canciones/brotes_de_olivo/a_tu_altar_he_llegado.html"&gt;A tu altar he llegado&lt;/a&gt;&lt;/li&gt;</v>
      </c>
      <c r="M54" s="17" t="str">
        <v>&lt;li data-author="Cesáreo Gabarain"&gt;&lt;a href="canciones/cesareo_gabarain/ven_dios_nacido_en_un_portal.html"&gt;Ven, Dios nacido en un portal&lt;/a&gt;&lt;/li&gt;</v>
      </c>
      <c r="N54" s="17" t="str">
        <v>&lt;li data-author="Francisco Palazón"&gt;&lt;a href="canciones/francisco_palazon/al_paraiso_te_lleven_los_angeles.html"&gt;Al Paraíso te lleven los ángeles&lt;/a&gt;&lt;/li&gt;</v>
      </c>
      <c r="O54" s="17" t="str">
        <v>&lt;li data-author="Hakuna"&gt;&lt;a href="canciones/hakuna/pasion_xi_la_medida_del_amor.html"&gt;Pasión XI La medida del amor&lt;/a&gt;&lt;/li&gt;</v>
      </c>
      <c r="Q54" s="17" t="str">
        <v>&lt;li data-author="Ixcís"&gt;&lt;a href="canciones/ixcis/sueños_de_dios.html"&gt;Sueños de Dios&lt;/a&gt;&lt;/li&gt;</v>
      </c>
      <c r="R54" s="17" t="str">
        <v>&lt;li data-author="Kairoi"&gt;&lt;a href="canciones/kairoi/pregon_pascual_(aleluya).html"&gt;Pregón Pascual (Aleluya)&lt;/a&gt;&lt;/li&gt;</v>
      </c>
      <c r="S54" s="17" t="str">
        <v>&lt;li data-author="Carmelo Erdozáin" data-momento="Antífonas" data-nnew="D30" data-nold="189"&gt;&lt;a href="canciones/carmelo_erdozain/oh_mi_dios_crea_en_mi.html"&gt;Oh, mi Dios, crea en mí&lt;/a&gt;&lt;/li&gt;</v>
      </c>
      <c r="U54" s="17" t="str">
        <v>&lt;li data-author="Salvatore Martínez" data-nrcc="309"&gt;&lt;a href="canciones/nuevas/abba_padre_(escuchame).html"&gt;Abbá, Padre (escúchame)&lt;/a&gt;&lt;/li&gt;</v>
      </c>
      <c r="W54" s="17" t="str">
        <v>&lt;li data-author="Ruah"&gt;&lt;a href="canciones/ruah/donde.html"&gt;Dónde&lt;/a&gt;&lt;/li&gt;</v>
      </c>
      <c r="X54" s="17" t="str">
        <v>&lt;li data-author="Taizé en español" data-momento="TaizéESP" data-nnew="Q04"&gt;&lt;a href="canciones/taize/alleluia_7.html"&gt;Aleluya 7&lt;/a&gt;&lt;/li&gt;</v>
      </c>
      <c r="Y54" s="17" t="str">
        <v>&lt;li data-author="Taizé original" data-momento="TaizéORIG" data-nnew="Q63" data-nold="173" data-nrcc="319"&gt;&lt;a href="canciones/taize/nada_te_turbe.html"&gt;Nada te turbe&lt;/a&gt;&lt;/li&gt;</v>
      </c>
    </row>
    <row r="55" spans="9:25" x14ac:dyDescent="0.3">
      <c r="I55" s="17" t="str">
        <v>&lt;li data-author="Ain Karem"&gt;&lt;a href="canciones/ain_karem/samaritano.html"&gt;Samaritano&lt;/a&gt;&lt;/li&gt;</v>
      </c>
      <c r="K55" s="17" t="str">
        <v>&lt;li data-author="Brotes de Olivo"&gt;&lt;a href="canciones/brotes_de_olivo/la_fe_del_centurion.html"&gt;La fe del centurión&lt;/a&gt;&lt;/li&gt;</v>
      </c>
      <c r="M55" s="17" t="str">
        <v>&lt;li data-author="Cesáreo Gabarain"&gt;&lt;a href="canciones/cesareo_gabarain/aleluya_ii.html"&gt;Aleluya II&lt;/a&gt;&lt;/li&gt;</v>
      </c>
      <c r="N55" s="17" t="str">
        <v>&lt;li data-author="Francisco Palazón"&gt;&lt;a href="canciones/francisco_palazon/eres_madre_dolorosa.html"&gt;Eres Madre dolorosa&lt;/a&gt;&lt;/li&gt;</v>
      </c>
      <c r="O55" s="17" t="str">
        <v>&lt;li data-author="Hakuna"&gt;&lt;a href="canciones/hakuna/pasion_xiii_madre.html"&gt;Pasión XIII Madre&lt;/a&gt;&lt;/li&gt;</v>
      </c>
      <c r="Q55" s="17" t="str">
        <v>&lt;li data-author="Ixcís"&gt;&lt;a href="canciones/ixcis/adonde_acudire.html"&gt;Adónde acudiré&lt;/a&gt;&lt;/li&gt;</v>
      </c>
      <c r="R55" s="17" t="str">
        <v>&lt;li data-author="Kairoi"&gt;&lt;a href="canciones/kairoi/nacidos_de_mujer.html"&gt;Nacidos de mujer&lt;/a&gt;&lt;/li&gt;</v>
      </c>
      <c r="S55" s="17" t="str">
        <v>&lt;li data-author="Carmelo Erdozáin" data-nold="290"&gt;&lt;a href="canciones/carmelo_erdozain/ven_espiritu_santo.html"&gt;Ven, Espíritu Santo&lt;/a&gt;&lt;/li&gt;</v>
      </c>
      <c r="U55" s="17" t="str">
        <v>&lt;li data-author="Salvatore Martínez" data-nrcc="285"&gt;&lt;a href="canciones/nuevas/salve_regina.html"&gt;Salve, Regina&lt;/a&gt;&lt;/li&gt;</v>
      </c>
      <c r="W55" s="17" t="str">
        <v>&lt;li data-author="Ruah"&gt;&lt;a href="canciones/ruah/escuchame.html"&gt;Escúchame&lt;/a&gt;&lt;/li&gt;</v>
      </c>
      <c r="X55" s="17" t="str">
        <v>&lt;li data-author="Taizé en español" data-momento="TaizéESP" data-nnew="Q35"&gt;&lt;a href="canciones/taize/dona_nobis_pacem.html"&gt;Danos la paz del corazón&lt;/a&gt;&lt;/li&gt;</v>
      </c>
      <c r="Y55" s="17" t="str">
        <v>&lt;li data-author="Taizé original" data-momento="TaizéORIG" data-nnew="Q34"&gt;&lt;a href="canciones/taize/dona_la_pace.html"&gt;Dona la pace&lt;/a&gt;&lt;/li&gt;</v>
      </c>
    </row>
    <row r="56" spans="9:25" x14ac:dyDescent="0.3">
      <c r="I56" s="17" t="str">
        <v>&lt;li data-author="Ain Karem"&gt;&lt;a href="canciones/ain_karem/no_hay_fronteras.html"&gt;No hay fronteras&lt;/a&gt;&lt;/li&gt;</v>
      </c>
      <c r="K56" s="17" t="str">
        <v>&lt;li data-author="Brotes de Olivo"&gt;&lt;a href="canciones/brotes_de_olivo/amad_a_los_enemigos.html"&gt;Amad a los enemigos&lt;/a&gt;&lt;/li&gt;</v>
      </c>
      <c r="M56" s="17" t="str">
        <v>&lt;li data-author="Cesáreo Gabarain"&gt;&lt;a href="canciones/cesareo_gabarain/aleluya_iii.html"&gt;Aleluya III&lt;/a&gt;&lt;/li&gt;</v>
      </c>
      <c r="N56" s="17" t="str">
        <v>&lt;li data-author="Francisco Palazón"&gt;&lt;a href="canciones/francisco_palazon/para_que_escuchase_el_viento.html"&gt;Para que escuchase el viento&lt;/a&gt;&lt;/li&gt;</v>
      </c>
      <c r="O56" s="17" t="str">
        <v>&lt;li data-author="Hakuna"&gt;&lt;a href="canciones/hakuna/pasion_xiv_donde_estas_tu.html"&gt;Pasión XIV Donde estás tú&lt;/a&gt;&lt;/li&gt;</v>
      </c>
      <c r="Q56" s="17" t="str">
        <v>&lt;li data-author="Ixcís"&gt;&lt;a href="canciones/ixcis/gracias_señor.html"&gt;Gracias, Señor&lt;/a&gt;&lt;/li&gt;</v>
      </c>
      <c r="R56" s="17" t="str">
        <v>&lt;li data-author="Kairoi"&gt;&lt;a href="canciones/kairoi/haced_lo_que_el_os_diga.html"&gt;Haced lo que Él os diga&lt;/a&gt;&lt;/li&gt;</v>
      </c>
      <c r="S56" s="17" t="str">
        <v>&lt;li data-author="Carmelo Erdozáin" data-momento="Padrenuestro" data-nnew="H02"&gt;&lt;a href="canciones/carmelo_erdozain/padre_nuestro_(erdozain).html"&gt;Padre nuestro (Erdozáin)&lt;/a&gt;&lt;/li&gt;</v>
      </c>
      <c r="U56" s="17" t="str">
        <v>&lt;li data-author="Steve Merkel" data-nrcc="101"&gt;&lt;a href="canciones/nuevas/mas_de_ti_menos_de_mi.html"&gt;Más de ti, menos de mí&lt;/a&gt;&lt;/li&gt;</v>
      </c>
      <c r="W56" s="17" t="str">
        <v>&lt;li data-author="Ruah"&gt;&lt;a href="canciones/ruah/a_la_puerta.html"&gt;A la puerta&lt;/a&gt;&lt;/li&gt;</v>
      </c>
      <c r="X56" s="17" t="str">
        <v>&lt;li data-author="Taizé en español" data-momento="TaizéESP" data-nnew="Q67"&gt;&lt;a href="canciones/taize/psallite_deo.html"&gt;Este es el día del Señor (Taizé)&lt;/a&gt;&lt;/li&gt;</v>
      </c>
      <c r="Y56" s="17" t="str">
        <v>&lt;li data-author="Taizé original" data-momento="TaizéORIG" data-nnew="Q14"&gt;&lt;a href="canciones/taize/bleibet_hier.html"&gt;Bleibet hier&lt;/a&gt;&lt;/li&gt;</v>
      </c>
    </row>
    <row r="57" spans="9:25" x14ac:dyDescent="0.3">
      <c r="I57" s="17" t="str">
        <v>&lt;li data-author="Ain Karem"&gt;&lt;a href="canciones/ain_karem/descalzate.html"&gt;Descálzate&lt;/a&gt;&lt;/li&gt;</v>
      </c>
      <c r="K57" s="17" t="str">
        <v>&lt;li data-author="Brotes de Olivo"&gt;&lt;a href="canciones/brotes_de_olivo/desapercibido.html"&gt;Desapercibido&lt;/a&gt;&lt;/li&gt;</v>
      </c>
      <c r="M57" s="17" t="str">
        <v>&lt;li data-author="Cesáreo Gabarain"&gt;&lt;a href="canciones/cesareo_gabarain/aleluya_iv.html"&gt;Aleluya IV&lt;/a&gt;&lt;/li&gt;</v>
      </c>
      <c r="N57" s="17" t="str">
        <v>&lt;li data-author="Francisco Palazón"&gt;&lt;a href="canciones/francisco_palazon/camino_a_jerico.html"&gt;Camino a Jericó&lt;/a&gt;&lt;/li&gt;</v>
      </c>
      <c r="O57" s="17" t="str">
        <v>&lt;li data-author="Hakuna"&gt;&lt;a href="canciones/hakuna/pasion_xv_soy_libre.html"&gt;Pasión XV Soy libre&lt;/a&gt;&lt;/li&gt;</v>
      </c>
      <c r="Q57" s="17" t="str">
        <v>&lt;li data-author="Ixcís"&gt;&lt;a href="canciones/ixcis/gentes_con_derecho.html"&gt;Gentes con derecho&lt;/a&gt;&lt;/li&gt;</v>
      </c>
      <c r="R57" s="17" t="str">
        <v>&lt;li data-author="Kairoi"&gt;&lt;a href="canciones/kairoi/en_comunidad.html"&gt;En comunidad&lt;/a&gt;&lt;/li&gt;</v>
      </c>
      <c r="S57" s="17" t="str">
        <v>&lt;li data-author="Carmelo Erdozáin" data-nold="44"&gt;&lt;a href="canciones/carmelo_erdozain/con_nosotros_esta_el_señor.html"&gt;Con nosotros está el Señor&lt;/a&gt;&lt;/li&gt;</v>
      </c>
      <c r="W57" s="17" t="str">
        <v>&lt;li data-author="Ruah"&gt;&lt;a href="canciones/ruah/en_quien_si_no.html"&gt;En quién si no&lt;/a&gt;&lt;/li&gt;</v>
      </c>
      <c r="X57" s="17" t="str">
        <v>&lt;li data-author="Taizé en español" data-momento="TaizéESP" data-nnew="Q32"&gt;&lt;a href="canciones/taize/dieu_ne_peut_que_donner.html"&gt;Dios, que nos ama&lt;/a&gt;&lt;/li&gt;</v>
      </c>
      <c r="Y57" s="17" t="str">
        <v>&lt;li data-author="Taizé original" data-momento="TaizéORIG" data-nnew="Q72"&gt;&lt;a href="canciones/taize/surrexit_christus.html"&gt;Surrexit Christus&lt;/a&gt;&lt;/li&gt;</v>
      </c>
    </row>
    <row r="58" spans="9:25" x14ac:dyDescent="0.3">
      <c r="I58" s="17" t="str">
        <v>&lt;li data-author="Ain Karem"&gt;&lt;a href="canciones/ain_karem/la_vid_verdadera.html"&gt;La vid verdadera&lt;/a&gt;&lt;/li&gt;</v>
      </c>
      <c r="K58" s="17" t="str">
        <v>&lt;li data-author="Brotes de Olivo"&gt;&lt;a href="canciones/brotes_de_olivo/donde_esta_tu_tesoro.html"&gt;Dónde está tu tesoro&lt;/a&gt;&lt;/li&gt;</v>
      </c>
      <c r="M58" s="17" t="str">
        <v>&lt;li data-author="Cesáreo Gabarain"&gt;&lt;a href="canciones/cesareo_gabarain/el_señor_es_mi_pastor_(i).html"&gt;El Señor es mi pastor (I)&lt;/a&gt;&lt;/li&gt;</v>
      </c>
      <c r="N58" s="17" t="str">
        <v>&lt;li data-author="Francisco Palazón"&gt;&lt;a href="canciones/francisco_palazon/trigo_y_cizaña.html"&gt;Trigo y cizaña&lt;/a&gt;&lt;/li&gt;</v>
      </c>
      <c r="O58" s="17" t="str">
        <v>&lt;li data-author="Hakuna"&gt;&lt;a href="canciones/hakuna/pasion_xvi_por_mi_por_ti.html"&gt;Pasión XVI Por mí, por ti&lt;/a&gt;&lt;/li&gt;</v>
      </c>
      <c r="Q58" s="17" t="str">
        <v>&lt;li data-author="Ixcís"&gt;&lt;a href="canciones/ixcis/oh_señor.html"&gt;Oh, Señor&lt;/a&gt;&lt;/li&gt;</v>
      </c>
      <c r="R58" s="17" t="str">
        <v>&lt;li data-author="Kairoi"&gt;&lt;a href="canciones/kairoi/danos_tu_espiritu.html"&gt;Danos tu espíritu&lt;/a&gt;&lt;/li&gt;</v>
      </c>
      <c r="S58" s="17" t="str">
        <v>&lt;li data-author="Carmelo Erdozáin" data-momento="Comunión" data-nnew="K58" data-nold="211"&gt;&lt;a href="canciones/carmelo_erdozain/purificame_señor.html"&gt;Purifícame, Señor&lt;/a&gt;&lt;/li&gt;</v>
      </c>
      <c r="W58" s="17" t="str">
        <v>&lt;li data-author="Ruah"&gt;&lt;a href="canciones/ruah/silencio.html"&gt;Silencio&lt;/a&gt;&lt;/li&gt;</v>
      </c>
      <c r="X58" s="17" t="str">
        <v>&lt;li data-author="Taizé en español" data-momento="TaizéESP" data-nnew="Q26"&gt;&lt;a href="canciones/taize/da_pacem_cordium_(canon).html"&gt;Danos, Señor, la paz (canon)&lt;/a&gt;&lt;/li&gt;</v>
      </c>
      <c r="Y58" s="17" t="str">
        <v>&lt;li data-author="Taizé original" data-momento="TaizéORIG" data-nold="187"&gt;&lt;a href="canciones/taize/o_christe_domine_jesu.html"&gt;O Christe Domine Jesu&lt;/a&gt;&lt;/li&gt;</v>
      </c>
    </row>
    <row r="59" spans="9:25" x14ac:dyDescent="0.3">
      <c r="I59" s="17" t="str">
        <v>&lt;li data-author="Ain Karem"&gt;&lt;a href="canciones/ain_karem/ven_espiritu_de_dios.html"&gt;Ven, Espíritu de Dios&lt;/a&gt;&lt;/li&gt;</v>
      </c>
      <c r="K59" s="17" t="str">
        <v>&lt;li data-author="Brotes de Olivo"&gt;&lt;a href="canciones/brotes_de_olivo/señor_envianos_a_tu_hijo.html"&gt;Señor, envíanos a tu Hijo&lt;/a&gt;&lt;/li&gt;</v>
      </c>
      <c r="M59" s="17" t="str">
        <v>&lt;li data-author="Cesáreo Gabarain"&gt;&lt;a href="canciones/cesareo_gabarain/aleluya_v.html"&gt;Aleluya V&lt;/a&gt;&lt;/li&gt;</v>
      </c>
      <c r="N59" s="17" t="str">
        <v>&lt;li data-author="Francisco Palazón"&gt;&lt;a href="canciones/francisco_palazon/administradores_del_amor.html"&gt;Administradores del amor&lt;/a&gt;&lt;/li&gt;</v>
      </c>
      <c r="O59" s="17" t="str">
        <v>&lt;li data-author="Hakuna"&gt;&lt;a href="canciones/hakuna/me_sobrepasa.html"&gt;Me sobrepasa&lt;/a&gt;&lt;/li&gt;</v>
      </c>
      <c r="Q59" s="17" t="str">
        <v>&lt;li data-author="Ixcís"&gt;&lt;a href="canciones/ixcis/quererse.html"&gt;Quererse&lt;/a&gt;&lt;/li&gt;</v>
      </c>
      <c r="R59" s="17" t="str">
        <v>&lt;li data-author="Kairoi"&gt;&lt;a href="canciones/kairoi/gloria_(por_maria).html"&gt;Gloria (por María)&lt;/a&gt;&lt;/li&gt;</v>
      </c>
      <c r="S59" s="17" t="str">
        <v>&lt;li data-author="Carmelo Erdozáin" data-nold="184"&gt;&lt;a href="canciones/carmelo_erdozain/oi_tu_voz.html"&gt;Oí tu voz&lt;/a&gt;&lt;/li&gt;</v>
      </c>
      <c r="W59" s="17" t="str">
        <v>&lt;li data-author="Ruah"&gt;&lt;a href="canciones/ruah/de_repente.html"&gt;De repente&lt;/a&gt;&lt;/li&gt;</v>
      </c>
      <c r="X59" s="17" t="str">
        <v>&lt;li data-author="Taizé en español" data-momento="TaizéESP" data-nnew="Q51"&gt;&lt;a href="canciones/taize/jubilate_deo_omnis_terra.html"&gt;Al Señor alabe&lt;/a&gt;&lt;/li&gt;</v>
      </c>
      <c r="Y59" s="17" t="str">
        <v>&lt;li data-author="Taizé original" data-momento="TaizéORIG" data-nnew="Q04"&gt;&lt;a href="canciones/taize/alleluia_7.html"&gt;Alleluia 7&lt;/a&gt;&lt;/li&gt;</v>
      </c>
    </row>
    <row r="60" spans="9:25" x14ac:dyDescent="0.3">
      <c r="I60" s="17" t="str">
        <v>&lt;li data-author="Ain Karem"&gt;&lt;a href="canciones/ain_karem/realidad.html"&gt;Realidad&lt;/a&gt;&lt;/li&gt;</v>
      </c>
      <c r="K60" s="17" t="str">
        <v>&lt;li data-author="Brotes de Olivo"&gt;&lt;a href="canciones/brotes_de_olivo/monologo_de_zacarias.html"&gt;Monólogo de Zacarías&lt;/a&gt;&lt;/li&gt;</v>
      </c>
      <c r="M60" s="17" t="str">
        <v>&lt;li data-author="Cesáreo Gabarain"&gt;&lt;a href="canciones/cesareo_gabarain/tomad_y_comed_yo_soy_vuestro_pan.html"&gt;Tomad y comed, yo soy vuestro Pan&lt;/a&gt;&lt;/li&gt;</v>
      </c>
      <c r="N60" s="17" t="str">
        <v>&lt;li data-author="Francisco Palazón"&gt;&lt;a href="canciones/francisco_palazon/la_oveja_negra.html"&gt;La oveja negra&lt;/a&gt;&lt;/li&gt;</v>
      </c>
      <c r="O60" s="17" t="str">
        <v>&lt;li data-author="Hakuna"&gt;&lt;a href="canciones/hakuna/descalzos.html"&gt;Descalzos&lt;/a&gt;&lt;/li&gt;</v>
      </c>
      <c r="Q60" s="17" t="str">
        <v>&lt;li data-author="Ixcís"&gt;&lt;a href="canciones/ixcis/encima_del_altar.html"&gt;Encima del altar&lt;/a&gt;&lt;/li&gt;</v>
      </c>
      <c r="R60" s="17" t="str">
        <v>&lt;li data-author="Kairoi"&gt;&lt;a href="canciones/kairoi/pequeño_corazon.html"&gt;Pequeño corazón&lt;/a&gt;&lt;/li&gt;</v>
      </c>
      <c r="S60" s="17" t="str">
        <v>&lt;li data-author="Carmelo Erdozáin" data-momento="Entrada" data-nnew="A36" data-nold="284"&gt;&lt;a href="canciones/carmelo_erdozain/vamos_a_preparar.html"&gt;Vamos a preparar&lt;/a&gt;&lt;/li&gt;</v>
      </c>
      <c r="W60" s="17" t="str">
        <v>&lt;li data-author="Ruah"&gt;&lt;a href="canciones/ruah/quien_amo_primero.html"&gt;Quién amó primero&lt;/a&gt;&lt;/li&gt;</v>
      </c>
      <c r="X60" s="17" t="str">
        <v>&lt;li data-author="Taizé en español" data-momento="TaizéESP" data-nnew="Q77"&gt;&lt;a href="canciones/taize/tui_amoris.html"&gt;Ven, Espíritu de Dios&lt;/a&gt;&lt;/li&gt;</v>
      </c>
      <c r="Y60" s="17" t="str">
        <v>&lt;li data-author="Taizé original" data-momento="TaizéORIG" data-nnew="Q35"&gt;&lt;a href="canciones/taize/dona_nobis_pacem.html"&gt;Dona nobis pacem&lt;/a&gt;&lt;/li&gt;</v>
      </c>
    </row>
    <row r="61" spans="9:25" x14ac:dyDescent="0.3">
      <c r="I61" s="17" t="str">
        <v>&lt;li data-author="Ain Karem"&gt;&lt;a href="canciones/ain_karem/boga_mar_adentro.html"&gt;Boga mar adentro&lt;/a&gt;&lt;/li&gt;</v>
      </c>
      <c r="K61" s="17" t="str">
        <v>&lt;li data-author="Brotes de Olivo"&gt;&lt;a href="canciones/brotes_de_olivo/magnificat.html"&gt;Magnificat&lt;/a&gt;&lt;/li&gt;</v>
      </c>
      <c r="M61" s="17" t="str">
        <v>&lt;li data-author="Cesáreo Gabarain"&gt;&lt;a href="canciones/cesareo_gabarain/ven_y_llenanos.html"&gt;Ven y llénanos&lt;/a&gt;&lt;/li&gt;</v>
      </c>
      <c r="N61" s="17" t="str">
        <v>&lt;li data-author="Francisco Palazón"&gt;&lt;a href="canciones/francisco_palazon/noche_y_dia_en_altamar.html"&gt;Noche y día en altamar&lt;/a&gt;&lt;/li&gt;</v>
      </c>
      <c r="O61" s="17" t="str">
        <v>&lt;li data-author="Hakuna"&gt;&lt;a href="canciones/hakuna/un_segundo.html"&gt;Un segundo&lt;/a&gt;&lt;/li&gt;</v>
      </c>
      <c r="Q61" s="17" t="str">
        <v>&lt;li data-author="Ixcís"&gt;&lt;a href="canciones/ixcis/cosas_pequeñas.html"&gt;Cosas pequeñas&lt;/a&gt;&lt;/li&gt;</v>
      </c>
      <c r="R61" s="17" t="str">
        <v>&lt;li data-author="Kairoi"&gt;&lt;a href="canciones/kairoi/credo.html"&gt;Credo&lt;/a&gt;&lt;/li&gt;</v>
      </c>
      <c r="S61" s="17" t="str">
        <v>&lt;li data-author="Carmelo Erdozáin" data-nold="156"&gt;&lt;a href="canciones/carmelo_erdozain/levantate_pueblo_mio.html"&gt;Levántate, pueblo mío&lt;/a&gt;&lt;/li&gt;</v>
      </c>
      <c r="W61" s="17" t="str">
        <v>&lt;li data-author="Ruah"&gt;&lt;a href="canciones/ruah/alabarte.html"&gt;Alabarte&lt;/a&gt;&lt;/li&gt;</v>
      </c>
      <c r="X61" s="17" t="str">
        <v>&lt;li data-author="Taizé en español" data-momento="TaizéESP" data-nnew="Q27"&gt;&lt;a href="canciones/taize/da_pacem..._in_diebus.html"&gt;Danos la paz, Señor&lt;/a&gt;&lt;/li&gt;</v>
      </c>
      <c r="Y61" s="17" t="str">
        <v>&lt;li data-author="Taizé original" data-momento="TaizéORIG" data-nnew="Q67"&gt;&lt;a href="canciones/taize/psallite_deo.html"&gt;Psallite Deo&lt;/a&gt;&lt;/li&gt;</v>
      </c>
    </row>
    <row r="62" spans="9:25" x14ac:dyDescent="0.3">
      <c r="I62" s="17" t="str">
        <v>&lt;li data-author="Ain Karem"&gt;&lt;a href="canciones/ain_karem/no_tengas_miedo.html"&gt;No tengas miedo&lt;/a&gt;&lt;/li&gt;</v>
      </c>
      <c r="K62" s="17" t="str">
        <v>&lt;li data-author="Brotes de Olivo"&gt;&lt;a href="canciones/brotes_de_olivo/buscando_posada.html"&gt;Buscando posada&lt;/a&gt;&lt;/li&gt;</v>
      </c>
      <c r="M62" s="17" t="str">
        <v>&lt;li data-author="Cesáreo Gabarain"&gt;&lt;a href="canciones/cesareo_gabarain/gustad_y_ved.html"&gt;Gustad y ved&lt;/a&gt;&lt;/li&gt;</v>
      </c>
      <c r="N62" s="17" t="str">
        <v>&lt;li data-author="Francisco Palazón"&gt;&lt;a href="canciones/francisco_palazon/un_hombre_una_tierra.html"&gt;Un hombre, una tierra&lt;/a&gt;&lt;/li&gt;</v>
      </c>
      <c r="O62" s="17" t="str">
        <v>&lt;li data-author="Hakuna"&gt;&lt;a href="canciones/hakuna/todo.html"&gt;Todo&lt;/a&gt;&lt;/li&gt;</v>
      </c>
      <c r="Q62" s="17" t="str">
        <v>&lt;li data-author="Ixcís"&gt;&lt;a href="canciones/ixcis/beber_los_vientos.html"&gt;Beber los vientos&lt;/a&gt;&lt;/li&gt;</v>
      </c>
      <c r="R62" s="17" t="str">
        <v>&lt;li data-author="Kairoi"&gt;&lt;a href="canciones/kairoi/creo_en_ti.html"&gt;Creo en ti&lt;/a&gt;&lt;/li&gt;</v>
      </c>
      <c r="S62" s="17" t="str">
        <v>&lt;li data-author="Carmelo Erdozáin" data-momento="Entrada" data-nnew="A41" data-nold="283"&gt;&lt;a href="canciones/carmelo_erdozain/ven_salvador.html"&gt;Ven, Salvador&lt;/a&gt;&lt;/li&gt;</v>
      </c>
      <c r="W62" s="17" t="str">
        <v>&lt;li data-author="Ruah"&gt;&lt;a href="canciones/ruah/bailare.html"&gt;Bailaré&lt;/a&gt;&lt;/li&gt;</v>
      </c>
      <c r="X62" s="17" t="str">
        <v>&lt;li data-author="Taizé en español" data-momento="TaizéESP" data-nnew="Q62" data-nold="157"&gt;&lt;a href="canciones/taize/misericordias_domini.html"&gt;La misericordia del Señor&lt;/a&gt;&lt;/li&gt;</v>
      </c>
      <c r="Y62" s="17" t="str">
        <v>&lt;li data-author="Taizé original" data-momento="TaizéORIG" data-nnew="Q32"&gt;&lt;a href="canciones/taize/dieu_ne_peut_que_donner.html"&gt;Dieu ne peut que donner&lt;/a&gt;&lt;/li&gt;</v>
      </c>
    </row>
    <row r="63" spans="9:25" x14ac:dyDescent="0.3">
      <c r="I63" s="17" t="str">
        <v>&lt;li data-author="Ain Karem"&gt;&lt;a href="canciones/ain_karem/magnificat.html"&gt;Magnificat&lt;/a&gt;&lt;/li&gt;</v>
      </c>
      <c r="K63" s="17" t="str">
        <v>&lt;li data-author="Brotes de Olivo"&gt;&lt;a href="canciones/brotes_de_olivo/madre_de_dios.html"&gt;Madre de Dios&lt;/a&gt;&lt;/li&gt;</v>
      </c>
      <c r="M63" s="17" t="str">
        <v>&lt;li data-author="Cesáreo Gabarain"&gt;&lt;a href="canciones/cesareo_gabarain/a_quien_temere.html"&gt;A quién temeré&lt;/a&gt;&lt;/li&gt;</v>
      </c>
      <c r="N63" s="17" t="str">
        <v>&lt;li data-author="Francisco Palazón"&gt;&lt;a href="canciones/francisco_palazon/de_par_en_par.html"&gt;De par en par&lt;/a&gt;&lt;/li&gt;</v>
      </c>
      <c r="O63" s="17" t="str">
        <v>&lt;li data-author="Hakuna"&gt;&lt;a href="canciones/hakuna/el_cielo_aguarda.html"&gt;El cielo aguarda&lt;/a&gt;&lt;/li&gt;</v>
      </c>
      <c r="Q63" s="17" t="str">
        <v>&lt;li data-author="Ixcís"&gt;&lt;a href="canciones/ixcis/ven_y_sigueme.html"&gt;Ven y sígueme&lt;/a&gt;&lt;/li&gt;</v>
      </c>
      <c r="R63" s="17" t="str">
        <v>&lt;li data-author="Kairoi"&gt;&lt;a href="canciones/kairoi/a_las_tres_de_la_tarde.html"&gt;A las tres de la tarde&lt;/a&gt;&lt;/li&gt;</v>
      </c>
      <c r="S63" s="17" t="str">
        <v>&lt;li data-author="Carmelo Erdozáin" data-momento="María" data-nnew="M08" data-nold="432"&gt;&lt;a href="canciones/carmelo_erdozain/la_virgen_sueña_caminos.html"&gt;La Virgen sueña caminos&lt;/a&gt;&lt;/li&gt;</v>
      </c>
      <c r="W63" s="17" t="str">
        <v>&lt;li data-author="Ruah"&gt;&lt;a href="canciones/ruah/por_ti_jerusalen.html"&gt;Por ti, Jerusalén&lt;/a&gt;&lt;/li&gt;</v>
      </c>
      <c r="X63" s="17" t="str">
        <v>&lt;li data-author="Taizé en español" data-momento="TaizéESP" data-nnew="Q25"&gt;&lt;a href="canciones/taize/crucem_tuam.html"&gt;Tu santa cruz&lt;/a&gt;&lt;/li&gt;</v>
      </c>
      <c r="Y63" s="17" t="str">
        <v>&lt;li data-author="Taizé original" data-momento="TaizéORIG" data-nnew="Q26"&gt;&lt;a href="canciones/taize/da_pacem_cordium_(canon).html"&gt;Da pacem cordium (canon)&lt;/a&gt;&lt;/li&gt;</v>
      </c>
    </row>
    <row r="64" spans="9:25" x14ac:dyDescent="0.3">
      <c r="I64" s="17" t="str">
        <v>&lt;li data-author="Ain Karem"&gt;&lt;a href="canciones/ain_karem/ardo_en_celo.html"&gt;Ardo en celo&lt;/a&gt;&lt;/li&gt;</v>
      </c>
      <c r="K64" s="17" t="str">
        <v>&lt;li data-author="Brotes de Olivo"&gt;&lt;a href="canciones/brotes_de_olivo/gloria_a_dios_en_los_cielos.html"&gt;Gloria a Dios en los cielos&lt;/a&gt;&lt;/li&gt;</v>
      </c>
      <c r="M64" s="17" t="str">
        <v>&lt;li data-author="Cesáreo Gabarain"&gt;&lt;a href="canciones/cesareo_gabarain/por_el_aire_vuela_el_pajaro.html"&gt;Por el aire vuela el pájaro&lt;/a&gt;&lt;/li&gt;</v>
      </c>
      <c r="N64" s="17" t="str">
        <v>&lt;li data-author="Francisco Palazón"&gt;&lt;a href="canciones/francisco_palazon/el_hijo_prodigo.html"&gt;El hijo pródigo&lt;/a&gt;&lt;/li&gt;</v>
      </c>
      <c r="O64" s="17" t="str">
        <v>&lt;li data-author="Hakuna"&gt;&lt;a href="canciones/hakuna/mirada.html"&gt;Mirada&lt;/a&gt;&lt;/li&gt;</v>
      </c>
      <c r="Q64" s="17" t="str">
        <v>&lt;li data-author="Ixcís"&gt;&lt;a href="canciones/ixcis/dios_provee.html"&gt;Dios provee&lt;/a&gt;&lt;/li&gt;</v>
      </c>
      <c r="R64" s="17" t="str">
        <v>&lt;li data-author="Kairoi"&gt;&lt;a href="canciones/kairoi/vino_nuevo.html"&gt;Vino nuevo&lt;/a&gt;&lt;/li&gt;</v>
      </c>
      <c r="S64" s="17" t="str">
        <v>&lt;li data-author="Carmelo Erdozáin" data-nold="68"&gt;&lt;a href="canciones/carmelo_erdozain/cuantos_años_han_de_pasar.html"&gt;Cuántos años han de pasar&lt;/a&gt;&lt;/li&gt;</v>
      </c>
      <c r="W64" s="17" t="str">
        <v>&lt;li data-author="Ruah"&gt;&lt;a href="canciones/ruah/frontera.html"&gt;Frontera&lt;/a&gt;&lt;/li&gt;</v>
      </c>
      <c r="X64" s="17" t="str">
        <v>&lt;li data-author="Taizé en español" data-momento="TaizéESP" data-nnew="Q70"&gt;&lt;a href="canciones/taize/spiritus_jesu_christi.html"&gt;Espíritu de Dios vivo&lt;/a&gt;&lt;/li&gt;</v>
      </c>
      <c r="Y64" s="17" t="str">
        <v>&lt;li data-author="Taizé original" data-momento="TaizéORIG" data-nnew="Q77"&gt;&lt;a href="canciones/taize/tui_amoris.html"&gt;Tui amoris&lt;/a&gt;&lt;/li&gt;</v>
      </c>
    </row>
    <row r="65" spans="9:25" x14ac:dyDescent="0.3">
      <c r="I65" s="17" t="str">
        <v>&lt;li data-author="Ain Karem"&gt;&lt;a href="canciones/ain_karem/el_amor_no_dice_basta.html"&gt;El amor no dice basta&lt;/a&gt;&lt;/li&gt;</v>
      </c>
      <c r="K65" s="17" t="str">
        <v>&lt;li data-author="Brotes de Olivo"&gt;&lt;a href="canciones/brotes_de_olivo/navidad_en_el_corazon.html"&gt;Navidad en el corazón&lt;/a&gt;&lt;/li&gt;</v>
      </c>
      <c r="M65" s="17" t="str">
        <v>&lt;li data-author="Cesáreo Gabarain"&gt;&lt;a href="canciones/cesareo_gabarain/aleluya_mi_padre_dios_me_quiere.html"&gt;Aleluya, mi Padre Dios me quiere&lt;/a&gt;&lt;/li&gt;</v>
      </c>
      <c r="N65" s="17" t="str">
        <v>&lt;li data-author="Francisco Palazón"&gt;&lt;a href="canciones/francisco_palazon/en_la_plaza_de_un_pueblo.html"&gt;En la plaza de un pueblo&lt;/a&gt;&lt;/li&gt;</v>
      </c>
      <c r="O65" s="17" t="str">
        <v>&lt;li data-author="Hakuna"&gt;&lt;a href="canciones/hakuna/pringados.html"&gt;Pringados&lt;/a&gt;&lt;/li&gt;</v>
      </c>
      <c r="Q65" s="17" t="str">
        <v>&lt;li data-author="Ixcís"&gt;&lt;a href="canciones/ixcis/me_desbordas.html"&gt;Me desbordas&lt;/a&gt;&lt;/li&gt;</v>
      </c>
      <c r="R65" s="17" t="str">
        <v>&lt;li data-author="Kairoi"&gt;&lt;a href="canciones/kairoi/te_seguire.html"&gt;Te seguiré&lt;/a&gt;&lt;/li&gt;</v>
      </c>
      <c r="S65" s="17" t="str">
        <v>&lt;li data-author="Carmelo Erdozáin" data-nold="87"&gt;&lt;a href="canciones/carmelo_erdozain/dios_te_salve_maria_llena_eres_de_gracia.html"&gt;Dios te salve, María, llena eres de gracia&lt;/a&gt;&lt;/li&gt;</v>
      </c>
      <c r="W65" s="17" t="str">
        <v>&lt;li data-author="Ruah"&gt;&lt;a href="canciones/ruah/despierto.html"&gt;Despierto&lt;/a&gt;&lt;/li&gt;</v>
      </c>
      <c r="X65" s="17" t="str">
        <v>&lt;li data-author="Taizé en español" data-momento="TaizéESP" data-nnew="Q52"&gt;&lt;a href="canciones/taize/jubilate_coeli_(canon).html"&gt;Júbilo en el cielo (canon)&lt;/a&gt;&lt;/li&gt;</v>
      </c>
      <c r="Y65" s="17" t="str">
        <v>&lt;li data-author="Taizé original" data-momento="TaizéORIG" data-nnew="Q27"&gt;&lt;a href="canciones/taize/da_pacem..._in_diebus.html"&gt;Da pacem... in diebus&lt;/a&gt;&lt;/li&gt;</v>
      </c>
    </row>
    <row r="66" spans="9:25" x14ac:dyDescent="0.3">
      <c r="I66" s="17" t="str">
        <v>&lt;li data-author="Ain Karem"&gt;&lt;a href="canciones/ain_karem/rut_y_noemi.html"&gt;Rut y Noemí&lt;/a&gt;&lt;/li&gt;</v>
      </c>
      <c r="K66" s="17" t="str">
        <v>&lt;li data-author="Brotes de Olivo"&gt;&lt;a href="canciones/brotes_de_olivo/bien_nacido.html"&gt;Bien nacido&lt;/a&gt;&lt;/li&gt;</v>
      </c>
      <c r="M66" s="17" t="str">
        <v>&lt;li data-author="Cesáreo Gabarain"&gt;&lt;a href="canciones/cesareo_gabarain/dios_es_alegre.html"&gt;Dios es alegre&lt;/a&gt;&lt;/li&gt;</v>
      </c>
      <c r="N66" s="17" t="str">
        <v>&lt;li data-author="Francisco Palazón"&gt;&lt;a href="canciones/francisco_palazon/fariseo_y_publicano.html"&gt;Fariseo y publicano&lt;/a&gt;&lt;/li&gt;</v>
      </c>
      <c r="O66" s="17" t="str">
        <v>&lt;li data-author="Hakuna"&gt;&lt;a href="canciones/hakuna/noche.html"&gt;Noche&lt;/a&gt;&lt;/li&gt;</v>
      </c>
      <c r="Q66" s="17" t="str">
        <v>&lt;li data-author="Ixcís"&gt;&lt;a href="canciones/ixcis/el_que_se_ensalza.html"&gt;El que se ensalza&lt;/a&gt;&lt;/li&gt;</v>
      </c>
      <c r="R66" s="17" t="str">
        <v>&lt;li data-author="Kairoi"&gt;&lt;a href="canciones/kairoi/un_solo_corazon.html"&gt;Un solo corazón&lt;/a&gt;&lt;/li&gt;</v>
      </c>
      <c r="S66" s="17" t="str">
        <v>&lt;li data-author="Carmelo Erdozáin" data-nold="137"&gt;&lt;a href="canciones/carmelo_erdozain/hoy_me_siento_peregrino.html"&gt;Hoy me siento peregrino&lt;/a&gt;&lt;/li&gt;</v>
      </c>
      <c r="W66" s="17" t="str">
        <v>&lt;li data-author="Ruah"&gt;&lt;a href="canciones/ruah/como_niños.html"&gt;Como niños&lt;/a&gt;&lt;/li&gt;</v>
      </c>
      <c r="X66" s="17" t="str">
        <v>&lt;li data-author="Taizé en español" data-momento="TaizéESP" data-nnew="Q74"&gt;&lt;a href="canciones/taize/the_kingdom_of_god.html"&gt;El Reino de Dios&lt;/a&gt;&lt;/li&gt;</v>
      </c>
      <c r="Y66" s="17" t="str">
        <v>&lt;li data-author="Taizé original" data-momento="TaizéORIG" data-nnew="Q62" data-nold="157"&gt;&lt;a href="canciones/taize/misericordias_domini.html"&gt;Misericordias Domini&lt;/a&gt;&lt;/li&gt;</v>
      </c>
    </row>
    <row r="67" spans="9:25" x14ac:dyDescent="0.3">
      <c r="I67" s="17" t="str">
        <v>&lt;li data-author="Ain Karem"&gt;&lt;a href="canciones/ain_karem/ven_espiritu.html"&gt;Ven, Espíritu&lt;/a&gt;&lt;/li&gt;</v>
      </c>
      <c r="K67" s="17" t="str">
        <v>&lt;li data-author="Brotes de Olivo"&gt;&lt;a href="canciones/brotes_de_olivo/las_ropas_de_dios.html"&gt;Las ropas de Dios&lt;/a&gt;&lt;/li&gt;</v>
      </c>
      <c r="M67" s="17" t="str">
        <v>&lt;li data-author="Cesáreo Gabarain"&gt;&lt;a href="canciones/cesareo_gabarain/buenos_dias_señor.html"&gt;Buenos días, Señor&lt;/a&gt;&lt;/li&gt;</v>
      </c>
      <c r="N67" s="17" t="str">
        <v>&lt;li data-author="Francisco Palazón"&gt;&lt;a href="canciones/francisco_palazon/de_cosas_sencillas.html"&gt;De cosas sencillas&lt;/a&gt;&lt;/li&gt;</v>
      </c>
      <c r="O67" s="17" t="str">
        <v>&lt;li data-author="Hakuna"&gt;&lt;a href="canciones/hakuna/comunion_espiritual.html"&gt;Comunión espiritual&lt;/a&gt;&lt;/li&gt;</v>
      </c>
      <c r="Q67" s="17" t="str">
        <v>&lt;li data-author="Ixcís"&gt;&lt;a href="canciones/ixcis/mis_señores_y_mis_amos.html"&gt;Mis señores y mis amos&lt;/a&gt;&lt;/li&gt;</v>
      </c>
      <c r="R67" s="17" t="str">
        <v>&lt;li data-author="Kairoi"&gt;&lt;a href="canciones/kairoi/cristo_señor.html"&gt;Cristo Señor&lt;/a&gt;&lt;/li&gt;</v>
      </c>
      <c r="S67" s="17" t="str">
        <v>&lt;li data-author="Carmelo Erdozáin" data-nold="296"&gt;&lt;a href="canciones/carmelo_erdozain/yo_estare_con_vosotros.html"&gt;Yo estaré con vosotros&lt;/a&gt;&lt;/li&gt;</v>
      </c>
      <c r="W67" s="17" t="str">
        <v>&lt;li data-author="Ruah"&gt;&lt;a href="canciones/ruah/vivir.html"&gt;Vivir&lt;/a&gt;&lt;/li&gt;</v>
      </c>
      <c r="X67" s="17" t="str">
        <v>&lt;li data-author="Taizé en español" data-momento="TaizéESP" data-nnew="Q16"&gt;&lt;a href="canciones/taize/bog_jest_miłością.html"&gt;Dios es ternura&lt;/a&gt;&lt;/li&gt;</v>
      </c>
      <c r="Y67" s="17" t="str">
        <v>&lt;li data-author="Taizé original" data-momento="TaizéORIG" data-nnew="Q25"&gt;&lt;a href="canciones/taize/crucem_tuam.html"&gt;Crucem tuam&lt;/a&gt;&lt;/li&gt;</v>
      </c>
    </row>
    <row r="68" spans="9:25" x14ac:dyDescent="0.3">
      <c r="I68" s="17" t="str">
        <v>&lt;li data-author="Ain Karem"&gt;&lt;a href="canciones/ain_karem/maria_magdalena.html"&gt;María Magdalena&lt;/a&gt;&lt;/li&gt;</v>
      </c>
      <c r="K68" s="17" t="str">
        <v>&lt;li data-author="Brotes de Olivo"&gt;&lt;a href="canciones/brotes_de_olivo/los_pajaros_pastores.html"&gt;Los pájaros pastores&lt;/a&gt;&lt;/li&gt;</v>
      </c>
      <c r="M68" s="17" t="str">
        <v>&lt;li data-author="Cesáreo Gabarain"&gt;&lt;a href="canciones/cesareo_gabarain/lampara_de_barro.html"&gt;Lámpara de barro&lt;/a&gt;&lt;/li&gt;</v>
      </c>
      <c r="N68" s="17" t="str">
        <v>&lt;li data-author="Francisco Palazón"&gt;&lt;a href="canciones/francisco_palazon/y_ciegos_son_los_hombres.html"&gt;Y ciegos son los hombres&lt;/a&gt;&lt;/li&gt;</v>
      </c>
      <c r="O68" s="17" t="str">
        <v>&lt;li data-author="Hakuna"&gt;&lt;a href="canciones/hakuna/sencillamente.html"&gt;Sencillamente&lt;/a&gt;&lt;/li&gt;</v>
      </c>
      <c r="Q68" s="17" t="str">
        <v>&lt;li data-author="Ixcís"&gt;&lt;a href="canciones/ixcis/enseñame_el_camino.html"&gt;Enséñame el camino&lt;/a&gt;&lt;/li&gt;</v>
      </c>
      <c r="R68" s="17" t="str">
        <v>&lt;li data-author="Kairoi"&gt;&lt;a href="canciones/kairoi/tu_seras_mi_hermano.html"&gt;Tú serás mi hermano&lt;/a&gt;&lt;/li&gt;</v>
      </c>
      <c r="S68" s="17" t="str">
        <v>&lt;li data-author="Carmelo Erdozáin" data-nold="154"&gt;&lt;a href="canciones/carmelo_erdozain/las_puertas_de_la_nueva_ciudad.html"&gt;Las puertas de la nueva ciudad&lt;/a&gt;&lt;/li&gt;</v>
      </c>
      <c r="X68" s="17" t="str">
        <v>&lt;li data-author="Taizé en español" data-momento="TaizéESP" data-nnew="Q18"&gt;&lt;a href="canciones/taize/bogoroditse_dievo_1.html"&gt;Dios te salve&lt;/a&gt;&lt;/li&gt;</v>
      </c>
      <c r="Y68" s="17" t="str">
        <v>&lt;li data-author="Taizé original" data-momento="TaizéORIG" data-nnew="Q70"&gt;&lt;a href="canciones/taize/spiritus_jesu_christi.html"&gt;Spiritus Jesu Christi&lt;/a&gt;&lt;/li&gt;</v>
      </c>
    </row>
    <row r="69" spans="9:25" x14ac:dyDescent="0.3">
      <c r="I69" s="17" t="str">
        <v>&lt;li data-author="Ain Karem"&gt;&lt;a href="canciones/ain_karem/de_todo_corazon.html"&gt;De todo corazón&lt;/a&gt;&lt;/li&gt;</v>
      </c>
      <c r="K69" s="17" t="str">
        <v>&lt;li data-author="Brotes de Olivo"&gt;&lt;a href="canciones/brotes_de_olivo/la_serranilla.html"&gt;La serranilla&lt;/a&gt;&lt;/li&gt;</v>
      </c>
      <c r="M69" s="17" t="str">
        <v>&lt;li data-author="Cesáreo Gabarain"&gt;&lt;a href="canciones/cesareo_gabarain/una_roca_inmovil.html"&gt;Una roca inmóvil&lt;/a&gt;&lt;/li&gt;</v>
      </c>
      <c r="N69" s="17" t="str">
        <v>&lt;li data-author="Francisco Palazón"&gt;&lt;a href="canciones/francisco_palazon/en_la_viña_del_señor.html"&gt;En la viña del Señor&lt;/a&gt;&lt;/li&gt;</v>
      </c>
      <c r="O69" s="17" t="str">
        <v>&lt;li data-author="Hakuna"&gt;&lt;a href="canciones/hakuna/ocupate_tu_de_todo.html"&gt;Ocúpate Tú de todo&lt;/a&gt;&lt;/li&gt;</v>
      </c>
      <c r="Q69" s="17" t="str">
        <v>&lt;li data-author="Ixcís"&gt;&lt;a href="canciones/ixcis/padrenuestro_i.html"&gt;Padrenuestro I&lt;/a&gt;&lt;/li&gt;</v>
      </c>
      <c r="R69" s="17" t="str">
        <v>&lt;li data-author="Kairoi"&gt;&lt;a href="canciones/kairoi/cristo.html"&gt;Cristo&lt;/a&gt;&lt;/li&gt;</v>
      </c>
      <c r="S69" s="17" t="str">
        <v>&lt;li data-author="Cesáreo Gabarain" data-momento="Comunión" data-nnew="K04" data-nold="19"&gt;&lt;a href="canciones/cesareo_gabarain/al_atardecer_de_la_vida.html"&gt;Al atardecer de la vida&lt;/a&gt;&lt;/li&gt;</v>
      </c>
      <c r="X69" s="17" t="str">
        <v>&lt;li data-author="Taizé en español" data-momento="TaizéESP" data-nnew="Q11"&gt;&lt;a href="canciones/taize/beati_voi_poveri.html"&gt;Dichosos los pobres&lt;/a&gt;&lt;/li&gt;</v>
      </c>
      <c r="Y69" s="17" t="str">
        <v>&lt;li data-author="Taizé original" data-momento="TaizéORIG" data-nnew="Q52"&gt;&lt;a href="canciones/taize/jubilate_coeli_(canon).html"&gt;Jubilate coeli (canon)&lt;/a&gt;&lt;/li&gt;</v>
      </c>
    </row>
    <row r="70" spans="9:25" x14ac:dyDescent="0.3">
      <c r="I70" s="17" t="str">
        <v>&lt;li data-author="Ain Karem"&gt;&lt;a href="canciones/ain_karem/canto_de_ana.html"&gt;Canto de Ana&lt;/a&gt;&lt;/li&gt;</v>
      </c>
      <c r="K70" s="17" t="str">
        <v>&lt;li data-author="Brotes de Olivo"&gt;&lt;a href="canciones/brotes_de_olivo/sueños_de_riqueza.html"&gt;Sueños de riqueza&lt;/a&gt;&lt;/li&gt;</v>
      </c>
      <c r="M70" s="17" t="str">
        <v>&lt;li data-author="Cesáreo Gabarain"&gt;&lt;a href="canciones/cesareo_gabarain/padre_bueno_dios_alegre.html"&gt;Padre bueno, Dios alegre&lt;/a&gt;&lt;/li&gt;</v>
      </c>
      <c r="N70" s="17" t="str">
        <v>&lt;li data-author="Francisco Palazón"&gt;&lt;a href="canciones/francisco_palazon/invitacion.html"&gt;Invitación&lt;/a&gt;&lt;/li&gt;</v>
      </c>
      <c r="O70" s="17" t="str">
        <v>&lt;li data-author="Hakuna"&gt;&lt;a href="canciones/hakuna/la_piel_por_ti.html"&gt;La piel por Ti&lt;/a&gt;&lt;/li&gt;</v>
      </c>
      <c r="Q70" s="17" t="str">
        <v>&lt;li data-author="Ixcís"&gt;&lt;a href="canciones/ixcis/adorare.html"&gt;Adoraré&lt;/a&gt;&lt;/li&gt;</v>
      </c>
      <c r="R70" s="17" t="str">
        <v>&lt;li data-author="Kairoi"&gt;&lt;a href="canciones/kairoi/alli_estas_tu.html"&gt;Allí estás tú&lt;/a&gt;&lt;/li&gt;</v>
      </c>
      <c r="S70" s="17" t="str">
        <v>&lt;li data-author="Cesáreo Gabarain" data-nold="160"&gt;&lt;a href="canciones/cesareo_gabarain/los_que_a_la_pobreza.html"&gt;Los que a la pobreza&lt;/a&gt;&lt;/li&gt;</v>
      </c>
      <c r="X70" s="17" t="str">
        <v>&lt;li data-author="Taizé en español" data-momento="TaizéESP" data-nnew="Q45"&gt;&lt;a href="canciones/taize/in_manus_tuas.html"&gt;Oh, Padre, entre tus manos&lt;/a&gt;&lt;/li&gt;</v>
      </c>
      <c r="Y70" s="17" t="str">
        <v>&lt;li data-author="Taizé original" data-momento="TaizéORIG" data-nnew="Q37"&gt;&lt;a href="canciones/taize/el_alma_que_anda_en_amor.html"&gt;El alma que anda en amor&lt;/a&gt;&lt;/li&gt;</v>
      </c>
    </row>
    <row r="71" spans="9:25" x14ac:dyDescent="0.3">
      <c r="I71" s="17" t="str">
        <v>&lt;li data-author="Ain Karem"&gt;&lt;a href="canciones/ain_karem/seguirte.html"&gt;Seguirte&lt;/a&gt;&lt;/li&gt;</v>
      </c>
      <c r="M71" s="17" t="str">
        <v>&lt;li data-author="Cesáreo Gabarain"&gt;&lt;a href="canciones/cesareo_gabarain/demos_gracias_al_señor.html"&gt;Demos gracias al Señor&lt;/a&gt;&lt;/li&gt;</v>
      </c>
      <c r="N71" s="17" t="str">
        <v>&lt;li data-author="Francisco Palazón"&gt;&lt;a href="canciones/francisco_palazon/dos_señores.html"&gt;Dos señores&lt;/a&gt;&lt;/li&gt;</v>
      </c>
      <c r="O71" s="17" t="str">
        <v>&lt;li data-author="Hakuna"&gt;&lt;a href="canciones/hakuna/el_abrazo.html"&gt;El abrazo&lt;/a&gt;&lt;/li&gt;</v>
      </c>
      <c r="Q71" s="17" t="str">
        <v>&lt;li data-author="Ixcís"&gt;&lt;a href="canciones/ixcis/me_llamais.html"&gt;Me llamáis&lt;/a&gt;&lt;/li&gt;</v>
      </c>
      <c r="R71" s="17" t="str">
        <v>&lt;li data-author="Kairoi"&gt;&lt;a href="canciones/kairoi/deja_que_en_tu_vida_cante_el.html"&gt;Deja que en tu vida cante Él&lt;/a&gt;&lt;/li&gt;</v>
      </c>
      <c r="S71" s="17" t="str">
        <v>&lt;li data-author="Cesáreo Gabarain" data-momento="Comunión" data-nnew="K78" data-nold="251"&gt;&lt;a href="canciones/cesareo_gabarain/tu_nos_dijiste_que_la_muerte.html"&gt;Tú nos dijiste que la muerte&lt;/a&gt;&lt;/li&gt;</v>
      </c>
      <c r="X71" s="17" t="str">
        <v>&lt;li data-author="Taizé en español" data-momento="TaizéESP" data-nnew="Q46"&gt;&lt;a href="canciones/taize/in_resurrectione_tua.html"&gt;Alégrense el Cielo y la Tierra&lt;/a&gt;&lt;/li&gt;</v>
      </c>
      <c r="Y71" s="17" t="str">
        <v>&lt;li data-author="Taizé original" data-momento="TaizéORIG" data-nnew="Q74"&gt;&lt;a href="canciones/taize/the_kingdom_of_god.html"&gt;The kingdom of God&lt;/a&gt;&lt;/li&gt;</v>
      </c>
    </row>
    <row r="72" spans="9:25" x14ac:dyDescent="0.3">
      <c r="I72" s="17" t="str">
        <v>&lt;li data-author="Ain Karem"&gt;&lt;a href="canciones/ain_karem/pueblo_suyo.html"&gt;Pueblo Suyo&lt;/a&gt;&lt;/li&gt;</v>
      </c>
      <c r="M72" s="17" t="str">
        <v>&lt;li data-author="Cesáreo Gabarain"&gt;&lt;a href="canciones/cesareo_gabarain/los_cielos_y_la_tierra.html"&gt;Los cielos y la tierra&lt;/a&gt;&lt;/li&gt;</v>
      </c>
      <c r="N72" s="17" t="str">
        <v>&lt;li data-author="Francisco Palazón"&gt;&lt;a href="canciones/francisco_palazon/buen_pastor.html"&gt;Buen pastor&lt;/a&gt;&lt;/li&gt;</v>
      </c>
      <c r="O72" s="17" t="str">
        <v>&lt;li data-author="Hakuna"&gt;&lt;a href="canciones/hakuna/en_lo_hondo.html"&gt;En lo hondo&lt;/a&gt;&lt;/li&gt;</v>
      </c>
      <c r="Q72" s="17" t="str">
        <v>&lt;li data-author="Ixcís"&gt;&lt;a href="canciones/ixcis/como_uno_de_tantos.html"&gt;Como uno de tantos&lt;/a&gt;&lt;/li&gt;</v>
      </c>
      <c r="R72" s="17" t="str">
        <v>&lt;li data-author="Kairoi"&gt;&lt;a href="canciones/kairoi/grito_libertad.html"&gt;Grito libertad&lt;/a&gt;&lt;/li&gt;</v>
      </c>
      <c r="S72" s="17" t="str">
        <v>&lt;li data-author="Cesáreo Gabarain" data-momento="Entrada" data-nnew="A25"&gt;&lt;a href="canciones/cesareo_gabarain/peregrino_(exodo_y_liberacion).html"&gt;Peregrino (Éxodo y liberación)&lt;/a&gt;&lt;/li&gt;</v>
      </c>
      <c r="X72" s="17" t="str">
        <v>&lt;li data-author="Taizé en español" data-momento="TaizéESP" data-nnew="Q76"&gt;&lt;a href="canciones/taize/tu_sei_sorgente_viva.html"&gt;Tú eres fuente viva&lt;/a&gt;&lt;/li&gt;</v>
      </c>
      <c r="Y72" s="17" t="str">
        <v>&lt;li data-author="Taizé original" data-momento="TaizéORIG" data-nnew="Q16"&gt;&lt;a href="canciones/taize/bog_jest_miłością.html"&gt;Bóg jest miłością&lt;/a&gt;&lt;/li&gt;</v>
      </c>
    </row>
    <row r="73" spans="9:25" x14ac:dyDescent="0.3">
      <c r="I73" s="17" t="str">
        <v>&lt;li data-author="Ain Karem"&gt;&lt;a href="canciones/ain_karem/quedas_libre.html"&gt;Quedas libre&lt;/a&gt;&lt;/li&gt;</v>
      </c>
      <c r="M73" s="17" t="str">
        <v>&lt;li data-author="Cesáreo Gabarain"&gt;&lt;a href="canciones/cesareo_gabarain/como_a_su_madre_acuden.html"&gt;Como a su Madre acuden&lt;/a&gt;&lt;/li&gt;</v>
      </c>
      <c r="N73" s="17" t="str">
        <v>&lt;li data-author="Francisco Palazón"&gt;&lt;a href="canciones/francisco_palazon/el_pobre_lazaro.html"&gt;El pobre Lázaro&lt;/a&gt;&lt;/li&gt;</v>
      </c>
      <c r="O73" s="17" t="str">
        <v>&lt;li data-author="Hakuna"&gt;&lt;a href="canciones/hakuna/colombia.html"&gt;Colombia&lt;/a&gt;&lt;/li&gt;</v>
      </c>
      <c r="Q73" s="17" t="str">
        <v>&lt;li data-author="Ixcís"&gt;&lt;a href="canciones/ixcis/en_medio_de_vosotros.html"&gt;En medio de vosotros&lt;/a&gt;&lt;/li&gt;</v>
      </c>
      <c r="R73" s="17" t="str">
        <v>&lt;li data-author="Kairoi"&gt;&lt;a href="canciones/kairoi/si_jesus.html"&gt;Sí, Jesús&lt;/a&gt;&lt;/li&gt;</v>
      </c>
      <c r="S73" s="17" t="str">
        <v>&lt;li data-author="Cesáreo Gabarain" data-momento="Comunión" data-nnew="K54" data-nold="313" data-nrcc="318"&gt;&lt;a href="canciones/cesareo_gabarain/pescador_de_hombres.html"&gt;Pescador de hombres&lt;/a&gt;&lt;/li&gt;</v>
      </c>
      <c r="X73" s="17" t="str">
        <v>&lt;li data-author="Taizé en español" data-momento="TaizéESP" data-nnew="Q57"&gt;&lt;a href="canciones/taize/l’ajuda_em_vindrà.html"&gt;La ayuda vendrá&lt;/a&gt;&lt;/li&gt;</v>
      </c>
      <c r="Y73" s="17" t="str">
        <v>&lt;li data-author="Taizé original" data-momento="TaizéORIG" data-nnew="Q18"&gt;&lt;a href="canciones/taize/bogoroditse_dievo_1.html"&gt;Bogoroditse Dievo 1&lt;/a&gt;&lt;/li&gt;</v>
      </c>
    </row>
    <row r="74" spans="9:25" x14ac:dyDescent="0.3">
      <c r="I74" s="17" t="str">
        <v>&lt;li data-author="Ain Karem"&gt;&lt;a href="canciones/ain_karem/si_le_dais_posada.html"&gt;Si le dais posada&lt;/a&gt;&lt;/li&gt;</v>
      </c>
      <c r="M74" s="17" t="str">
        <v>&lt;li data-author="Cesáreo Gabarain"&gt;&lt;a href="canciones/cesareo_gabarain/hoy_he_vuelto.html"&gt;Hoy he vuelto&lt;/a&gt;&lt;/li&gt;</v>
      </c>
      <c r="N74" s="17" t="str">
        <v>&lt;li data-author="Francisco Palazón"&gt;&lt;a href="canciones/francisco_palazon/despues_de_la_medianoche.html"&gt;Después de la medianoche&lt;/a&gt;&lt;/li&gt;</v>
      </c>
      <c r="O74" s="17" t="str">
        <v>&lt;li data-author="Hakuna"&gt;&lt;a href="canciones/hakuna/vertigo.html"&gt;Vértigo&lt;/a&gt;&lt;/li&gt;</v>
      </c>
      <c r="Q74" s="17" t="str">
        <v>&lt;li data-author="Ixcís"&gt;&lt;a href="canciones/ixcis/mi_dios_y_mi_todo.html"&gt;Mi Dios y mi todo&lt;/a&gt;&lt;/li&gt;</v>
      </c>
      <c r="R74" s="17" t="str">
        <v>&lt;li data-author="Kairoi"&gt;&lt;a href="canciones/kairoi/no_temais.html"&gt;No temáis&lt;/a&gt;&lt;/li&gt;</v>
      </c>
      <c r="S74" s="17" t="str">
        <v>&lt;li data-author="Cesáreo Gabarain" data-momento="Comunión" data-nnew="K74" data-nold="266"&gt;&lt;a href="canciones/cesareo_gabarain/todos_unidos.html"&gt;Todos unidos&lt;/a&gt;&lt;/li&gt;</v>
      </c>
      <c r="X74" s="17" t="str">
        <v>&lt;li data-author="Taizé en español" data-momento="TaizéESP" data-nnew="Q09"&gt;&lt;a href="canciones/taize/alleluia_96.html"&gt;Aleluya 96&lt;/a&gt;&lt;/li&gt;</v>
      </c>
      <c r="Y74" s="17" t="str">
        <v>&lt;li data-author="Taizé original" data-momento="TaizéORIG" data-nnew="Q11"&gt;&lt;a href="canciones/taize/beati_voi_poveri.html"&gt;Beati voi poveri&lt;/a&gt;&lt;/li&gt;</v>
      </c>
    </row>
    <row r="75" spans="9:25" x14ac:dyDescent="0.3">
      <c r="I75" s="17" t="str">
        <v>&lt;li data-author="Ain Karem"&gt;&lt;a href="canciones/ain_karem/es_mi_hermano.html"&gt;Es mi hermano&lt;/a&gt;&lt;/li&gt;</v>
      </c>
      <c r="M75" s="17" t="str">
        <v>&lt;li data-author="Cesáreo Gabarain"&gt;&lt;a href="canciones/cesareo_gabarain/antes_que_el_mundo_hiciera.html"&gt;Antes que el mundo hiciera&lt;/a&gt;&lt;/li&gt;</v>
      </c>
      <c r="N75" s="17" t="str">
        <v>&lt;li data-author="Francisco Palazón"&gt;&lt;a href="canciones/francisco_palazon/tuyo_es_el_reino.html"&gt;Tuyo es el reino&lt;/a&gt;&lt;/li&gt;</v>
      </c>
      <c r="O75" s="17" t="str">
        <v>&lt;li data-author="Hakuna"&gt;&lt;a href="canciones/hakuna/concienciame.html"&gt;Conciénciame&lt;/a&gt;&lt;/li&gt;</v>
      </c>
      <c r="Q75" s="17" t="str">
        <v>&lt;li data-author="Ixcís"&gt;&lt;a href="canciones/ixcis/maria_enseñame_a_vivir_el_evangelio.html"&gt;María, enséñame a vivir el Evangelio&lt;/a&gt;&lt;/li&gt;</v>
      </c>
      <c r="R75" s="17" t="str">
        <v>&lt;li data-author="Kairoi"&gt;&lt;a href="canciones/kairoi/la_libertad_del_espiritu.html"&gt;La libertad del Espíritu&lt;/a&gt;&lt;/li&gt;</v>
      </c>
      <c r="S75" s="17" t="str">
        <v>&lt;li data-author="Cesáreo Gabarain" data-momento="Comunión" data-nnew="K68" data-nold="241"&gt;&lt;a href="canciones/cesareo_gabarain/sois_la_semilla.html"&gt;Sois la semilla&lt;/a&gt;&lt;/li&gt;</v>
      </c>
      <c r="X75" s="17" t="str">
        <v>&lt;li data-author="Taizé en español" data-momento="TaizéESP" data-nnew="Q82"&gt;&lt;a href="canciones/taize/wysławiajcie_pana.html"&gt;Alabado sea el Señor&lt;/a&gt;&lt;/li&gt;</v>
      </c>
      <c r="Y75" s="17" t="str">
        <v>&lt;li data-author="Taizé original" data-momento="TaizéORIG" data-nnew="Q45"&gt;&lt;a href="canciones/taize/in_manus_tuas.html"&gt;In manus tuas&lt;/a&gt;&lt;/li&gt;</v>
      </c>
    </row>
    <row r="76" spans="9:25" x14ac:dyDescent="0.3">
      <c r="I76" s="17" t="str">
        <v>&lt;li data-author="Ain Karem"&gt;&lt;a href="canciones/ain_karem/jesus.html"&gt;Jesús&lt;/a&gt;&lt;/li&gt;</v>
      </c>
      <c r="M76" s="17" t="str">
        <v>&lt;li data-author="Cesáreo Gabarain"&gt;&lt;a href="canciones/cesareo_gabarain/maria_es_esa_mujer.html"&gt;María es esa mujer&lt;/a&gt;&lt;/li&gt;</v>
      </c>
      <c r="N76" s="17" t="str">
        <v>&lt;li data-author="Francisco Palazón"&gt;&lt;a href="canciones/francisco_palazon/bendice_alma_mia_al_señor.html"&gt;Bendice, alma mía, al Señor&lt;/a&gt;&lt;/li&gt;</v>
      </c>
      <c r="O76" s="17" t="str">
        <v>&lt;li data-author="Hakuna"&gt;&lt;a href="canciones/hakuna/bendito.html"&gt;Bendito&lt;/a&gt;&lt;/li&gt;</v>
      </c>
      <c r="Q76" s="17" t="str">
        <v>&lt;li data-author="Ixcís"&gt;&lt;a href="canciones/ixcis/pastor_bone.html"&gt;Pastor bone&lt;/a&gt;&lt;/li&gt;</v>
      </c>
      <c r="R76" s="17" t="str">
        <v>&lt;li data-author="Kairoi"&gt;&lt;a href="canciones/kairoi/quejate_si_puedes.html"&gt;Quéjate si puedes&lt;/a&gt;&lt;/li&gt;</v>
      </c>
      <c r="S76" s="17" t="str">
        <v>&lt;li data-author="Cesáreo Gabarain" data-nold="315"&gt;&lt;a href="canciones/cesareo_gabarain/yo_pensaba_que_el_hombre_era_grande.html"&gt;Yo pensaba que el hombre era grande&lt;/a&gt;&lt;/li&gt;</v>
      </c>
      <c r="X76" s="17" t="str">
        <v>&lt;li data-author="Taizé en español" data-momento="TaizéESP" data-nnew="Q08"&gt;&lt;a href="canciones/taize/alleluia_94.html"&gt;Aleluya 94&lt;/a&gt;&lt;/li&gt;</v>
      </c>
      <c r="Y76" s="17" t="str">
        <v>&lt;li data-author="Taizé original" data-momento="TaizéORIG" data-nnew="Q51"&gt;&lt;a href="canciones/taize/jubilate_deo_omnis_terra.html"&gt;Jubilate Deo omnis terra&lt;/a&gt;&lt;/li&gt;</v>
      </c>
    </row>
    <row r="77" spans="9:25" x14ac:dyDescent="0.3">
      <c r="I77" s="17" t="str">
        <v>&lt;li data-author="Ain Karem"&gt;&lt;a href="canciones/ain_karem/el_reino_de_dios.html"&gt;El Reino de Dios&lt;/a&gt;&lt;/li&gt;</v>
      </c>
      <c r="M77" s="17" t="str">
        <v>&lt;li data-author="Cesáreo Gabarain"&gt;&lt;a href="canciones/cesareo_gabarain/muy_de_mañana.html"&gt;Muy de mañana&lt;/a&gt;&lt;/li&gt;</v>
      </c>
      <c r="N77" s="17" t="str">
        <v>&lt;li data-author="Francisco Palazón"&gt;&lt;a href="canciones/francisco_palazon/alegrate_y_goza_jerusalen.html"&gt;Alégrate y goza, Jerusalén&lt;/a&gt;&lt;/li&gt;</v>
      </c>
      <c r="O77" s="17" t="str">
        <v>&lt;li data-author="Hakuna"&gt;&lt;a href="canciones/hakuna/arde_(san_jose).html"&gt;Arde (San José)&lt;/a&gt;&lt;/li&gt;</v>
      </c>
      <c r="Q77" s="17" t="str">
        <v>&lt;li data-author="Ixcís"&gt;&lt;a href="canciones/ixcis/señor_expropiame.html"&gt;Señor, exprópiame&lt;/a&gt;&lt;/li&gt;</v>
      </c>
      <c r="R77" s="17" t="str">
        <v>&lt;li data-author="Kairoi"&gt;&lt;a href="canciones/kairoi/lo_entregaron_todo.html"&gt;Lo entregaron todo&lt;/a&gt;&lt;/li&gt;</v>
      </c>
      <c r="S77" s="17" t="str">
        <v>&lt;li data-author="Cesáreo Gabarain" data-momento="Despedida" data-nnew="L04" data-nold="140"&gt;&lt;a href="canciones/cesareo_gabarain/hoy_señor_te_damos_gracias.html"&gt;Hoy, Señor, te damos gracias&lt;/a&gt;&lt;/li&gt;</v>
      </c>
      <c r="X77" s="17" t="str">
        <v>&lt;li data-author="Taizé en español" data-momento="TaizéESP" data-nnew="Q10"&gt;&lt;a href="canciones/taize/alleluia_97.html"&gt;Aleluya 97&lt;/a&gt;&lt;/li&gt;</v>
      </c>
      <c r="Y77" s="17" t="str">
        <v>&lt;li data-author="Taizé original" data-momento="TaizéORIG" data-nnew="Q46"&gt;&lt;a href="canciones/taize/in_resurrectione_tua.html"&gt;In resurrectione tua&lt;/a&gt;&lt;/li&gt;</v>
      </c>
    </row>
    <row r="78" spans="9:25" x14ac:dyDescent="0.3">
      <c r="I78" s="17" t="str">
        <v>&lt;li data-author="Ain Karem"&gt;&lt;a href="canciones/ain_karem/recibid_mi_espiritu.html"&gt;Recibid mi Espíritu&lt;/a&gt;&lt;/li&gt;</v>
      </c>
      <c r="M78" s="17" t="str">
        <v>&lt;li data-author="Cesáreo Gabarain"&gt;&lt;a href="canciones/cesareo_gabarain/cristo_nuestro_hermano.html"&gt;Cristo nuestro hermano&lt;/a&gt;&lt;/li&gt;</v>
      </c>
      <c r="N78" s="17" t="str">
        <v>&lt;li data-author="Francisco Palazón"&gt;&lt;a href="canciones/francisco_palazon/te_doy_gracias_señor.html"&gt;Te doy gracias, Señor&lt;/a&gt;&lt;/li&gt;</v>
      </c>
      <c r="O78" s="17" t="str">
        <v>&lt;li data-author="Hakuna"&gt;&lt;a href="canciones/hakuna/todos_por_todos.html"&gt;Todos por todos&lt;/a&gt;&lt;/li&gt;</v>
      </c>
      <c r="Q78" s="17" t="str">
        <v>&lt;li data-author="Ixcís"&gt;&lt;a href="canciones/ixcis/confio.html"&gt;Confío&lt;/a&gt;&lt;/li&gt;</v>
      </c>
      <c r="R78" s="17" t="str">
        <v>&lt;li data-author="Kairoi"&gt;&lt;a href="canciones/kairoi/vale_mas_hablar_con_dios.html"&gt;Vale más hablar con Dios&lt;/a&gt;&lt;/li&gt;</v>
      </c>
      <c r="S78" s="17" t="str">
        <v>&lt;li data-author="Cesáreo Gabarain" data-nold="89"&gt;&lt;a href="canciones/cesareo_gabarain/en_el_trabajo_de_cada_dia.html"&gt;En el trabajo de cada día&lt;/a&gt;&lt;/li&gt;</v>
      </c>
      <c r="X78" s="17" t="str">
        <v>&lt;li data-author="Taizé en español" data-momento="TaizéESP" data-nnew="Q65"&gt;&lt;a href="canciones/taize/para_mim_ser_feliz.html"&gt;Para mí ser feliz&lt;/a&gt;&lt;/li&gt;</v>
      </c>
      <c r="Y78" s="17" t="str">
        <v>&lt;li data-author="Taizé original" data-momento="TaizéORIG" data-nnew="Q76"&gt;&lt;a href="canciones/taize/tu_sei_sorgente_viva.html"&gt;Tu sei sorgente viva&lt;/a&gt;&lt;/li&gt;</v>
      </c>
    </row>
    <row r="79" spans="9:25" x14ac:dyDescent="0.3">
      <c r="I79" s="17" t="str">
        <v>&lt;li data-author="Ain Karem"&gt;&lt;a href="canciones/ain_karem/confia.html"&gt;Confía&lt;/a&gt;&lt;/li&gt;</v>
      </c>
      <c r="M79" s="17" t="str">
        <v>&lt;li data-author="Cesáreo Gabarain"&gt;&lt;a href="canciones/cesareo_gabarain/luz_de_la_mañana.html"&gt;Luz de la mañana&lt;/a&gt;&lt;/li&gt;</v>
      </c>
      <c r="N79" s="17" t="str">
        <v>&lt;li data-author="Francisco Palazón"&gt;&lt;a href="canciones/francisco_palazon/aleluya_aleluya_aleluya.html"&gt;Aleluya, aleluya, aleluya&lt;/a&gt;&lt;/li&gt;</v>
      </c>
      <c r="O79" s="17" t="str">
        <v>&lt;li data-author="Hakuna"&gt;&lt;a href="canciones/hakuna/forofos.html"&gt;Forofos&lt;/a&gt;&lt;/li&gt;</v>
      </c>
      <c r="Q79" s="17" t="str">
        <v>&lt;li data-author="Ixcís"&gt;&lt;a href="canciones/ixcis/nada_es_imposible.html"&gt;Nada es imposible&lt;/a&gt;&lt;/li&gt;</v>
      </c>
      <c r="R79" s="17" t="str">
        <v>&lt;li data-author="Kairoi"&gt;&lt;a href="canciones/kairoi/de_lo_debil_saca_fuerzas_dios.html"&gt;De lo débil saca fuerzas Dios&lt;/a&gt;&lt;/li&gt;</v>
      </c>
      <c r="S79" s="17" t="str">
        <v>&lt;li data-author="Cesáreo Gabarain" data-momento="Entrada" data-nnew="A43" data-nold="278"&gt;&lt;a href="canciones/cesareo_gabarain/vienen_con_alegria.html"&gt;Vienen con alegría&lt;/a&gt;&lt;/li&gt;</v>
      </c>
      <c r="X79" s="17" t="str">
        <v>&lt;li data-author="Taizé en español" data-momento="TaizéESP" data-nnew="Q53"&gt;&lt;a href="canciones/taize/kyrie_1.html"&gt;Ten piedad, Señor 1&lt;/a&gt;&lt;/li&gt;</v>
      </c>
      <c r="Y79" s="17" t="str">
        <v>&lt;li data-author="Taizé original" data-momento="TaizéORIG" data-nnew="Q57"&gt;&lt;a href="canciones/taize/l’ajuda_em_vindrà.html"&gt;L’ajuda em vindrà&lt;/a&gt;&lt;/li&gt;</v>
      </c>
    </row>
    <row r="80" spans="9:25" x14ac:dyDescent="0.3">
      <c r="I80" s="17" t="str">
        <v>&lt;li data-author="Ain Karem"&gt;&lt;a href="canciones/ain_karem/como_tu.html"&gt;Como Tú&lt;/a&gt;&lt;/li&gt;</v>
      </c>
      <c r="M80" s="17" t="str">
        <v>&lt;li data-author="Cesáreo Gabarain"&gt;&lt;a href="canciones/cesareo_gabarain/dijo_que_si_maria.html"&gt;Dijo que sí María&lt;/a&gt;&lt;/li&gt;</v>
      </c>
      <c r="N80" s="17" t="str">
        <v>&lt;li data-author="Francisco Palazón"&gt;&lt;a href="canciones/francisco_palazon/alabad_al_señor_por_su_inmensa_grandeza.html"&gt;Alabad al Señor por su inmensa grandeza&lt;/a&gt;&lt;/li&gt;</v>
      </c>
      <c r="O80" s="17" t="str">
        <v>&lt;li data-author="Hakuna"&gt;&lt;a href="canciones/hakuna/a_ti_te_alabo.html"&gt;A ti te alabo&lt;/a&gt;&lt;/li&gt;</v>
      </c>
      <c r="Q80" s="17" t="str">
        <v>&lt;li data-author="Ixcís"&gt;&lt;a href="canciones/ixcis/tu_saber_me_sobrepasa.html"&gt;Tu saber me sobrepasa&lt;/a&gt;&lt;/li&gt;</v>
      </c>
      <c r="R80" s="17" t="str">
        <v>&lt;li data-author="Kairoi"&gt;&lt;a href="canciones/kairoi/fueron_valientes.html"&gt;Fueron valientes&lt;/a&gt;&lt;/li&gt;</v>
      </c>
      <c r="S80" s="17" t="str">
        <v>&lt;li data-author="Cesáreo Gabarain" data-nold="302"&gt;&lt;a href="canciones/cesareo_gabarain/cristo_te_necesita_para_amar.html"&gt;Cristo te necesita para amar&lt;/a&gt;&lt;/li&gt;</v>
      </c>
      <c r="X80" s="17" t="str">
        <v>&lt;li data-author="Taizé en español" data-momento="TaizéESP" data-nnew="Q55"&gt;&lt;a href="canciones/taize/kyrie_8.html"&gt;Ten piedad, Señor 8&lt;/a&gt;&lt;/li&gt;</v>
      </c>
      <c r="Y80" s="17" t="str">
        <v>&lt;li data-author="Taizé original" data-momento="TaizéORIG" data-nnew="Q09"&gt;&lt;a href="canciones/taize/alleluia_96.html"&gt;Alleluia 96&lt;/a&gt;&lt;/li&gt;</v>
      </c>
    </row>
    <row r="81" spans="9:25" x14ac:dyDescent="0.3">
      <c r="I81" s="17" t="str">
        <v>&lt;li data-author="Ain Karem"&gt;&lt;a href="canciones/ain_karem/pequeño_israel.html"&gt;Pequeño Israel&lt;/a&gt;&lt;/li&gt;</v>
      </c>
      <c r="M81" s="17" t="str">
        <v>&lt;li data-author="Cesáreo Gabarain"&gt;&lt;a href="canciones/cesareo_gabarain/gloria_gloria.html"&gt;Gloria, gloria&lt;/a&gt;&lt;/li&gt;</v>
      </c>
      <c r="O81" s="17" t="str">
        <v>&lt;li data-author="Hakuna"&gt;&lt;a href="canciones/hakuna/los_coros_del_universo.html"&gt;Los coros del universo&lt;/a&gt;&lt;/li&gt;</v>
      </c>
      <c r="Q81" s="17" t="str">
        <v>&lt;li data-author="Ixcís"&gt;&lt;a href="canciones/ixcis/nada_vale_la_pena.html"&gt;Nada vale la pena&lt;/a&gt;&lt;/li&gt;</v>
      </c>
      <c r="R81" s="17" t="str">
        <v>&lt;li data-author="Kairoi"&gt;&lt;a href="canciones/kairoi/te_reclamaran_la_vida.html"&gt;Te reclamarán la vida&lt;/a&gt;&lt;/li&gt;</v>
      </c>
      <c r="S81" s="17" t="str">
        <v>&lt;li data-author="Cesáreo Gabarain" data-nold="311"&gt;&lt;a href="canciones/cesareo_gabarain/yo_tengo_un_amigo_que_me_ama.html"&gt;Yo tengo un amigo que me ama&lt;/a&gt;&lt;/li&gt;</v>
      </c>
      <c r="Y81" s="17" t="str">
        <v>&lt;li data-author="Taizé original" data-momento="TaizéORIG" data-nnew="Q82"&gt;&lt;a href="canciones/taize/wysławiajcie_pana.html"&gt;Wysławiajcie Pana&lt;/a&gt;&lt;/li&gt;</v>
      </c>
    </row>
    <row r="82" spans="9:25" x14ac:dyDescent="0.3">
      <c r="I82" s="17" t="str">
        <v>&lt;li data-author="Ain Karem"&gt;&lt;a href="canciones/ain_karem/vivid_en_comunion.html"&gt;Vivid en comunión&lt;/a&gt;&lt;/li&gt;</v>
      </c>
      <c r="M82" s="17" t="str">
        <v>&lt;li data-author="Cesáreo Gabarain"&gt;&lt;a href="canciones/cesareo_gabarain/creo_señor.html"&gt;Creo, Señor&lt;/a&gt;&lt;/li&gt;</v>
      </c>
      <c r="O82" s="17" t="str">
        <v>&lt;li data-author="Hakuna"&gt;&lt;a href="canciones/hakuna/en_medio_del_fuego.html"&gt;En medio del fuego&lt;/a&gt;&lt;/li&gt;</v>
      </c>
      <c r="Q82" s="17" t="str">
        <v>&lt;li data-author="Ixcís"&gt;&lt;a href="canciones/ixcis/un_solo_corazon.html"&gt;Un solo corazón&lt;/a&gt;&lt;/li&gt;</v>
      </c>
      <c r="R82" s="17" t="str">
        <v>&lt;li data-author="Kairoi"&gt;&lt;a href="canciones/kairoi/esperad_al_señor.html"&gt;Esperad al Señor&lt;/a&gt;&lt;/li&gt;</v>
      </c>
      <c r="S82" s="17" t="str">
        <v>&lt;li data-author="Cesáreo Gabarain" data-momento="Entrada" data-nnew="A10" data-nold="38"&gt;&lt;a href="canciones/cesareo_gabarain/caminando_voy.html"&gt;Caminando voy&lt;/a&gt;&lt;/li&gt;</v>
      </c>
      <c r="Y82" s="17" t="str">
        <v>&lt;li data-author="Taizé original" data-momento="TaizéORIG" data-nnew="Q08"&gt;&lt;a href="canciones/taize/alleluia_94.html"&gt;Alleluia 94&lt;/a&gt;&lt;/li&gt;</v>
      </c>
    </row>
    <row r="83" spans="9:25" x14ac:dyDescent="0.3">
      <c r="I83" s="17" t="str">
        <v>&lt;li data-author="Ain Karem"&gt;&lt;a href="canciones/ain_karem/vengan_a_mi.html"&gt;Vengan a mí&lt;/a&gt;&lt;/li&gt;</v>
      </c>
      <c r="M83" s="17" t="str">
        <v>&lt;li data-author="Cesáreo Gabarain"&gt;&lt;a href="canciones/cesareo_gabarain/santo_(i).html"&gt;Santo (I)&lt;/a&gt;&lt;/li&gt;</v>
      </c>
      <c r="O83" s="17" t="str">
        <v>&lt;li data-author="Hakuna"&gt;&lt;a href="canciones/hakuna/aleluya.html"&gt;Aleluya&lt;/a&gt;&lt;/li&gt;</v>
      </c>
      <c r="Q83" s="17" t="str">
        <v>&lt;li data-author="Ixcís"&gt;&lt;a href="canciones/ixcis/aqui_estoy.html"&gt;Aquí estoy&lt;/a&gt;&lt;/li&gt;</v>
      </c>
      <c r="R83" s="17" t="str">
        <v>&lt;li data-author="Kairoi"&gt;&lt;a href="canciones/kairoi/buena_madre.html"&gt;Buena Madre&lt;/a&gt;&lt;/li&gt;</v>
      </c>
      <c r="S83" s="17" t="str">
        <v>&lt;li data-author="Cesáreo Gabarain" data-momento="Comunión" data-nnew="K32" data-nold="106"&gt;&lt;a href="canciones/cesareo_gabarain/eres_mi_riqueza.html"&gt;Eres mi riqueza&lt;/a&gt;&lt;/li&gt;</v>
      </c>
      <c r="Y83" s="17" t="str">
        <v>&lt;li data-author="Taizé original" data-momento="TaizéORIG" data-nnew="Q10"&gt;&lt;a href="canciones/taize/alleluia_97.html"&gt;Alleluia 97&lt;/a&gt;&lt;/li&gt;</v>
      </c>
    </row>
    <row r="84" spans="9:25" x14ac:dyDescent="0.3">
      <c r="I84" s="17" t="str">
        <v>&lt;li data-author="Ain Karem"&gt;&lt;a href="canciones/ain_karem/os_envio.html"&gt;Os envío&lt;/a&gt;&lt;/li&gt;</v>
      </c>
      <c r="M84" s="17" t="str">
        <v>&lt;li data-author="Cesáreo Gabarain"&gt;&lt;a href="canciones/cesareo_gabarain/tu_nos_invitas_jesus.html"&gt;Tú nos invitas, Jesús&lt;/a&gt;&lt;/li&gt;</v>
      </c>
      <c r="O84" s="17" t="str">
        <v>&lt;li data-author="Hakuna"&gt;&lt;a href="canciones/hakuna/ruah.html"&gt;Ruah&lt;/a&gt;&lt;/li&gt;</v>
      </c>
      <c r="Q84" s="17" t="str">
        <v>&lt;li data-author="Ixcís"&gt;&lt;a href="canciones/ixcis/en_los_pobres_yo_te_vi.html"&gt;En los pobres yo te vi&lt;/a&gt;&lt;/li&gt;</v>
      </c>
      <c r="R84" s="17" t="str">
        <v>&lt;li data-author="Kairoi"&gt;&lt;a href="canciones/kairoi/construyenos_la_casa.html"&gt;Constrúyenos la casa&lt;/a&gt;&lt;/li&gt;</v>
      </c>
      <c r="S84" s="17" t="str">
        <v>&lt;li data-author="Cesáreo Gabarain" data-momento="Comunión" data-nnew="K40" data-nold="142"&gt;&lt;a href="canciones/cesareo_gabarain/iglesia_soy.html"&gt;Iglesia soy&lt;/a&gt;&lt;/li&gt;</v>
      </c>
      <c r="Y84" s="17" t="str">
        <v>&lt;li data-author="Taizé original" data-momento="TaizéORIG" data-nnew="Q53"&gt;&lt;a href="canciones/taize/kyrie_1.html"&gt;Kyrie 1&lt;/a&gt;&lt;/li&gt;</v>
      </c>
    </row>
    <row r="85" spans="9:25" x14ac:dyDescent="0.3">
      <c r="I85" s="17" t="str">
        <v>&lt;li data-author="Ain Karem"&gt;&lt;a href="canciones/ain_karem/fuego.html"&gt;Fuego&lt;/a&gt;&lt;/li&gt;</v>
      </c>
      <c r="M85" s="17" t="str">
        <v>&lt;li data-author="Cesáreo Gabarain"&gt;&lt;a href="canciones/cesareo_gabarain/junto_al_mar.html"&gt;Junto al mar&lt;/a&gt;&lt;/li&gt;</v>
      </c>
      <c r="O85" s="17" t="str">
        <v>&lt;li data-author="Hakuna"&gt;&lt;a href="canciones/hakuna/padre.html"&gt;Padre&lt;/a&gt;&lt;/li&gt;</v>
      </c>
      <c r="Q85" s="17" t="str">
        <v>&lt;li data-author="Ixcís"&gt;&lt;a href="canciones/ixcis/me_sedujiste.html"&gt;Me sedujiste&lt;/a&gt;&lt;/li&gt;</v>
      </c>
      <c r="R85" s="17" t="str">
        <v>&lt;li data-author="Kairoi"&gt;&lt;a href="canciones/kairoi/hermano_entre_los_hombres.html"&gt;Hermano entre los hombres&lt;/a&gt;&lt;/li&gt;</v>
      </c>
      <c r="S85" s="17" t="str">
        <v>&lt;li data-author="Cesáreo Gabarain" data-momento="Aleluya" data-nnew="E06" data-nold="20"&gt;&lt;a href="canciones/cesareo_gabarain/aleluya_creo_en_ti_señor.html"&gt;Aleluya, creo en Ti, Señor&lt;/a&gt;&lt;/li&gt;</v>
      </c>
      <c r="Y85" s="17" t="str">
        <v>&lt;li data-author="Taizé original" data-momento="TaizéORIG" data-nnew="Q55"&gt;&lt;a href="canciones/taize/kyrie_8.html"&gt;Kyrie 8&lt;/a&gt;&lt;/li&gt;</v>
      </c>
    </row>
    <row r="86" spans="9:25" x14ac:dyDescent="0.3">
      <c r="I86" s="17" t="str">
        <v>&lt;li data-author="Ain Karem"&gt;&lt;a href="canciones/ain_karem/mujeres_en_camino.html"&gt;Mujeres en camino&lt;/a&gt;&lt;/li&gt;</v>
      </c>
      <c r="M86" s="17" t="str">
        <v>&lt;li data-author="Cesáreo Gabarain"&gt;&lt;a href="canciones/cesareo_gabarain/buen_pastor.html"&gt;Buen pastor&lt;/a&gt;&lt;/li&gt;</v>
      </c>
      <c r="O86" s="17" t="str">
        <v>&lt;li data-author="Hakuna"&gt;&lt;a href="canciones/hakuna/te_alabare.html"&gt;Te alabaré&lt;/a&gt;&lt;/li&gt;</v>
      </c>
      <c r="Q86" s="17" t="str">
        <v>&lt;li data-author="Ixcís"&gt;&lt;a href="canciones/ixcis/podare.html"&gt;Podaré&lt;/a&gt;&lt;/li&gt;</v>
      </c>
      <c r="R86" s="17" t="str">
        <v>&lt;li data-author="Kairoi"&gt;&lt;a href="canciones/kairoi/en_torno_al_pan.html"&gt;En torno al pan&lt;/a&gt;&lt;/li&gt;</v>
      </c>
      <c r="S86" s="17" t="str">
        <v>&lt;li data-author="Cesáreo Gabarain" data-nold="70"&gt;&lt;a href="canciones/cesareo_gabarain/cuando_rezamos_cuando_cantamos.html"&gt;Cuando rezamos, cuando cantamos&lt;/a&gt;&lt;/li&gt;</v>
      </c>
      <c r="Y86" s="17" t="str">
        <v>&lt;li data-author="Taizé original" data-momento="TaizéORIG" data-nnew="Q65"&gt;&lt;a href="canciones/taize/para_mim_ser_feliz.html"&gt;Para mim, ser feliz&lt;/a&gt;&lt;/li&gt;</v>
      </c>
    </row>
    <row r="87" spans="9:25" x14ac:dyDescent="0.3">
      <c r="I87" s="17" t="str">
        <v>&lt;li data-author="Ain Karem"&gt;&lt;a href="canciones/ain_karem/no_temas.html"&gt;No temas&lt;/a&gt;&lt;/li&gt;</v>
      </c>
      <c r="M87" s="17" t="str">
        <v>&lt;li data-author="Cesáreo Gabarain"&gt;&lt;a href="canciones/cesareo_gabarain/samaritana.html"&gt;Samaritana&lt;/a&gt;&lt;/li&gt;</v>
      </c>
      <c r="O87" s="17" t="str">
        <v>&lt;li data-author="Hakuna"&gt;&lt;a href="canciones/hakuna/sanas.html"&gt;Sanas&lt;/a&gt;&lt;/li&gt;</v>
      </c>
      <c r="Q87" s="17" t="str">
        <v>&lt;li data-author="Ixcís"&gt;&lt;a href="canciones/ixcis/ven_espiritu_de_dios.html"&gt;Ven, Espíritu de Dios&lt;/a&gt;&lt;/li&gt;</v>
      </c>
      <c r="R87" s="17" t="str">
        <v>&lt;li data-author="Kairoi"&gt;&lt;a href="canciones/kairoi/acuerdate_maria.html"&gt;Acuérdate, María&lt;/a&gt;&lt;/li&gt;</v>
      </c>
      <c r="S87" s="17" t="str">
        <v>&lt;li data-author="Cesáreo Gabarain" data-nold="306"&gt;&lt;a href="canciones/cesareo_gabarain/la_misa_es_una_fiesta_muy_alegre.html"&gt;La misa es una fiesta muy alegre&lt;/a&gt;&lt;/li&gt;</v>
      </c>
      <c r="Y87" s="17" t="str">
        <v>&lt;li data-author="Taizé original" data-momento="TaizéORIG" data-nnew="Q75"&gt;&lt;a href="canciones/taize/tu_palabra_señor.html"&gt;Tu palabra, Señor&lt;/a&gt;&lt;/li&gt;</v>
      </c>
    </row>
    <row r="88" spans="9:25" x14ac:dyDescent="0.3">
      <c r="I88" s="17" t="str">
        <v>&lt;li data-author="Ain Karem"&gt;&lt;a href="canciones/ain_karem/abre_mis_puertas.html"&gt;Abre mis puertas&lt;/a&gt;&lt;/li&gt;</v>
      </c>
      <c r="M88" s="17" t="str">
        <v>&lt;li data-author="Cesáreo Gabarain"&gt;&lt;a href="canciones/cesareo_gabarain/mi_amigo_vive.html"&gt;Mi amigo vive&lt;/a&gt;&lt;/li&gt;</v>
      </c>
      <c r="O88" s="17" t="str">
        <v>&lt;li data-author="Hakuna"&gt;&lt;a href="canciones/hakuna/solo_tu.html"&gt;Sólo Tú&lt;/a&gt;&lt;/li&gt;</v>
      </c>
      <c r="Q88" s="17" t="str">
        <v>&lt;li data-author="Ixcís"&gt;&lt;a href="canciones/ixcis/a_pesar_de_todo.html"&gt;A pesar de todo&lt;/a&gt;&lt;/li&gt;</v>
      </c>
      <c r="R88" s="17" t="str">
        <v>&lt;li data-author="Kairoi"&gt;&lt;a href="canciones/kairoi/hermano_adios.html"&gt;Hermano, adiós&lt;/a&gt;&lt;/li&gt;</v>
      </c>
      <c r="S88" s="17" t="str">
        <v>&lt;li data-author="Cesáreo Gabarain" data-nold="312"&gt;&lt;a href="canciones/cesareo_gabarain/tu_que_siempre_nos_perdonas.html"&gt;Tú, que siempre nos perdonas&lt;/a&gt;&lt;/li&gt;</v>
      </c>
    </row>
    <row r="89" spans="9:25" x14ac:dyDescent="0.3">
      <c r="I89" s="17" t="str">
        <v>&lt;li data-author="Ain Karem"&gt;&lt;a href="canciones/ain_karem/danos_de_beber.html"&gt;Danos de beber&lt;/a&gt;&lt;/li&gt;</v>
      </c>
      <c r="M89" s="17" t="str">
        <v>&lt;li data-author="Cesáreo Gabarain"&gt;&lt;a href="canciones/cesareo_gabarain/tu_pones_lo_demas.html"&gt;Tú pones lo demás&lt;/a&gt;&lt;/li&gt;</v>
      </c>
      <c r="O89" s="17" t="str">
        <v>&lt;li data-author="Hakuna"&gt;&lt;a href="canciones/hakuna/el_unico_rey.html"&gt;El único rey&lt;/a&gt;&lt;/li&gt;</v>
      </c>
      <c r="Q89" s="17" t="str">
        <v>&lt;li data-author="Ixcís"&gt;&lt;a href="canciones/ixcis/me_fui.html"&gt;Me fui&lt;/a&gt;&lt;/li&gt;</v>
      </c>
      <c r="R89" s="17" t="str">
        <v>&lt;li data-author="Kairoi"&gt;&lt;a href="canciones/kairoi/en_tu_cruz_sigues_hoy.html"&gt;En tu cruz sigues hoy&lt;/a&gt;&lt;/li&gt;</v>
      </c>
      <c r="S89" s="17" t="str">
        <v>&lt;li data-author="Cesáreo Gabarain" data-nold="105"&gt;&lt;a href="canciones/cesareo_gabarain/enseñame_señor_tus_caminos.html"&gt;Enséñame, Señor, tus caminos&lt;/a&gt;&lt;/li&gt;</v>
      </c>
    </row>
    <row r="90" spans="9:25" x14ac:dyDescent="0.3">
      <c r="I90" s="17" t="str">
        <v>&lt;li data-author="Ain Karem"&gt;&lt;a href="canciones/ain_karem/secuencia_pascual.html"&gt;Secuencia pascual&lt;/a&gt;&lt;/li&gt;</v>
      </c>
      <c r="M90" s="17" t="str">
        <v>&lt;li data-author="Cesáreo Gabarain"&gt;&lt;a href="canciones/cesareo_gabarain/padre_nuestro_(lampara_de_barro).html"&gt;Padre nuestro (Lámpara de barro)&lt;/a&gt;&lt;/li&gt;</v>
      </c>
      <c r="O90" s="17" t="str">
        <v>&lt;li data-author="Hakuna"&gt;&lt;a href="canciones/hakuna/hoy_en_belen.html"&gt;Hoy en Belén&lt;/a&gt;&lt;/li&gt;</v>
      </c>
      <c r="Q90" s="17" t="str">
        <v>&lt;li data-author="Ixcís"&gt;&lt;a href="canciones/ixcis/cambios.html"&gt;Cambios&lt;/a&gt;&lt;/li&gt;</v>
      </c>
      <c r="R90" s="17" t="str">
        <v>&lt;li data-author="Kairoi"&gt;&lt;a href="canciones/kairoi/en_la_cruz_nos_das_la_vida.html"&gt;En la cruz nos das la vida&lt;/a&gt;&lt;/li&gt;</v>
      </c>
      <c r="S90" s="17" t="str">
        <v>&lt;li data-author="Cesáreo Gabarain" data-momento="Antífonas" data-nnew="D31" data-nold="193"&gt;&lt;a href="canciones/cesareo_gabarain/ojala_escuchemos_hoy_su_voz.html"&gt;Ojalá escuchemos hoy su voz&lt;/a&gt;&lt;/li&gt;</v>
      </c>
    </row>
    <row r="91" spans="9:25" x14ac:dyDescent="0.3">
      <c r="I91" s="17" t="str">
        <v>&lt;li data-author="Ain Karem"&gt;&lt;a href="canciones/ain_karem/solo_en_dios.html"&gt;Sólo en Dios&lt;/a&gt;&lt;/li&gt;</v>
      </c>
      <c r="O91" s="17" t="str">
        <v>&lt;li data-author="Hakuna"&gt;&lt;a href="canciones/hakuna/lo_imposible.html"&gt;Lo imposible&lt;/a&gt;&lt;/li&gt;</v>
      </c>
      <c r="Q91" s="17" t="str">
        <v>&lt;li data-author="Ixcís"&gt;&lt;a href="canciones/ixcis/toma_mi_libertad.html"&gt;Toma mi libertad&lt;/a&gt;&lt;/li&gt;</v>
      </c>
      <c r="R91" s="17" t="str">
        <v>&lt;li data-author="Kairoi"&gt;&lt;a href="canciones/kairoi/siento_tu_llamada.html"&gt;Siento tu llamada&lt;/a&gt;&lt;/li&gt;</v>
      </c>
      <c r="S91" s="17" t="str">
        <v>&lt;li data-author="Cesáreo Gabarain" data-nold="133"&gt;&lt;a href="canciones/cesareo_gabarain/haz_señor.html"&gt;Haz, Señor&lt;/a&gt;&lt;/li&gt;</v>
      </c>
    </row>
    <row r="92" spans="9:25" x14ac:dyDescent="0.3">
      <c r="I92" s="17" t="str">
        <v>&lt;li data-author="Ain Karem"&gt;&lt;a href="canciones/ain_karem/cantad_al_señor.html"&gt;Cantad al Señor&lt;/a&gt;&lt;/li&gt;</v>
      </c>
      <c r="O92" s="17" t="str">
        <v>&lt;li data-author="Hakuna"&gt;&lt;a href="canciones/hakuna/del_cielo.html"&gt;Del cielo&lt;/a&gt;&lt;/li&gt;</v>
      </c>
      <c r="Q92" s="17" t="str">
        <v>&lt;li data-author="Ixcís"&gt;&lt;a href="canciones/ixcis/gracias.html"&gt;Gracias&lt;/a&gt;&lt;/li&gt;</v>
      </c>
      <c r="R92" s="17" t="str">
        <v>&lt;li data-author="Kairoi"&gt;&lt;a href="canciones/kairoi/el_señor_es_la_esperanza.html"&gt;El Señor es la esperanza&lt;/a&gt;&lt;/li&gt;</v>
      </c>
      <c r="S92" s="17" t="str">
        <v>&lt;li data-author="Cesáreo Gabarain" data-momento="Ofertorio" data-nnew="F18" data-nold="468"&gt;&lt;a href="canciones/cesareo_gabarain/un_niño_se_te_acerco.html"&gt;Un niño se te acercó&lt;/a&gt;&lt;/li&gt;</v>
      </c>
    </row>
    <row r="93" spans="9:25" x14ac:dyDescent="0.3">
      <c r="I93" s="17" t="str">
        <v>&lt;li data-author="Ain Karem"&gt;&lt;a href="canciones/ain_karem/agua_viva.html"&gt;Agua viva&lt;/a&gt;&lt;/li&gt;</v>
      </c>
      <c r="O93" s="17" t="str">
        <v>&lt;li data-author="Hakuna"&gt;&lt;a href="canciones/hakuna/juntos.html"&gt;Juntos&lt;/a&gt;&lt;/li&gt;</v>
      </c>
      <c r="Q93" s="17" t="str">
        <v>&lt;li data-author="Ixcís"&gt;&lt;a href="canciones/ixcis/que_buscais.html"&gt;Qué buscáis&lt;/a&gt;&lt;/li&gt;</v>
      </c>
      <c r="R93" s="17" t="str">
        <v>&lt;li data-author="Kairoi"&gt;&lt;a href="canciones/kairoi/el_señor_esta_aqui.html"&gt;El Señor está aquí&lt;/a&gt;&lt;/li&gt;</v>
      </c>
      <c r="S93" s="17" t="str">
        <v>&lt;li data-author="Cesáreo Gabarain" data-momento="Comunión" data-nnew="K70" data-nold="463" data-nrcc="26"&gt;&lt;a href="canciones/cesareo_gabarain/tan_cerca_de_mi.html"&gt;Tan cerca de mí&lt;/a&gt;&lt;/li&gt;</v>
      </c>
    </row>
    <row r="94" spans="9:25" x14ac:dyDescent="0.3">
      <c r="I94" s="17" t="str">
        <v>&lt;li data-author="Ain Karem"&gt;&lt;a href="canciones/ain_karem/fuego_y_abrazo.html"&gt;Fuego y abrazo&lt;/a&gt;&lt;/li&gt;</v>
      </c>
      <c r="Q94" s="17" t="str">
        <v>&lt;li data-author="Ixcís"&gt;&lt;a href="canciones/ixcis/el_mayor.html"&gt;El mayor&lt;/a&gt;&lt;/li&gt;</v>
      </c>
      <c r="R94" s="17" t="str">
        <v>&lt;li data-author="Kairoi"&gt;&lt;a href="canciones/kairoi/caminad.html"&gt;Caminad&lt;/a&gt;&lt;/li&gt;</v>
      </c>
      <c r="S94" s="17" t="str">
        <v>&lt;li data-author="Cesáreo Gabarain" data-nold="307"&gt;&lt;a href="canciones/cesareo_gabarain/la_misa_no_termina_aqui_en_la_iglesia.html"&gt;La misa no termina aquí en la iglesia&lt;/a&gt;&lt;/li&gt;</v>
      </c>
    </row>
    <row r="95" spans="9:25" x14ac:dyDescent="0.3">
      <c r="I95" s="17" t="str">
        <v>&lt;li data-author="Ain Karem"&gt;&lt;a href="canciones/ain_karem/habitare.html"&gt;Habitaré&lt;/a&gt;&lt;/li&gt;</v>
      </c>
      <c r="Q95" s="17" t="str">
        <v>&lt;li data-author="Ixcís"&gt;&lt;a href="canciones/ixcis/hagase.html"&gt;Hágase&lt;/a&gt;&lt;/li&gt;</v>
      </c>
      <c r="R95" s="17" t="str">
        <v>&lt;li data-author="Kairoi"&gt;&lt;a href="canciones/kairoi/acogeme_dios.html"&gt;Acógeme, Dios&lt;/a&gt;&lt;/li&gt;</v>
      </c>
      <c r="S95" s="17" t="str">
        <v>&lt;li data-author="Cesáreo Gabarain" data-nold="292"&gt;&lt;a href="canciones/cesareo_gabarain/yo_confio_en_ti_señor.html"&gt;Yo confío en ti, Señor&lt;/a&gt;&lt;/li&gt;</v>
      </c>
    </row>
    <row r="96" spans="9:25" x14ac:dyDescent="0.3">
      <c r="I96" s="17" t="str">
        <v>&lt;li data-author="Ain Karem"&gt;&lt;a href="canciones/ain_karem/discipulos.html"&gt;Discípulos&lt;/a&gt;&lt;/li&gt;</v>
      </c>
      <c r="Q96" s="17" t="str">
        <v>&lt;li data-author="Ixcís"&gt;&lt;a href="canciones/ixcis/abre_una_grieta.html"&gt;Abre una grieta&lt;/a&gt;&lt;/li&gt;</v>
      </c>
      <c r="R96" s="17" t="str">
        <v>&lt;li data-author="Kairoi"&gt;&lt;a href="canciones/kairoi/maria_madre_del_dolor.html"&gt;María, madre del dolor&lt;/a&gt;&lt;/li&gt;</v>
      </c>
      <c r="S96" s="17" t="str">
        <v>&lt;li data-author="Cesáreo Gabarain" data-nold="308" data-nrcc="206"&gt;&lt;a href="canciones/cesareo_gabarain/nadie_hay_tan_grande_como_tu.html"&gt;Nadie hay tan grande como tú&lt;/a&gt;&lt;/li&gt;</v>
      </c>
    </row>
    <row r="97" spans="9:19" x14ac:dyDescent="0.3">
      <c r="I97" s="17" t="str">
        <v>&lt;li data-author="Ain Karem"&gt;&lt;a href="canciones/ain_karem/no_os_dejo_solos.html"&gt;No os dejo solos&lt;/a&gt;&lt;/li&gt;</v>
      </c>
      <c r="Q97" s="17" t="str">
        <v>&lt;li data-author="Ixcís"&gt;&lt;a href="canciones/ixcis/en_espiritu_y_en_verdad.html"&gt;En espíritu y en verdad&lt;/a&gt;&lt;/li&gt;</v>
      </c>
      <c r="R97" s="17" t="str">
        <v>&lt;li data-author="Kairoi"&gt;&lt;a href="canciones/kairoi/llama_de_vida.html"&gt;Llama de vida&lt;/a&gt;&lt;/li&gt;</v>
      </c>
      <c r="S97" s="17" t="str">
        <v>&lt;li data-author="Cesáreo Gabarain" data-momento="Entrada" data-nnew="A12"&gt;&lt;a href="canciones/cesareo_gabarain/dios_es_amor.html"&gt;Dios es amor&lt;/a&gt;&lt;/li&gt;</v>
      </c>
    </row>
    <row r="98" spans="9:19" x14ac:dyDescent="0.3">
      <c r="I98" s="17" t="str">
        <v>&lt;li data-author="Ain Karem"&gt;&lt;a href="canciones/ain_karem/por_amor_a_tu_pueblo.html"&gt;Por amor a tu pueblo&lt;/a&gt;&lt;/li&gt;</v>
      </c>
      <c r="Q98" s="17" t="str">
        <v>&lt;li data-author="Ixcís"&gt;&lt;a href="canciones/ixcis/solo_tu_espiritu.html"&gt;Sólo tu espíritu&lt;/a&gt;&lt;/li&gt;</v>
      </c>
      <c r="R98" s="17" t="str">
        <v>&lt;li data-author="Kairoi"&gt;&lt;a href="canciones/kairoi/venga_tu_reino.html"&gt;Venga tu reino&lt;/a&gt;&lt;/li&gt;</v>
      </c>
      <c r="S98" s="17" t="str">
        <v>&lt;li data-author="Cesáreo Gabarain" data-nold="115"&gt;&lt;a href="canciones/cesareo_gabarain/esperando_esperando.html"&gt;Esperando, esperando&lt;/a&gt;&lt;/li&gt;</v>
      </c>
    </row>
    <row r="99" spans="9:19" x14ac:dyDescent="0.3">
      <c r="I99" s="17" t="str">
        <v>&lt;li data-author="Ain Karem"&gt;&lt;a href="canciones/ain_karem/llama_de_amor_viva.html"&gt;Llama de amor viva&lt;/a&gt;&lt;/li&gt;</v>
      </c>
      <c r="Q99" s="17" t="str">
        <v>&lt;li data-author="Ixcís"&gt;&lt;a href="canciones/ixcis/sueño_una_iglesia.html"&gt;Sueño una iglesia&lt;/a&gt;&lt;/li&gt;</v>
      </c>
      <c r="R99" s="17" t="str">
        <v>&lt;li data-author="Kairoi"&gt;&lt;a href="canciones/kairoi/somos_testigos.html"&gt;Somos testigos&lt;/a&gt;&lt;/li&gt;</v>
      </c>
      <c r="S99" s="17" t="str">
        <v>&lt;li data-author="Cesáreo Gabarain" data-momento="Perdón - Agua" data-nnew="B09" data-nold="274"&gt;&lt;a href="canciones/cesareo_gabarain/una_nueva_vida.html"&gt;Una nueva vida&lt;/a&gt;&lt;/li&gt;</v>
      </c>
    </row>
    <row r="100" spans="9:19" x14ac:dyDescent="0.3">
      <c r="I100" s="17" t="str">
        <v>&lt;li data-author="Ain Karem"&gt;&lt;a href="canciones/ain_karem/la_piedra_angular.html"&gt;La piedra angular&lt;/a&gt;&lt;/li&gt;</v>
      </c>
      <c r="Q100" s="17" t="str">
        <v>&lt;li data-author="Ixcís"&gt;&lt;a href="canciones/ixcis/somos_pueblo_de_dios.html"&gt;Somos Pueblo de Dios&lt;/a&gt;&lt;/li&gt;</v>
      </c>
      <c r="R100" s="17" t="str">
        <v>&lt;li data-author="Kairoi"&gt;&lt;a href="canciones/kairoi/tu_camino_y_tu_verdad.html"&gt;Tu camino y tu verdad&lt;/a&gt;&lt;/li&gt;</v>
      </c>
      <c r="S100" s="17" t="str">
        <v>&lt;li data-author="Cesáreo Gabarain" data-momento="Ofertorio" data-nnew="F19" data-nold="271"&gt;&lt;a href="canciones/cesareo_gabarain/una_espiga_dorada.html"&gt;Una espiga dorada&lt;/a&gt;&lt;/li&gt;</v>
      </c>
    </row>
    <row r="101" spans="9:19" x14ac:dyDescent="0.3">
      <c r="I101" s="17" t="str">
        <v>&lt;li data-author="Ain Karem"&gt;&lt;a href="canciones/ain_karem/como_pan_pequeño.html"&gt;Como pan pequeño&lt;/a&gt;&lt;/li&gt;</v>
      </c>
      <c r="Q101" s="17" t="str">
        <v>&lt;li data-author="Ixcís"&gt;&lt;a href="canciones/ixcis/la_historia_se_repite.html"&gt;La historia se repite&lt;/a&gt;&lt;/li&gt;</v>
      </c>
      <c r="R101" s="17" t="str">
        <v>&lt;li data-author="Kairoi"&gt;&lt;a href="canciones/kairoi/seguir_amando.html"&gt;Seguir amando&lt;/a&gt;&lt;/li&gt;</v>
      </c>
      <c r="S101" s="17" t="str">
        <v>&lt;li data-author="Cesáreo Gabarain" data-momento="Navidad" data-nnew="O07"&gt;&lt;a href="canciones/cesareo_gabarain/el_niño_dios_ha_nacido_en_belen.html"&gt;El niño Dios ha nacido en Belén&lt;/a&gt;&lt;/li&gt;</v>
      </c>
    </row>
    <row r="102" spans="9:19" x14ac:dyDescent="0.3">
      <c r="I102" s="17" t="str">
        <v>&lt;li data-author="Ain Karem"&gt;&lt;a href="canciones/ain_karem/en_ti.html"&gt;En ti&lt;/a&gt;&lt;/li&gt;</v>
      </c>
      <c r="Q102" s="17" t="str">
        <v>&lt;li data-author="Ixcís"&gt;&lt;a href="canciones/ixcis/llega_el_dia.html"&gt;Llega el día&lt;/a&gt;&lt;/li&gt;</v>
      </c>
      <c r="R102" s="17" t="str">
        <v>&lt;li data-author="Kairoi"&gt;&lt;a href="canciones/kairoi/y_se_vive_la_vida.html"&gt;Y se vive la vida&lt;/a&gt;&lt;/li&gt;</v>
      </c>
      <c r="S102" s="17" t="str">
        <v>&lt;li data-author="Cesáreo Gabarain" data-momento="Entrada" data-nnew="A23" data-nold="145"&gt;&lt;a href="canciones/cesareo_gabarain/juntos_como_hermanos.html"&gt;Juntos como hermanos&lt;/a&gt;&lt;/li&gt;</v>
      </c>
    </row>
    <row r="103" spans="9:19" x14ac:dyDescent="0.3">
      <c r="I103" s="17" t="str">
        <v>&lt;li data-author="Ain Karem"&gt;&lt;a href="canciones/ain_karem/ven_señor.html"&gt;Ven, Señor&lt;/a&gt;&lt;/li&gt;</v>
      </c>
      <c r="Q103" s="17" t="str">
        <v>&lt;li data-author="Ixcís"&gt;&lt;a href="canciones/ixcis/coge_tu_cruz.html"&gt;Coge tu cruz&lt;/a&gt;&lt;/li&gt;</v>
      </c>
      <c r="R103" s="17" t="str">
        <v>&lt;li data-author="Kairoi"&gt;&lt;a href="canciones/kairoi/jesus_cambianos.html"&gt;Jesús, cámbianos&lt;/a&gt;&lt;/li&gt;</v>
      </c>
      <c r="S103" s="17" t="str">
        <v>&lt;li data-author="Emilio Vicente Mateu" data-momento="Comunión" data-nnew="K08" data-nold="410"&gt;&lt;a href="canciones/emilio_vicente_mateu/amar_es_darse.html"&gt;Amar es darse&lt;/a&gt;&lt;/li&gt;</v>
      </c>
    </row>
    <row r="104" spans="9:19" x14ac:dyDescent="0.3">
      <c r="I104" s="17" t="str">
        <v>&lt;li data-author="Ain Karem"&gt;&lt;a href="canciones/ain_karem/volemos.html"&gt;Volemos&lt;/a&gt;&lt;/li&gt;</v>
      </c>
      <c r="Q104" s="17" t="str">
        <v>&lt;li data-author="Ixcís"&gt;&lt;a href="canciones/ixcis/bienaventurados.html"&gt;Bienaventurados&lt;/a&gt;&lt;/li&gt;</v>
      </c>
      <c r="R104" s="17" t="str">
        <v>&lt;li data-author="Kairoi"&gt;&lt;a href="canciones/kairoi/como_maria.html"&gt;Como María&lt;/a&gt;&lt;/li&gt;</v>
      </c>
      <c r="S104" s="17" t="str">
        <v>&lt;li data-author="Emilio Vicente Mateu" data-nold="239"&gt;&lt;a href="canciones/emilio_vicente_mateu/siempre_unidos_mano_a_mano.html"&gt;Siempre unidos, mano a mano&lt;/a&gt;&lt;/li&gt;</v>
      </c>
    </row>
    <row r="105" spans="9:19" x14ac:dyDescent="0.3">
      <c r="I105" s="17" t="str">
        <v>&lt;li data-author="Ain Karem"&gt;&lt;a href="canciones/ain_karem/yo_soy.html"&gt;Yo soy&lt;/a&gt;&lt;/li&gt;</v>
      </c>
      <c r="Q105" s="17" t="str">
        <v>&lt;li data-author="Ixcís"&gt;&lt;a href="canciones/ixcis/los_pobres.html"&gt;Los pobres&lt;/a&gt;&lt;/li&gt;</v>
      </c>
      <c r="R105" s="17" t="str">
        <v>&lt;li data-author="Kairoi"&gt;&lt;a href="canciones/kairoi/nos_marca_el_caminar.html"&gt;Nos marca el caminar&lt;/a&gt;&lt;/li&gt;</v>
      </c>
      <c r="S105" s="17" t="str">
        <v>&lt;li data-author="Emilio Vicente Mateu" data-nold="85"&gt;&lt;a href="canciones/emilio_vicente_mateu/dios_te_salve_mi_señora.html"&gt;Dios te salve, mi señora&lt;/a&gt;&lt;/li&gt;</v>
      </c>
    </row>
    <row r="106" spans="9:19" x14ac:dyDescent="0.3">
      <c r="I106" s="17" t="str">
        <v>&lt;li data-author="Ain Karem"&gt;&lt;a href="canciones/ain_karem/a_toda_la_tierra_alcanza_su_pregon.html"&gt;A toda la tierra alcanza su pregón&lt;/a&gt;&lt;/li&gt;</v>
      </c>
      <c r="Q106" s="17" t="str">
        <v>&lt;li data-author="Ixcís"&gt;&lt;a href="canciones/ixcis/los_mansos_y_humildes.html"&gt;Los mansos y humildes&lt;/a&gt;&lt;/li&gt;</v>
      </c>
      <c r="R106" s="17" t="str">
        <v>&lt;li data-author="Kairoi"&gt;&lt;a href="canciones/kairoi/soy_mujer.html"&gt;Soy mujer&lt;/a&gt;&lt;/li&gt;</v>
      </c>
      <c r="S106" s="17" t="str">
        <v>&lt;li data-author="Emilio Vicente Mateu" data-nold="260"&gt;&lt;a href="canciones/emilio_vicente_mateu/tiempo_de_espera.html"&gt;Tiempo de espera&lt;/a&gt;&lt;/li&gt;</v>
      </c>
    </row>
    <row r="107" spans="9:19" x14ac:dyDescent="0.3">
      <c r="I107" s="17" t="str">
        <v>&lt;li data-author="Ain Karem"&gt;&lt;a href="canciones/ain_karem/con_amor_eterno.html"&gt;Con amor eterno&lt;/a&gt;&lt;/li&gt;</v>
      </c>
      <c r="Q107" s="17" t="str">
        <v>&lt;li data-author="Ixcís"&gt;&lt;a href="canciones/ixcis/los_que_lloran.html"&gt;Los que lloran&lt;/a&gt;&lt;/li&gt;</v>
      </c>
      <c r="R107" s="17" t="str">
        <v>&lt;li data-author="Kairoi"&gt;&lt;a href="canciones/kairoi/en_ti_solo_descanso.html"&gt;En ti solo descanso&lt;/a&gt;&lt;/li&gt;</v>
      </c>
      <c r="S107" s="17" t="str">
        <v>&lt;li data-author="Emilio Vicente Mateu" data-momento="Comunión" data-nnew="K13" data-nold="34"&gt;&lt;a href="canciones/emilio_vicente_mateu/bienaventurados_seremos_señor.html"&gt;Bienaventurados seremos, Señor&lt;/a&gt;&lt;/li&gt;</v>
      </c>
    </row>
    <row r="108" spans="9:19" x14ac:dyDescent="0.3">
      <c r="I108" s="17" t="str">
        <v>&lt;li data-author="Ain Karem"&gt;&lt;a href="canciones/ain_karem/anunciarte.html"&gt;Anunciarte&lt;/a&gt;&lt;/li&gt;</v>
      </c>
      <c r="Q108" s="17" t="str">
        <v>&lt;li data-author="Ixcís"&gt;&lt;a href="canciones/ixcis/los_que_tienen_hambre_y_sed_de_justicia.html"&gt;Los que tienen hambre y sed de justicia&lt;/a&gt;&lt;/li&gt;</v>
      </c>
      <c r="R108" s="17" t="str">
        <v>&lt;li data-author="Kairoi"&gt;&lt;a href="canciones/kairoi/dios_de_la_vida.html"&gt;Dios de la vida&lt;/a&gt;&lt;/li&gt;</v>
      </c>
      <c r="S108" s="17" t="str">
        <v>&lt;li data-author="Emilio Vicente Mateu" data-momento="Comunión" data-nnew="K69" data-nold="237"&gt;&lt;a href="canciones/emilio_vicente_mateu/somos_un_pueblo_que_camina.html"&gt;Somos un pueblo que camina&lt;/a&gt;&lt;/li&gt;</v>
      </c>
    </row>
    <row r="109" spans="9:19" x14ac:dyDescent="0.3">
      <c r="I109" s="17" t="str">
        <v>&lt;li data-author="Ain Karem"&gt;&lt;a href="canciones/ain_karem/invitanos.html"&gt;Invítanos&lt;/a&gt;&lt;/li&gt;</v>
      </c>
      <c r="Q109" s="17" t="str">
        <v>&lt;li data-author="Ixcís"&gt;&lt;a href="canciones/ixcis/los_limpios_de_corazon.html"&gt;Los limpios de corazón&lt;/a&gt;&lt;/li&gt;</v>
      </c>
      <c r="R109" s="17" t="str">
        <v>&lt;li data-author="Kairoi"&gt;&lt;a href="canciones/kairoi/sueña.html"&gt;Sueña&lt;/a&gt;&lt;/li&gt;</v>
      </c>
      <c r="S109" s="17" t="str">
        <v>&lt;li data-author="Emilio Vicente Mateu" data-momento="Navidad" data-nnew="O05" data-nold="50"&gt;&lt;a href="canciones/emilio_vicente_mateu/cantemos_todos_la_navidad.html"&gt;Cantemos todos la Navidad&lt;/a&gt;&lt;/li&gt;</v>
      </c>
    </row>
    <row r="110" spans="9:19" x14ac:dyDescent="0.3">
      <c r="I110" s="17" t="str">
        <v>&lt;li data-author="Ain Karem"&gt;&lt;a href="canciones/ain_karem/hagase.html"&gt;Hágase&lt;/a&gt;&lt;/li&gt;</v>
      </c>
      <c r="Q110" s="17" t="str">
        <v>&lt;li data-author="Ixcís"&gt;&lt;a href="canciones/ixcis/los_misericordiosos.html"&gt;Los misericordiosos&lt;/a&gt;&lt;/li&gt;</v>
      </c>
      <c r="R110" s="17" t="str">
        <v>&lt;li data-author="Kairoi"&gt;&lt;a href="canciones/kairoi/me_estas_llamando.html"&gt;Me estás llamando&lt;/a&gt;&lt;/li&gt;</v>
      </c>
      <c r="S110" s="17" t="str">
        <v>&lt;li data-author="Emilio Vicente Mateu" data-momento="Navidad" data-nnew="O08" data-nold="92"&gt;&lt;a href="canciones/emilio_vicente_mateu/el_señor_nos_ha_nacido_en_belen.html"&gt;El Señor nos ha nacido en Belén&lt;/a&gt;&lt;/li&gt;</v>
      </c>
    </row>
    <row r="111" spans="9:19" x14ac:dyDescent="0.3">
      <c r="I111" s="17" t="str">
        <v>&lt;li data-author="Ain Karem"&gt;&lt;a href="canciones/ain_karem/creatura_habitada.html"&gt;Creatura habitada&lt;/a&gt;&lt;/li&gt;</v>
      </c>
      <c r="Q111" s="17" t="str">
        <v>&lt;li data-author="Ixcís"&gt;&lt;a href="canciones/ixcis/los_constructores_de_paz.html"&gt;Los constructores de paz&lt;/a&gt;&lt;/li&gt;</v>
      </c>
      <c r="R111" s="17" t="str">
        <v>&lt;li data-author="Kairoi"&gt;&lt;a href="canciones/kairoi/tocare_para_ti.html"&gt;Tocaré para ti&lt;/a&gt;&lt;/li&gt;</v>
      </c>
      <c r="S111" s="17" t="str">
        <v>&lt;li data-author="Emilio Vicente Mateu" data-momento="Navidad" data-nnew="O11" data-nold="158"&gt;&lt;a href="canciones/emilio_vicente_mateu/los_magos_vienen_de_oriente.html"&gt;Los magos vienen de Oriente&lt;/a&gt;&lt;/li&gt;</v>
      </c>
    </row>
    <row r="112" spans="9:19" x14ac:dyDescent="0.3">
      <c r="I112" s="17" t="str">
        <v>&lt;li data-author="Ain Karem"&gt;&lt;a href="canciones/ain_karem/el_hombre_de_gerasa.html"&gt;El hombre de Gerasa&lt;/a&gt;&lt;/li&gt;</v>
      </c>
      <c r="Q112" s="17" t="str">
        <v>&lt;li data-author="Ixcís"&gt;&lt;a href="canciones/ixcis/los_perseguidos.html"&gt;Los perseguidos&lt;/a&gt;&lt;/li&gt;</v>
      </c>
      <c r="R112" s="17" t="str">
        <v>&lt;li data-author="Kairoi"&gt;&lt;a href="canciones/kairoi/enseñanos_a_orar.html"&gt;Enséñanos a orar&lt;/a&gt;&lt;/li&gt;</v>
      </c>
      <c r="S112" s="17" t="str">
        <v>&lt;li data-author="Emilio Vicente Mateu" data-nold="282"&gt;&lt;a href="canciones/emilio_vicente_mateu/vendra_la_libertad.html"&gt;Vendrá la libertad&lt;/a&gt;&lt;/li&gt;</v>
      </c>
    </row>
    <row r="113" spans="9:19" x14ac:dyDescent="0.3">
      <c r="I113" s="17" t="str">
        <v>&lt;li data-author="Ain Karem"&gt;&lt;a href="canciones/ain_karem/llueve_tu.html"&gt;Llueve Tú&lt;/a&gt;&lt;/li&gt;</v>
      </c>
      <c r="Q113" s="17" t="str">
        <v>&lt;li data-author="Ixcís"&gt;&lt;a href="canciones/ixcis/infinito_abismo.html"&gt;Infinito abismo&lt;/a&gt;&lt;/li&gt;</v>
      </c>
      <c r="R113" s="17" t="str">
        <v>&lt;li data-author="Kairoi"&gt;&lt;a href="canciones/kairoi/tu_señor.html"&gt;Tú, Señor&lt;/a&gt;&lt;/li&gt;</v>
      </c>
      <c r="S113" s="17" t="str">
        <v>&lt;li data-author="Emilio Vicente Mateu" data-nold="246"&gt;&lt;a href="canciones/emilio_vicente_mateu/somos_un_solo_cuerpo.html"&gt;Somos un solo cuerpo&lt;/a&gt;&lt;/li&gt;</v>
      </c>
    </row>
    <row r="114" spans="9:19" x14ac:dyDescent="0.3">
      <c r="I114" s="17" t="str">
        <v>&lt;li data-author="Ain Karem"&gt;&lt;a href="canciones/ain_karem/benedictus.html"&gt;Benedictus&lt;/a&gt;&lt;/li&gt;</v>
      </c>
      <c r="Q114" s="17" t="str">
        <v>&lt;li data-author="Ixcís"&gt;&lt;a href="canciones/ixcis/hacia_ti.html"&gt;Hacia Ti&lt;/a&gt;&lt;/li&gt;</v>
      </c>
      <c r="R114" s="17" t="str">
        <v>&lt;li data-author="Kairoi"&gt;&lt;a href="canciones/kairoi/esperando_con_maria.html"&gt;Esperando con María&lt;/a&gt;&lt;/li&gt;</v>
      </c>
      <c r="S114" s="17" t="str">
        <v>&lt;li data-author="Fernando Viejo" data-nold="293"&gt;&lt;a href="canciones/fernando_viejo/como_era_pedro.html"&gt;Como era Pedro&lt;/a&gt;&lt;/li&gt;</v>
      </c>
    </row>
    <row r="115" spans="9:19" x14ac:dyDescent="0.3">
      <c r="I115" s="17" t="str">
        <v>&lt;li data-author="Ain Karem"&gt;&lt;a href="canciones/ain_karem/heme_aqui.html"&gt;Heme aquí&lt;/a&gt;&lt;/li&gt;</v>
      </c>
      <c r="Q115" s="17" t="str">
        <v>&lt;li data-author="Ixcís"&gt;&lt;a href="canciones/ixcis/ora_en_mi.html"&gt;Ora en mí&lt;/a&gt;&lt;/li&gt;</v>
      </c>
      <c r="S115" s="17" t="str">
        <v>&lt;li data-author="Fernando Viejo" data-nold="64"&gt;&lt;a href="canciones/fernando_viejo/creo_en_dios_y_en_su_palabra.html"&gt;Creo en Dios y en su Palabra&lt;/a&gt;&lt;/li&gt;</v>
      </c>
    </row>
    <row r="116" spans="9:19" x14ac:dyDescent="0.3">
      <c r="I116" s="17" t="str">
        <v>&lt;li data-author="Ain Karem"&gt;&lt;a href="canciones/ain_karem/baja.html"&gt;Baja&lt;/a&gt;&lt;/li&gt;</v>
      </c>
      <c r="Q116" s="17" t="str">
        <v>&lt;li data-author="Ixcís"&gt;&lt;a href="canciones/ixcis/vuelve.html"&gt;Vuelve&lt;/a&gt;&lt;/li&gt;</v>
      </c>
      <c r="S116" s="17" t="str">
        <v>&lt;li data-author="Fernando Viejo" data-nold="132"&gt;&lt;a href="canciones/fernando_viejo/hasta_cuando_señor.html"&gt;Hasta cuándo, Señor&lt;/a&gt;&lt;/li&gt;</v>
      </c>
    </row>
    <row r="117" spans="9:19" x14ac:dyDescent="0.3">
      <c r="I117" s="17" t="str">
        <v>&lt;li data-author="Ain Karem"&gt;&lt;a href="canciones/ain_karem/mi_alegria.html"&gt;Mi alegría&lt;/a&gt;&lt;/li&gt;</v>
      </c>
      <c r="Q117" s="17" t="str">
        <v>&lt;li data-author="Ixcís"&gt;&lt;a href="canciones/ixcis/espero_en_ti.html"&gt;Espero en ti&lt;/a&gt;&lt;/li&gt;</v>
      </c>
      <c r="S117" s="17" t="str">
        <v>&lt;li data-author="Fernando Viejo" data-nold="199"&gt;&lt;a href="canciones/fernando_viejo/padre_nuestro_que_estas_en_la_tierra.html"&gt;Padre nuestro, que estás en la tierra&lt;/a&gt;&lt;/li&gt;</v>
      </c>
    </row>
    <row r="118" spans="9:19" x14ac:dyDescent="0.3">
      <c r="I118" s="17" t="str">
        <v>&lt;li data-author="Ain Karem"&gt;&lt;a href="canciones/ain_karem/raices.html"&gt;Raíces&lt;/a&gt;&lt;/li&gt;</v>
      </c>
      <c r="Q118" s="17" t="str">
        <v>&lt;li data-author="Ixcís"&gt;&lt;a href="canciones/ixcis/extiende_tu_mano.html"&gt;Extiende tu mano&lt;/a&gt;&lt;/li&gt;</v>
      </c>
      <c r="S118" s="17" t="str">
        <v>&lt;li data-author="Fernando Viejo" data-nold="204"&gt;&lt;a href="canciones/fernando_viejo/piedad_señor_piedad.html"&gt;Piedad, Señor, piedad&lt;/a&gt;&lt;/li&gt;</v>
      </c>
    </row>
    <row r="119" spans="9:19" x14ac:dyDescent="0.3">
      <c r="I119" s="17" t="str">
        <v>&lt;li data-author="Ain Karem"&gt;&lt;a href="canciones/ain_karem/como_un_joven_mas.html"&gt;Como un joven más&lt;/a&gt;&lt;/li&gt;</v>
      </c>
      <c r="Q119" s="17" t="str">
        <v>&lt;li data-author="Ixcís"&gt;&lt;a href="canciones/ixcis/ruah.html"&gt;Ruah&lt;/a&gt;&lt;/li&gt;</v>
      </c>
      <c r="S119" s="17" t="str">
        <v>&lt;li data-author="Fernando Viejo" data-nold="223"&gt;&lt;a href="canciones/fernando_viejo/que_detalle_señor.html"&gt;Qué detalle, Señor&lt;/a&gt;&lt;/li&gt;</v>
      </c>
    </row>
    <row r="120" spans="9:19" x14ac:dyDescent="0.3">
      <c r="I120" s="17" t="str">
        <v>&lt;li data-author="Ain Karem"&gt;&lt;a href="canciones/ain_karem/nacer_de_nuevo.html"&gt;Nacer de nuevo&lt;/a&gt;&lt;/li&gt;</v>
      </c>
      <c r="Q120" s="17" t="str">
        <v>&lt;li data-author="Ixcís"&gt;&lt;a href="canciones/ixcis/descansa.html"&gt;Descansa&lt;/a&gt;&lt;/li&gt;</v>
      </c>
      <c r="S120" s="17" t="str">
        <v>&lt;li data-author="Francisco Palazón" data-momento="Entrada" data-nnew="A07" data-nold="21"&gt;&lt;a href="canciones/francisco_palazon/alrededor_de_tu_mesa.html"&gt;Alrededor de tu mesa&lt;/a&gt;&lt;/li&gt;</v>
      </c>
    </row>
    <row r="121" spans="9:19" x14ac:dyDescent="0.3">
      <c r="I121" s="17" t="str">
        <v>&lt;li data-author="Ain Karem"&gt;&lt;a href="canciones/ain_karem/descendio.html"&gt;Descendió&lt;/a&gt;&lt;/li&gt;</v>
      </c>
      <c r="Q121" s="17" t="str">
        <v>&lt;li data-author="Ixcís"&gt;&lt;a href="canciones/ixcis/cuando_vuelva_tu_luz.html"&gt;Cuando vuelva tu luz&lt;/a&gt;&lt;/li&gt;</v>
      </c>
      <c r="S121" s="17" t="str">
        <v>&lt;li data-author="Francisco Palazón" data-momento="Gloria" data-nnew="C02" data-nold="128"&gt;&lt;a href="canciones/francisco_palazon/gloria_a_dios_en_el_cielo.html"&gt;Gloria a Dios en el cielo&lt;/a&gt;&lt;/li&gt;</v>
      </c>
    </row>
    <row r="122" spans="9:19" x14ac:dyDescent="0.3">
      <c r="I122" s="17" t="str">
        <v>&lt;li data-author="Ain Karem"&gt;&lt;a href="canciones/ain_karem/mirad_el_arbol_de_la_cruz.html"&gt;Mirad el árbol de la Cruz&lt;/a&gt;&lt;/li&gt;</v>
      </c>
      <c r="Q122" s="17" t="str">
        <v>&lt;li data-author="Ixcís"&gt;&lt;a href="canciones/ixcis/entra_en_tu_cuarto.html"&gt;Entra en tu cuarto&lt;/a&gt;&lt;/li&gt;</v>
      </c>
      <c r="S122" s="17" t="str">
        <v>&lt;li data-author="Francisco Palazón" data-momento="Santo" data-nnew="G05" data-nold="245"&gt;&lt;a href="canciones/francisco_palazon/santo_(palazon).html"&gt;Santo (Palazón)&lt;/a&gt;&lt;/li&gt;</v>
      </c>
    </row>
    <row r="123" spans="9:19" x14ac:dyDescent="0.3">
      <c r="I123" s="17" t="str">
        <v>&lt;li data-author="Ain Karem"&gt;&lt;a href="canciones/ain_karem/conectada.html"&gt;Conectada&lt;/a&gt;&lt;/li&gt;</v>
      </c>
      <c r="Q123" s="17" t="str">
        <v>&lt;li data-author="Ixcís"&gt;&lt;a href="canciones/ixcis/transfigurame.html"&gt;Transfigúrame&lt;/a&gt;&lt;/li&gt;</v>
      </c>
      <c r="S123" s="17" t="str">
        <v>&lt;li data-author="Francisco Palazón" data-momento="Entrada" data-nnew="A04" data-nold="9"&gt;&lt;a href="canciones/francisco_palazon/acerquemonos_todos_al_altar.html"&gt;Acerquémonos todos al altar&lt;/a&gt;&lt;/li&gt;</v>
      </c>
    </row>
    <row r="124" spans="9:19" x14ac:dyDescent="0.3">
      <c r="I124" s="17" t="str">
        <v>&lt;li data-author="Ain Karem"&gt;&lt;a href="canciones/ain_karem/viviras.html"&gt;Vivirás&lt;/a&gt;&lt;/li&gt;</v>
      </c>
      <c r="Q124" s="17" t="str">
        <v>&lt;li data-author="Ixcís"&gt;&lt;a href="canciones/ixcis/tengo_fe.html"&gt;Tengo fe&lt;/a&gt;&lt;/li&gt;</v>
      </c>
      <c r="S124" s="17" t="str">
        <v>&lt;li data-author="Francisco Palazón" data-nold="71"&gt;&lt;a href="canciones/francisco_palazon/dad_gracias_al_señor.html"&gt;Dad gracias al Señor&lt;/a&gt;&lt;/li&gt;</v>
      </c>
    </row>
    <row r="125" spans="9:19" x14ac:dyDescent="0.3">
      <c r="I125" s="17" t="str">
        <v>&lt;li data-author="Ain Karem"&gt;&lt;a href="canciones/ain_karem/fieles_y_unidos.html"&gt;Fieles y unidos&lt;/a&gt;&lt;/li&gt;</v>
      </c>
      <c r="Q125" s="17" t="str">
        <v>&lt;li data-author="Ixcís"&gt;&lt;a href="canciones/ixcis/que_sean_uno.html"&gt;Que sean uno&lt;/a&gt;&lt;/li&gt;</v>
      </c>
      <c r="S125" s="17" t="str">
        <v>&lt;li data-author="Francisco Palazón" data-nold="93"&gt;&lt;a href="canciones/francisco_palazon/el_auxilio_me_viene_del_señor.html"&gt;El auxilio me viene del Señor&lt;/a&gt;&lt;/li&gt;</v>
      </c>
    </row>
    <row r="126" spans="9:19" x14ac:dyDescent="0.3">
      <c r="I126" s="17" t="str">
        <v>&lt;li data-author="Ain Karem"&gt;&lt;a href="canciones/ain_karem/luz_de_pascua.html"&gt;Luz de Pascua&lt;/a&gt;&lt;/li&gt;</v>
      </c>
      <c r="Q126" s="17" t="str">
        <v>&lt;li data-author="Ixcís"&gt;&lt;a href="canciones/ixcis/ama_y_haz_lo_que_quieras.html"&gt;Ama y haz lo que quieras&lt;/a&gt;&lt;/li&gt;</v>
      </c>
      <c r="S126" s="17" t="str">
        <v>&lt;li data-author="Francisco Palazón" data-nold="185"&gt;&lt;a href="canciones/francisco_palazon/os_doy_un_mandato_nuevo.html"&gt;Os doy un mandato nuevo&lt;/a&gt;&lt;/li&gt;</v>
      </c>
    </row>
    <row r="127" spans="9:19" x14ac:dyDescent="0.3">
      <c r="I127" s="17" t="str">
        <v>&lt;li data-author="Ain Karem"&gt;&lt;a href="canciones/ain_karem/mi_todo.html"&gt;Mi todo&lt;/a&gt;&lt;/li&gt;</v>
      </c>
      <c r="Q127" s="17" t="str">
        <v>&lt;li data-author="Ixcís"&gt;&lt;a href="canciones/ixcis/si_no_te_dejo_marchar.html"&gt;Si no te dejo marchar&lt;/a&gt;&lt;/li&gt;</v>
      </c>
      <c r="S127" s="17" t="str">
        <v>&lt;li data-author="Francisco Palazón" data-nold="99"&gt;&lt;a href="canciones/francisco_palazon/el_señor_es_mi_luz_y_mi_salvacion.html"&gt;El Señor es mi luz y mi salvación&lt;/a&gt;&lt;/li&gt;</v>
      </c>
    </row>
    <row r="128" spans="9:19" x14ac:dyDescent="0.3">
      <c r="I128" s="17" t="str">
        <v>&lt;li data-author="Ain Karem"&gt;&lt;a href="canciones/ain_karem/acompañame_maria.html"&gt;Acompáñame, María&lt;/a&gt;&lt;/li&gt;</v>
      </c>
      <c r="Q128" s="17" t="str">
        <v>&lt;li data-author="Ixcís"&gt;&lt;a href="canciones/ixcis/sopla_en_mi.html"&gt;Sopla en mí&lt;/a&gt;&lt;/li&gt;</v>
      </c>
      <c r="S128" s="17" t="str">
        <v>&lt;li data-author="Francisco Palazón" data-nold="62"&gt;&lt;a href="canciones/francisco_palazon/cantico_de_daniel.html"&gt;Cántico de Daniel&lt;/a&gt;&lt;/li&gt;</v>
      </c>
    </row>
    <row r="129" spans="9:19" x14ac:dyDescent="0.3">
      <c r="I129" s="17" t="str">
        <v>&lt;li data-author="Ain Karem"&gt;&lt;a href="canciones/ain_karem/yo_estoy.html"&gt;Yo estoy&lt;/a&gt;&lt;/li&gt;</v>
      </c>
      <c r="Q129" s="17" t="str">
        <v>&lt;li data-author="Ixcís"&gt;&lt;a href="canciones/ixcis/peña_mia.html"&gt;Peña mía&lt;/a&gt;&lt;/li&gt;</v>
      </c>
      <c r="S129" s="17" t="str">
        <v>&lt;li data-author="Francisco Palazón" data-nold="27"&gt;&lt;a href="canciones/francisco_palazon/a_ti_levanto_mi_alma.html"&gt;A ti levanto mi alma&lt;/a&gt;&lt;/li&gt;</v>
      </c>
    </row>
    <row r="130" spans="9:19" x14ac:dyDescent="0.3">
      <c r="Q130" s="17" t="str">
        <v>&lt;li data-author="Ixcís"&gt;&lt;a href="canciones/ixcis/vuestra_soy.html"&gt;Vuestra soy&lt;/a&gt;&lt;/li&gt;</v>
      </c>
      <c r="S130" s="17" t="str">
        <v>&lt;li data-author="Francisco Palazón" data-momento="Antífonas" data-nnew="D12"&gt;&lt;a href="canciones/francisco_palazon/el_caliz_que_bendecimos.html"&gt;El cáliz que bendecimos&lt;/a&gt;&lt;/li&gt;</v>
      </c>
    </row>
    <row r="131" spans="9:19" x14ac:dyDescent="0.3">
      <c r="Q131" s="17" t="str">
        <v>&lt;li data-author="Ixcís"&gt;&lt;a href="canciones/ixcis/la_partida.html"&gt;La partida&lt;/a&gt;&lt;/li&gt;</v>
      </c>
      <c r="S131" s="17" t="str">
        <v>&lt;li data-author="Francisco Palazón" data-momento="Antífonas" data-nnew="D14" data-nold="98"&gt;&lt;a href="canciones/francisco_palazon/el_señor_es_mi_pastor.html"&gt;El Señor es mi pastor&lt;/a&gt;&lt;/li&gt;</v>
      </c>
    </row>
    <row r="132" spans="9:19" x14ac:dyDescent="0.3">
      <c r="Q132" s="17" t="str">
        <v>&lt;li data-author="Ixcís"&gt;&lt;a href="canciones/ixcis/por_ti_madrugo.html"&gt;Por ti madrugo&lt;/a&gt;&lt;/li&gt;</v>
      </c>
      <c r="S132" s="17" t="str">
        <v>&lt;li data-author="Francisco Palazón" data-nold="18"&gt;&lt;a href="canciones/francisco_palazon/el_señor_tenga_piedad.html"&gt;El Señor tenga piedad&lt;/a&gt;&lt;/li&gt;</v>
      </c>
    </row>
    <row r="133" spans="9:19" x14ac:dyDescent="0.3">
      <c r="Q133" s="17" t="str">
        <v>&lt;li data-author="Ixcís"&gt;&lt;a href="canciones/ixcis/si_te_tengo_a_ti.html"&gt;Si te tengo a ti&lt;/a&gt;&lt;/li&gt;</v>
      </c>
      <c r="S133" s="17" t="str">
        <v>&lt;li data-author="Francisco Palazón" data-nold="36"&gt;&lt;a href="canciones/francisco_palazon/caminare_en_presencia_del_señor_(palazon).html"&gt;Caminaré en presencia del Señor (Palazón)&lt;/a&gt;&lt;/li&gt;</v>
      </c>
    </row>
    <row r="134" spans="9:19" x14ac:dyDescent="0.3">
      <c r="Q134" s="17" t="str">
        <v>&lt;li data-author="Ixcís"&gt;&lt;a href="canciones/ixcis/la_verdad.html"&gt;La verdad&lt;/a&gt;&lt;/li&gt;</v>
      </c>
      <c r="S134" s="17" t="str">
        <v>&lt;li data-author="Francisco Palazón" data-nold="103"&gt;&lt;a href="canciones/francisco_palazon/el_señor_es_bueno.html"&gt;El Señor es bueno&lt;/a&gt;&lt;/li&gt;</v>
      </c>
    </row>
    <row r="135" spans="9:19" x14ac:dyDescent="0.3">
      <c r="Q135" s="17" t="str">
        <v>&lt;li data-author="Ixcís"&gt;&lt;a href="canciones/ixcis/te_quiero.html"&gt;Te quiero&lt;/a&gt;&lt;/li&gt;</v>
      </c>
      <c r="S135" s="17" t="str">
        <v>&lt;li data-author="Francisco Palazón" data-nold="207"&gt;&lt;a href="canciones/francisco_palazon/protegeme_dios_mio.html"&gt;Protégeme, Dios mío&lt;/a&gt;&lt;/li&gt;</v>
      </c>
    </row>
    <row r="136" spans="9:19" x14ac:dyDescent="0.3">
      <c r="Q136" s="17" t="str">
        <v>&lt;li data-author="Ixcís"&gt;&lt;a href="canciones/ixcis/maria_de_nazaret.html"&gt;María de Nazaret&lt;/a&gt;&lt;/li&gt;</v>
      </c>
      <c r="S136" s="17" t="str">
        <v>&lt;li data-author="Francisco Palazón" data-momento="María" data-nnew="M06" data-nold="430"&gt;&lt;a href="canciones/francisco_palazon/himno_a_nuestra_señora_de_la_almudena.html"&gt;Himno a Nuestra Señora de la Almudena&lt;/a&gt;&lt;/li&gt;</v>
      </c>
    </row>
    <row r="137" spans="9:19" x14ac:dyDescent="0.3">
      <c r="Q137" s="17" t="str">
        <v>&lt;li data-author="Ixcís"&gt;&lt;a href="canciones/ixcis/regalada.html"&gt;Regalada&lt;/a&gt;&lt;/li&gt;</v>
      </c>
      <c r="S137" s="17" t="str">
        <v>&lt;li data-author="Francisco Palazón" data-momento="María" data-nnew="M16" data-nold="42"&gt;&lt;a href="canciones/francisco_palazon/mujer_fuerte.html"&gt;Mujer fuerte&lt;/a&gt;&lt;/li&gt;</v>
      </c>
    </row>
    <row r="138" spans="9:19" x14ac:dyDescent="0.3">
      <c r="Q138" s="17" t="str">
        <v>&lt;li data-author="Ixcís"&gt;&lt;a href="canciones/ixcis/darnos_del_todo.html"&gt;Darnos del todo&lt;/a&gt;&lt;/li&gt;</v>
      </c>
      <c r="S138" s="17" t="str">
        <v>&lt;li data-author="Francisco Palazón" data-nold="161"&gt;&lt;a href="canciones/francisco_palazon/madre_de_los_creyentes.html"&gt;Madre de los creyentes&lt;/a&gt;&lt;/li&gt;</v>
      </c>
    </row>
    <row r="139" spans="9:19" x14ac:dyDescent="0.3">
      <c r="Q139" s="17" t="str">
        <v>&lt;li data-author="Ixcís"&gt;&lt;a href="canciones/ixcis/misericordia.html"&gt;Misericordia&lt;/a&gt;&lt;/li&gt;</v>
      </c>
      <c r="S139" s="17" t="str">
        <v>&lt;li data-author="Francisco Palazón" data-momento="María" data-nnew="M19" data-nold="227 y 228"&gt;&lt;a href="canciones/francisco_palazon/reina_del_cielo.html"&gt;Reina del Cielo&lt;/a&gt;&lt;/li&gt;</v>
      </c>
    </row>
    <row r="140" spans="9:19" x14ac:dyDescent="0.3">
      <c r="Q140" s="17" t="str">
        <v>&lt;li data-author="Ixcís"&gt;&lt;a href="canciones/ixcis/enseñame_a_quererme.html"&gt;Enséñame a quererme&lt;/a&gt;&lt;/li&gt;</v>
      </c>
      <c r="S140" s="17" t="str">
        <v>&lt;li data-author="Francisco Palazón" data-nold="91"&gt;&lt;a href="canciones/francisco_palazon/a_quien_se_parece.html"&gt;A quién se parece&lt;/a&gt;&lt;/li&gt;</v>
      </c>
    </row>
    <row r="141" spans="9:19" x14ac:dyDescent="0.3">
      <c r="Q141" s="17" t="str">
        <v>&lt;li data-author="Ixcís"&gt;&lt;a href="canciones/ixcis/tu_sabes_quien_soy.html"&gt;Tú sabes quién soy&lt;/a&gt;&lt;/li&gt;</v>
      </c>
      <c r="S141" s="17" t="str">
        <v>&lt;li data-author="Francisco Palazón" data-nold="110"&gt;&lt;a href="canciones/francisco_palazon/el_señor_ha_estado_grande_con_nosotros.html"&gt;El Señor ha estado grande con nosotros&lt;/a&gt;&lt;/li&gt;</v>
      </c>
    </row>
    <row r="142" spans="9:19" x14ac:dyDescent="0.3">
      <c r="Q142" s="17" t="str">
        <v>&lt;li data-author="Ixcís"&gt;&lt;a href="canciones/ixcis/tu_bondad.html"&gt;Tu bondad&lt;/a&gt;&lt;/li&gt;</v>
      </c>
      <c r="S142" s="17" t="str">
        <v>&lt;li data-author="Francisco Palazón" data-momento="Entrada" data-nnew="A31" data-nold="453"&gt;&lt;a href="canciones/francisco_palazon/reunidos_en_el_nombre_del_señor.html"&gt;Reunidos en el nombre del Señor&lt;/a&gt;&lt;/li&gt;</v>
      </c>
    </row>
    <row r="143" spans="9:19" x14ac:dyDescent="0.3">
      <c r="Q143" s="17" t="str">
        <v>&lt;li data-author="Ixcís"&gt;&lt;a href="canciones/ixcis/levantaos_esta_cerca.html"&gt;Levantaos, está cerca&lt;/a&gt;&lt;/li&gt;</v>
      </c>
      <c r="S143" s="17" t="str">
        <v>&lt;li data-author="Francisco Palazón" data-nold="232" data-nrcc="17"&gt;&lt;a href="canciones/francisco_palazon/señor_dios_nuestro.html"&gt;Señor, Dios nuestro&lt;/a&gt;&lt;/li&gt;</v>
      </c>
    </row>
    <row r="144" spans="9:19" x14ac:dyDescent="0.3">
      <c r="Q144" s="17" t="str">
        <v>&lt;li data-author="Ixcís"&gt;&lt;a href="canciones/ixcis/ven_a_sanarme.html"&gt;Ven a sanarme&lt;/a&gt;&lt;/li&gt;</v>
      </c>
      <c r="S144" s="17" t="str">
        <v>&lt;li data-author="Francisco Palazón" data-nold="240"&gt;&lt;a href="canciones/francisco_palazon/señor_tu_has_sido_nuestro_refugio.html"&gt;Señor, tú has sido nuestro refugio&lt;/a&gt;&lt;/li&gt;</v>
      </c>
    </row>
    <row r="145" spans="17:19" x14ac:dyDescent="0.3">
      <c r="Q145" s="17" t="str">
        <v>&lt;li data-author="Ixcís"&gt;&lt;a href="canciones/ixcis/el_circulo_del_juicio.html"&gt;El círculo del juicio&lt;/a&gt;&lt;/li&gt;</v>
      </c>
      <c r="S145" s="17" t="str">
        <v>&lt;li data-author="Francisco Palazón" data-momento="Antífonas" data-nnew="D08" data-nold="41"&gt;&lt;a href="canciones/francisco_palazon/cantare_eternamente.html"&gt;Cantaré eternamente&lt;/a&gt;&lt;/li&gt;</v>
      </c>
    </row>
    <row r="146" spans="17:19" x14ac:dyDescent="0.3">
      <c r="Q146" s="17" t="str">
        <v>&lt;li data-author="Ixcís"&gt;&lt;a href="canciones/ixcis/hijo_de_david.html"&gt;Hijo de David&lt;/a&gt;&lt;/li&gt;</v>
      </c>
      <c r="S146" s="17" t="str">
        <v>&lt;li data-author="Francisco Palazón" data-nold="186" data-nrcc="36"&gt;&lt;a href="canciones/francisco_palazon/oh_dios_tu_mereces_un_himno_en_sion.html"&gt;Oh, Dios, Tú mereces un himno en Sión&lt;/a&gt;&lt;/li&gt;</v>
      </c>
    </row>
    <row r="147" spans="17:19" x14ac:dyDescent="0.3">
      <c r="Q147" s="17" t="str">
        <v>&lt;li data-author="Ixcís"&gt;&lt;a href="canciones/ixcis/hambre_y_sed_de_ti.html"&gt;Hambre y sed de ti&lt;/a&gt;&lt;/li&gt;</v>
      </c>
      <c r="S147" s="17" t="str">
        <v>&lt;li data-author="Francisco Palazón" data-nold="2"&gt;&lt;a href="canciones/francisco_palazon/aclamad_justos_al_señor.html"&gt;Aclamad, justos, al Señor&lt;/a&gt;&lt;/li&gt;</v>
      </c>
    </row>
    <row r="148" spans="17:19" x14ac:dyDescent="0.3">
      <c r="Q148" s="17" t="str">
        <v>&lt;li data-author="Ixcís"&gt;&lt;a href="canciones/ixcis/madre_de_la_humanidad.html"&gt;Madre de la humanidad&lt;/a&gt;&lt;/li&gt;</v>
      </c>
      <c r="S148" s="17" t="str">
        <v>&lt;li data-author="Francisco Palazón" data-nold="100"&gt;&lt;a href="canciones/francisco_palazon/el_señor_es_compasivo_y_misericordioso.html"&gt;El Señor es compasivo y misericordioso&lt;/a&gt;&lt;/li&gt;</v>
      </c>
    </row>
    <row r="149" spans="17:19" x14ac:dyDescent="0.3">
      <c r="Q149" s="17" t="str">
        <v>&lt;li data-author="Ixcís"&gt;&lt;a href="canciones/ixcis/transformame.html"&gt;Transfórmame&lt;/a&gt;&lt;/li&gt;</v>
      </c>
      <c r="S149" s="17" t="str">
        <v>&lt;li data-author="Francisco Palazón" data-nold="109"&gt;&lt;a href="canciones/francisco_palazon/envia_tu_espiritu_señor.html"&gt;Envía tu Espíritu, Señor&lt;/a&gt;&lt;/li&gt;</v>
      </c>
    </row>
    <row r="150" spans="17:19" x14ac:dyDescent="0.3">
      <c r="Q150" s="17" t="str">
        <v>&lt;li data-author="Ixcís"&gt;&lt;a href="canciones/ixcis/quien_curara.html"&gt;Quién curará&lt;/a&gt;&lt;/li&gt;</v>
      </c>
      <c r="S150" s="17" t="str">
        <v>&lt;li data-author="Francisco Palazón" data-momento="Comunión" data-nnew="K67"&gt;&lt;a href="canciones/francisco_palazon/si_me_falta_el_amor.html"&gt;Si me falta el amor&lt;/a&gt;&lt;/li&gt;</v>
      </c>
    </row>
    <row r="151" spans="17:19" x14ac:dyDescent="0.3">
      <c r="Q151" s="17" t="str">
        <v>&lt;li data-author="Ixcís"&gt;&lt;a href="canciones/ixcis/lazaro_grita.html"&gt;Lázaro grita&lt;/a&gt;&lt;/li&gt;</v>
      </c>
      <c r="S151" s="17" t="str">
        <v>&lt;li data-author="Francisco Palazón" data-momento="Despedida" data-nnew="L08" data-nold="470" data-nrcc="54b"&gt;&lt;a href="canciones/francisco_palazon/vaso_nuevo.html"&gt;Vaso nuevo&lt;/a&gt;&lt;/li&gt;</v>
      </c>
    </row>
    <row r="152" spans="17:19" x14ac:dyDescent="0.3">
      <c r="Q152" s="17" t="str">
        <v>&lt;li data-author="Ixcís"&gt;&lt;a href="canciones/ixcis/mi_buen_pastor.html"&gt;Mi buen Pastor&lt;/a&gt;&lt;/li&gt;</v>
      </c>
      <c r="S152" s="17" t="str">
        <v>&lt;li data-author="Francisco Palazón" data-nold="281"&gt;&lt;a href="canciones/francisco_palazon/ven_a_salvar_a_tu_pueblo.html"&gt;Ven a salvar a tu pueblo&lt;/a&gt;&lt;/li&gt;</v>
      </c>
    </row>
    <row r="153" spans="17:19" x14ac:dyDescent="0.3">
      <c r="Q153" s="17" t="str">
        <v>&lt;li data-author="Ixcís"&gt;&lt;a href="canciones/ixcis/la_ley_y_el_sabado.html"&gt;La ley y el sábado&lt;/a&gt;&lt;/li&gt;</v>
      </c>
      <c r="S153" s="17" t="str">
        <v>&lt;li data-author="Hakuna" data-momento="Entrada" data-nnew="A18"&gt;&lt;a href="canciones/hakuna/enciendeme.html"&gt;Enciéndeme&lt;/a&gt;&lt;/li&gt;</v>
      </c>
    </row>
    <row r="154" spans="17:19" x14ac:dyDescent="0.3">
      <c r="Q154" s="17" t="str">
        <v>&lt;li data-author="Ixcís"&gt;&lt;a href="canciones/ixcis/el_ayuno_que_yo_quiero.html"&gt;El ayuno que yo quiero&lt;/a&gt;&lt;/li&gt;</v>
      </c>
      <c r="S154" s="17" t="str">
        <v>&lt;li data-author="Hakuna" data-momento="Comunión" data-nnew="K72"&gt;&lt;a href="canciones/hakuna/tomad_comed.html"&gt;Tomad, comed&lt;/a&gt;&lt;/li&gt;</v>
      </c>
    </row>
    <row r="155" spans="17:19" x14ac:dyDescent="0.3">
      <c r="Q155" s="17" t="str">
        <v>&lt;li data-author="Ixcís"&gt;&lt;a href="canciones/ixcis/amad_a_vuestros_enemigos.html"&gt;Amad a vuestros enemigos&lt;/a&gt;&lt;/li&gt;</v>
      </c>
      <c r="S155" s="17" t="str">
        <v>&lt;li data-author="Hakuna" data-momento="Comunión" data-nnew="K39"&gt;&lt;a href="canciones/hakuna/huracan.html"&gt;Huracán&lt;/a&gt;&lt;/li&gt;</v>
      </c>
    </row>
    <row r="156" spans="17:19" x14ac:dyDescent="0.3">
      <c r="Q156" s="17" t="str">
        <v>&lt;li data-author="Ixcís"&gt;&lt;a href="canciones/ixcis/tu_lluvia_desciende.html"&gt;Tu lluvia desciende&lt;/a&gt;&lt;/li&gt;</v>
      </c>
      <c r="S156" s="17" t="str">
        <v>&lt;li data-author="Ixcís" data-momento="Antífonas" data-nnew="D06"&gt;&lt;a href="canciones/ixcis/caminare_hoy_en_tu_presencia.html"&gt;Caminaré hoy en tu presencia&lt;/a&gt;&lt;/li&gt;</v>
      </c>
    </row>
    <row r="157" spans="17:19" x14ac:dyDescent="0.3">
      <c r="Q157" s="17" t="str">
        <v>&lt;li data-author="Ixcís"&gt;&lt;a href="canciones/ixcis/mirad_los_lirios.html"&gt;Mirad los lirios&lt;/a&gt;&lt;/li&gt;</v>
      </c>
      <c r="S157" s="17" t="str">
        <v>&lt;li data-author="Ixcís" data-momento="Ofertorio" data-nnew="F14"&gt;&lt;a href="canciones/ixcis/sigue_habiendo.html"&gt;Sigue habiendo&lt;/a&gt;&lt;/li&gt;</v>
      </c>
    </row>
    <row r="158" spans="17:19" x14ac:dyDescent="0.3">
      <c r="Q158" s="17" t="str">
        <v>&lt;li data-author="Ixcís"&gt;&lt;a href="canciones/ixcis/por_todos.html"&gt;Por todos&lt;/a&gt;&lt;/li&gt;</v>
      </c>
      <c r="S158" s="17" t="str">
        <v>&lt;li data-author="Ixcís" data-momento="Antífonas" data-nnew="D24"&gt;&lt;a href="canciones/ixcis/mueveme_mi_dios.html"&gt;Muéveme, mi Dios&lt;/a&gt;&lt;/li&gt;</v>
      </c>
    </row>
    <row r="159" spans="17:19" x14ac:dyDescent="0.3">
      <c r="Q159" s="17" t="str">
        <v>&lt;li data-author="Ixcís"&gt;&lt;a href="canciones/ixcis/te_seguire.html"&gt;Te seguiré&lt;/a&gt;&lt;/li&gt;</v>
      </c>
      <c r="S159" s="17" t="str">
        <v>&lt;li data-author="Ixcís" data-momento="Antífonas" data-nnew="D09"&gt;&lt;a href="canciones/ixcis/como_sal_como_luz.html"&gt;Como sal, como luz&lt;/a&gt;&lt;/li&gt;</v>
      </c>
    </row>
    <row r="160" spans="17:19" x14ac:dyDescent="0.3">
      <c r="Q160" s="17" t="str">
        <v>&lt;li data-author="Ixcís"&gt;&lt;a href="canciones/ixcis/proclama_mi_alma.html"&gt;Proclama mi alma&lt;/a&gt;&lt;/li&gt;</v>
      </c>
      <c r="S160" s="17" t="str">
        <v>&lt;li data-author="Joaquín Madurga" data-momento="Ofertorio" data-nnew="F16" data-nold="265"&gt;&lt;a href="canciones/joaquin_madurga/traemos_a_tu_altar.html"&gt;Traemos a tu altar&lt;/a&gt;&lt;/li&gt;</v>
      </c>
    </row>
    <row r="161" spans="17:19" x14ac:dyDescent="0.3">
      <c r="Q161" s="17" t="str">
        <v>&lt;li data-author="Ixcís"&gt;&lt;a href="canciones/ixcis/tanto_tiempo.html"&gt;Tanto tiempo&lt;/a&gt;&lt;/li&gt;</v>
      </c>
      <c r="S161" s="17" t="str">
        <v>&lt;li data-author="Joaquín Madurga" data-momento="Comunión" data-nnew="K05" data-nold="12"&gt;&lt;a href="canciones/joaquin_madurga/al_ver_jesus.html"&gt;Al ver Jesús&lt;/a&gt;&lt;/li&gt;</v>
      </c>
    </row>
    <row r="162" spans="17:19" x14ac:dyDescent="0.3">
      <c r="Q162" s="17" t="str">
        <v>&lt;li data-author="Ixcís"&gt;&lt;a href="canciones/ixcis/tu_en_mi_yo_en_todos.html"&gt;Tú en mí, yo en todos&lt;/a&gt;&lt;/li&gt;</v>
      </c>
      <c r="S162" s="17" t="str">
        <v>&lt;li data-author="Joaquín Madurga" data-momento="Aleluya" data-nnew="E10"&gt;&lt;a href="canciones/joaquin_madurga/aleluya_ha_nacido_el_salvador.html"&gt;Aleluya, ha nacido el salvador&lt;/a&gt;&lt;/li&gt;</v>
      </c>
    </row>
    <row r="163" spans="17:19" x14ac:dyDescent="0.3">
      <c r="Q163" s="17" t="str">
        <v>&lt;li data-author="Ixcís"&gt;&lt;a href="canciones/ixcis/padre_me_ofrezco.html"&gt;Padre, me ofrezco&lt;/a&gt;&lt;/li&gt;</v>
      </c>
      <c r="S163" s="17" t="str">
        <v>&lt;li data-author="Joaquín Madurga" data-momento="Ofertorio" data-nnew="F02" data-nold="26"&gt;&lt;a href="canciones/joaquin_madurga/andando_por_el_camino.html"&gt;Andando por el camino&lt;/a&gt;&lt;/li&gt;</v>
      </c>
    </row>
    <row r="164" spans="17:19" x14ac:dyDescent="0.3">
      <c r="Q164" s="17" t="str">
        <v>&lt;li data-author="Ixcís"&gt;&lt;a href="canciones/ixcis/dios_padre_y_madre.html"&gt;Dios Padre y Madre&lt;/a&gt;&lt;/li&gt;</v>
      </c>
      <c r="S164" s="17" t="str">
        <v>&lt;li data-author="Joaquín Madurga" data-nold="48"&gt;&lt;a href="canciones/joaquin_madurga/comiendo_del_mismo_pan.html"&gt;Comiendo del mismo pan&lt;/a&gt;&lt;/li&gt;</v>
      </c>
    </row>
    <row r="165" spans="17:19" x14ac:dyDescent="0.3">
      <c r="Q165" s="17" t="str">
        <v>&lt;li data-author="Ixcís"&gt;&lt;a href="canciones/ixcis/dios_del_cielo.html"&gt;Dios del cielo&lt;/a&gt;&lt;/li&gt;</v>
      </c>
      <c r="S165" s="17" t="str">
        <v>&lt;li data-author="Joaquín Madurga" data-momento="Ofertorio" data-nnew="F06" data-nold="84"&gt;&lt;a href="canciones/joaquin_madurga/donde_hay_caridad_y_amor.html"&gt;Donde hay caridad y amor&lt;/a&gt;&lt;/li&gt;</v>
      </c>
    </row>
    <row r="166" spans="17:19" x14ac:dyDescent="0.3">
      <c r="Q166" s="17" t="str">
        <v>&lt;li data-author="Ixcís"&gt;&lt;a href="canciones/ixcis/santificare_tu_nombre.html"&gt;Santificaré tu nombre&lt;/a&gt;&lt;/li&gt;</v>
      </c>
      <c r="S166" s="17" t="str">
        <v>&lt;li data-author="Joaquín Madurga" data-momento="Entrada" data-nnew="A16"&gt;&lt;a href="canciones/joaquin_madurga/el_señor_resucito.html"&gt;El Señor resucitó&lt;/a&gt;&lt;/li&gt;</v>
      </c>
    </row>
    <row r="167" spans="17:19" x14ac:dyDescent="0.3">
      <c r="Q167" s="17" t="str">
        <v>&lt;li data-author="Ixcís"&gt;&lt;a href="canciones/ixcis/parabola_del_reino.html"&gt;Parábola del Reino&lt;/a&gt;&lt;/li&gt;</v>
      </c>
      <c r="S167" s="17" t="str">
        <v>&lt;li data-author="Joaquín Madurga" data-momento="Entrada" data-nnew="A20" data-nold="122"&gt;&lt;a href="canciones/joaquin_madurga/esta_es_tu_fiesta.html"&gt;Esta es tu fiesta&lt;/a&gt;&lt;/li&gt;</v>
      </c>
    </row>
    <row r="168" spans="17:19" x14ac:dyDescent="0.3">
      <c r="Q168" s="17" t="str">
        <v>&lt;li data-author="Ixcís"&gt;&lt;a href="canciones/ixcis/hacer_tu_voluntad.html"&gt;Hacer tu voluntad&lt;/a&gt;&lt;/li&gt;</v>
      </c>
      <c r="S168" s="17" t="str">
        <v>&lt;li data-author="Joaquín Madurga" data-momento="Entrada" data-nnew="A35" data-nold="275"&gt;&lt;a href="canciones/joaquin_madurga/unidos_en_la_fiesta.html"&gt;Unidos en la fiesta&lt;/a&gt;&lt;/li&gt;</v>
      </c>
    </row>
    <row r="169" spans="17:19" x14ac:dyDescent="0.3">
      <c r="Q169" s="17" t="str">
        <v>&lt;li data-author="Ixcís"&gt;&lt;a href="canciones/ixcis/nueva_tierra.html"&gt;Nueva tierra&lt;/a&gt;&lt;/li&gt;</v>
      </c>
      <c r="S169" s="17" t="str">
        <v>&lt;li data-author="Joaquín Madurga" data-nold="287"&gt;&lt;a href="canciones/joaquin_madurga/vamos_buscando_la_verdad.html"&gt;Vamos buscando la verdad&lt;/a&gt;&lt;/li&gt;</v>
      </c>
    </row>
    <row r="170" spans="17:19" x14ac:dyDescent="0.3">
      <c r="Q170" s="17" t="str">
        <v>&lt;li data-author="Ixcís"&gt;&lt;a href="canciones/ixcis/danos_hoy.html"&gt;Danos hoy&lt;/a&gt;&lt;/li&gt;</v>
      </c>
      <c r="S170" s="17" t="str">
        <v>&lt;li data-author="Josep Asunción" data-momento="Comunión" data-nnew="K02" data-nrcc="400"&gt;&lt;a href="canciones/josep_asuncion/adorare_tu_cuerpo_herido.html"&gt;Adoraré tu cuerpo herido&lt;/a&gt;&lt;/li&gt;</v>
      </c>
    </row>
    <row r="171" spans="17:19" x14ac:dyDescent="0.3">
      <c r="Q171" s="17" t="str">
        <v>&lt;li data-author="Ixcís"&gt;&lt;a href="canciones/ixcis/perdonanos.html"&gt;Perdónanos&lt;/a&gt;&lt;/li&gt;</v>
      </c>
      <c r="S171" s="17" t="str">
        <v>&lt;li data-author="Josep Asunción" data-momento="Antífonas" data-nnew="D39" data-nrcc="368"&gt;&lt;a href="canciones/josep_asuncion/ven_y_descansate.html"&gt;Ven y descánsate&lt;/a&gt;&lt;/li&gt;</v>
      </c>
    </row>
    <row r="172" spans="17:19" x14ac:dyDescent="0.3">
      <c r="Q172" s="17" t="str">
        <v>&lt;li data-author="Ixcís"&gt;&lt;a href="canciones/ixcis/no_nos_dejes_caer.html"&gt;No nos dejes caer&lt;/a&gt;&lt;/li&gt;</v>
      </c>
      <c r="S172" s="17" t="str">
        <v>&lt;li data-author="Juan Antonio Espinosa" data-momento="Antífonas" data-nnew="D01" data-nold="4"&gt;&lt;a href="canciones/juan_antonio_espinosa/a_dios_den_gracias_los_pueblos.html"&gt;A Dios den gracias los pueblos&lt;/a&gt;&lt;/li&gt;</v>
      </c>
    </row>
    <row r="173" spans="17:19" x14ac:dyDescent="0.3">
      <c r="Q173" s="17" t="str">
        <v>&lt;li data-author="Ixcís"&gt;&lt;a href="canciones/ixcis/librame.html"&gt;Líbrame&lt;/a&gt;&lt;/li&gt;</v>
      </c>
      <c r="S173" s="17" t="str">
        <v>&lt;li data-author="Juan Antonio Espinosa" data-momento="Entrada" data-nnew="A05" data-nold="16" data-nrcc="301"&gt;&lt;a href="canciones/juan_antonio_espinosa/alegre_la_mañana.html"&gt;Alegre la mañana&lt;/a&gt;&lt;/li&gt;</v>
      </c>
    </row>
    <row r="174" spans="17:19" x14ac:dyDescent="0.3">
      <c r="Q174" s="17" t="str">
        <v>&lt;li data-author="Ixcís"&gt;&lt;a href="canciones/ixcis/tu_amen.html"&gt;Tu Amén&lt;/a&gt;&lt;/li&gt;</v>
      </c>
      <c r="S174" s="17" t="str">
        <v>&lt;li data-author="Juan Antonio Espinosa" data-momento="Entrada" data-nnew="A09" data-nold="35"&gt;&lt;a href="canciones/juan_antonio_espinosa/caminamos_hacia_el_sol.html"&gt;Caminamos hacia el sol&lt;/a&gt;&lt;/li&gt;</v>
      </c>
    </row>
    <row r="175" spans="17:19" x14ac:dyDescent="0.3">
      <c r="Q175" s="17" t="str">
        <v>&lt;li data-author="Ixcís"&gt;&lt;a href="canciones/ixcis/somos_tu_pueblo.html"&gt;Somos tu pueblo&lt;/a&gt;&lt;/li&gt;</v>
      </c>
      <c r="S175" s="17" t="str">
        <v>&lt;li data-author="Juan Antonio Espinosa" data-nold="39"&gt;&lt;a href="canciones/juan_antonio_espinosa/caminare_en_presencia_del_señor_(espinosa).html"&gt;Caminaré en presencia del Señor (Espinosa)&lt;/a&gt;&lt;/li&gt;</v>
      </c>
    </row>
    <row r="176" spans="17:19" x14ac:dyDescent="0.3">
      <c r="Q176" s="17" t="str">
        <v>&lt;li data-author="Ixcís"&gt;&lt;a href="canciones/ixcis/padrenuestro_ii.html"&gt;Padrenuestro II&lt;/a&gt;&lt;/li&gt;</v>
      </c>
      <c r="S176" s="17" t="str">
        <v>&lt;li data-author="Juan Antonio Espinosa" data-nold="73"&gt;&lt;a href="canciones/juan_antonio_espinosa/dad_gracias_al_señor_porque_es_bueno.html"&gt;Dad gracias al Señor porque es bueno&lt;/a&gt;&lt;/li&gt;</v>
      </c>
    </row>
    <row r="177" spans="17:19" x14ac:dyDescent="0.3">
      <c r="Q177" s="17" t="str">
        <v>&lt;li data-author="Ixcís"&gt;&lt;a href="canciones/ixcis/te_necesito.html"&gt;Te necesito&lt;/a&gt;&lt;/li&gt;</v>
      </c>
      <c r="S177" s="17" t="str">
        <v>&lt;li data-author="Juan Antonio Espinosa" data-momento="Comunión" data-nnew="K21" data-nold="75"&gt;&lt;a href="canciones/juan_antonio_espinosa/danos_un_corazon.html"&gt;Danos un corazón&lt;/a&gt;&lt;/li&gt;</v>
      </c>
    </row>
    <row r="178" spans="17:19" x14ac:dyDescent="0.3">
      <c r="Q178" s="17" t="str">
        <v>&lt;li data-author="Ixcís"&gt;&lt;a href="canciones/ixcis/solo_quedas_tu.html"&gt;Sólo quedas Tú&lt;/a&gt;&lt;/li&gt;</v>
      </c>
      <c r="S178" s="17" t="str">
        <v>&lt;li data-author="Juan Antonio Espinosa" data-momento="Comunión" data-nnew="K23" data-nold="77"&gt;&lt;a href="canciones/juan_antonio_espinosa/dolorosa.html"&gt;Dolorosa&lt;/a&gt;&lt;/li&gt;</v>
      </c>
    </row>
    <row r="179" spans="17:19" x14ac:dyDescent="0.3">
      <c r="Q179" s="17" t="str">
        <v>&lt;li data-author="Ixcís"&gt;&lt;a href="canciones/ixcis/talithakum.html"&gt;Talithakum&lt;/a&gt;&lt;/li&gt;</v>
      </c>
      <c r="S179" s="17" t="str">
        <v>&lt;li data-author="Juan Antonio Espinosa" data-nold="102"&gt;&lt;a href="canciones/juan_antonio_espinosa/el_señor_es_mi_fuerza.html"&gt;El Señor es mi fuerza&lt;/a&gt;&lt;/li&gt;</v>
      </c>
    </row>
    <row r="180" spans="17:19" x14ac:dyDescent="0.3">
      <c r="Q180" s="17" t="str">
        <v>&lt;li data-author="Ixcís"&gt;&lt;a href="canciones/ixcis/cristianos_de_orilla.html"&gt;Cristianos de orilla&lt;/a&gt;&lt;/li&gt;</v>
      </c>
      <c r="S180" s="17" t="str">
        <v>&lt;li data-author="Juan Antonio Espinosa" data-momento="Ofertorio" data-nnew="F07" data-nold="94"&gt;&lt;a href="canciones/juan_antonio_espinosa/en_la_comida_que_cristo_nos_da.html"&gt;En la comida que Cristo nos da&lt;/a&gt;&lt;/li&gt;</v>
      </c>
    </row>
    <row r="181" spans="17:19" x14ac:dyDescent="0.3">
      <c r="Q181" s="17" t="str">
        <v>&lt;li data-author="Ixcís"&gt;&lt;a href="canciones/ixcis/vive_lo_que_cantas.html"&gt;Vive lo que cantas&lt;/a&gt;&lt;/li&gt;</v>
      </c>
      <c r="S181" s="17" t="str">
        <v>&lt;li data-author="Juan Antonio Espinosa" data-nold="108"&gt;&lt;a href="canciones/juan_antonio_espinosa/errante_voy.html"&gt;Errante voy&lt;/a&gt;&lt;/li&gt;</v>
      </c>
    </row>
    <row r="182" spans="17:19" x14ac:dyDescent="0.3">
      <c r="Q182" s="17" t="str">
        <v>&lt;li data-author="Ixcís"&gt;&lt;a href="canciones/ixcis/culpable.html"&gt;Culpable&lt;/a&gt;&lt;/li&gt;</v>
      </c>
      <c r="S182" s="17" t="str">
        <v>&lt;li data-author="Juan Antonio Espinosa" data-nold="117"&gt;&lt;a href="canciones/juan_antonio_espinosa/escucha_nuestros_gritos_en_la_noche.html"&gt;Escucha nuestros gritos en la noche&lt;/a&gt;&lt;/li&gt;</v>
      </c>
    </row>
    <row r="183" spans="17:19" x14ac:dyDescent="0.3">
      <c r="Q183" s="17" t="str">
        <v>&lt;li data-author="Ixcís"&gt;&lt;a href="canciones/ixcis/me_siento_perdonado.html"&gt;Me siento perdonado&lt;/a&gt;&lt;/li&gt;</v>
      </c>
      <c r="S183" s="17" t="str">
        <v>&lt;li data-author="Juan Antonio Espinosa" data-nold="121"&gt;&lt;a href="canciones/juan_antonio_espinosa/este_es_el_dia_del_señor.html"&gt;Este es el día del Señor&lt;/a&gt;&lt;/li&gt;</v>
      </c>
    </row>
    <row r="184" spans="17:19" x14ac:dyDescent="0.3">
      <c r="Q184" s="17" t="str">
        <v>&lt;li data-author="Ixcís"&gt;&lt;a href="canciones/ixcis/yo_te_alabo.html"&gt;Yo te alabo&lt;/a&gt;&lt;/li&gt;</v>
      </c>
      <c r="S184" s="17" t="str">
        <v>&lt;li data-author="Juan Antonio Espinosa" data-nold="125"&gt;&lt;a href="canciones/juan_antonio_espinosa/feliz_el_hombre.html"&gt;Feliz el hombre&lt;/a&gt;&lt;/li&gt;</v>
      </c>
    </row>
    <row r="185" spans="17:19" x14ac:dyDescent="0.3">
      <c r="Q185" s="17" t="str">
        <v>&lt;li data-author="Ixcís"&gt;&lt;a href="canciones/ixcis/gracias_amigo_del_alma.html"&gt;Gracias, amigo del alma&lt;/a&gt;&lt;/li&gt;</v>
      </c>
      <c r="S185" s="17" t="str">
        <v>&lt;li data-author="Juan Antonio Espinosa" data-momento="María" data-nnew="M09" data-nold="163"&gt;&lt;a href="canciones/juan_antonio_espinosa/madre_de_todos_los_hombres.html"&gt;Madre de todos los hombres&lt;/a&gt;&lt;/li&gt;</v>
      </c>
    </row>
    <row r="186" spans="17:19" x14ac:dyDescent="0.3">
      <c r="Q186" s="17" t="str">
        <v>&lt;li data-author="Ixcís"&gt;&lt;a href="canciones/ixcis/adonde_vayas.html"&gt;Adonde vayas&lt;/a&gt;&lt;/li&gt;</v>
      </c>
      <c r="S186" s="17" t="str">
        <v>&lt;li data-author="Juan Antonio Espinosa" data-nold="174"&gt;&lt;a href="canciones/juan_antonio_espinosa/nacidos_de_la_luz.html"&gt;Nacidos de la luz&lt;/a&gt;&lt;/li&gt;</v>
      </c>
    </row>
    <row r="187" spans="17:19" x14ac:dyDescent="0.3">
      <c r="Q187" s="17" t="str">
        <v>&lt;li data-author="Ixcís"&gt;&lt;a href="canciones/ixcis/contigo.html"&gt;Contigo&lt;/a&gt;&lt;/li&gt;</v>
      </c>
      <c r="S187" s="17" t="str">
        <v>&lt;li data-author="Juan Antonio Espinosa" data-momento="Comunión" data-nnew="K50"&gt;&lt;a href="canciones/juan_antonio_espinosa/no_podemos_caminar_(hambre_de_dios).html"&gt;No podemos caminar (Hambre de Dios)&lt;/a&gt;&lt;/li&gt;</v>
      </c>
    </row>
    <row r="188" spans="17:19" x14ac:dyDescent="0.3">
      <c r="Q188" s="17" t="str">
        <v>&lt;li data-author="Ixcís"&gt;&lt;a href="canciones/ixcis/tu_mi_raiz.html"&gt;Tú, mi raíz&lt;/a&gt;&lt;/li&gt;</v>
      </c>
      <c r="S188" s="17" t="str">
        <v>&lt;li data-author="Juan Antonio Espinosa" data-nold="178"&gt;&lt;a href="canciones/juan_antonio_espinosa/no_yo_no_dejo_la_tierra.html"&gt;No, yo no dejo la tierra&lt;/a&gt;&lt;/li&gt;</v>
      </c>
    </row>
    <row r="189" spans="17:19" x14ac:dyDescent="0.3">
      <c r="Q189" s="17" t="str">
        <v>&lt;li data-author="Ixcís"&gt;&lt;a href="canciones/ixcis/cuando_dos_se_aman.html"&gt;Cuando dos se aman&lt;/a&gt;&lt;/li&gt;</v>
      </c>
      <c r="S189" s="17" t="str">
        <v>&lt;li data-author="Juan Antonio Espinosa" data-nold="212"&gt;&lt;a href="canciones/juan_antonio_espinosa/perdon_señor_perdon.html"&gt;Perdón, Señor, perdón&lt;/a&gt;&lt;/li&gt;</v>
      </c>
    </row>
    <row r="190" spans="17:19" x14ac:dyDescent="0.3">
      <c r="Q190" s="17" t="str">
        <v>&lt;li data-author="Ixcís"&gt;&lt;a href="canciones/ixcis/un_poco_de_fe.html"&gt;Un poco de fe&lt;/a&gt;&lt;/li&gt;</v>
      </c>
      <c r="S190" s="17" t="str">
        <v>&lt;li data-author="Juan Antonio Espinosa" data-momento="Despedida" data-nnew="L06" data-nold="203"&gt;&lt;a href="canciones/juan_antonio_espinosa/por_ti_mi_dios.html"&gt;Por ti, mi Dios&lt;/a&gt;&lt;/li&gt;</v>
      </c>
    </row>
    <row r="191" spans="17:19" x14ac:dyDescent="0.3">
      <c r="Q191" s="17" t="str">
        <v>&lt;li data-author="Ixcís"&gt;&lt;a href="canciones/ixcis/no_me_rendire.html"&gt;No me rendiré&lt;/a&gt;&lt;/li&gt;</v>
      </c>
      <c r="S191" s="17" t="str">
        <v>&lt;li data-author="Juan Antonio Espinosa" data-momento="Entrada" data-nnew="A29" data-nold="220"&gt;&lt;a href="canciones/juan_antonio_espinosa/que_ves_en_la_noche.html"&gt;Qué ves en la noche&lt;/a&gt;&lt;/li&gt;</v>
      </c>
    </row>
    <row r="192" spans="17:19" x14ac:dyDescent="0.3">
      <c r="Q192" s="17" t="str">
        <v>&lt;li data-author="Ixcís"&gt;&lt;a href="canciones/ixcis/enviame.html"&gt;Envíame&lt;/a&gt;&lt;/li&gt;</v>
      </c>
      <c r="S192" s="17" t="str">
        <v>&lt;li data-author="Juan Antonio Espinosa" data-momento="Comunión" data-nnew="K61" data-nold="222"&gt;&lt;a href="canciones/juan_antonio_espinosa/quedate_con_nosotros.html"&gt;Quédate con nosotros&lt;/a&gt;&lt;/li&gt;</v>
      </c>
    </row>
    <row r="193" spans="19:19" x14ac:dyDescent="0.3">
      <c r="S193" s="17" t="str">
        <v>&lt;li data-author="Juan Antonio Espinosa" data-momento="María" data-nnew="M21" data-nold="164"&gt;&lt;a href="canciones/juan_antonio_espinosa/santa_maria_del_camino.html"&gt;Santa María del Camino&lt;/a&gt;&lt;/li&gt;</v>
      </c>
    </row>
    <row r="194" spans="19:19" x14ac:dyDescent="0.3">
      <c r="S194" s="17" t="str">
        <v>&lt;li data-author="Juan Antonio Espinosa" data-nold="243"&gt;&lt;a href="canciones/juan_antonio_espinosa/señor_tu_que_brillas.html"&gt;Señor, tú que brillas&lt;/a&gt;&lt;/li&gt;</v>
      </c>
    </row>
    <row r="195" spans="19:19" x14ac:dyDescent="0.3">
      <c r="S195" s="17" t="str">
        <v>&lt;li data-author="Juan Antonio Espinosa" data-nold="258"&gt;&lt;a href="canciones/juan_antonio_espinosa/te_damos_gracias_señor.html"&gt;Te damos gracias, Señor&lt;/a&gt;&lt;/li&gt;</v>
      </c>
    </row>
    <row r="196" spans="19:19" x14ac:dyDescent="0.3">
      <c r="S196" s="17" t="str">
        <v>&lt;li data-author="Juan Antonio Espinosa" data-momento="Comunión" data-nnew="K77" data-nold="262"&gt;&lt;a href="canciones/juan_antonio_espinosa/tu_eres_el_dios_que_nos_salva.html"&gt;Tú eres el Dios que nos salva&lt;/a&gt;&lt;/li&gt;</v>
      </c>
    </row>
    <row r="197" spans="19:19" x14ac:dyDescent="0.3">
      <c r="S197" s="17" t="str">
        <v>&lt;li data-author="Juan Antonio Espinosa" data-momento="Antífonas" data-nnew="D37" data-nold="254"&gt;&lt;a href="canciones/juan_antonio_espinosa/tu_palabra_me_da_vida.html"&gt;Tu Palabra me da vida&lt;/a&gt;&lt;/li&gt;</v>
      </c>
    </row>
    <row r="198" spans="19:19" x14ac:dyDescent="0.3">
      <c r="S198" s="17" t="str">
        <v>&lt;li data-author="Juan Antonio Espinosa" data-momento="Entrada" data-nnew="A33" data-nold="272"&gt;&lt;a href="canciones/juan_antonio_espinosa/un_pueblo_que_camina_por_el_mundo.html"&gt;Un pueblo que camina por el mundo&lt;/a&gt;&lt;/li&gt;</v>
      </c>
    </row>
    <row r="199" spans="19:19" x14ac:dyDescent="0.3">
      <c r="S199" s="17" t="str">
        <v>&lt;li data-author="Juan Antonio Espinosa" data-nold="269"&gt;&lt;a href="canciones/juan_antonio_espinosa/una_ciudad_para_todos.html"&gt;Una ciudad para todos&lt;/a&gt;&lt;/li&gt;</v>
      </c>
    </row>
    <row r="200" spans="19:19" x14ac:dyDescent="0.3">
      <c r="S200" s="17" t="str">
        <v>&lt;li data-author="Juan Antonio Espinosa" data-momento="María" data-nnew="M23" data-nold="297"&gt;&lt;a href="canciones/juan_antonio_espinosa/unidos_a_todos_los_pueblos.html"&gt;Unidos a todos los pueblos&lt;/a&gt;&lt;/li&gt;</v>
      </c>
    </row>
    <row r="201" spans="19:19" x14ac:dyDescent="0.3">
      <c r="S201" s="17" t="str">
        <v>&lt;li data-author="Juan Antonio Espinosa" data-momento="Entrada" data-nnew="A37" data-nold="277"&gt;&lt;a href="canciones/juan_antonio_espinosa/vamos_cantando_al_señor.html"&gt;Vamos cantando al Señor&lt;/a&gt;&lt;/li&gt;</v>
      </c>
    </row>
    <row r="202" spans="19:19" x14ac:dyDescent="0.3">
      <c r="S202" s="17" t="str">
        <v>&lt;li data-author="Juanjo Elezkano" data-nold="147"&gt;&lt;a href="canciones/juanjo_elezkano/juventud_de_todos_los_paises.html"&gt;Juventud de todos los países&lt;/a&gt;&lt;/li&gt;</v>
      </c>
    </row>
    <row r="203" spans="19:19" x14ac:dyDescent="0.3">
      <c r="S203" s="17" t="str">
        <v>&lt;li data-author="Juanjo Elezkano" data-momento="Entrada" data-nnew="A01" data-nold="32"&gt;&lt;a href="canciones/juanjo_elezkano/a_la_fiesta_del_señor.html"&gt;A la fiesta del Señor&lt;/a&gt;&lt;/li&gt;</v>
      </c>
    </row>
    <row r="204" spans="19:19" x14ac:dyDescent="0.3">
      <c r="S204" s="17" t="str">
        <v>&lt;li data-author="Juanjo Elezkano" data-momento="Entrada" data-nnew="A11" data-nold="65b"&gt;&lt;a href="canciones/juanjo_elezkano/comeremos_de_la_mesa.html"&gt;Comeremos de la mesa&lt;/a&gt;&lt;/li&gt;</v>
      </c>
    </row>
    <row r="205" spans="19:19" x14ac:dyDescent="0.3">
      <c r="S205" s="17" t="str">
        <v>&lt;li data-author="Juanjo Elezkano" data-nold="130"&gt;&lt;a href="canciones/juanjo_elezkano/hoy_cantamos_a_dios.html"&gt;Hoy cantamos a Dios&lt;/a&gt;&lt;/li&gt;</v>
      </c>
    </row>
    <row r="206" spans="19:19" x14ac:dyDescent="0.3">
      <c r="S206" s="17" t="str">
        <v>&lt;li data-author="Juanjo Elezkano" data-nold="149"&gt;&lt;a href="canciones/juanjo_elezkano/los_pobres_de_la_tierra.html"&gt;Los pobres de la tierra&lt;/a&gt;&lt;/li&gt;</v>
      </c>
    </row>
    <row r="207" spans="19:19" x14ac:dyDescent="0.3">
      <c r="S207" s="17" t="str">
        <v>&lt;li data-author="Juanjo Elezkano" data-momento="Comunión" data-nnew="K47" data-nold="175"&gt;&lt;a href="canciones/juanjo_elezkano/necesitamos_comer_tu_pan.html"&gt;Necesitamos comer tu Pan&lt;/a&gt;&lt;/li&gt;</v>
      </c>
    </row>
    <row r="208" spans="19:19" x14ac:dyDescent="0.3">
      <c r="S208" s="17" t="str">
        <v>&lt;li data-author="Juanjo Elezkano" data-nold="215"&gt;&lt;a href="canciones/juanjo_elezkano/perdoname_señor.html"&gt;Perdóname, Señor&lt;/a&gt;&lt;/li&gt;</v>
      </c>
    </row>
    <row r="209" spans="19:19" x14ac:dyDescent="0.3">
      <c r="S209" s="17" t="str">
        <v>&lt;li data-author="Juanjo Elezkano" data-momento="Antífonas" data-nnew="D42" data-nold="471"&gt;&lt;a href="canciones/juanjo_elezkano/venimos_a_escuchar_tu_voz.html"&gt;Venimos a escuchar tu voz&lt;/a&gt;&lt;/li&gt;</v>
      </c>
    </row>
    <row r="210" spans="19:19" x14ac:dyDescent="0.3">
      <c r="S210" s="17" t="str">
        <v>&lt;li data-author="Kairoi" data-momento="Antífonas" data-nnew="D21"&gt;&lt;a href="canciones/kairoi/la_bondad_y_el_amor_del_señor.html"&gt;La bondad y el amor del Señor&lt;/a&gt;&lt;/li&gt;</v>
      </c>
    </row>
    <row r="211" spans="19:19" x14ac:dyDescent="0.3">
      <c r="S211" s="17" t="str">
        <v>&lt;li data-author="Kairoi" data-momento="Perdón - Agua" data-nnew="B05"&gt;&lt;a href="canciones/kairoi/padre_vuelvo_a_ti.html"&gt;Padre, vuelvo a ti&lt;/a&gt;&lt;/li&gt;</v>
      </c>
    </row>
    <row r="212" spans="19:19" x14ac:dyDescent="0.3">
      <c r="S212" s="17" t="str">
        <v>&lt;li data-author="Kairoi" data-momento="María" data-nnew="M11" data-nold="433"&gt;&lt;a href="canciones/kairoi/maria_la_madre_buena.html"&gt;María, la madre buena&lt;/a&gt;&lt;/li&gt;</v>
      </c>
    </row>
    <row r="213" spans="19:19" x14ac:dyDescent="0.3">
      <c r="S213" s="17" t="str">
        <v>&lt;li data-author="Kairoi" data-momento="Espíritu" data-nnew="N03" data-nrcc="210"&gt;&lt;a href="canciones/kairoi/el_señor_os_dara_su_espiritu_santo.html"&gt;El Señor os dará su Espíritu Santo&lt;/a&gt;&lt;/li&gt;</v>
      </c>
    </row>
    <row r="214" spans="19:19" x14ac:dyDescent="0.3">
      <c r="S214" s="17" t="str">
        <v>&lt;li data-author="Kairoi" data-momento="Aleluya" data-nnew="E02"&gt;&lt;a href="canciones/kairoi/aleluya_(junto_a_ti_jesus).html"&gt;Aleluya (Junto a ti, Jesús)&lt;/a&gt;&lt;/li&gt;</v>
      </c>
    </row>
    <row r="215" spans="19:19" x14ac:dyDescent="0.3">
      <c r="S215" s="17" t="str">
        <v>&lt;li data-author="Kairoi" data-nold="226"&gt;&lt;a href="canciones/kairoi/rezar_no_es_otra_cosa.html"&gt;Rezar no es otra cosa&lt;/a&gt;&lt;/li&gt;</v>
      </c>
    </row>
    <row r="216" spans="19:19" x14ac:dyDescent="0.3">
      <c r="S216" s="17" t="str">
        <v>&lt;li data-author="Kairoi" data-nold="196"&gt;&lt;a href="canciones/kairoi/padre_de_las_misericordias.html"&gt;Padre de las misericordias&lt;/a&gt;&lt;/li&gt;</v>
      </c>
    </row>
    <row r="217" spans="19:19" x14ac:dyDescent="0.3">
      <c r="S217" s="17" t="str">
        <v>&lt;li data-author="Kairoi" data-nold="252"&gt;&lt;a href="canciones/kairoi/te_alabo_señor.html"&gt;Te alabo, Señor&lt;/a&gt;&lt;/li&gt;</v>
      </c>
    </row>
    <row r="218" spans="19:19" x14ac:dyDescent="0.3">
      <c r="S218" s="17" t="str">
        <v>&lt;li data-author="Kairoi" data-nold="304"&gt;&lt;a href="canciones/kairoi/jesus_es_verdad.html"&gt;Jesús es verdad&lt;/a&gt;&lt;/li&gt;</v>
      </c>
    </row>
    <row r="219" spans="19:19" x14ac:dyDescent="0.3">
      <c r="S219" s="17" t="str">
        <v>&lt;li data-author="Kairoi" data-momento="Entrada" data-nnew="A19" data-nold="111"&gt;&lt;a href="canciones/kairoi/eres_el_fuego_el_amor.html"&gt;Eres el fuego, el amor&lt;/a&gt;&lt;/li&gt;</v>
      </c>
    </row>
    <row r="220" spans="19:19" x14ac:dyDescent="0.3">
      <c r="S220" s="17" t="str">
        <v>&lt;li data-author="Kairoi" data-momento="Comunión" data-nnew="K12"&gt;&lt;a href="canciones/kairoi/bienaventuranzas_(kairoi).html"&gt;Bienaventuranzas (Kairoi)&lt;/a&gt;&lt;/li&gt;</v>
      </c>
    </row>
    <row r="221" spans="19:19" x14ac:dyDescent="0.3">
      <c r="S221" s="17" t="str">
        <v>&lt;li data-author="Kairoi" data-momento="Entrada" data-nnew="A21" data-nrcc="1"&gt;&lt;a href="canciones/kairoi/jesus_es_señor.html"&gt;Jesús es Señor&lt;/a&gt;&lt;/li&gt;</v>
      </c>
    </row>
    <row r="222" spans="19:19" x14ac:dyDescent="0.3">
      <c r="S222" s="17" t="str">
        <v>&lt;li data-author="Kairoi" data-momento="María" data-nnew="M24" data-nold="474" data-nrcc="60"&gt;&lt;a href="canciones/kairoi/yo_cantare_(magnificat).html"&gt;Yo cantaré (Magnificat)&lt;/a&gt;&lt;/li&gt;</v>
      </c>
    </row>
    <row r="223" spans="19:19" x14ac:dyDescent="0.3">
      <c r="S223" s="17" t="str">
        <v>&lt;li data-author="Kairoi" data-momento="Entrada" data-nnew="A22" data-nrcc="11"&gt;&lt;a href="canciones/kairoi/jesus_esta_entre_nosotros.html"&gt;Jesús está entre nosotros&lt;/a&gt;&lt;/li&gt;</v>
      </c>
    </row>
    <row r="224" spans="19:19" x14ac:dyDescent="0.3">
      <c r="S224" s="17" t="str">
        <v>&lt;li data-author="Kairoi" data-momento="Comunión" data-nnew="K34" data-nrcc="172"&gt;&lt;a href="canciones/kairoi/hablame.html"&gt;Háblame&lt;/a&gt;&lt;/li&gt;</v>
      </c>
    </row>
    <row r="225" spans="19:19" x14ac:dyDescent="0.3">
      <c r="S225" s="17" t="str">
        <v>&lt;li data-author="Kairoi" data-momento="Comunión" data-nnew="K52" data-nold="443" data-nrcc="208"&gt;&lt;a href="canciones/kairoi/oracion_del_pobre.html"&gt;Oración del pobre&lt;/a&gt;&lt;/li&gt;</v>
      </c>
    </row>
    <row r="226" spans="19:19" x14ac:dyDescent="0.3">
      <c r="S226" s="17" t="str">
        <v>&lt;li data-author="Kairoi" data-momento="Gloria" data-nnew="C01" data-nrcc="241"&gt;&lt;a href="canciones/kairoi/gloria_a_dios_(no_se_como_alabarte).html"&gt;Gloria a Dios (No sé cómo alabarte)&lt;/a&gt;&lt;/li&gt;</v>
      </c>
    </row>
    <row r="227" spans="19:19" x14ac:dyDescent="0.3">
      <c r="S227" s="17" t="str">
        <v>&lt;li data-author="Kairoi" data-momento="María" data-nnew="M15" data-nold="436" data-nrcc="31"&gt;&lt;a href="canciones/kairoi/maria_musica_de_dios.html"&gt;María, música de Dios&lt;/a&gt;&lt;/li&gt;</v>
      </c>
    </row>
    <row r="228" spans="19:19" x14ac:dyDescent="0.3">
      <c r="S228" s="17" t="str">
        <v>&lt;li data-author="Kairoi" data-momento="María" data-nnew="M07"&gt;&lt;a href="canciones/kairoi/junto_a_ti_maria.html"&gt;Junto a ti, María&lt;/a&gt;&lt;/li&gt;</v>
      </c>
    </row>
    <row r="229" spans="19:19" x14ac:dyDescent="0.3">
      <c r="S229" s="17" t="str">
        <v>&lt;li data-author="Kairoi" data-momento="Entrada" data-nnew="A15"&gt;&lt;a href="canciones/kairoi/el_señor_nos_ha_reunido.html"&gt;El Señor nos ha reunido&lt;/a&gt;&lt;/li&gt;</v>
      </c>
    </row>
    <row r="230" spans="19:19" x14ac:dyDescent="0.3">
      <c r="S230" s="17" t="str">
        <v>&lt;li data-author="Kairoi" data-momento="Especiales" data-nnew="P04"&gt;&lt;a href="canciones/kairoi/pregon_pascual_(gloria).html"&gt;Pregón Pascual (Gloria)&lt;/a&gt;&lt;/li&gt;</v>
      </c>
    </row>
    <row r="231" spans="19:19" x14ac:dyDescent="0.3">
      <c r="S231" s="17" t="str">
        <v>&lt;li data-author="Kairoi" data-momento="Entrada" data-nnew="A24"&gt;&lt;a href="canciones/kairoi/mirad_jesus_resucita_hoy.html"&gt;Mirad, Jesús resucita hoy&lt;/a&gt;&lt;/li&gt;</v>
      </c>
    </row>
    <row r="232" spans="19:19" x14ac:dyDescent="0.3">
      <c r="S232" s="17" t="str">
        <v>&lt;li data-author="Kairoi" data-momento="Paz" data-nnew="I06" data-nold="201"&gt;&lt;a href="canciones/kairoi/paz_en_la_tierra.html"&gt;Paz en la tierra&lt;/a&gt;&lt;/li&gt;</v>
      </c>
    </row>
    <row r="233" spans="19:19" x14ac:dyDescent="0.3">
      <c r="S233" s="17" t="str">
        <v>&lt;li data-author="Kairoi" data-momento="Gloria" data-nnew="C08"&gt;&lt;a href="canciones/kairoi/todo_mi_ser_(alabo_tu_bondad).html"&gt;Todo mi ser (Alabo tu bondad)&lt;/a&gt;&lt;/li&gt;</v>
      </c>
    </row>
    <row r="234" spans="19:19" x14ac:dyDescent="0.3">
      <c r="S234" s="17" t="str">
        <v>&lt;li data-author="Kairoi" data-momento="Comunión" data-nnew="K24" data-nold="418"&gt;&lt;a href="canciones/kairoi/el_amor_es_nuestro_canto.html"&gt;El amor es nuestro canto&lt;/a&gt;&lt;/li&gt;</v>
      </c>
    </row>
    <row r="235" spans="19:19" x14ac:dyDescent="0.3">
      <c r="S235" s="17" t="str">
        <v>&lt;li data-author="Kairoi" data-momento="Espíritu" data-nnew="N05" data-nrcc="135"&gt;&lt;a href="canciones/kairoi/ven_espiritu_de_dios_(kairoi).html"&gt;Ven, Espíritu de Dios (Kairoi)&lt;/a&gt;&lt;/li&gt;</v>
      </c>
    </row>
    <row r="236" spans="19:19" x14ac:dyDescent="0.3">
      <c r="S236" s="17" t="str">
        <v>&lt;li data-author="Kairoi" data-momento="Comunión" data-nnew="K10" data-nold="409" data-nrcc="239"&gt;&lt;a href="canciones/kairoi/amaos_(como_el_padre_me_amo).html"&gt;Amaos (Como el Padre me amó)&lt;/a&gt;&lt;/li&gt;</v>
      </c>
    </row>
    <row r="237" spans="19:19" x14ac:dyDescent="0.3">
      <c r="S237" s="17" t="str">
        <v>&lt;li data-author="Luis Alfredo Díaz" data-nold="47"&gt;&lt;a href="canciones/luis_alfredo_diaz/compartir.html"&gt;Compartir&lt;/a&gt;&lt;/li&gt;</v>
      </c>
    </row>
    <row r="238" spans="19:19" x14ac:dyDescent="0.3">
      <c r="S238" s="17" t="str">
        <v>&lt;li data-author="Luis Alfredo Díaz" data-momento="Antífonas" data-nnew="D27" data-nold="440" data-nrcc="91"&gt;&lt;a href="canciones/luis_alfredo_diaz/no_adoreis_a_nadie.html"&gt;No adoréis a nadie&lt;/a&gt;&lt;/li&gt;</v>
      </c>
    </row>
    <row r="239" spans="19:19" x14ac:dyDescent="0.3">
      <c r="S239" s="17" t="str">
        <v>&lt;li data-author="Luis Alfredo Díaz" data-momento="Ofertorio" data-nnew="F13" data-nold="450" data-nrcc="401"&gt;&lt;a href="canciones/luis_alfredo_diaz/que_te_puedo_dar.html"&gt;Qué te puedo dar&lt;/a&gt;&lt;/li&gt;</v>
      </c>
    </row>
    <row r="240" spans="19:19" x14ac:dyDescent="0.3">
      <c r="S240" s="17" t="str">
        <v>&lt;li data-author="Luis Alfredo Díaz" data-nold="238"&gt;&lt;a href="canciones/luis_alfredo_diaz/solidaridad.html"&gt;Solidaridad&lt;/a&gt;&lt;/li&gt;</v>
      </c>
    </row>
    <row r="241" spans="19:19" x14ac:dyDescent="0.3">
      <c r="S241" s="17" t="str">
        <v>&lt;li data-author="Luis Alfredo Díaz" data-momento="Comunión" data-nnew="K79"&gt;&lt;a href="canciones/luis_alfredo_diaz/una_tarde_en_la_playa.html"&gt;Una tarde en la playa&lt;/a&gt;&lt;/li&gt;</v>
      </c>
    </row>
    <row r="242" spans="19:19" x14ac:dyDescent="0.3">
      <c r="S242" s="17" t="str">
        <v>&lt;li data-author="Miguel Manzano" data-momento="Navidad" data-nnew="O01" data-nold="1"&gt;&lt;a href="canciones/miguel_manzano/a_belen_se_va_y_se_viene.html"&gt;A Belén se va y se viene&lt;/a&gt;&lt;/li&gt;</v>
      </c>
    </row>
    <row r="243" spans="19:19" x14ac:dyDescent="0.3">
      <c r="S243" s="17" t="str">
        <v>&lt;li data-author="Miguel Manzano" data-nold="25"&gt;&lt;a href="canciones/miguel_manzano/a_ti_levanto_mis_ojos.html"&gt;A ti levanto mis ojos&lt;/a&gt;&lt;/li&gt;</v>
      </c>
    </row>
    <row r="244" spans="19:19" x14ac:dyDescent="0.3">
      <c r="S244" s="17" t="str">
        <v>&lt;li data-author="Miguel Manzano" data-nold="11"&gt;&lt;a href="canciones/miguel_manzano/aclama_al_señor_tierra_entera.html"&gt;Aclama al Señor, tierra entera&lt;/a&gt;&lt;/li&gt;</v>
      </c>
    </row>
    <row r="245" spans="19:19" x14ac:dyDescent="0.3">
      <c r="S245" s="17" t="str">
        <v>&lt;li data-author="Miguel Manzano" data-momento="Aleluya" data-nnew="E07" data-nold="14"&gt;&lt;a href="canciones/miguel_manzano/aleluya_el_señor_es_nuestro_rey.html"&gt;Aleluya, el Señor es nuestro Rey&lt;/a&gt;&lt;/li&gt;</v>
      </c>
    </row>
    <row r="246" spans="19:19" x14ac:dyDescent="0.3">
      <c r="S246" s="17" t="str">
        <v>&lt;li data-author="Miguel Manzano" data-nold="33"&gt;&lt;a href="canciones/miguel_manzano/alma_mia_recobra_tu_calma.html"&gt;Alma mía, recobra tu calma&lt;/a&gt;&lt;/li&gt;</v>
      </c>
    </row>
    <row r="247" spans="19:19" x14ac:dyDescent="0.3">
      <c r="S247" s="17" t="str">
        <v>&lt;li data-author="Miguel Manzano" data-momento="Comunión" data-nnew="K16" data-nold="60"&gt;&lt;a href="canciones/miguel_manzano/con_vosotros_esta.html"&gt;Con vosotros está&lt;/a&gt;&lt;/li&gt;</v>
      </c>
    </row>
    <row r="248" spans="19:19" x14ac:dyDescent="0.3">
      <c r="S248" s="17" t="str">
        <v>&lt;li data-author="Miguel Manzano" data-momento="Cordero de Dios" data-nnew="J04"&gt;&lt;a href="canciones/miguel_manzano/cordero_de_dios_(manzano).html"&gt;Cordero de Dios (Manzano)&lt;/a&gt;&lt;/li&gt;</v>
      </c>
    </row>
    <row r="249" spans="19:19" x14ac:dyDescent="0.3">
      <c r="S249" s="17" t="str">
        <v>&lt;li data-author="Miguel Manzano" data-momento="Ofertorio" data-nnew="F05" data-nold="67"&gt;&lt;a href="canciones/miguel_manzano/cuando_el_pobre_nada_tiene.html"&gt;Cuando el pobre nada tiene&lt;/a&gt;&lt;/li&gt;</v>
      </c>
    </row>
    <row r="250" spans="19:19" x14ac:dyDescent="0.3">
      <c r="S250" s="17" t="str">
        <v>&lt;li data-author="Miguel Manzano" data-nold="66"&gt;&lt;a href="canciones/miguel_manzano/cuando_vendras_señor.html"&gt;Cuándo vendrás, Señor&lt;/a&gt;&lt;/li&gt;</v>
      </c>
    </row>
    <row r="251" spans="19:19" x14ac:dyDescent="0.3">
      <c r="S251" s="17" t="str">
        <v>&lt;li data-author="Miguel Manzano" data-nold="79"&gt;&lt;a href="canciones/miguel_manzano/desde_lo_hondo.html"&gt;Desde lo hondo&lt;/a&gt;&lt;/li&gt;</v>
      </c>
    </row>
    <row r="252" spans="19:19" x14ac:dyDescent="0.3">
      <c r="S252" s="17" t="str">
        <v>&lt;li data-author="Miguel Manzano" data-nold="90"&gt;&lt;a href="canciones/miguel_manzano/el_pueblo_gime_en_el_dolor.html"&gt;El pueblo gime en el dolor&lt;/a&gt;&lt;/li&gt;</v>
      </c>
    </row>
    <row r="253" spans="19:19" x14ac:dyDescent="0.3">
      <c r="S253" s="17" t="str">
        <v>&lt;li data-author="Miguel Manzano" data-momento="Antífonas" data-nnew="D18" data-nold="113"&gt;&lt;a href="canciones/miguel_manzano/este_es_el_dia_en_que_actuo_el_señor.html"&gt;Este es el día en que actuó el Señor&lt;/a&gt;&lt;/li&gt;</v>
      </c>
    </row>
    <row r="254" spans="19:19" x14ac:dyDescent="0.3">
      <c r="S254" s="17" t="str">
        <v>&lt;li data-author="Miguel Manzano" data-nold="155"&gt;&lt;a href="canciones/miguel_manzano/la_tierra_que_hoy_pisamos.html"&gt;La tierra que hoy pisamos&lt;/a&gt;&lt;/li&gt;</v>
      </c>
    </row>
    <row r="255" spans="19:19" x14ac:dyDescent="0.3">
      <c r="S255" s="17" t="str">
        <v>&lt;li data-author="Miguel Manzano" data-nold="151"&gt;&lt;a href="canciones/miguel_manzano/levanto_mis_ojos_a_los_montes.html"&gt;Levanto mis ojos a los montes&lt;/a&gt;&lt;/li&gt;</v>
      </c>
    </row>
    <row r="256" spans="19:19" x14ac:dyDescent="0.3">
      <c r="S256" s="17" t="str">
        <v>&lt;li data-author="Miguel Manzano" data-momento="Comunión" data-nnew="K46" data-nold="166"&gt;&lt;a href="canciones/miguel_manzano/mirad_al_suelo.html"&gt;Mirad al suelo&lt;/a&gt;&lt;/li&gt;</v>
      </c>
    </row>
    <row r="257" spans="19:19" x14ac:dyDescent="0.3">
      <c r="S257" s="17" t="str">
        <v>&lt;li data-author="Miguel Manzano" data-nold="206"&gt;&lt;a href="canciones/miguel_manzano/porque_el_mundo_esta_lleno_de_misterios.html"&gt;Porque el mundo está lleno de misterios&lt;/a&gt;&lt;/li&gt;</v>
      </c>
    </row>
    <row r="258" spans="19:19" x14ac:dyDescent="0.3">
      <c r="S258" s="17" t="str">
        <v>&lt;li data-author="Miguel Manzano" data-momento="Entrada" data-nnew="A28" data-nold="221"&gt;&lt;a href="canciones/miguel_manzano/que_alegria_cuando_me_dijeron.html"&gt;Qué alegría cuando me dijeron&lt;/a&gt;&lt;/li&gt;</v>
      </c>
    </row>
    <row r="259" spans="19:19" x14ac:dyDescent="0.3">
      <c r="S259" s="17" t="str">
        <v>&lt;li data-author="Miguel Manzano" data-nold="236"&gt;&lt;a href="canciones/miguel_manzano/sacareis_aguas_con_gozo.html"&gt;Sacaréis aguas con gozo&lt;/a&gt;&lt;/li&gt;</v>
      </c>
    </row>
    <row r="260" spans="19:19" x14ac:dyDescent="0.3">
      <c r="S260" s="17" t="str">
        <v>&lt;li data-author="Miguel Manzano" data-momento="Antífonas" data-nnew="D38" data-nold="264"&gt;&lt;a href="canciones/miguel_manzano/tu_reino_es_vida.html"&gt;Tu Reino es vida&lt;/a&gt;&lt;/li&gt;</v>
      </c>
    </row>
    <row r="261" spans="19:19" x14ac:dyDescent="0.3">
      <c r="S261" s="17" t="str">
        <v>&lt;li data-momento="Aleluya" data-nnew="E09"&gt;&lt;a href="canciones/nsb/aleluya_de_adviento.html"&gt;Aleluya de Adviento&lt;/a&gt;&lt;/li&gt;</v>
      </c>
    </row>
    <row r="262" spans="19:19" x14ac:dyDescent="0.3">
      <c r="S262" s="17" t="str">
        <v>&lt;li data-momento="Cordero de Dios" data-nnew="J01"&gt;&lt;a href="canciones/nsb/cordero_de_dios_(algete).html"&gt;Cordero de Dios (Algete)&lt;/a&gt;&lt;/li&gt;</v>
      </c>
    </row>
    <row r="263" spans="19:19" x14ac:dyDescent="0.3">
      <c r="S263" s="17" t="str">
        <v>&lt;li data-momento="Cordero de Dios" data-nnew="J03" data-nold="415"&gt;&lt;a href="canciones/nsb/cordero_de_dios_(boliviano).html"&gt;Cordero de Dios (boliviano)&lt;/a&gt;&lt;/li&gt;</v>
      </c>
    </row>
    <row r="264" spans="19:19" x14ac:dyDescent="0.3">
      <c r="S264" s="17" t="str">
        <v>&lt;li data-momento="María" data-nnew="M03"&gt;&lt;a href="canciones/nsb/dulce_muchacha_humilde_de_palestina.html"&gt;Dulce muchacha humilde de Palestina&lt;/a&gt;&lt;/li&gt;</v>
      </c>
    </row>
    <row r="265" spans="19:19" x14ac:dyDescent="0.3">
      <c r="S265" s="17" t="str">
        <v>&lt;li data-momento="Comunión" data-nnew="K27" data-nold="95"&gt;&lt;a href="canciones/nsb/el_señor_dios_nos_amo.html"&gt;El Señor Dios nos amó&lt;/a&gt;&lt;/li&gt;</v>
      </c>
    </row>
    <row r="266" spans="19:19" x14ac:dyDescent="0.3">
      <c r="S266" s="17" t="str">
        <v>&lt;li data-nold="314"&gt;&lt;a href="canciones/nsb/el_tren_del_evangelio.html"&gt;El tren del Evangelio&lt;/a&gt;&lt;/li&gt;</v>
      </c>
    </row>
    <row r="267" spans="19:19" x14ac:dyDescent="0.3">
      <c r="S267" s="17" t="str">
        <v>&lt;li data-momento="Padrenuestro" data-nnew="H01" data-nold="107"&gt;&lt;a href="canciones/nsb/en_el_mar_he_oido_hoy.html"&gt;En el mar he oído hoy&lt;/a&gt;&lt;/li&gt;</v>
      </c>
    </row>
    <row r="268" spans="19:19" x14ac:dyDescent="0.3">
      <c r="S268" s="17" t="str">
        <v>&lt;li data-momento="Entrada" data-nnew="A17" data-nold="101"&gt;&lt;a href="canciones/nsb/en_el_señor_estamos_congregados.html"&gt;En el Señor estamos congregados&lt;/a&gt;&lt;/li&gt;</v>
      </c>
    </row>
    <row r="269" spans="19:19" x14ac:dyDescent="0.3">
      <c r="S269" s="17" t="str">
        <v>&lt;li data-nold="118"&gt;&lt;a href="canciones/nsb/esta_es_la_noche_de_la_luz.html"&gt;Esta es la noche de la luz&lt;/a&gt;&lt;/li&gt;</v>
      </c>
    </row>
    <row r="270" spans="19:19" x14ac:dyDescent="0.3">
      <c r="S270" s="17" t="str">
        <v>&lt;li data-momento="Gloria" data-nnew="C04" data-nold="303"&gt;&lt;a href="canciones/nsb/gloria_y_alabanza.html"&gt;Gloria y alabanza&lt;/a&gt;&lt;/li&gt;</v>
      </c>
    </row>
    <row r="271" spans="19:19" x14ac:dyDescent="0.3">
      <c r="S271" s="17" t="str">
        <v>&lt;li data-nold="135"&gt;&lt;a href="canciones/nsb/hoy_empieza_una_nueva_era.html"&gt;Hoy empieza una nueva era&lt;/a&gt;&lt;/li&gt;</v>
      </c>
    </row>
    <row r="272" spans="19:19" x14ac:dyDescent="0.3">
      <c r="S272" s="17" t="str">
        <v>&lt;li data-momento="Paz" data-nnew="I02"&gt;&lt;a href="canciones/nsb/la_paz_te_doy.html"&gt;La paz te doy&lt;/a&gt;&lt;/li&gt;</v>
      </c>
    </row>
    <row r="273" spans="19:19" x14ac:dyDescent="0.3">
      <c r="S273" s="17" t="str">
        <v>&lt;li data-momento="Especiales" data-nnew="P03"&gt;&lt;a href="canciones/nsb/letanias.html"&gt;Letanías&lt;/a&gt;&lt;/li&gt;</v>
      </c>
    </row>
    <row r="274" spans="19:19" x14ac:dyDescent="0.3">
      <c r="S274" s="17" t="str">
        <v>&lt;li data-momento="Paz" data-nnew="I03"&gt;&lt;a href="canciones/nsb/llevad_la_buena_noticia.html"&gt;Llevad la buena noticia&lt;/a&gt;&lt;/li&gt;</v>
      </c>
    </row>
    <row r="275" spans="19:19" x14ac:dyDescent="0.3">
      <c r="S275" s="17" t="str">
        <v>&lt;li data-momento="María" data-nnew="M12" data-nold="434"&gt;&lt;a href="canciones/nsb/maria_madre_nuestra.html"&gt;María, madre nuestra&lt;/a&gt;&lt;/li&gt;</v>
      </c>
    </row>
    <row r="276" spans="19:19" x14ac:dyDescent="0.3">
      <c r="S276" s="17" t="str">
        <v>&lt;li data-momento="Comunión" data-nnew="K49" data-nold="441"&gt;&lt;a href="canciones/nsb/no_me_mueve.html"&gt;No me mueve&lt;/a&gt;&lt;/li&gt;</v>
      </c>
    </row>
    <row r="277" spans="19:19" x14ac:dyDescent="0.3">
      <c r="S277" s="17" t="str">
        <v>&lt;li data-momento="Antífonas" data-nnew="D28"&gt;&lt;a href="canciones/nsb/no_quiero_alejarme_de_ti.html"&gt;No quiero alejarme de ti&lt;/a&gt;&lt;/li&gt;</v>
      </c>
    </row>
    <row r="278" spans="19:19" x14ac:dyDescent="0.3">
      <c r="S278" s="17" t="str">
        <v>&lt;li data-nold="180"&gt;&lt;a href="canciones/nsb/no_vayais_a_la_fiesta.html"&gt;No vayáis a la fiesta&lt;/a&gt;&lt;/li&gt;</v>
      </c>
    </row>
    <row r="279" spans="19:19" x14ac:dyDescent="0.3">
      <c r="S279" s="17" t="str">
        <v>&lt;li data-momento="Perdón - Agua" data-nnew="B04" data-nold="191"&gt;&lt;a href="canciones/nsb/oh_señor_mueve_mi_espiritu.html"&gt;Oh, Señor, mueve mi espíritu&lt;/a&gt;&lt;/li&gt;</v>
      </c>
    </row>
    <row r="280" spans="19:19" x14ac:dyDescent="0.3">
      <c r="S280" s="17" t="str">
        <v>&lt;li data-momento="Padrenuestro" data-nnew="H03" data-nold="444"&gt;&lt;a href="canciones/nsb/padre_nuestro_(mexicano).html"&gt;Padre nuestro (mexicano)&lt;/a&gt;&lt;/li&gt;</v>
      </c>
    </row>
    <row r="281" spans="19:19" x14ac:dyDescent="0.3">
      <c r="S281" s="17" t="str">
        <v>&lt;li data-momento="Comunión" data-nnew="K53" data-nold="445"&gt;&lt;a href="canciones/nsb/para_el_que_sabe.html"&gt;Para el que sabe&lt;/a&gt;&lt;/li&gt;</v>
      </c>
    </row>
    <row r="282" spans="19:19" x14ac:dyDescent="0.3">
      <c r="S282" s="17" t="str">
        <v>&lt;li data-momento="Paz" data-nnew="I07" data-nold="200"&gt;&lt;a href="canciones/nsb/paz_señor_en_el_cielo_y_la_tierra.html"&gt;Paz, Señor, en el cielo y la tierra&lt;/a&gt;&lt;/li&gt;</v>
      </c>
    </row>
    <row r="283" spans="19:19" x14ac:dyDescent="0.3">
      <c r="S283" s="17" t="str">
        <v>&lt;li data-momento="Paz" data-nnew="I08" data-nold="448" data-nrcc="191"&gt;&lt;a href="canciones/nsb/pon_tu_mano.html"&gt;Pon tu mano&lt;/a&gt;&lt;/li&gt;</v>
      </c>
    </row>
    <row r="284" spans="19:19" x14ac:dyDescent="0.3">
      <c r="S284" s="17" t="str">
        <v>&lt;li data-momento="Ofertorio" data-nnew="F12" data-nold="214"&gt;&lt;a href="canciones/nsb/por_los_hombres.html"&gt;Por los hombres&lt;/a&gt;&lt;/li&gt;</v>
      </c>
    </row>
    <row r="285" spans="19:19" x14ac:dyDescent="0.3">
      <c r="S285" s="17" t="str">
        <v>&lt;li data-momento="María" data-nnew="M18"&gt;&lt;a href="canciones/nsb/salve_madre.html"&gt;Salve, Madre&lt;/a&gt;&lt;/li&gt;</v>
      </c>
    </row>
    <row r="286" spans="19:19" x14ac:dyDescent="0.3">
      <c r="S286" s="17" t="str">
        <v>&lt;li data-momento="Santo" data-nnew="G08"&gt;&lt;a href="canciones/nsb/santo_(santo_domingo_de_silos).html"&gt;Santo (Santo Domingo de Silos)&lt;/a&gt;&lt;/li&gt;</v>
      </c>
    </row>
    <row r="287" spans="19:19" x14ac:dyDescent="0.3">
      <c r="S287" s="17" t="str">
        <v>&lt;li data-momento="Santo" data-nnew="G11"&gt;&lt;a href="canciones/nsb/santo_eres_señor_dios_nuestro.html"&gt;Santo eres, Señor, Dios nuestro&lt;/a&gt;&lt;/li&gt;</v>
      </c>
    </row>
    <row r="288" spans="19:19" x14ac:dyDescent="0.3">
      <c r="S288" s="17" t="str">
        <v>&lt;li data-momento="Santo" data-nnew="G12"&gt;&lt;a href="canciones/nsb/santo_es_el_señor.html"&gt;Santo es el Señor&lt;/a&gt;&lt;/li&gt;</v>
      </c>
    </row>
    <row r="289" spans="19:19" x14ac:dyDescent="0.3">
      <c r="S289" s="17" t="str">
        <v>&lt;li data-momento="Santo" data-nnew="G13" data-nold="459" data-nrcc="379"&gt;&lt;a href="canciones/nsb/santo_zaireño.html"&gt;Santo zaireño&lt;/a&gt;&lt;/li&gt;</v>
      </c>
    </row>
    <row r="290" spans="19:19" x14ac:dyDescent="0.3">
      <c r="S290" s="17" t="str">
        <v>&lt;li data-momento="Comunión" data-nnew="K65" data-nold="233"&gt;&lt;a href="canciones/nsb/se_acerca_tu_navidad.html"&gt;Se acerca tu Navidad&lt;/a&gt;&lt;/li&gt;</v>
      </c>
    </row>
    <row r="291" spans="19:19" x14ac:dyDescent="0.3">
      <c r="S291" s="17" t="str">
        <v>&lt;li data-momento="Perdón - Agua" data-nnew="B07"&gt;&lt;a href="canciones/nsb/señor_ten_piedad_de_nosotros.html"&gt;Señor, ten piedad de nosotros&lt;/a&gt;&lt;/li&gt;</v>
      </c>
    </row>
    <row r="292" spans="19:19" x14ac:dyDescent="0.3">
      <c r="S292" s="17" t="str">
        <v>&lt;li data-momento="Paz" data-nnew="I10" data-nold="234"&gt;&lt;a href="canciones/nsb/shalom_haberim.html"&gt;Shalom haberim&lt;/a&gt;&lt;/li&gt;</v>
      </c>
    </row>
    <row r="293" spans="19:19" x14ac:dyDescent="0.3">
      <c r="S293" s="17" t="str">
        <v>&lt;li data-momento="Comunión" data-nnew="K66" data-nold="235"&gt;&lt;a href="canciones/nsb/si_dios_a_su_mesa_nos_quiere_sentar.html"&gt;Si Dios a su mesa nos quiere sentar&lt;/a&gt;&lt;/li&gt;</v>
      </c>
    </row>
    <row r="294" spans="19:19" x14ac:dyDescent="0.3">
      <c r="S294" s="17" t="str">
        <v>&lt;li data-momento="Perdón - Agua" data-nnew="B08"&gt;&lt;a href="canciones/nsb/ten_piedad_de_mi_señor.html"&gt;Ten piedad de mi, Señor&lt;/a&gt;&lt;/li&gt;</v>
      </c>
    </row>
    <row r="295" spans="19:19" x14ac:dyDescent="0.3">
      <c r="S295" s="17" t="str">
        <v>&lt;li data-momento="Entrada" data-nnew="A32" data-nold="270"&gt;&lt;a href="canciones/nsb/un_nuevo_sitio_disponed.html"&gt;Un nuevo sitio disponed&lt;/a&gt;&lt;/li&gt;</v>
      </c>
    </row>
    <row r="296" spans="19:19" x14ac:dyDescent="0.3">
      <c r="S296" s="17" t="str">
        <v>&lt;li data-momento="Despedida" data-nnew="L09" data-nold="472"&gt;&lt;a href="canciones/nsb/vive_tu_amor_en_mi.html"&gt;Vive tu amor en mí&lt;/a&gt;&lt;/li&gt;</v>
      </c>
    </row>
    <row r="297" spans="19:19" x14ac:dyDescent="0.3">
      <c r="S297" s="17" t="str">
        <v>&lt;li data-momento="Comunión" data-nnew="K81" data-nold="473"&gt;&lt;a href="canciones/nsb/volar.html"&gt;Volar&lt;/a&gt;&lt;/li&gt;</v>
      </c>
    </row>
    <row r="298" spans="19:19" x14ac:dyDescent="0.3">
      <c r="S298" s="17" t="str">
        <v>&lt;li data-author="A. B. Celada Alonso" data-momento="Especiales" data-nnew="P05"&gt;&lt;a href="canciones/nsb/secuencia_de_pascua.html"&gt;Secuencia de Pascua&lt;/a&gt;&lt;/li&gt;</v>
      </c>
    </row>
    <row r="299" spans="19:19" x14ac:dyDescent="0.3">
      <c r="S299" s="17" t="str">
        <v>&lt;li data-author="Akepsimas" data-nold="182"&gt;&lt;a href="canciones/nsb/nueva_aurora_en_nuestra_noche.html"&gt;Nueva aurora en nuestra noche&lt;/a&gt;&lt;/li&gt;</v>
      </c>
    </row>
    <row r="300" spans="19:19" x14ac:dyDescent="0.3">
      <c r="S300" s="17" t="str">
        <v>&lt;li data-author="Akepsimas" data-nold="242"&gt;&lt;a href="canciones/nsb/si_despierta_el_corazon.html"&gt;Si despierta el corazón&lt;/a&gt;&lt;/li&gt;</v>
      </c>
    </row>
    <row r="301" spans="19:19" x14ac:dyDescent="0.3">
      <c r="S301" s="17" t="str">
        <v>&lt;li data-author="Albert Coppo" data-nold="6"&gt;&lt;a href="canciones/nsb/acompañame_señor_en_la_tribulacion.html"&gt;Acompáñame, Señor, en la tribulación&lt;/a&gt;&lt;/li&gt;</v>
      </c>
    </row>
    <row r="302" spans="19:19" x14ac:dyDescent="0.3">
      <c r="S302" s="17" t="str">
        <v>&lt;li data-author="Alberto Taulé" data-momento="Comunión" data-nnew="K22" data-nold="83"&gt;&lt;a href="canciones/nsb/dios_es_fiel.html"&gt;Dios es fiel&lt;/a&gt;&lt;/li&gt;</v>
      </c>
    </row>
    <row r="303" spans="19:19" x14ac:dyDescent="0.3">
      <c r="S303" s="17" t="str">
        <v>&lt;li data-author="Alberto Taulé" data-nold="29"&gt;&lt;a href="canciones/nsb/antes_de_ser_llevado_a_la_muerte.html"&gt;Antes de ser llevado a la muerte&lt;/a&gt;&lt;/li&gt;</v>
      </c>
    </row>
    <row r="304" spans="19:19" x14ac:dyDescent="0.3">
      <c r="S304" s="17" t="str">
        <v>&lt;li data-author="Alberto Taulé" data-momento="Antífonas" data-nnew="D13" data-nold="96"&gt;&lt;a href="canciones/nsb/el_señor_es_mi_luz.html"&gt;El Señor es mi luz&lt;/a&gt;&lt;/li&gt;</v>
      </c>
    </row>
    <row r="305" spans="19:19" x14ac:dyDescent="0.3">
      <c r="S305" s="17" t="str">
        <v>&lt;li data-author="Alberto y Emilia" data-momento="Perdón - Agua" data-nnew="B02"&gt;&lt;a href="canciones/nsb/confieso.html"&gt;Confieso&lt;/a&gt;&lt;/li&gt;</v>
      </c>
    </row>
    <row r="306" spans="19:19" x14ac:dyDescent="0.3">
      <c r="S306" s="17" t="str">
        <v>&lt;li data-author="Alberto y Emilia" data-momento="Comunión" data-nnew="K33" data-nold="425"&gt;&lt;a href="canciones/nsb/es_de_locos.html"&gt;Es de locos&lt;/a&gt;&lt;/li&gt;</v>
      </c>
    </row>
    <row r="307" spans="19:19" x14ac:dyDescent="0.3">
      <c r="S307" s="17" t="str">
        <v>&lt;li data-author="Alborada" data-momento="Entrada" data-nnew="A39"&gt;&lt;a href="canciones/nsb/ven_a_celebrar.html"&gt;Ven a celebrar&lt;/a&gt;&lt;/li&gt;</v>
      </c>
    </row>
    <row r="308" spans="19:19" x14ac:dyDescent="0.3">
      <c r="S308" s="17" t="str">
        <v>&lt;li data-author="Alborada" data-momento="Ofertorio" data-nnew="F20" data-nold="476"&gt;&lt;a href="canciones/nsb/yo_soy_la_vida_y_la_verdad.html"&gt;Yo soy la Vida y la Verdad&lt;/a&gt;&lt;/li&gt;</v>
      </c>
    </row>
    <row r="309" spans="19:19" x14ac:dyDescent="0.3">
      <c r="S309" s="17" t="str">
        <v>&lt;li data-author="Alejandro Mejía" data-momento="Cordero de Dios" data-nnew="J05"&gt;&lt;a href="canciones/nsb/cordero_de_dios_(maristas).html"&gt;Cordero de Dios (Maristas)&lt;/a&gt;&lt;/li&gt;</v>
      </c>
    </row>
    <row r="310" spans="19:19" x14ac:dyDescent="0.3">
      <c r="S310" s="17" t="str">
        <v>&lt;li data-author="Alfonso Luna" data-nold="306b"&gt;&lt;a href="canciones/nsb/hoy_señor_me_has_vuelto_a_perdonar.html"&gt;Hoy, Señor, me has vuelto a perdonar&lt;/a&gt;&lt;/li&gt;</v>
      </c>
    </row>
    <row r="311" spans="19:19" x14ac:dyDescent="0.3">
      <c r="S311" s="17" t="str">
        <v>&lt;li data-author="Alicia Mendoza" data-momento="Comunión" data-nnew="K71"&gt;&lt;a href="canciones/nsb/tanto_amo_dios_al_mundo.html"&gt;Tanto amó Dios al mundo&lt;/a&gt;&lt;/li&gt;</v>
      </c>
    </row>
    <row r="312" spans="19:19" x14ac:dyDescent="0.3">
      <c r="S312" s="17" t="str">
        <v>&lt;li data-author="Andrés Barriales" data-momento="Gloria" data-nnew="C06" data-nold="127"&gt;&lt;a href="canciones/nsb/gloria_gloria_aleluya.html"&gt;Gloria, gloria, aleluya&lt;/a&gt;&lt;/li&gt;</v>
      </c>
    </row>
    <row r="313" spans="19:19" x14ac:dyDescent="0.3">
      <c r="S313" s="17" t="str">
        <v>&lt;li data-author="Andrés Barriales" data-momento="Despedida" data-nnew="L03" data-nold="139" data-nrcc="354"&gt;&lt;a href="canciones/nsb/hoy_el_señor_resucito.html"&gt;Hoy el Señor resucitó&lt;/a&gt;&lt;/li&gt;</v>
      </c>
    </row>
    <row r="314" spans="19:19" x14ac:dyDescent="0.3">
      <c r="S314" s="17" t="str">
        <v>&lt;li data-author="Andrés Barriales" data-nold="183"&gt;&lt;a href="canciones/nsb/nosotros_venceremos.html"&gt;Nosotros venceremos&lt;/a&gt;&lt;/li&gt;</v>
      </c>
    </row>
    <row r="315" spans="19:19" x14ac:dyDescent="0.3">
      <c r="S315" s="17" t="str">
        <v>&lt;li data-author="Athenas" data-momento="María" data-nnew="M17"&gt;&lt;a href="canciones/nsb/quiero_caminar_contigo_maria.html"&gt;Quiero caminar contigo, María&lt;/a&gt;&lt;/li&gt;</v>
      </c>
    </row>
    <row r="316" spans="19:19" x14ac:dyDescent="0.3">
      <c r="S316" s="17" t="str">
        <v>&lt;li data-author="Bob Fitts y Gary Sadler" data-momento="Comunión" data-nnew="K29" data-nrcc="303"&gt;&lt;a href="canciones/nsb/el_vendra_y_te_salvara.html"&gt;Él vendrá y te salvará&lt;/a&gt;&lt;/li&gt;</v>
      </c>
    </row>
    <row r="317" spans="19:19" x14ac:dyDescent="0.3">
      <c r="S317" s="17" t="str">
        <v>&lt;li data-author="Cantos S Cateq" data-nold="30"&gt;&lt;a href="canciones/nsb/arriba_nubes_negras.html"&gt;Arriba nubes negras&lt;/a&gt;&lt;/li&gt;</v>
      </c>
    </row>
    <row r="318" spans="19:19" x14ac:dyDescent="0.3">
      <c r="S318" s="17" t="str">
        <v>&lt;li data-author="Cantos S Cateq" data-nold="81"&gt;&lt;a href="canciones/nsb/de_jerusalen_bajaba_a_jerico.html"&gt;De Jerusalén bajaba a Jericó&lt;/a&gt;&lt;/li&gt;</v>
      </c>
    </row>
    <row r="319" spans="19:19" x14ac:dyDescent="0.3">
      <c r="S319" s="17" t="str">
        <v>&lt;li data-author="Comunidad San Pedro" data-momento="Comunión" data-nnew="K07" data-nold="23"&gt;&lt;a href="canciones/nsb/alza_tu_mano_(comunidad).html"&gt;Alza tu mano (Comunidad)&lt;/a&gt;&lt;/li&gt;</v>
      </c>
    </row>
    <row r="320" spans="19:19" x14ac:dyDescent="0.3">
      <c r="S320" s="17" t="str">
        <v>&lt;li data-author="Comunidad San Pedro" data-momento="Navidad" data-nnew="O18" data-nold="171"&gt;&lt;a href="canciones/nsb/vivid_la_navidad.html"&gt;Vivid la Navidad&lt;/a&gt;&lt;/li&gt;</v>
      </c>
    </row>
    <row r="321" spans="19:19" x14ac:dyDescent="0.3">
      <c r="S321" s="17" t="str">
        <v>&lt;li data-author="Coral Católica Juvenil" data-momento="Gloria" data-nnew="C03" data-nold="426" data-nrcc="284"&gt;&lt;a href="canciones/nsb/gloria_a_dios_gloria_al_padre.html"&gt;Gloria a Dios, gloria al Padre&lt;/a&gt;&lt;/li&gt;</v>
      </c>
    </row>
    <row r="322" spans="19:19" x14ac:dyDescent="0.3">
      <c r="S322" s="17" t="str">
        <v>&lt;li data-author="Coro Niño Jesús (Cádiz)" data-momento="Perdón - Agua" data-nnew="B06" data-nold="460"&gt;&lt;a href="canciones/nsb/señor_ten_piedad.html"&gt;Señor, ten piedad&lt;/a&gt;&lt;/li&gt;</v>
      </c>
    </row>
    <row r="323" spans="19:19" x14ac:dyDescent="0.3">
      <c r="S323" s="17" t="str">
        <v>&lt;li data-author="Coro Parroquial San Miguel" data-momento="Ofertorio" data-nnew="F17" data-nold="467"&gt;&lt;a href="canciones/nsb/un_dia_abri_los_ojos.html"&gt;Un día abrí los ojos&lt;/a&gt;&lt;/li&gt;</v>
      </c>
    </row>
    <row r="324" spans="19:19" x14ac:dyDescent="0.3">
      <c r="S324" s="17" t="str">
        <v>&lt;li data-author="David Julien" data-momento="Comunión" data-nnew="K80" data-nold="286"&gt;&lt;a href="canciones/nsb/victoria_tu_reinaras.html"&gt;Victoria, tú reinarás&lt;/a&gt;&lt;/li&gt;</v>
      </c>
    </row>
    <row r="325" spans="19:19" x14ac:dyDescent="0.3">
      <c r="S325" s="17" t="str">
        <v>&lt;li data-author="Eduardo Meana" data-momento="Comunión" data-nnew="K30" data-nold="424"&gt;&lt;a href="canciones/nsb/en_mi_getsemani.html"&gt;En mi Getsemaní&lt;/a&gt;&lt;/li&gt;</v>
      </c>
    </row>
    <row r="326" spans="19:19" x14ac:dyDescent="0.3">
      <c r="S326" s="17" t="str">
        <v>&lt;li data-author="Eduardo Meana" data-momento="Comunión" data-nnew="K63"&gt;&lt;a href="canciones/nsb/quiero_ser_pan.html"&gt;Quiero ser pan&lt;/a&gt;&lt;/li&gt;</v>
      </c>
    </row>
    <row r="327" spans="19:19" x14ac:dyDescent="0.3">
      <c r="S327" s="17" t="str">
        <v>&lt;li data-author="Eduardo Ortiz" data-momento="Ofertorio" data-nnew="F08"&gt;&lt;a href="canciones/nsb/esto_que_te_doy.html"&gt;Esto que te doy&lt;/a&gt;&lt;/li&gt;</v>
      </c>
    </row>
    <row r="328" spans="19:19" x14ac:dyDescent="0.3">
      <c r="S328" s="17" t="str">
        <v>&lt;li data-author="Elena Ráfales" data-momento="Comunión" data-nnew="K18" data-nold="414"&gt;&lt;a href="canciones/nsb/corazon_inquieto.html"&gt;Corazón inquieto&lt;/a&gt;&lt;/li&gt;</v>
      </c>
    </row>
    <row r="329" spans="19:19" x14ac:dyDescent="0.3">
      <c r="S329" s="17" t="str">
        <v>&lt;li data-author="Enrique García Vélez" data-momento="Comunión" data-nnew="K06" data-nold="407"&gt;&lt;a href="canciones/nsb/alma_misionera.html"&gt;Alma misionera&lt;/a&gt;&lt;/li&gt;</v>
      </c>
    </row>
    <row r="330" spans="19:19" x14ac:dyDescent="0.3">
      <c r="S330" s="17" t="str">
        <v>&lt;li data-author="Francisco Alvarado (Schönstatt)" data-momento="Comunión" data-nnew="K28" data-nold="420"&gt;&lt;a href="canciones/nsb/el_que_muere_por_mi.html"&gt;El que muere por mí&lt;/a&gt;&lt;/li&gt;</v>
      </c>
    </row>
    <row r="331" spans="19:19" x14ac:dyDescent="0.3">
      <c r="S331" s="17" t="str">
        <v>&lt;li data-author="Francisco de Asís" data-nold="219"&gt;&lt;a href="canciones/nsb/quiero_ser_oh_señor.html"&gt;Quiero ser, oh, Señor&lt;/a&gt;&lt;/li&gt;</v>
      </c>
    </row>
    <row r="332" spans="19:19" x14ac:dyDescent="0.3">
      <c r="S332" s="17" t="str">
        <v>&lt;li data-author="Gen Rosso" data-momento="Comunión" data-nnew="K26"&gt;&lt;a href="canciones/nsb/el_camino_no_lo_haremos_solos.html"&gt;El camino no lo haremos solos&lt;/a&gt;&lt;/li&gt;</v>
      </c>
    </row>
    <row r="333" spans="19:19" x14ac:dyDescent="0.3">
      <c r="S333" s="17" t="str">
        <v>&lt;li data-author="Gen Verde" data-momento="Comunión" data-nnew="K83"&gt;&lt;a href="canciones/nsb/siempre_en_ti.html"&gt;Siempre en ti&lt;/a&gt;&lt;/li&gt;</v>
      </c>
    </row>
    <row r="334" spans="19:19" x14ac:dyDescent="0.3">
      <c r="S334" s="17" t="str">
        <v>&lt;li data-author="Gen Verde" data-momento="María" data-nnew="M20" data-nrcc="97"&gt;&lt;a href="canciones/nsb/salve_regina.html"&gt;Salve, Regina&lt;/a&gt;&lt;/li&gt;</v>
      </c>
    </row>
    <row r="335" spans="19:19" x14ac:dyDescent="0.3">
      <c r="S335" s="17" t="str">
        <v>&lt;li data-author="Georg Friedrich Händel" data-momento="Santo" data-nnew="G02" data-nrcc="74"&gt;&lt;a href="canciones/nsb/santo_(händel).html"&gt;Santo (Händel)&lt;/a&gt;&lt;/li&gt;</v>
      </c>
    </row>
    <row r="336" spans="19:19" x14ac:dyDescent="0.3">
      <c r="S336" s="17" t="str">
        <v>&lt;li data-author="Gian Franco Pagliardo" data-nold="210"&gt;&lt;a href="canciones/nsb/yo_te_nombro_libertad.html"&gt;Yo te nombro, libertad&lt;/a&gt;&lt;/li&gt;</v>
      </c>
    </row>
    <row r="337" spans="19:19" x14ac:dyDescent="0.3">
      <c r="S337" s="17" t="str">
        <v>&lt;li data-author="Gilmer Torres Ruiz" data-momento="Comunión" data-nnew="K73" data-nold="255"&gt;&lt;a href="canciones/nsb/tengo_que_gritar.html"&gt;Tengo que gritar&lt;/a&gt;&lt;/li&gt;</v>
      </c>
    </row>
    <row r="338" spans="19:19" x14ac:dyDescent="0.3">
      <c r="S338" s="17" t="str">
        <v>&lt;li data-author="Gina Fernández" data-momento="Comunión" data-nnew="K76" data-nold="465"&gt;&lt;a href="canciones/nsb/tu_eres_capaz.html"&gt;Tú eres capaz&lt;/a&gt;&lt;/li&gt;</v>
      </c>
    </row>
    <row r="339" spans="19:19" x14ac:dyDescent="0.3">
      <c r="S339" s="17" t="str">
        <v>&lt;li data-author="Gonzalo González" data-nold="74"&gt;&lt;a href="canciones/nsb/dame_señor_un_corazon_feliz.html"&gt;Dame, Señor, un corazón feliz&lt;/a&gt;&lt;/li&gt;</v>
      </c>
    </row>
    <row r="340" spans="19:19" x14ac:dyDescent="0.3">
      <c r="S340" s="17" t="str">
        <v>&lt;li data-author="Gregorio Fernández" data-nold="46"&gt;&lt;a href="canciones/nsb/cantan_los_angeles_en_belen.html"&gt;Cantan los ángeles en Belén&lt;/a&gt;&lt;/li&gt;</v>
      </c>
    </row>
    <row r="341" spans="19:19" x14ac:dyDescent="0.3">
      <c r="S341" s="17" t="str">
        <v>&lt;li data-author="Gregorio Fernández" data-nold="250"&gt;&lt;a href="canciones/nsb/esto_es_navidad.html"&gt;Esto es Navidad&lt;/a&gt;&lt;/li&gt;</v>
      </c>
    </row>
    <row r="342" spans="19:19" x14ac:dyDescent="0.3">
      <c r="S342" s="17" t="str">
        <v>&lt;li data-author="Gregorio Fernández" data-nold="43"&gt;&lt;a href="canciones/nsb/ha_nacido.html"&gt;Ha nacido&lt;/a&gt;&lt;/li&gt;</v>
      </c>
    </row>
    <row r="343" spans="19:19" x14ac:dyDescent="0.3">
      <c r="S343" s="17" t="str">
        <v>&lt;li data-author="Gregorio Fernández" data-nold="134"&gt;&lt;a href="canciones/nsb/hoy_en_belen_es_la_fiesta.html"&gt;Hoy en Belén es la fiesta&lt;/a&gt;&lt;/li&gt;</v>
      </c>
    </row>
    <row r="344" spans="19:19" x14ac:dyDescent="0.3">
      <c r="S344" s="17" t="str">
        <v>&lt;li data-author="Gregorio Fernández" data-nold="249"&gt;&lt;a href="canciones/nsb/si_cada_noche_fuera_nochebuena.html"&gt;Si cada noche fuera Nochebuena&lt;/a&gt;&lt;/li&gt;</v>
      </c>
    </row>
    <row r="345" spans="19:19" x14ac:dyDescent="0.3">
      <c r="S345" s="17" t="str">
        <v>&lt;li data-author="Grupo Betsaida" data-momento="María" data-nnew="M14" data-nold="435"&gt;&lt;a href="canciones/nsb/maria_mirame.html"&gt;María, mírame&lt;/a&gt;&lt;/li&gt;</v>
      </c>
    </row>
    <row r="346" spans="19:19" x14ac:dyDescent="0.3">
      <c r="S346" s="17" t="str">
        <v>&lt;li data-author="Grupo Gente Nueva" data-momento="Ofertorio" data-nnew="F01"&gt;&lt;a href="canciones/nsb/alimento_de_amor_(el_loco).html"&gt;Alimento de amor (El loco)&lt;/a&gt;&lt;/li&gt;</v>
      </c>
    </row>
    <row r="347" spans="19:19" x14ac:dyDescent="0.3">
      <c r="S347" s="17" t="str">
        <v>&lt;li data-author="Grupo Loyola Valladolid" data-momento="Antífonas" data-nnew="D41"&gt;&lt;a href="canciones/nsb/ven_si_te_has_caido_levantate.html"&gt;Ven, si te has caído levántate&lt;/a&gt;&lt;/li&gt;</v>
      </c>
    </row>
    <row r="348" spans="19:19" x14ac:dyDescent="0.3">
      <c r="S348" s="17" t="str">
        <v>&lt;li data-author="Grupo Nueva Vida" data-momento="Especiales" data-nnew="P06"&gt;&lt;a href="canciones/nsb/ven_espiritu_divino_(secuencia_de_pentecostes).html"&gt;Ven, Espíritu divino (Secuencia de Pentecostés)&lt;/a&gt;&lt;/li&gt;</v>
      </c>
    </row>
    <row r="349" spans="19:19" x14ac:dyDescent="0.3">
      <c r="S349" s="17" t="str">
        <v>&lt;li data-author="Ignacio Busca de Sagastizábal" data-momento="Especiales" data-nnew="P01" data-nrcc="195"&gt;&lt;a href="canciones/nsb/cantemos_al_amor_de_los_amores.html"&gt;Cantemos al amor de los amores&lt;/a&gt;&lt;/li&gt;</v>
      </c>
    </row>
    <row r="350" spans="19:19" x14ac:dyDescent="0.3">
      <c r="S350" s="17" t="str">
        <v>&lt;li data-author="Jaime Espino" data-momento="Aleluya" data-nnew="E05" data-nold="406"&gt;&lt;a href="canciones/nsb/aleluya_por_esa_gente.html"&gt;Aleluya por esa gente&lt;/a&gt;&lt;/li&gt;</v>
      </c>
    </row>
    <row r="351" spans="19:19" x14ac:dyDescent="0.3">
      <c r="S351" s="17" t="str">
        <v>&lt;li data-author="Jaime Olguín" data-momento="Comunión" data-nnew="K51"&gt;&lt;a href="canciones/nsb/no_temas.html"&gt;No temas&lt;/a&gt;&lt;/li&gt;</v>
      </c>
    </row>
    <row r="352" spans="19:19" x14ac:dyDescent="0.3">
      <c r="S352" s="17" t="str">
        <v>&lt;li data-author="Jaime Olguín" data-momento="Santo" data-nnew="G07"&gt;&lt;a href="canciones/nsb/santo_(olguin).html"&gt;Santo (Olguín)&lt;/a&gt;&lt;/li&gt;</v>
      </c>
    </row>
    <row r="353" spans="19:19" x14ac:dyDescent="0.3">
      <c r="S353" s="17" t="str">
        <v>&lt;li data-author="Javier Gacías" data-momento="Entrada" data-nnew="A13" data-nold="417" data-nrcc="338"&gt;&lt;a href="canciones/nsb/dios_esta_aqui.html"&gt;Dios está aquí&lt;/a&gt;&lt;/li&gt;</v>
      </c>
    </row>
    <row r="354" spans="19:19" x14ac:dyDescent="0.3">
      <c r="S354" s="17" t="str">
        <v>&lt;li data-author="JEC" data-nold="69"&gt;&lt;a href="canciones/nsb/cuando_el_pan_que_esta_en_mi_vida.html"&gt;Cuando el pan que está en mi vida&lt;/a&gt;&lt;/li&gt;</v>
      </c>
    </row>
    <row r="355" spans="19:19" x14ac:dyDescent="0.3">
      <c r="S355" s="17" t="str">
        <v>&lt;li data-author="Jesucristo Superstar" data-momento="Ofertorio" data-nnew="F11" data-nold="431"&gt;&lt;a href="canciones/nsb/la_cena_del_señor.html"&gt;La cena del Señor&lt;/a&gt;&lt;/li&gt;</v>
      </c>
    </row>
    <row r="356" spans="19:19" x14ac:dyDescent="0.3">
      <c r="S356" s="17" t="str">
        <v>&lt;li data-author="Jesús Cardeñoso" data-momento="Santo" data-nnew="G01" data-nold="455" data-nrcc="45"&gt;&lt;a href="canciones/nsb/santo_(cielo_y_tierra_pasaran).html"&gt;Santo (Cielo y tierra pasarán)&lt;/a&gt;&lt;/li&gt;</v>
      </c>
    </row>
    <row r="357" spans="19:19" x14ac:dyDescent="0.3">
      <c r="S357" s="17" t="str">
        <v>&lt;li data-author="Joaquín Santos" data-nold="259"&gt;&lt;a href="canciones/nsb/tus_manos_son_palomas_de_la_paz.html"&gt;Tus manos son palomas de la paz&lt;/a&gt;&lt;/li&gt;</v>
      </c>
    </row>
    <row r="358" spans="19:19" x14ac:dyDescent="0.3">
      <c r="S358" s="17" t="str">
        <v>&lt;li data-author="José Antonio Labordeta" data-nold="131"&gt;&lt;a href="canciones/nsb/habra_un_dia_en_que_todos.html"&gt;Habrá un día en que todos&lt;/a&gt;&lt;/li&gt;</v>
      </c>
    </row>
    <row r="359" spans="19:19" x14ac:dyDescent="0.3">
      <c r="S359" s="17" t="str">
        <v>&lt;li data-author="José Antonio Poblete" data-momento="Comunión" data-nnew="K36"&gt;&lt;a href="canciones/nsb/himno_a_san_jose.html"&gt;Himno a San José&lt;/a&gt;&lt;/li&gt;</v>
      </c>
    </row>
    <row r="360" spans="19:19" x14ac:dyDescent="0.3">
      <c r="S360" s="17" t="str">
        <v>&lt;li data-author="José Luis Perales" data-momento="Navidad" data-nnew="O14"&gt;&lt;a href="canciones/nsb/navidad_es_navidad.html"&gt;Navidad, es Navidad&lt;/a&gt;&lt;/li&gt;</v>
      </c>
    </row>
    <row r="361" spans="19:19" x14ac:dyDescent="0.3">
      <c r="S361" s="17" t="str">
        <v>&lt;li data-author="José Luis Perales" data-momento="Navidad" data-nnew="O13"&gt;&lt;a href="canciones/nsb/navidad_navidad.html"&gt;Navidad, Navidad&lt;/a&gt;&lt;/li&gt;</v>
      </c>
    </row>
    <row r="362" spans="19:19" x14ac:dyDescent="0.3">
      <c r="S362" s="17" t="str">
        <v>&lt;li data-author="José María Olaizola" data-momento="Comunión" data-nnew="K55"&gt;&lt;a href="canciones/nsb/principio_y_fundamento.html"&gt;Principio y fundamento&lt;/a&gt;&lt;/li&gt;</v>
      </c>
    </row>
    <row r="363" spans="19:19" x14ac:dyDescent="0.3">
      <c r="S363" s="17" t="str">
        <v>&lt;li data-author="José Pedro Martins" data-nold="216"&gt;&lt;a href="canciones/nsb/pueblo_que_avanzas_buscando.html"&gt;Pueblo que avanzas buscando&lt;/a&gt;&lt;/li&gt;</v>
      </c>
    </row>
    <row r="364" spans="19:19" x14ac:dyDescent="0.3">
      <c r="S364" s="17" t="str">
        <v>&lt;li data-author="José Pedro Martins" data-momento="Entrada" data-nnew="A06" data-nold="10"&gt;&lt;a href="canciones/nsb/alegremonos_hermanos.html"&gt;Alegrémonos, hermanos&lt;/a&gt;&lt;/li&gt;</v>
      </c>
    </row>
    <row r="365" spans="19:19" x14ac:dyDescent="0.3">
      <c r="S365" s="17" t="str">
        <v>&lt;li data-author="José Pedro Martins" data-momento="Comunión" data-nnew="K43" data-nold="144"&gt;&lt;a href="canciones/nsb/jesus_nuestra_pascua.html"&gt;Jesús, nuestra Pascua&lt;/a&gt;&lt;/li&gt;</v>
      </c>
    </row>
    <row r="366" spans="19:19" x14ac:dyDescent="0.3">
      <c r="S366" s="17" t="str">
        <v>&lt;li data-author="José Pedro Martins" data-momento="Comunión" data-nnew="K45" data-nold="143"&gt;&lt;a href="canciones/nsb/juntos_cantemos_hoy.html"&gt;Juntos cantemos hoy&lt;/a&gt;&lt;/li&gt;</v>
      </c>
    </row>
    <row r="367" spans="19:19" x14ac:dyDescent="0.3">
      <c r="S367" s="17" t="str">
        <v>&lt;li data-author="José Vives" data-momento="Antífonas" data-nnew="D05"&gt;&lt;a href="canciones/nsb/ayudame_a_caminar.html"&gt;Ayúdame a caminar&lt;/a&gt;&lt;/li&gt;</v>
      </c>
    </row>
    <row r="368" spans="19:19" x14ac:dyDescent="0.3">
      <c r="S368" s="17" t="str">
        <v>&lt;li data-author="Juan Erasmo Mochi" data-nold="153"&gt;&lt;a href="canciones/nsb/la_palabra_nos_la_dio_el_señor.html"&gt;La palabra nos la dio el Señor&lt;/a&gt;&lt;/li&gt;</v>
      </c>
    </row>
    <row r="369" spans="19:19" x14ac:dyDescent="0.3">
      <c r="S369" s="17" t="str">
        <v>&lt;li data-author="Juan Jáuregui" data-nold="15"&gt;&lt;a href="canciones/nsb/alabad_al_señor_en_su_templo.html"&gt;Alabad al Señor en su templo&lt;/a&gt;&lt;/li&gt;</v>
      </c>
    </row>
    <row r="370" spans="19:19" x14ac:dyDescent="0.3">
      <c r="S370" s="17" t="str">
        <v>&lt;li data-author="Juan Jáuregui" data-nold="119"&gt;&lt;a href="canciones/nsb/el_señor_es_nuestra_alegria_(este_es_el_dia).html"&gt;El Señor es nuestra alegría (Este es el día)&lt;/a&gt;&lt;/li&gt;</v>
      </c>
    </row>
    <row r="371" spans="19:19" x14ac:dyDescent="0.3">
      <c r="S371" s="17" t="str">
        <v>&lt;li data-author="Juan Jáuregui" data-nold="148"&gt;&lt;a href="canciones/nsb/lampara_es_tu_palabra.html"&gt;Lámpara es tu palabra&lt;/a&gt;&lt;/li&gt;</v>
      </c>
    </row>
    <row r="372" spans="19:19" x14ac:dyDescent="0.3">
      <c r="S372" s="17" t="str">
        <v>&lt;li data-author="Juan Jáuregui" data-momento="Antífonas" data-nnew="D29" data-nold="190"&gt;&lt;a href="canciones/nsb/oh_dios_tu_eres_mi_dios_(sed_de_dios).html"&gt;Oh, Dios, tú eres mi Dios (Sed de Dios)&lt;/a&gt;&lt;/li&gt;</v>
      </c>
    </row>
    <row r="373" spans="19:19" x14ac:dyDescent="0.3">
      <c r="S373" s="17" t="str">
        <v>&lt;li data-author="Karen Lafferty" data-momento="Aleluya" data-nnew="E01" data-nrcc="293"&gt;&lt;a href="canciones/nsb/alelu-aleluya.html"&gt;Alelu-aleluya&lt;/a&gt;&lt;/li&gt;</v>
      </c>
    </row>
    <row r="374" spans="19:19" x14ac:dyDescent="0.3">
      <c r="S374" s="17" t="str">
        <v>&lt;li data-author="Kiko Argüello" data-momento="Comunión" data-nnew="K64" data-nold="225"&gt;&lt;a href="canciones/nsb/resucito_aleluya.html"&gt;Resucitó, aleluya&lt;/a&gt;&lt;/li&gt;</v>
      </c>
    </row>
    <row r="375" spans="19:19" x14ac:dyDescent="0.3">
      <c r="S375" s="17" t="str">
        <v>&lt;li data-author="Léah Pavageau" data-momento="Espíritu" data-nnew="N04"&gt;&lt;a href="canciones/nsb/ven_espiritu_de_dios_(esprit_createur).html"&gt;Ven, Espíritu de Dios (Esprit createur)&lt;/a&gt;&lt;/li&gt;</v>
      </c>
    </row>
    <row r="376" spans="19:19" x14ac:dyDescent="0.3">
      <c r="S376" s="17" t="str">
        <v>&lt;li data-author="Linda Duval" data-momento="Antífonas" data-nnew="D44" data-nold="475" data-nrcc="287"&gt;&lt;a href="canciones/nsb/yo_celebrare.html"&gt;Yo celebraré&lt;/a&gt;&lt;/li&gt;</v>
      </c>
    </row>
    <row r="377" spans="19:19" x14ac:dyDescent="0.3">
      <c r="S377" s="17" t="str">
        <v>&lt;li data-author="Linda Stassen" data-momento="Aleluya" data-nnew="E11" data-nold="413" data-nrcc="152"&gt;&lt;a href="canciones/nsb/canta_aleluya.html"&gt;Canta aleluya&lt;/a&gt;&lt;/li&gt;</v>
      </c>
    </row>
    <row r="378" spans="19:19" x14ac:dyDescent="0.3">
      <c r="S378" s="17" t="str">
        <v>&lt;li data-author="Lluís Llach" data-nold="123"&gt;&lt;a href="canciones/nsb/fe_no_es_aguardar.html"&gt;Fe no es aguardar&lt;/a&gt;&lt;/li&gt;</v>
      </c>
    </row>
    <row r="379" spans="19:19" x14ac:dyDescent="0.3">
      <c r="S379" s="17" t="str">
        <v>&lt;li data-author="Lucien Deiss" data-nold="3"&gt;&lt;a href="canciones/nsb/acuerdate_de_jesucristo.html"&gt;Acuérdate de Jesucristo&lt;/a&gt;&lt;/li&gt;</v>
      </c>
    </row>
    <row r="380" spans="19:19" x14ac:dyDescent="0.3">
      <c r="S380" s="17" t="str">
        <v>&lt;li data-author="Lucien Deiss" data-momento="Despedida" data-nnew="L01" data-nold="22"&gt;&lt;a href="canciones/nsb/anunciaremos_tu_reino_señor.html"&gt;Anunciaremos tu Reino, Señor&lt;/a&gt;&lt;/li&gt;</v>
      </c>
    </row>
    <row r="381" spans="19:19" x14ac:dyDescent="0.3">
      <c r="S381" s="17" t="str">
        <v>&lt;li data-author="Lucien Deiss" data-nold="194"&gt;&lt;a href="canciones/nsb/oh_señor_envia_tu_espiritu.html"&gt;Oh, Señor, envía tu Espíritu&lt;/a&gt;&lt;/li&gt;</v>
      </c>
    </row>
    <row r="382" spans="19:19" x14ac:dyDescent="0.3">
      <c r="S382" s="17" t="str">
        <v>&lt;li data-author="Lucien Deiss" data-nold="268"&gt;&lt;a href="canciones/nsb/un_solo_señor.html"&gt;Un solo Señor&lt;/a&gt;&lt;/li&gt;</v>
      </c>
    </row>
    <row r="383" spans="19:19" x14ac:dyDescent="0.3">
      <c r="S383" s="17" t="str">
        <v>&lt;li data-author="Luis Guitarra" data-momento="Antífonas" data-nnew="D34" data-nold="461"&gt;&lt;a href="canciones/nsb/sois_la_sal.html"&gt;Sois la sal&lt;/a&gt;&lt;/li&gt;</v>
      </c>
    </row>
    <row r="384" spans="19:19" x14ac:dyDescent="0.3">
      <c r="S384" s="17" t="str">
        <v>&lt;li data-author="Maite López" data-momento="Comunión" data-nnew="K09" data-nold="408"&gt;&lt;a href="canciones/nsb/amando_hasta_el_extremo.html"&gt;Amando hasta el extremo&lt;/a&gt;&lt;/li&gt;</v>
      </c>
    </row>
    <row r="385" spans="19:19" x14ac:dyDescent="0.3">
      <c r="S385" s="17" t="str">
        <v>&lt;li data-author="Maranatha" data-momento="Entrada" data-nnew="A30" data-nold="451" data-nrcc="299"&gt;&lt;a href="canciones/nsb/quiero_alabarte.html"&gt;Quiero alabarte&lt;/a&gt;&lt;/li&gt;</v>
      </c>
    </row>
    <row r="386" spans="19:19" x14ac:dyDescent="0.3">
      <c r="S386" s="17" t="str">
        <v>&lt;li data-author="Marcela de María" data-momento="Comunión" data-nnew="K42"&gt;&lt;a href="canciones/nsb/jesus_amigo.html"&gt;Jesús, amigo&lt;/a&gt;&lt;/li&gt;</v>
      </c>
    </row>
    <row r="387" spans="19:19" x14ac:dyDescent="0.3">
      <c r="S387" s="17" t="str">
        <v>&lt;li data-author="Marco López" data-momento="Antífonas" data-nnew="D35"&gt;&lt;a href="canciones/nsb/te_amo_señor.html"&gt;Te amo, Señor&lt;/a&gt;&lt;/li&gt;</v>
      </c>
    </row>
    <row r="388" spans="19:19" x14ac:dyDescent="0.3">
      <c r="S388" s="17" t="str">
        <v>&lt;li data-author="Marcos Frisina" data-momento="Comunión" data-nnew="K62"&gt;&lt;a href="canciones/nsb/quien_nos_separara.html"&gt;Quién nos separará&lt;/a&gt;&lt;/li&gt;</v>
      </c>
    </row>
    <row r="389" spans="19:19" x14ac:dyDescent="0.3">
      <c r="S389" s="17" t="str">
        <v>&lt;li data-author="Mariano Fuertes" data-nold="300"&gt;&lt;a href="canciones/nsb/adios_adios_amigos.html"&gt;Adiós, adiós amigos&lt;/a&gt;&lt;/li&gt;</v>
      </c>
    </row>
    <row r="390" spans="19:19" x14ac:dyDescent="0.3">
      <c r="S390" s="17" t="str">
        <v>&lt;li data-author="Martín Valverde" data-momento="Comunión" data-nnew="K48" data-nold="439" data-nrcc="328"&gt;&lt;a href="canciones/nsb/nadie_te_ama_como_yo.html"&gt;Nadie te ama como Yo&lt;/a&gt;&lt;/li&gt;</v>
      </c>
    </row>
    <row r="391" spans="19:19" x14ac:dyDescent="0.3">
      <c r="S391" s="17" t="str">
        <v>&lt;li data-author="Mercedes González" data-nold="49"&gt;&lt;a href="canciones/nsb/cristiano_es_vivir.html"&gt;Cristiano es vivir&lt;/a&gt;&lt;/li&gt;</v>
      </c>
    </row>
    <row r="392" spans="19:19" x14ac:dyDescent="0.3">
      <c r="S392" s="17" t="str">
        <v>&lt;li data-author="Mercedes González" data-nold="80"&gt;&lt;a href="canciones/nsb/depende_de_ti_y_de_mi.html"&gt;Depende de ti y de mí&lt;/a&gt;&lt;/li&gt;</v>
      </c>
    </row>
    <row r="393" spans="19:19" x14ac:dyDescent="0.3">
      <c r="S393" s="17" t="str">
        <v>&lt;li data-author="Mercedes González" data-nold="218"&gt;&lt;a href="canciones/nsb/quien_mas_amigo_que_tu.html"&gt;Quién más amigo que tú&lt;/a&gt;&lt;/li&gt;</v>
      </c>
    </row>
    <row r="394" spans="19:19" x14ac:dyDescent="0.3">
      <c r="S394" s="17" t="str">
        <v>&lt;li data-author="Migueli" data-momento="María" data-nnew="M05" data-nold="428"&gt;&lt;a href="canciones/nsb/hagase.html"&gt;Hágase&lt;/a&gt;&lt;/li&gt;</v>
      </c>
    </row>
    <row r="395" spans="19:19" x14ac:dyDescent="0.3">
      <c r="S395" s="17" t="str">
        <v>&lt;li data-author="Migueli" data-momento="María" data-nnew="M10"&gt;&lt;a href="canciones/nsb/maria_de_nazaret.html"&gt;María de Nazaret&lt;/a&gt;&lt;/li&gt;</v>
      </c>
    </row>
    <row r="396" spans="19:19" x14ac:dyDescent="0.3">
      <c r="S396" s="17" t="str">
        <v>&lt;li data-author="Migueli" data-momento="Paz" data-nnew="I04" data-nold="442"&gt;&lt;a href="canciones/nsb/no_se_canso_de_hacer_el_bien.html"&gt;No se cansó de hacer el bien&lt;/a&gt;&lt;/li&gt;</v>
      </c>
    </row>
    <row r="397" spans="19:19" x14ac:dyDescent="0.3">
      <c r="S397" s="17" t="str">
        <v>&lt;li data-author="Migueli" data-momento="Antífonas" data-nnew="D43"&gt;&lt;a href="canciones/nsb/yendo_contigo.html"&gt;Yendo contigo&lt;/a&gt;&lt;/li&gt;</v>
      </c>
    </row>
    <row r="398" spans="19:19" x14ac:dyDescent="0.3">
      <c r="S398" s="17" t="str">
        <v>&lt;li data-author="Misa nicaragüense" data-nold="61"&gt;&lt;a href="canciones/nsb/creo_señor_firmemente.html"&gt;Creo, Señor, firmemente&lt;/a&gt;&lt;/li&gt;</v>
      </c>
    </row>
    <row r="399" spans="19:19" x14ac:dyDescent="0.3">
      <c r="S399" s="17" t="str">
        <v>&lt;li data-author="Misa nicaragüense" data-nold="176"&gt;&lt;a href="canciones/nsb/no_hay_cosa_mas_bonita_que_mirar.html"&gt;No hay cosa más bonita que mirar&lt;/a&gt;&lt;/li&gt;</v>
      </c>
    </row>
    <row r="400" spans="19:19" x14ac:dyDescent="0.3">
      <c r="S400" s="17" t="str">
        <v>&lt;li data-author="Misa salvadoreña" data-momento="Santo" data-nnew="G10" data-nold="231"&gt;&lt;a href="canciones/nsb/santo_salvadoreño.html"&gt;Santo salvadoreño&lt;/a&gt;&lt;/li&gt;</v>
      </c>
    </row>
    <row r="401" spans="19:19" x14ac:dyDescent="0.3">
      <c r="S401" s="17" t="str">
        <v>&lt;li data-author="Misa salvadoreña" data-momento="Entrada" data-nnew="A38" data-nold="285"&gt;&lt;a href="canciones/nsb/vamos_todos_al_banquete.html"&gt;Vamos todos al banquete&lt;/a&gt;&lt;/li&gt;</v>
      </c>
    </row>
    <row r="402" spans="19:19" x14ac:dyDescent="0.3">
      <c r="S402" s="17" t="str">
        <v>&lt;li data-author="Misioneros de la Esperanza" data-momento="Cordero de Dios" data-nnew="J06"&gt;&lt;a href="canciones/nsb/cordero_de_dios_(mies).html"&gt;Cordero de Dios (MiEs)&lt;/a&gt;&lt;/li&gt;</v>
      </c>
    </row>
    <row r="403" spans="19:19" x14ac:dyDescent="0.3">
      <c r="S403" s="17" t="str">
        <v>&lt;li data-author="Mocedades" data-momento="Santo" data-nnew="G09"&gt;&lt;a href="canciones/nsb/santo_(mocedades).html"&gt;Santo (Mocedades)&lt;/a&gt;&lt;/li&gt;</v>
      </c>
    </row>
    <row r="404" spans="19:19" x14ac:dyDescent="0.3">
      <c r="S404" s="17" t="str">
        <v>&lt;li data-author="Nico Montero" data-momento="Aleluya" data-nnew="E03" data-nold="403"&gt;&lt;a href="canciones/nsb/aleluya_(santiago).html"&gt;Aleluya (Santiago)&lt;/a&gt;&lt;/li&gt;</v>
      </c>
    </row>
    <row r="405" spans="19:19" x14ac:dyDescent="0.3">
      <c r="S405" s="17" t="str">
        <v>&lt;li data-author="Nico Montero" data-momento="Antífonas" data-nnew="D15" data-nrcc="443"&gt;&lt;a href="canciones/nsb/el_señor_es_mi_pastor_(nico_montero).html"&gt;El Señor es mi pastor (Nico Montero)&lt;/a&gt;&lt;/li&gt;</v>
      </c>
    </row>
    <row r="406" spans="19:19" x14ac:dyDescent="0.3">
      <c r="S406" s="17" t="str">
        <v>&lt;li data-author="Oscar Palomares" data-momento="Entrada" data-nnew="A34"&gt;&lt;a href="canciones/nsb/una_voz_clama_en_el_desierto.html"&gt;Una voz clama en el desierto&lt;/a&gt;&lt;/li&gt;</v>
      </c>
    </row>
    <row r="407" spans="19:19" x14ac:dyDescent="0.3">
      <c r="S407" s="17" t="str">
        <v>&lt;li data-author="P Buen Pastor" data-momento="Antífonas" data-nnew="D19" data-nold="124"&gt;&lt;a href="canciones/nsb/gritad_que_dios_es_grande.html"&gt;Gritad que Dios es grande&lt;/a&gt;&lt;/li&gt;</v>
      </c>
    </row>
    <row r="408" spans="19:19" x14ac:dyDescent="0.3">
      <c r="S408" s="17" t="str">
        <v>&lt;li data-author="P Buen Pastor" data-nold="150"&gt;&lt;a href="canciones/nsb/la_noticia_es_amor.html"&gt;La noticia es amor&lt;/a&gt;&lt;/li&gt;</v>
      </c>
    </row>
    <row r="409" spans="19:19" x14ac:dyDescent="0.3">
      <c r="S409" s="17" t="str">
        <v>&lt;li data-author="Pablo Coloma" data-momento="Ofertorio" data-nnew="F10"&gt;&lt;a href="canciones/nsb/juntos_nos_acercamos.html"&gt;Juntos nos acercamos&lt;/a&gt;&lt;/li&gt;</v>
      </c>
    </row>
    <row r="410" spans="19:19" x14ac:dyDescent="0.3">
      <c r="S410" s="17" t="str">
        <v>&lt;li data-author="Padre Ernesto" data-momento="Ofertorio" data-nnew="F04"&gt;&lt;a href="canciones/nsb/aqui_tienes_el_pan.html"&gt;Aquí tienes el Pan&lt;/a&gt;&lt;/li&gt;</v>
      </c>
    </row>
    <row r="411" spans="19:19" x14ac:dyDescent="0.3">
      <c r="S411" s="17" t="str">
        <v>&lt;li data-author="Paloma Falconi" data-momento="Comunión" data-nnew="K35" data-nold="429"&gt;&lt;a href="canciones/nsb/hay_un_corazon_que_late.html"&gt;Hay un corazón que late&lt;/a&gt;&lt;/li&gt;</v>
      </c>
    </row>
    <row r="412" spans="19:19" x14ac:dyDescent="0.3">
      <c r="S412" s="17" t="str">
        <v>&lt;li data-author="Parroquia San Juan de Ávila" data-momento="Comunión" data-nnew="K03"&gt;&lt;a href="canciones/nsb/adorando.html"&gt;Adorando&lt;/a&gt;&lt;/li&gt;</v>
      </c>
    </row>
    <row r="413" spans="19:19" x14ac:dyDescent="0.3">
      <c r="S413" s="17" t="str">
        <v>&lt;li data-author="Pedro Antonio Garza" data-momento="Padrenuestro" data-nnew="H04"&gt;&lt;a href="canciones/nsb/padre_nuestro_zaragozano.html"&gt;Padre nuestro zaragozano&lt;/a&gt;&lt;/li&gt;</v>
      </c>
    </row>
    <row r="414" spans="19:19" x14ac:dyDescent="0.3">
      <c r="S414" s="17" t="str">
        <v>&lt;li data-author="Pedro Núñez" data-momento="Antífonas" data-nnew="D03" data-nold="28"&gt;&lt;a href="canciones/nsb/a_ti_acudo.html"&gt;A ti acudo&lt;/a&gt;&lt;/li&gt;</v>
      </c>
    </row>
    <row r="415" spans="19:19" x14ac:dyDescent="0.3">
      <c r="S415" s="17" t="str">
        <v>&lt;li data-author="Pedro Núñez" data-momento="Antífonas" data-nnew="D07" data-nold="45"&gt;&lt;a href="canciones/nsb/cantad_a_dios.html"&gt;Cantad a Dios&lt;/a&gt;&lt;/li&gt;</v>
      </c>
    </row>
    <row r="416" spans="19:19" x14ac:dyDescent="0.3">
      <c r="S416" s="17" t="str">
        <v>&lt;li data-author="Pedro Núñez" data-nold="129"&gt;&lt;a href="canciones/nsb/gracias_señor_por_mis_hermanos.html"&gt;Gracias, Señor, por mis hermanos&lt;/a&gt;&lt;/li&gt;</v>
      </c>
    </row>
    <row r="417" spans="19:19" x14ac:dyDescent="0.3">
      <c r="S417" s="17" t="str">
        <v>&lt;li data-author="Pedro Núñez" data-nold="162"&gt;&lt;a href="canciones/nsb/maria_fuiste_siempre_pobre_de_yahve.html"&gt;María, fuiste siempre pobre de Yahvé&lt;/a&gt;&lt;/li&gt;</v>
      </c>
    </row>
    <row r="418" spans="19:19" x14ac:dyDescent="0.3">
      <c r="S418" s="17" t="str">
        <v>&lt;li data-author="Pedro Núñez" data-nold="169"&gt;&lt;a href="canciones/nsb/nacera_una_nueva_hermandad.html"&gt;Nacerá una nueva hermandad&lt;/a&gt;&lt;/li&gt;</v>
      </c>
    </row>
    <row r="419" spans="19:19" x14ac:dyDescent="0.3">
      <c r="S419" s="17" t="str">
        <v>&lt;li data-author="Rafael Espinosa" data-momento="Comunión" data-nnew="K75" data-nold="310" data-nrcc="73"&gt;&lt;a href="canciones/nsb/tomado_de_la_mano.html"&gt;Tomado de la mano&lt;/a&gt;&lt;/li&gt;</v>
      </c>
    </row>
    <row r="420" spans="19:19" x14ac:dyDescent="0.3">
      <c r="S420" s="17" t="str">
        <v>&lt;li data-author="Ramón Capilla" data-momento="María" data-nnew="M01" data-nold="31"&gt;&lt;a href="canciones/nsb/a_ti_que_eres_el_signo.html"&gt;A ti que eres el signo&lt;/a&gt;&lt;/li&gt;</v>
      </c>
    </row>
    <row r="421" spans="19:19" x14ac:dyDescent="0.3">
      <c r="S421" s="17" t="str">
        <v>&lt;li data-author="Ramón Capilla" data-nold="54"&gt;&lt;a href="canciones/nsb/como_lo_habia_anunciado.html"&gt;Como lo había anunciado&lt;/a&gt;&lt;/li&gt;</v>
      </c>
    </row>
    <row r="422" spans="19:19" x14ac:dyDescent="0.3">
      <c r="S422" s="17" t="str">
        <v>&lt;li data-author="Ramón Capilla" data-nold="165"&gt;&lt;a href="canciones/nsb/maria_guardabas_todo.html"&gt;María, guardabas todo&lt;/a&gt;&lt;/li&gt;</v>
      </c>
    </row>
    <row r="423" spans="19:19" x14ac:dyDescent="0.3">
      <c r="S423" s="17" t="str">
        <v>&lt;li data-author="RCCE" data-momento="Comunión" data-nnew="K41" data-nold="141" data-nrcc="112"&gt;&lt;a href="canciones/nsb/iluminame_señor.html"&gt;Ilumíname, Señor&lt;/a&gt;&lt;/li&gt;</v>
      </c>
    </row>
    <row r="424" spans="19:19" x14ac:dyDescent="0.3">
      <c r="S424" s="17" t="str">
        <v>&lt;li data-author="RCCE" data-momento="Perdón - Agua" data-nnew="B03" data-nold="168" data-nrcc="104/105"&gt;&lt;a href="canciones/nsb/mi_dios_esta_vivo.html"&gt;Mi Dios está vivo&lt;/a&gt;&lt;/li&gt;</v>
      </c>
    </row>
    <row r="425" spans="19:19" x14ac:dyDescent="0.3">
      <c r="S425" s="17" t="str">
        <v>&lt;li data-author="Ricardo de la Fuente" data-momento="Despedida" data-nnew="L02" data-nold="427"&gt;&lt;a href="canciones/nsb/gracias_señor.html"&gt;Gracias, Señor&lt;/a&gt;&lt;/li&gt;</v>
      </c>
    </row>
    <row r="426" spans="19:19" x14ac:dyDescent="0.3">
      <c r="S426" s="17" t="str">
        <v>&lt;li data-author="Salomé Arricibita" data-momento="Comunión" data-nnew="K20"&gt;&lt;a href="canciones/nsb/dime_como_ser_pan.html"&gt;Dime cómo ser pan&lt;/a&gt;&lt;/li&gt;</v>
      </c>
    </row>
    <row r="427" spans="19:19" x14ac:dyDescent="0.3">
      <c r="S427" s="17" t="str">
        <v>&lt;li data-author="Sarah Flower Adams" data-momento="Comunión" data-nnew="K14"&gt;&lt;a href="canciones/nsb/cerca_de_ti_señor.html"&gt;Cerca de Ti, Señor&lt;/a&gt;&lt;/li&gt;</v>
      </c>
    </row>
    <row r="428" spans="19:19" x14ac:dyDescent="0.3">
      <c r="S428" s="17" t="str">
        <v>&lt;li data-author="Simon y Garfunkel" data-momento="Padrenuestro" data-nnew="H06" data-nold="198" data-nrcc="203"&gt;&lt;a href="canciones/nsb/padre_nuestro_tu_que_estas.html"&gt;Padre nuestro, tú que estás&lt;/a&gt;&lt;/li&gt;</v>
      </c>
    </row>
    <row r="429" spans="19:19" x14ac:dyDescent="0.3">
      <c r="S429" s="17" t="str">
        <v>&lt;li data-author="Sor Trini - Hijas de la Caridad" data-momento="Antífonas" data-nnew="D33"&gt;&lt;a href="canciones/nsb/quiero_caminar.html"&gt;Quiero caminar&lt;/a&gt;&lt;/li&gt;</v>
      </c>
    </row>
    <row r="430" spans="19:19" x14ac:dyDescent="0.3">
      <c r="S430" s="17" t="str">
        <v>&lt;li data-author="Suzanne Toolan" data-momento="Comunión" data-nnew="K82" data-nold="477" data-nrcc="57"&gt;&lt;a href="canciones/nsb/yo_soy_el_pan_de_vida.html"&gt;Yo soy el Pan de Vida&lt;/a&gt;&lt;/li&gt;</v>
      </c>
    </row>
    <row r="431" spans="19:19" x14ac:dyDescent="0.3">
      <c r="S431" s="17" t="str">
        <v>&lt;li data-author="The Beatles" data-momento="Santo" data-nnew="G06" data-nold="457"&gt;&lt;a href="canciones/nsb/santo_(the_beatles).html"&gt;Santo (The Beatles)&lt;/a&gt;&lt;/li&gt;</v>
      </c>
    </row>
    <row r="432" spans="19:19" x14ac:dyDescent="0.3">
      <c r="S432" s="17" t="str">
        <v>&lt;li data-author="Tomás Aragüés" data-momento="Cordero de Dios" data-nnew="J02"&gt;&lt;a href="canciones/nsb/cordero_de_dios_(aragües).html"&gt;Cordero de Dios (Aragüés)&lt;/a&gt;&lt;/li&gt;</v>
      </c>
    </row>
    <row r="433" spans="19:19" x14ac:dyDescent="0.3">
      <c r="S433" s="17" t="str">
        <v>&lt;li data-author="Tomás Aragüés" data-nold="146"&gt;&lt;a href="canciones/nsb/junto_a_ti_al_caer_de_la_tarde.html"&gt;Junto a ti al caer de la tarde&lt;/a&gt;&lt;/li&gt;</v>
      </c>
    </row>
    <row r="434" spans="19:19" x14ac:dyDescent="0.3">
      <c r="S434" s="17" t="str">
        <v>&lt;li data-author="TSNC" data-momento="Antífonas" data-nnew="D02"&gt;&lt;a href="canciones/nsb/a_donde_me_quereis_llevar.html"&gt;A dónde me queréis llevar&lt;/a&gt;&lt;/li&gt;</v>
      </c>
    </row>
    <row r="435" spans="19:19" x14ac:dyDescent="0.3">
      <c r="S435" s="17" t="str">
        <v>&lt;li data-author="TSNC" data-momento="Antífonas" data-nnew="D04"&gt;&lt;a href="canciones/nsb/algo_nuevo.html"&gt;Algo nuevo&lt;/a&gt;&lt;/li&gt;</v>
      </c>
    </row>
    <row r="436" spans="19:19" x14ac:dyDescent="0.3">
      <c r="S436" s="17" t="str">
        <v>&lt;li data-author="TSNC" data-momento="Santo" data-nnew="G14"&gt;&lt;a href="canciones/nsb/santo_santo_santo.html"&gt;Santo, Santo, Santo&lt;/a&gt;&lt;/li&gt;</v>
      </c>
    </row>
    <row r="437" spans="19:19" x14ac:dyDescent="0.3">
      <c r="S437" s="17" t="str">
        <v>&lt;li data-author="Valentín Elizalde" data-nold="177"&gt;&lt;a href="canciones/nsb/navidad_es_amar_romper_toda_frontera.html"&gt;Navidad es amar, romper toda frontera&lt;/a&gt;&lt;/li&gt;</v>
      </c>
    </row>
    <row r="438" spans="19:19" x14ac:dyDescent="0.3">
      <c r="S438" s="17" t="str">
        <v>&lt;li data-author="Valmaseda" data-nold="224"&gt;&lt;a href="canciones/nsb/que_facil_es_decir_si.html"&gt;Qué fácil es decir sí&lt;/a&gt;&lt;/li&gt;</v>
      </c>
    </row>
    <row r="439" spans="19:19" x14ac:dyDescent="0.3">
      <c r="S439" s="17" t="str">
        <v>&lt;li data-author="Vincent" data-nold="97"&gt;&lt;a href="canciones/nsb/el_esta_vivo_tu_lo_has_visto.html"&gt;Él está vivo, tú lo has visto&lt;/a&gt;&lt;/li&gt;</v>
      </c>
    </row>
    <row r="440" spans="19:19" x14ac:dyDescent="0.3">
      <c r="S440" s="17" t="str">
        <v>&lt;li data-author="Pelayo Sánchez" data-momento="Comunión" data-nnew="K01" data-nold="402" data-nrcc="124"&gt;&lt;a href="canciones/pelayo_sanchez/abro_mi_ser.html"&gt;Abro mi ser&lt;/a&gt;&lt;/li&gt;</v>
      </c>
    </row>
    <row r="441" spans="19:19" x14ac:dyDescent="0.3">
      <c r="S441" s="17" t="str">
        <v>&lt;li data-author="Pelayo Sánchez" data-momento="Espíritu" data-nnew="N01" data-nold="411" data-nrcc="325"&gt;&lt;a href="canciones/pelayo_sanchez/bendigamos_al_señor.html"&gt;Bendigamos al Señor&lt;/a&gt;&lt;/li&gt;</v>
      </c>
    </row>
    <row r="442" spans="19:19" x14ac:dyDescent="0.3">
      <c r="S442" s="17" t="str">
        <v>&lt;li data-author="Pelayo Sánchez" data-momento="María" data-nnew="M04" data-nrcc="108"&gt;&lt;a href="canciones/pelayo_sanchez/fuente_de_paz_y_fidelidad.html"&gt;Fuente de paz y fidelidad&lt;/a&gt;&lt;/li&gt;</v>
      </c>
    </row>
    <row r="443" spans="19:19" x14ac:dyDescent="0.3">
      <c r="S443" s="17" t="str">
        <v>&lt;li data-author="Pelayo Sánchez" data-momento="Gloria" data-nnew="C07" data-nrcc="329"&gt;&lt;a href="canciones/pelayo_sanchez/te_damos_gracias_señor.html"&gt;Te damos gracias, Señor&lt;/a&gt;&lt;/li&gt;</v>
      </c>
    </row>
    <row r="444" spans="19:19" x14ac:dyDescent="0.3">
      <c r="S444" s="17" t="str">
        <v>&lt;li data-author="Perpetuo Socorro" data-nold="5"&gt;&lt;a href="canciones/perpetuo_socorro/abrid_de_par_en_par.html"&gt;Abrid de par en par&lt;/a&gt;&lt;/li&gt;</v>
      </c>
    </row>
    <row r="445" spans="19:19" x14ac:dyDescent="0.3">
      <c r="S445" s="17" t="str">
        <v>&lt;li data-author="Perpetuo Socorro" data-nold="7"&gt;&lt;a href="canciones/perpetuo_socorro/amaras_al_señor_tu_dios.html"&gt;Amarás al Señor tu Dios&lt;/a&gt;&lt;/li&gt;</v>
      </c>
    </row>
    <row r="446" spans="19:19" x14ac:dyDescent="0.3">
      <c r="S446" s="17" t="str">
        <v>&lt;li data-author="Perpetuo Socorro" data-nold="112"&gt;&lt;a href="canciones/perpetuo_socorro/escuchad_escuchad.html"&gt;Escuchad, escuchad&lt;/a&gt;&lt;/li&gt;</v>
      </c>
    </row>
    <row r="447" spans="19:19" x14ac:dyDescent="0.3">
      <c r="S447" s="17" t="str">
        <v>&lt;li data-author="Perpetuo Socorro" data-momento="Paz" data-nnew="I05" data-nold="195" data-nrcc="5"&gt;&lt;a href="canciones/perpetuo_socorro/padre_unenos.html"&gt;Padre, únenos&lt;/a&gt;&lt;/li&gt;</v>
      </c>
    </row>
    <row r="448" spans="19:19" x14ac:dyDescent="0.3">
      <c r="S448" s="17" t="str">
        <v>&lt;li data-author="Perpetuo Socorro" data-nold="230"&gt;&lt;a href="canciones/perpetuo_socorro/señor_guiame_por_el_sendero.html"&gt;Señor, guíame por el sendero&lt;/a&gt;&lt;/li&gt;</v>
      </c>
    </row>
    <row r="449" spans="19:19" x14ac:dyDescent="0.3">
      <c r="S449" s="17" t="str">
        <v>&lt;li data-author="Perpetuo Socorro" data-nold="263"&gt;&lt;a href="canciones/perpetuo_socorro/todavia_cantamos.html"&gt;Todavía cantamos&lt;/a&gt;&lt;/li&gt;</v>
      </c>
    </row>
    <row r="450" spans="19:19" x14ac:dyDescent="0.3">
      <c r="S450" s="17" t="str">
        <v>&lt;li data-author="Ricardo Cantalapiedra" data-nold="295"&gt;&lt;a href="canciones/ricardo_cantalapiedra/yo_volvere_a_cantar.html"&gt;Yo volveré a cantar&lt;/a&gt;&lt;/li&gt;</v>
      </c>
    </row>
    <row r="451" spans="19:19" x14ac:dyDescent="0.3">
      <c r="S451" s="17" t="str">
        <v>&lt;li data-author="Ricardo Cantalapiedra" data-nold="53"&gt;&lt;a href="canciones/ricardo_cantalapiedra/como_le_cantare_al_señor.html"&gt;Cómo le cantaré al Señor&lt;/a&gt;&lt;/li&gt;</v>
      </c>
    </row>
    <row r="452" spans="19:19" x14ac:dyDescent="0.3">
      <c r="S452" s="17" t="str">
        <v>&lt;li data-author="Ricardo Cantalapiedra" data-nold="229"&gt;&lt;a href="canciones/ricardo_cantalapiedra/si_no_encuentro_la_alegria.html"&gt;Si no encuentro la alegría&lt;/a&gt;&lt;/li&gt;</v>
      </c>
    </row>
    <row r="453" spans="19:19" x14ac:dyDescent="0.3">
      <c r="S453" s="17" t="str">
        <v>&lt;li data-author="Ricardo Cantalapiedra" data-nold="172"&gt;&lt;a href="canciones/ricardo_cantalapiedra/no_queremos_a_los_grandes_palabreros.html"&gt;No queremos a los grandes palabreros&lt;/a&gt;&lt;/li&gt;</v>
      </c>
    </row>
    <row r="454" spans="19:19" x14ac:dyDescent="0.3">
      <c r="S454" s="17" t="str">
        <v>&lt;li data-author="Ricardo Cantalapiedra" data-nold="76"&gt;&lt;a href="canciones/ricardo_cantalapiedra/donde_tu_dices_ley.html"&gt;Donde tú dices ley&lt;/a&gt;&lt;/li&gt;</v>
      </c>
    </row>
    <row r="455" spans="19:19" x14ac:dyDescent="0.3">
      <c r="S455" s="17" t="str">
        <v>&lt;li data-author="Ricardo Cantalapiedra" data-nold="188"&gt;&lt;a href="canciones/ricardo_cantalapiedra/oh_dios_por_que_nos_has_abandonado.html"&gt;Oh, Dios, por qué nos has abandonado&lt;/a&gt;&lt;/li&gt;</v>
      </c>
    </row>
    <row r="456" spans="19:19" x14ac:dyDescent="0.3">
      <c r="S456" s="17" t="str">
        <v>&lt;li data-author="Ricardo Cantalapiedra" data-momento="Antífonas" data-nnew="D32" data-nold="192"&gt;&lt;a href="canciones/ricardo_cantalapiedra/os_doy_un_mandato_nuevo.html"&gt;Os doy un mandato nuevo&lt;/a&gt;&lt;/li&gt;</v>
      </c>
    </row>
    <row r="457" spans="19:19" x14ac:dyDescent="0.3">
      <c r="S457" s="17" t="str">
        <v>&lt;li data-author="Ricardo Cantalapiedra" data-nold="78"&gt;&lt;a href="canciones/ricardo_cantalapiedra/donde_hay_amor_alli_esta_dios.html"&gt;Donde hay amor allí está Dios&lt;/a&gt;&lt;/li&gt;</v>
      </c>
    </row>
    <row r="458" spans="19:19" x14ac:dyDescent="0.3">
      <c r="S458" s="17" t="str">
        <v>&lt;li data-author="Ricardo Cantalapiedra" data-momento="Comunión" data-nnew="K56" data-nold="202"&gt;&lt;a href="canciones/ricardo_cantalapiedra/protegeme_dios_mio.html"&gt;Protégeme, Dios mío&lt;/a&gt;&lt;/li&gt;</v>
      </c>
    </row>
    <row r="459" spans="19:19" x14ac:dyDescent="0.3">
      <c r="S459" s="17" t="str">
        <v>&lt;li data-author="Ricardo Cantalapiedra" data-momento="Comunión" data-nnew="K57" data-nold="205"&gt;&lt;a href="canciones/ricardo_cantalapiedra/pueblo_mio.html"&gt;Pueblo mío&lt;/a&gt;&lt;/li&gt;</v>
      </c>
    </row>
    <row r="460" spans="19:19" x14ac:dyDescent="0.3">
      <c r="S460" s="17" t="str">
        <v>&lt;li data-author="Ricardo Cantalapiedra" data-momento="Antífonas" data-nnew="D36" data-nold="257"&gt;&lt;a href="canciones/ricardo_cantalapiedra/te_ensalzare_señor.html"&gt;Te ensalzaré, Señor&lt;/a&gt;&lt;/li&gt;</v>
      </c>
    </row>
    <row r="461" spans="19:19" x14ac:dyDescent="0.3">
      <c r="S461" s="17" t="str">
        <v>&lt;li data-author="Ricardo Cantalapiedra" data-nold="37"&gt;&lt;a href="canciones/ricardo_cantalapiedra/con_su_muerte_nos_justificara.html"&gt;Con su muerte nos justificará&lt;/a&gt;&lt;/li&gt;</v>
      </c>
    </row>
    <row r="462" spans="19:19" x14ac:dyDescent="0.3">
      <c r="S462" s="17" t="str">
        <v>&lt;li data-author="Taizé" data-momento="Comunión" data-nnew="K17" data-nold="65"&gt;&lt;a href="canciones/taize/cristo_ha_resucitado.html"&gt;Cristo ha resucitado&lt;/a&gt;&lt;/li&gt;</v>
      </c>
    </row>
    <row r="463" spans="19:19" x14ac:dyDescent="0.3">
      <c r="S463" s="17" t="str">
        <v>&lt;li data-author="Toño Casado" data-momento="Comunión" data-nnew="K11"&gt;&lt;a href="canciones/toño_casado/bienaventuranzas_(33_el_musical).html"&gt;Bienaventuranzas (33 El Musical)&lt;/a&gt;&lt;/li&gt;</v>
      </c>
    </row>
    <row r="464" spans="19:19" x14ac:dyDescent="0.3">
      <c r="S464" s="17" t="str">
        <v>&lt;li data-author="Toño Casado" data-momento="Espíritu" data-nnew="N02"&gt;&lt;a href="canciones/toño_casado/el_espiritu_de_dios_(33_el_musical).html"&gt;El Espíritu de Dios (33 El Musical)&lt;/a&gt;&lt;/li&gt;</v>
      </c>
    </row>
    <row r="465" spans="19:19" x14ac:dyDescent="0.3">
      <c r="S465" s="17" t="str">
        <v>&lt;li data-author="Toño Casado" data-momento="Entrada" data-nnew="A40"&gt;&lt;a href="canciones/toño_casado/ven_a_la_fiesta.html"&gt;Ven a la fiesta&lt;/a&gt;&lt;/li&gt;</v>
      </c>
    </row>
    <row r="466" spans="19:19" x14ac:dyDescent="0.3">
      <c r="S466" s="17" t="str">
        <v>&lt;li data-author="Toño Casado" data-momento="Gloria" data-nnew="C05"&gt;&lt;a href="canciones/toño_casado/gloria_gloria_a_dios.html"&gt;Gloria, gloria a Dios&lt;/a&gt;&lt;/li&gt;</v>
      </c>
    </row>
    <row r="467" spans="19:19" x14ac:dyDescent="0.3">
      <c r="S467" s="17" t="str">
        <v>&lt;li data-author="Toño Casado" data-momento="Comunión" data-nnew="K60"&gt;&lt;a href="canciones/toño_casado/que_tu_palabra_nos_cambie_el_corazon.html"&gt;Que tu palabra nos cambie el corazón&lt;/a&gt;&lt;/li&gt;</v>
      </c>
    </row>
    <row r="468" spans="19:19" x14ac:dyDescent="0.3">
      <c r="S468" s="17" t="str">
        <v>&lt;li data-author="Toño Casado" data-momento="Ofertorio" data-nnew="F09"&gt;&lt;a href="canciones/toño_casado/junto_al_vino_y_al_pan.html"&gt;Junto al vino y al pan&lt;/a&gt;&lt;/li&gt;</v>
      </c>
    </row>
    <row r="469" spans="19:19" x14ac:dyDescent="0.3">
      <c r="S469" s="17" t="str">
        <v>&lt;li data-author="Toño Casado" data-momento="Santo" data-nnew="G03"&gt;&lt;a href="canciones/toño_casado/santo_(estan_llenos_de_tu_amor).html"&gt;Santo (Están llenos de tu amor)&lt;/a&gt;&lt;/li&gt;</v>
      </c>
    </row>
    <row r="470" spans="19:19" x14ac:dyDescent="0.3">
      <c r="S470" s="17" t="str">
        <v>&lt;li data-author="Toño Casado" data-momento="Paz" data-nnew="I01"&gt;&lt;a href="canciones/toño_casado/da_la_paz_al_mundo.html"&gt;Da la paz al mundo&lt;/a&gt;&lt;/li&gt;</v>
      </c>
    </row>
    <row r="471" spans="19:19" x14ac:dyDescent="0.3">
      <c r="S471" s="17" t="str">
        <v>&lt;li data-author="Toño Casado" data-momento="Padrenuestro" data-nnew="H05"&gt;&lt;a href="canciones/toño_casado/padre_nuestro_padre_nuestro.html"&gt;Padre nuestro, padre nuestro&lt;/a&gt;&lt;/li&gt;</v>
      </c>
    </row>
    <row r="472" spans="19:19" x14ac:dyDescent="0.3">
      <c r="S472" s="17" t="str">
        <v>&lt;li data-author="Toño Casado" data-momento="Comunión" data-nnew="K44"&gt;&lt;a href="canciones/toño_casado/jesus_ven_tu.html"&gt;Jesús, ven tú&lt;/a&gt;&lt;/li&gt;</v>
      </c>
    </row>
    <row r="473" spans="19:19" x14ac:dyDescent="0.3">
      <c r="S473" s="17" t="str">
        <v>&lt;li data-author="Toño Casado" data-momento="María" data-nnew="M13"&gt;&lt;a href="canciones/toño_casado/maria_maria.html"&gt;María, María&lt;/a&gt;&lt;/li&gt;</v>
      </c>
    </row>
    <row r="474" spans="19:19" x14ac:dyDescent="0.3">
      <c r="S474" s="17" t="str">
        <v>&lt;li data-author="Toño Casado" data-momento="Entrada" data-nnew="A08"&gt;&lt;a href="canciones/toño_casado/bienvenidos.html"&gt;Bienvenidos&lt;/a&gt;&lt;/li&gt;</v>
      </c>
    </row>
    <row r="475" spans="19:19" x14ac:dyDescent="0.3">
      <c r="S475" s="17" t="str">
        <v>&lt;li data-author="Toño Casado" data-momento="Ofertorio" data-nnew="F15"&gt;&lt;a href="canciones/toño_casado/te_ofrecemos.html"&gt;Te ofrecemos&lt;/a&gt;&lt;/li&gt;</v>
      </c>
    </row>
    <row r="476" spans="19:19" x14ac:dyDescent="0.3">
      <c r="S476" s="17" t="str">
        <v>&lt;li data-author="Toño Casado" data-momento="Santo" data-nnew="G04"&gt;&lt;a href="canciones/toño_casado/santo_(hosanna_en_el_cielo_al_señor).html"&gt;Santo (Hosanna en el Cielo al Señor)&lt;/a&gt;&lt;/li&gt;</v>
      </c>
    </row>
    <row r="477" spans="19:19" x14ac:dyDescent="0.3">
      <c r="S477" s="17" t="str">
        <v>&lt;li data-author="Toño Casado" data-momento="María" data-nnew="M02"&gt;&lt;a href="canciones/toño_casado/ave_maria.html"&gt;Ave María&lt;/a&gt;&lt;/li&gt;</v>
      </c>
    </row>
    <row r="478" spans="19:19" x14ac:dyDescent="0.3">
      <c r="S478" s="17" t="str">
        <v>&lt;li data-author="Toño Casado" data-momento="María" data-nnew="M22"&gt;&lt;a href="canciones/toño_casado/siempre_estuviste_aqui_(almudena).html"&gt;Siempre estuviste aquí (Almudena)&lt;/a&gt;&lt;/li&gt;</v>
      </c>
    </row>
    <row r="479" spans="19:19" x14ac:dyDescent="0.3">
      <c r="S479" s="17" t="str">
        <v>&lt;li data-author="Toño Casado" data-momento="Entrada" data-nnew="A42"&gt;&lt;a href="canciones/toño_casado/viviremos_firmes_en_la_fe.html"&gt;Viviremos firmes en la fe&lt;/a&gt;&lt;/li&gt;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0107-E6BE-492F-8BE2-801C988CF6A9}">
  <sheetPr codeName="Hoja5"/>
  <dimension ref="A1:AJ196"/>
  <sheetViews>
    <sheetView workbookViewId="0"/>
    <sheetView workbookViewId="1"/>
  </sheetViews>
  <sheetFormatPr baseColWidth="10" defaultRowHeight="14.4" x14ac:dyDescent="0.3"/>
  <sheetData>
    <row r="1" spans="1:36" x14ac:dyDescent="0.3">
      <c r="C1" s="16">
        <f>SUM(D1:AI1)-Resumen!$Q$6-3</f>
        <v>1503</v>
      </c>
      <c r="D1" s="17">
        <f>COUNTA(_xlfn.ANCHORARRAY(D3))</f>
        <v>129</v>
      </c>
      <c r="E1" s="17">
        <f t="shared" ref="E1:AJ1" si="0">COUNTA(_xlfn.ANCHORARRAY(E3))</f>
        <v>6</v>
      </c>
      <c r="F1" s="17">
        <f t="shared" si="0"/>
        <v>6</v>
      </c>
      <c r="G1" s="17">
        <f t="shared" si="0"/>
        <v>7</v>
      </c>
      <c r="H1" s="17">
        <f t="shared" si="0"/>
        <v>80</v>
      </c>
      <c r="I1" s="17">
        <f t="shared" si="0"/>
        <v>57</v>
      </c>
      <c r="J1" s="17">
        <f t="shared" si="0"/>
        <v>122</v>
      </c>
      <c r="K1" s="17">
        <f t="shared" si="0"/>
        <v>11</v>
      </c>
      <c r="L1" s="17">
        <f t="shared" si="0"/>
        <v>6</v>
      </c>
      <c r="M1" s="17">
        <f t="shared" si="0"/>
        <v>111</v>
      </c>
      <c r="N1" s="17">
        <f t="shared" si="0"/>
        <v>94</v>
      </c>
      <c r="O1" s="17">
        <f t="shared" si="0"/>
        <v>2</v>
      </c>
      <c r="P1" s="17">
        <f t="shared" si="0"/>
        <v>194</v>
      </c>
      <c r="Q1" s="17">
        <f t="shared" si="0"/>
        <v>10</v>
      </c>
      <c r="R1" s="17">
        <f t="shared" si="0"/>
        <v>11</v>
      </c>
      <c r="S1" s="17">
        <f t="shared" si="0"/>
        <v>30</v>
      </c>
      <c r="T1" s="17">
        <f t="shared" si="0"/>
        <v>9</v>
      </c>
      <c r="U1" s="17">
        <f t="shared" si="0"/>
        <v>144</v>
      </c>
      <c r="V1" s="17">
        <f t="shared" si="0"/>
        <v>10</v>
      </c>
      <c r="W1" s="17">
        <f t="shared" si="0"/>
        <v>6</v>
      </c>
      <c r="X1" s="17">
        <f t="shared" si="0"/>
        <v>2</v>
      </c>
      <c r="Y1" s="17">
        <f t="shared" si="0"/>
        <v>1</v>
      </c>
      <c r="Z1" s="17">
        <f t="shared" si="0"/>
        <v>19</v>
      </c>
      <c r="AA1" s="17">
        <f t="shared" si="0"/>
        <v>179</v>
      </c>
      <c r="AB1" s="17">
        <f t="shared" si="0"/>
        <v>42</v>
      </c>
      <c r="AC1" s="17">
        <f t="shared" si="0"/>
        <v>4</v>
      </c>
      <c r="AD1" s="17">
        <f t="shared" si="0"/>
        <v>6</v>
      </c>
      <c r="AE1" s="17">
        <f t="shared" si="0"/>
        <v>12</v>
      </c>
      <c r="AF1" s="17">
        <f t="shared" si="0"/>
        <v>1</v>
      </c>
      <c r="AG1" s="17">
        <f t="shared" si="0"/>
        <v>65</v>
      </c>
      <c r="AH1" s="17">
        <f t="shared" si="0"/>
        <v>164</v>
      </c>
      <c r="AI1" s="17">
        <f t="shared" si="0"/>
        <v>44</v>
      </c>
      <c r="AJ1" s="17">
        <f t="shared" si="0"/>
        <v>19</v>
      </c>
    </row>
    <row r="2" spans="1:36" x14ac:dyDescent="0.3">
      <c r="A2" s="29" t="s">
        <v>2935</v>
      </c>
      <c r="B2" s="30">
        <v>0</v>
      </c>
      <c r="C2" s="23" t="s">
        <v>2933</v>
      </c>
      <c r="D2" s="28" t="str" cm="1">
        <f t="array" ref="D2:AJ2">TRANSPOSE(_xlfn._xlws.SORT(_xlfn.UNIQUE(CantoralDB[Carpeta])))</f>
        <v>ain_karem</v>
      </c>
      <c r="E2" s="27" t="str">
        <v>alejandro_ruiz</v>
      </c>
      <c r="F2" s="27" t="str">
        <v>al-haraca</v>
      </c>
      <c r="G2" s="27" t="str">
        <v>antonio_alcalde</v>
      </c>
      <c r="H2" s="27" t="str">
        <v>brotes_de_olivo</v>
      </c>
      <c r="I2" s="27" t="str">
        <v>carmelo_erdozain</v>
      </c>
      <c r="J2" s="27" t="str">
        <v>cesareo_gabarain</v>
      </c>
      <c r="K2" s="27" t="str">
        <v>emilio_vicente_mateu</v>
      </c>
      <c r="L2" s="27" t="str">
        <v>fernando_viejo</v>
      </c>
      <c r="M2" s="27" t="str">
        <v>francisco_palazon</v>
      </c>
      <c r="N2" s="27" t="str">
        <v>hakuna</v>
      </c>
      <c r="O2" s="27" t="str">
        <v>hermana_glenda</v>
      </c>
      <c r="P2" s="27" t="str">
        <v>ixcis</v>
      </c>
      <c r="Q2" s="27" t="str">
        <v>joaquin_madurga</v>
      </c>
      <c r="R2" s="27" t="str">
        <v>josep_asuncion</v>
      </c>
      <c r="S2" s="27" t="str">
        <v>juan_antonio_espinosa</v>
      </c>
      <c r="T2" s="27" t="str">
        <v>juanjo_elezkano</v>
      </c>
      <c r="U2" s="27" t="str">
        <v>kairoi</v>
      </c>
      <c r="V2" s="27" t="str">
        <v>lazaro_iparraguirre</v>
      </c>
      <c r="W2" s="27" t="str">
        <v>luis_alfredo_diaz</v>
      </c>
      <c r="X2" s="27" t="str">
        <v>marcos_witt</v>
      </c>
      <c r="Y2" s="27" t="str">
        <v>marta_gil-delgado</v>
      </c>
      <c r="Z2" s="27" t="str">
        <v>miguel_manzano</v>
      </c>
      <c r="AA2" s="27" t="str">
        <v>nsb</v>
      </c>
      <c r="AB2" s="27" t="str">
        <v>nuevas</v>
      </c>
      <c r="AC2" s="27" t="str">
        <v>pelayo_sanchez</v>
      </c>
      <c r="AD2" s="27" t="str">
        <v>perpetuo_socorro</v>
      </c>
      <c r="AE2" s="27" t="str">
        <v>ricardo_cantalapiedra</v>
      </c>
      <c r="AF2" s="27" t="str">
        <v>rosa_cruz</v>
      </c>
      <c r="AG2" s="27" t="str">
        <v>ruah</v>
      </c>
      <c r="AH2" s="27" t="str">
        <v>taize</v>
      </c>
      <c r="AI2" s="27" t="str">
        <v>toño_casado</v>
      </c>
      <c r="AJ2" s="27" t="str">
        <v>villancicos</v>
      </c>
    </row>
    <row r="3" spans="1:36" x14ac:dyDescent="0.3">
      <c r="A3" s="31" t="s">
        <v>2936</v>
      </c>
      <c r="B3" s="30">
        <v>0</v>
      </c>
      <c r="C3" s="16"/>
      <c r="D3" s="17" t="str" cm="1">
        <f t="array" ref="D3:D131">IF($B$2=1,
_xlfn.CHOOSECOLS(_xlfn._xlws.FILTER(CantoralDB[],CantoralDB[Carpeta]=D2),IF($B$3=1,23,2)),
_xlfn.CHOOSECOLS(_xlfn._xlws.FILTER(CantoralDB[],(CantoralDB[Carpeta]=D2)*(CantoralDB[html]="OK")),IF($B$3=1,23,2)))</f>
        <v>Yo soy el que vive</v>
      </c>
      <c r="E3" s="17" t="str" cm="1">
        <f t="array" ref="E3:E8">IF($B$2=1,
_xlfn.CHOOSECOLS(_xlfn._xlws.FILTER(CantoralDB[],CantoralDB[Carpeta]=E2),IF($B$3=1,23,2)),
_xlfn.CHOOSECOLS(_xlfn._xlws.FILTER(CantoralDB[],(CantoralDB[Carpeta]=E2)*(CantoralDB[html]="OK")),IF($B$3=1,23,2)))</f>
        <v>Abbá, Padre</v>
      </c>
      <c r="F3" s="17" t="str" cm="1">
        <f t="array" ref="F3:F8">IF($B$2=1,
_xlfn.CHOOSECOLS(_xlfn._xlws.FILTER(CantoralDB[],CantoralDB[Carpeta]=F2),IF($B$3=1,23,2)),
_xlfn.CHOOSECOLS(_xlfn._xlws.FILTER(CantoralDB[],(CantoralDB[Carpeta]=F2)*(CantoralDB[html]="OK")),IF($B$3=1,23,2)))</f>
        <v>Como Jonás</v>
      </c>
      <c r="G3" s="17" t="str" cm="1">
        <f t="array" ref="G3:G9">IF($B$2=1,
_xlfn.CHOOSECOLS(_xlfn._xlws.FILTER(CantoralDB[],CantoralDB[Carpeta]=G2),IF($B$3=1,23,2)),
_xlfn.CHOOSECOLS(_xlfn._xlws.FILTER(CantoralDB[],(CantoralDB[Carpeta]=G2)*(CantoralDB[html]="OK")),IF($B$3=1,23,2)))</f>
        <v>De la Virgen ha nacido el Niño</v>
      </c>
      <c r="H3" s="17" t="str" cm="1">
        <f t="array" ref="H3:H82">IF($B$2=1,
_xlfn.CHOOSECOLS(_xlfn._xlws.FILTER(CantoralDB[],CantoralDB[Carpeta]=H2),IF($B$3=1,23,2)),
_xlfn.CHOOSECOLS(_xlfn._xlws.FILTER(CantoralDB[],(CantoralDB[Carpeta]=H2)*(CantoralDB[html]="OK")),IF($B$3=1,23,2)))</f>
        <v>Cómo te podré pagar</v>
      </c>
      <c r="I3" s="17" t="str" cm="1">
        <f t="array" ref="I3:I59">IF($B$2=1,
_xlfn.CHOOSECOLS(_xlfn._xlws.FILTER(CantoralDB[],CantoralDB[Carpeta]=I2),IF($B$3=1,23,2)),
_xlfn.CHOOSECOLS(_xlfn._xlws.FILTER(CantoralDB[],(CantoralDB[Carpeta]=I2)*(CantoralDB[html]="OK")),IF($B$3=1,23,2)))</f>
        <v>Himno a Jesucristo</v>
      </c>
      <c r="J3" s="17" t="str" cm="1">
        <f t="array" ref="J3:J124">IF($B$2=1,
_xlfn.CHOOSECOLS(_xlfn._xlws.FILTER(CantoralDB[],CantoralDB[Carpeta]=J2),IF($B$3=1,23,2)),
_xlfn.CHOOSECOLS(_xlfn._xlws.FILTER(CantoralDB[],(CantoralDB[Carpeta]=J2)*(CantoralDB[html]="OK")),IF($B$3=1,23,2)))</f>
        <v>Porque nos invitas</v>
      </c>
      <c r="K3" s="17" t="str" cm="1">
        <f t="array" ref="K3:K13">IF($B$2=1,
_xlfn.CHOOSECOLS(_xlfn._xlws.FILTER(CantoralDB[],CantoralDB[Carpeta]=K2),IF($B$3=1,23,2)),
_xlfn.CHOOSECOLS(_xlfn._xlws.FILTER(CantoralDB[],(CantoralDB[Carpeta]=K2)*(CantoralDB[html]="OK")),IF($B$3=1,23,2)))</f>
        <v>Amar es darse</v>
      </c>
      <c r="L3" s="17" t="str" cm="1">
        <f t="array" ref="L3:L8">IF($B$2=1,
_xlfn.CHOOSECOLS(_xlfn._xlws.FILTER(CantoralDB[],CantoralDB[Carpeta]=L2),IF($B$3=1,23,2)),
_xlfn.CHOOSECOLS(_xlfn._xlws.FILTER(CantoralDB[],(CantoralDB[Carpeta]=L2)*(CantoralDB[html]="OK")),IF($B$3=1,23,2)))</f>
        <v>Como era Pedro</v>
      </c>
      <c r="M3" s="17" t="str" cm="1">
        <f t="array" ref="M3:M113">IF($B$2=1,
_xlfn.CHOOSECOLS(_xlfn._xlws.FILTER(CantoralDB[],CantoralDB[Carpeta]=M2),IF($B$3=1,23,2)),
_xlfn.CHOOSECOLS(_xlfn._xlws.FILTER(CantoralDB[],(CantoralDB[Carpeta]=M2)*(CantoralDB[html]="OK")),IF($B$3=1,23,2)))</f>
        <v>Alrededor de tu mesa</v>
      </c>
      <c r="N3" s="17" t="str" cm="1">
        <f t="array" ref="N3:N96">IF($B$2=1,
_xlfn.CHOOSECOLS(_xlfn._xlws.FILTER(CantoralDB[],CantoralDB[Carpeta]=N2),IF($B$3=1,23,2)),
_xlfn.CHOOSECOLS(_xlfn._xlws.FILTER(CantoralDB[],(CantoralDB[Carpeta]=N2)*(CantoralDB[html]="OK")),IF($B$3=1,23,2)))</f>
        <v>Olor a tostadas</v>
      </c>
      <c r="O3" s="17" t="str" cm="1">
        <f t="array" ref="O3:O4">IF($B$2=1,
_xlfn.CHOOSECOLS(_xlfn._xlws.FILTER(CantoralDB[],CantoralDB[Carpeta]=O2),IF($B$3=1,23,2)),
_xlfn.CHOOSECOLS(_xlfn._xlws.FILTER(CantoralDB[],(CantoralDB[Carpeta]=O2)*(CantoralDB[html]="OK")),IF($B$3=1,23,2)))</f>
        <v>El Señor es mi pastor</v>
      </c>
      <c r="P3" s="17" t="str" cm="1">
        <f t="array" ref="P3:P196">IF($B$2=1,
_xlfn.CHOOSECOLS(_xlfn._xlws.FILTER(CantoralDB[],CantoralDB[Carpeta]=P2),IF($B$3=1,23,2)),
_xlfn.CHOOSECOLS(_xlfn._xlws.FILTER(CantoralDB[],(CantoralDB[Carpeta]=P2)*(CantoralDB[html]="OK")),IF($B$3=1,23,2)))</f>
        <v>Entra en mi noche</v>
      </c>
      <c r="Q3" s="17" t="str" cm="1">
        <f t="array" ref="Q3:Q12">IF($B$2=1,
_xlfn.CHOOSECOLS(_xlfn._xlws.FILTER(CantoralDB[],CantoralDB[Carpeta]=Q2),IF($B$3=1,23,2)),
_xlfn.CHOOSECOLS(_xlfn._xlws.FILTER(CantoralDB[],(CantoralDB[Carpeta]=Q2)*(CantoralDB[html]="OK")),IF($B$3=1,23,2)))</f>
        <v>Traemos a tu altar</v>
      </c>
      <c r="R3" s="17" t="str" cm="1">
        <f t="array" ref="R3:R13">IF($B$2=1,
_xlfn.CHOOSECOLS(_xlfn._xlws.FILTER(CantoralDB[],CantoralDB[Carpeta]=R2),IF($B$3=1,23,2)),
_xlfn.CHOOSECOLS(_xlfn._xlws.FILTER(CantoralDB[],(CantoralDB[Carpeta]=R2)*(CantoralDB[html]="OK")),IF($B$3=1,23,2)))</f>
        <v>Adoraré tu cuerpo herido</v>
      </c>
      <c r="S3" s="17" t="str" cm="1">
        <f t="array" ref="S3:S32">IF($B$2=1,
_xlfn.CHOOSECOLS(_xlfn._xlws.FILTER(CantoralDB[],CantoralDB[Carpeta]=S2),IF($B$3=1,23,2)),
_xlfn.CHOOSECOLS(_xlfn._xlws.FILTER(CantoralDB[],(CantoralDB[Carpeta]=S2)*(CantoralDB[html]="OK")),IF($B$3=1,23,2)))</f>
        <v>A Dios den gracias los pueblos</v>
      </c>
      <c r="T3" s="17" t="str" cm="1">
        <f t="array" ref="T3:T11">IF($B$2=1,
_xlfn.CHOOSECOLS(_xlfn._xlws.FILTER(CantoralDB[],CantoralDB[Carpeta]=T2),IF($B$3=1,23,2)),
_xlfn.CHOOSECOLS(_xlfn._xlws.FILTER(CantoralDB[],(CantoralDB[Carpeta]=T2)*(CantoralDB[html]="OK")),IF($B$3=1,23,2)))</f>
        <v>Juventud de todos los países</v>
      </c>
      <c r="U3" s="17" t="str" cm="1">
        <f t="array" ref="U3:U146">IF($B$2=1,
_xlfn.CHOOSECOLS(_xlfn._xlws.FILTER(CantoralDB[],CantoralDB[Carpeta]=U2),IF($B$3=1,23,2)),
_xlfn.CHOOSECOLS(_xlfn._xlws.FILTER(CantoralDB[],(CantoralDB[Carpeta]=U2)*(CantoralDB[html]="OK")),IF($B$3=1,23,2)))</f>
        <v>La bondad y el amor del Señor</v>
      </c>
      <c r="V3" s="17" t="str" cm="1">
        <f t="array" ref="V3:V12">IF($B$2=1,
_xlfn.CHOOSECOLS(_xlfn._xlws.FILTER(CantoralDB[],CantoralDB[Carpeta]=V2),IF($B$3=1,23,2)),
_xlfn.CHOOSECOLS(_xlfn._xlws.FILTER(CantoralDB[],(CantoralDB[Carpeta]=V2)*(CantoralDB[html]="OK")),IF($B$3=1,23,2)))</f>
        <v>Aleluya, mirad la muerte</v>
      </c>
      <c r="W3" s="17" t="str" cm="1">
        <f t="array" ref="W3:W8">IF($B$2=1,
_xlfn.CHOOSECOLS(_xlfn._xlws.FILTER(CantoralDB[],CantoralDB[Carpeta]=W2),IF($B$3=1,23,2)),
_xlfn.CHOOSECOLS(_xlfn._xlws.FILTER(CantoralDB[],(CantoralDB[Carpeta]=W2)*(CantoralDB[html]="OK")),IF($B$3=1,23,2)))</f>
        <v>Compartir</v>
      </c>
      <c r="X3" s="17" t="str" cm="1">
        <f t="array" ref="X3:X4">IF($B$2=1,
_xlfn.CHOOSECOLS(_xlfn._xlws.FILTER(CantoralDB[],CantoralDB[Carpeta]=X2),IF($B$3=1,23,2)),
_xlfn.CHOOSECOLS(_xlfn._xlws.FILTER(CantoralDB[],(CantoralDB[Carpeta]=X2)*(CantoralDB[html]="OK")),IF($B$3=1,23,2)))</f>
        <v>Heme aquí</v>
      </c>
      <c r="Y3" s="17" t="e" cm="1" vm="1">
        <f t="array" ref="Y3">IF($B$2=1,
_xlfn.CHOOSECOLS(_xlfn._xlws.FILTER(CantoralDB[],CantoralDB[Carpeta]=Y2),IF($B$3=1,23,2)),
_xlfn.CHOOSECOLS(_xlfn._xlws.FILTER(CantoralDB[],(CantoralDB[Carpeta]=Y2)*(CantoralDB[html]="OK")),IF($B$3=1,23,2)))</f>
        <v>#VALUE!</v>
      </c>
      <c r="Z3" s="17" t="str" cm="1">
        <f t="array" ref="Z3:Z21">IF($B$2=1,
_xlfn.CHOOSECOLS(_xlfn._xlws.FILTER(CantoralDB[],CantoralDB[Carpeta]=Z2),IF($B$3=1,23,2)),
_xlfn.CHOOSECOLS(_xlfn._xlws.FILTER(CantoralDB[],(CantoralDB[Carpeta]=Z2)*(CantoralDB[html]="OK")),IF($B$3=1,23,2)))</f>
        <v>A Belén se va y se viene</v>
      </c>
      <c r="AA3" s="17" t="str" cm="1">
        <f t="array" ref="AA3:AA181">IF($B$2=1,
_xlfn.CHOOSECOLS(_xlfn._xlws.FILTER(CantoralDB[],CantoralDB[Carpeta]=AA2),IF($B$3=1,23,2)),
_xlfn.CHOOSECOLS(_xlfn._xlws.FILTER(CantoralDB[],(CantoralDB[Carpeta]=AA2)*(CantoralDB[html]="OK")),IF($B$3=1,23,2)))</f>
        <v>Aleluya de Adviento</v>
      </c>
      <c r="AB3" s="17" t="str" cm="1">
        <f t="array" ref="AB3:AB44">IF($B$2=1,
_xlfn.CHOOSECOLS(_xlfn._xlws.FILTER(CantoralDB[],CantoralDB[Carpeta]=AB2),IF($B$3=1,23,2)),
_xlfn.CHOOSECOLS(_xlfn._xlws.FILTER(CantoralDB[],(CantoralDB[Carpeta]=AB2)*(CantoralDB[html]="OK")),IF($B$3=1,23,2)))</f>
        <v>Alma de Cristo</v>
      </c>
      <c r="AC3" s="17" t="str" cm="1">
        <f t="array" ref="AC3:AC6">IF($B$2=1,
_xlfn.CHOOSECOLS(_xlfn._xlws.FILTER(CantoralDB[],CantoralDB[Carpeta]=AC2),IF($B$3=1,23,2)),
_xlfn.CHOOSECOLS(_xlfn._xlws.FILTER(CantoralDB[],(CantoralDB[Carpeta]=AC2)*(CantoralDB[html]="OK")),IF($B$3=1,23,2)))</f>
        <v>Abro mi ser</v>
      </c>
      <c r="AD3" s="17" t="str" cm="1">
        <f t="array" ref="AD3:AD8">IF($B$2=1,
_xlfn.CHOOSECOLS(_xlfn._xlws.FILTER(CantoralDB[],CantoralDB[Carpeta]=AD2),IF($B$3=1,23,2)),
_xlfn.CHOOSECOLS(_xlfn._xlws.FILTER(CantoralDB[],(CantoralDB[Carpeta]=AD2)*(CantoralDB[html]="OK")),IF($B$3=1,23,2)))</f>
        <v>Abrid de par en par</v>
      </c>
      <c r="AE3" s="17" t="str" cm="1">
        <f t="array" ref="AE3:AE14">IF($B$2=1,
_xlfn.CHOOSECOLS(_xlfn._xlws.FILTER(CantoralDB[],CantoralDB[Carpeta]=AE2),IF($B$3=1,23,2)),
_xlfn.CHOOSECOLS(_xlfn._xlws.FILTER(CantoralDB[],(CantoralDB[Carpeta]=AE2)*(CantoralDB[html]="OK")),IF($B$3=1,23,2)))</f>
        <v>Yo volveré a cantar</v>
      </c>
      <c r="AF3" s="17" t="e" cm="1" vm="1">
        <f t="array" ref="AF3">IF($B$2=1,
_xlfn.CHOOSECOLS(_xlfn._xlws.FILTER(CantoralDB[],CantoralDB[Carpeta]=AF2),IF($B$3=1,23,2)),
_xlfn.CHOOSECOLS(_xlfn._xlws.FILTER(CantoralDB[],(CantoralDB[Carpeta]=AF2)*(CantoralDB[html]="OK")),IF($B$3=1,23,2)))</f>
        <v>#VALUE!</v>
      </c>
      <c r="AG3" s="17" t="str" cm="1">
        <f t="array" ref="AG3:AG67">IF($B$2=1,
_xlfn.CHOOSECOLS(_xlfn._xlws.FILTER(CantoralDB[],CantoralDB[Carpeta]=AG2),IF($B$3=1,23,2)),
_xlfn.CHOOSECOLS(_xlfn._xlws.FILTER(CantoralDB[],(CantoralDB[Carpeta]=AG2)*(CantoralDB[html]="OK")),IF($B$3=1,23,2)))</f>
        <v>Adéntrate</v>
      </c>
      <c r="AH3" s="17" t="str" cm="1">
        <f t="array" ref="AH3:AH166">IF($B$2=1,
_xlfn.CHOOSECOLS(_xlfn._xlws.FILTER(CantoralDB[],CantoralDB[Carpeta]=AH2),IF($B$3=1,23,2)),
_xlfn.CHOOSECOLS(_xlfn._xlws.FILTER(CantoralDB[],(CantoralDB[Carpeta]=AH2)*(CantoralDB[html]="OK")),IF($B$3=1,23,2)))</f>
        <v>Cristo ha resucitado</v>
      </c>
      <c r="AI3" s="17" t="str" cm="1">
        <f t="array" ref="AI3:AI46">IF($B$2=1,
_xlfn.CHOOSECOLS(_xlfn._xlws.FILTER(CantoralDB[],CantoralDB[Carpeta]=AI2),IF($B$3=1,23,2)),
_xlfn.CHOOSECOLS(_xlfn._xlws.FILTER(CantoralDB[],(CantoralDB[Carpeta]=AI2)*(CantoralDB[html]="OK")),IF($B$3=1,23,2)))</f>
        <v>Bienaventuranzas (33 El Musical)</v>
      </c>
      <c r="AJ3" s="17" t="str" cm="1">
        <f t="array" ref="AJ3:AJ21">IF($B$2=1,
_xlfn.CHOOSECOLS(_xlfn._xlws.FILTER(CantoralDB[],CantoralDB[Carpeta]=AJ2),IF($B$3=1,23,2)),
_xlfn.CHOOSECOLS(_xlfn._xlws.FILTER(CantoralDB[],(CantoralDB[Carpeta]=AJ2)*(CantoralDB[html]="OK")),IF($B$3=1,23,2)))</f>
        <v>Alegría, alegría, alegría</v>
      </c>
    </row>
    <row r="4" spans="1:36" x14ac:dyDescent="0.3">
      <c r="D4" t="str">
        <v>Que se alegren tus entrañas</v>
      </c>
      <c r="E4" t="str">
        <v>Arranca de mi pecho</v>
      </c>
      <c r="F4" t="str">
        <v>En esto conocerán</v>
      </c>
      <c r="G4" t="str">
        <v>Lo que hemos visto y oído</v>
      </c>
      <c r="H4" t="str">
        <v>Ver con claridad</v>
      </c>
      <c r="I4" t="str">
        <v>Proclama mi alma</v>
      </c>
      <c r="J4" t="str">
        <v>Señor, ten piedad</v>
      </c>
      <c r="K4" t="str">
        <v>Siempre unidos, mano a mano</v>
      </c>
      <c r="L4" t="str">
        <v>Creo en Dios y en su Palabra</v>
      </c>
      <c r="M4" t="str">
        <v>Señor, ten piedad (Alrededor de tu mesa)</v>
      </c>
      <c r="N4" t="str">
        <v>Baila y déjate de historias</v>
      </c>
      <c r="O4" t="str">
        <v>Ahí tienes a tu madre</v>
      </c>
      <c r="P4" t="str">
        <v>Como la lluvia</v>
      </c>
      <c r="Q4" t="str">
        <v>Al ver Jesús</v>
      </c>
      <c r="R4" t="str">
        <v>Alabándote</v>
      </c>
      <c r="S4" t="str">
        <v>Alegre la mañana</v>
      </c>
      <c r="T4" t="str">
        <v>A la fiesta del Señor</v>
      </c>
      <c r="U4" t="str">
        <v>Vamos hacia ti (gloria a Dios)</v>
      </c>
      <c r="V4" t="str">
        <v>Bendecid al Señor, proclamad su amor</v>
      </c>
      <c r="W4" t="str">
        <v>No adoréis a nadie</v>
      </c>
      <c r="X4" t="str">
        <v>Yeshua</v>
      </c>
      <c r="Z4" t="str">
        <v>A ti levanto mis ojos</v>
      </c>
      <c r="AA4" t="str">
        <v>Cordero de Dios (Algete)</v>
      </c>
      <c r="AB4" t="str">
        <v>En los brazos de una virgen</v>
      </c>
      <c r="AC4" t="str">
        <v>Bendigamos al Señor</v>
      </c>
      <c r="AD4" t="str">
        <v>Amarás al Señor tu Dios</v>
      </c>
      <c r="AE4" t="str">
        <v>Cómo le cantaré al Señor</v>
      </c>
      <c r="AG4" t="str">
        <v>Pedid y se os dará</v>
      </c>
      <c r="AH4" t="str">
        <v>Tengo sed de ti</v>
      </c>
      <c r="AI4" t="str">
        <v>El Espíritu de Dios (33 El Musical)</v>
      </c>
      <c r="AJ4" t="str">
        <v>Arre, borriquito</v>
      </c>
    </row>
    <row r="5" spans="1:36" x14ac:dyDescent="0.3">
      <c r="D5" t="str">
        <v>Palabra</v>
      </c>
      <c r="E5" t="str">
        <v>No hay nadie como tú</v>
      </c>
      <c r="F5" t="str">
        <v>Padre, me pongo en tu regazo</v>
      </c>
      <c r="G5" t="str">
        <v>Nos has llamado al desierto</v>
      </c>
      <c r="H5" t="str">
        <v>Quiero ser</v>
      </c>
      <c r="I5" t="str">
        <v>Se acercaron los niños al Señor</v>
      </c>
      <c r="J5" t="str">
        <v>Gloria</v>
      </c>
      <c r="K5" t="str">
        <v>Dios te salve, mi señora</v>
      </c>
      <c r="L5" t="str">
        <v>Hasta cuándo, Señor</v>
      </c>
      <c r="M5" t="str">
        <v>Gloria a Dios en el cielo</v>
      </c>
      <c r="N5" t="str">
        <v>Ojalá</v>
      </c>
      <c r="P5" t="str">
        <v>Vuelvo</v>
      </c>
      <c r="Q5" t="str">
        <v>Aleluya, ha nacido el salvador</v>
      </c>
      <c r="R5" t="str">
        <v>Amor loco</v>
      </c>
      <c r="S5" t="str">
        <v>Caminamos hacia el sol</v>
      </c>
      <c r="T5" t="str">
        <v>Comeremos de la mesa</v>
      </c>
      <c r="U5" t="str">
        <v>Quédate aquí, Señor</v>
      </c>
      <c r="V5" t="str">
        <v>Caminaremos</v>
      </c>
      <c r="W5" t="str">
        <v>Qué te puedo dar</v>
      </c>
      <c r="Z5" t="str">
        <v>Aclama al Señor, tierra entera</v>
      </c>
      <c r="AA5" t="str">
        <v>Cordero de Dios (boliviano)</v>
      </c>
      <c r="AB5" t="str">
        <v>Es María la blanca paloma</v>
      </c>
      <c r="AC5" t="str">
        <v>Fuente de paz y fidelidad</v>
      </c>
      <c r="AD5" t="str">
        <v>Escuchad, escuchad</v>
      </c>
      <c r="AE5" t="str">
        <v>Si no encuentro la alegría</v>
      </c>
      <c r="AG5" t="str">
        <v>Cada mañana</v>
      </c>
      <c r="AH5" t="str">
        <v>Aleluya 11</v>
      </c>
      <c r="AI5" t="str">
        <v>Ven a la fiesta</v>
      </c>
      <c r="AJ5" t="str">
        <v>Ay, del chiquirritín</v>
      </c>
    </row>
    <row r="6" spans="1:36" x14ac:dyDescent="0.3">
      <c r="D6" t="str">
        <v>Atraviesas</v>
      </c>
      <c r="E6" t="str">
        <v>Tú rompes cadenas</v>
      </c>
      <c r="F6" t="str">
        <v>Por la paz no callaré</v>
      </c>
      <c r="G6" t="str">
        <v>Peregrinos de la paz y la alegría</v>
      </c>
      <c r="H6" t="str">
        <v>En el mismo barco</v>
      </c>
      <c r="I6" t="str">
        <v>Día de fiesta en tu altar</v>
      </c>
      <c r="J6" t="str">
        <v>Se acerca el Señor</v>
      </c>
      <c r="K6" t="str">
        <v>Tiempo de espera</v>
      </c>
      <c r="L6" t="str">
        <v>Padre nuestro, que estás en la tierra</v>
      </c>
      <c r="M6" t="str">
        <v>Acabamos de oír tu palabra</v>
      </c>
      <c r="N6" t="str">
        <v>Cuarto lugar</v>
      </c>
      <c r="P6" t="str">
        <v>Vengo a orar</v>
      </c>
      <c r="Q6" t="str">
        <v>Andando por el camino</v>
      </c>
      <c r="R6" t="str">
        <v>Como las tiendas de Quedar</v>
      </c>
      <c r="S6" t="str">
        <v>Caminaré en presencia del Señor (Espinosa)</v>
      </c>
      <c r="T6" t="str">
        <v>Hoy cantamos a Dios</v>
      </c>
      <c r="U6" t="str">
        <v>Padre, vuelvo a ti</v>
      </c>
      <c r="V6" t="str">
        <v>Maestro, te seguiré</v>
      </c>
      <c r="W6" t="str">
        <v>Quiero decir que sí</v>
      </c>
      <c r="Z6" t="str">
        <v>Aleluya, el Señor es nuestro Rey</v>
      </c>
      <c r="AA6" t="str">
        <v>Dulce muchacha humilde de Palestina</v>
      </c>
      <c r="AB6" t="str">
        <v>Estamos de fiesta</v>
      </c>
      <c r="AC6" t="str">
        <v>Te damos gracias, Señor</v>
      </c>
      <c r="AD6" t="str">
        <v>Padre, únenos</v>
      </c>
      <c r="AE6" t="str">
        <v>No queremos a los grandes palabreros</v>
      </c>
      <c r="AG6" t="str">
        <v>Fija en ti</v>
      </c>
      <c r="AH6" t="str">
        <v>En nuestra oscuridad</v>
      </c>
      <c r="AI6" t="str">
        <v>Señor, ten piedad I</v>
      </c>
      <c r="AJ6" t="str">
        <v>Campana sobre campana</v>
      </c>
    </row>
    <row r="7" spans="1:36" x14ac:dyDescent="0.3">
      <c r="D7" t="str">
        <v>Los incontables</v>
      </c>
      <c r="E7" t="str">
        <v>Tuya es la victoria</v>
      </c>
      <c r="F7" t="str">
        <v>Santa María, servidora</v>
      </c>
      <c r="G7" t="str">
        <v>Qué tendrá lo pequeño</v>
      </c>
      <c r="H7" t="str">
        <v>Nada has pensado</v>
      </c>
      <c r="I7" t="str">
        <v>Señor, ten piedad (I)</v>
      </c>
      <c r="J7" t="str">
        <v>El Señor es bueno</v>
      </c>
      <c r="K7" t="str">
        <v>Bienaventurados seremos, Señor</v>
      </c>
      <c r="L7" t="str">
        <v>Piedad, Señor, piedad</v>
      </c>
      <c r="M7" t="str">
        <v>Bendito seas, Señor</v>
      </c>
      <c r="N7" t="str">
        <v>Capricho</v>
      </c>
      <c r="P7" t="str">
        <v>Despiértame</v>
      </c>
      <c r="Q7" t="str">
        <v>Comiendo del mismo pan</v>
      </c>
      <c r="R7" t="str">
        <v>Dos mil años de luz</v>
      </c>
      <c r="S7" t="str">
        <v>Dad gracias al Señor porque es bueno</v>
      </c>
      <c r="T7" t="str">
        <v>Los pobres de la tierra</v>
      </c>
      <c r="U7" t="str">
        <v>María, la madre buena</v>
      </c>
      <c r="V7" t="str">
        <v>Nos dejaste, Señor</v>
      </c>
      <c r="W7" t="str">
        <v>Solidaridad</v>
      </c>
      <c r="Z7" t="str">
        <v>Alma mía, recobra tu calma</v>
      </c>
      <c r="AA7" t="str">
        <v>El Señor Dios nos amó</v>
      </c>
      <c r="AB7" t="str">
        <v>Evenu shalom alejem</v>
      </c>
      <c r="AD7" t="str">
        <v>Señor, guíame por el sendero</v>
      </c>
      <c r="AE7" t="str">
        <v>Donde tú dices ley</v>
      </c>
      <c r="AG7" t="str">
        <v>Tú y no yo</v>
      </c>
      <c r="AH7" t="str">
        <v>Llénanos, Señor, de tu paz</v>
      </c>
      <c r="AI7" t="str">
        <v>Gloria, gloria a Dios</v>
      </c>
      <c r="AJ7" t="str">
        <v>Danos paz</v>
      </c>
    </row>
    <row r="8" spans="1:36" x14ac:dyDescent="0.3">
      <c r="D8" t="str">
        <v>He venido a servir</v>
      </c>
      <c r="E8" t="str">
        <v>Ven, Espíritu</v>
      </c>
      <c r="F8" t="str">
        <v>Yo soy la luz del mundo</v>
      </c>
      <c r="G8" t="str">
        <v>Señor, Dios nuestro, restáuranos</v>
      </c>
      <c r="H8" t="str">
        <v>Sea</v>
      </c>
      <c r="I8" t="str">
        <v>Aleluya (I)</v>
      </c>
      <c r="J8" t="str">
        <v>Aclama al Señor tierra entera</v>
      </c>
      <c r="K8" t="str">
        <v>Somos un pueblo que camina</v>
      </c>
      <c r="L8" t="str">
        <v>Qué detalle, Señor</v>
      </c>
      <c r="M8" t="str">
        <v>Santo (Palazón)</v>
      </c>
      <c r="N8" t="str">
        <v>Pluma de escribano</v>
      </c>
      <c r="P8" t="str">
        <v>Deja tus redes</v>
      </c>
      <c r="Q8" t="str">
        <v>Donde hay caridad y amor</v>
      </c>
      <c r="R8" t="str">
        <v>En quién me fijaré</v>
      </c>
      <c r="S8" t="str">
        <v>Danos un corazón</v>
      </c>
      <c r="T8" t="str">
        <v>Necesitamos comer tu Pan</v>
      </c>
      <c r="U8" t="str">
        <v>El Señor os dará su Espíritu Santo</v>
      </c>
      <c r="V8" t="str">
        <v>Qué deseables</v>
      </c>
      <c r="W8" t="str">
        <v>Una tarde en la playa</v>
      </c>
      <c r="Z8" t="str">
        <v>Con vosotros está</v>
      </c>
      <c r="AA8" t="str">
        <v>El tren del Evangelio</v>
      </c>
      <c r="AB8" t="str">
        <v>Lléname, Señor</v>
      </c>
      <c r="AD8" t="str">
        <v>Todavía cantamos</v>
      </c>
      <c r="AE8" t="str">
        <v>Oh, Dios, por qué nos has abandonado</v>
      </c>
      <c r="AG8" t="str">
        <v>Tú me sondeas</v>
      </c>
      <c r="AH8" t="str">
        <v>Magnificat (canon)</v>
      </c>
      <c r="AI8" t="str">
        <v>Que tu palabra nos cambie el corazón</v>
      </c>
      <c r="AJ8" t="str">
        <v>Dime, niño</v>
      </c>
    </row>
    <row r="9" spans="1:36" x14ac:dyDescent="0.3">
      <c r="D9" t="str">
        <v>Palabra encarnada</v>
      </c>
      <c r="G9" t="str">
        <v>Ven, Señor, a nuestra vida</v>
      </c>
      <c r="H9" t="str">
        <v>Causa de tu providencia</v>
      </c>
      <c r="I9" t="str">
        <v>Santo (IV)</v>
      </c>
      <c r="J9" t="str">
        <v>Envía tu Espíritu, Señor</v>
      </c>
      <c r="K9" t="str">
        <v>Cantemos todos la Navidad</v>
      </c>
      <c r="M9" t="str">
        <v>Anunciamos tu muerte</v>
      </c>
      <c r="N9" t="str">
        <v>Nacidos de lo alto</v>
      </c>
      <c r="P9" t="str">
        <v>Ven, seréname</v>
      </c>
      <c r="Q9" t="str">
        <v>El Señor resucitó</v>
      </c>
      <c r="R9" t="str">
        <v>Gloriosa luz de Dios</v>
      </c>
      <c r="S9" t="str">
        <v>Dolorosa</v>
      </c>
      <c r="T9" t="str">
        <v>Perdóname, Señor</v>
      </c>
      <c r="U9" t="str">
        <v>Aleluya (Junto a ti, Jesús)</v>
      </c>
      <c r="V9" t="str">
        <v>Resucitó</v>
      </c>
      <c r="Z9" t="str">
        <v>Cordero de Dios (Manzano)</v>
      </c>
      <c r="AA9" t="str">
        <v>En el mar he oído hoy</v>
      </c>
      <c r="AB9" t="str">
        <v>Vamos, amigos</v>
      </c>
      <c r="AE9" t="str">
        <v>Os doy un mandato nuevo</v>
      </c>
      <c r="AG9" t="str">
        <v>Ten compasión</v>
      </c>
      <c r="AH9" t="str">
        <v>Por tu Cruz</v>
      </c>
      <c r="AI9" t="str">
        <v>Aleluya I</v>
      </c>
      <c r="AJ9" t="str">
        <v>El tamborilero</v>
      </c>
    </row>
    <row r="10" spans="1:36" x14ac:dyDescent="0.3">
      <c r="D10" t="str">
        <v>La mujer cananea</v>
      </c>
      <c r="H10" t="str">
        <v>En mi debilidad</v>
      </c>
      <c r="I10" t="str">
        <v>Somos hermanas en Cristo</v>
      </c>
      <c r="J10" t="str">
        <v>Aleluya I</v>
      </c>
      <c r="K10" t="str">
        <v>El Señor nos ha nacido en Belén</v>
      </c>
      <c r="M10" t="str">
        <v>Padre nuestro</v>
      </c>
      <c r="N10" t="str">
        <v>Por qué lloras</v>
      </c>
      <c r="P10" t="str">
        <v>Quiero verte</v>
      </c>
      <c r="Q10" t="str">
        <v>Esta es tu fiesta</v>
      </c>
      <c r="R10" t="str">
        <v>Me basta tu presencia y tu figura</v>
      </c>
      <c r="S10" t="str">
        <v>El Señor es mi fuerza</v>
      </c>
      <c r="T10" t="str">
        <v>Santo tú eres, Señor</v>
      </c>
      <c r="U10" t="str">
        <v>A tu lado, Señor</v>
      </c>
      <c r="V10" t="str">
        <v>Si estás buscando</v>
      </c>
      <c r="Z10" t="str">
        <v>Cuando el pobre nada tiene</v>
      </c>
      <c r="AA10" t="str">
        <v>En el Señor estamos congregados</v>
      </c>
      <c r="AB10" t="str">
        <v>El Señor nos llama y nos reúne</v>
      </c>
      <c r="AE10" t="str">
        <v>Donde hay amor allí está Dios</v>
      </c>
      <c r="AG10" t="str">
        <v>A fuego</v>
      </c>
      <c r="AH10" t="str">
        <v>Que todo el mundo alabe</v>
      </c>
      <c r="AI10" t="str">
        <v>Junto al vino y al pan</v>
      </c>
      <c r="AJ10" t="str">
        <v>Hacia Belén va una burra</v>
      </c>
    </row>
    <row r="11" spans="1:36" x14ac:dyDescent="0.3">
      <c r="D11" t="str">
        <v>El siervo</v>
      </c>
      <c r="H11" t="str">
        <v>No se hablan</v>
      </c>
      <c r="I11" t="str">
        <v>Llega la luz</v>
      </c>
      <c r="J11" t="str">
        <v>Habla, Señor, que tu siervo escucha</v>
      </c>
      <c r="K11" t="str">
        <v>Los magos vienen de Oriente</v>
      </c>
      <c r="M11" t="str">
        <v>Cordero de Dios</v>
      </c>
      <c r="N11" t="str">
        <v>Entre anestesias</v>
      </c>
      <c r="P11" t="str">
        <v>Ellos son tu rostro</v>
      </c>
      <c r="Q11" t="str">
        <v>Unidos en la fiesta</v>
      </c>
      <c r="R11" t="str">
        <v>Te cubriré</v>
      </c>
      <c r="S11" t="str">
        <v>En la comida que Cristo nos da</v>
      </c>
      <c r="T11" t="str">
        <v>Venimos a escuchar tu voz</v>
      </c>
      <c r="U11" t="str">
        <v>Canto de María</v>
      </c>
      <c r="V11" t="str">
        <v>Si lo que buscas</v>
      </c>
      <c r="Z11" t="str">
        <v>Cuándo vendrás, Señor</v>
      </c>
      <c r="AA11" t="str">
        <v>Esta es la noche de la luz</v>
      </c>
      <c r="AB11" t="str">
        <v>Te seguiré</v>
      </c>
      <c r="AE11" t="str">
        <v>Protégeme, Dios mío</v>
      </c>
      <c r="AG11" t="str">
        <v>Aprendiendo</v>
      </c>
      <c r="AH11" t="str">
        <v>El Señor es mi fortaleza</v>
      </c>
      <c r="AI11" t="str">
        <v>Santo (Están llenos de tu amor)</v>
      </c>
      <c r="AJ11" t="str">
        <v>Hoy en la tierra</v>
      </c>
    </row>
    <row r="12" spans="1:36" x14ac:dyDescent="0.3">
      <c r="D12" t="str">
        <v>La moneda perdida</v>
      </c>
      <c r="H12" t="str">
        <v>Libérame</v>
      </c>
      <c r="I12" t="str">
        <v>Me Ilamaste</v>
      </c>
      <c r="J12" t="str">
        <v>Palabra del Señor</v>
      </c>
      <c r="K12" t="str">
        <v>Vendrá la libertad</v>
      </c>
      <c r="M12" t="str">
        <v>Acerquémonos todos al altar</v>
      </c>
      <c r="N12" t="str">
        <v>Dime, Padre</v>
      </c>
      <c r="P12" t="str">
        <v>Más que el oro</v>
      </c>
      <c r="Q12" t="str">
        <v>Vamos buscando la verdad</v>
      </c>
      <c r="R12" t="str">
        <v>Ven y déjate llevar</v>
      </c>
      <c r="S12" t="str">
        <v>Errante voy</v>
      </c>
      <c r="U12" t="str">
        <v>Tú, Jesús</v>
      </c>
      <c r="V12" t="str">
        <v>Vino un hombre a nuestro mundo</v>
      </c>
      <c r="Z12" t="str">
        <v>Desde lo hondo</v>
      </c>
      <c r="AA12" t="str">
        <v>Gloria y alabanza</v>
      </c>
      <c r="AB12" t="str">
        <v>Contigo me la juego</v>
      </c>
      <c r="AE12" t="str">
        <v>Pueblo mío</v>
      </c>
      <c r="AG12" t="str">
        <v>Alianza</v>
      </c>
      <c r="AH12" t="str">
        <v>Te adoramos</v>
      </c>
      <c r="AI12" t="str">
        <v>Traerás la paz</v>
      </c>
      <c r="AJ12" t="str">
        <v>La marimorena</v>
      </c>
    </row>
    <row r="13" spans="1:36" x14ac:dyDescent="0.3">
      <c r="D13" t="str">
        <v>Señor mío y Dios mío</v>
      </c>
      <c r="H13" t="str">
        <v>Si no tengo amor</v>
      </c>
      <c r="I13" t="str">
        <v>La noche ya se acerca</v>
      </c>
      <c r="J13" t="str">
        <v>Tu Palabra, Señor, es la verdad</v>
      </c>
      <c r="K13" t="str">
        <v>Somos un solo cuerpo</v>
      </c>
      <c r="M13" t="str">
        <v>Anunciando tu venida</v>
      </c>
      <c r="N13" t="str">
        <v>Exulte mi alma</v>
      </c>
      <c r="P13" t="str">
        <v>Mi roca</v>
      </c>
      <c r="R13" t="str">
        <v>Ven y descánsate</v>
      </c>
      <c r="S13" t="str">
        <v>Escucha nuestros gritos en la noche</v>
      </c>
      <c r="U13" t="str">
        <v>Confianza en Dios</v>
      </c>
      <c r="Z13" t="str">
        <v>El pueblo gime en el dolor</v>
      </c>
      <c r="AA13" t="str">
        <v>Hoy empieza una nueva era</v>
      </c>
      <c r="AB13" t="str">
        <v>Acaso no estoy yo aquí que soy tu madre</v>
      </c>
      <c r="AE13" t="str">
        <v>Te ensalzaré, Señor</v>
      </c>
      <c r="AG13" t="str">
        <v>Gracias</v>
      </c>
      <c r="AH13" t="str">
        <v>Cantaré al Señor</v>
      </c>
      <c r="AI13" t="str">
        <v>Da la paz al mundo</v>
      </c>
      <c r="AJ13" t="str">
        <v>La mula</v>
      </c>
    </row>
    <row r="14" spans="1:36" x14ac:dyDescent="0.3">
      <c r="D14" t="str">
        <v>Dame una palabra</v>
      </c>
      <c r="H14" t="str">
        <v>Vejados y abatidos</v>
      </c>
      <c r="I14" t="str">
        <v>En el nombre del Padre</v>
      </c>
      <c r="J14" t="str">
        <v>Aclamad el misterio</v>
      </c>
      <c r="M14" t="str">
        <v>Junto a los canales de Babilonia</v>
      </c>
      <c r="N14" t="str">
        <v>Un sitio</v>
      </c>
      <c r="P14" t="str">
        <v>Danos pastores</v>
      </c>
      <c r="S14" t="str">
        <v>Este es el día del Señor</v>
      </c>
      <c r="U14" t="str">
        <v>En la esperanza, Madre</v>
      </c>
      <c r="Z14" t="str">
        <v>Este es el día en que actuó el Señor</v>
      </c>
      <c r="AA14" t="str">
        <v>La paz te doy</v>
      </c>
      <c r="AB14" t="str">
        <v>Todo es tuyo</v>
      </c>
      <c r="AE14" t="str">
        <v>Con su muerte nos justificará</v>
      </c>
      <c r="AG14" t="str">
        <v>Dios de la Historia</v>
      </c>
      <c r="AH14" t="str">
        <v>Protégeme, Dios</v>
      </c>
      <c r="AI14" t="str">
        <v>Padre nuestro, padre nuestro</v>
      </c>
      <c r="AJ14" t="str">
        <v>Los peces en el río</v>
      </c>
    </row>
    <row r="15" spans="1:36" x14ac:dyDescent="0.3">
      <c r="D15" t="str">
        <v>Somos del Señor</v>
      </c>
      <c r="H15" t="str">
        <v>Cuánto dura el amor</v>
      </c>
      <c r="I15" t="str">
        <v>Alaba al Señor, alma mía</v>
      </c>
      <c r="J15" t="str">
        <v>Cristo se entregó por nosotros</v>
      </c>
      <c r="M15" t="str">
        <v>Dichoso quien se acuerda del hermano</v>
      </c>
      <c r="N15" t="str">
        <v>El arte de vivir</v>
      </c>
      <c r="P15" t="str">
        <v>Cinco panes y dos peces</v>
      </c>
      <c r="S15" t="str">
        <v>Feliz el hombre</v>
      </c>
      <c r="U15" t="str">
        <v>Con sencillo corazón</v>
      </c>
      <c r="Z15" t="str">
        <v>La tierra que hoy pisamos</v>
      </c>
      <c r="AA15" t="str">
        <v>Letanías</v>
      </c>
      <c r="AB15" t="str">
        <v>Shalom, te doy la paz</v>
      </c>
      <c r="AG15" t="str">
        <v>Para estar contigo</v>
      </c>
      <c r="AH15" t="str">
        <v>Yo ya sé qué veré</v>
      </c>
      <c r="AI15" t="str">
        <v>Jesús, ven tú</v>
      </c>
      <c r="AJ15" t="str">
        <v>Nace el niño en un portal</v>
      </c>
    </row>
    <row r="16" spans="1:36" x14ac:dyDescent="0.3">
      <c r="D16" t="str">
        <v>Fuertes, humildes y diligentes</v>
      </c>
      <c r="H16" t="str">
        <v>Tú, mi pilar</v>
      </c>
      <c r="I16" t="str">
        <v>Aleluya (III)</v>
      </c>
      <c r="J16" t="str">
        <v>Cordero de Dios</v>
      </c>
      <c r="M16" t="str">
        <v>Señor, escucha mi oración</v>
      </c>
      <c r="N16" t="str">
        <v>Mi amado</v>
      </c>
      <c r="P16" t="str">
        <v>Ven a mí</v>
      </c>
      <c r="S16" t="str">
        <v>Madre de todos los hombres</v>
      </c>
      <c r="U16" t="str">
        <v>Fraternidad</v>
      </c>
      <c r="Z16" t="str">
        <v>Levanto mis ojos a los montes</v>
      </c>
      <c r="AA16" t="str">
        <v>Llevad la buena noticia</v>
      </c>
      <c r="AB16" t="str">
        <v>Sálvame</v>
      </c>
      <c r="AG16" t="str">
        <v>No lo notáis</v>
      </c>
      <c r="AH16" t="str">
        <v>Un canto nuevo</v>
      </c>
      <c r="AI16" t="str">
        <v>María, María</v>
      </c>
      <c r="AJ16" t="str">
        <v>Noche de Dios</v>
      </c>
    </row>
    <row r="17" spans="4:36" x14ac:dyDescent="0.3">
      <c r="D17" t="str">
        <v>Ain Karem</v>
      </c>
      <c r="H17" t="str">
        <v>Qué mas quieres</v>
      </c>
      <c r="I17" t="str">
        <v>Tú eres el Dios de los pobres</v>
      </c>
      <c r="J17" t="str">
        <v>Esperamos tu venida</v>
      </c>
      <c r="M17" t="str">
        <v>Es bueno dar gracias al Señor</v>
      </c>
      <c r="N17" t="str">
        <v>La fila</v>
      </c>
      <c r="P17" t="str">
        <v>Morir</v>
      </c>
      <c r="S17" t="str">
        <v>Nacidos de la luz</v>
      </c>
      <c r="U17" t="str">
        <v>Mantas de cartón</v>
      </c>
      <c r="Z17" t="str">
        <v>Mirad al suelo</v>
      </c>
      <c r="AA17" t="str">
        <v>María, madre nuestra</v>
      </c>
      <c r="AB17" t="str">
        <v>Al que está sentado en el trono y al cordero</v>
      </c>
      <c r="AG17" t="str">
        <v>Mírame</v>
      </c>
      <c r="AH17" t="str">
        <v>Ten piedad, Señor 20</v>
      </c>
      <c r="AI17" t="str">
        <v>Bienvenidos</v>
      </c>
      <c r="AJ17" t="str">
        <v>Noche de paz</v>
      </c>
    </row>
    <row r="18" spans="4:36" x14ac:dyDescent="0.3">
      <c r="D18" t="str">
        <v>Te basta mi gracia</v>
      </c>
      <c r="H18" t="str">
        <v>Cincuenta</v>
      </c>
      <c r="I18" t="str">
        <v>Viva la gente</v>
      </c>
      <c r="J18" t="str">
        <v>Alégrese el cielo</v>
      </c>
      <c r="M18" t="str">
        <v>El cielo proclama la gloria de Dios</v>
      </c>
      <c r="N18" t="str">
        <v>Loco</v>
      </c>
      <c r="P18" t="str">
        <v>Mi vida es Cristo</v>
      </c>
      <c r="S18" t="str">
        <v>No podemos caminar (Hambre de Dios)</v>
      </c>
      <c r="U18" t="str">
        <v>Soñar un mundo más feliz</v>
      </c>
      <c r="Z18" t="str">
        <v>Porque el mundo está lleno de misterios</v>
      </c>
      <c r="AA18" t="str">
        <v>No me mueve</v>
      </c>
      <c r="AB18" t="str">
        <v>Aleluya, demos gracias</v>
      </c>
      <c r="AG18" t="str">
        <v>Suelta el timón</v>
      </c>
      <c r="AH18" t="str">
        <v>Tú, luz del mundo</v>
      </c>
      <c r="AI18" t="str">
        <v>Señor, ten piedad II</v>
      </c>
      <c r="AJ18" t="str">
        <v>Nunca suenan las campanas</v>
      </c>
    </row>
    <row r="19" spans="4:36" x14ac:dyDescent="0.3">
      <c r="D19" t="str">
        <v>Poneos en pie</v>
      </c>
      <c r="H19" t="str">
        <v>Padre y madre</v>
      </c>
      <c r="I19" t="str">
        <v>Cristo nos une en torno a su altar</v>
      </c>
      <c r="J19" t="str">
        <v>Dios no quiere la muerte</v>
      </c>
      <c r="M19" t="str">
        <v>Dad gracias al Señor</v>
      </c>
      <c r="N19" t="str">
        <v>No te vas</v>
      </c>
      <c r="P19" t="str">
        <v>Sólo el amor</v>
      </c>
      <c r="S19" t="str">
        <v>No, yo no dejo la tierra</v>
      </c>
      <c r="U19" t="str">
        <v>Somos canción</v>
      </c>
      <c r="Z19" t="str">
        <v>Qué alegría cuando me dijeron</v>
      </c>
      <c r="AA19" t="str">
        <v>No quiero alejarme de ti</v>
      </c>
      <c r="AB19" t="str">
        <v>Con mis manos alzadas</v>
      </c>
      <c r="AG19" t="str">
        <v>Quiero confiar</v>
      </c>
      <c r="AH19" t="str">
        <v>Cristo es Espíritu y Dios</v>
      </c>
      <c r="AI19" t="str">
        <v>Gloria (por pintar amaneceres)</v>
      </c>
      <c r="AJ19" t="str">
        <v>Pastores, venid</v>
      </c>
    </row>
    <row r="20" spans="4:36" x14ac:dyDescent="0.3">
      <c r="D20" t="str">
        <v>Sé mi luz</v>
      </c>
      <c r="H20" t="str">
        <v>Sé fiel</v>
      </c>
      <c r="I20" t="str">
        <v>Ante ti, Señor</v>
      </c>
      <c r="J20" t="str">
        <v>Cristo resucitó (I)</v>
      </c>
      <c r="M20" t="str">
        <v>Llena está la tierra de tus criaturas</v>
      </c>
      <c r="N20" t="str">
        <v>Nada</v>
      </c>
      <c r="P20" t="str">
        <v>Como María</v>
      </c>
      <c r="S20" t="str">
        <v>Perdón, Señor, perdón</v>
      </c>
      <c r="U20" t="str">
        <v>Ten piedad de mí</v>
      </c>
      <c r="Z20" t="str">
        <v>Sacaréis aguas con gozo</v>
      </c>
      <c r="AA20" t="str">
        <v>No vayáis a la fiesta</v>
      </c>
      <c r="AB20" t="str">
        <v>Santo (Gen Rosso)</v>
      </c>
      <c r="AG20" t="str">
        <v>Soy de ti</v>
      </c>
      <c r="AH20" t="str">
        <v>Dios, muéstrame tu senda</v>
      </c>
      <c r="AI20" t="str">
        <v>Tu palabra se hace vida</v>
      </c>
      <c r="AJ20" t="str">
        <v>Venid, fieles todos (adeste fideles)</v>
      </c>
    </row>
    <row r="21" spans="4:36" x14ac:dyDescent="0.3">
      <c r="D21" t="str">
        <v>Cómo podré pagarte</v>
      </c>
      <c r="H21" t="str">
        <v>Donde tú quieras</v>
      </c>
      <c r="I21" t="str">
        <v>Cristo es la imagen de Dios</v>
      </c>
      <c r="J21" t="str">
        <v>Id por el mundo</v>
      </c>
      <c r="M21" t="str">
        <v>El auxilio me viene del Señor</v>
      </c>
      <c r="N21" t="str">
        <v>Trueno</v>
      </c>
      <c r="P21" t="str">
        <v>Todos uno</v>
      </c>
      <c r="S21" t="str">
        <v>Por ti, mi Dios</v>
      </c>
      <c r="U21" t="str">
        <v>Gloria</v>
      </c>
      <c r="Z21" t="str">
        <v>Tu Reino es vida</v>
      </c>
      <c r="AA21" t="str">
        <v>Oh, Señor, mueve mi espíritu</v>
      </c>
      <c r="AB21" t="str">
        <v>Tierra firme (Getsemaní)</v>
      </c>
      <c r="AG21" t="str">
        <v>Tuya y nueva</v>
      </c>
      <c r="AH21" t="str">
        <v>Ven, Espíritu (canon)</v>
      </c>
      <c r="AI21" t="str">
        <v>Aleluya II</v>
      </c>
      <c r="AJ21" t="str">
        <v>Ya vienen los Reyes Magos</v>
      </c>
    </row>
    <row r="22" spans="4:36" x14ac:dyDescent="0.3">
      <c r="D22" t="str">
        <v>Palabras de vida</v>
      </c>
      <c r="H22" t="str">
        <v>Renacer en libertad</v>
      </c>
      <c r="I22" t="str">
        <v>Cristo se entregó por nosotros</v>
      </c>
      <c r="J22" t="str">
        <v>Al atardecer de la vida</v>
      </c>
      <c r="M22" t="str">
        <v>Quién puede entrar en tu templo</v>
      </c>
      <c r="N22" t="str">
        <v>El Rey de la Gloria</v>
      </c>
      <c r="P22" t="str">
        <v>Nada</v>
      </c>
      <c r="S22" t="str">
        <v>Qué ves en la noche</v>
      </c>
      <c r="U22" t="str">
        <v>Aleluya</v>
      </c>
      <c r="AA22" t="str">
        <v>Padre nuestro (mexicano)</v>
      </c>
      <c r="AB22" t="str">
        <v>Brilla, Jesús</v>
      </c>
      <c r="AG22" t="str">
        <v>No os preocupéis</v>
      </c>
      <c r="AH22" t="str">
        <v>Oh, Dios, tú, Dios mío (canon)</v>
      </c>
      <c r="AI22" t="str">
        <v>Te ofrecemos</v>
      </c>
    </row>
    <row r="23" spans="4:36" x14ac:dyDescent="0.3">
      <c r="D23" t="str">
        <v>Seducida</v>
      </c>
      <c r="H23" t="str">
        <v>Quién puede amar</v>
      </c>
      <c r="I23" t="str">
        <v>Escucha tú la Palabra de Dios</v>
      </c>
      <c r="J23" t="str">
        <v>Concédele, Señor, el descanso eterno</v>
      </c>
      <c r="M23" t="str">
        <v>Alabad, siervos de Dios</v>
      </c>
      <c r="N23" t="str">
        <v>Al estar en la presencia</v>
      </c>
      <c r="P23" t="str">
        <v>Donde esté yo</v>
      </c>
      <c r="S23" t="str">
        <v>Quédate con nosotros</v>
      </c>
      <c r="U23" t="str">
        <v>Estoy creyendo en ti (credo)</v>
      </c>
      <c r="AA23" t="str">
        <v>Para el que sabe</v>
      </c>
      <c r="AB23" t="str">
        <v>Seduce mi corazón</v>
      </c>
      <c r="AG23" t="str">
        <v>Sabes bien</v>
      </c>
      <c r="AH23" t="str">
        <v>Dentro llevas la fuente de vida</v>
      </c>
      <c r="AI23" t="str">
        <v>Santo (Hosanna en el Cielo al Señor)</v>
      </c>
    </row>
    <row r="24" spans="4:36" x14ac:dyDescent="0.3">
      <c r="D24" t="str">
        <v>Escucha</v>
      </c>
      <c r="H24" t="str">
        <v>Y allí estás tú</v>
      </c>
      <c r="I24" t="str">
        <v>Dios nos convoca</v>
      </c>
      <c r="J24" t="str">
        <v>Que los ángeles te lleven</v>
      </c>
      <c r="M24" t="str">
        <v>Que en nuestros días reine la paz</v>
      </c>
      <c r="N24" t="str">
        <v>Enciéndeme</v>
      </c>
      <c r="P24" t="str">
        <v>Fíate</v>
      </c>
      <c r="S24" t="str">
        <v>Santa María del Camino</v>
      </c>
      <c r="U24" t="str">
        <v>Conviviendo en armonía</v>
      </c>
      <c r="AA24" t="str">
        <v>Paz, Señor, en el cielo y la tierra</v>
      </c>
      <c r="AB24" t="str">
        <v>Enamórame de ti</v>
      </c>
      <c r="AG24" t="str">
        <v>Alegraos</v>
      </c>
      <c r="AH24" t="str">
        <v>A quién iremos, Señor</v>
      </c>
      <c r="AI24" t="str">
        <v>Padre nuestro II</v>
      </c>
    </row>
    <row r="25" spans="4:36" x14ac:dyDescent="0.3">
      <c r="D25" t="str">
        <v>Ruah</v>
      </c>
      <c r="H25" t="str">
        <v>Fuente viva</v>
      </c>
      <c r="I25" t="str">
        <v>Preparad el camino al Señor</v>
      </c>
      <c r="J25" t="str">
        <v>Morimos para vivir</v>
      </c>
      <c r="M25" t="str">
        <v>Contra ti solo pequé</v>
      </c>
      <c r="N25" t="str">
        <v>Tomad, comed</v>
      </c>
      <c r="P25" t="str">
        <v>Tú eres mi fuerza</v>
      </c>
      <c r="S25" t="str">
        <v>Señor, tú que brillas</v>
      </c>
      <c r="U25" t="str">
        <v>Padre nuestro II</v>
      </c>
      <c r="AA25" t="str">
        <v>Pon tu mano</v>
      </c>
      <c r="AB25" t="str">
        <v>Algo está cayendo aquí</v>
      </c>
      <c r="AG25" t="str">
        <v>Envíanos sin miedo</v>
      </c>
      <c r="AH25" t="str">
        <v>Cristo Jesús</v>
      </c>
      <c r="AI25" t="str">
        <v>Danos paz</v>
      </c>
    </row>
    <row r="26" spans="4:36" x14ac:dyDescent="0.3">
      <c r="D26" t="str">
        <v>No guardes tu vida</v>
      </c>
      <c r="H26" t="str">
        <v>Envíame</v>
      </c>
      <c r="I26" t="str">
        <v>Abre tu tienda al Señor</v>
      </c>
      <c r="J26" t="str">
        <v>Abridme las puertas del triunfo</v>
      </c>
      <c r="M26" t="str">
        <v>Cantaré eternamente (II)</v>
      </c>
      <c r="N26" t="str">
        <v>Deseo</v>
      </c>
      <c r="P26" t="str">
        <v>Al otro lado del mar</v>
      </c>
      <c r="S26" t="str">
        <v>Te damos gracias, Señor</v>
      </c>
      <c r="U26" t="str">
        <v>Te agradezco</v>
      </c>
      <c r="AA26" t="str">
        <v>Por los hombres</v>
      </c>
      <c r="AB26" t="str">
        <v>Se fue pero a nuestro lado está</v>
      </c>
      <c r="AG26" t="str">
        <v>Aquí y ahora</v>
      </c>
      <c r="AH26" t="str">
        <v>Que alabe al Señor</v>
      </c>
      <c r="AI26" t="str">
        <v>Hoy, Jesús, vendrás a mí</v>
      </c>
    </row>
    <row r="27" spans="4:36" x14ac:dyDescent="0.3">
      <c r="D27" t="str">
        <v>Atráeme</v>
      </c>
      <c r="H27" t="str">
        <v>Uno en el amor</v>
      </c>
      <c r="I27" t="str">
        <v>Dios te salve, María</v>
      </c>
      <c r="J27" t="str">
        <v>No he de morir, viviré</v>
      </c>
      <c r="M27" t="str">
        <v>Acuérdate, Señor</v>
      </c>
      <c r="N27" t="str">
        <v>Bien amado Señor</v>
      </c>
      <c r="P27" t="str">
        <v>Y mientras</v>
      </c>
      <c r="S27" t="str">
        <v>Tú eres el Dios que nos salva</v>
      </c>
      <c r="U27" t="str">
        <v>Escucha, María</v>
      </c>
      <c r="AA27" t="str">
        <v>Salve, Madre</v>
      </c>
      <c r="AB27" t="str">
        <v>Mejor que vida es tu misericordia</v>
      </c>
      <c r="AG27" t="str">
        <v>Te seguiré llamando</v>
      </c>
      <c r="AH27" t="str">
        <v>Bendecid al Señor</v>
      </c>
      <c r="AI27" t="str">
        <v>Familia de Dios</v>
      </c>
    </row>
    <row r="28" spans="4:36" x14ac:dyDescent="0.3">
      <c r="D28" t="str">
        <v>Dios de la historia, bendice</v>
      </c>
      <c r="H28" t="str">
        <v>Agua, lávame</v>
      </c>
      <c r="I28" t="str">
        <v>Llegó la noche</v>
      </c>
      <c r="J28" t="str">
        <v>Yo soy el pan de la vida</v>
      </c>
      <c r="M28" t="str">
        <v>Pidamos al Señor</v>
      </c>
      <c r="N28" t="str">
        <v>Qué bien se está cuando se está bien</v>
      </c>
      <c r="P28" t="str">
        <v>Renovaos</v>
      </c>
      <c r="S28" t="str">
        <v>Tu Palabra me da vida</v>
      </c>
      <c r="U28" t="str">
        <v>Rezar no es otra cosa</v>
      </c>
      <c r="AA28" t="str">
        <v>Santo (Santo Domingo de Silos)</v>
      </c>
      <c r="AB28" t="str">
        <v>Hacia ti, morada santa</v>
      </c>
      <c r="AG28" t="str">
        <v>No volverá vacía</v>
      </c>
      <c r="AH28" t="str">
        <v>Qué bueno es confiar en ti</v>
      </c>
      <c r="AI28" t="str">
        <v>Ave María</v>
      </c>
    </row>
    <row r="29" spans="4:36" x14ac:dyDescent="0.3">
      <c r="D29" t="str">
        <v>Levantad las piedras</v>
      </c>
      <c r="H29" t="str">
        <v>Sé que voy contigo</v>
      </c>
      <c r="I29" t="str">
        <v>Tened encendida la lámpara</v>
      </c>
      <c r="J29" t="str">
        <v>Yo soy la resurrección y la vida</v>
      </c>
      <c r="M29" t="str">
        <v>Tu Palabra, Señor, es gozo</v>
      </c>
      <c r="N29" t="str">
        <v>Libertad</v>
      </c>
      <c r="P29" t="str">
        <v>Agujas del reloj</v>
      </c>
      <c r="S29" t="str">
        <v>Un pueblo que camina por el mundo</v>
      </c>
      <c r="U29" t="str">
        <v>Jesús te ama</v>
      </c>
      <c r="AA29" t="str">
        <v>Santo eres, Señor, Dios nuestro</v>
      </c>
      <c r="AB29" t="str">
        <v>Aleluya (Cohen)</v>
      </c>
      <c r="AG29" t="str">
        <v>Grietas</v>
      </c>
      <c r="AH29" t="str">
        <v>Jesús, acuérdate de mí</v>
      </c>
      <c r="AI29" t="str">
        <v>Siempre estuviste aquí (Almudena)</v>
      </c>
    </row>
    <row r="30" spans="4:36" x14ac:dyDescent="0.3">
      <c r="D30" t="str">
        <v>Aleluya</v>
      </c>
      <c r="H30" t="str">
        <v>Nada nos separará</v>
      </c>
      <c r="I30" t="str">
        <v>Más allá, las redes más allá</v>
      </c>
      <c r="J30" t="str">
        <v>Dichosos los que mueren en el Señor</v>
      </c>
      <c r="M30" t="str">
        <v>Vuelve hacia nosotros</v>
      </c>
      <c r="N30" t="str">
        <v>Tan cerca</v>
      </c>
      <c r="P30" t="str">
        <v>Dejarme hacer</v>
      </c>
      <c r="S30" t="str">
        <v>Una ciudad para todos</v>
      </c>
      <c r="U30" t="str">
        <v>Cántico de las criaturas</v>
      </c>
      <c r="AA30" t="str">
        <v>Santo es el Señor</v>
      </c>
      <c r="AB30" t="str">
        <v>Entra en el corazón de Dios</v>
      </c>
      <c r="AG30" t="str">
        <v>En parábolas</v>
      </c>
      <c r="AH30" t="str">
        <v>Alégrate y goza en el Señor</v>
      </c>
      <c r="AI30" t="str">
        <v>Viviremos firmes en la fe</v>
      </c>
    </row>
    <row r="31" spans="4:36" x14ac:dyDescent="0.3">
      <c r="D31" t="str">
        <v>Tú eres mi bien</v>
      </c>
      <c r="H31" t="str">
        <v>Señor, mírame</v>
      </c>
      <c r="I31" t="str">
        <v>Cerca está el Señor</v>
      </c>
      <c r="J31" t="str">
        <v>El descanso eterno</v>
      </c>
      <c r="M31" t="str">
        <v>De la gloria del Señor llena está la tierra</v>
      </c>
      <c r="N31" t="str">
        <v>Hoy te dejo</v>
      </c>
      <c r="P31" t="str">
        <v>La razón</v>
      </c>
      <c r="S31" t="str">
        <v>Unidos a todos los pueblos</v>
      </c>
      <c r="U31" t="str">
        <v>Ya no te queda tiempo</v>
      </c>
      <c r="AA31" t="str">
        <v>Santo zaireño</v>
      </c>
      <c r="AB31" t="str">
        <v>Dijiste sí</v>
      </c>
      <c r="AG31" t="str">
        <v>Óyeme</v>
      </c>
      <c r="AH31" t="str">
        <v>Tu palabra alumbra</v>
      </c>
      <c r="AI31" t="str">
        <v>Vía Crucis Introducción</v>
      </c>
    </row>
    <row r="32" spans="4:36" x14ac:dyDescent="0.3">
      <c r="D32" t="str">
        <v>Desde abajo</v>
      </c>
      <c r="H32" t="str">
        <v>Ten piedad</v>
      </c>
      <c r="I32" t="str">
        <v>Arriésgate</v>
      </c>
      <c r="J32" t="str">
        <v>Recibe a tu siervo</v>
      </c>
      <c r="M32" t="str">
        <v>Te damos gracias, Señor</v>
      </c>
      <c r="N32" t="str">
        <v>Pasión de Dios</v>
      </c>
      <c r="P32" t="str">
        <v>Acércate</v>
      </c>
      <c r="S32" t="str">
        <v>Vamos cantando al Señor</v>
      </c>
      <c r="U32" t="str">
        <v>Padre de las misericordias</v>
      </c>
      <c r="AA32" t="str">
        <v>Se acerca tu Navidad</v>
      </c>
      <c r="AB32" t="str">
        <v>Petrus (In illo uno unum)</v>
      </c>
      <c r="AG32" t="str">
        <v>Bosque</v>
      </c>
      <c r="AH32" t="str">
        <v>Feliz quien se abandona</v>
      </c>
      <c r="AI32" t="str">
        <v>Via Crucis I Jesús cautivo</v>
      </c>
    </row>
    <row r="33" spans="4:35" x14ac:dyDescent="0.3">
      <c r="D33" t="str">
        <v>Como la cierva</v>
      </c>
      <c r="H33" t="str">
        <v>He oído tu voz</v>
      </c>
      <c r="I33" t="str">
        <v>Aleluya, es la fiesta del Señor</v>
      </c>
      <c r="J33" t="str">
        <v>Vive con Cristo</v>
      </c>
      <c r="M33" t="str">
        <v>Escucha, Señor</v>
      </c>
      <c r="N33" t="str">
        <v>Bendita sea tu pureza</v>
      </c>
      <c r="P33" t="str">
        <v>Por qué</v>
      </c>
      <c r="U33" t="str">
        <v>Te alabo, Señor</v>
      </c>
      <c r="AA33" t="str">
        <v>Señor, ten piedad de nosotros</v>
      </c>
      <c r="AB33" t="str">
        <v>Ungidos</v>
      </c>
      <c r="AG33" t="str">
        <v>Nuestro lugar</v>
      </c>
      <c r="AH33" t="str">
        <v>El Señor, que viene en mi ayuda</v>
      </c>
      <c r="AI33" t="str">
        <v>Via Crucis II Jesús carga con la Cruz</v>
      </c>
    </row>
    <row r="34" spans="4:35" x14ac:dyDescent="0.3">
      <c r="D34" t="str">
        <v>Sólo Tú</v>
      </c>
      <c r="H34" t="str">
        <v>Pan y vino de amor</v>
      </c>
      <c r="I34" t="str">
        <v>Este pan y vino</v>
      </c>
      <c r="J34" t="str">
        <v>En los brazos de Dios</v>
      </c>
      <c r="M34" t="str">
        <v>Cuando bajas, Señor</v>
      </c>
      <c r="N34" t="str">
        <v>Tu misericordia</v>
      </c>
      <c r="P34" t="str">
        <v>Una vez más</v>
      </c>
      <c r="U34" t="str">
        <v>El don de la fraternidad</v>
      </c>
      <c r="AA34" t="str">
        <v>Shalom haberim</v>
      </c>
      <c r="AB34" t="str">
        <v>Alégrate</v>
      </c>
      <c r="AG34" t="str">
        <v>A tu medida</v>
      </c>
      <c r="AH34" t="str">
        <v>Sé sal que sala</v>
      </c>
      <c r="AI34" t="str">
        <v>Via Crucis III Jesús cae por primera vez</v>
      </c>
    </row>
    <row r="35" spans="4:35" x14ac:dyDescent="0.3">
      <c r="D35" t="str">
        <v>Sed felices</v>
      </c>
      <c r="H35" t="str">
        <v>Santo</v>
      </c>
      <c r="I35" t="str">
        <v>Creo en Jesús</v>
      </c>
      <c r="J35" t="str">
        <v>Los que a la pobreza</v>
      </c>
      <c r="M35" t="str">
        <v>Bendigamos al Señor</v>
      </c>
      <c r="N35" t="str">
        <v>Quiero cenar contigo</v>
      </c>
      <c r="P35" t="str">
        <v>El labrador</v>
      </c>
      <c r="U35" t="str">
        <v>Jesús es verdad</v>
      </c>
      <c r="AA35" t="str">
        <v>Si Dios a su mesa nos quiere sentar</v>
      </c>
      <c r="AB35" t="str">
        <v>Cristo, heme aquí</v>
      </c>
      <c r="AG35" t="str">
        <v>Mayor que todo</v>
      </c>
      <c r="AH35" t="str">
        <v>Donde hay amor</v>
      </c>
      <c r="AI35" t="str">
        <v>Via Crucis IV Jesús se encuentra con su madre</v>
      </c>
    </row>
    <row r="36" spans="4:35" x14ac:dyDescent="0.3">
      <c r="D36" t="str">
        <v>Ten piedad</v>
      </c>
      <c r="H36" t="str">
        <v>Padre nuestro</v>
      </c>
      <c r="I36" t="str">
        <v>Cristo fue sincero</v>
      </c>
      <c r="J36" t="str">
        <v>Tú nos dijiste que la muerte</v>
      </c>
      <c r="M36" t="str">
        <v>Os doy un mandato nuevo</v>
      </c>
      <c r="N36" t="str">
        <v>Un paso más</v>
      </c>
      <c r="P36" t="str">
        <v>María, enséñame</v>
      </c>
      <c r="U36" t="str">
        <v>Niño</v>
      </c>
      <c r="AA36" t="str">
        <v>Ten piedad de mi, Señor</v>
      </c>
      <c r="AB36" t="str">
        <v>Alza la mirada</v>
      </c>
      <c r="AG36" t="str">
        <v>Seas</v>
      </c>
      <c r="AH36" t="str">
        <v>Cristo ha resucitado (canon)</v>
      </c>
      <c r="AI36" t="str">
        <v>Via Crucis V El Cireneo</v>
      </c>
    </row>
    <row r="37" spans="4:35" x14ac:dyDescent="0.3">
      <c r="D37" t="str">
        <v>Busca mi rostro</v>
      </c>
      <c r="H37" t="str">
        <v>Ven junto a mí</v>
      </c>
      <c r="I37" t="str">
        <v>Cristo nos da la libertad</v>
      </c>
      <c r="J37" t="str">
        <v>La alegría en el perdón</v>
      </c>
      <c r="M37" t="str">
        <v>El Señor es mi luz y mi salvación</v>
      </c>
      <c r="N37" t="str">
        <v>Cuatro vientos</v>
      </c>
      <c r="P37" t="str">
        <v>Mucho más</v>
      </c>
      <c r="U37" t="str">
        <v>Una vida</v>
      </c>
      <c r="AA37" t="str">
        <v>Un nuevo sitio disponed</v>
      </c>
      <c r="AB37" t="str">
        <v>Aleluya, yo creo en tu amor</v>
      </c>
      <c r="AG37" t="str">
        <v>Brasas</v>
      </c>
      <c r="AH37" t="str">
        <v>Dios de la vida</v>
      </c>
      <c r="AI37" t="str">
        <v>Via Crucis VI La Verónica</v>
      </c>
    </row>
    <row r="38" spans="4:35" x14ac:dyDescent="0.3">
      <c r="D38" t="str">
        <v>Señor de la sabiduría</v>
      </c>
      <c r="H38" t="str">
        <v>Nadie contestó</v>
      </c>
      <c r="I38" t="str">
        <v>Nochebuena, nochebuena</v>
      </c>
      <c r="J38" t="str">
        <v>El joven rico</v>
      </c>
      <c r="M38" t="str">
        <v>El alzar de mis manos</v>
      </c>
      <c r="N38" t="str">
        <v>Siempre imaginé</v>
      </c>
      <c r="P38" t="str">
        <v>Caminaré hoy en tu presencia</v>
      </c>
      <c r="U38" t="str">
        <v>Dios en la ciudad</v>
      </c>
      <c r="AA38" t="str">
        <v>Vive tu amor en mí</v>
      </c>
      <c r="AB38" t="str">
        <v>Pregón Pascual (neocatecumenal)</v>
      </c>
      <c r="AG38" t="str">
        <v>De ida y vuelta</v>
      </c>
      <c r="AH38" t="str">
        <v>Bendito el que viene (canon)</v>
      </c>
      <c r="AI38" t="str">
        <v>Via Crucis VII Jesús cae por segunda vez</v>
      </c>
    </row>
    <row r="39" spans="4:35" x14ac:dyDescent="0.3">
      <c r="D39" t="str">
        <v>Descansa en ti su mirada</v>
      </c>
      <c r="H39" t="str">
        <v>Tras las huellas del Padre</v>
      </c>
      <c r="I39" t="str">
        <v>Hoy vuelvo de lejos</v>
      </c>
      <c r="J39" t="str">
        <v>Tuve hambre y me diste de comer</v>
      </c>
      <c r="M39" t="str">
        <v>Cántico de Daniel</v>
      </c>
      <c r="N39" t="str">
        <v>Que no se pierda ninguno</v>
      </c>
      <c r="P39" t="str">
        <v>Dame, Señor</v>
      </c>
      <c r="U39" t="str">
        <v>Somos una familia</v>
      </c>
      <c r="AA39" t="str">
        <v>Volar</v>
      </c>
      <c r="AB39" t="str">
        <v>Te doy mi corazón</v>
      </c>
      <c r="AG39" t="str">
        <v>Mañana</v>
      </c>
      <c r="AH39" t="str">
        <v>Deja ahora</v>
      </c>
      <c r="AI39" t="str">
        <v>Via Crucis VIII Jesús consuela a las mujeres</v>
      </c>
    </row>
    <row r="40" spans="4:35" x14ac:dyDescent="0.3">
      <c r="D40" t="str">
        <v>El amor</v>
      </c>
      <c r="H40" t="str">
        <v>Tierra</v>
      </c>
      <c r="I40" t="str">
        <v>Compartir junto al Señor</v>
      </c>
      <c r="J40" t="str">
        <v>Señor, Tú tienes palabras de vida eterna</v>
      </c>
      <c r="M40" t="str">
        <v>A ti levanto mi alma</v>
      </c>
      <c r="N40" t="str">
        <v>Nombre sobre todo nombre</v>
      </c>
      <c r="P40" t="str">
        <v>Sin amarras</v>
      </c>
      <c r="U40" t="str">
        <v>Eres el fuego, el amor</v>
      </c>
      <c r="AA40" t="str">
        <v>Secuencia de Pascua</v>
      </c>
      <c r="AB40" t="str">
        <v>Haz de tu casa un Nazaret</v>
      </c>
      <c r="AG40" t="str">
        <v>El que amas está enfermo</v>
      </c>
      <c r="AH40" t="str">
        <v>Levanto mi alma</v>
      </c>
      <c r="AI40" t="str">
        <v>Via Crucis IX Jesús cae por tercera vez</v>
      </c>
    </row>
    <row r="41" spans="4:35" x14ac:dyDescent="0.3">
      <c r="D41" t="str">
        <v>María de Nazaret</v>
      </c>
      <c r="H41" t="str">
        <v>Todos juntos</v>
      </c>
      <c r="I41" t="str">
        <v>Hosanna, hosanna, hosanna</v>
      </c>
      <c r="J41" t="str">
        <v>Cantando de alegría</v>
      </c>
      <c r="M41" t="str">
        <v>El Señor de los ejércitos</v>
      </c>
      <c r="N41" t="str">
        <v>Tu rostro</v>
      </c>
      <c r="P41" t="str">
        <v>No temas</v>
      </c>
      <c r="U41" t="str">
        <v>Me has seducido, Señor</v>
      </c>
      <c r="AA41" t="str">
        <v>Nueva aurora en nuestra noche</v>
      </c>
      <c r="AB41" t="str">
        <v>Estás aquí, Jesús</v>
      </c>
      <c r="AG41" t="str">
        <v>Confía en mí</v>
      </c>
      <c r="AH41" t="str">
        <v>El Señor es quien restaura</v>
      </c>
      <c r="AI41" t="str">
        <v>Via Crucis X Jesús es despojado</v>
      </c>
    </row>
    <row r="42" spans="4:35" x14ac:dyDescent="0.3">
      <c r="D42" t="str">
        <v>Miradle</v>
      </c>
      <c r="H42" t="str">
        <v>Allanad los caminos</v>
      </c>
      <c r="I42" t="str">
        <v>Cristo por nosotros</v>
      </c>
      <c r="J42" t="str">
        <v>Solo Tú</v>
      </c>
      <c r="M42" t="str">
        <v>El cáliz que bendecimos</v>
      </c>
      <c r="N42" t="str">
        <v>Tonto</v>
      </c>
      <c r="P42" t="str">
        <v>Desde el silencio</v>
      </c>
      <c r="U42" t="str">
        <v>Una vida que busca libertad</v>
      </c>
      <c r="AA42" t="str">
        <v>Si despierta el corazón</v>
      </c>
      <c r="AB42" t="str">
        <v>Abbá, Padre (escúchame)</v>
      </c>
      <c r="AG42" t="str">
        <v>Incansable</v>
      </c>
      <c r="AH42" t="str">
        <v>Aleluya 22</v>
      </c>
      <c r="AI42" t="str">
        <v>Via Crucis XI Jesús es clavado en la Cruz</v>
      </c>
    </row>
    <row r="43" spans="4:35" x14ac:dyDescent="0.3">
      <c r="D43" t="str">
        <v>Venid conmigo</v>
      </c>
      <c r="H43" t="str">
        <v>Las bodas de Caná</v>
      </c>
      <c r="I43" t="str">
        <v>Gracias, Señor, por tu Palabra</v>
      </c>
      <c r="J43" t="str">
        <v>Tú que caminas sobre la mar</v>
      </c>
      <c r="M43" t="str">
        <v>El Señor es mi pastor</v>
      </c>
      <c r="N43" t="str">
        <v>Mi pobre loco</v>
      </c>
      <c r="P43" t="str">
        <v>Desierto</v>
      </c>
      <c r="U43" t="str">
        <v>Nuestra buena madre</v>
      </c>
      <c r="AA43" t="str">
        <v>Acompáñame, Señor, en la tribulación</v>
      </c>
      <c r="AB43" t="str">
        <v>Salve, Regina</v>
      </c>
      <c r="AG43" t="str">
        <v>Rutinas</v>
      </c>
      <c r="AH43" t="str">
        <v>Mi corazón te anhela</v>
      </c>
      <c r="AI43" t="str">
        <v>Via Crucis XII Jesús muere en la Cruz</v>
      </c>
    </row>
    <row r="44" spans="4:35" x14ac:dyDescent="0.3">
      <c r="D44" t="str">
        <v>Dios fiel</v>
      </c>
      <c r="H44" t="str">
        <v>El soplo de Dios</v>
      </c>
      <c r="I44" t="str">
        <v>Se acerca el reino de Dios</v>
      </c>
      <c r="J44" t="str">
        <v>Levántate y anda</v>
      </c>
      <c r="M44" t="str">
        <v>El Señor tenga piedad</v>
      </c>
      <c r="N44" t="str">
        <v>Revolución</v>
      </c>
      <c r="P44" t="str">
        <v>En común</v>
      </c>
      <c r="U44" t="str">
        <v>Señor, yo no soy digno</v>
      </c>
      <c r="AA44" t="str">
        <v>Dios es fiel</v>
      </c>
      <c r="AB44" t="str">
        <v>Más de ti, menos de mí</v>
      </c>
      <c r="AG44" t="str">
        <v>Montaña</v>
      </c>
      <c r="AH44" t="str">
        <v>Mas tú sabes que senda es para mí</v>
      </c>
      <c r="AI44" t="str">
        <v>Via Crucis XIII Jesús bajado de la Cruz</v>
      </c>
    </row>
    <row r="45" spans="4:35" x14ac:dyDescent="0.3">
      <c r="D45" t="str">
        <v>Hambre y sed de Ti</v>
      </c>
      <c r="H45" t="str">
        <v>El agua viva</v>
      </c>
      <c r="I45" t="str">
        <v>Oh, mi Dios, crea en mí</v>
      </c>
      <c r="J45" t="str">
        <v>Bendito eres, Señor</v>
      </c>
      <c r="M45" t="str">
        <v>Caminaré en presencia del Señor (Palazón)</v>
      </c>
      <c r="N45" t="str">
        <v>Imprescindible</v>
      </c>
      <c r="P45" t="str">
        <v>El tesoro</v>
      </c>
      <c r="U45" t="str">
        <v>No durmáis</v>
      </c>
      <c r="AA45" t="str">
        <v>Antes de ser llevado a la muerte</v>
      </c>
      <c r="AG45" t="str">
        <v>Dragones</v>
      </c>
      <c r="AH45" t="str">
        <v>Come este pan</v>
      </c>
      <c r="AI45" t="str">
        <v>Via Crucis XIV El cuerpo de Jesús</v>
      </c>
    </row>
    <row r="46" spans="4:35" x14ac:dyDescent="0.3">
      <c r="D46" t="str">
        <v>Confianza</v>
      </c>
      <c r="H46" t="str">
        <v>El pan de vida</v>
      </c>
      <c r="I46" t="str">
        <v>Ven, Espíritu Santo</v>
      </c>
      <c r="J46" t="str">
        <v>Camino de Emaús</v>
      </c>
      <c r="M46" t="str">
        <v>El Señor es bueno</v>
      </c>
      <c r="N46" t="str">
        <v>Pasión I No sé qué viste en mí</v>
      </c>
      <c r="P46" t="str">
        <v>Alégrate</v>
      </c>
      <c r="U46" t="str">
        <v>Señor Dios, me tienes ante ti</v>
      </c>
      <c r="AA46" t="str">
        <v>El Señor es mi luz</v>
      </c>
      <c r="AG46" t="str">
        <v>La barca y el mar</v>
      </c>
      <c r="AH46" t="str">
        <v>Oh, Dios consolador</v>
      </c>
      <c r="AI46" t="str">
        <v>Via Crucis XV La fuerza de la Cruz</v>
      </c>
    </row>
    <row r="47" spans="4:35" x14ac:dyDescent="0.3">
      <c r="D47" t="str">
        <v>Pan compartido</v>
      </c>
      <c r="H47" t="str">
        <v>Quién tirará la primera piedra</v>
      </c>
      <c r="I47" t="str">
        <v>Padre nuestro (Erdozáin)</v>
      </c>
      <c r="J47" t="str">
        <v>Cantando venimos</v>
      </c>
      <c r="M47" t="str">
        <v>Protégeme, Dios mío</v>
      </c>
      <c r="N47" t="str">
        <v>Pasión II Mi peso en tus hombros</v>
      </c>
      <c r="P47" t="str">
        <v>Tu ternura</v>
      </c>
      <c r="U47" t="str">
        <v>Bienaventuranzas (Kairoi)</v>
      </c>
      <c r="AA47" t="str">
        <v>Confieso</v>
      </c>
      <c r="AG47" t="str">
        <v>Nunca solas</v>
      </c>
      <c r="AH47" t="str">
        <v>Que venga a ti</v>
      </c>
    </row>
    <row r="48" spans="4:35" x14ac:dyDescent="0.3">
      <c r="D48" t="str">
        <v>Gloria Trinitario</v>
      </c>
      <c r="H48" t="str">
        <v>El buen pastor</v>
      </c>
      <c r="I48" t="str">
        <v>Con nosotros está el Señor</v>
      </c>
      <c r="J48" t="str">
        <v>Gloria a Dios</v>
      </c>
      <c r="M48" t="str">
        <v>Himno a Nuestra Señora de la Almudena</v>
      </c>
      <c r="N48" t="str">
        <v>Pasión III Paraísos sin tu rostro</v>
      </c>
      <c r="P48" t="str">
        <v>Creadores</v>
      </c>
      <c r="U48" t="str">
        <v>Tu llamada</v>
      </c>
      <c r="AA48" t="str">
        <v>Es de locos</v>
      </c>
      <c r="AG48" t="str">
        <v>Parece la vida</v>
      </c>
      <c r="AH48" t="str">
        <v>Aleluya 17</v>
      </c>
    </row>
    <row r="49" spans="4:34" x14ac:dyDescent="0.3">
      <c r="D49" t="str">
        <v>A Ti</v>
      </c>
      <c r="H49" t="str">
        <v>Vivir en el Señor</v>
      </c>
      <c r="I49" t="str">
        <v>Purifícame, Señor</v>
      </c>
      <c r="J49" t="str">
        <v>Yo quisiera escuchar</v>
      </c>
      <c r="M49" t="str">
        <v>Mujer fuerte</v>
      </c>
      <c r="N49" t="str">
        <v>Pasión IV Un dios débil</v>
      </c>
      <c r="P49" t="str">
        <v>Desde mi balcón</v>
      </c>
      <c r="U49" t="str">
        <v>No es fácil</v>
      </c>
      <c r="AA49" t="str">
        <v>Ven a celebrar</v>
      </c>
      <c r="AG49" t="str">
        <v>Tenemos un dios</v>
      </c>
      <c r="AH49" t="str">
        <v>Jesús, mi vida</v>
      </c>
    </row>
    <row r="50" spans="4:34" x14ac:dyDescent="0.3">
      <c r="D50" t="str">
        <v>Tú lo sabes</v>
      </c>
      <c r="H50" t="str">
        <v>Amaos unos a otros</v>
      </c>
      <c r="I50" t="str">
        <v>Oí tu voz</v>
      </c>
      <c r="J50" t="str">
        <v>Gracias por tu palabra</v>
      </c>
      <c r="M50" t="str">
        <v>Madre de los creyentes</v>
      </c>
      <c r="N50" t="str">
        <v>Pasión V Cirineo</v>
      </c>
      <c r="P50" t="str">
        <v>Nadie me podrá robar</v>
      </c>
      <c r="U50" t="str">
        <v>Nacidos de la cruz</v>
      </c>
      <c r="AA50" t="str">
        <v>Yo soy la Vida y la Verdad</v>
      </c>
      <c r="AG50" t="str">
        <v>Transformarás</v>
      </c>
      <c r="AH50" t="str">
        <v>Ten piedad, Señor 6</v>
      </c>
    </row>
    <row r="51" spans="4:34" x14ac:dyDescent="0.3">
      <c r="D51" t="str">
        <v>Caná</v>
      </c>
      <c r="H51" t="str">
        <v>Yo soy el que sirve</v>
      </c>
      <c r="I51" t="str">
        <v>Vamos a preparar</v>
      </c>
      <c r="J51" t="str">
        <v>Padre nuestro (Cantando venimos)</v>
      </c>
      <c r="M51" t="str">
        <v>A ti suspiramos</v>
      </c>
      <c r="N51" t="str">
        <v>Pasión VI Verónica</v>
      </c>
      <c r="P51" t="str">
        <v>Llega el Reino de Dios</v>
      </c>
      <c r="U51" t="str">
        <v>Jesús es Señor</v>
      </c>
      <c r="AA51" t="str">
        <v>Cordero de Dios (Maristas)</v>
      </c>
      <c r="AG51" t="str">
        <v>Tu casa</v>
      </c>
      <c r="AH51" t="str">
        <v>Danos la paz, oh, Señor</v>
      </c>
    </row>
    <row r="52" spans="4:34" x14ac:dyDescent="0.3">
      <c r="D52" t="str">
        <v>Ánimo, soy yo</v>
      </c>
      <c r="H52" t="str">
        <v>La vid y los sarmientos</v>
      </c>
      <c r="I52" t="str">
        <v>Levántate, pueblo mío</v>
      </c>
      <c r="J52" t="str">
        <v>Como cantan los pájaros</v>
      </c>
      <c r="M52" t="str">
        <v>Reina del Cielo</v>
      </c>
      <c r="N52" t="str">
        <v>Pasión VII Y te caes</v>
      </c>
      <c r="P52" t="str">
        <v>Dame de beber</v>
      </c>
      <c r="U52" t="str">
        <v>Yo cantaré (Magnificat)</v>
      </c>
      <c r="AA52" t="str">
        <v>Hoy, Señor, me has vuelto a perdonar</v>
      </c>
      <c r="AG52" t="str">
        <v>A todos los idiomas</v>
      </c>
      <c r="AH52" t="str">
        <v>Permaneced conmigo</v>
      </c>
    </row>
    <row r="53" spans="4:34" x14ac:dyDescent="0.3">
      <c r="D53" t="str">
        <v>Santo</v>
      </c>
      <c r="H53" t="str">
        <v>Siempre estaré con vosotros</v>
      </c>
      <c r="I53" t="str">
        <v>Ven, Salvador</v>
      </c>
      <c r="J53" t="str">
        <v>Somos un pueblo nacido</v>
      </c>
      <c r="M53" t="str">
        <v>Magnificat</v>
      </c>
      <c r="N53" t="str">
        <v>Pasión VIII Jerusalén</v>
      </c>
      <c r="P53" t="str">
        <v>Monte Horeb</v>
      </c>
      <c r="U53" t="str">
        <v>Jesús está entre nosotros</v>
      </c>
      <c r="AA53" t="str">
        <v>Tanto amó Dios al mundo</v>
      </c>
      <c r="AG53" t="str">
        <v>Si tú quieres</v>
      </c>
      <c r="AH53" t="str">
        <v>Cristo está vivo</v>
      </c>
    </row>
    <row r="54" spans="4:34" x14ac:dyDescent="0.3">
      <c r="D54" t="str">
        <v>La mujer del perfume</v>
      </c>
      <c r="H54" t="str">
        <v>El juicio de Cristo</v>
      </c>
      <c r="I54" t="str">
        <v>La Virgen sueña caminos</v>
      </c>
      <c r="J54" t="str">
        <v>Ven, Señor, no tardes más</v>
      </c>
      <c r="M54" t="str">
        <v>Morada de la luz</v>
      </c>
      <c r="N54" t="str">
        <v>Pasión IX Por qué</v>
      </c>
      <c r="P54" t="str">
        <v>Mi Dios en una Cruz</v>
      </c>
      <c r="U54" t="str">
        <v>Háblame</v>
      </c>
      <c r="AA54" t="str">
        <v>Gloria, gloria, aleluya</v>
      </c>
      <c r="AG54" t="str">
        <v>Dónde</v>
      </c>
      <c r="AH54" t="str">
        <v>Tú, Cristo, oh, Jesucristo</v>
      </c>
    </row>
    <row r="55" spans="4:34" x14ac:dyDescent="0.3">
      <c r="D55" t="str">
        <v>Para estar contigo</v>
      </c>
      <c r="H55" t="str">
        <v>Aleluya, el Señor resucitó</v>
      </c>
      <c r="I55" t="str">
        <v>Cuántos años han de pasar</v>
      </c>
      <c r="J55" t="str">
        <v>Levántate, que está llegando</v>
      </c>
      <c r="M55" t="str">
        <v>Madre del Redentor</v>
      </c>
      <c r="N55" t="str">
        <v>Pasión X Despojado</v>
      </c>
      <c r="P55" t="str">
        <v>Sueños de Dios</v>
      </c>
      <c r="U55" t="str">
        <v>Oración del pobre</v>
      </c>
      <c r="AA55" t="str">
        <v>Hoy el Señor resucitó</v>
      </c>
      <c r="AG55" t="str">
        <v>Escúchame</v>
      </c>
      <c r="AH55" t="str">
        <v>Aleluya 7</v>
      </c>
    </row>
    <row r="56" spans="4:34" x14ac:dyDescent="0.3">
      <c r="D56" t="str">
        <v>Samaritano</v>
      </c>
      <c r="H56" t="str">
        <v>Jesús, quién eres tú</v>
      </c>
      <c r="I56" t="str">
        <v>Dios te salve, María, llena eres de gracia</v>
      </c>
      <c r="J56" t="str">
        <v>Un niño nos ha nacido</v>
      </c>
      <c r="M56" t="str">
        <v>Ángelus</v>
      </c>
      <c r="N56" t="str">
        <v>Pasión XI La medida del amor</v>
      </c>
      <c r="P56" t="str">
        <v>Adónde acudiré</v>
      </c>
      <c r="U56" t="str">
        <v>Himno a Dios</v>
      </c>
      <c r="AA56" t="str">
        <v>Nosotros venceremos</v>
      </c>
      <c r="AG56" t="str">
        <v>A la puerta</v>
      </c>
      <c r="AH56" t="str">
        <v>Danos la paz del corazón</v>
      </c>
    </row>
    <row r="57" spans="4:34" x14ac:dyDescent="0.3">
      <c r="D57" t="str">
        <v>No hay fronteras</v>
      </c>
      <c r="H57" t="str">
        <v>El Reino está cerca</v>
      </c>
      <c r="I57" t="str">
        <v>Hoy me siento peregrino</v>
      </c>
      <c r="J57" t="str">
        <v>Ven, Dios nacido en un portal</v>
      </c>
      <c r="M57" t="str">
        <v>Madre nuestra</v>
      </c>
      <c r="N57" t="str">
        <v>Pasión XIII Madre</v>
      </c>
      <c r="P57" t="str">
        <v>Gracias, Señor</v>
      </c>
      <c r="U57" t="str">
        <v>Ven, Señor Jesús</v>
      </c>
      <c r="AA57" t="str">
        <v>Quiero caminar contigo, María</v>
      </c>
      <c r="AG57" t="str">
        <v>En quién si no</v>
      </c>
      <c r="AH57" t="str">
        <v>Este es el día del Señor (Taizé)</v>
      </c>
    </row>
    <row r="58" spans="4:34" x14ac:dyDescent="0.3">
      <c r="D58" t="str">
        <v>Descálzate</v>
      </c>
      <c r="H58" t="str">
        <v>Nadie es profeta en su tierra</v>
      </c>
      <c r="I58" t="str">
        <v>Yo estaré con vosotros</v>
      </c>
      <c r="J58" t="str">
        <v>Aleluya II</v>
      </c>
      <c r="M58" t="str">
        <v>Ave María</v>
      </c>
      <c r="N58" t="str">
        <v>Pasión XIV Donde estás tú</v>
      </c>
      <c r="P58" t="str">
        <v>Gentes con derecho</v>
      </c>
      <c r="U58" t="str">
        <v>Padre, me pongo en tus manos</v>
      </c>
      <c r="AA58" t="str">
        <v>Él vendrá y te salvará</v>
      </c>
      <c r="AG58" t="str">
        <v>Silencio</v>
      </c>
      <c r="AH58" t="str">
        <v>Dios, que nos ama</v>
      </c>
    </row>
    <row r="59" spans="4:34" x14ac:dyDescent="0.3">
      <c r="D59" t="str">
        <v>La vid verdadera</v>
      </c>
      <c r="H59" t="str">
        <v>Los mercaderes del templo</v>
      </c>
      <c r="I59" t="str">
        <v>Las puertas de la nueva ciudad</v>
      </c>
      <c r="J59" t="str">
        <v>Aleluya III</v>
      </c>
      <c r="M59" t="str">
        <v>Unidos por la fe y el amor</v>
      </c>
      <c r="N59" t="str">
        <v>Pasión XV Soy libre</v>
      </c>
      <c r="P59" t="str">
        <v>Oh, Señor</v>
      </c>
      <c r="U59" t="str">
        <v>Gloria a Dios (No sé cómo alabarte)</v>
      </c>
      <c r="AA59" t="str">
        <v>Arriba nubes negras</v>
      </c>
      <c r="AG59" t="str">
        <v>De repente</v>
      </c>
      <c r="AH59" t="str">
        <v>Danos, Señor, la paz (canon)</v>
      </c>
    </row>
    <row r="60" spans="4:34" x14ac:dyDescent="0.3">
      <c r="D60" t="str">
        <v>Ven, Espíritu de Dios</v>
      </c>
      <c r="H60" t="str">
        <v>Que sea mi vida la sal</v>
      </c>
      <c r="J60" t="str">
        <v>Aleluya IV</v>
      </c>
      <c r="M60" t="str">
        <v>Ten piedad</v>
      </c>
      <c r="N60" t="str">
        <v>Pasión XVI Por mí, por ti</v>
      </c>
      <c r="P60" t="str">
        <v>Quererse</v>
      </c>
      <c r="U60" t="str">
        <v>Tú me sondeas</v>
      </c>
      <c r="AA60" t="str">
        <v>De Jerusalén bajaba a Jericó</v>
      </c>
      <c r="AG60" t="str">
        <v>Quién amó primero</v>
      </c>
      <c r="AH60" t="str">
        <v>Al Señor alabe</v>
      </c>
    </row>
    <row r="61" spans="4:34" x14ac:dyDescent="0.3">
      <c r="D61" t="str">
        <v>Realidad</v>
      </c>
      <c r="H61" t="str">
        <v>A tu altar he llegado</v>
      </c>
      <c r="J61" t="str">
        <v>El Señor es mi pastor (I)</v>
      </c>
      <c r="M61" t="str">
        <v>Gloria (misa coral en Re)</v>
      </c>
      <c r="N61" t="str">
        <v>Me sobrepasa</v>
      </c>
      <c r="P61" t="str">
        <v>Encima del altar</v>
      </c>
      <c r="U61" t="str">
        <v>El agua del Señor</v>
      </c>
      <c r="AA61" t="str">
        <v>Alza tu mano (Comunidad)</v>
      </c>
      <c r="AG61" t="str">
        <v>Alabarte</v>
      </c>
      <c r="AH61" t="str">
        <v>Ven, Espíritu de Dios</v>
      </c>
    </row>
    <row r="62" spans="4:34" x14ac:dyDescent="0.3">
      <c r="D62" t="str">
        <v>Boga mar adentro</v>
      </c>
      <c r="H62" t="str">
        <v>La fe del centurión</v>
      </c>
      <c r="J62" t="str">
        <v>Aleluya V</v>
      </c>
      <c r="M62" t="str">
        <v>Aleluya (misa coral en Re)</v>
      </c>
      <c r="N62" t="str">
        <v>Descalzos</v>
      </c>
      <c r="P62" t="str">
        <v>Cosas pequeñas</v>
      </c>
      <c r="U62" t="str">
        <v>Canta Jerusalén</v>
      </c>
      <c r="AA62" t="str">
        <v>Vivid la Navidad</v>
      </c>
      <c r="AG62" t="str">
        <v>Bailaré</v>
      </c>
      <c r="AH62" t="str">
        <v>Danos la paz, Señor</v>
      </c>
    </row>
    <row r="63" spans="4:34" x14ac:dyDescent="0.3">
      <c r="D63" t="str">
        <v>No tengas miedo</v>
      </c>
      <c r="H63" t="str">
        <v>Amad a los enemigos</v>
      </c>
      <c r="J63" t="str">
        <v>Tomad y comed, yo soy vuestro Pan</v>
      </c>
      <c r="M63" t="str">
        <v>Santo (misa coral en Re)</v>
      </c>
      <c r="N63" t="str">
        <v>Un segundo</v>
      </c>
      <c r="P63" t="str">
        <v>Beber los vientos</v>
      </c>
      <c r="U63" t="str">
        <v>Diremos que sí</v>
      </c>
      <c r="AA63" t="str">
        <v>Gloria a Dios, gloria al Padre</v>
      </c>
      <c r="AG63" t="str">
        <v>Por ti, Jerusalén</v>
      </c>
      <c r="AH63" t="str">
        <v>La misericordia del Señor</v>
      </c>
    </row>
    <row r="64" spans="4:34" x14ac:dyDescent="0.3">
      <c r="D64" t="str">
        <v>Magnificat</v>
      </c>
      <c r="H64" t="str">
        <v>Desapercibido</v>
      </c>
      <c r="J64" t="str">
        <v>Ven y llénanos</v>
      </c>
      <c r="M64" t="str">
        <v>Padre nuestro (misa coral en Re)</v>
      </c>
      <c r="N64" t="str">
        <v>Todo</v>
      </c>
      <c r="P64" t="str">
        <v>Ven y sígueme</v>
      </c>
      <c r="U64" t="str">
        <v>Gracias por tu don</v>
      </c>
      <c r="AA64" t="str">
        <v>Señor, ten piedad</v>
      </c>
      <c r="AG64" t="str">
        <v>Frontera</v>
      </c>
      <c r="AH64" t="str">
        <v>Tu santa cruz</v>
      </c>
    </row>
    <row r="65" spans="4:34" x14ac:dyDescent="0.3">
      <c r="D65" t="str">
        <v>Ardo en celo</v>
      </c>
      <c r="H65" t="str">
        <v>Dónde está tu tesoro</v>
      </c>
      <c r="J65" t="str">
        <v>Gustad y ved</v>
      </c>
      <c r="M65" t="str">
        <v>Cordero de Dios (misa coral en Re)</v>
      </c>
      <c r="N65" t="str">
        <v>El cielo aguarda</v>
      </c>
      <c r="P65" t="str">
        <v>Dios provee</v>
      </c>
      <c r="U65" t="str">
        <v>Cortó la roca</v>
      </c>
      <c r="AA65" t="str">
        <v>Un día abrí los ojos</v>
      </c>
      <c r="AG65" t="str">
        <v>Despierto</v>
      </c>
      <c r="AH65" t="str">
        <v>Espíritu de Dios vivo</v>
      </c>
    </row>
    <row r="66" spans="4:34" x14ac:dyDescent="0.3">
      <c r="D66" t="str">
        <v>El amor no dice basta</v>
      </c>
      <c r="H66" t="str">
        <v>Aleluya cantará</v>
      </c>
      <c r="J66" t="str">
        <v>Peregrino (Éxodo y liberación)</v>
      </c>
      <c r="M66" t="str">
        <v>Dales, Señor, el descanso eterno</v>
      </c>
      <c r="N66" t="str">
        <v>Huracán</v>
      </c>
      <c r="P66" t="str">
        <v>Me desbordas</v>
      </c>
      <c r="U66" t="str">
        <v>Ave María I</v>
      </c>
      <c r="AA66" t="str">
        <v>Victoria, tú reinarás</v>
      </c>
      <c r="AG66" t="str">
        <v>Como niños</v>
      </c>
      <c r="AH66" t="str">
        <v>Júbilo en el cielo (canon)</v>
      </c>
    </row>
    <row r="67" spans="4:34" x14ac:dyDescent="0.3">
      <c r="D67" t="str">
        <v>Rut y Noemí</v>
      </c>
      <c r="H67" t="str">
        <v>Señor, envíanos a tu Hijo</v>
      </c>
      <c r="J67" t="str">
        <v>A quién temeré</v>
      </c>
      <c r="M67" t="str">
        <v>Dale, Señor</v>
      </c>
      <c r="N67" t="str">
        <v>Mirada</v>
      </c>
      <c r="P67" t="str">
        <v>El que se ensalza</v>
      </c>
      <c r="U67" t="str">
        <v>Tú estás cerca</v>
      </c>
      <c r="AA67" t="str">
        <v>En mi Getsemaní</v>
      </c>
      <c r="AG67" t="str">
        <v>Vivir</v>
      </c>
      <c r="AH67" t="str">
        <v>El Reino de Dios</v>
      </c>
    </row>
    <row r="68" spans="4:34" x14ac:dyDescent="0.3">
      <c r="D68" t="str">
        <v>Ven, Espíritu</v>
      </c>
      <c r="H68" t="str">
        <v>Monólogo de Zacarías</v>
      </c>
      <c r="J68" t="str">
        <v>Pescador de hombres</v>
      </c>
      <c r="M68" t="str">
        <v>Dichosos los que mueren en el Señor</v>
      </c>
      <c r="N68" t="str">
        <v>Pringados</v>
      </c>
      <c r="P68" t="str">
        <v>Mis señores y mis amos</v>
      </c>
      <c r="U68" t="str">
        <v>Madre de los hijos pobres</v>
      </c>
      <c r="AA68" t="str">
        <v>Quiero ser pan</v>
      </c>
      <c r="AH68" t="str">
        <v>Dios es ternura</v>
      </c>
    </row>
    <row r="69" spans="4:34" x14ac:dyDescent="0.3">
      <c r="D69" t="str">
        <v>María Magdalena</v>
      </c>
      <c r="H69" t="str">
        <v>Magnificat</v>
      </c>
      <c r="J69" t="str">
        <v>Todos unidos</v>
      </c>
      <c r="M69" t="str">
        <v>Kyrie eleison</v>
      </c>
      <c r="N69" t="str">
        <v>Noche</v>
      </c>
      <c r="P69" t="str">
        <v>Enséñame el camino</v>
      </c>
      <c r="U69" t="str">
        <v>Magnificat</v>
      </c>
      <c r="AA69" t="str">
        <v>Esto que te doy</v>
      </c>
      <c r="AH69" t="str">
        <v>Dios te salve</v>
      </c>
    </row>
    <row r="70" spans="4:34" x14ac:dyDescent="0.3">
      <c r="D70" t="str">
        <v>De todo corazón</v>
      </c>
      <c r="H70" t="str">
        <v>Buscando posada</v>
      </c>
      <c r="J70" t="str">
        <v>Sois la semilla</v>
      </c>
      <c r="M70" t="str">
        <v>Te ofrecemos, Señor, sacrificios y oblaciones</v>
      </c>
      <c r="N70" t="str">
        <v>Comunión espiritual</v>
      </c>
      <c r="P70" t="str">
        <v>Padrenuestro I</v>
      </c>
      <c r="U70" t="str">
        <v>Angelus</v>
      </c>
      <c r="AA70" t="str">
        <v>Corazón inquieto</v>
      </c>
      <c r="AH70" t="str">
        <v>Dichosos los pobres</v>
      </c>
    </row>
    <row r="71" spans="4:34" x14ac:dyDescent="0.3">
      <c r="D71" t="str">
        <v>Canto de Ana</v>
      </c>
      <c r="H71" t="str">
        <v>Madre de Dios</v>
      </c>
      <c r="J71" t="str">
        <v>Por el aire vuela el pájaro</v>
      </c>
      <c r="M71" t="str">
        <v>Santo (Réquiem)</v>
      </c>
      <c r="N71" t="str">
        <v>Sencillamente</v>
      </c>
      <c r="P71" t="str">
        <v>Adoraré</v>
      </c>
      <c r="U71" t="str">
        <v>Gracias, Madre</v>
      </c>
      <c r="AA71" t="str">
        <v>Alma misionera</v>
      </c>
      <c r="AH71" t="str">
        <v>Oh, Padre, entre tus manos</v>
      </c>
    </row>
    <row r="72" spans="4:34" x14ac:dyDescent="0.3">
      <c r="D72" t="str">
        <v>Seguirte</v>
      </c>
      <c r="H72" t="str">
        <v>Gloria a Dios en los cielos</v>
      </c>
      <c r="J72" t="str">
        <v>Aleluya, mi Padre Dios me quiere</v>
      </c>
      <c r="M72" t="str">
        <v>Cordero de Dios (Réquiem)</v>
      </c>
      <c r="N72" t="str">
        <v>Ocúpate Tú de todo</v>
      </c>
      <c r="P72" t="str">
        <v>Me llamáis</v>
      </c>
      <c r="U72" t="str">
        <v>María, música de Dios</v>
      </c>
      <c r="AA72" t="str">
        <v>El que muere por mí</v>
      </c>
      <c r="AH72" t="str">
        <v>Alégrense el Cielo y la Tierra</v>
      </c>
    </row>
    <row r="73" spans="4:34" x14ac:dyDescent="0.3">
      <c r="D73" t="str">
        <v>Pueblo Suyo</v>
      </c>
      <c r="H73" t="str">
        <v>Navidad en el corazón</v>
      </c>
      <c r="J73" t="str">
        <v>Dios es alegre</v>
      </c>
      <c r="M73" t="str">
        <v>Este es el Pan que nos da Jesús</v>
      </c>
      <c r="N73" t="str">
        <v>La piel por Ti</v>
      </c>
      <c r="P73" t="str">
        <v>Como uno de tantos</v>
      </c>
      <c r="U73" t="str">
        <v>Arcilla entre sus manos</v>
      </c>
      <c r="AA73" t="str">
        <v>Quiero ser, oh, Señor</v>
      </c>
      <c r="AH73" t="str">
        <v>Tú eres fuente viva</v>
      </c>
    </row>
    <row r="74" spans="4:34" x14ac:dyDescent="0.3">
      <c r="D74" t="str">
        <v>Quedas libre</v>
      </c>
      <c r="H74" t="str">
        <v>Bien nacido</v>
      </c>
      <c r="J74" t="str">
        <v>Buenos días, Señor</v>
      </c>
      <c r="M74" t="str">
        <v>Al Paraíso te lleven los ángeles</v>
      </c>
      <c r="N74" t="str">
        <v>El abrazo</v>
      </c>
      <c r="P74" t="str">
        <v>En medio de vosotros</v>
      </c>
      <c r="U74" t="str">
        <v>Tú eres del Señor</v>
      </c>
      <c r="AA74" t="str">
        <v>El camino no lo haremos solos</v>
      </c>
      <c r="AH74" t="str">
        <v>La ayuda vendrá</v>
      </c>
    </row>
    <row r="75" spans="4:34" x14ac:dyDescent="0.3">
      <c r="D75" t="str">
        <v>Si le dais posada</v>
      </c>
      <c r="H75" t="str">
        <v>Las ropas de Dios</v>
      </c>
      <c r="J75" t="str">
        <v>Lámpara de barro</v>
      </c>
      <c r="M75" t="str">
        <v>Eres Madre dolorosa</v>
      </c>
      <c r="N75" t="str">
        <v>En lo hondo</v>
      </c>
      <c r="P75" t="str">
        <v>Mi Dios y mi todo</v>
      </c>
      <c r="U75" t="str">
        <v>Junto a ti, María</v>
      </c>
      <c r="AA75" t="str">
        <v>Siempre en ti</v>
      </c>
      <c r="AH75" t="str">
        <v>Aleluya 96</v>
      </c>
    </row>
    <row r="76" spans="4:34" x14ac:dyDescent="0.3">
      <c r="D76" t="str">
        <v>Es mi hermano</v>
      </c>
      <c r="H76" t="str">
        <v>Los pájaros pastores</v>
      </c>
      <c r="J76" t="str">
        <v>Una roca inmóvil</v>
      </c>
      <c r="M76" t="str">
        <v>Para que escuchase el viento</v>
      </c>
      <c r="N76" t="str">
        <v>Colombia</v>
      </c>
      <c r="P76" t="str">
        <v>María, enséñame a vivir el Evangelio</v>
      </c>
      <c r="U76" t="str">
        <v>Tú eres María</v>
      </c>
      <c r="AA76" t="str">
        <v>Salve, Regina</v>
      </c>
      <c r="AH76" t="str">
        <v>Alabado sea el Señor</v>
      </c>
    </row>
    <row r="77" spans="4:34" x14ac:dyDescent="0.3">
      <c r="D77" t="str">
        <v>Jesús</v>
      </c>
      <c r="H77" t="str">
        <v>La serranilla</v>
      </c>
      <c r="J77" t="str">
        <v>Yo pensaba que el hombre era grande</v>
      </c>
      <c r="M77" t="str">
        <v>Camino a Jericó</v>
      </c>
      <c r="N77" t="str">
        <v>Vértigo</v>
      </c>
      <c r="P77" t="str">
        <v>Pastor bone</v>
      </c>
      <c r="U77" t="str">
        <v>Pregón Pascual (Aleluya)</v>
      </c>
      <c r="AA77" t="str">
        <v>Santo (Händel)</v>
      </c>
      <c r="AH77" t="str">
        <v>Aleluya 94</v>
      </c>
    </row>
    <row r="78" spans="4:34" x14ac:dyDescent="0.3">
      <c r="D78" t="str">
        <v>El Reino de Dios</v>
      </c>
      <c r="H78" t="str">
        <v>Sueños de riqueza</v>
      </c>
      <c r="J78" t="str">
        <v>Padre bueno, Dios alegre</v>
      </c>
      <c r="M78" t="str">
        <v>Trigo y cizaña</v>
      </c>
      <c r="N78" t="str">
        <v>Conciénciame</v>
      </c>
      <c r="P78" t="str">
        <v>Señor, exprópiame</v>
      </c>
      <c r="U78" t="str">
        <v>Nacidos de mujer</v>
      </c>
      <c r="AA78" t="str">
        <v>Yo te nombro, libertad</v>
      </c>
      <c r="AH78" t="str">
        <v>Aleluya 97</v>
      </c>
    </row>
    <row r="79" spans="4:34" x14ac:dyDescent="0.3">
      <c r="D79" t="str">
        <v>Recibid mi Espíritu</v>
      </c>
      <c r="H79" t="str">
        <v>El calor de tu palabra</v>
      </c>
      <c r="J79" t="str">
        <v>Hoy, Señor, te damos gracias</v>
      </c>
      <c r="M79" t="str">
        <v>Administradores del amor</v>
      </c>
      <c r="N79" t="str">
        <v>Bendito</v>
      </c>
      <c r="P79" t="str">
        <v>Confío</v>
      </c>
      <c r="U79" t="str">
        <v>Haced lo que Él os diga</v>
      </c>
      <c r="AA79" t="str">
        <v>Tengo que gritar</v>
      </c>
      <c r="AH79" t="str">
        <v>Para mí ser feliz</v>
      </c>
    </row>
    <row r="80" spans="4:34" x14ac:dyDescent="0.3">
      <c r="D80" t="str">
        <v>Confía</v>
      </c>
      <c r="H80" t="str">
        <v>Hoy, Señor, te daré</v>
      </c>
      <c r="J80" t="str">
        <v>Demos gracias al Señor</v>
      </c>
      <c r="M80" t="str">
        <v>La oveja negra</v>
      </c>
      <c r="N80" t="str">
        <v>Arde (San José)</v>
      </c>
      <c r="P80" t="str">
        <v>Nada es imposible</v>
      </c>
      <c r="U80" t="str">
        <v>En comunidad</v>
      </c>
      <c r="AA80" t="str">
        <v>Tú eres capaz</v>
      </c>
      <c r="AH80" t="str">
        <v>Ten piedad, Señor 1</v>
      </c>
    </row>
    <row r="81" spans="4:34" x14ac:dyDescent="0.3">
      <c r="D81" t="str">
        <v>Como Tú</v>
      </c>
      <c r="H81" t="str">
        <v>Me levantaré</v>
      </c>
      <c r="J81" t="str">
        <v>Los cielos y la tierra</v>
      </c>
      <c r="M81" t="str">
        <v>Noche y día en altamar</v>
      </c>
      <c r="N81" t="str">
        <v>Todos por todos</v>
      </c>
      <c r="P81" t="str">
        <v>Tu saber me sobrepasa</v>
      </c>
      <c r="U81" t="str">
        <v>Danos tu espíritu</v>
      </c>
      <c r="AA81" t="str">
        <v>Dame, Señor, un corazón feliz</v>
      </c>
      <c r="AH81" t="str">
        <v>Ten piedad, Señor 8</v>
      </c>
    </row>
    <row r="82" spans="4:34" x14ac:dyDescent="0.3">
      <c r="D82" t="str">
        <v>Pequeño Israel</v>
      </c>
      <c r="H82" t="str">
        <v>Ven, no apartes de mí los ojos</v>
      </c>
      <c r="J82" t="str">
        <v>En el trabajo de cada día</v>
      </c>
      <c r="M82" t="str">
        <v>A quién se parece</v>
      </c>
      <c r="N82" t="str">
        <v>Forofos</v>
      </c>
      <c r="P82" t="str">
        <v>Sigue habiendo</v>
      </c>
      <c r="U82" t="str">
        <v>Gloria (por María)</v>
      </c>
      <c r="AA82" t="str">
        <v>Cantan los ángeles en Belén</v>
      </c>
      <c r="AH82" t="str">
        <v>Bless the Lord</v>
      </c>
    </row>
    <row r="83" spans="4:34" x14ac:dyDescent="0.3">
      <c r="D83" t="str">
        <v>Vivid en comunión</v>
      </c>
      <c r="J83" t="str">
        <v>Como a su Madre acuden</v>
      </c>
      <c r="M83" t="str">
        <v>Un hombre, una tierra</v>
      </c>
      <c r="N83" t="str">
        <v>A ti te alabo</v>
      </c>
      <c r="P83" t="str">
        <v>Nada vale la pena</v>
      </c>
      <c r="U83" t="str">
        <v>Pequeño corazón</v>
      </c>
      <c r="AA83" t="str">
        <v>Esto es Navidad</v>
      </c>
      <c r="AH83" t="str">
        <v>Alleluia 11</v>
      </c>
    </row>
    <row r="84" spans="4:34" x14ac:dyDescent="0.3">
      <c r="D84" t="str">
        <v>Vengan a mí</v>
      </c>
      <c r="J84" t="str">
        <v>Hoy he vuelto</v>
      </c>
      <c r="M84" t="str">
        <v>De par en par</v>
      </c>
      <c r="N84" t="str">
        <v>Los coros del universo</v>
      </c>
      <c r="P84" t="str">
        <v>Un solo corazón</v>
      </c>
      <c r="U84" t="str">
        <v>Credo</v>
      </c>
      <c r="AA84" t="str">
        <v>Ha nacido</v>
      </c>
      <c r="AH84" t="str">
        <v>Dans nos obscurités</v>
      </c>
    </row>
    <row r="85" spans="4:34" x14ac:dyDescent="0.3">
      <c r="D85" t="str">
        <v>Os envío</v>
      </c>
      <c r="J85" t="str">
        <v>Antes que el mundo hiciera</v>
      </c>
      <c r="M85" t="str">
        <v>El hijo pródigo</v>
      </c>
      <c r="N85" t="str">
        <v>En medio del fuego</v>
      </c>
      <c r="P85" t="str">
        <v>Aquí estoy</v>
      </c>
      <c r="U85" t="str">
        <v>Creo en ti</v>
      </c>
      <c r="AA85" t="str">
        <v>Hoy en Belén es la fiesta</v>
      </c>
      <c r="AH85" t="str">
        <v>Confitemini Domino</v>
      </c>
    </row>
    <row r="86" spans="4:34" x14ac:dyDescent="0.3">
      <c r="D86" t="str">
        <v>Fuego</v>
      </c>
      <c r="J86" t="str">
        <v>María es esa mujer</v>
      </c>
      <c r="M86" t="str">
        <v>En la plaza de un pueblo</v>
      </c>
      <c r="N86" t="str">
        <v>Aleluya</v>
      </c>
      <c r="P86" t="str">
        <v>En los pobres yo te vi</v>
      </c>
      <c r="U86" t="str">
        <v>A las tres de la tarde</v>
      </c>
      <c r="AA86" t="str">
        <v>Si cada noche fuera Nochebuena</v>
      </c>
      <c r="AH86" t="str">
        <v>Magnificat (canon)</v>
      </c>
    </row>
    <row r="87" spans="4:34" x14ac:dyDescent="0.3">
      <c r="D87" t="str">
        <v>Mujeres en camino</v>
      </c>
      <c r="J87" t="str">
        <v>Muy de mañana</v>
      </c>
      <c r="M87" t="str">
        <v>Fariseo y publicano</v>
      </c>
      <c r="N87" t="str">
        <v>Ruah</v>
      </c>
      <c r="P87" t="str">
        <v>Me sedujiste</v>
      </c>
      <c r="U87" t="str">
        <v>Vino nuevo</v>
      </c>
      <c r="AA87" t="str">
        <v>María, mírame</v>
      </c>
      <c r="AH87" t="str">
        <v>De noche</v>
      </c>
    </row>
    <row r="88" spans="4:34" x14ac:dyDescent="0.3">
      <c r="D88" t="str">
        <v>No temas</v>
      </c>
      <c r="J88" t="str">
        <v>Cristo nuestro hermano</v>
      </c>
      <c r="M88" t="str">
        <v>De cosas sencillas</v>
      </c>
      <c r="N88" t="str">
        <v>Padre</v>
      </c>
      <c r="P88" t="str">
        <v>Podaré</v>
      </c>
      <c r="U88" t="str">
        <v>Te seguiré</v>
      </c>
      <c r="AA88" t="str">
        <v>Alimento de amor (El loco)</v>
      </c>
      <c r="AH88" t="str">
        <v>Per crucem</v>
      </c>
    </row>
    <row r="89" spans="4:34" x14ac:dyDescent="0.3">
      <c r="D89" t="str">
        <v>Abre mis puertas</v>
      </c>
      <c r="J89" t="str">
        <v>Luz de la mañana</v>
      </c>
      <c r="M89" t="str">
        <v>Y ciegos son los hombres</v>
      </c>
      <c r="N89" t="str">
        <v>Te alabaré</v>
      </c>
      <c r="P89" t="str">
        <v>Ven, Espíritu de Dios</v>
      </c>
      <c r="U89" t="str">
        <v>Un solo corazón</v>
      </c>
      <c r="AA89" t="str">
        <v>Ven, si te has caído levántate</v>
      </c>
      <c r="AH89" t="str">
        <v>Laudate omnes gentes</v>
      </c>
    </row>
    <row r="90" spans="4:34" x14ac:dyDescent="0.3">
      <c r="D90" t="str">
        <v>Danos de beber</v>
      </c>
      <c r="J90" t="str">
        <v>Dijo que sí María</v>
      </c>
      <c r="M90" t="str">
        <v>En la viña del Señor</v>
      </c>
      <c r="N90" t="str">
        <v>Sanas</v>
      </c>
      <c r="P90" t="str">
        <v>Muéveme, mi Dios</v>
      </c>
      <c r="U90" t="str">
        <v>Cristo Señor</v>
      </c>
      <c r="AA90" t="str">
        <v>Ven, Espíritu divino (Secuencia de Pentecostés)</v>
      </c>
      <c r="AH90" t="str">
        <v>El Senyor</v>
      </c>
    </row>
    <row r="91" spans="4:34" x14ac:dyDescent="0.3">
      <c r="D91" t="str">
        <v>Secuencia pascual</v>
      </c>
      <c r="J91" t="str">
        <v>Vienen con alegría</v>
      </c>
      <c r="M91" t="str">
        <v>Invitación</v>
      </c>
      <c r="N91" t="str">
        <v>Sólo Tú</v>
      </c>
      <c r="P91" t="str">
        <v>A pesar de todo</v>
      </c>
      <c r="U91" t="str">
        <v>Tú serás mi hermano</v>
      </c>
      <c r="AA91" t="str">
        <v>Cantemos al amor de los amores</v>
      </c>
      <c r="AH91" t="str">
        <v>Adoramus te O Christe</v>
      </c>
    </row>
    <row r="92" spans="4:34" x14ac:dyDescent="0.3">
      <c r="D92" t="str">
        <v>Sólo en Dios</v>
      </c>
      <c r="J92" t="str">
        <v>Cristo te necesita para amar</v>
      </c>
      <c r="M92" t="str">
        <v>Dos señores</v>
      </c>
      <c r="N92" t="str">
        <v>El único rey</v>
      </c>
      <c r="P92" t="str">
        <v>Me fui</v>
      </c>
      <c r="U92" t="str">
        <v>Cristo</v>
      </c>
      <c r="AA92" t="str">
        <v>Aleluya por esa gente</v>
      </c>
      <c r="AH92" t="str">
        <v>Cantarei ao Senhor</v>
      </c>
    </row>
    <row r="93" spans="4:34" x14ac:dyDescent="0.3">
      <c r="D93" t="str">
        <v>Cantad al Señor</v>
      </c>
      <c r="J93" t="str">
        <v>Yo tengo un amigo que me ama</v>
      </c>
      <c r="M93" t="str">
        <v>Buen pastor</v>
      </c>
      <c r="N93" t="str">
        <v>Hoy en Belén</v>
      </c>
      <c r="P93" t="str">
        <v>Cambios</v>
      </c>
      <c r="U93" t="str">
        <v>Allí estás tú</v>
      </c>
      <c r="AA93" t="str">
        <v>No temas</v>
      </c>
      <c r="AH93" t="str">
        <v>Behüte mich Gott</v>
      </c>
    </row>
    <row r="94" spans="4:34" x14ac:dyDescent="0.3">
      <c r="D94" t="str">
        <v>Agua viva</v>
      </c>
      <c r="J94" t="str">
        <v>Caminando voy</v>
      </c>
      <c r="M94" t="str">
        <v>El pobre Lázaro</v>
      </c>
      <c r="N94" t="str">
        <v>Lo imposible</v>
      </c>
      <c r="P94" t="str">
        <v>Toma mi libertad</v>
      </c>
      <c r="U94" t="str">
        <v>Deja que en tu vida cante Él</v>
      </c>
      <c r="AA94" t="str">
        <v>Santo (Olguín)</v>
      </c>
      <c r="AH94" t="str">
        <v>I am sure I shall see</v>
      </c>
    </row>
    <row r="95" spans="4:34" x14ac:dyDescent="0.3">
      <c r="D95" t="str">
        <v>Fuego y abrazo</v>
      </c>
      <c r="J95" t="str">
        <v>Eres mi riqueza</v>
      </c>
      <c r="M95" t="str">
        <v>Después de la medianoche</v>
      </c>
      <c r="N95" t="str">
        <v>Del cielo</v>
      </c>
      <c r="P95" t="str">
        <v>Gracias</v>
      </c>
      <c r="U95" t="str">
        <v>Grito libertad</v>
      </c>
      <c r="AA95" t="str">
        <v>Dios está aquí</v>
      </c>
      <c r="AH95" t="str">
        <v>Cantate Domino canticum novum</v>
      </c>
    </row>
    <row r="96" spans="4:34" x14ac:dyDescent="0.3">
      <c r="D96" t="str">
        <v>Habitaré</v>
      </c>
      <c r="J96" t="str">
        <v>Iglesia soy</v>
      </c>
      <c r="M96" t="str">
        <v>El Señor ha estado grande con nosotros</v>
      </c>
      <c r="N96" t="str">
        <v>Juntos</v>
      </c>
      <c r="P96" t="str">
        <v>Qué buscáis</v>
      </c>
      <c r="U96" t="str">
        <v>Sí, Jesús</v>
      </c>
      <c r="AA96" t="str">
        <v>Cuando el pan que está en mi vida</v>
      </c>
      <c r="AH96" t="str">
        <v>Kyrie 20</v>
      </c>
    </row>
    <row r="97" spans="4:34" x14ac:dyDescent="0.3">
      <c r="D97" t="str">
        <v>Discípulos</v>
      </c>
      <c r="J97" t="str">
        <v>Aleluya, creo en Ti, Señor</v>
      </c>
      <c r="M97" t="str">
        <v>Reunidos en el nombre del Señor</v>
      </c>
      <c r="P97" t="str">
        <v>El mayor</v>
      </c>
      <c r="U97" t="str">
        <v>No temáis</v>
      </c>
      <c r="AA97" t="str">
        <v>La cena del Señor</v>
      </c>
      <c r="AH97" t="str">
        <v>Christe, lux mundi</v>
      </c>
    </row>
    <row r="98" spans="4:34" x14ac:dyDescent="0.3">
      <c r="D98" t="str">
        <v>No os dejo solos</v>
      </c>
      <c r="J98" t="str">
        <v>Cuando rezamos, cuando cantamos</v>
      </c>
      <c r="M98" t="str">
        <v>Tuyo es el reino</v>
      </c>
      <c r="P98" t="str">
        <v>Hágase</v>
      </c>
      <c r="U98" t="str">
        <v>La libertad del Espíritu</v>
      </c>
      <c r="AA98" t="str">
        <v>Santo (Cielo y tierra pasarán)</v>
      </c>
      <c r="AH98" t="str">
        <v>Dominus spiritus est</v>
      </c>
    </row>
    <row r="99" spans="4:34" x14ac:dyDescent="0.3">
      <c r="D99" t="str">
        <v>Por amor a tu pueblo</v>
      </c>
      <c r="J99" t="str">
        <v>La misa es una fiesta muy alegre</v>
      </c>
      <c r="M99" t="str">
        <v>Bendice, alma mía, al Señor</v>
      </c>
      <c r="P99" t="str">
        <v>Abre una grieta</v>
      </c>
      <c r="U99" t="str">
        <v>Quéjate si puedes</v>
      </c>
      <c r="AA99" t="str">
        <v>Tus manos son palomas de la paz</v>
      </c>
      <c r="AH99" t="str">
        <v>Herre, visa mig vägen</v>
      </c>
    </row>
    <row r="100" spans="4:34" x14ac:dyDescent="0.3">
      <c r="D100" t="str">
        <v>Llama de amor viva</v>
      </c>
      <c r="J100" t="str">
        <v>Tú, que siempre nos perdonas</v>
      </c>
      <c r="M100" t="str">
        <v>Alégrate y goza, Jerusalén</v>
      </c>
      <c r="P100" t="str">
        <v>En espíritu y en verdad</v>
      </c>
      <c r="U100" t="str">
        <v>Lo entregaron todo</v>
      </c>
      <c r="AA100" t="str">
        <v>Habrá un día en que todos</v>
      </c>
      <c r="AH100" t="str">
        <v>Vieni Spirito creatore (canon)</v>
      </c>
    </row>
    <row r="101" spans="4:34" x14ac:dyDescent="0.3">
      <c r="D101" t="str">
        <v>La piedra angular</v>
      </c>
      <c r="J101" t="str">
        <v>Gloria, gloria</v>
      </c>
      <c r="M101" t="str">
        <v>Te doy gracias, Señor</v>
      </c>
      <c r="P101" t="str">
        <v>Sólo tu espíritu</v>
      </c>
      <c r="U101" t="str">
        <v>Vale más hablar con Dios</v>
      </c>
      <c r="AA101" t="str">
        <v>Himno a San José</v>
      </c>
      <c r="AH101" t="str">
        <v>Deus, Deus meus (canon)</v>
      </c>
    </row>
    <row r="102" spans="4:34" x14ac:dyDescent="0.3">
      <c r="D102" t="str">
        <v>Como pan pequeño</v>
      </c>
      <c r="J102" t="str">
        <v>Enséñame, Señor, tus caminos</v>
      </c>
      <c r="M102" t="str">
        <v>Aleluya, aleluya, aleluya</v>
      </c>
      <c r="P102" t="str">
        <v>Sueño una iglesia</v>
      </c>
      <c r="U102" t="str">
        <v>De lo débil saca fuerzas Dios</v>
      </c>
      <c r="AA102" t="str">
        <v>Navidad, es Navidad</v>
      </c>
      <c r="AH102" t="str">
        <v>V tebi je izvir življenja</v>
      </c>
    </row>
    <row r="103" spans="4:34" x14ac:dyDescent="0.3">
      <c r="D103" t="str">
        <v>En ti</v>
      </c>
      <c r="J103" t="str">
        <v>Ojalá escuchemos hoy su voz</v>
      </c>
      <c r="M103" t="str">
        <v>Alabad al Señor por su inmensa grandeza</v>
      </c>
      <c r="P103" t="str">
        <v>Somos Pueblo de Dios</v>
      </c>
      <c r="U103" t="str">
        <v>Fueron valientes</v>
      </c>
      <c r="AA103" t="str">
        <v>Navidad, Navidad</v>
      </c>
      <c r="AH103" t="str">
        <v>Despierta tú que duermes</v>
      </c>
    </row>
    <row r="104" spans="4:34" x14ac:dyDescent="0.3">
      <c r="D104" t="str">
        <v>Ven, Señor</v>
      </c>
      <c r="J104" t="str">
        <v>Haz, Señor</v>
      </c>
      <c r="M104" t="str">
        <v>Señor, Dios nuestro</v>
      </c>
      <c r="P104" t="str">
        <v>La historia se repite</v>
      </c>
      <c r="U104" t="str">
        <v>Te reclamarán la vida</v>
      </c>
      <c r="AA104" t="str">
        <v>Principio y fundamento</v>
      </c>
      <c r="AH104" t="str">
        <v>Zu wem sollen wir gehen</v>
      </c>
    </row>
    <row r="105" spans="4:34" x14ac:dyDescent="0.3">
      <c r="D105" t="str">
        <v>Volemos</v>
      </c>
      <c r="J105" t="str">
        <v>Creo, Señor</v>
      </c>
      <c r="M105" t="str">
        <v>Señor, tú has sido nuestro refugio</v>
      </c>
      <c r="P105" t="str">
        <v>Llega el día</v>
      </c>
      <c r="U105" t="str">
        <v>Esperad al Señor</v>
      </c>
      <c r="AA105" t="str">
        <v>Pueblo que avanzas buscando</v>
      </c>
      <c r="AH105" t="str">
        <v>Jésus le Christ</v>
      </c>
    </row>
    <row r="106" spans="4:34" x14ac:dyDescent="0.3">
      <c r="D106" t="str">
        <v>Yo soy</v>
      </c>
      <c r="J106" t="str">
        <v>Un niño se te acercó</v>
      </c>
      <c r="M106" t="str">
        <v>Cantaré eternamente</v>
      </c>
      <c r="P106" t="str">
        <v>Coge tu cruz</v>
      </c>
      <c r="U106" t="str">
        <v>Buena Madre</v>
      </c>
      <c r="AA106" t="str">
        <v>Alegrémonos, hermanos</v>
      </c>
      <c r="AH106" t="str">
        <v>Laudate Dominum</v>
      </c>
    </row>
    <row r="107" spans="4:34" x14ac:dyDescent="0.3">
      <c r="D107" t="str">
        <v>A toda la tierra alcanza su pregón</v>
      </c>
      <c r="J107" t="str">
        <v>Santo (I)</v>
      </c>
      <c r="M107" t="str">
        <v>Oh, Dios, Tú mereces un himno en Sión</v>
      </c>
      <c r="P107" t="str">
        <v>Bienaventurados</v>
      </c>
      <c r="U107" t="str">
        <v>Constrúyenos la casa</v>
      </c>
      <c r="AA107" t="str">
        <v>Jesús, nuestra Pascua</v>
      </c>
      <c r="AH107" t="str">
        <v>Bénissez le Seigneur</v>
      </c>
    </row>
    <row r="108" spans="4:34" x14ac:dyDescent="0.3">
      <c r="D108" t="str">
        <v>Con amor eterno</v>
      </c>
      <c r="J108" t="str">
        <v>Tú nos invitas, Jesús</v>
      </c>
      <c r="M108" t="str">
        <v>Aclamad, justos, al Señor</v>
      </c>
      <c r="P108" t="str">
        <v>Los pobres</v>
      </c>
      <c r="U108" t="str">
        <v>Hermano entre los hombres</v>
      </c>
      <c r="AA108" t="str">
        <v>Juntos cantemos hoy</v>
      </c>
      <c r="AH108" t="str">
        <v>Bonum est confidere</v>
      </c>
    </row>
    <row r="109" spans="4:34" x14ac:dyDescent="0.3">
      <c r="D109" t="str">
        <v>Lámpara es tu palabra</v>
      </c>
      <c r="J109" t="str">
        <v>Tan cerca de mí</v>
      </c>
      <c r="M109" t="str">
        <v>El Señor es compasivo y misericordioso</v>
      </c>
      <c r="P109" t="str">
        <v>Los mansos y humildes</v>
      </c>
      <c r="U109" t="str">
        <v>En torno al pan</v>
      </c>
      <c r="AA109" t="str">
        <v>Ayúdame a caminar</v>
      </c>
      <c r="AH109" t="str">
        <v>Jesus, remember me</v>
      </c>
    </row>
    <row r="110" spans="4:34" x14ac:dyDescent="0.3">
      <c r="D110" t="str">
        <v>Anunciarte</v>
      </c>
      <c r="J110" t="str">
        <v>La misa no termina aquí en la iglesia</v>
      </c>
      <c r="M110" t="str">
        <v>Envía tu Espíritu, Señor</v>
      </c>
      <c r="P110" t="str">
        <v>Los que lloran</v>
      </c>
      <c r="U110" t="str">
        <v>Acuérdate, María</v>
      </c>
      <c r="AA110" t="str">
        <v>La palabra nos la dio el Señor</v>
      </c>
      <c r="AH110" t="str">
        <v>Jubelt und freut euch</v>
      </c>
    </row>
    <row r="111" spans="4:34" x14ac:dyDescent="0.3">
      <c r="D111" t="str">
        <v>Invítanos</v>
      </c>
      <c r="J111" t="str">
        <v>Yo confío en ti, Señor</v>
      </c>
      <c r="M111" t="str">
        <v>Si me falta el amor</v>
      </c>
      <c r="P111" t="str">
        <v>Los que tienen hambre y sed de justicia</v>
      </c>
      <c r="U111" t="str">
        <v>Hermano, adiós</v>
      </c>
      <c r="AA111" t="str">
        <v>Alabad al Señor en su templo</v>
      </c>
      <c r="AH111" t="str">
        <v>Sanasi on lamppu</v>
      </c>
    </row>
    <row r="112" spans="4:34" x14ac:dyDescent="0.3">
      <c r="D112" t="str">
        <v>Hágase</v>
      </c>
      <c r="J112" t="str">
        <v>Nadie hay tan grande como tú</v>
      </c>
      <c r="M112" t="str">
        <v>Vaso nuevo</v>
      </c>
      <c r="P112" t="str">
        <v>Los limpios de corazón</v>
      </c>
      <c r="U112" t="str">
        <v>En tu cruz sigues hoy</v>
      </c>
      <c r="AA112" t="str">
        <v>El Señor es nuestra alegría (Este es el día)</v>
      </c>
      <c r="AH112" t="str">
        <v>Señor, que florezca tu justicia</v>
      </c>
    </row>
    <row r="113" spans="4:34" x14ac:dyDescent="0.3">
      <c r="D113" t="str">
        <v>Creatura habitada</v>
      </c>
      <c r="J113" t="str">
        <v>Junto al mar</v>
      </c>
      <c r="M113" t="str">
        <v>Ven a salvar a tu pueblo</v>
      </c>
      <c r="P113" t="str">
        <v>Los misericordiosos</v>
      </c>
      <c r="U113" t="str">
        <v>En la cruz nos das la vida</v>
      </c>
      <c r="AA113" t="str">
        <v>Lámpara es tu palabra</v>
      </c>
      <c r="AH113" t="str">
        <v>Heureux qui s’abandonne à toi</v>
      </c>
    </row>
    <row r="114" spans="4:34" x14ac:dyDescent="0.3">
      <c r="D114" t="str">
        <v>El hombre de Gerasa</v>
      </c>
      <c r="J114" t="str">
        <v>Buen pastor</v>
      </c>
      <c r="P114" t="str">
        <v>Los constructores de paz</v>
      </c>
      <c r="U114" t="str">
        <v>Siento tu llamada</v>
      </c>
      <c r="AA114" t="str">
        <v>Oh, Dios, tú eres mi Dios (Sed de Dios)</v>
      </c>
      <c r="AH114" t="str">
        <v>Voici Dieu qui vient à mon secours</v>
      </c>
    </row>
    <row r="115" spans="4:34" x14ac:dyDescent="0.3">
      <c r="D115" t="str">
        <v>Llueve Tú</v>
      </c>
      <c r="J115" t="str">
        <v>Samaritana</v>
      </c>
      <c r="P115" t="str">
        <v>Los perseguidos</v>
      </c>
      <c r="U115" t="str">
        <v>El Señor es la esperanza</v>
      </c>
      <c r="AA115" t="str">
        <v>Alelu-aleluya</v>
      </c>
      <c r="AH115" t="str">
        <v>Staňte se solí</v>
      </c>
    </row>
    <row r="116" spans="4:34" x14ac:dyDescent="0.3">
      <c r="D116" t="str">
        <v>Benedictus</v>
      </c>
      <c r="J116" t="str">
        <v>Dios es amor</v>
      </c>
      <c r="P116" t="str">
        <v>Como sal, como luz</v>
      </c>
      <c r="U116" t="str">
        <v>El Señor está aquí</v>
      </c>
      <c r="AA116" t="str">
        <v>Resucitó, aleluya</v>
      </c>
      <c r="AH116" t="str">
        <v>Ubi caritas</v>
      </c>
    </row>
    <row r="117" spans="4:34" x14ac:dyDescent="0.3">
      <c r="D117" t="str">
        <v>Heme aquí</v>
      </c>
      <c r="J117" t="str">
        <v>Mi amigo vive</v>
      </c>
      <c r="P117" t="str">
        <v>Infinito abismo</v>
      </c>
      <c r="U117" t="str">
        <v>Caminad</v>
      </c>
      <c r="AA117" t="str">
        <v>Ven, Espíritu de Dios (Esprit createur)</v>
      </c>
      <c r="AH117" t="str">
        <v>Surrexit Dominus vere (canon)</v>
      </c>
    </row>
    <row r="118" spans="4:34" x14ac:dyDescent="0.3">
      <c r="D118" t="str">
        <v>Baja</v>
      </c>
      <c r="J118" t="str">
        <v>Tú pones lo demás</v>
      </c>
      <c r="P118" t="str">
        <v>Hacia Ti</v>
      </c>
      <c r="U118" t="str">
        <v>Acógeme, Dios</v>
      </c>
      <c r="AA118" t="str">
        <v>Yo celebraré</v>
      </c>
      <c r="AH118" t="str">
        <v>Christe Salvator</v>
      </c>
    </row>
    <row r="119" spans="4:34" x14ac:dyDescent="0.3">
      <c r="D119" t="str">
        <v>Mi alegría</v>
      </c>
      <c r="J119" t="str">
        <v>Padre nuestro (Lámpara de barro)</v>
      </c>
      <c r="P119" t="str">
        <v>Ora en mí</v>
      </c>
      <c r="U119" t="str">
        <v>María, madre del dolor</v>
      </c>
      <c r="AA119" t="str">
        <v>Canta aleluya</v>
      </c>
      <c r="AH119" t="str">
        <v>Benedictus qui venit (canon)</v>
      </c>
    </row>
    <row r="120" spans="4:34" x14ac:dyDescent="0.3">
      <c r="D120" t="str">
        <v>Raíces</v>
      </c>
      <c r="J120" t="str">
        <v>Esperando, esperando</v>
      </c>
      <c r="P120" t="str">
        <v>Vuelve</v>
      </c>
      <c r="U120" t="str">
        <v>El Señor nos ha reunido</v>
      </c>
      <c r="AA120" t="str">
        <v>Fe no es aguardar</v>
      </c>
      <c r="AH120" t="str">
        <v>Nunc dimittis</v>
      </c>
    </row>
    <row r="121" spans="4:34" x14ac:dyDescent="0.3">
      <c r="D121" t="str">
        <v>Como un joven más</v>
      </c>
      <c r="J121" t="str">
        <v>Una nueva vida</v>
      </c>
      <c r="P121" t="str">
        <v>Espero en ti</v>
      </c>
      <c r="U121" t="str">
        <v>Llama de vida</v>
      </c>
      <c r="AA121" t="str">
        <v>Acuérdate de Jesucristo</v>
      </c>
      <c r="AH121" t="str">
        <v>Ad te Jesu Christe</v>
      </c>
    </row>
    <row r="122" spans="4:34" x14ac:dyDescent="0.3">
      <c r="D122" t="str">
        <v>Nacer de nuevo</v>
      </c>
      <c r="J122" t="str">
        <v>Una espiga dorada</v>
      </c>
      <c r="P122" t="str">
        <v>Extiende tu mano</v>
      </c>
      <c r="U122" t="str">
        <v>Venga tu reino</v>
      </c>
      <c r="AA122" t="str">
        <v>Anunciaremos tu Reino, Señor</v>
      </c>
      <c r="AH122" t="str">
        <v>Il Signore ti ristora</v>
      </c>
    </row>
    <row r="123" spans="4:34" x14ac:dyDescent="0.3">
      <c r="D123" t="str">
        <v>Descendió</v>
      </c>
      <c r="J123" t="str">
        <v>El niño Dios ha nacido en Belén</v>
      </c>
      <c r="P123" t="str">
        <v>Ruah</v>
      </c>
      <c r="U123" t="str">
        <v>Pregón Pascual (Gloria)</v>
      </c>
      <c r="AA123" t="str">
        <v>Oh, Señor, envía tu Espíritu</v>
      </c>
      <c r="AH123" t="str">
        <v>Alleluia 22</v>
      </c>
    </row>
    <row r="124" spans="4:34" x14ac:dyDescent="0.3">
      <c r="D124" t="str">
        <v>Mirad el árbol de la Cruz</v>
      </c>
      <c r="J124" t="str">
        <v>Juntos como hermanos</v>
      </c>
      <c r="P124" t="str">
        <v>Descansa</v>
      </c>
      <c r="U124" t="str">
        <v>Mirad, Jesús resucita hoy</v>
      </c>
      <c r="AA124" t="str">
        <v>Un solo Señor</v>
      </c>
      <c r="AH124" t="str">
        <v>Iedere nacht verlang ik</v>
      </c>
    </row>
    <row r="125" spans="4:34" x14ac:dyDescent="0.3">
      <c r="D125" t="str">
        <v>Conectada</v>
      </c>
      <c r="P125" t="str">
        <v>Cuando vuelva tu luz</v>
      </c>
      <c r="U125" t="str">
        <v>Somos testigos</v>
      </c>
      <c r="AA125" t="str">
        <v>Sois la sal</v>
      </c>
      <c r="AH125" t="str">
        <v>Aber du weisst den Weg für mich</v>
      </c>
    </row>
    <row r="126" spans="4:34" x14ac:dyDescent="0.3">
      <c r="D126" t="str">
        <v>Vivirás</v>
      </c>
      <c r="P126" t="str">
        <v>Entra en tu cuarto</v>
      </c>
      <c r="U126" t="str">
        <v>Tu camino y tu verdad</v>
      </c>
      <c r="AA126" t="str">
        <v>Amando hasta el extremo</v>
      </c>
      <c r="AH126" t="str">
        <v>Eat this bread</v>
      </c>
    </row>
    <row r="127" spans="4:34" x14ac:dyDescent="0.3">
      <c r="D127" t="str">
        <v>Fieles y unidos</v>
      </c>
      <c r="P127" t="str">
        <v>Transfigúrame</v>
      </c>
      <c r="U127" t="str">
        <v>Seguir amando</v>
      </c>
      <c r="AA127" t="str">
        <v>Quiero alabarte</v>
      </c>
      <c r="AH127" t="str">
        <v>Jesus Christ, bread of life</v>
      </c>
    </row>
    <row r="128" spans="4:34" x14ac:dyDescent="0.3">
      <c r="D128" t="str">
        <v>Luz de Pascua</v>
      </c>
      <c r="P128" t="str">
        <v>Tengo fe</v>
      </c>
      <c r="U128" t="str">
        <v>Y se vive la vida</v>
      </c>
      <c r="AA128" t="str">
        <v>Jesús, amigo</v>
      </c>
      <c r="AH128" t="str">
        <v>Esprit consolateur</v>
      </c>
    </row>
    <row r="129" spans="4:34" x14ac:dyDescent="0.3">
      <c r="D129" t="str">
        <v>Mi todo</v>
      </c>
      <c r="P129" t="str">
        <v>Que sean uno</v>
      </c>
      <c r="U129" t="str">
        <v>Jesús, cámbianos</v>
      </c>
      <c r="AA129" t="str">
        <v>Te amo, Señor</v>
      </c>
      <c r="AH129" t="str">
        <v>Let all who are thirsty come</v>
      </c>
    </row>
    <row r="130" spans="4:34" x14ac:dyDescent="0.3">
      <c r="D130" t="str">
        <v>Acompáñame, María</v>
      </c>
      <c r="P130" t="str">
        <v>Ama y haz lo que quieras</v>
      </c>
      <c r="U130" t="str">
        <v>Como María</v>
      </c>
      <c r="AA130" t="str">
        <v>Quién nos separará</v>
      </c>
      <c r="AH130" t="str">
        <v>Alleluia 17</v>
      </c>
    </row>
    <row r="131" spans="4:34" x14ac:dyDescent="0.3">
      <c r="D131" t="str">
        <v>Yo estoy</v>
      </c>
      <c r="P131" t="str">
        <v>Si no te dejo marchar</v>
      </c>
      <c r="U131" t="str">
        <v>Nos marca el caminar</v>
      </c>
      <c r="AA131" t="str">
        <v>Adiós, adiós amigos</v>
      </c>
      <c r="AH131" t="str">
        <v>Jésus, ma joie</v>
      </c>
    </row>
    <row r="132" spans="4:34" x14ac:dyDescent="0.3">
      <c r="P132" t="str">
        <v>Sopla en mí</v>
      </c>
      <c r="U132" t="str">
        <v>Soy mujer</v>
      </c>
      <c r="AA132" t="str">
        <v>Nadie te ama como Yo</v>
      </c>
      <c r="AH132" t="str">
        <v>Kyrie 6</v>
      </c>
    </row>
    <row r="133" spans="4:34" x14ac:dyDescent="0.3">
      <c r="P133" t="str">
        <v>Peña mía</v>
      </c>
      <c r="U133" t="str">
        <v>En ti solo descanso</v>
      </c>
      <c r="AA133" t="str">
        <v>Cristiano es vivir</v>
      </c>
      <c r="AH133" t="str">
        <v>Nada te turbe</v>
      </c>
    </row>
    <row r="134" spans="4:34" x14ac:dyDescent="0.3">
      <c r="P134" t="str">
        <v>Vuestra soy</v>
      </c>
      <c r="U134" t="str">
        <v>Dios de la vida</v>
      </c>
      <c r="AA134" t="str">
        <v>Depende de ti y de mí</v>
      </c>
      <c r="AH134" t="str">
        <v>Dona la pace</v>
      </c>
    </row>
    <row r="135" spans="4:34" x14ac:dyDescent="0.3">
      <c r="P135" t="str">
        <v>La partida</v>
      </c>
      <c r="U135" t="str">
        <v>Sueña</v>
      </c>
      <c r="AA135" t="str">
        <v>Quién más amigo que tú</v>
      </c>
      <c r="AH135" t="str">
        <v>Bleibet hier</v>
      </c>
    </row>
    <row r="136" spans="4:34" x14ac:dyDescent="0.3">
      <c r="P136" t="str">
        <v>Por ti madrugo</v>
      </c>
      <c r="U136" t="str">
        <v>Paz en la tierra</v>
      </c>
      <c r="AA136" t="str">
        <v>Hágase</v>
      </c>
      <c r="AH136" t="str">
        <v>Surrexit Christus</v>
      </c>
    </row>
    <row r="137" spans="4:34" x14ac:dyDescent="0.3">
      <c r="P137" t="str">
        <v>Si te tengo a ti</v>
      </c>
      <c r="U137" t="str">
        <v>Me estás llamando</v>
      </c>
      <c r="AA137" t="str">
        <v>María de Nazaret</v>
      </c>
      <c r="AH137" t="str">
        <v>O Christe Domine Jesu</v>
      </c>
    </row>
    <row r="138" spans="4:34" x14ac:dyDescent="0.3">
      <c r="P138" t="str">
        <v>La verdad</v>
      </c>
      <c r="U138" t="str">
        <v>Todo mi ser (Alabo tu bondad)</v>
      </c>
      <c r="AA138" t="str">
        <v>No se cansó de hacer el bien</v>
      </c>
      <c r="AH138" t="str">
        <v>Alleluia 7</v>
      </c>
    </row>
    <row r="139" spans="4:34" x14ac:dyDescent="0.3">
      <c r="P139" t="str">
        <v>Te quiero</v>
      </c>
      <c r="U139" t="str">
        <v>Tocaré para ti</v>
      </c>
      <c r="AA139" t="str">
        <v>Yendo contigo</v>
      </c>
      <c r="AH139" t="str">
        <v>Dona nobis pacem</v>
      </c>
    </row>
    <row r="140" spans="4:34" x14ac:dyDescent="0.3">
      <c r="P140" t="str">
        <v>María de Nazaret</v>
      </c>
      <c r="U140" t="str">
        <v>El amor es nuestro canto</v>
      </c>
      <c r="AA140" t="str">
        <v>Creo, Señor, firmemente</v>
      </c>
      <c r="AH140" t="str">
        <v>Psallite Deo</v>
      </c>
    </row>
    <row r="141" spans="4:34" x14ac:dyDescent="0.3">
      <c r="P141" t="str">
        <v>Regalada</v>
      </c>
      <c r="U141" t="str">
        <v>Enséñanos a orar</v>
      </c>
      <c r="AA141" t="str">
        <v>No hay cosa más bonita que mirar</v>
      </c>
      <c r="AH141" t="str">
        <v>Dieu ne peut que donner</v>
      </c>
    </row>
    <row r="142" spans="4:34" x14ac:dyDescent="0.3">
      <c r="P142" t="str">
        <v>Darnos del todo</v>
      </c>
      <c r="U142" t="str">
        <v>Tú, Señor</v>
      </c>
      <c r="AA142" t="str">
        <v>Santo salvadoreño</v>
      </c>
      <c r="AH142" t="str">
        <v>Da pacem cordium (canon)</v>
      </c>
    </row>
    <row r="143" spans="4:34" x14ac:dyDescent="0.3">
      <c r="P143" t="str">
        <v>Misericordia</v>
      </c>
      <c r="U143" t="str">
        <v>Esperando con María</v>
      </c>
      <c r="AA143" t="str">
        <v>Vamos todos al banquete</v>
      </c>
      <c r="AH143" t="str">
        <v>Tui amoris</v>
      </c>
    </row>
    <row r="144" spans="4:34" x14ac:dyDescent="0.3">
      <c r="P144" t="str">
        <v>Enséñame a quererme</v>
      </c>
      <c r="U144" t="str">
        <v>Ven, Espíritu de Dios (Kairoi)</v>
      </c>
      <c r="AA144" t="str">
        <v>Cordero de Dios (MiEs)</v>
      </c>
      <c r="AH144" t="str">
        <v>Da pacem... in diebus</v>
      </c>
    </row>
    <row r="145" spans="16:34" x14ac:dyDescent="0.3">
      <c r="P145" t="str">
        <v>Tú sabes quién soy</v>
      </c>
      <c r="U145" t="str">
        <v>Padre nuestro I</v>
      </c>
      <c r="AA145" t="str">
        <v>Santo (Mocedades)</v>
      </c>
      <c r="AH145" t="str">
        <v>Misericordias Domini</v>
      </c>
    </row>
    <row r="146" spans="16:34" x14ac:dyDescent="0.3">
      <c r="P146" t="str">
        <v>Tu bondad</v>
      </c>
      <c r="U146" t="str">
        <v>Amaos (Como el Padre me amó)</v>
      </c>
      <c r="AA146" t="str">
        <v>Aleluya (Santiago)</v>
      </c>
      <c r="AH146" t="str">
        <v>Crucem tuam</v>
      </c>
    </row>
    <row r="147" spans="16:34" x14ac:dyDescent="0.3">
      <c r="P147" t="str">
        <v>Levantaos, está cerca</v>
      </c>
      <c r="AA147" t="str">
        <v>El Señor es mi pastor (Nico Montero)</v>
      </c>
      <c r="AH147" t="str">
        <v>Spiritus Jesu Christi</v>
      </c>
    </row>
    <row r="148" spans="16:34" x14ac:dyDescent="0.3">
      <c r="P148" t="str">
        <v>Ven a sanarme</v>
      </c>
      <c r="AA148" t="str">
        <v>Una voz clama en el desierto</v>
      </c>
      <c r="AH148" t="str">
        <v>Jubilate coeli (canon)</v>
      </c>
    </row>
    <row r="149" spans="16:34" x14ac:dyDescent="0.3">
      <c r="P149" t="str">
        <v>El círculo del juicio</v>
      </c>
      <c r="AA149" t="str">
        <v>Gritad que Dios es grande</v>
      </c>
      <c r="AH149" t="str">
        <v>El alma que anda en amor</v>
      </c>
    </row>
    <row r="150" spans="16:34" x14ac:dyDescent="0.3">
      <c r="P150" t="str">
        <v>Hijo de David</v>
      </c>
      <c r="AA150" t="str">
        <v>La noticia es amor</v>
      </c>
      <c r="AH150" t="str">
        <v>The kingdom of God</v>
      </c>
    </row>
    <row r="151" spans="16:34" x14ac:dyDescent="0.3">
      <c r="P151" t="str">
        <v>Hambre y sed de ti</v>
      </c>
      <c r="AA151" t="str">
        <v>Juntos nos acercamos</v>
      </c>
      <c r="AH151" t="str">
        <v>Bóg jest miłością</v>
      </c>
    </row>
    <row r="152" spans="16:34" x14ac:dyDescent="0.3">
      <c r="P152" t="str">
        <v>Madre de la humanidad</v>
      </c>
      <c r="AA152" t="str">
        <v>Aquí tienes el Pan</v>
      </c>
      <c r="AH152" t="str">
        <v>Bogoroditse Dievo 1</v>
      </c>
    </row>
    <row r="153" spans="16:34" x14ac:dyDescent="0.3">
      <c r="P153" t="str">
        <v>Transfórmame</v>
      </c>
      <c r="AA153" t="str">
        <v>Hay un corazón que late</v>
      </c>
      <c r="AH153" t="str">
        <v>Beati voi poveri</v>
      </c>
    </row>
    <row r="154" spans="16:34" x14ac:dyDescent="0.3">
      <c r="P154" t="str">
        <v>Quién curará</v>
      </c>
      <c r="AA154" t="str">
        <v>Adorando</v>
      </c>
      <c r="AH154" t="str">
        <v>In manus tuas</v>
      </c>
    </row>
    <row r="155" spans="16:34" x14ac:dyDescent="0.3">
      <c r="P155" t="str">
        <v>Lázaro grita</v>
      </c>
      <c r="AA155" t="str">
        <v>Padre nuestro zaragozano</v>
      </c>
      <c r="AH155" t="str">
        <v>Jubilate Deo omnis terra</v>
      </c>
    </row>
    <row r="156" spans="16:34" x14ac:dyDescent="0.3">
      <c r="P156" t="str">
        <v>Mi buen Pastor</v>
      </c>
      <c r="AA156" t="str">
        <v>A ti acudo</v>
      </c>
      <c r="AH156" t="str">
        <v>In resurrectione tua</v>
      </c>
    </row>
    <row r="157" spans="16:34" x14ac:dyDescent="0.3">
      <c r="P157" t="str">
        <v>La ley y el sábado</v>
      </c>
      <c r="AA157" t="str">
        <v>Cantad a Dios</v>
      </c>
      <c r="AH157" t="str">
        <v>Tu sei sorgente viva</v>
      </c>
    </row>
    <row r="158" spans="16:34" x14ac:dyDescent="0.3">
      <c r="P158" t="str">
        <v>El ayuno que yo quiero</v>
      </c>
      <c r="AA158" t="str">
        <v>Gracias, Señor, por mis hermanos</v>
      </c>
      <c r="AH158" t="str">
        <v>L’ajuda em vindrà</v>
      </c>
    </row>
    <row r="159" spans="16:34" x14ac:dyDescent="0.3">
      <c r="P159" t="str">
        <v>Amad a vuestros enemigos</v>
      </c>
      <c r="AA159" t="str">
        <v>María, fuiste siempre pobre de Yahvé</v>
      </c>
      <c r="AH159" t="str">
        <v>Alleluia 96</v>
      </c>
    </row>
    <row r="160" spans="16:34" x14ac:dyDescent="0.3">
      <c r="P160" t="str">
        <v>Tu lluvia desciende</v>
      </c>
      <c r="AA160" t="str">
        <v>Nacerá una nueva hermandad</v>
      </c>
      <c r="AH160" t="str">
        <v>Wysławiajcie Pana</v>
      </c>
    </row>
    <row r="161" spans="16:34" x14ac:dyDescent="0.3">
      <c r="P161" t="str">
        <v>Mirad los lirios</v>
      </c>
      <c r="AA161" t="str">
        <v>Tomado de la mano</v>
      </c>
      <c r="AH161" t="str">
        <v>Alleluia 94</v>
      </c>
    </row>
    <row r="162" spans="16:34" x14ac:dyDescent="0.3">
      <c r="P162" t="str">
        <v>Por todos</v>
      </c>
      <c r="AA162" t="str">
        <v>A ti que eres el signo</v>
      </c>
      <c r="AH162" t="str">
        <v>Alleluia 97</v>
      </c>
    </row>
    <row r="163" spans="16:34" x14ac:dyDescent="0.3">
      <c r="P163" t="str">
        <v>Te seguiré</v>
      </c>
      <c r="AA163" t="str">
        <v>Como lo había anunciado</v>
      </c>
      <c r="AH163" t="str">
        <v>Kyrie 1</v>
      </c>
    </row>
    <row r="164" spans="16:34" x14ac:dyDescent="0.3">
      <c r="P164" t="str">
        <v>Proclama mi alma</v>
      </c>
      <c r="AA164" t="str">
        <v>María, guardabas todo</v>
      </c>
      <c r="AH164" t="str">
        <v>Kyrie 8</v>
      </c>
    </row>
    <row r="165" spans="16:34" x14ac:dyDescent="0.3">
      <c r="P165" t="str">
        <v>Tanto tiempo</v>
      </c>
      <c r="AA165" t="str">
        <v>Ilumíname, Señor</v>
      </c>
      <c r="AH165" t="str">
        <v>Para mim, ser feliz</v>
      </c>
    </row>
    <row r="166" spans="16:34" x14ac:dyDescent="0.3">
      <c r="P166" t="str">
        <v>Tú en mí, yo en todos</v>
      </c>
      <c r="AA166" t="str">
        <v>Mi Dios está vivo</v>
      </c>
      <c r="AH166" t="str">
        <v>Tu palabra, Señor</v>
      </c>
    </row>
    <row r="167" spans="16:34" x14ac:dyDescent="0.3">
      <c r="P167" t="str">
        <v>Padre, me ofrezco</v>
      </c>
      <c r="AA167" t="str">
        <v>Gracias, Señor</v>
      </c>
    </row>
    <row r="168" spans="16:34" x14ac:dyDescent="0.3">
      <c r="P168" t="str">
        <v>Dios Padre y Madre</v>
      </c>
      <c r="AA168" t="str">
        <v>Dime cómo ser pan</v>
      </c>
    </row>
    <row r="169" spans="16:34" x14ac:dyDescent="0.3">
      <c r="P169" t="str">
        <v>Dios del cielo</v>
      </c>
      <c r="AA169" t="str">
        <v>Cerca de Ti, Señor</v>
      </c>
    </row>
    <row r="170" spans="16:34" x14ac:dyDescent="0.3">
      <c r="P170" t="str">
        <v>Santificaré tu nombre</v>
      </c>
      <c r="AA170" t="str">
        <v>Padre nuestro, tú que estás</v>
      </c>
    </row>
    <row r="171" spans="16:34" x14ac:dyDescent="0.3">
      <c r="P171" t="str">
        <v>Parábola del Reino</v>
      </c>
      <c r="AA171" t="str">
        <v>Quiero caminar</v>
      </c>
    </row>
    <row r="172" spans="16:34" x14ac:dyDescent="0.3">
      <c r="P172" t="str">
        <v>Hacer tu voluntad</v>
      </c>
      <c r="AA172" t="str">
        <v>Yo soy el Pan de Vida</v>
      </c>
    </row>
    <row r="173" spans="16:34" x14ac:dyDescent="0.3">
      <c r="P173" t="str">
        <v>Nueva tierra</v>
      </c>
      <c r="AA173" t="str">
        <v>Santo (The Beatles)</v>
      </c>
    </row>
    <row r="174" spans="16:34" x14ac:dyDescent="0.3">
      <c r="P174" t="str">
        <v>Danos hoy</v>
      </c>
      <c r="AA174" t="str">
        <v>Cordero de Dios (Aragüés)</v>
      </c>
    </row>
    <row r="175" spans="16:34" x14ac:dyDescent="0.3">
      <c r="P175" t="str">
        <v>Perdónanos</v>
      </c>
      <c r="AA175" t="str">
        <v>Junto a ti al caer de la tarde</v>
      </c>
    </row>
    <row r="176" spans="16:34" x14ac:dyDescent="0.3">
      <c r="P176" t="str">
        <v>No nos dejes caer</v>
      </c>
      <c r="AA176" t="str">
        <v>A dónde me queréis llevar</v>
      </c>
    </row>
    <row r="177" spans="16:27" x14ac:dyDescent="0.3">
      <c r="P177" t="str">
        <v>Líbrame</v>
      </c>
      <c r="AA177" t="str">
        <v>Algo nuevo</v>
      </c>
    </row>
    <row r="178" spans="16:27" x14ac:dyDescent="0.3">
      <c r="P178" t="str">
        <v>Tu Amén</v>
      </c>
      <c r="AA178" t="str">
        <v>Santo, Santo, Santo</v>
      </c>
    </row>
    <row r="179" spans="16:27" x14ac:dyDescent="0.3">
      <c r="P179" t="str">
        <v>Somos tu pueblo</v>
      </c>
      <c r="AA179" t="str">
        <v>Navidad es amar, romper toda frontera</v>
      </c>
    </row>
    <row r="180" spans="16:27" x14ac:dyDescent="0.3">
      <c r="P180" t="str">
        <v>Padrenuestro II</v>
      </c>
      <c r="AA180" t="str">
        <v>Qué fácil es decir sí</v>
      </c>
    </row>
    <row r="181" spans="16:27" x14ac:dyDescent="0.3">
      <c r="P181" t="str">
        <v>Te necesito</v>
      </c>
      <c r="AA181" t="str">
        <v>Él está vivo, tú lo has visto</v>
      </c>
    </row>
    <row r="182" spans="16:27" x14ac:dyDescent="0.3">
      <c r="P182" t="str">
        <v>Sólo quedas Tú</v>
      </c>
    </row>
    <row r="183" spans="16:27" x14ac:dyDescent="0.3">
      <c r="P183" t="str">
        <v>Talithakum</v>
      </c>
    </row>
    <row r="184" spans="16:27" x14ac:dyDescent="0.3">
      <c r="P184" t="str">
        <v>Cristianos de orilla</v>
      </c>
    </row>
    <row r="185" spans="16:27" x14ac:dyDescent="0.3">
      <c r="P185" t="str">
        <v>Vive lo que cantas</v>
      </c>
    </row>
    <row r="186" spans="16:27" x14ac:dyDescent="0.3">
      <c r="P186" t="str">
        <v>Culpable</v>
      </c>
    </row>
    <row r="187" spans="16:27" x14ac:dyDescent="0.3">
      <c r="P187" t="str">
        <v>Me siento perdonado</v>
      </c>
    </row>
    <row r="188" spans="16:27" x14ac:dyDescent="0.3">
      <c r="P188" t="str">
        <v>Yo te alabo</v>
      </c>
    </row>
    <row r="189" spans="16:27" x14ac:dyDescent="0.3">
      <c r="P189" t="str">
        <v>Gracias, amigo del alma</v>
      </c>
    </row>
    <row r="190" spans="16:27" x14ac:dyDescent="0.3">
      <c r="P190" t="str">
        <v>Adonde vayas</v>
      </c>
    </row>
    <row r="191" spans="16:27" x14ac:dyDescent="0.3">
      <c r="P191" t="str">
        <v>Contigo</v>
      </c>
    </row>
    <row r="192" spans="16:27" x14ac:dyDescent="0.3">
      <c r="P192" t="str">
        <v>Tú, mi raíz</v>
      </c>
    </row>
    <row r="193" spans="16:16" x14ac:dyDescent="0.3">
      <c r="P193" t="str">
        <v>Cuando dos se aman</v>
      </c>
    </row>
    <row r="194" spans="16:16" x14ac:dyDescent="0.3">
      <c r="P194" t="str">
        <v>Un poco de fe</v>
      </c>
    </row>
    <row r="195" spans="16:16" x14ac:dyDescent="0.3">
      <c r="P195" t="str">
        <v>No me rendiré</v>
      </c>
    </row>
    <row r="196" spans="16:16" x14ac:dyDescent="0.3">
      <c r="P196" t="str">
        <v>Envíame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2C45-DBA8-4C31-A2F5-032BA8E1E8FA}">
  <sheetPr codeName="Hoja4"/>
  <dimension ref="A1:J36"/>
  <sheetViews>
    <sheetView workbookViewId="0">
      <selection activeCell="H11" sqref="H11"/>
    </sheetView>
    <sheetView workbookViewId="1"/>
  </sheetViews>
  <sheetFormatPr baseColWidth="10" defaultRowHeight="14.4" x14ac:dyDescent="0.3"/>
  <cols>
    <col min="2" max="2" width="19.21875" bestFit="1" customWidth="1"/>
    <col min="3" max="3" width="31.21875" bestFit="1" customWidth="1"/>
  </cols>
  <sheetData>
    <row r="1" spans="1:10" x14ac:dyDescent="0.3">
      <c r="A1" t="s">
        <v>0</v>
      </c>
      <c r="B1" t="s">
        <v>477</v>
      </c>
      <c r="C1" t="s">
        <v>2136</v>
      </c>
      <c r="D1" t="s">
        <v>1926</v>
      </c>
      <c r="E1" t="s">
        <v>2124</v>
      </c>
      <c r="F1" t="s">
        <v>2115</v>
      </c>
      <c r="J1" t="s">
        <v>541</v>
      </c>
    </row>
    <row r="2" spans="1:10" x14ac:dyDescent="0.3">
      <c r="A2">
        <v>1</v>
      </c>
      <c r="B2" t="s">
        <v>208</v>
      </c>
      <c r="C2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nsb</v>
      </c>
      <c r="D2" t="s">
        <v>2128</v>
      </c>
      <c r="E2" t="s">
        <v>792</v>
      </c>
      <c r="F2" t="str">
        <f>"&lt;a href=""#"&amp;Autores[[#This Row],[id]]&amp;""" class=""btn-indice""&gt;"&amp;Autores[[#This Row],[Autor]]&amp;"&lt;/a&gt;"</f>
        <v>&lt;a href="#nsb" class="btn-indice"&gt;NSB&lt;/a&gt;</v>
      </c>
      <c r="J2" t="s">
        <v>617</v>
      </c>
    </row>
    <row r="3" spans="1:10" x14ac:dyDescent="0.3">
      <c r="A3">
        <v>2</v>
      </c>
      <c r="B3" t="s">
        <v>2130</v>
      </c>
      <c r="C3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taize_original</v>
      </c>
      <c r="D3" t="s">
        <v>2127</v>
      </c>
      <c r="E3" t="s">
        <v>792</v>
      </c>
      <c r="F3" t="str">
        <f>"&lt;a href=""#"&amp;Autores[[#This Row],[id]]&amp;""" class=""btn-indice""&gt;"&amp;Autores[[#This Row],[Autor]]&amp;"&lt;/a&gt;"</f>
        <v>&lt;a href="#taiz_org" class="btn-indice"&gt;Taizé original&lt;/a&gt;</v>
      </c>
      <c r="J3" t="s">
        <v>572</v>
      </c>
    </row>
    <row r="4" spans="1:10" x14ac:dyDescent="0.3">
      <c r="A4">
        <v>3</v>
      </c>
      <c r="B4" t="s">
        <v>1936</v>
      </c>
      <c r="C4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taize_en_español</v>
      </c>
      <c r="D4" t="s">
        <v>1927</v>
      </c>
      <c r="E4" t="s">
        <v>792</v>
      </c>
      <c r="F4" t="str">
        <f>"&lt;a href=""#"&amp;Autores[[#This Row],[id]]&amp;""" class=""btn-indice""&gt;"&amp;Autores[[#This Row],[Autor]]&amp;"&lt;/a&gt;"</f>
        <v>&lt;a href="#taiz_esp" class="btn-indice"&gt;Taizé en español&lt;/a&gt;</v>
      </c>
      <c r="J4" t="s">
        <v>1512</v>
      </c>
    </row>
    <row r="5" spans="1:10" x14ac:dyDescent="0.3">
      <c r="B5" t="s">
        <v>267</v>
      </c>
      <c r="C5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taize</v>
      </c>
    </row>
    <row r="6" spans="1:10" x14ac:dyDescent="0.3">
      <c r="A6">
        <v>4</v>
      </c>
      <c r="B6" t="s">
        <v>1510</v>
      </c>
      <c r="C6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nuevas</v>
      </c>
      <c r="D6" t="str">
        <f>IF(Autores[[#This Row],[id_lado]]="i",
LEFT(SUBSTITUTE(SUBSTITUTE(Autores[[#This Row],[Secciones]],"_",""),"/",""),4),
LEFT(SUBSTITUTE(SUBSTITUTE(_xlfn.TEXTAFTER(Autores[[#This Row],[Secciones]],"_",-1),"_",""),"/",""),4))</f>
        <v>nuev</v>
      </c>
      <c r="E6" t="s">
        <v>2125</v>
      </c>
      <c r="F6" t="str">
        <f>"&lt;a href=""#"&amp;Autores[[#This Row],[id]]&amp;""" class=""btn-indice""&gt;"&amp;Autores[[#This Row],[Autor]]&amp;"&lt;/a&gt;"</f>
        <v>&lt;a href="#nuev" class="btn-indice"&gt;Nuevas&lt;/a&gt;</v>
      </c>
      <c r="J6" t="s">
        <v>1513</v>
      </c>
    </row>
    <row r="7" spans="1:10" x14ac:dyDescent="0.3">
      <c r="A7">
        <v>5</v>
      </c>
      <c r="B7" t="s">
        <v>2129</v>
      </c>
      <c r="C7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villancicos</v>
      </c>
      <c r="D7" t="s">
        <v>2131</v>
      </c>
      <c r="E7" t="s">
        <v>2125</v>
      </c>
      <c r="F7" t="str">
        <f>"&lt;a href=""#"&amp;Autores[[#This Row],[id]]&amp;""" class=""btn-indice""&gt;"&amp;Autores[[#This Row],[Autor]]&amp;"&lt;/a&gt;"</f>
        <v>&lt;a href="#navi" class="btn-indice"&gt;Villancicos&lt;/a&gt;</v>
      </c>
      <c r="J7" t="s">
        <v>1514</v>
      </c>
    </row>
    <row r="8" spans="1:10" x14ac:dyDescent="0.3">
      <c r="A8">
        <v>6</v>
      </c>
      <c r="B8" t="s">
        <v>483</v>
      </c>
      <c r="C8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kairoi</v>
      </c>
      <c r="D8" t="str">
        <f>IF(Autores[[#This Row],[id_lado]]="i",
LEFT(SUBSTITUTE(SUBSTITUTE(Autores[[#This Row],[Secciones]],"_",""),"/",""),4),
LEFT(SUBSTITUTE(SUBSTITUTE(_xlfn.TEXTAFTER(Autores[[#This Row],[Secciones]],"_",-1),"_",""),"/",""),4))</f>
        <v>kair</v>
      </c>
      <c r="E8" t="s">
        <v>2125</v>
      </c>
      <c r="F8" t="str">
        <f>"&lt;a href=""#"&amp;Autores[[#This Row],[id]]&amp;""" class=""btn-indice""&gt;"&amp;Autores[[#This Row],[Autor]]&amp;"&lt;/a&gt;"</f>
        <v>&lt;a href="#kair" class="btn-indice"&gt;Kairoi&lt;/a&gt;</v>
      </c>
      <c r="J8" t="s">
        <v>1515</v>
      </c>
    </row>
    <row r="9" spans="1:10" x14ac:dyDescent="0.3">
      <c r="A9">
        <v>7</v>
      </c>
      <c r="B9" t="s">
        <v>499</v>
      </c>
      <c r="C9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ain_karem</v>
      </c>
      <c r="D9" t="str">
        <f>IF(Autores[[#This Row],[id_lado]]="i",
LEFT(SUBSTITUTE(SUBSTITUTE(Autores[[#This Row],[Secciones]],"_",""),"/",""),4),
LEFT(SUBSTITUTE(SUBSTITUTE(_xlfn.TEXTAFTER(Autores[[#This Row],[Secciones]],"_",-1),"_",""),"/",""),4))</f>
        <v>aink</v>
      </c>
      <c r="E9" t="s">
        <v>2125</v>
      </c>
      <c r="F9" t="str">
        <f>"&lt;a href=""#"&amp;Autores[[#This Row],[id]]&amp;""" class=""btn-indice""&gt;"&amp;Autores[[#This Row],[Autor]]&amp;"&lt;/a&gt;"</f>
        <v>&lt;a href="#aink" class="btn-indice"&gt;Ain Karem&lt;/a&gt;</v>
      </c>
      <c r="J9" t="s">
        <v>1528</v>
      </c>
    </row>
    <row r="10" spans="1:10" x14ac:dyDescent="0.3">
      <c r="A10">
        <v>8</v>
      </c>
      <c r="B10" t="s">
        <v>1754</v>
      </c>
      <c r="C10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ruah</v>
      </c>
      <c r="D10" t="str">
        <f>IF(Autores[[#This Row],[id_lado]]="i",
LEFT(SUBSTITUTE(SUBSTITUTE(Autores[[#This Row],[Secciones]],"_",""),"/",""),4),
LEFT(SUBSTITUTE(SUBSTITUTE(_xlfn.TEXTAFTER(Autores[[#This Row],[Secciones]],"_",-1),"_",""),"/",""),4))</f>
        <v>ruah</v>
      </c>
      <c r="E10" t="s">
        <v>2125</v>
      </c>
      <c r="F10" t="str">
        <f>"&lt;a href=""#"&amp;Autores[[#This Row],[id]]&amp;""" class=""btn-indice""&gt;"&amp;Autores[[#This Row],[Autor]]&amp;"&lt;/a&gt;"</f>
        <v>&lt;a href="#ruah" class="btn-indice"&gt;Ruah&lt;/a&gt;</v>
      </c>
      <c r="J10" t="s">
        <v>1529</v>
      </c>
    </row>
    <row r="11" spans="1:10" x14ac:dyDescent="0.3">
      <c r="A11">
        <v>9</v>
      </c>
      <c r="B11" t="s">
        <v>260</v>
      </c>
      <c r="C11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hakuna</v>
      </c>
      <c r="D11" t="str">
        <f>IF(Autores[[#This Row],[id_lado]]="i",
LEFT(SUBSTITUTE(SUBSTITUTE(Autores[[#This Row],[Secciones]],"_",""),"/",""),4),
LEFT(SUBSTITUTE(SUBSTITUTE(_xlfn.TEXTAFTER(Autores[[#This Row],[Secciones]],"_",-1),"_",""),"/",""),4))</f>
        <v>haku</v>
      </c>
      <c r="E11" t="s">
        <v>2125</v>
      </c>
      <c r="F11" t="str">
        <f>"&lt;a href=""#"&amp;Autores[[#This Row],[id]]&amp;""" class=""btn-indice""&gt;"&amp;Autores[[#This Row],[Autor]]&amp;"&lt;/a&gt;"</f>
        <v>&lt;a href="#haku" class="btn-indice"&gt;Hakuna&lt;/a&gt;</v>
      </c>
      <c r="J11" t="s">
        <v>1516</v>
      </c>
    </row>
    <row r="12" spans="1:10" x14ac:dyDescent="0.3">
      <c r="A12">
        <v>10</v>
      </c>
      <c r="B12" t="s">
        <v>485</v>
      </c>
      <c r="C12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antonio_alcalde</v>
      </c>
      <c r="D12" t="str">
        <f>IF(Autores[[#This Row],[id_lado]]="i",
LEFT(SUBSTITUTE(SUBSTITUTE(Autores[[#This Row],[Secciones]],"_",""),"/",""),4),
LEFT(SUBSTITUTE(SUBSTITUTE(_xlfn.TEXTAFTER(Autores[[#This Row],[Secciones]],"_",-1),"_",""),"/",""),4))</f>
        <v>alca</v>
      </c>
      <c r="E12" t="s">
        <v>2126</v>
      </c>
      <c r="F12" t="str">
        <f>"&lt;a href=""#"&amp;Autores[[#This Row],[id]]&amp;""" class=""btn-indice""&gt;"&amp;Autores[[#This Row],[Autor]]&amp;"&lt;/a&gt;"</f>
        <v>&lt;a href="#alca" class="btn-indice"&gt;Antonio Alcalde&lt;/a&gt;</v>
      </c>
      <c r="J12" t="s">
        <v>1517</v>
      </c>
    </row>
    <row r="13" spans="1:10" x14ac:dyDescent="0.3">
      <c r="A13">
        <v>11</v>
      </c>
      <c r="B13" t="s">
        <v>498</v>
      </c>
      <c r="C13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brotes_de_olivo</v>
      </c>
      <c r="D13" t="str">
        <f>IF(Autores[[#This Row],[id_lado]]="i",
LEFT(SUBSTITUTE(SUBSTITUTE(Autores[[#This Row],[Secciones]],"_",""),"/",""),4),
LEFT(SUBSTITUTE(SUBSTITUTE(_xlfn.TEXTAFTER(Autores[[#This Row],[Secciones]],"_",-1),"_",""),"/",""),4))</f>
        <v>brot</v>
      </c>
      <c r="E13" t="s">
        <v>2125</v>
      </c>
      <c r="F13" t="str">
        <f>"&lt;a href=""#"&amp;Autores[[#This Row],[id]]&amp;""" class=""btn-indice""&gt;"&amp;Autores[[#This Row],[Autor]]&amp;"&lt;/a&gt;"</f>
        <v>&lt;a href="#brot" class="btn-indice"&gt;Brotes de Olivo&lt;/a&gt;</v>
      </c>
      <c r="J13" t="s">
        <v>257</v>
      </c>
    </row>
    <row r="14" spans="1:10" x14ac:dyDescent="0.3">
      <c r="A14">
        <v>12</v>
      </c>
      <c r="B14" t="s">
        <v>478</v>
      </c>
      <c r="C14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carmelo_erdozain</v>
      </c>
      <c r="D14" t="str">
        <f>IF(Autores[[#This Row],[id_lado]]="i",
LEFT(SUBSTITUTE(SUBSTITUTE(Autores[[#This Row],[Secciones]],"_",""),"/",""),4),
LEFT(SUBSTITUTE(SUBSTITUTE(_xlfn.TEXTAFTER(Autores[[#This Row],[Secciones]],"_",-1),"_",""),"/",""),4))</f>
        <v>erdo</v>
      </c>
      <c r="E14" t="s">
        <v>2126</v>
      </c>
      <c r="F14" t="str">
        <f>"&lt;a href=""#"&amp;Autores[[#This Row],[id]]&amp;""" class=""btn-indice""&gt;"&amp;Autores[[#This Row],[Autor]]&amp;"&lt;/a&gt;"</f>
        <v>&lt;a href="#erdo" class="btn-indice"&gt;Carmelo Erdozáin&lt;/a&gt;</v>
      </c>
      <c r="J14" t="s">
        <v>492</v>
      </c>
    </row>
    <row r="15" spans="1:10" x14ac:dyDescent="0.3">
      <c r="A15">
        <v>13</v>
      </c>
      <c r="B15" t="s">
        <v>1511</v>
      </c>
      <c r="C15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cesareo_gabarain</v>
      </c>
      <c r="D15" t="str">
        <f>IF(Autores[[#This Row],[id_lado]]="i",
LEFT(SUBSTITUTE(SUBSTITUTE(Autores[[#This Row],[Secciones]],"_",""),"/",""),4),
LEFT(SUBSTITUTE(SUBSTITUTE(_xlfn.TEXTAFTER(Autores[[#This Row],[Secciones]],"_",-1),"_",""),"/",""),4))</f>
        <v>gaba</v>
      </c>
      <c r="E15" t="s">
        <v>2126</v>
      </c>
      <c r="F15" t="str">
        <f>"&lt;a href=""#"&amp;Autores[[#This Row],[id]]&amp;""" class=""btn-indice""&gt;"&amp;Autores[[#This Row],[Autor]]&amp;"&lt;/a&gt;"</f>
        <v>&lt;a href="#gaba" class="btn-indice"&gt;Cesáreo Gabaráin&lt;/a&gt;</v>
      </c>
      <c r="J15" t="s">
        <v>498</v>
      </c>
    </row>
    <row r="16" spans="1:10" x14ac:dyDescent="0.3">
      <c r="A16">
        <v>14</v>
      </c>
      <c r="B16" t="s">
        <v>541</v>
      </c>
      <c r="C16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emilio_vicente_mateu</v>
      </c>
      <c r="D16" t="str">
        <f>IF(Autores[[#This Row],[id_lado]]="i",
LEFT(SUBSTITUTE(SUBSTITUTE(Autores[[#This Row],[Secciones]],"_",""),"/",""),4),
LEFT(SUBSTITUTE(SUBSTITUTE(_xlfn.TEXTAFTER(Autores[[#This Row],[Secciones]],"_",-1),"_",""),"/",""),4))</f>
        <v>mate</v>
      </c>
      <c r="E16" t="s">
        <v>2126</v>
      </c>
      <c r="F16" t="str">
        <f>"&lt;a href=""#"&amp;Autores[[#This Row],[id]]&amp;""" class=""btn-indice""&gt;"&amp;Autores[[#This Row],[Autor]]&amp;"&lt;/a&gt;"</f>
        <v>&lt;a href="#mate" class="btn-indice"&gt;Emilio Vicente Mateu&lt;/a&gt;</v>
      </c>
      <c r="J16" t="s">
        <v>519</v>
      </c>
    </row>
    <row r="17" spans="1:10" x14ac:dyDescent="0.3">
      <c r="A17">
        <v>15</v>
      </c>
      <c r="B17" t="s">
        <v>480</v>
      </c>
      <c r="C17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francisco_palazon</v>
      </c>
      <c r="D17" t="str">
        <f>IF(Autores[[#This Row],[id_lado]]="i",
LEFT(SUBSTITUTE(SUBSTITUTE(Autores[[#This Row],[Secciones]],"_",""),"/",""),4),
LEFT(SUBSTITUTE(SUBSTITUTE(_xlfn.TEXTAFTER(Autores[[#This Row],[Secciones]],"_",-1),"_",""),"/",""),4))</f>
        <v>pala</v>
      </c>
      <c r="E17" t="s">
        <v>2126</v>
      </c>
      <c r="F17" t="str">
        <f>"&lt;a href=""#"&amp;Autores[[#This Row],[id]]&amp;""" class=""btn-indice""&gt;"&amp;Autores[[#This Row],[Autor]]&amp;"&lt;/a&gt;"</f>
        <v>&lt;a href="#pala" class="btn-indice"&gt;Francisco Palazón&lt;/a&gt;</v>
      </c>
      <c r="J17" t="s">
        <v>1532</v>
      </c>
    </row>
    <row r="18" spans="1:10" x14ac:dyDescent="0.3">
      <c r="A18">
        <v>16</v>
      </c>
      <c r="B18" t="s">
        <v>519</v>
      </c>
      <c r="C18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ixcis</v>
      </c>
      <c r="D18" t="str">
        <f>IF(Autores[[#This Row],[id_lado]]="i",
LEFT(SUBSTITUTE(SUBSTITUTE(Autores[[#This Row],[Secciones]],"_",""),"/",""),4),
LEFT(SUBSTITUTE(SUBSTITUTE(_xlfn.TEXTAFTER(Autores[[#This Row],[Secciones]],"_",-1),"_",""),"/",""),4))</f>
        <v>ixci</v>
      </c>
      <c r="E18" t="s">
        <v>2125</v>
      </c>
      <c r="F18" t="str">
        <f>"&lt;a href=""#"&amp;Autores[[#This Row],[id]]&amp;""" class=""btn-indice""&gt;"&amp;Autores[[#This Row],[Autor]]&amp;"&lt;/a&gt;"</f>
        <v>&lt;a href="#ixci" class="btn-indice"&gt;Ixcís&lt;/a&gt;</v>
      </c>
      <c r="J18" t="s">
        <v>1518</v>
      </c>
    </row>
    <row r="19" spans="1:10" x14ac:dyDescent="0.3">
      <c r="A19">
        <v>17</v>
      </c>
      <c r="B19" t="s">
        <v>484</v>
      </c>
      <c r="C19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joaquin_madurga</v>
      </c>
      <c r="D19" t="str">
        <f>IF(Autores[[#This Row],[id_lado]]="i",
LEFT(SUBSTITUTE(SUBSTITUTE(Autores[[#This Row],[Secciones]],"_",""),"/",""),4),
LEFT(SUBSTITUTE(SUBSTITUTE(_xlfn.TEXTAFTER(Autores[[#This Row],[Secciones]],"_",-1),"_",""),"/",""),4))</f>
        <v>madu</v>
      </c>
      <c r="E19" t="s">
        <v>2126</v>
      </c>
      <c r="F19" t="str">
        <f>"&lt;a href=""#"&amp;Autores[[#This Row],[id]]&amp;""" class=""btn-indice""&gt;"&amp;Autores[[#This Row],[Autor]]&amp;"&lt;/a&gt;"</f>
        <v>&lt;a href="#madu" class="btn-indice"&gt;Joaquín Madurga&lt;/a&gt;</v>
      </c>
      <c r="J19" t="s">
        <v>508</v>
      </c>
    </row>
    <row r="20" spans="1:10" x14ac:dyDescent="0.3">
      <c r="A20">
        <v>18</v>
      </c>
      <c r="B20" t="s">
        <v>490</v>
      </c>
      <c r="C20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juan_antonio_espinosa</v>
      </c>
      <c r="D20" t="str">
        <f>IF(Autores[[#This Row],[id_lado]]="i",
LEFT(SUBSTITUTE(SUBSTITUTE(Autores[[#This Row],[Secciones]],"_",""),"/",""),4),
LEFT(SUBSTITUTE(SUBSTITUTE(_xlfn.TEXTAFTER(Autores[[#This Row],[Secciones]],"_",-1),"_",""),"/",""),4))</f>
        <v>espi</v>
      </c>
      <c r="E20" t="s">
        <v>2126</v>
      </c>
      <c r="F20" t="str">
        <f>"&lt;a href=""#"&amp;Autores[[#This Row],[id]]&amp;""" class=""btn-indice""&gt;"&amp;Autores[[#This Row],[Autor]]&amp;"&lt;/a&gt;"</f>
        <v>&lt;a href="#espi" class="btn-indice"&gt;Juan Antonio Espinosa&lt;/a&gt;</v>
      </c>
      <c r="J20" t="s">
        <v>498</v>
      </c>
    </row>
    <row r="21" spans="1:10" x14ac:dyDescent="0.3">
      <c r="A21">
        <v>19</v>
      </c>
      <c r="B21" t="s">
        <v>479</v>
      </c>
      <c r="C21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juanjo_elezkano</v>
      </c>
      <c r="D21" t="str">
        <f>IF(Autores[[#This Row],[id_lado]]="i",
LEFT(SUBSTITUTE(SUBSTITUTE(Autores[[#This Row],[Secciones]],"_",""),"/",""),4),
LEFT(SUBSTITUTE(SUBSTITUTE(_xlfn.TEXTAFTER(Autores[[#This Row],[Secciones]],"_",-1),"_",""),"/",""),4))</f>
        <v>elez</v>
      </c>
      <c r="E21" t="s">
        <v>2126</v>
      </c>
      <c r="F21" t="str">
        <f>"&lt;a href=""#"&amp;Autores[[#This Row],[id]]&amp;""" class=""btn-indice""&gt;"&amp;Autores[[#This Row],[Autor]]&amp;"&lt;/a&gt;"</f>
        <v>&lt;a href="#elez" class="btn-indice"&gt;Juanjo Elezkano&lt;/a&gt;</v>
      </c>
      <c r="J21" t="s">
        <v>1906</v>
      </c>
    </row>
    <row r="22" spans="1:10" x14ac:dyDescent="0.3">
      <c r="A22">
        <v>20</v>
      </c>
      <c r="B22" t="s">
        <v>486</v>
      </c>
      <c r="C22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miguel_manzano</v>
      </c>
      <c r="D22" t="str">
        <f>IF(Autores[[#This Row],[id_lado]]="i",
LEFT(SUBSTITUTE(SUBSTITUTE(Autores[[#This Row],[Secciones]],"_",""),"/",""),4),
LEFT(SUBSTITUTE(SUBSTITUTE(_xlfn.TEXTAFTER(Autores[[#This Row],[Secciones]],"_",-1),"_",""),"/",""),4))</f>
        <v>manz</v>
      </c>
      <c r="E22" t="s">
        <v>2126</v>
      </c>
      <c r="F22" t="str">
        <f>"&lt;a href=""#"&amp;Autores[[#This Row],[id]]&amp;""" class=""btn-indice""&gt;"&amp;Autores[[#This Row],[Autor]]&amp;"&lt;/a&gt;"</f>
        <v>&lt;a href="#manz" class="btn-indice"&gt;Miguel Manzano&lt;/a&gt;</v>
      </c>
      <c r="J22" t="s">
        <v>1530</v>
      </c>
    </row>
    <row r="23" spans="1:10" x14ac:dyDescent="0.3">
      <c r="A23">
        <v>21</v>
      </c>
      <c r="B23" t="s">
        <v>257</v>
      </c>
      <c r="C23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migueli</v>
      </c>
      <c r="D23" t="str">
        <f>IF(Autores[[#This Row],[id_lado]]="i",
LEFT(SUBSTITUTE(SUBSTITUTE(Autores[[#This Row],[Secciones]],"_",""),"/",""),4),
LEFT(SUBSTITUTE(SUBSTITUTE(_xlfn.TEXTAFTER(Autores[[#This Row],[Secciones]],"_",-1),"_",""),"/",""),4))</f>
        <v>migu</v>
      </c>
      <c r="E23" t="s">
        <v>2125</v>
      </c>
      <c r="F23" t="str">
        <f>"&lt;a href=""#"&amp;Autores[[#This Row],[id]]&amp;""" class=""btn-indice""&gt;"&amp;Autores[[#This Row],[Autor]]&amp;"&lt;/a&gt;"</f>
        <v>&lt;a href="#migu" class="btn-indice"&gt;Migueli&lt;/a&gt;</v>
      </c>
      <c r="J23" t="s">
        <v>1531</v>
      </c>
    </row>
    <row r="24" spans="1:10" x14ac:dyDescent="0.3">
      <c r="A24">
        <v>22</v>
      </c>
      <c r="B24" t="s">
        <v>497</v>
      </c>
      <c r="C24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pedro_nuñez</v>
      </c>
      <c r="D24" t="str">
        <f>IF(Autores[[#This Row],[id_lado]]="i",
LEFT(SUBSTITUTE(SUBSTITUTE(Autores[[#This Row],[Secciones]],"_",""),"/",""),4),
LEFT(SUBSTITUTE(SUBSTITUTE(_xlfn.TEXTAFTER(Autores[[#This Row],[Secciones]],"_",-1),"_",""),"/",""),4))</f>
        <v>nuñe</v>
      </c>
      <c r="E24" t="s">
        <v>2126</v>
      </c>
      <c r="F24" t="str">
        <f>"&lt;a href=""#"&amp;Autores[[#This Row],[id]]&amp;""" class=""btn-indice""&gt;"&amp;Autores[[#This Row],[Autor]]&amp;"&lt;/a&gt;"</f>
        <v>&lt;a href="#nuñe" class="btn-indice"&gt;Pedro Núñez&lt;/a&gt;</v>
      </c>
      <c r="J24" t="s">
        <v>1519</v>
      </c>
    </row>
    <row r="25" spans="1:10" x14ac:dyDescent="0.3">
      <c r="A25">
        <v>23</v>
      </c>
      <c r="B25" t="s">
        <v>507</v>
      </c>
      <c r="C25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ricardo_cantalapiedra</v>
      </c>
      <c r="D25" t="str">
        <f>IF(Autores[[#This Row],[id_lado]]="i",
LEFT(SUBSTITUTE(SUBSTITUTE(Autores[[#This Row],[Secciones]],"_",""),"/",""),4),
LEFT(SUBSTITUTE(SUBSTITUTE(_xlfn.TEXTAFTER(Autores[[#This Row],[Secciones]],"_",-1),"_",""),"/",""),4))</f>
        <v>cant</v>
      </c>
      <c r="E25" t="s">
        <v>2126</v>
      </c>
      <c r="F25" t="str">
        <f>"&lt;a href=""#"&amp;Autores[[#This Row],[id]]&amp;""" class=""btn-indice""&gt;"&amp;Autores[[#This Row],[Autor]]&amp;"&lt;/a&gt;"</f>
        <v>&lt;a href="#cant" class="btn-indice"&gt;Ricardo Cantalapiedra&lt;/a&gt;</v>
      </c>
      <c r="J25" t="s">
        <v>1520</v>
      </c>
    </row>
    <row r="26" spans="1:10" x14ac:dyDescent="0.3">
      <c r="A26">
        <v>24</v>
      </c>
      <c r="B26" t="s">
        <v>481</v>
      </c>
      <c r="C26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toño_casado</v>
      </c>
      <c r="D26" t="str">
        <f>IF(Autores[[#This Row],[id_lado]]="i",
LEFT(SUBSTITUTE(SUBSTITUTE(Autores[[#This Row],[Secciones]],"_",""),"/",""),4),
LEFT(SUBSTITUTE(SUBSTITUTE(_xlfn.TEXTAFTER(Autores[[#This Row],[Secciones]],"_",-1),"_",""),"/",""),4))</f>
        <v>toño</v>
      </c>
      <c r="E26" t="s">
        <v>2125</v>
      </c>
      <c r="F26" t="str">
        <f>"&lt;a href=""#"&amp;Autores[[#This Row],[id]]&amp;""" class=""btn-indice""&gt;"&amp;Autores[[#This Row],[Autor]]&amp;"&lt;/a&gt;"</f>
        <v>&lt;a href="#toño" class="btn-indice"&gt;Toño Casado&lt;/a&gt;</v>
      </c>
      <c r="J26" t="s">
        <v>1521</v>
      </c>
    </row>
    <row r="27" spans="1:10" x14ac:dyDescent="0.3">
      <c r="A27">
        <v>25</v>
      </c>
      <c r="B27" t="s">
        <v>587</v>
      </c>
      <c r="C27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alejandro_ruiz</v>
      </c>
      <c r="D27" t="str">
        <f>IF(Autores[[#This Row],[id_lado]]="i",
LEFT(SUBSTITUTE(SUBSTITUTE(Autores[[#This Row],[Secciones]],"_",""),"/",""),4),
LEFT(SUBSTITUTE(SUBSTITUTE(_xlfn.TEXTAFTER(Autores[[#This Row],[Secciones]],"_",-1),"_",""),"/",""),4))</f>
        <v>ruiz</v>
      </c>
      <c r="E27" t="s">
        <v>2126</v>
      </c>
      <c r="F27" t="str">
        <f>"&lt;a href=""#"&amp;Autores[[#This Row],[id]]&amp;""" class=""btn-indice""&gt;"&amp;Autores[[#This Row],[Autor]]&amp;"&lt;/a&gt;"</f>
        <v>&lt;a href="#ruiz" class="btn-indice"&gt;Alejandro Ruiz&lt;/a&gt;</v>
      </c>
      <c r="J27" t="s">
        <v>1522</v>
      </c>
    </row>
    <row r="28" spans="1:10" x14ac:dyDescent="0.3">
      <c r="A28">
        <v>26</v>
      </c>
      <c r="B28" t="s">
        <v>487</v>
      </c>
      <c r="C28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al-haraca</v>
      </c>
      <c r="D28" t="str">
        <f>IF(Autores[[#This Row],[id_lado]]="i",
LEFT(SUBSTITUTE(SUBSTITUTE(Autores[[#This Row],[Secciones]],"_",""),"/",""),4),
LEFT(SUBSTITUTE(SUBSTITUTE(_xlfn.TEXTAFTER(Autores[[#This Row],[Secciones]],"_",-1),"_",""),"/",""),4))</f>
        <v>al-h</v>
      </c>
      <c r="E28" t="s">
        <v>2125</v>
      </c>
      <c r="F28" t="str">
        <f>"&lt;a href=""#"&amp;Autores[[#This Row],[id]]&amp;""" class=""btn-indice""&gt;"&amp;Autores[[#This Row],[Autor]]&amp;"&lt;/a&gt;"</f>
        <v>&lt;a href="#al-h" class="btn-indice"&gt;Al-Haraca&lt;/a&gt;</v>
      </c>
      <c r="J28" t="s">
        <v>1523</v>
      </c>
    </row>
    <row r="29" spans="1:10" x14ac:dyDescent="0.3">
      <c r="A29">
        <v>27</v>
      </c>
      <c r="B29" t="s">
        <v>2219</v>
      </c>
      <c r="C29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hermana_glenda</v>
      </c>
      <c r="D29" t="str">
        <f>IF(Autores[[#This Row],[id_lado]]="i",
LEFT(SUBSTITUTE(SUBSTITUTE(Autores[[#This Row],[Secciones]],"_",""),"/",""),4),
LEFT(SUBSTITUTE(SUBSTITUTE(_xlfn.TEXTAFTER(Autores[[#This Row],[Secciones]],"_",-1),"_",""),"/",""),4))</f>
        <v>glen</v>
      </c>
      <c r="E29" t="s">
        <v>2126</v>
      </c>
      <c r="F29" t="str">
        <f>"&lt;a href=""#"&amp;Autores[[#This Row],[id]]&amp;""" class=""btn-indice""&gt;"&amp;Autores[[#This Row],[Autor]]&amp;"&lt;/a&gt;"</f>
        <v>&lt;a href="#glen" class="btn-indice"&gt;Hermana Glenda&lt;/a&gt;</v>
      </c>
      <c r="J29" t="s">
        <v>1524</v>
      </c>
    </row>
    <row r="30" spans="1:10" x14ac:dyDescent="0.3">
      <c r="A30">
        <v>28</v>
      </c>
      <c r="B30" t="s">
        <v>537</v>
      </c>
      <c r="C30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josep_asuncion</v>
      </c>
      <c r="D30" t="str">
        <f>IF(Autores[[#This Row],[id_lado]]="i",
LEFT(SUBSTITUTE(SUBSTITUTE(Autores[[#This Row],[Secciones]],"_",""),"/",""),4),
LEFT(SUBSTITUTE(SUBSTITUTE(_xlfn.TEXTAFTER(Autores[[#This Row],[Secciones]],"_",-1),"_",""),"/",""),4))</f>
        <v>asun</v>
      </c>
      <c r="E30" t="s">
        <v>2126</v>
      </c>
      <c r="F30" t="str">
        <f>"&lt;a href=""#"&amp;Autores[[#This Row],[id]]&amp;""" class=""btn-indice""&gt;"&amp;Autores[[#This Row],[Autor]]&amp;"&lt;/a&gt;"</f>
        <v>&lt;a href="#asun" class="btn-indice"&gt;Josep Asunción&lt;/a&gt;</v>
      </c>
      <c r="J30" t="s">
        <v>1525</v>
      </c>
    </row>
    <row r="31" spans="1:10" x14ac:dyDescent="0.3">
      <c r="A31">
        <v>29</v>
      </c>
      <c r="B31" t="s">
        <v>2394</v>
      </c>
      <c r="C31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lazaro_iparraguirre</v>
      </c>
      <c r="D31" t="str">
        <f>IF(Autores[[#This Row],[id_lado]]="i",
LEFT(SUBSTITUTE(SUBSTITUTE(Autores[[#This Row],[Secciones]],"_",""),"/",""),4),
LEFT(SUBSTITUTE(SUBSTITUTE(_xlfn.TEXTAFTER(Autores[[#This Row],[Secciones]],"_",-1),"_",""),"/",""),4))</f>
        <v>ipar</v>
      </c>
      <c r="E31" t="s">
        <v>2126</v>
      </c>
      <c r="F31" t="str">
        <f>"&lt;a href=""#"&amp;Autores[[#This Row],[id]]&amp;""" class=""btn-indice""&gt;"&amp;Autores[[#This Row],[Autor]]&amp;"&lt;/a&gt;"</f>
        <v>&lt;a href="#ipar" class="btn-indice"&gt;Lázaro Iparraguirre&lt;/a&gt;</v>
      </c>
      <c r="J31" t="s">
        <v>1526</v>
      </c>
    </row>
    <row r="32" spans="1:10" x14ac:dyDescent="0.3">
      <c r="A32">
        <v>30</v>
      </c>
      <c r="B32" t="s">
        <v>2390</v>
      </c>
      <c r="C32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luis_alfredo_diaz</v>
      </c>
      <c r="D32" t="str">
        <f>IF(Autores[[#This Row],[id_lado]]="i",
LEFT(SUBSTITUTE(SUBSTITUTE(Autores[[#This Row],[Secciones]],"_",""),"/",""),4),
LEFT(SUBSTITUTE(SUBSTITUTE(_xlfn.TEXTAFTER(Autores[[#This Row],[Secciones]],"_",-1),"_",""),"/",""),4))</f>
        <v>diaz</v>
      </c>
      <c r="E32" t="s">
        <v>2126</v>
      </c>
      <c r="F32" t="str">
        <f>"&lt;a href=""#"&amp;Autores[[#This Row],[id]]&amp;""" class=""btn-indice""&gt;"&amp;Autores[[#This Row],[Autor]]&amp;"&lt;/a&gt;"</f>
        <v>&lt;a href="#diaz" class="btn-indice"&gt;Luis Alfredo Díaz&lt;/a&gt;</v>
      </c>
      <c r="J32" t="s">
        <v>1527</v>
      </c>
    </row>
    <row r="33" spans="1:6" x14ac:dyDescent="0.3">
      <c r="A33">
        <v>31</v>
      </c>
      <c r="B33" t="s">
        <v>2383</v>
      </c>
      <c r="C33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marcos_witt</v>
      </c>
      <c r="D33" t="str">
        <f>IF(Autores[[#This Row],[id_lado]]="i",
LEFT(SUBSTITUTE(SUBSTITUTE(Autores[[#This Row],[Secciones]],"_",""),"/",""),4),
LEFT(SUBSTITUTE(SUBSTITUTE(_xlfn.TEXTAFTER(Autores[[#This Row],[Secciones]],"_",-1),"_",""),"/",""),4))</f>
        <v>witt</v>
      </c>
      <c r="E33" t="s">
        <v>2126</v>
      </c>
      <c r="F33" t="str">
        <f>"&lt;a href=""#"&amp;Autores[[#This Row],[id]]&amp;""" class=""btn-indice""&gt;"&amp;Autores[[#This Row],[Autor]]&amp;"&lt;/a&gt;"</f>
        <v>&lt;a href="#witt" class="btn-indice"&gt;Marcos Witt&lt;/a&gt;</v>
      </c>
    </row>
    <row r="34" spans="1:6" x14ac:dyDescent="0.3">
      <c r="A34">
        <v>32</v>
      </c>
      <c r="B34" t="s">
        <v>2930</v>
      </c>
      <c r="C34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marta_gil_delgado</v>
      </c>
      <c r="D34" t="str">
        <f>IF(Autores[[#This Row],[id_lado]]="i",
LEFT(SUBSTITUTE(SUBSTITUTE(Autores[[#This Row],[Secciones]],"_",""),"/",""),4),
LEFT(SUBSTITUTE(SUBSTITUTE(_xlfn.TEXTAFTER(Autores[[#This Row],[Secciones]],"_",-1),"_",""),"/",""),4))</f>
        <v>delg</v>
      </c>
      <c r="E34" t="s">
        <v>2126</v>
      </c>
      <c r="F34" t="str">
        <f>"&lt;a href=""#"&amp;Autores[[#This Row],[id]]&amp;""" class=""btn-indice""&gt;"&amp;Autores[[#This Row],[Autor]]&amp;"&lt;/a&gt;"</f>
        <v>&lt;a href="#delg" class="btn-indice"&gt;Marta Gil Delgado&lt;/a&gt;</v>
      </c>
    </row>
    <row r="35" spans="1:6" x14ac:dyDescent="0.3">
      <c r="A35">
        <v>33</v>
      </c>
      <c r="B35" t="s">
        <v>568</v>
      </c>
      <c r="C35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pelayo_sanchez</v>
      </c>
      <c r="D35" t="str">
        <f>IF(Autores[[#This Row],[id_lado]]="i",
LEFT(SUBSTITUTE(SUBSTITUTE(Autores[[#This Row],[Secciones]],"_",""),"/",""),4),
LEFT(SUBSTITUTE(SUBSTITUTE(_xlfn.TEXTAFTER(Autores[[#This Row],[Secciones]],"_",-1),"_",""),"/",""),4))</f>
        <v>pela</v>
      </c>
      <c r="E35" t="s">
        <v>2125</v>
      </c>
      <c r="F35" t="str">
        <f>"&lt;a href=""#"&amp;Autores[[#This Row],[id]]&amp;""" class=""btn-indice""&gt;"&amp;Autores[[#This Row],[Autor]]&amp;"&lt;/a&gt;"</f>
        <v>&lt;a href="#pela" class="btn-indice"&gt;Pelayo Sánchez&lt;/a&gt;</v>
      </c>
    </row>
    <row r="36" spans="1:6" x14ac:dyDescent="0.3">
      <c r="A36">
        <v>34</v>
      </c>
      <c r="B36" t="s">
        <v>2491</v>
      </c>
      <c r="C36" t="str">
        <f>LOWER(SUBSTITUTE(SUBSTITUTE(SUBSTITUTE(SUBSTITUTE(SUBSTITUTE(SUBSTITUTE(SUBSTITUTE(SUBSTITUTE(SUBSTITUTE(SUBSTITUTE(SUBSTITUTE(Autores[[#This Row],[Autor]],"á","a"),"é","e"),"í","i"),"ó","o"),"ú","u")," ","_"),"¿",""),"?",""),"¡",""),"!",""),",",""))</f>
        <v>rosa_cruz</v>
      </c>
      <c r="D36" t="str">
        <f>IF(Autores[[#This Row],[id_lado]]="i",
LEFT(SUBSTITUTE(SUBSTITUTE(Autores[[#This Row],[Secciones]],"_",""),"/",""),4),
LEFT(SUBSTITUTE(SUBSTITUTE(_xlfn.TEXTAFTER(Autores[[#This Row],[Secciones]],"_",-1),"_",""),"/",""),4))</f>
        <v>cruz</v>
      </c>
      <c r="E36" t="s">
        <v>2126</v>
      </c>
      <c r="F36" t="str">
        <f>"&lt;a href=""#"&amp;Autores[[#This Row],[id]]&amp;""" class=""btn-indice""&gt;"&amp;Autores[[#This Row],[Autor]]&amp;"&lt;/a&gt;"</f>
        <v>&lt;a href="#cruz" class="btn-indice"&gt;Rosa Cruz&lt;/a&gt;</v>
      </c>
    </row>
  </sheetData>
  <sortState xmlns:xlrd2="http://schemas.microsoft.com/office/spreadsheetml/2017/richdata2" ref="L3:M20">
    <sortCondition ref="L3:L20"/>
  </sortState>
  <conditionalFormatting sqref="B1:B1048576">
    <cfRule type="duplicateValues" dxfId="3" priority="92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FAD-C639-45CA-9AA4-75F34FA744BA}">
  <sheetPr codeName="Hoja11"/>
  <dimension ref="A1:A19"/>
  <sheetViews>
    <sheetView workbookViewId="0"/>
    <sheetView workbookViewId="1"/>
  </sheetViews>
  <sheetFormatPr baseColWidth="10" defaultRowHeight="14.4" x14ac:dyDescent="0.3"/>
  <cols>
    <col min="1" max="1" width="14.109375" bestFit="1" customWidth="1"/>
  </cols>
  <sheetData>
    <row r="1" spans="1:1" x14ac:dyDescent="0.3">
      <c r="A1" t="s">
        <v>989</v>
      </c>
    </row>
    <row r="2" spans="1:1" x14ac:dyDescent="0.3">
      <c r="A2" t="s">
        <v>190</v>
      </c>
    </row>
    <row r="3" spans="1:1" x14ac:dyDescent="0.3">
      <c r="A3" t="s">
        <v>191</v>
      </c>
    </row>
    <row r="4" spans="1:1" x14ac:dyDescent="0.3">
      <c r="A4" t="s">
        <v>192</v>
      </c>
    </row>
    <row r="5" spans="1:1" x14ac:dyDescent="0.3">
      <c r="A5" t="s">
        <v>200</v>
      </c>
    </row>
    <row r="6" spans="1:1" x14ac:dyDescent="0.3">
      <c r="A6" t="s">
        <v>193</v>
      </c>
    </row>
    <row r="7" spans="1:1" x14ac:dyDescent="0.3">
      <c r="A7" t="s">
        <v>194</v>
      </c>
    </row>
    <row r="8" spans="1:1" x14ac:dyDescent="0.3">
      <c r="A8" t="s">
        <v>195</v>
      </c>
    </row>
    <row r="9" spans="1:1" x14ac:dyDescent="0.3">
      <c r="A9" t="s">
        <v>196</v>
      </c>
    </row>
    <row r="10" spans="1:1" x14ac:dyDescent="0.3">
      <c r="A10" t="s">
        <v>197</v>
      </c>
    </row>
    <row r="11" spans="1:1" x14ac:dyDescent="0.3">
      <c r="A11" t="s">
        <v>201</v>
      </c>
    </row>
    <row r="12" spans="1:1" x14ac:dyDescent="0.3">
      <c r="A12" t="s">
        <v>990</v>
      </c>
    </row>
    <row r="13" spans="1:1" x14ac:dyDescent="0.3">
      <c r="A13" t="s">
        <v>198</v>
      </c>
    </row>
    <row r="14" spans="1:1" x14ac:dyDescent="0.3">
      <c r="A14" t="s">
        <v>199</v>
      </c>
    </row>
    <row r="15" spans="1:1" x14ac:dyDescent="0.3">
      <c r="A15" t="s">
        <v>475</v>
      </c>
    </row>
    <row r="16" spans="1:1" x14ac:dyDescent="0.3">
      <c r="A16" t="s">
        <v>218</v>
      </c>
    </row>
    <row r="17" spans="1:1" x14ac:dyDescent="0.3">
      <c r="A17" t="s">
        <v>210</v>
      </c>
    </row>
    <row r="18" spans="1:1" x14ac:dyDescent="0.3">
      <c r="A18" t="s">
        <v>1019</v>
      </c>
    </row>
    <row r="19" spans="1:1" x14ac:dyDescent="0.3">
      <c r="A19" t="s">
        <v>1018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9071-1D14-4D56-9870-78810646CB38}">
  <sheetPr codeName="Hoja12"/>
  <dimension ref="A1:L192"/>
  <sheetViews>
    <sheetView workbookViewId="0"/>
    <sheetView workbookViewId="1"/>
  </sheetViews>
  <sheetFormatPr baseColWidth="10" defaultColWidth="35.6640625" defaultRowHeight="14.4" x14ac:dyDescent="0.3"/>
  <cols>
    <col min="1" max="1" width="9.5546875" style="1" bestFit="1" customWidth="1"/>
    <col min="2" max="2" width="35.6640625" style="1"/>
    <col min="3" max="9" width="15.6640625" style="1" customWidth="1"/>
    <col min="10" max="10" width="12" style="1" bestFit="1" customWidth="1"/>
    <col min="11" max="16384" width="35.6640625" style="1"/>
  </cols>
  <sheetData>
    <row r="1" spans="1:12" s="3" customFormat="1" x14ac:dyDescent="0.3">
      <c r="A1" s="3" t="s">
        <v>266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510</v>
      </c>
      <c r="K1" s="1"/>
      <c r="L1" s="1"/>
    </row>
    <row r="2" spans="1:12" x14ac:dyDescent="0.3">
      <c r="A2" s="1">
        <f>ROW(Tabla2[[#This Row],[Taizé]])-1</f>
        <v>1</v>
      </c>
      <c r="B2" s="4" t="s">
        <v>276</v>
      </c>
      <c r="C2" s="1" t="s">
        <v>220</v>
      </c>
      <c r="D2" s="1" t="s">
        <v>220</v>
      </c>
      <c r="E2" s="1" t="s">
        <v>220</v>
      </c>
      <c r="J2" s="1" t="s">
        <v>535</v>
      </c>
    </row>
    <row r="3" spans="1:12" x14ac:dyDescent="0.3">
      <c r="A3" s="1">
        <f>ROW(Tabla2[[#This Row],[Taizé]])-1</f>
        <v>2</v>
      </c>
      <c r="B3" s="4" t="s">
        <v>277</v>
      </c>
      <c r="C3" s="1" t="s">
        <v>220</v>
      </c>
      <c r="D3" s="1" t="s">
        <v>220</v>
      </c>
      <c r="E3" s="1" t="s">
        <v>220</v>
      </c>
      <c r="F3" s="5" t="s">
        <v>278</v>
      </c>
      <c r="J3" s="1" t="s">
        <v>535</v>
      </c>
    </row>
    <row r="4" spans="1:12" x14ac:dyDescent="0.3">
      <c r="A4" s="1">
        <f>ROW(Tabla2[[#This Row],[Taizé]])-1</f>
        <v>3</v>
      </c>
      <c r="B4" s="4" t="s">
        <v>279</v>
      </c>
      <c r="C4" s="1" t="s">
        <v>220</v>
      </c>
      <c r="D4" s="1" t="s">
        <v>220</v>
      </c>
      <c r="E4" s="1" t="s">
        <v>220</v>
      </c>
      <c r="J4" s="1" t="s">
        <v>220</v>
      </c>
    </row>
    <row r="5" spans="1:12" x14ac:dyDescent="0.3">
      <c r="A5" s="1">
        <f>ROW(Tabla2[[#This Row],[Taizé]])-1</f>
        <v>4</v>
      </c>
      <c r="B5" s="4" t="s">
        <v>280</v>
      </c>
      <c r="C5" s="1" t="s">
        <v>220</v>
      </c>
      <c r="D5" s="1" t="s">
        <v>220</v>
      </c>
      <c r="E5" s="1" t="s">
        <v>220</v>
      </c>
      <c r="H5" s="1" t="s">
        <v>281</v>
      </c>
      <c r="J5" s="1" t="s">
        <v>267</v>
      </c>
    </row>
    <row r="6" spans="1:12" x14ac:dyDescent="0.3">
      <c r="A6" s="1">
        <f>ROW(Tabla2[[#This Row],[Taizé]])-1</f>
        <v>5</v>
      </c>
      <c r="B6" s="4" t="s">
        <v>283</v>
      </c>
      <c r="G6" s="7" t="s">
        <v>284</v>
      </c>
      <c r="J6" s="1" t="s">
        <v>267</v>
      </c>
    </row>
    <row r="7" spans="1:12" x14ac:dyDescent="0.3">
      <c r="A7" s="1">
        <f>ROW(Tabla2[[#This Row],[Taizé]])-1</f>
        <v>6</v>
      </c>
      <c r="B7" s="4" t="s">
        <v>285</v>
      </c>
      <c r="J7" s="1" t="s">
        <v>267</v>
      </c>
    </row>
    <row r="8" spans="1:12" x14ac:dyDescent="0.3">
      <c r="A8" s="1">
        <f>ROW(Tabla2[[#This Row],[Taizé]])-1</f>
        <v>7</v>
      </c>
      <c r="B8" s="4" t="s">
        <v>286</v>
      </c>
      <c r="G8" s="7" t="s">
        <v>284</v>
      </c>
      <c r="H8" s="6" t="s">
        <v>282</v>
      </c>
      <c r="J8" s="1" t="s">
        <v>267</v>
      </c>
    </row>
    <row r="9" spans="1:12" x14ac:dyDescent="0.3">
      <c r="A9" s="1">
        <f>ROW(Tabla2[[#This Row],[Taizé]])-1</f>
        <v>8</v>
      </c>
      <c r="B9" s="4" t="s">
        <v>287</v>
      </c>
    </row>
    <row r="10" spans="1:12" x14ac:dyDescent="0.3">
      <c r="A10" s="1">
        <f>ROW(Tabla2[[#This Row],[Taizé]])-1</f>
        <v>9</v>
      </c>
      <c r="B10" s="4" t="s">
        <v>288</v>
      </c>
      <c r="I10" s="1" t="s">
        <v>289</v>
      </c>
    </row>
    <row r="11" spans="1:12" x14ac:dyDescent="0.3">
      <c r="A11" s="1">
        <f>ROW(Tabla2[[#This Row],[Taizé]])-1</f>
        <v>10</v>
      </c>
      <c r="B11" s="4" t="s">
        <v>290</v>
      </c>
    </row>
    <row r="12" spans="1:12" x14ac:dyDescent="0.3">
      <c r="A12" s="1">
        <f>ROW(Tabla2[[#This Row],[Taizé]])-1</f>
        <v>11</v>
      </c>
      <c r="B12" s="8" t="s">
        <v>291</v>
      </c>
      <c r="I12" s="1" t="s">
        <v>292</v>
      </c>
    </row>
    <row r="13" spans="1:12" x14ac:dyDescent="0.3">
      <c r="A13" s="1">
        <f>ROW(Tabla2[[#This Row],[Taizé]])-1</f>
        <v>12</v>
      </c>
      <c r="B13" s="4" t="s">
        <v>293</v>
      </c>
      <c r="F13" s="5" t="s">
        <v>278</v>
      </c>
    </row>
    <row r="14" spans="1:12" x14ac:dyDescent="0.3">
      <c r="A14" s="1">
        <f>ROW(Tabla2[[#This Row],[Taizé]])-1</f>
        <v>13</v>
      </c>
      <c r="B14" s="4" t="s">
        <v>294</v>
      </c>
      <c r="F14" s="5" t="s">
        <v>278</v>
      </c>
    </row>
    <row r="15" spans="1:12" x14ac:dyDescent="0.3">
      <c r="A15" s="1">
        <f>ROW(Tabla2[[#This Row],[Taizé]])-1</f>
        <v>14</v>
      </c>
      <c r="B15" s="4" t="s">
        <v>295</v>
      </c>
    </row>
    <row r="16" spans="1:12" x14ac:dyDescent="0.3">
      <c r="A16" s="1">
        <f>ROW(Tabla2[[#This Row],[Taizé]])-1</f>
        <v>15</v>
      </c>
      <c r="B16" s="4" t="s">
        <v>296</v>
      </c>
      <c r="F16" s="5" t="s">
        <v>278</v>
      </c>
      <c r="J16" s="1" t="s">
        <v>267</v>
      </c>
    </row>
    <row r="17" spans="1:10" x14ac:dyDescent="0.3">
      <c r="A17" s="1">
        <f>ROW(Tabla2[[#This Row],[Taizé]])-1</f>
        <v>16</v>
      </c>
      <c r="B17" s="4" t="s">
        <v>297</v>
      </c>
    </row>
    <row r="18" spans="1:10" x14ac:dyDescent="0.3">
      <c r="A18" s="1">
        <f>ROW(Tabla2[[#This Row],[Taizé]])-1</f>
        <v>17</v>
      </c>
      <c r="B18" s="4" t="s">
        <v>298</v>
      </c>
      <c r="F18" s="5" t="s">
        <v>278</v>
      </c>
      <c r="J18" s="1" t="s">
        <v>267</v>
      </c>
    </row>
    <row r="19" spans="1:10" x14ac:dyDescent="0.3">
      <c r="A19" s="1">
        <f>ROW(Tabla2[[#This Row],[Taizé]])-1</f>
        <v>18</v>
      </c>
      <c r="B19" s="4" t="s">
        <v>299</v>
      </c>
    </row>
    <row r="20" spans="1:10" x14ac:dyDescent="0.3">
      <c r="A20" s="1">
        <f>ROW(Tabla2[[#This Row],[Taizé]])-1</f>
        <v>19</v>
      </c>
      <c r="B20" s="4" t="s">
        <v>300</v>
      </c>
    </row>
    <row r="21" spans="1:10" x14ac:dyDescent="0.3">
      <c r="A21" s="1">
        <f>ROW(Tabla2[[#This Row],[Taizé]])-1</f>
        <v>20</v>
      </c>
      <c r="B21" s="4" t="s">
        <v>301</v>
      </c>
    </row>
    <row r="22" spans="1:10" x14ac:dyDescent="0.3">
      <c r="A22" s="1">
        <f>ROW(Tabla2[[#This Row],[Taizé]])-1</f>
        <v>21</v>
      </c>
      <c r="B22" s="4" t="s">
        <v>302</v>
      </c>
      <c r="G22" s="6" t="s">
        <v>282</v>
      </c>
      <c r="J22" s="1" t="s">
        <v>267</v>
      </c>
    </row>
    <row r="23" spans="1:10" x14ac:dyDescent="0.3">
      <c r="A23" s="1">
        <f>ROW(Tabla2[[#This Row],[Taizé]])-1</f>
        <v>22</v>
      </c>
      <c r="B23" s="4" t="s">
        <v>303</v>
      </c>
      <c r="G23" s="7" t="s">
        <v>284</v>
      </c>
    </row>
    <row r="24" spans="1:10" x14ac:dyDescent="0.3">
      <c r="A24" s="1">
        <f>ROW(Tabla2[[#This Row],[Taizé]])-1</f>
        <v>23</v>
      </c>
      <c r="B24" s="4" t="s">
        <v>304</v>
      </c>
      <c r="I24" s="1" t="s">
        <v>289</v>
      </c>
    </row>
    <row r="25" spans="1:10" x14ac:dyDescent="0.3">
      <c r="A25" s="1">
        <f>ROW(Tabla2[[#This Row],[Taizé]])-1</f>
        <v>24</v>
      </c>
      <c r="B25" s="4" t="s">
        <v>305</v>
      </c>
      <c r="C25" s="1" t="s">
        <v>220</v>
      </c>
      <c r="D25" s="1" t="s">
        <v>220</v>
      </c>
      <c r="E25" s="1" t="s">
        <v>220</v>
      </c>
    </row>
    <row r="26" spans="1:10" x14ac:dyDescent="0.3">
      <c r="A26" s="1">
        <f>ROW(Tabla2[[#This Row],[Taizé]])-1</f>
        <v>25</v>
      </c>
      <c r="B26" s="8" t="s">
        <v>306</v>
      </c>
      <c r="I26" s="1" t="s">
        <v>289</v>
      </c>
    </row>
    <row r="27" spans="1:10" x14ac:dyDescent="0.3">
      <c r="A27" s="1">
        <f>ROW(Tabla2[[#This Row],[Taizé]])-1</f>
        <v>26</v>
      </c>
      <c r="B27" s="8" t="s">
        <v>307</v>
      </c>
      <c r="I27" s="1" t="s">
        <v>289</v>
      </c>
    </row>
    <row r="28" spans="1:10" x14ac:dyDescent="0.3">
      <c r="A28" s="1">
        <f>ROW(Tabla2[[#This Row],[Taizé]])-1</f>
        <v>27</v>
      </c>
      <c r="B28" s="8" t="s">
        <v>308</v>
      </c>
      <c r="I28" s="1" t="s">
        <v>289</v>
      </c>
    </row>
    <row r="29" spans="1:10" x14ac:dyDescent="0.3">
      <c r="A29" s="1">
        <f>ROW(Tabla2[[#This Row],[Taizé]])-1</f>
        <v>28</v>
      </c>
      <c r="B29" s="4" t="s">
        <v>309</v>
      </c>
      <c r="C29" s="1" t="s">
        <v>220</v>
      </c>
      <c r="D29" s="1" t="s">
        <v>220</v>
      </c>
      <c r="E29" s="1" t="s">
        <v>220</v>
      </c>
      <c r="J29" s="1" t="s">
        <v>267</v>
      </c>
    </row>
    <row r="30" spans="1:10" x14ac:dyDescent="0.3">
      <c r="A30" s="1">
        <f>ROW(Tabla2[[#This Row],[Taizé]])-1</f>
        <v>29</v>
      </c>
      <c r="B30" s="1" t="s">
        <v>310</v>
      </c>
      <c r="C30" s="1" t="s">
        <v>220</v>
      </c>
      <c r="D30" s="1" t="s">
        <v>220</v>
      </c>
      <c r="E30" s="1" t="s">
        <v>220</v>
      </c>
      <c r="F30" s="7">
        <v>101</v>
      </c>
      <c r="G30" s="7" t="s">
        <v>284</v>
      </c>
    </row>
    <row r="31" spans="1:10" x14ac:dyDescent="0.3">
      <c r="A31" s="1">
        <f>ROW(Tabla2[[#This Row],[Taizé]])-1</f>
        <v>30</v>
      </c>
      <c r="B31" s="4" t="s">
        <v>311</v>
      </c>
      <c r="C31" s="1" t="s">
        <v>220</v>
      </c>
      <c r="D31" s="1" t="s">
        <v>220</v>
      </c>
      <c r="E31" s="1" t="s">
        <v>220</v>
      </c>
      <c r="J31" s="1" t="s">
        <v>267</v>
      </c>
    </row>
    <row r="32" spans="1:10" x14ac:dyDescent="0.3">
      <c r="A32" s="1">
        <f>ROW(Tabla2[[#This Row],[Taizé]])-1</f>
        <v>31</v>
      </c>
      <c r="B32" s="4" t="s">
        <v>312</v>
      </c>
      <c r="C32" s="1" t="s">
        <v>220</v>
      </c>
      <c r="D32" s="1" t="s">
        <v>220</v>
      </c>
      <c r="E32" s="1" t="s">
        <v>220</v>
      </c>
      <c r="F32" s="5" t="s">
        <v>278</v>
      </c>
    </row>
    <row r="33" spans="1:10" x14ac:dyDescent="0.3">
      <c r="A33" s="1">
        <f>ROW(Tabla2[[#This Row],[Taizé]])-1</f>
        <v>32</v>
      </c>
      <c r="B33" s="4" t="s">
        <v>313</v>
      </c>
      <c r="C33" s="1" t="s">
        <v>220</v>
      </c>
      <c r="D33" s="1" t="s">
        <v>220</v>
      </c>
      <c r="E33" s="1" t="s">
        <v>220</v>
      </c>
      <c r="J33" s="1" t="s">
        <v>535</v>
      </c>
    </row>
    <row r="34" spans="1:10" x14ac:dyDescent="0.3">
      <c r="A34" s="1">
        <f>ROW(Tabla2[[#This Row],[Taizé]])-1</f>
        <v>33</v>
      </c>
      <c r="B34" s="4" t="s">
        <v>314</v>
      </c>
      <c r="C34" s="1" t="s">
        <v>220</v>
      </c>
      <c r="D34" s="1" t="s">
        <v>220</v>
      </c>
      <c r="E34" s="1" t="s">
        <v>220</v>
      </c>
    </row>
    <row r="35" spans="1:10" x14ac:dyDescent="0.3">
      <c r="A35" s="1">
        <f>ROW(Tabla2[[#This Row],[Taizé]])-1</f>
        <v>34</v>
      </c>
      <c r="B35" s="4" t="s">
        <v>315</v>
      </c>
      <c r="C35" s="1" t="s">
        <v>220</v>
      </c>
      <c r="D35" s="1" t="s">
        <v>220</v>
      </c>
      <c r="E35" s="1" t="s">
        <v>220</v>
      </c>
      <c r="F35" s="5" t="s">
        <v>278</v>
      </c>
      <c r="H35" s="1" t="s">
        <v>281</v>
      </c>
      <c r="J35" s="1" t="s">
        <v>267</v>
      </c>
    </row>
    <row r="36" spans="1:10" x14ac:dyDescent="0.3">
      <c r="A36" s="1">
        <f>ROW(Tabla2[[#This Row],[Taizé]])-1</f>
        <v>35</v>
      </c>
      <c r="B36" s="4" t="s">
        <v>316</v>
      </c>
      <c r="C36" s="1" t="s">
        <v>220</v>
      </c>
      <c r="D36" s="1" t="s">
        <v>220</v>
      </c>
      <c r="E36" s="1" t="s">
        <v>220</v>
      </c>
    </row>
    <row r="37" spans="1:10" x14ac:dyDescent="0.3">
      <c r="A37" s="1">
        <f>ROW(Tabla2[[#This Row],[Taizé]])-1</f>
        <v>36</v>
      </c>
      <c r="B37" s="4" t="s">
        <v>317</v>
      </c>
      <c r="C37" s="1" t="s">
        <v>220</v>
      </c>
      <c r="D37" s="1" t="s">
        <v>220</v>
      </c>
      <c r="E37" s="1" t="s">
        <v>220</v>
      </c>
      <c r="F37" s="5" t="s">
        <v>278</v>
      </c>
      <c r="G37" s="6" t="s">
        <v>282</v>
      </c>
      <c r="J37" s="1" t="s">
        <v>535</v>
      </c>
    </row>
    <row r="38" spans="1:10" x14ac:dyDescent="0.3">
      <c r="A38" s="1">
        <f>ROW(Tabla2[[#This Row],[Taizé]])-1</f>
        <v>37</v>
      </c>
      <c r="B38" s="4" t="s">
        <v>318</v>
      </c>
      <c r="C38" s="1" t="s">
        <v>220</v>
      </c>
      <c r="D38" s="1" t="s">
        <v>220</v>
      </c>
      <c r="E38" s="1" t="s">
        <v>220</v>
      </c>
      <c r="F38" s="5" t="s">
        <v>278</v>
      </c>
      <c r="G38" s="6" t="s">
        <v>282</v>
      </c>
      <c r="J38" s="1" t="s">
        <v>535</v>
      </c>
    </row>
    <row r="39" spans="1:10" x14ac:dyDescent="0.3">
      <c r="A39" s="1">
        <f>ROW(Tabla2[[#This Row],[Taizé]])-1</f>
        <v>38</v>
      </c>
      <c r="B39" s="4" t="s">
        <v>319</v>
      </c>
      <c r="C39" s="1" t="s">
        <v>220</v>
      </c>
      <c r="D39" s="1" t="s">
        <v>220</v>
      </c>
      <c r="E39" s="1" t="s">
        <v>220</v>
      </c>
      <c r="F39" s="5" t="s">
        <v>278</v>
      </c>
      <c r="G39" s="6" t="s">
        <v>282</v>
      </c>
      <c r="J39" s="1" t="s">
        <v>267</v>
      </c>
    </row>
    <row r="40" spans="1:10" x14ac:dyDescent="0.3">
      <c r="A40" s="1">
        <f>ROW(Tabla2[[#This Row],[Taizé]])-1</f>
        <v>39</v>
      </c>
      <c r="B40" s="4" t="s">
        <v>320</v>
      </c>
      <c r="C40" s="1" t="s">
        <v>220</v>
      </c>
      <c r="D40" s="1" t="s">
        <v>220</v>
      </c>
      <c r="E40" s="1" t="s">
        <v>220</v>
      </c>
      <c r="J40" s="1" t="s">
        <v>535</v>
      </c>
    </row>
    <row r="41" spans="1:10" x14ac:dyDescent="0.3">
      <c r="A41" s="1">
        <f>ROW(Tabla2[[#This Row],[Taizé]])-1</f>
        <v>40</v>
      </c>
      <c r="B41" s="4" t="s">
        <v>321</v>
      </c>
      <c r="C41" s="1" t="s">
        <v>220</v>
      </c>
      <c r="D41" s="1" t="s">
        <v>220</v>
      </c>
      <c r="E41" s="1" t="s">
        <v>220</v>
      </c>
    </row>
    <row r="42" spans="1:10" x14ac:dyDescent="0.3">
      <c r="A42" s="1">
        <f>ROW(Tabla2[[#This Row],[Taizé]])-1</f>
        <v>41</v>
      </c>
      <c r="B42" s="4" t="s">
        <v>322</v>
      </c>
      <c r="C42" s="1" t="s">
        <v>220</v>
      </c>
      <c r="D42" s="1" t="s">
        <v>220</v>
      </c>
      <c r="E42" s="1" t="s">
        <v>220</v>
      </c>
      <c r="J42" s="1" t="s">
        <v>267</v>
      </c>
    </row>
    <row r="43" spans="1:10" x14ac:dyDescent="0.3">
      <c r="A43" s="1">
        <f>ROW(Tabla2[[#This Row],[Taizé]])-1</f>
        <v>42</v>
      </c>
      <c r="B43" s="4" t="s">
        <v>323</v>
      </c>
      <c r="C43" s="1" t="s">
        <v>220</v>
      </c>
      <c r="D43" s="1" t="s">
        <v>220</v>
      </c>
      <c r="E43" s="1" t="s">
        <v>220</v>
      </c>
      <c r="F43" s="5" t="s">
        <v>278</v>
      </c>
    </row>
    <row r="44" spans="1:10" x14ac:dyDescent="0.3">
      <c r="A44" s="1">
        <f>ROW(Tabla2[[#This Row],[Taizé]])-1</f>
        <v>43</v>
      </c>
      <c r="B44" s="4" t="s">
        <v>324</v>
      </c>
      <c r="C44" s="1" t="s">
        <v>220</v>
      </c>
      <c r="D44" s="1" t="s">
        <v>220</v>
      </c>
      <c r="E44" s="1" t="s">
        <v>220</v>
      </c>
      <c r="F44" s="5" t="s">
        <v>278</v>
      </c>
      <c r="G44" s="6" t="s">
        <v>282</v>
      </c>
      <c r="J44" s="1" t="s">
        <v>535</v>
      </c>
    </row>
    <row r="45" spans="1:10" x14ac:dyDescent="0.3">
      <c r="A45" s="1">
        <f>ROW(Tabla2[[#This Row],[Taizé]])-1</f>
        <v>44</v>
      </c>
      <c r="B45" s="9" t="s">
        <v>325</v>
      </c>
    </row>
    <row r="46" spans="1:10" x14ac:dyDescent="0.3">
      <c r="A46" s="1">
        <f>ROW(Tabla2[[#This Row],[Taizé]])-1</f>
        <v>45</v>
      </c>
      <c r="B46" s="4" t="s">
        <v>326</v>
      </c>
      <c r="C46" s="1" t="s">
        <v>220</v>
      </c>
      <c r="D46" s="1" t="s">
        <v>220</v>
      </c>
      <c r="E46" s="1" t="s">
        <v>220</v>
      </c>
      <c r="F46" s="5" t="s">
        <v>278</v>
      </c>
      <c r="J46" s="1" t="s">
        <v>267</v>
      </c>
    </row>
    <row r="47" spans="1:10" x14ac:dyDescent="0.3">
      <c r="A47" s="1">
        <f>ROW(Tabla2[[#This Row],[Taizé]])-1</f>
        <v>46</v>
      </c>
      <c r="B47" s="4" t="s">
        <v>327</v>
      </c>
      <c r="I47" s="1" t="s">
        <v>289</v>
      </c>
    </row>
    <row r="48" spans="1:10" x14ac:dyDescent="0.3">
      <c r="A48" s="1">
        <f>ROW(Tabla2[[#This Row],[Taizé]])-1</f>
        <v>47</v>
      </c>
      <c r="B48" s="4" t="s">
        <v>328</v>
      </c>
      <c r="C48" s="1" t="s">
        <v>220</v>
      </c>
      <c r="D48" s="1" t="s">
        <v>220</v>
      </c>
      <c r="E48" s="1" t="s">
        <v>220</v>
      </c>
      <c r="J48" s="1" t="s">
        <v>535</v>
      </c>
    </row>
    <row r="49" spans="1:10" x14ac:dyDescent="0.3">
      <c r="A49" s="1">
        <f>ROW(Tabla2[[#This Row],[Taizé]])-1</f>
        <v>48</v>
      </c>
      <c r="B49" s="4" t="s">
        <v>329</v>
      </c>
      <c r="C49" s="1" t="s">
        <v>220</v>
      </c>
      <c r="D49" s="1" t="s">
        <v>220</v>
      </c>
      <c r="E49" s="1" t="s">
        <v>220</v>
      </c>
      <c r="J49" s="1" t="s">
        <v>535</v>
      </c>
    </row>
    <row r="50" spans="1:10" x14ac:dyDescent="0.3">
      <c r="A50" s="1">
        <f>ROW(Tabla2[[#This Row],[Taizé]])-1</f>
        <v>49</v>
      </c>
      <c r="B50" s="4" t="s">
        <v>330</v>
      </c>
      <c r="C50" s="1" t="s">
        <v>220</v>
      </c>
      <c r="D50" s="1" t="s">
        <v>220</v>
      </c>
      <c r="E50" s="1" t="s">
        <v>220</v>
      </c>
    </row>
    <row r="51" spans="1:10" x14ac:dyDescent="0.3">
      <c r="A51" s="1">
        <f>ROW(Tabla2[[#This Row],[Taizé]])-1</f>
        <v>50</v>
      </c>
      <c r="B51" s="4" t="s">
        <v>331</v>
      </c>
      <c r="C51" s="1" t="s">
        <v>220</v>
      </c>
      <c r="D51" s="1" t="s">
        <v>220</v>
      </c>
      <c r="E51" s="1" t="s">
        <v>220</v>
      </c>
      <c r="F51" s="5" t="s">
        <v>278</v>
      </c>
      <c r="J51" s="1" t="s">
        <v>267</v>
      </c>
    </row>
    <row r="52" spans="1:10" x14ac:dyDescent="0.3">
      <c r="A52" s="1">
        <f>ROW(Tabla2[[#This Row],[Taizé]])-1</f>
        <v>51</v>
      </c>
      <c r="B52" s="4" t="s">
        <v>39</v>
      </c>
      <c r="I52" s="1" t="s">
        <v>289</v>
      </c>
    </row>
    <row r="53" spans="1:10" x14ac:dyDescent="0.3">
      <c r="A53" s="1">
        <f>ROW(Tabla2[[#This Row],[Taizé]])-1</f>
        <v>52</v>
      </c>
      <c r="B53" s="4" t="s">
        <v>332</v>
      </c>
      <c r="C53" s="1" t="s">
        <v>220</v>
      </c>
      <c r="D53" s="1" t="s">
        <v>220</v>
      </c>
      <c r="E53" s="1" t="s">
        <v>220</v>
      </c>
      <c r="F53" s="5" t="s">
        <v>278</v>
      </c>
      <c r="J53" s="1" t="s">
        <v>267</v>
      </c>
    </row>
    <row r="54" spans="1:10" x14ac:dyDescent="0.3">
      <c r="A54" s="1">
        <f>ROW(Tabla2[[#This Row],[Taizé]])-1</f>
        <v>53</v>
      </c>
      <c r="B54" s="4" t="s">
        <v>333</v>
      </c>
      <c r="C54" s="1" t="s">
        <v>220</v>
      </c>
      <c r="D54" s="1" t="s">
        <v>220</v>
      </c>
      <c r="E54" s="1" t="s">
        <v>220</v>
      </c>
      <c r="G54" s="6" t="s">
        <v>282</v>
      </c>
      <c r="J54" s="1" t="s">
        <v>535</v>
      </c>
    </row>
    <row r="55" spans="1:10" x14ac:dyDescent="0.3">
      <c r="A55" s="1">
        <f>ROW(Tabla2[[#This Row],[Taizé]])-1</f>
        <v>54</v>
      </c>
      <c r="B55" s="4" t="s">
        <v>334</v>
      </c>
      <c r="C55" s="1" t="s">
        <v>220</v>
      </c>
      <c r="D55" s="1" t="s">
        <v>220</v>
      </c>
      <c r="E55" s="1" t="s">
        <v>220</v>
      </c>
      <c r="J55" s="1" t="s">
        <v>535</v>
      </c>
    </row>
    <row r="56" spans="1:10" x14ac:dyDescent="0.3">
      <c r="A56" s="1">
        <f>ROW(Tabla2[[#This Row],[Taizé]])-1</f>
        <v>55</v>
      </c>
      <c r="B56" s="4" t="s">
        <v>335</v>
      </c>
      <c r="C56" s="1" t="s">
        <v>220</v>
      </c>
      <c r="D56" s="1" t="s">
        <v>220</v>
      </c>
      <c r="E56" s="1" t="s">
        <v>220</v>
      </c>
      <c r="F56" s="5" t="s">
        <v>278</v>
      </c>
      <c r="J56" s="1" t="s">
        <v>267</v>
      </c>
    </row>
    <row r="57" spans="1:10" x14ac:dyDescent="0.3">
      <c r="A57" s="1">
        <f>ROW(Tabla2[[#This Row],[Taizé]])-1</f>
        <v>56</v>
      </c>
      <c r="B57" s="4" t="s">
        <v>336</v>
      </c>
      <c r="C57" s="1" t="s">
        <v>220</v>
      </c>
      <c r="D57" s="1" t="s">
        <v>220</v>
      </c>
      <c r="E57" s="1" t="s">
        <v>220</v>
      </c>
      <c r="F57" s="5" t="s">
        <v>278</v>
      </c>
      <c r="G57" s="6" t="s">
        <v>282</v>
      </c>
      <c r="J57" s="1" t="s">
        <v>267</v>
      </c>
    </row>
    <row r="58" spans="1:10" x14ac:dyDescent="0.3">
      <c r="A58" s="1">
        <f>ROW(Tabla2[[#This Row],[Taizé]])-1</f>
        <v>57</v>
      </c>
      <c r="B58" s="4" t="s">
        <v>337</v>
      </c>
      <c r="D58" s="1" t="s">
        <v>220</v>
      </c>
      <c r="E58" s="1" t="s">
        <v>220</v>
      </c>
      <c r="G58" s="6" t="s">
        <v>282</v>
      </c>
      <c r="J58" s="1" t="s">
        <v>267</v>
      </c>
    </row>
    <row r="59" spans="1:10" x14ac:dyDescent="0.3">
      <c r="A59" s="1">
        <f>ROW(Tabla2[[#This Row],[Taizé]])-1</f>
        <v>58</v>
      </c>
      <c r="B59" s="4" t="s">
        <v>338</v>
      </c>
      <c r="D59" s="1" t="s">
        <v>220</v>
      </c>
      <c r="E59" s="1" t="s">
        <v>220</v>
      </c>
      <c r="F59" s="7">
        <v>161</v>
      </c>
      <c r="G59" s="7" t="s">
        <v>284</v>
      </c>
      <c r="J59" s="1" t="s">
        <v>535</v>
      </c>
    </row>
    <row r="60" spans="1:10" x14ac:dyDescent="0.3">
      <c r="A60" s="1">
        <f>ROW(Tabla2[[#This Row],[Taizé]])-1</f>
        <v>59</v>
      </c>
      <c r="B60" s="4" t="s">
        <v>339</v>
      </c>
      <c r="C60" s="1" t="s">
        <v>220</v>
      </c>
      <c r="D60" s="1" t="s">
        <v>220</v>
      </c>
      <c r="E60" s="1" t="s">
        <v>220</v>
      </c>
      <c r="J60" s="1" t="s">
        <v>535</v>
      </c>
    </row>
    <row r="61" spans="1:10" x14ac:dyDescent="0.3">
      <c r="A61" s="1">
        <f>ROW(Tabla2[[#This Row],[Taizé]])-1</f>
        <v>60</v>
      </c>
      <c r="B61" s="1" t="s">
        <v>340</v>
      </c>
      <c r="D61" s="1" t="s">
        <v>220</v>
      </c>
      <c r="E61" s="1" t="s">
        <v>220</v>
      </c>
      <c r="F61" s="7">
        <v>167</v>
      </c>
      <c r="G61" s="7" t="s">
        <v>284</v>
      </c>
      <c r="I61" s="1" t="s">
        <v>289</v>
      </c>
    </row>
    <row r="62" spans="1:10" x14ac:dyDescent="0.3">
      <c r="A62" s="1">
        <f>ROW(Tabla2[[#This Row],[Taizé]])-1</f>
        <v>61</v>
      </c>
      <c r="B62" s="4" t="s">
        <v>341</v>
      </c>
      <c r="C62" s="1" t="s">
        <v>220</v>
      </c>
      <c r="D62" s="1" t="s">
        <v>220</v>
      </c>
      <c r="E62" s="1" t="s">
        <v>220</v>
      </c>
      <c r="J62" s="1" t="s">
        <v>535</v>
      </c>
    </row>
    <row r="63" spans="1:10" x14ac:dyDescent="0.3">
      <c r="A63" s="1">
        <f>ROW(Tabla2[[#This Row],[Taizé]])-1</f>
        <v>62</v>
      </c>
      <c r="B63" s="4" t="s">
        <v>342</v>
      </c>
      <c r="C63" s="1" t="s">
        <v>220</v>
      </c>
      <c r="D63" s="1" t="s">
        <v>220</v>
      </c>
      <c r="E63" s="1" t="s">
        <v>220</v>
      </c>
      <c r="F63" s="5" t="s">
        <v>278</v>
      </c>
      <c r="J63" s="1" t="s">
        <v>535</v>
      </c>
    </row>
    <row r="64" spans="1:10" x14ac:dyDescent="0.3">
      <c r="A64" s="1">
        <f>ROW(Tabla2[[#This Row],[Taizé]])-1</f>
        <v>63</v>
      </c>
      <c r="B64" s="4" t="s">
        <v>343</v>
      </c>
      <c r="C64" s="1" t="s">
        <v>220</v>
      </c>
      <c r="D64" s="1" t="s">
        <v>220</v>
      </c>
      <c r="E64" s="1" t="s">
        <v>220</v>
      </c>
      <c r="J64" s="1" t="s">
        <v>535</v>
      </c>
    </row>
    <row r="65" spans="1:10" x14ac:dyDescent="0.3">
      <c r="A65" s="1">
        <f>ROW(Tabla2[[#This Row],[Taizé]])-1</f>
        <v>64</v>
      </c>
      <c r="B65" s="4" t="s">
        <v>344</v>
      </c>
      <c r="C65" s="1" t="s">
        <v>220</v>
      </c>
      <c r="D65" s="1" t="s">
        <v>220</v>
      </c>
      <c r="E65" s="1" t="s">
        <v>220</v>
      </c>
      <c r="F65" s="5" t="s">
        <v>278</v>
      </c>
      <c r="J65" s="1" t="s">
        <v>267</v>
      </c>
    </row>
    <row r="66" spans="1:10" x14ac:dyDescent="0.3">
      <c r="A66" s="1">
        <f>ROW(Tabla2[[#This Row],[Taizé]])-1</f>
        <v>65</v>
      </c>
      <c r="B66" s="4" t="s">
        <v>345</v>
      </c>
      <c r="C66" s="1" t="s">
        <v>220</v>
      </c>
      <c r="D66" s="1" t="s">
        <v>220</v>
      </c>
      <c r="E66" s="1" t="s">
        <v>220</v>
      </c>
      <c r="F66" s="5" t="s">
        <v>278</v>
      </c>
      <c r="J66" s="1" t="s">
        <v>267</v>
      </c>
    </row>
    <row r="67" spans="1:10" x14ac:dyDescent="0.3">
      <c r="A67" s="1">
        <f>ROW(Tabla2[[#This Row],[Taizé]])-1</f>
        <v>66</v>
      </c>
      <c r="B67" s="4" t="s">
        <v>346</v>
      </c>
      <c r="C67" s="1" t="s">
        <v>220</v>
      </c>
      <c r="D67" s="1" t="s">
        <v>220</v>
      </c>
      <c r="E67" s="1" t="s">
        <v>220</v>
      </c>
      <c r="F67" s="5" t="s">
        <v>278</v>
      </c>
      <c r="I67" s="4" t="s">
        <v>347</v>
      </c>
      <c r="J67" s="1" t="s">
        <v>267</v>
      </c>
    </row>
    <row r="68" spans="1:10" x14ac:dyDescent="0.3">
      <c r="A68" s="1">
        <f>ROW(Tabla2[[#This Row],[Taizé]])-1</f>
        <v>67</v>
      </c>
      <c r="B68" s="4" t="s">
        <v>348</v>
      </c>
      <c r="C68" s="1" t="s">
        <v>220</v>
      </c>
      <c r="D68" s="1" t="s">
        <v>220</v>
      </c>
      <c r="E68" s="1" t="s">
        <v>220</v>
      </c>
      <c r="J68" s="1" t="s">
        <v>267</v>
      </c>
    </row>
    <row r="69" spans="1:10" x14ac:dyDescent="0.3">
      <c r="A69" s="1">
        <f>ROW(Tabla2[[#This Row],[Taizé]])-1</f>
        <v>68</v>
      </c>
      <c r="B69" s="4" t="s">
        <v>349</v>
      </c>
      <c r="C69" s="1" t="s">
        <v>220</v>
      </c>
      <c r="D69" s="1" t="s">
        <v>220</v>
      </c>
      <c r="E69" s="1" t="s">
        <v>220</v>
      </c>
    </row>
    <row r="70" spans="1:10" x14ac:dyDescent="0.3">
      <c r="A70" s="1">
        <f>ROW(Tabla2[[#This Row],[Taizé]])-1</f>
        <v>69</v>
      </c>
      <c r="B70" s="4" t="s">
        <v>350</v>
      </c>
      <c r="C70" s="1" t="s">
        <v>220</v>
      </c>
      <c r="D70" s="1" t="s">
        <v>220</v>
      </c>
      <c r="E70" s="1" t="s">
        <v>220</v>
      </c>
    </row>
    <row r="71" spans="1:10" x14ac:dyDescent="0.3">
      <c r="A71" s="1">
        <f>ROW(Tabla2[[#This Row],[Taizé]])-1</f>
        <v>70</v>
      </c>
      <c r="B71" s="4" t="s">
        <v>351</v>
      </c>
      <c r="C71" s="1" t="s">
        <v>220</v>
      </c>
      <c r="D71" s="1" t="s">
        <v>220</v>
      </c>
      <c r="E71" s="1" t="s">
        <v>220</v>
      </c>
    </row>
    <row r="72" spans="1:10" x14ac:dyDescent="0.3">
      <c r="A72" s="1">
        <f>ROW(Tabla2[[#This Row],[Taizé]])-1</f>
        <v>71</v>
      </c>
      <c r="B72" s="4" t="s">
        <v>352</v>
      </c>
      <c r="C72" s="1" t="s">
        <v>220</v>
      </c>
      <c r="D72" s="1" t="s">
        <v>220</v>
      </c>
      <c r="E72" s="1" t="s">
        <v>220</v>
      </c>
      <c r="F72" s="5" t="s">
        <v>278</v>
      </c>
    </row>
    <row r="73" spans="1:10" x14ac:dyDescent="0.3">
      <c r="A73" s="1">
        <f>ROW(Tabla2[[#This Row],[Taizé]])-1</f>
        <v>72</v>
      </c>
      <c r="B73" s="4" t="s">
        <v>353</v>
      </c>
      <c r="C73" s="1" t="s">
        <v>220</v>
      </c>
      <c r="D73" s="1" t="s">
        <v>220</v>
      </c>
      <c r="E73" s="1" t="s">
        <v>220</v>
      </c>
    </row>
    <row r="74" spans="1:10" x14ac:dyDescent="0.3">
      <c r="A74" s="1">
        <f>ROW(Tabla2[[#This Row],[Taizé]])-1</f>
        <v>73</v>
      </c>
      <c r="B74" s="4" t="s">
        <v>354</v>
      </c>
      <c r="C74" s="1" t="s">
        <v>220</v>
      </c>
      <c r="D74" s="1" t="s">
        <v>220</v>
      </c>
      <c r="E74" s="1" t="s">
        <v>220</v>
      </c>
    </row>
    <row r="75" spans="1:10" x14ac:dyDescent="0.3">
      <c r="A75" s="1">
        <f>ROW(Tabla2[[#This Row],[Taizé]])-1</f>
        <v>74</v>
      </c>
      <c r="B75" s="4" t="s">
        <v>355</v>
      </c>
      <c r="C75" s="1" t="s">
        <v>220</v>
      </c>
      <c r="D75" s="1" t="s">
        <v>220</v>
      </c>
      <c r="E75" s="1" t="s">
        <v>220</v>
      </c>
    </row>
    <row r="76" spans="1:10" x14ac:dyDescent="0.3">
      <c r="A76" s="1">
        <f>ROW(Tabla2[[#This Row],[Taizé]])-1</f>
        <v>75</v>
      </c>
      <c r="B76" s="1" t="s">
        <v>356</v>
      </c>
      <c r="F76" s="7">
        <v>104</v>
      </c>
      <c r="G76" s="7" t="s">
        <v>284</v>
      </c>
      <c r="I76" s="1" t="s">
        <v>289</v>
      </c>
    </row>
    <row r="77" spans="1:10" x14ac:dyDescent="0.3">
      <c r="A77" s="1">
        <f>ROW(Tabla2[[#This Row],[Taizé]])-1</f>
        <v>76</v>
      </c>
      <c r="B77" s="1" t="s">
        <v>357</v>
      </c>
      <c r="I77" s="1" t="s">
        <v>289</v>
      </c>
    </row>
    <row r="78" spans="1:10" x14ac:dyDescent="0.3">
      <c r="A78" s="1">
        <f>ROW(Tabla2[[#This Row],[Taizé]])-1</f>
        <v>77</v>
      </c>
      <c r="B78" s="1" t="s">
        <v>358</v>
      </c>
      <c r="F78" s="7">
        <v>105</v>
      </c>
      <c r="G78" s="7" t="s">
        <v>284</v>
      </c>
      <c r="I78" s="1" t="s">
        <v>289</v>
      </c>
    </row>
    <row r="79" spans="1:10" x14ac:dyDescent="0.3">
      <c r="A79" s="1">
        <f>ROW(Tabla2[[#This Row],[Taizé]])-1</f>
        <v>78</v>
      </c>
      <c r="B79" s="1" t="s">
        <v>359</v>
      </c>
      <c r="F79" s="7">
        <v>106</v>
      </c>
      <c r="G79" s="7" t="s">
        <v>284</v>
      </c>
      <c r="I79" s="1" t="s">
        <v>289</v>
      </c>
    </row>
    <row r="80" spans="1:10" x14ac:dyDescent="0.3">
      <c r="A80" s="1">
        <f>ROW(Tabla2[[#This Row],[Taizé]])-1</f>
        <v>79</v>
      </c>
      <c r="B80" s="1" t="s">
        <v>360</v>
      </c>
      <c r="I80" s="1" t="s">
        <v>289</v>
      </c>
    </row>
    <row r="81" spans="1:10" x14ac:dyDescent="0.3">
      <c r="A81" s="1">
        <f>ROW(Tabla2[[#This Row],[Taizé]])-1</f>
        <v>80</v>
      </c>
      <c r="B81" s="4" t="s">
        <v>361</v>
      </c>
      <c r="C81" s="1" t="s">
        <v>220</v>
      </c>
      <c r="D81" s="1" t="s">
        <v>220</v>
      </c>
      <c r="E81" s="1" t="s">
        <v>220</v>
      </c>
    </row>
    <row r="82" spans="1:10" x14ac:dyDescent="0.3">
      <c r="A82" s="1">
        <f>ROW(Tabla2[[#This Row],[Taizé]])-1</f>
        <v>81</v>
      </c>
      <c r="B82" s="4" t="s">
        <v>275</v>
      </c>
      <c r="D82" s="1" t="s">
        <v>220</v>
      </c>
      <c r="E82" s="1" t="s">
        <v>220</v>
      </c>
      <c r="F82" s="7">
        <v>159</v>
      </c>
      <c r="G82" s="7" t="s">
        <v>284</v>
      </c>
      <c r="J82" s="1" t="s">
        <v>535</v>
      </c>
    </row>
    <row r="83" spans="1:10" x14ac:dyDescent="0.3">
      <c r="A83" s="1">
        <f>ROW(Tabla2[[#This Row],[Taizé]])-1</f>
        <v>82</v>
      </c>
      <c r="B83" s="4" t="s">
        <v>362</v>
      </c>
      <c r="C83" s="1" t="s">
        <v>220</v>
      </c>
      <c r="D83" s="1" t="s">
        <v>220</v>
      </c>
      <c r="E83" s="1" t="s">
        <v>220</v>
      </c>
      <c r="J83" s="1" t="s">
        <v>535</v>
      </c>
    </row>
    <row r="84" spans="1:10" x14ac:dyDescent="0.3">
      <c r="A84" s="1">
        <f>ROW(Tabla2[[#This Row],[Taizé]])-1</f>
        <v>83</v>
      </c>
      <c r="B84" s="10" t="s">
        <v>363</v>
      </c>
      <c r="C84" s="1" t="s">
        <v>220</v>
      </c>
    </row>
    <row r="85" spans="1:10" x14ac:dyDescent="0.3">
      <c r="A85" s="1">
        <f>ROW(Tabla2[[#This Row],[Taizé]])-1</f>
        <v>84</v>
      </c>
      <c r="B85" s="10" t="s">
        <v>364</v>
      </c>
      <c r="C85" s="11" t="s">
        <v>220</v>
      </c>
      <c r="D85" s="11" t="s">
        <v>220</v>
      </c>
      <c r="E85" s="11" t="s">
        <v>220</v>
      </c>
      <c r="F85" s="12">
        <v>98</v>
      </c>
      <c r="G85" s="12" t="s">
        <v>284</v>
      </c>
      <c r="H85" s="11"/>
      <c r="I85" s="13"/>
    </row>
    <row r="86" spans="1:10" x14ac:dyDescent="0.3">
      <c r="A86" s="1">
        <f>ROW(Tabla2[[#This Row],[Taizé]])-1</f>
        <v>85</v>
      </c>
      <c r="B86" s="11" t="s">
        <v>365</v>
      </c>
      <c r="C86" s="11"/>
      <c r="D86" s="11" t="s">
        <v>220</v>
      </c>
      <c r="E86" s="11"/>
      <c r="F86" s="12">
        <v>169</v>
      </c>
      <c r="G86" s="12" t="s">
        <v>284</v>
      </c>
    </row>
    <row r="87" spans="1:10" x14ac:dyDescent="0.3">
      <c r="A87" s="1">
        <f>ROW(Tabla2[[#This Row],[Taizé]])-1</f>
        <v>86</v>
      </c>
      <c r="B87" s="4" t="s">
        <v>366</v>
      </c>
      <c r="C87" s="1" t="s">
        <v>220</v>
      </c>
      <c r="D87" s="1" t="s">
        <v>220</v>
      </c>
      <c r="E87" s="1" t="s">
        <v>220</v>
      </c>
      <c r="F87" s="5" t="s">
        <v>278</v>
      </c>
      <c r="J87" s="1" t="s">
        <v>535</v>
      </c>
    </row>
    <row r="88" spans="1:10" x14ac:dyDescent="0.3">
      <c r="A88" s="1">
        <f>ROW(Tabla2[[#This Row],[Taizé]])-1</f>
        <v>87</v>
      </c>
      <c r="B88" s="4" t="s">
        <v>367</v>
      </c>
      <c r="C88" s="1" t="s">
        <v>220</v>
      </c>
      <c r="D88" s="1" t="s">
        <v>220</v>
      </c>
      <c r="E88" s="1" t="s">
        <v>220</v>
      </c>
      <c r="J88" s="1" t="s">
        <v>267</v>
      </c>
    </row>
    <row r="89" spans="1:10" x14ac:dyDescent="0.3">
      <c r="A89" s="1">
        <f>ROW(Tabla2[[#This Row],[Taizé]])-1</f>
        <v>88</v>
      </c>
      <c r="B89" s="4" t="s">
        <v>368</v>
      </c>
      <c r="C89" s="1" t="s">
        <v>220</v>
      </c>
      <c r="D89" s="1" t="s">
        <v>220</v>
      </c>
      <c r="E89" s="1" t="s">
        <v>220</v>
      </c>
      <c r="F89" s="5" t="s">
        <v>278</v>
      </c>
      <c r="J89" s="1" t="s">
        <v>535</v>
      </c>
    </row>
    <row r="90" spans="1:10" x14ac:dyDescent="0.3">
      <c r="A90" s="1">
        <f>ROW(Tabla2[[#This Row],[Taizé]])-1</f>
        <v>89</v>
      </c>
      <c r="B90" s="4" t="s">
        <v>369</v>
      </c>
      <c r="C90" s="1" t="s">
        <v>220</v>
      </c>
      <c r="D90" s="1" t="s">
        <v>220</v>
      </c>
      <c r="E90" s="1" t="s">
        <v>220</v>
      </c>
      <c r="F90" s="5" t="s">
        <v>278</v>
      </c>
      <c r="G90" s="6" t="s">
        <v>282</v>
      </c>
      <c r="J90" s="1" t="s">
        <v>535</v>
      </c>
    </row>
    <row r="91" spans="1:10" x14ac:dyDescent="0.3">
      <c r="A91" s="1">
        <f>ROW(Tabla2[[#This Row],[Taizé]])-1</f>
        <v>90</v>
      </c>
      <c r="B91" s="4" t="s">
        <v>370</v>
      </c>
      <c r="C91" s="1" t="s">
        <v>220</v>
      </c>
      <c r="D91" s="1" t="s">
        <v>220</v>
      </c>
      <c r="E91" s="1" t="s">
        <v>220</v>
      </c>
      <c r="J91" s="1" t="s">
        <v>267</v>
      </c>
    </row>
    <row r="92" spans="1:10" x14ac:dyDescent="0.3">
      <c r="A92" s="1">
        <f>ROW(Tabla2[[#This Row],[Taizé]])-1</f>
        <v>91</v>
      </c>
      <c r="B92" s="4" t="s">
        <v>371</v>
      </c>
      <c r="C92" s="1" t="s">
        <v>220</v>
      </c>
      <c r="D92" s="1" t="s">
        <v>220</v>
      </c>
      <c r="E92" s="1" t="s">
        <v>220</v>
      </c>
    </row>
    <row r="93" spans="1:10" x14ac:dyDescent="0.3">
      <c r="A93" s="1">
        <f>ROW(Tabla2[[#This Row],[Taizé]])-1</f>
        <v>92</v>
      </c>
      <c r="B93" s="1" t="s">
        <v>372</v>
      </c>
      <c r="D93" s="1" t="s">
        <v>220</v>
      </c>
      <c r="E93" s="1" t="s">
        <v>220</v>
      </c>
      <c r="F93" s="7">
        <v>165</v>
      </c>
      <c r="G93" s="7" t="s">
        <v>284</v>
      </c>
    </row>
    <row r="94" spans="1:10" x14ac:dyDescent="0.3">
      <c r="A94" s="1">
        <f>ROW(Tabla2[[#This Row],[Taizé]])-1</f>
        <v>93</v>
      </c>
      <c r="B94" s="4" t="s">
        <v>373</v>
      </c>
      <c r="C94" s="1" t="s">
        <v>220</v>
      </c>
      <c r="D94" s="1" t="s">
        <v>220</v>
      </c>
      <c r="E94" s="1" t="s">
        <v>220</v>
      </c>
    </row>
    <row r="95" spans="1:10" x14ac:dyDescent="0.3">
      <c r="A95" s="1">
        <f>ROW(Tabla2[[#This Row],[Taizé]])-1</f>
        <v>94</v>
      </c>
      <c r="B95" s="4" t="s">
        <v>374</v>
      </c>
      <c r="C95" s="1" t="s">
        <v>220</v>
      </c>
      <c r="D95" s="1" t="s">
        <v>220</v>
      </c>
      <c r="E95" s="1" t="s">
        <v>220</v>
      </c>
    </row>
    <row r="96" spans="1:10" x14ac:dyDescent="0.3">
      <c r="A96" s="1">
        <f>ROW(Tabla2[[#This Row],[Taizé]])-1</f>
        <v>95</v>
      </c>
      <c r="B96" s="1" t="s">
        <v>375</v>
      </c>
      <c r="D96" s="1" t="s">
        <v>220</v>
      </c>
      <c r="E96" s="1" t="s">
        <v>220</v>
      </c>
      <c r="F96" s="7">
        <v>166</v>
      </c>
      <c r="G96" s="7" t="s">
        <v>284</v>
      </c>
      <c r="I96" s="1" t="s">
        <v>289</v>
      </c>
    </row>
    <row r="97" spans="1:10" x14ac:dyDescent="0.3">
      <c r="A97" s="1">
        <f>ROW(Tabla2[[#This Row],[Taizé]])-1</f>
        <v>96</v>
      </c>
      <c r="B97" s="4" t="s">
        <v>376</v>
      </c>
      <c r="C97" s="1" t="s">
        <v>220</v>
      </c>
      <c r="D97" s="1" t="s">
        <v>220</v>
      </c>
      <c r="E97" s="1" t="s">
        <v>220</v>
      </c>
      <c r="F97" s="5" t="s">
        <v>278</v>
      </c>
      <c r="J97" s="1" t="s">
        <v>535</v>
      </c>
    </row>
    <row r="98" spans="1:10" x14ac:dyDescent="0.3">
      <c r="A98" s="1">
        <f>ROW(Tabla2[[#This Row],[Taizé]])-1</f>
        <v>97</v>
      </c>
      <c r="B98" s="4" t="s">
        <v>377</v>
      </c>
      <c r="C98" s="1" t="s">
        <v>220</v>
      </c>
      <c r="D98" s="1" t="s">
        <v>220</v>
      </c>
      <c r="E98" s="1" t="s">
        <v>220</v>
      </c>
      <c r="J98" s="1" t="s">
        <v>267</v>
      </c>
    </row>
    <row r="99" spans="1:10" x14ac:dyDescent="0.3">
      <c r="A99" s="1">
        <f>ROW(Tabla2[[#This Row],[Taizé]])-1</f>
        <v>98</v>
      </c>
      <c r="B99" s="4" t="s">
        <v>378</v>
      </c>
      <c r="C99" s="1" t="s">
        <v>220</v>
      </c>
      <c r="D99" s="1" t="s">
        <v>220</v>
      </c>
      <c r="E99" s="1" t="s">
        <v>220</v>
      </c>
      <c r="F99" s="5" t="s">
        <v>278</v>
      </c>
      <c r="J99" s="1" t="s">
        <v>535</v>
      </c>
    </row>
    <row r="100" spans="1:10" x14ac:dyDescent="0.3">
      <c r="A100" s="1">
        <f>ROW(Tabla2[[#This Row],[Taizé]])-1</f>
        <v>99</v>
      </c>
      <c r="B100" s="4" t="s">
        <v>379</v>
      </c>
      <c r="C100" s="1" t="s">
        <v>220</v>
      </c>
      <c r="D100" s="1" t="s">
        <v>220</v>
      </c>
      <c r="E100" s="1" t="s">
        <v>220</v>
      </c>
      <c r="J100" s="1" t="s">
        <v>267</v>
      </c>
    </row>
    <row r="101" spans="1:10" x14ac:dyDescent="0.3">
      <c r="A101" s="1">
        <f>ROW(Tabla2[[#This Row],[Taizé]])-1</f>
        <v>100</v>
      </c>
      <c r="B101" s="4" t="s">
        <v>380</v>
      </c>
      <c r="C101" s="1" t="s">
        <v>220</v>
      </c>
      <c r="D101" s="1" t="s">
        <v>220</v>
      </c>
      <c r="E101" s="1" t="s">
        <v>220</v>
      </c>
      <c r="J101" s="1" t="s">
        <v>535</v>
      </c>
    </row>
    <row r="102" spans="1:10" x14ac:dyDescent="0.3">
      <c r="A102" s="1">
        <f>ROW(Tabla2[[#This Row],[Taizé]])-1</f>
        <v>101</v>
      </c>
      <c r="B102" s="4" t="s">
        <v>381</v>
      </c>
      <c r="C102" s="1" t="s">
        <v>220</v>
      </c>
      <c r="D102" s="1" t="s">
        <v>220</v>
      </c>
      <c r="E102" s="1" t="s">
        <v>220</v>
      </c>
      <c r="J102" s="1" t="s">
        <v>267</v>
      </c>
    </row>
    <row r="103" spans="1:10" x14ac:dyDescent="0.3">
      <c r="A103" s="1">
        <f>ROW(Tabla2[[#This Row],[Taizé]])-1</f>
        <v>102</v>
      </c>
      <c r="B103" s="4" t="s">
        <v>382</v>
      </c>
      <c r="C103" s="1" t="s">
        <v>220</v>
      </c>
      <c r="D103" s="1" t="s">
        <v>220</v>
      </c>
      <c r="E103" s="1" t="s">
        <v>220</v>
      </c>
    </row>
    <row r="104" spans="1:10" x14ac:dyDescent="0.3">
      <c r="A104" s="1">
        <f>ROW(Tabla2[[#This Row],[Taizé]])-1</f>
        <v>103</v>
      </c>
      <c r="B104" s="1" t="s">
        <v>383</v>
      </c>
    </row>
    <row r="105" spans="1:10" x14ac:dyDescent="0.3">
      <c r="A105" s="1">
        <f>ROW(Tabla2[[#This Row],[Taizé]])-1</f>
        <v>104</v>
      </c>
      <c r="B105" s="4" t="s">
        <v>384</v>
      </c>
      <c r="C105" s="1" t="s">
        <v>220</v>
      </c>
      <c r="D105" s="1" t="s">
        <v>220</v>
      </c>
      <c r="E105" s="1" t="s">
        <v>220</v>
      </c>
      <c r="F105" s="5" t="s">
        <v>278</v>
      </c>
    </row>
    <row r="106" spans="1:10" x14ac:dyDescent="0.3">
      <c r="A106" s="1">
        <f>ROW(Tabla2[[#This Row],[Taizé]])-1</f>
        <v>105</v>
      </c>
      <c r="B106" s="4" t="s">
        <v>385</v>
      </c>
      <c r="J106" s="1" t="s">
        <v>267</v>
      </c>
    </row>
    <row r="107" spans="1:10" x14ac:dyDescent="0.3">
      <c r="A107" s="1">
        <f>ROW(Tabla2[[#This Row],[Taizé]])-1</f>
        <v>106</v>
      </c>
      <c r="B107" s="4" t="s">
        <v>386</v>
      </c>
    </row>
    <row r="108" spans="1:10" x14ac:dyDescent="0.3">
      <c r="A108" s="1">
        <f>ROW(Tabla2[[#This Row],[Taizé]])-1</f>
        <v>107</v>
      </c>
      <c r="B108" s="4" t="s">
        <v>387</v>
      </c>
      <c r="F108" s="5" t="s">
        <v>278</v>
      </c>
      <c r="J108" s="1" t="s">
        <v>267</v>
      </c>
    </row>
    <row r="109" spans="1:10" x14ac:dyDescent="0.3">
      <c r="A109" s="1">
        <f>ROW(Tabla2[[#This Row],[Taizé]])-1</f>
        <v>108</v>
      </c>
      <c r="B109" s="4" t="s">
        <v>388</v>
      </c>
      <c r="F109" s="5" t="s">
        <v>278</v>
      </c>
      <c r="I109" s="1" t="s">
        <v>289</v>
      </c>
    </row>
    <row r="110" spans="1:10" x14ac:dyDescent="0.3">
      <c r="A110" s="1">
        <f>ROW(Tabla2[[#This Row],[Taizé]])-1</f>
        <v>109</v>
      </c>
      <c r="B110" s="4" t="s">
        <v>389</v>
      </c>
      <c r="J110" s="1" t="s">
        <v>267</v>
      </c>
    </row>
    <row r="111" spans="1:10" x14ac:dyDescent="0.3">
      <c r="A111" s="1">
        <f>ROW(Tabla2[[#This Row],[Taizé]])-1</f>
        <v>110</v>
      </c>
      <c r="B111" s="4" t="s">
        <v>390</v>
      </c>
    </row>
    <row r="112" spans="1:10" x14ac:dyDescent="0.3">
      <c r="A112" s="1">
        <f>ROW(Tabla2[[#This Row],[Taizé]])-1</f>
        <v>111</v>
      </c>
      <c r="B112" s="4" t="s">
        <v>391</v>
      </c>
      <c r="F112" s="5" t="s">
        <v>278</v>
      </c>
    </row>
    <row r="113" spans="1:10" x14ac:dyDescent="0.3">
      <c r="A113" s="1">
        <f>ROW(Tabla2[[#This Row],[Taizé]])-1</f>
        <v>112</v>
      </c>
      <c r="B113" s="7" t="s">
        <v>392</v>
      </c>
      <c r="F113" s="5" t="s">
        <v>278</v>
      </c>
    </row>
    <row r="114" spans="1:10" x14ac:dyDescent="0.3">
      <c r="A114" s="1">
        <f>ROW(Tabla2[[#This Row],[Taizé]])-1</f>
        <v>113</v>
      </c>
      <c r="B114" s="4" t="s">
        <v>393</v>
      </c>
    </row>
    <row r="115" spans="1:10" x14ac:dyDescent="0.3">
      <c r="A115" s="1">
        <f>ROW(Tabla2[[#This Row],[Taizé]])-1</f>
        <v>114</v>
      </c>
      <c r="B115" s="4" t="s">
        <v>394</v>
      </c>
    </row>
    <row r="116" spans="1:10" x14ac:dyDescent="0.3">
      <c r="A116" s="1">
        <f>ROW(Tabla2[[#This Row],[Taizé]])-1</f>
        <v>115</v>
      </c>
      <c r="B116" s="1" t="s">
        <v>395</v>
      </c>
      <c r="I116" s="1" t="s">
        <v>289</v>
      </c>
    </row>
    <row r="117" spans="1:10" x14ac:dyDescent="0.3">
      <c r="A117" s="1">
        <f>ROW(Tabla2[[#This Row],[Taizé]])-1</f>
        <v>116</v>
      </c>
      <c r="B117" s="4" t="s">
        <v>396</v>
      </c>
    </row>
    <row r="118" spans="1:10" x14ac:dyDescent="0.3">
      <c r="A118" s="1">
        <f>ROW(Tabla2[[#This Row],[Taizé]])-1</f>
        <v>117</v>
      </c>
      <c r="B118" s="4" t="s">
        <v>397</v>
      </c>
    </row>
    <row r="119" spans="1:10" x14ac:dyDescent="0.3">
      <c r="A119" s="1">
        <f>ROW(Tabla2[[#This Row],[Taizé]])-1</f>
        <v>118</v>
      </c>
      <c r="B119" s="4" t="s">
        <v>398</v>
      </c>
      <c r="G119" s="6" t="s">
        <v>282</v>
      </c>
      <c r="J119" s="1" t="s">
        <v>535</v>
      </c>
    </row>
    <row r="120" spans="1:10" x14ac:dyDescent="0.3">
      <c r="A120" s="1">
        <f>ROW(Tabla2[[#This Row],[Taizé]])-1</f>
        <v>119</v>
      </c>
      <c r="B120" s="4" t="s">
        <v>399</v>
      </c>
    </row>
    <row r="121" spans="1:10" x14ac:dyDescent="0.3">
      <c r="A121" s="1">
        <f>ROW(Tabla2[[#This Row],[Taizé]])-1</f>
        <v>120</v>
      </c>
      <c r="B121" s="4" t="s">
        <v>400</v>
      </c>
      <c r="C121" s="1" t="s">
        <v>220</v>
      </c>
      <c r="D121" s="1" t="s">
        <v>220</v>
      </c>
      <c r="E121" s="1" t="s">
        <v>220</v>
      </c>
      <c r="G121" s="6" t="s">
        <v>282</v>
      </c>
      <c r="J121" s="1" t="s">
        <v>267</v>
      </c>
    </row>
    <row r="122" spans="1:10" x14ac:dyDescent="0.3">
      <c r="A122" s="1">
        <f>ROW(Tabla2[[#This Row],[Taizé]])-1</f>
        <v>121</v>
      </c>
      <c r="B122" s="4" t="s">
        <v>401</v>
      </c>
      <c r="C122" s="1" t="s">
        <v>220</v>
      </c>
      <c r="D122" s="1" t="s">
        <v>220</v>
      </c>
      <c r="E122" s="1" t="s">
        <v>220</v>
      </c>
      <c r="F122" s="5" t="s">
        <v>278</v>
      </c>
    </row>
    <row r="123" spans="1:10" x14ac:dyDescent="0.3">
      <c r="A123" s="1">
        <f>ROW(Tabla2[[#This Row],[Taizé]])-1</f>
        <v>122</v>
      </c>
      <c r="B123" s="4" t="s">
        <v>402</v>
      </c>
      <c r="C123" s="1" t="s">
        <v>220</v>
      </c>
      <c r="D123" s="1" t="s">
        <v>220</v>
      </c>
      <c r="E123" s="1" t="s">
        <v>220</v>
      </c>
    </row>
    <row r="124" spans="1:10" x14ac:dyDescent="0.3">
      <c r="A124" s="1">
        <f>ROW(Tabla2[[#This Row],[Taizé]])-1</f>
        <v>123</v>
      </c>
      <c r="B124" s="4" t="s">
        <v>403</v>
      </c>
      <c r="C124" s="1" t="s">
        <v>220</v>
      </c>
      <c r="D124" s="1" t="s">
        <v>220</v>
      </c>
      <c r="E124" s="1" t="s">
        <v>220</v>
      </c>
    </row>
    <row r="125" spans="1:10" x14ac:dyDescent="0.3">
      <c r="A125" s="1">
        <f>ROW(Tabla2[[#This Row],[Taizé]])-1</f>
        <v>124</v>
      </c>
      <c r="B125" s="4" t="s">
        <v>404</v>
      </c>
      <c r="C125" s="1" t="s">
        <v>220</v>
      </c>
      <c r="D125" s="1" t="s">
        <v>220</v>
      </c>
      <c r="E125" s="1" t="s">
        <v>220</v>
      </c>
      <c r="F125" s="5" t="s">
        <v>278</v>
      </c>
      <c r="J125" s="1" t="s">
        <v>535</v>
      </c>
    </row>
    <row r="126" spans="1:10" x14ac:dyDescent="0.3">
      <c r="A126" s="1">
        <f>ROW(Tabla2[[#This Row],[Taizé]])-1</f>
        <v>125</v>
      </c>
      <c r="B126" s="4" t="s">
        <v>405</v>
      </c>
      <c r="C126" s="1" t="s">
        <v>220</v>
      </c>
      <c r="D126" s="1" t="s">
        <v>220</v>
      </c>
      <c r="E126" s="1" t="s">
        <v>220</v>
      </c>
      <c r="F126" s="5" t="s">
        <v>278</v>
      </c>
      <c r="G126" s="6" t="s">
        <v>282</v>
      </c>
      <c r="J126" s="1" t="s">
        <v>267</v>
      </c>
    </row>
    <row r="127" spans="1:10" x14ac:dyDescent="0.3">
      <c r="A127" s="1">
        <f>ROW(Tabla2[[#This Row],[Taizé]])-1</f>
        <v>126</v>
      </c>
      <c r="B127" s="4" t="s">
        <v>406</v>
      </c>
      <c r="C127" s="1" t="s">
        <v>220</v>
      </c>
      <c r="D127" s="1" t="s">
        <v>220</v>
      </c>
      <c r="E127" s="1" t="s">
        <v>220</v>
      </c>
    </row>
    <row r="128" spans="1:10" x14ac:dyDescent="0.3">
      <c r="A128" s="1">
        <f>ROW(Tabla2[[#This Row],[Taizé]])-1</f>
        <v>127</v>
      </c>
      <c r="B128" s="4" t="s">
        <v>407</v>
      </c>
      <c r="C128" s="1" t="s">
        <v>220</v>
      </c>
      <c r="D128" s="1" t="s">
        <v>220</v>
      </c>
      <c r="E128" s="1" t="s">
        <v>220</v>
      </c>
      <c r="J128" s="1" t="s">
        <v>535</v>
      </c>
    </row>
    <row r="129" spans="1:10" x14ac:dyDescent="0.3">
      <c r="A129" s="1">
        <f>ROW(Tabla2[[#This Row],[Taizé]])-1</f>
        <v>128</v>
      </c>
      <c r="B129" s="4" t="s">
        <v>408</v>
      </c>
      <c r="C129" s="1" t="s">
        <v>220</v>
      </c>
      <c r="D129" s="1" t="s">
        <v>220</v>
      </c>
      <c r="E129" s="1" t="s">
        <v>220</v>
      </c>
      <c r="G129" s="6" t="s">
        <v>282</v>
      </c>
      <c r="J129" s="1" t="s">
        <v>267</v>
      </c>
    </row>
    <row r="130" spans="1:10" x14ac:dyDescent="0.3">
      <c r="A130" s="1">
        <f>ROW(Tabla2[[#This Row],[Taizé]])-1</f>
        <v>129</v>
      </c>
      <c r="B130" s="4" t="s">
        <v>409</v>
      </c>
      <c r="C130" s="1" t="s">
        <v>220</v>
      </c>
      <c r="D130" s="1" t="s">
        <v>220</v>
      </c>
      <c r="E130" s="1" t="s">
        <v>220</v>
      </c>
    </row>
    <row r="131" spans="1:10" x14ac:dyDescent="0.3">
      <c r="A131" s="1">
        <f>ROW(Tabla2[[#This Row],[Taizé]])-1</f>
        <v>130</v>
      </c>
      <c r="B131" s="4" t="s">
        <v>410</v>
      </c>
      <c r="C131" s="1" t="s">
        <v>220</v>
      </c>
      <c r="D131" s="1" t="s">
        <v>220</v>
      </c>
      <c r="E131" s="1" t="s">
        <v>220</v>
      </c>
      <c r="F131" s="5" t="s">
        <v>278</v>
      </c>
    </row>
    <row r="132" spans="1:10" x14ac:dyDescent="0.3">
      <c r="A132" s="1">
        <f>ROW(Tabla2[[#This Row],[Taizé]])-1</f>
        <v>131</v>
      </c>
      <c r="B132" s="4" t="s">
        <v>411</v>
      </c>
      <c r="C132" s="1" t="s">
        <v>220</v>
      </c>
      <c r="D132" s="1" t="s">
        <v>220</v>
      </c>
      <c r="E132" s="1" t="s">
        <v>220</v>
      </c>
    </row>
    <row r="133" spans="1:10" x14ac:dyDescent="0.3">
      <c r="A133" s="1">
        <f>ROW(Tabla2[[#This Row],[Taizé]])-1</f>
        <v>132</v>
      </c>
      <c r="B133" s="4" t="s">
        <v>412</v>
      </c>
      <c r="C133" s="1" t="s">
        <v>220</v>
      </c>
      <c r="D133" s="1" t="s">
        <v>220</v>
      </c>
      <c r="E133" s="1" t="s">
        <v>220</v>
      </c>
      <c r="F133" s="5" t="s">
        <v>278</v>
      </c>
      <c r="J133" s="1" t="s">
        <v>267</v>
      </c>
    </row>
    <row r="134" spans="1:10" x14ac:dyDescent="0.3">
      <c r="A134" s="1">
        <f>ROW(Tabla2[[#This Row],[Taizé]])-1</f>
        <v>133</v>
      </c>
      <c r="B134" s="4" t="s">
        <v>413</v>
      </c>
      <c r="C134" s="1" t="s">
        <v>220</v>
      </c>
      <c r="D134" s="1" t="s">
        <v>220</v>
      </c>
      <c r="E134" s="1" t="s">
        <v>220</v>
      </c>
    </row>
    <row r="135" spans="1:10" x14ac:dyDescent="0.3">
      <c r="A135" s="1">
        <f>ROW(Tabla2[[#This Row],[Taizé]])-1</f>
        <v>134</v>
      </c>
      <c r="B135" s="4" t="s">
        <v>414</v>
      </c>
      <c r="C135" s="1" t="s">
        <v>220</v>
      </c>
      <c r="D135" s="1" t="s">
        <v>220</v>
      </c>
      <c r="E135" s="1" t="s">
        <v>220</v>
      </c>
      <c r="F135" s="5" t="s">
        <v>278</v>
      </c>
      <c r="G135" s="6" t="s">
        <v>282</v>
      </c>
      <c r="J135" s="1" t="s">
        <v>267</v>
      </c>
    </row>
    <row r="136" spans="1:10" x14ac:dyDescent="0.3">
      <c r="A136" s="1">
        <f>ROW(Tabla2[[#This Row],[Taizé]])-1</f>
        <v>135</v>
      </c>
      <c r="B136" s="9" t="s">
        <v>415</v>
      </c>
    </row>
    <row r="137" spans="1:10" x14ac:dyDescent="0.3">
      <c r="A137" s="1">
        <f>ROW(Tabla2[[#This Row],[Taizé]])-1</f>
        <v>136</v>
      </c>
      <c r="B137" s="4" t="s">
        <v>416</v>
      </c>
      <c r="C137" s="1" t="s">
        <v>220</v>
      </c>
      <c r="D137" s="1" t="s">
        <v>220</v>
      </c>
      <c r="E137" s="1" t="s">
        <v>220</v>
      </c>
      <c r="F137" s="5" t="s">
        <v>278</v>
      </c>
    </row>
    <row r="138" spans="1:10" x14ac:dyDescent="0.3">
      <c r="A138" s="1">
        <f>ROW(Tabla2[[#This Row],[Taizé]])-1</f>
        <v>137</v>
      </c>
      <c r="B138" s="4" t="s">
        <v>417</v>
      </c>
      <c r="C138" s="1" t="s">
        <v>220</v>
      </c>
      <c r="D138" s="1" t="s">
        <v>220</v>
      </c>
      <c r="E138" s="1" t="s">
        <v>220</v>
      </c>
      <c r="F138" s="5" t="s">
        <v>278</v>
      </c>
      <c r="G138" s="6" t="s">
        <v>282</v>
      </c>
    </row>
    <row r="139" spans="1:10" x14ac:dyDescent="0.3">
      <c r="A139" s="1">
        <f>ROW(Tabla2[[#This Row],[Taizé]])-1</f>
        <v>138</v>
      </c>
      <c r="B139" s="1" t="s">
        <v>418</v>
      </c>
      <c r="C139" s="1" t="s">
        <v>220</v>
      </c>
      <c r="D139" s="1" t="s">
        <v>220</v>
      </c>
      <c r="E139" s="1" t="s">
        <v>220</v>
      </c>
      <c r="I139" s="1" t="s">
        <v>289</v>
      </c>
    </row>
    <row r="140" spans="1:10" x14ac:dyDescent="0.3">
      <c r="A140" s="1">
        <f>ROW(Tabla2[[#This Row],[Taizé]])-1</f>
        <v>139</v>
      </c>
      <c r="B140" s="4" t="s">
        <v>419</v>
      </c>
      <c r="C140" s="1" t="s">
        <v>220</v>
      </c>
      <c r="D140" s="1" t="s">
        <v>220</v>
      </c>
      <c r="E140" s="1" t="s">
        <v>220</v>
      </c>
      <c r="J140" s="1" t="s">
        <v>267</v>
      </c>
    </row>
    <row r="141" spans="1:10" x14ac:dyDescent="0.3">
      <c r="A141" s="1">
        <f>ROW(Tabla2[[#This Row],[Taizé]])-1</f>
        <v>140</v>
      </c>
      <c r="B141" s="4" t="s">
        <v>420</v>
      </c>
      <c r="C141" s="1" t="s">
        <v>220</v>
      </c>
      <c r="D141" s="1" t="s">
        <v>220</v>
      </c>
      <c r="E141" s="1" t="s">
        <v>220</v>
      </c>
    </row>
    <row r="142" spans="1:10" x14ac:dyDescent="0.3">
      <c r="A142" s="1">
        <f>ROW(Tabla2[[#This Row],[Taizé]])-1</f>
        <v>141</v>
      </c>
      <c r="B142" s="4" t="s">
        <v>421</v>
      </c>
      <c r="C142" s="1" t="s">
        <v>220</v>
      </c>
      <c r="D142" s="1" t="s">
        <v>220</v>
      </c>
      <c r="E142" s="1" t="s">
        <v>220</v>
      </c>
      <c r="G142" s="6" t="s">
        <v>282</v>
      </c>
    </row>
    <row r="143" spans="1:10" x14ac:dyDescent="0.3">
      <c r="A143" s="1">
        <f>ROW(Tabla2[[#This Row],[Taizé]])-1</f>
        <v>142</v>
      </c>
      <c r="B143" s="4" t="s">
        <v>422</v>
      </c>
      <c r="C143" s="1" t="s">
        <v>220</v>
      </c>
      <c r="D143" s="1" t="s">
        <v>220</v>
      </c>
      <c r="E143" s="1" t="s">
        <v>220</v>
      </c>
    </row>
    <row r="144" spans="1:10" x14ac:dyDescent="0.3">
      <c r="A144" s="1">
        <f>ROW(Tabla2[[#This Row],[Taizé]])-1</f>
        <v>143</v>
      </c>
      <c r="B144" s="4" t="s">
        <v>423</v>
      </c>
      <c r="C144" s="1" t="s">
        <v>220</v>
      </c>
      <c r="D144" s="1" t="s">
        <v>220</v>
      </c>
      <c r="E144" s="1" t="s">
        <v>220</v>
      </c>
    </row>
    <row r="145" spans="1:10" x14ac:dyDescent="0.3">
      <c r="A145" s="1">
        <f>ROW(Tabla2[[#This Row],[Taizé]])-1</f>
        <v>144</v>
      </c>
      <c r="B145" s="4" t="s">
        <v>424</v>
      </c>
      <c r="I145" s="1" t="s">
        <v>289</v>
      </c>
      <c r="J145" s="1" t="s">
        <v>535</v>
      </c>
    </row>
    <row r="146" spans="1:10" x14ac:dyDescent="0.3">
      <c r="A146" s="1">
        <f>ROW(Tabla2[[#This Row],[Taizé]])-1</f>
        <v>145</v>
      </c>
      <c r="B146" s="9" t="s">
        <v>425</v>
      </c>
      <c r="J146" s="1" t="s">
        <v>535</v>
      </c>
    </row>
    <row r="147" spans="1:10" x14ac:dyDescent="0.3">
      <c r="A147" s="1">
        <f>ROW(Tabla2[[#This Row],[Taizé]])-1</f>
        <v>146</v>
      </c>
      <c r="B147" s="8" t="s">
        <v>426</v>
      </c>
      <c r="D147" s="1" t="s">
        <v>220</v>
      </c>
      <c r="E147" s="1" t="s">
        <v>220</v>
      </c>
      <c r="F147" s="7">
        <v>163</v>
      </c>
      <c r="G147" s="7" t="s">
        <v>284</v>
      </c>
    </row>
    <row r="148" spans="1:10" x14ac:dyDescent="0.3">
      <c r="A148" s="1">
        <f>ROW(Tabla2[[#This Row],[Taizé]])-1</f>
        <v>147</v>
      </c>
      <c r="B148" s="4" t="s">
        <v>427</v>
      </c>
      <c r="C148" s="1" t="s">
        <v>220</v>
      </c>
      <c r="D148" s="1" t="s">
        <v>220</v>
      </c>
      <c r="E148" s="1" t="s">
        <v>220</v>
      </c>
      <c r="F148" s="5" t="s">
        <v>278</v>
      </c>
      <c r="J148" s="1" t="s">
        <v>267</v>
      </c>
    </row>
    <row r="149" spans="1:10" x14ac:dyDescent="0.3">
      <c r="A149" s="1">
        <f>ROW(Tabla2[[#This Row],[Taizé]])-1</f>
        <v>148</v>
      </c>
      <c r="B149" s="4" t="s">
        <v>428</v>
      </c>
      <c r="C149" s="1" t="s">
        <v>220</v>
      </c>
      <c r="D149" s="1" t="s">
        <v>220</v>
      </c>
      <c r="E149" s="1" t="s">
        <v>220</v>
      </c>
    </row>
    <row r="150" spans="1:10" x14ac:dyDescent="0.3">
      <c r="A150" s="1">
        <f>ROW(Tabla2[[#This Row],[Taizé]])-1</f>
        <v>149</v>
      </c>
      <c r="B150" s="4" t="s">
        <v>429</v>
      </c>
      <c r="C150" s="1" t="s">
        <v>220</v>
      </c>
      <c r="D150" s="1" t="s">
        <v>220</v>
      </c>
      <c r="E150" s="1" t="s">
        <v>220</v>
      </c>
      <c r="F150" s="5" t="s">
        <v>278</v>
      </c>
    </row>
    <row r="151" spans="1:10" x14ac:dyDescent="0.3">
      <c r="A151" s="1">
        <f>ROW(Tabla2[[#This Row],[Taizé]])-1</f>
        <v>150</v>
      </c>
      <c r="B151" s="1" t="s">
        <v>430</v>
      </c>
      <c r="C151" s="1" t="s">
        <v>220</v>
      </c>
      <c r="D151" s="1" t="s">
        <v>220</v>
      </c>
      <c r="E151" s="1" t="s">
        <v>220</v>
      </c>
      <c r="F151" s="7">
        <v>103</v>
      </c>
      <c r="G151" s="7" t="s">
        <v>284</v>
      </c>
      <c r="I151" s="1" t="s">
        <v>289</v>
      </c>
    </row>
    <row r="152" spans="1:10" x14ac:dyDescent="0.3">
      <c r="A152" s="1">
        <f>ROW(Tabla2[[#This Row],[Taizé]])-1</f>
        <v>151</v>
      </c>
      <c r="B152" s="1" t="s">
        <v>431</v>
      </c>
      <c r="C152" s="1" t="s">
        <v>220</v>
      </c>
      <c r="D152" s="1" t="s">
        <v>220</v>
      </c>
      <c r="E152" s="1" t="s">
        <v>220</v>
      </c>
      <c r="F152" s="7">
        <v>140</v>
      </c>
      <c r="G152" s="7" t="s">
        <v>284</v>
      </c>
    </row>
    <row r="153" spans="1:10" x14ac:dyDescent="0.3">
      <c r="A153" s="1">
        <f>ROW(Tabla2[[#This Row],[Taizé]])-1</f>
        <v>152</v>
      </c>
      <c r="B153" s="4" t="s">
        <v>432</v>
      </c>
      <c r="C153" s="1" t="s">
        <v>220</v>
      </c>
      <c r="D153" s="1" t="s">
        <v>220</v>
      </c>
      <c r="E153" s="1" t="s">
        <v>220</v>
      </c>
      <c r="J153" s="1" t="s">
        <v>535</v>
      </c>
    </row>
    <row r="154" spans="1:10" x14ac:dyDescent="0.3">
      <c r="A154" s="1">
        <f>ROW(Tabla2[[#This Row],[Taizé]])-1</f>
        <v>153</v>
      </c>
      <c r="B154" s="4" t="s">
        <v>433</v>
      </c>
      <c r="C154" s="1" t="s">
        <v>220</v>
      </c>
      <c r="D154" s="1" t="s">
        <v>220</v>
      </c>
      <c r="E154" s="1" t="s">
        <v>220</v>
      </c>
    </row>
    <row r="155" spans="1:10" x14ac:dyDescent="0.3">
      <c r="A155" s="1">
        <f>ROW(Tabla2[[#This Row],[Taizé]])-1</f>
        <v>154</v>
      </c>
      <c r="B155" s="4" t="s">
        <v>434</v>
      </c>
      <c r="C155" s="1" t="s">
        <v>220</v>
      </c>
      <c r="D155" s="1" t="s">
        <v>220</v>
      </c>
      <c r="E155" s="1" t="s">
        <v>220</v>
      </c>
    </row>
    <row r="156" spans="1:10" x14ac:dyDescent="0.3">
      <c r="A156" s="1">
        <f>ROW(Tabla2[[#This Row],[Taizé]])-1</f>
        <v>155</v>
      </c>
      <c r="B156" s="4" t="s">
        <v>435</v>
      </c>
      <c r="C156" s="1" t="s">
        <v>220</v>
      </c>
      <c r="D156" s="1" t="s">
        <v>220</v>
      </c>
      <c r="E156" s="1" t="s">
        <v>220</v>
      </c>
    </row>
    <row r="157" spans="1:10" x14ac:dyDescent="0.3">
      <c r="A157" s="1">
        <f>ROW(Tabla2[[#This Row],[Taizé]])-1</f>
        <v>156</v>
      </c>
      <c r="B157" s="4" t="s">
        <v>436</v>
      </c>
      <c r="C157" s="1" t="s">
        <v>220</v>
      </c>
      <c r="D157" s="1" t="s">
        <v>220</v>
      </c>
      <c r="E157" s="1" t="s">
        <v>220</v>
      </c>
      <c r="J157" s="1" t="s">
        <v>267</v>
      </c>
    </row>
    <row r="158" spans="1:10" x14ac:dyDescent="0.3">
      <c r="A158" s="1">
        <f>ROW(Tabla2[[#This Row],[Taizé]])-1</f>
        <v>157</v>
      </c>
      <c r="B158" s="4" t="s">
        <v>437</v>
      </c>
      <c r="C158" s="1" t="s">
        <v>220</v>
      </c>
      <c r="D158" s="1" t="s">
        <v>220</v>
      </c>
      <c r="E158" s="1" t="s">
        <v>220</v>
      </c>
    </row>
    <row r="159" spans="1:10" x14ac:dyDescent="0.3">
      <c r="A159" s="1">
        <f>ROW(Tabla2[[#This Row],[Taizé]])-1</f>
        <v>158</v>
      </c>
      <c r="B159" s="4" t="s">
        <v>438</v>
      </c>
      <c r="C159" s="1" t="s">
        <v>220</v>
      </c>
      <c r="D159" s="1" t="s">
        <v>220</v>
      </c>
      <c r="E159" s="1" t="s">
        <v>220</v>
      </c>
    </row>
    <row r="160" spans="1:10" x14ac:dyDescent="0.3">
      <c r="A160" s="1">
        <f>ROW(Tabla2[[#This Row],[Taizé]])-1</f>
        <v>159</v>
      </c>
      <c r="B160" s="4" t="s">
        <v>439</v>
      </c>
      <c r="C160" s="1" t="s">
        <v>220</v>
      </c>
      <c r="D160" s="1" t="s">
        <v>220</v>
      </c>
      <c r="E160" s="1" t="s">
        <v>220</v>
      </c>
    </row>
    <row r="161" spans="1:10" x14ac:dyDescent="0.3">
      <c r="A161" s="1">
        <f>ROW(Tabla2[[#This Row],[Taizé]])-1</f>
        <v>160</v>
      </c>
      <c r="B161" s="1" t="s">
        <v>440</v>
      </c>
      <c r="D161" s="1" t="s">
        <v>220</v>
      </c>
      <c r="E161" s="1" t="s">
        <v>220</v>
      </c>
      <c r="F161" s="7">
        <v>168</v>
      </c>
      <c r="G161" s="7" t="s">
        <v>284</v>
      </c>
      <c r="I161" s="1" t="s">
        <v>289</v>
      </c>
    </row>
    <row r="162" spans="1:10" x14ac:dyDescent="0.3">
      <c r="A162" s="1">
        <f>ROW(Tabla2[[#This Row],[Taizé]])-1</f>
        <v>161</v>
      </c>
      <c r="B162" s="4" t="s">
        <v>441</v>
      </c>
      <c r="C162" s="1" t="s">
        <v>220</v>
      </c>
      <c r="D162" s="1" t="s">
        <v>220</v>
      </c>
      <c r="E162" s="1" t="s">
        <v>220</v>
      </c>
      <c r="J162" s="1" t="s">
        <v>535</v>
      </c>
    </row>
    <row r="163" spans="1:10" x14ac:dyDescent="0.3">
      <c r="A163" s="1">
        <f>ROW(Tabla2[[#This Row],[Taizé]])-1</f>
        <v>162</v>
      </c>
      <c r="B163" s="4" t="s">
        <v>442</v>
      </c>
      <c r="C163" s="1" t="s">
        <v>220</v>
      </c>
      <c r="D163" s="1" t="s">
        <v>220</v>
      </c>
      <c r="E163" s="1" t="s">
        <v>220</v>
      </c>
      <c r="J163" s="1" t="s">
        <v>535</v>
      </c>
    </row>
    <row r="164" spans="1:10" x14ac:dyDescent="0.3">
      <c r="A164" s="1">
        <f>ROW(Tabla2[[#This Row],[Taizé]])-1</f>
        <v>163</v>
      </c>
      <c r="B164" s="4" t="s">
        <v>443</v>
      </c>
      <c r="C164" s="1" t="s">
        <v>220</v>
      </c>
      <c r="D164" s="1" t="s">
        <v>220</v>
      </c>
      <c r="E164" s="1" t="s">
        <v>220</v>
      </c>
      <c r="F164" s="5" t="s">
        <v>278</v>
      </c>
      <c r="G164" s="6" t="s">
        <v>282</v>
      </c>
      <c r="J164" s="1" t="s">
        <v>535</v>
      </c>
    </row>
    <row r="165" spans="1:10" x14ac:dyDescent="0.3">
      <c r="A165" s="1">
        <f>ROW(Tabla2[[#This Row],[Taizé]])-1</f>
        <v>164</v>
      </c>
      <c r="B165" s="4" t="s">
        <v>444</v>
      </c>
      <c r="C165" s="1" t="s">
        <v>220</v>
      </c>
      <c r="D165" s="1" t="s">
        <v>220</v>
      </c>
      <c r="E165" s="1" t="s">
        <v>220</v>
      </c>
      <c r="J165" s="1" t="s">
        <v>267</v>
      </c>
    </row>
    <row r="166" spans="1:10" x14ac:dyDescent="0.3">
      <c r="A166" s="1">
        <f>ROW(Tabla2[[#This Row],[Taizé]])-1</f>
        <v>165</v>
      </c>
      <c r="B166" s="7" t="s">
        <v>445</v>
      </c>
      <c r="F166" s="5" t="s">
        <v>278</v>
      </c>
    </row>
    <row r="167" spans="1:10" x14ac:dyDescent="0.3">
      <c r="A167" s="1">
        <f>ROW(Tabla2[[#This Row],[Taizé]])-1</f>
        <v>166</v>
      </c>
      <c r="B167" s="4" t="s">
        <v>446</v>
      </c>
      <c r="C167" s="1" t="s">
        <v>220</v>
      </c>
      <c r="D167" s="1" t="s">
        <v>220</v>
      </c>
      <c r="E167" s="1" t="s">
        <v>220</v>
      </c>
      <c r="F167" s="7">
        <v>102</v>
      </c>
      <c r="G167" s="7" t="s">
        <v>284</v>
      </c>
      <c r="I167" s="1" t="s">
        <v>289</v>
      </c>
    </row>
    <row r="168" spans="1:10" x14ac:dyDescent="0.3">
      <c r="A168" s="1">
        <f>ROW(Tabla2[[#This Row],[Taizé]])-1</f>
        <v>167</v>
      </c>
      <c r="B168" s="1" t="s">
        <v>447</v>
      </c>
      <c r="C168" s="1" t="s">
        <v>220</v>
      </c>
      <c r="D168" s="1" t="s">
        <v>220</v>
      </c>
      <c r="E168" s="1" t="s">
        <v>220</v>
      </c>
      <c r="F168" s="7">
        <v>107</v>
      </c>
      <c r="G168" s="7" t="s">
        <v>284</v>
      </c>
      <c r="I168" s="1" t="s">
        <v>289</v>
      </c>
    </row>
    <row r="169" spans="1:10" x14ac:dyDescent="0.3">
      <c r="A169" s="1">
        <f>ROW(Tabla2[[#This Row],[Taizé]])-1</f>
        <v>168</v>
      </c>
      <c r="B169" s="4" t="s">
        <v>448</v>
      </c>
      <c r="C169" s="1" t="s">
        <v>220</v>
      </c>
      <c r="D169" s="1" t="s">
        <v>220</v>
      </c>
      <c r="E169" s="1" t="s">
        <v>220</v>
      </c>
      <c r="F169" s="5" t="s">
        <v>278</v>
      </c>
      <c r="G169" s="6" t="s">
        <v>282</v>
      </c>
      <c r="J169" s="1" t="s">
        <v>267</v>
      </c>
    </row>
    <row r="170" spans="1:10" x14ac:dyDescent="0.3">
      <c r="A170" s="1">
        <f>ROW(Tabla2[[#This Row],[Taizé]])-1</f>
        <v>169</v>
      </c>
      <c r="B170" s="4" t="s">
        <v>449</v>
      </c>
      <c r="C170" s="1" t="s">
        <v>220</v>
      </c>
      <c r="D170" s="1" t="s">
        <v>220</v>
      </c>
      <c r="E170" s="1" t="s">
        <v>220</v>
      </c>
    </row>
    <row r="171" spans="1:10" x14ac:dyDescent="0.3">
      <c r="A171" s="1">
        <f>ROW(Tabla2[[#This Row],[Taizé]])-1</f>
        <v>170</v>
      </c>
      <c r="B171" s="4" t="s">
        <v>450</v>
      </c>
      <c r="C171" s="1" t="s">
        <v>220</v>
      </c>
      <c r="D171" s="1" t="s">
        <v>220</v>
      </c>
      <c r="E171" s="1" t="s">
        <v>220</v>
      </c>
    </row>
    <row r="172" spans="1:10" x14ac:dyDescent="0.3">
      <c r="A172" s="1">
        <f>ROW(Tabla2[[#This Row],[Taizé]])-1</f>
        <v>171</v>
      </c>
      <c r="B172" s="4" t="s">
        <v>451</v>
      </c>
      <c r="E172" s="1" t="s">
        <v>220</v>
      </c>
      <c r="I172" s="1" t="s">
        <v>289</v>
      </c>
    </row>
    <row r="173" spans="1:10" x14ac:dyDescent="0.3">
      <c r="A173" s="1">
        <f>ROW(Tabla2[[#This Row],[Taizé]])-1</f>
        <v>172</v>
      </c>
      <c r="B173" s="4" t="s">
        <v>452</v>
      </c>
      <c r="D173" s="1" t="s">
        <v>220</v>
      </c>
      <c r="E173" s="1" t="s">
        <v>220</v>
      </c>
      <c r="G173" s="6" t="s">
        <v>282</v>
      </c>
      <c r="J173" s="1" t="s">
        <v>267</v>
      </c>
    </row>
    <row r="174" spans="1:10" x14ac:dyDescent="0.3">
      <c r="A174" s="1">
        <f>ROW(Tabla2[[#This Row],[Taizé]])-1</f>
        <v>173</v>
      </c>
      <c r="B174" s="4" t="s">
        <v>453</v>
      </c>
      <c r="C174" s="1" t="s">
        <v>220</v>
      </c>
      <c r="D174" s="1" t="s">
        <v>220</v>
      </c>
      <c r="E174" s="1" t="s">
        <v>220</v>
      </c>
      <c r="F174" s="5" t="s">
        <v>278</v>
      </c>
      <c r="J174" s="1" t="s">
        <v>267</v>
      </c>
    </row>
    <row r="175" spans="1:10" x14ac:dyDescent="0.3">
      <c r="A175" s="1">
        <f>ROW(Tabla2[[#This Row],[Taizé]])-1</f>
        <v>174</v>
      </c>
      <c r="B175" s="4" t="s">
        <v>454</v>
      </c>
      <c r="C175" s="1" t="s">
        <v>220</v>
      </c>
      <c r="D175" s="1" t="s">
        <v>220</v>
      </c>
      <c r="E175" s="1" t="s">
        <v>220</v>
      </c>
      <c r="F175" s="5" t="s">
        <v>278</v>
      </c>
      <c r="G175" s="6" t="s">
        <v>282</v>
      </c>
      <c r="J175" s="1" t="s">
        <v>267</v>
      </c>
    </row>
    <row r="176" spans="1:10" x14ac:dyDescent="0.3">
      <c r="A176" s="1">
        <f>ROW(Tabla2[[#This Row],[Taizé]])-1</f>
        <v>175</v>
      </c>
      <c r="B176" s="4" t="s">
        <v>455</v>
      </c>
      <c r="C176" s="1" t="s">
        <v>220</v>
      </c>
      <c r="D176" s="1" t="s">
        <v>220</v>
      </c>
      <c r="E176" s="1" t="s">
        <v>220</v>
      </c>
      <c r="F176" s="5" t="s">
        <v>278</v>
      </c>
      <c r="J176" s="1" t="s">
        <v>267</v>
      </c>
    </row>
    <row r="177" spans="1:10" x14ac:dyDescent="0.3">
      <c r="A177" s="1">
        <f>ROW(Tabla2[[#This Row],[Taizé]])-1</f>
        <v>176</v>
      </c>
      <c r="B177" s="4" t="s">
        <v>456</v>
      </c>
      <c r="C177" s="1" t="s">
        <v>220</v>
      </c>
      <c r="D177" s="1" t="s">
        <v>220</v>
      </c>
      <c r="E177" s="1" t="s">
        <v>220</v>
      </c>
    </row>
    <row r="178" spans="1:10" x14ac:dyDescent="0.3">
      <c r="A178" s="1">
        <f>ROW(Tabla2[[#This Row],[Taizé]])-1</f>
        <v>177</v>
      </c>
      <c r="B178" s="4" t="s">
        <v>457</v>
      </c>
      <c r="C178" s="1" t="s">
        <v>220</v>
      </c>
      <c r="D178" s="1" t="s">
        <v>220</v>
      </c>
      <c r="E178" s="1" t="s">
        <v>220</v>
      </c>
    </row>
    <row r="179" spans="1:10" x14ac:dyDescent="0.3">
      <c r="A179" s="1">
        <f>ROW(Tabla2[[#This Row],[Taizé]])-1</f>
        <v>178</v>
      </c>
      <c r="B179" s="4" t="s">
        <v>458</v>
      </c>
      <c r="C179" s="1" t="s">
        <v>220</v>
      </c>
      <c r="D179" s="1" t="s">
        <v>220</v>
      </c>
      <c r="E179" s="1" t="s">
        <v>220</v>
      </c>
    </row>
    <row r="180" spans="1:10" x14ac:dyDescent="0.3">
      <c r="A180" s="1">
        <f>ROW(Tabla2[[#This Row],[Taizé]])-1</f>
        <v>179</v>
      </c>
      <c r="B180" s="4" t="s">
        <v>459</v>
      </c>
      <c r="C180" s="1" t="s">
        <v>220</v>
      </c>
      <c r="D180" s="1" t="s">
        <v>220</v>
      </c>
      <c r="E180" s="1" t="s">
        <v>220</v>
      </c>
    </row>
    <row r="181" spans="1:10" x14ac:dyDescent="0.3">
      <c r="A181" s="1">
        <f>ROW(Tabla2[[#This Row],[Taizé]])-1</f>
        <v>180</v>
      </c>
      <c r="B181" s="4" t="s">
        <v>460</v>
      </c>
      <c r="C181" s="1" t="s">
        <v>220</v>
      </c>
      <c r="D181" s="1" t="s">
        <v>220</v>
      </c>
      <c r="E181" s="1" t="s">
        <v>220</v>
      </c>
    </row>
    <row r="182" spans="1:10" x14ac:dyDescent="0.3">
      <c r="A182" s="1">
        <f>ROW(Tabla2[[#This Row],[Taizé]])-1</f>
        <v>181</v>
      </c>
      <c r="B182" s="4" t="s">
        <v>461</v>
      </c>
      <c r="C182" s="1" t="s">
        <v>220</v>
      </c>
      <c r="D182" s="1" t="s">
        <v>220</v>
      </c>
      <c r="E182" s="1" t="s">
        <v>220</v>
      </c>
    </row>
    <row r="183" spans="1:10" x14ac:dyDescent="0.3">
      <c r="A183" s="1">
        <f>ROW(Tabla2[[#This Row],[Taizé]])-1</f>
        <v>182</v>
      </c>
      <c r="B183" s="4" t="s">
        <v>462</v>
      </c>
      <c r="C183" s="1" t="s">
        <v>220</v>
      </c>
      <c r="D183" s="1" t="s">
        <v>220</v>
      </c>
      <c r="E183" s="1" t="s">
        <v>220</v>
      </c>
    </row>
    <row r="184" spans="1:10" x14ac:dyDescent="0.3">
      <c r="A184" s="1">
        <f>ROW(Tabla2[[#This Row],[Taizé]])-1</f>
        <v>183</v>
      </c>
      <c r="B184" s="4" t="s">
        <v>463</v>
      </c>
      <c r="C184" s="1" t="s">
        <v>220</v>
      </c>
      <c r="D184" s="1" t="s">
        <v>220</v>
      </c>
      <c r="E184" s="1" t="s">
        <v>220</v>
      </c>
      <c r="F184" s="5" t="s">
        <v>278</v>
      </c>
    </row>
    <row r="185" spans="1:10" x14ac:dyDescent="0.3">
      <c r="A185" s="1">
        <f>ROW(Tabla2[[#This Row],[Taizé]])-1</f>
        <v>184</v>
      </c>
      <c r="B185" s="4" t="s">
        <v>464</v>
      </c>
      <c r="C185" s="1" t="s">
        <v>220</v>
      </c>
      <c r="D185" s="1" t="s">
        <v>220</v>
      </c>
      <c r="E185" s="1" t="s">
        <v>220</v>
      </c>
    </row>
    <row r="186" spans="1:10" x14ac:dyDescent="0.3">
      <c r="A186" s="1">
        <f>ROW(Tabla2[[#This Row],[Taizé]])-1</f>
        <v>185</v>
      </c>
      <c r="B186" s="4" t="s">
        <v>465</v>
      </c>
      <c r="C186" s="1" t="s">
        <v>220</v>
      </c>
      <c r="D186" s="1" t="s">
        <v>220</v>
      </c>
      <c r="E186" s="1" t="s">
        <v>220</v>
      </c>
      <c r="G186" s="6" t="s">
        <v>282</v>
      </c>
      <c r="J186" s="1" t="s">
        <v>267</v>
      </c>
    </row>
    <row r="187" spans="1:10" x14ac:dyDescent="0.3">
      <c r="A187" s="1">
        <f>ROW(Tabla2[[#This Row],[Taizé]])-1</f>
        <v>186</v>
      </c>
      <c r="B187" s="4" t="s">
        <v>466</v>
      </c>
      <c r="C187" s="1" t="s">
        <v>220</v>
      </c>
      <c r="D187" s="1" t="s">
        <v>220</v>
      </c>
      <c r="E187" s="1" t="s">
        <v>220</v>
      </c>
    </row>
    <row r="188" spans="1:10" x14ac:dyDescent="0.3">
      <c r="A188" s="1">
        <f>ROW(Tabla2[[#This Row],[Taizé]])-1</f>
        <v>187</v>
      </c>
      <c r="B188" s="4" t="s">
        <v>467</v>
      </c>
      <c r="C188" s="1" t="s">
        <v>220</v>
      </c>
      <c r="D188" s="1" t="s">
        <v>220</v>
      </c>
      <c r="E188" s="1" t="s">
        <v>220</v>
      </c>
      <c r="J188" s="1" t="s">
        <v>535</v>
      </c>
    </row>
    <row r="189" spans="1:10" x14ac:dyDescent="0.3">
      <c r="A189" s="1">
        <f>ROW(Tabla2[[#This Row],[Taizé]])-1</f>
        <v>188</v>
      </c>
      <c r="B189" s="4" t="s">
        <v>468</v>
      </c>
      <c r="C189" s="1" t="s">
        <v>220</v>
      </c>
      <c r="D189" s="1" t="s">
        <v>220</v>
      </c>
      <c r="E189" s="1" t="s">
        <v>220</v>
      </c>
      <c r="F189" s="5" t="s">
        <v>278</v>
      </c>
    </row>
    <row r="190" spans="1:10" x14ac:dyDescent="0.3">
      <c r="A190" s="1">
        <f>ROW(Tabla2[[#This Row],[Taizé]])-1</f>
        <v>189</v>
      </c>
      <c r="B190" s="4" t="s">
        <v>469</v>
      </c>
      <c r="I190" s="1" t="s">
        <v>289</v>
      </c>
    </row>
    <row r="191" spans="1:10" x14ac:dyDescent="0.3">
      <c r="A191" s="1">
        <f>ROW(Tabla2[[#This Row],[Taizé]])-1</f>
        <v>190</v>
      </c>
      <c r="B191" s="4" t="s">
        <v>470</v>
      </c>
      <c r="C191" s="1" t="s">
        <v>220</v>
      </c>
      <c r="D191" s="1" t="s">
        <v>220</v>
      </c>
      <c r="E191" s="1" t="s">
        <v>220</v>
      </c>
      <c r="F191" s="5" t="s">
        <v>278</v>
      </c>
      <c r="J191" s="1" t="s">
        <v>535</v>
      </c>
    </row>
    <row r="192" spans="1:10" x14ac:dyDescent="0.3">
      <c r="A192" s="1">
        <f>ROW(Tabla2[[#This Row],[Taizé]])-1</f>
        <v>191</v>
      </c>
      <c r="B192" s="8" t="s">
        <v>471</v>
      </c>
      <c r="E192" s="1" t="s">
        <v>220</v>
      </c>
    </row>
  </sheetData>
  <conditionalFormatting sqref="J1:J1048576">
    <cfRule type="containsText" dxfId="2" priority="1" operator="containsText" text="X">
      <formula>NOT(ISERROR(SEARCH("X",J1)))</formula>
    </cfRule>
    <cfRule type="containsText" dxfId="1" priority="2" operator="containsText" text="JJ">
      <formula>NOT(ISERROR(SEARCH("JJ",J1)))</formula>
    </cfRule>
    <cfRule type="containsText" dxfId="0" priority="3" operator="containsText" text="Taizé">
      <formula>NOT(ISERROR(SEARCH("Taizé",J1)))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NSB antiguo</vt:lpstr>
      <vt:lpstr>CantoralDB</vt:lpstr>
      <vt:lpstr>Resumen</vt:lpstr>
      <vt:lpstr>secciones</vt:lpstr>
      <vt:lpstr>carpetas</vt:lpstr>
      <vt:lpstr>Autores</vt:lpstr>
      <vt:lpstr>Categorías</vt:lpstr>
      <vt:lpstr>Taizé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 Moreno</dc:creator>
  <cp:lastModifiedBy>JUAN JOSE MORENO LABELLA</cp:lastModifiedBy>
  <dcterms:created xsi:type="dcterms:W3CDTF">2015-06-05T18:19:34Z</dcterms:created>
  <dcterms:modified xsi:type="dcterms:W3CDTF">2026-10-24T09:03:33Z</dcterms:modified>
</cp:coreProperties>
</file>